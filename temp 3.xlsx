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848" firstSheet="0" activeTab="0" autoFilterDateGrouping="1"/>
  </bookViews>
  <sheets>
    <sheet name="COVER SHEET" sheetId="1" state="visible" r:id="rId1"/>
    <sheet name="MAP" sheetId="2" state="visible" r:id="rId2"/>
    <sheet name="MATERIAL" sheetId="3" state="visible" r:id="rId3"/>
    <sheet name="LABOR" sheetId="4" state="visible" r:id="rId4"/>
    <sheet name="TOTALS" sheetId="5" state="visible" r:id="rId5"/>
    <sheet name="CABLE SHEET" sheetId="6" state="visible" r:id="rId6"/>
    <sheet name="LABOR SPAN SHEET" sheetId="7" state="visible" r:id="rId7"/>
    <sheet name="House Count" sheetId="8" state="visible" r:id="rId8"/>
    <sheet name="MEW" sheetId="9" state="visible" r:id="rId9"/>
    <sheet name="CABLE TO 1X8 SPLICING" sheetId="10" state="visible" r:id="rId10"/>
    <sheet name="SPLICING 1X8 TO 1X4 SPLITS" sheetId="11" state="visible" r:id="rId11"/>
    <sheet name="FINAL ADDRESS LIST" sheetId="12" state="visible" r:id="rId12"/>
    <sheet name="PERMITS" sheetId="13" state="visible" r:id="rId13"/>
    <sheet name="Ring splicing" sheetId="14" state="visible" r:id="rId14"/>
  </sheets>
  <definedNames>
    <definedName name="PopCache_PA_FP_WEBADI_UPLOAD_INF_DELETE_FLAG" hidden="1">#REF!</definedName>
    <definedName name="Segment">#REF!</definedName>
    <definedName name="_xlnm._FilterDatabase" localSheetId="2" hidden="1">'MATERIAL'!$B$4:$B$342</definedName>
    <definedName name="_xlnm._FilterDatabase" localSheetId="3" hidden="1">'LABOR'!$B$5:$B$490</definedName>
    <definedName name="_xlnm._FilterDatabase" localSheetId="7" hidden="1">'House Count'!$A$1:$I$1</definedName>
    <definedName name="PopCache_PA_FP_WEBADI_UPLOAD_INF_DELETE_FLAG" localSheetId="9" hidden="1">#REF!</definedName>
    <definedName name="Segment" localSheetId="9">#REF!</definedName>
    <definedName name="PopCache_PA_FP_WEBADI_UPLOAD_INF_DELETE_FLAG" localSheetId="10" hidden="1">#REF!</definedName>
    <definedName name="Segment" localSheetId="10">#REF!</definedName>
    <definedName name="_xlnm._FilterDatabase" localSheetId="11" hidden="1">'FINAL ADDRESS LIST'!$A$1:$H$1500</definedName>
    <definedName name="PopCache_PA_FP_WEBADI_UPLOAD_INF_DELETE_FLAG" localSheetId="13" hidden="1">#REF!</definedName>
    <definedName name="Segment" localSheetId="13">#REF!</definedName>
  </definedNames>
  <calcPr calcId="191028" fullCalcOnLoad="1"/>
</workbook>
</file>

<file path=xl/styles.xml><?xml version="1.0" encoding="utf-8"?>
<styleSheet xmlns="http://schemas.openxmlformats.org/spreadsheetml/2006/main">
  <numFmts count="6">
    <numFmt numFmtId="164" formatCode="&quot;$&quot;#,##0.00"/>
    <numFmt numFmtId="165" formatCode="_(&quot;$&quot;* #,##0.00_);_(&quot;$&quot;* \(#,##0.00\);_(&quot;$&quot;* &quot;-&quot;??_);_(@_)"/>
    <numFmt numFmtId="166" formatCode="_([$$-409]* #,##0.00_);_([$$-409]* \(#,##0.00\);_([$$-409]* &quot;-&quot;??_);_(@_)"/>
    <numFmt numFmtId="167" formatCode="#;\-#"/>
    <numFmt numFmtId="168" formatCode="&quot;S&quot;00"/>
    <numFmt numFmtId="169" formatCode="&quot;$&quot;#,##0.00_);[Red]\(&quot;$&quot;#,##0.00\)"/>
  </numFmts>
  <fonts count="53">
    <font>
      <name val="Calibri"/>
      <family val="2"/>
      <color theme="1"/>
      <sz val="11"/>
      <scheme val="minor"/>
    </font>
    <font>
      <name val="Calibri"/>
      <family val="2"/>
      <b val="1"/>
      <color theme="1"/>
      <sz val="9"/>
      <scheme val="minor"/>
    </font>
    <font>
      <name val="Calibri"/>
      <family val="2"/>
      <b val="1"/>
      <sz val="9"/>
      <scheme val="minor"/>
    </font>
    <font>
      <name val="Calibri"/>
      <family val="2"/>
      <color theme="1"/>
      <sz val="9"/>
      <scheme val="minor"/>
    </font>
    <font>
      <name val="Arial"/>
      <family val="2"/>
      <sz val="10"/>
    </font>
    <font>
      <name val="Calibri"/>
      <family val="2"/>
      <sz val="9"/>
      <scheme val="minor"/>
    </font>
    <font>
      <name val="Calibri"/>
      <family val="2"/>
      <color rgb="FFFF0000"/>
      <sz val="9"/>
      <scheme val="minor"/>
    </font>
    <font>
      <name val="Calibri"/>
      <family val="2"/>
      <color theme="1"/>
      <sz val="11"/>
      <scheme val="minor"/>
    </font>
    <font>
      <name val="Calibri"/>
      <family val="2"/>
      <b val="1"/>
      <color theme="1"/>
      <sz val="11"/>
      <scheme val="minor"/>
    </font>
    <font>
      <name val="Arial"/>
      <family val="2"/>
      <b val="1"/>
      <sz val="10"/>
    </font>
    <font>
      <name val="Calibri"/>
      <family val="2"/>
      <sz val="11"/>
      <scheme val="minor"/>
    </font>
    <font>
      <name val="Times New Roman"/>
      <family val="1"/>
      <sz val="10"/>
    </font>
    <font>
      <name val="Arial Narrow"/>
      <family val="2"/>
      <sz val="12"/>
    </font>
    <font>
      <name val="Calibri"/>
      <family val="2"/>
      <b val="1"/>
      <i val="1"/>
      <color theme="1"/>
      <sz val="9"/>
      <scheme val="minor"/>
    </font>
    <font>
      <name val="Calibri"/>
      <family val="2"/>
      <b val="1"/>
      <color theme="1"/>
      <sz val="10"/>
      <scheme val="minor"/>
    </font>
    <font>
      <name val="Calibri"/>
      <family val="2"/>
      <color theme="1"/>
      <sz val="10"/>
      <scheme val="minor"/>
    </font>
    <font>
      <name val="Calibri"/>
      <family val="2"/>
      <b val="1"/>
      <color theme="1"/>
      <sz val="12"/>
      <scheme val="minor"/>
    </font>
    <font>
      <name val="Arial Narrow"/>
      <family val="2"/>
      <color rgb="FFFF0000"/>
      <sz val="12"/>
    </font>
    <font>
      <name val="Times New Roman"/>
      <family val="1"/>
      <color rgb="FFFF0000"/>
      <sz val="10"/>
    </font>
    <font>
      <name val="Calibri"/>
      <family val="2"/>
      <b val="1"/>
      <sz val="10"/>
      <scheme val="minor"/>
    </font>
    <font>
      <name val="Calibri"/>
      <family val="2"/>
      <sz val="10"/>
      <scheme val="minor"/>
    </font>
    <font>
      <name val="Calibri"/>
      <family val="2"/>
      <b val="1"/>
      <i val="1"/>
      <color theme="1"/>
      <sz val="10"/>
      <scheme val="minor"/>
    </font>
    <font>
      <name val="Calibri"/>
      <family val="2"/>
      <i val="1"/>
      <color theme="1"/>
      <sz val="10"/>
      <scheme val="minor"/>
    </font>
    <font>
      <name val="Calibri"/>
      <family val="2"/>
      <sz val="10"/>
    </font>
    <font>
      <name val="Calibri"/>
      <family val="2"/>
      <color rgb="FFFF0000"/>
      <sz val="10"/>
      <scheme val="minor"/>
    </font>
    <font>
      <name val="Calibri"/>
      <family val="2"/>
      <strike val="1"/>
      <sz val="9"/>
      <scheme val="minor"/>
    </font>
    <font>
      <name val="Calibri"/>
      <family val="2"/>
      <strike val="1"/>
      <color theme="1"/>
      <sz val="9"/>
      <scheme val="minor"/>
    </font>
    <font>
      <name val="Tahoma"/>
      <family val="2"/>
      <color indexed="81"/>
      <sz val="9"/>
    </font>
    <font>
      <name val="Tahoma"/>
      <family val="2"/>
      <b val="1"/>
      <color indexed="81"/>
      <sz val="9"/>
    </font>
    <font>
      <name val="Tahoma"/>
      <family val="2"/>
      <color indexed="81"/>
      <sz val="10"/>
    </font>
    <font>
      <name val="Arial"/>
      <family val="2"/>
      <sz val="8"/>
    </font>
    <font>
      <name val="Calibri"/>
      <family val="2"/>
      <b val="1"/>
      <sz val="12"/>
      <scheme val="minor"/>
    </font>
    <font>
      <name val="Calibri"/>
      <family val="2"/>
      <b val="1"/>
      <sz val="10"/>
      <u val="single"/>
      <scheme val="minor"/>
    </font>
    <font>
      <name val="Calibri"/>
      <family val="2"/>
      <color rgb="FF006100"/>
      <sz val="11"/>
      <scheme val="minor"/>
    </font>
    <font>
      <name val="Calibri"/>
      <family val="2"/>
      <color rgb="FF9C0006"/>
      <sz val="11"/>
      <scheme val="minor"/>
    </font>
    <font>
      <name val="Calibri"/>
      <family val="2"/>
      <b val="1"/>
      <color theme="1"/>
      <sz val="10"/>
      <u val="single"/>
      <scheme val="minor"/>
    </font>
    <font>
      <name val="Calibri"/>
      <family val="2"/>
      <strike val="1"/>
      <color theme="1"/>
      <sz val="11"/>
      <scheme val="minor"/>
    </font>
    <font>
      <name val="Calibri"/>
      <family val="2"/>
      <b val="1"/>
      <color theme="1"/>
      <sz val="9"/>
      <u val="single"/>
      <scheme val="minor"/>
    </font>
    <font>
      <name val="Arial"/>
      <family val="2"/>
      <b val="1"/>
      <sz val="12"/>
    </font>
    <font>
      <name val="Arial"/>
      <family val="2"/>
      <sz val="10"/>
      <u val="single"/>
    </font>
    <font>
      <name val="Times New Roman"/>
      <family val="1"/>
      <sz val="9"/>
    </font>
    <font>
      <name val="Times New Roman"/>
      <family val="1"/>
      <b val="1"/>
      <sz val="10"/>
    </font>
    <font>
      <name val="Calibri"/>
      <family val="2"/>
      <sz val="11"/>
      <scheme val="minor"/>
    </font>
    <font>
      <name val="Calibri"/>
      <family val="2"/>
      <b val="1"/>
      <sz val="11"/>
      <scheme val="minor"/>
    </font>
    <font>
      <name val="Bahnschrift Condensed"/>
      <family val="2"/>
      <b val="1"/>
      <sz val="11"/>
    </font>
    <font>
      <name val="Calibri"/>
      <family val="2"/>
      <color theme="1"/>
      <sz val="22"/>
      <scheme val="minor"/>
    </font>
    <font>
      <name val="Arial"/>
      <family val="2"/>
      <b val="1"/>
      <sz val="14"/>
    </font>
    <font>
      <name val="Calibri Light"/>
      <family val="2"/>
      <b val="1"/>
      <color theme="1"/>
      <sz val="14"/>
      <scheme val="major"/>
    </font>
    <font>
      <name val="Calibri"/>
      <family val="2"/>
      <b val="1"/>
      <color theme="1"/>
      <sz val="14"/>
      <scheme val="minor"/>
    </font>
    <font>
      <name val="Calibri"/>
      <family val="2"/>
      <color theme="1"/>
      <sz val="24"/>
      <scheme val="minor"/>
    </font>
    <font>
      <name val="Arial"/>
      <family val="2"/>
      <color theme="0"/>
      <sz val="10"/>
    </font>
    <font>
      <name val="Arial"/>
      <family val="2"/>
      <color indexed="9"/>
      <sz val="10"/>
    </font>
    <font>
      <name val="Calibri"/>
      <family val="2"/>
      <color rgb="FFFF0000"/>
      <sz val="11"/>
      <scheme val="minor"/>
    </font>
  </fonts>
  <fills count="37">
    <fill>
      <patternFill/>
    </fill>
    <fill>
      <patternFill patternType="gray125"/>
    </fill>
    <fill>
      <patternFill patternType="solid">
        <fgColor theme="4" tint="0.7999816888943144"/>
        <bgColor indexed="64"/>
      </patternFill>
    </fill>
    <fill>
      <patternFill patternType="solid">
        <fgColor theme="4" tint="0.5999938962981048"/>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3" tint="0.7999816888943144"/>
        <bgColor indexed="64"/>
      </patternFill>
    </fill>
    <fill>
      <patternFill patternType="solid">
        <fgColor theme="9"/>
        <bgColor indexed="64"/>
      </patternFill>
    </fill>
    <fill>
      <patternFill patternType="solid">
        <fgColor rgb="FFC6EFCE"/>
      </patternFill>
    </fill>
    <fill>
      <patternFill patternType="solid">
        <fgColor rgb="FFFFC7CE"/>
      </patternFill>
    </fill>
    <fill>
      <patternFill patternType="solid">
        <fgColor indexed="22"/>
        <bgColor indexed="64"/>
      </patternFill>
    </fill>
    <fill>
      <patternFill patternType="solid">
        <fgColor theme="0" tint="-0.249977111117893"/>
        <bgColor indexed="64"/>
      </patternFill>
    </fill>
    <fill>
      <patternFill patternType="solid">
        <fgColor rgb="FFFFFFFF"/>
        <bgColor indexed="64"/>
      </patternFill>
    </fill>
    <fill>
      <patternFill patternType="solid">
        <fgColor indexed="12"/>
        <bgColor indexed="64"/>
      </patternFill>
    </fill>
    <fill>
      <patternFill patternType="solid">
        <fgColor indexed="52"/>
        <bgColor indexed="64"/>
      </patternFill>
    </fill>
    <fill>
      <patternFill patternType="solid">
        <fgColor indexed="11"/>
        <bgColor indexed="64"/>
      </patternFill>
    </fill>
    <fill>
      <patternFill patternType="solid">
        <fgColor indexed="16"/>
        <bgColor indexed="64"/>
      </patternFill>
    </fill>
    <fill>
      <patternFill patternType="solid">
        <fgColor indexed="55"/>
        <bgColor indexed="64"/>
      </patternFill>
    </fill>
    <fill>
      <patternFill patternType="solid">
        <fgColor indexed="9"/>
        <bgColor indexed="64"/>
      </patternFill>
    </fill>
    <fill>
      <patternFill patternType="solid">
        <fgColor indexed="10"/>
        <bgColor indexed="64"/>
      </patternFill>
    </fill>
    <fill>
      <patternFill patternType="solid">
        <fgColor indexed="8"/>
        <bgColor indexed="64"/>
      </patternFill>
    </fill>
    <fill>
      <patternFill patternType="solid">
        <fgColor indexed="13"/>
        <bgColor indexed="64"/>
      </patternFill>
    </fill>
    <fill>
      <patternFill patternType="solid">
        <fgColor indexed="46"/>
        <bgColor indexed="64"/>
      </patternFill>
    </fill>
    <fill>
      <patternFill patternType="solid">
        <fgColor indexed="45"/>
        <bgColor indexed="64"/>
      </patternFill>
    </fill>
    <fill>
      <patternFill patternType="solid">
        <fgColor indexed="15"/>
        <bgColor indexed="64"/>
      </patternFill>
    </fill>
    <fill>
      <patternFill patternType="solid">
        <fgColor rgb="FF0000FF"/>
        <bgColor indexed="64"/>
      </patternFill>
    </fill>
    <fill>
      <patternFill patternType="solid">
        <fgColor rgb="FFFF9900"/>
        <bgColor indexed="64"/>
      </patternFill>
    </fill>
    <fill>
      <patternFill patternType="solid">
        <fgColor rgb="FF00FF00"/>
        <bgColor indexed="64"/>
      </patternFill>
    </fill>
    <fill>
      <patternFill patternType="solid">
        <fgColor rgb="FF800000"/>
        <bgColor indexed="64"/>
      </patternFill>
    </fill>
    <fill>
      <patternFill patternType="solid">
        <fgColor rgb="FF969696"/>
        <bgColor indexed="64"/>
      </patternFill>
    </fill>
    <fill>
      <patternFill patternType="solid">
        <fgColor rgb="FFFF0000"/>
        <bgColor indexed="64"/>
      </patternFill>
    </fill>
    <fill>
      <patternFill patternType="solid">
        <fgColor rgb="FF000000"/>
        <bgColor indexed="64"/>
      </patternFill>
    </fill>
    <fill>
      <patternFill patternType="solid">
        <fgColor rgb="FFCC99FF"/>
        <bgColor indexed="64"/>
      </patternFill>
    </fill>
    <fill>
      <patternFill patternType="solid">
        <fgColor rgb="FFFF99CC"/>
        <bgColor indexed="64"/>
      </patternFill>
    </fill>
    <fill>
      <patternFill patternType="solid">
        <fgColor rgb="FF00FFFF"/>
        <bgColor indexed="64"/>
      </patternFill>
    </fill>
  </fills>
  <borders count="8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thick">
        <color indexed="64"/>
      </bottom>
      <diagonal/>
    </border>
    <border>
      <left style="double">
        <color auto="1"/>
      </left>
      <right style="double">
        <color auto="1"/>
      </right>
      <top style="double">
        <color auto="1"/>
      </top>
      <bottom style="double">
        <color auto="1"/>
      </bottom>
      <diagonal/>
    </border>
    <border>
      <left style="thin">
        <color indexed="64"/>
      </left>
      <right style="dashed">
        <color indexed="64"/>
      </right>
      <top style="thin">
        <color indexed="64"/>
      </top>
      <bottom/>
      <diagonal/>
    </border>
    <border>
      <left style="thin">
        <color indexed="64"/>
      </left>
      <right style="dashed">
        <color indexed="64"/>
      </right>
      <top/>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right style="thin">
        <color indexed="64"/>
      </right>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right/>
      <top style="thin">
        <color indexed="64"/>
      </top>
      <bottom style="dashed">
        <color indexed="64"/>
      </bottom>
      <diagonal/>
    </border>
    <border>
      <left style="dashed">
        <color indexed="64"/>
      </left>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style="dashed">
        <color indexed="64"/>
      </right>
      <top/>
      <bottom/>
      <diagonal/>
    </border>
    <border>
      <left style="dashed">
        <color indexed="64"/>
      </left>
      <right style="dashed">
        <color indexed="64"/>
      </right>
      <top style="thin">
        <color indexed="64"/>
      </top>
      <bottom/>
      <diagonal/>
    </border>
    <border>
      <left style="medium">
        <color auto="1"/>
      </left>
      <right/>
      <top/>
      <bottom style="thin">
        <color auto="1"/>
      </bottom>
      <diagonal/>
    </border>
    <border>
      <left/>
      <right style="medium">
        <color auto="1"/>
      </right>
      <top/>
      <bottom style="thin">
        <color auto="1"/>
      </bottom>
      <diagonal/>
    </border>
    <border>
      <left style="dashed">
        <color auto="1"/>
      </left>
      <right style="dashed">
        <color auto="1"/>
      </right>
      <top style="thin">
        <color auto="1"/>
      </top>
      <bottom style="thin">
        <color auto="1"/>
      </bottom>
      <diagonal/>
    </border>
    <border>
      <left style="dashed">
        <color auto="1"/>
      </left>
      <right style="thin">
        <color auto="1"/>
      </right>
      <top/>
      <bottom/>
      <diagonal/>
    </border>
    <border>
      <left/>
      <right style="dashed">
        <color auto="1"/>
      </right>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diagonal/>
    </border>
    <border>
      <left/>
      <right/>
      <top style="dashed">
        <color indexed="64"/>
      </top>
      <bottom/>
      <diagonal/>
    </border>
    <border>
      <left/>
      <right style="thin">
        <color indexed="64"/>
      </right>
      <top style="dashed">
        <color indexed="64"/>
      </top>
      <bottom/>
      <diagonal/>
    </border>
  </borders>
  <cellStyleXfs count="13">
    <xf numFmtId="0" fontId="7" fillId="0" borderId="0"/>
    <xf numFmtId="0" fontId="4" fillId="0" borderId="0"/>
    <xf numFmtId="44" fontId="7" fillId="0" borderId="0"/>
    <xf numFmtId="0" fontId="4" fillId="0" borderId="0"/>
    <xf numFmtId="44" fontId="4" fillId="0" borderId="0"/>
    <xf numFmtId="44" fontId="4" fillId="0" borderId="0"/>
    <xf numFmtId="0" fontId="4" fillId="0" borderId="0"/>
    <xf numFmtId="0" fontId="7" fillId="0" borderId="0"/>
    <xf numFmtId="0" fontId="30" fillId="0" borderId="0"/>
    <xf numFmtId="0" fontId="33" fillId="10" borderId="0"/>
    <xf numFmtId="0" fontId="34" fillId="11" borderId="0"/>
    <xf numFmtId="166" fontId="4" fillId="0" borderId="0"/>
    <xf numFmtId="166" fontId="7" fillId="0" borderId="0"/>
  </cellStyleXfs>
  <cellXfs count="1182">
    <xf numFmtId="0" fontId="0" fillId="0" borderId="0" pivotButton="0" quotePrefix="0" xfId="0"/>
    <xf numFmtId="0" fontId="3" fillId="0" borderId="27" applyAlignment="1" pivotButton="0" quotePrefix="0" xfId="0">
      <alignment horizontal="center"/>
    </xf>
    <xf numFmtId="0" fontId="5" fillId="0" borderId="27" pivotButton="0" quotePrefix="0" xfId="1"/>
    <xf numFmtId="0" fontId="3" fillId="2" borderId="22" applyAlignment="1" pivotButton="0" quotePrefix="0" xfId="0">
      <alignment horizontal="center"/>
    </xf>
    <xf numFmtId="0" fontId="3" fillId="2" borderId="27" applyAlignment="1" applyProtection="1" pivotButton="0" quotePrefix="0" xfId="0">
      <alignment horizontal="center"/>
      <protection locked="0" hidden="0"/>
    </xf>
    <xf numFmtId="0" fontId="3" fillId="2" borderId="27" applyAlignment="1" pivotButton="0" quotePrefix="0" xfId="0">
      <alignment horizontal="center"/>
    </xf>
    <xf numFmtId="0" fontId="3" fillId="2" borderId="30" applyAlignment="1" pivotButton="0" quotePrefix="0" xfId="0">
      <alignment horizontal="center"/>
    </xf>
    <xf numFmtId="0" fontId="1" fillId="2" borderId="6" applyAlignment="1" pivotButton="0" quotePrefix="0" xfId="0">
      <alignment horizontal="center"/>
    </xf>
    <xf numFmtId="0" fontId="3" fillId="0" borderId="23" applyAlignment="1" pivotButton="0" quotePrefix="0" xfId="0">
      <alignment horizontal="center"/>
    </xf>
    <xf numFmtId="0" fontId="1" fillId="0" borderId="6" applyAlignment="1" pivotButton="0" quotePrefix="0" xfId="0">
      <alignment horizontal="center"/>
    </xf>
    <xf numFmtId="0" fontId="3" fillId="0" borderId="22" applyAlignment="1" pivotButton="0" quotePrefix="0" xfId="0">
      <alignment horizontal="center"/>
    </xf>
    <xf numFmtId="0" fontId="1" fillId="0" borderId="0" applyAlignment="1" pivotButton="0" quotePrefix="0" xfId="0">
      <alignment horizontal="left"/>
    </xf>
    <xf numFmtId="0" fontId="3" fillId="0" borderId="0" applyAlignment="1" pivotButton="0" quotePrefix="0" xfId="0">
      <alignment horizontal="center"/>
    </xf>
    <xf numFmtId="4" fontId="3" fillId="0" borderId="0" applyAlignment="1" pivotButton="0" quotePrefix="0" xfId="0">
      <alignment horizontal="center"/>
    </xf>
    <xf numFmtId="0" fontId="3" fillId="2" borderId="23" applyAlignment="1" pivotButton="0" quotePrefix="0" xfId="0">
      <alignment horizontal="center"/>
    </xf>
    <xf numFmtId="0" fontId="3" fillId="2" borderId="27" applyAlignment="1" pivotButton="0" quotePrefix="0" xfId="0">
      <alignment horizontal="left"/>
    </xf>
    <xf numFmtId="4" fontId="3" fillId="2" borderId="27" applyAlignment="1" pivotButton="0" quotePrefix="0" xfId="0">
      <alignment horizontal="center"/>
    </xf>
    <xf numFmtId="0" fontId="3" fillId="0" borderId="45" applyAlignment="1" pivotButton="0" quotePrefix="0" xfId="0">
      <alignment horizontal="center"/>
    </xf>
    <xf numFmtId="0" fontId="3" fillId="0" borderId="45" applyAlignment="1" pivotButton="0" quotePrefix="0" xfId="0">
      <alignment horizontal="left"/>
    </xf>
    <xf numFmtId="4" fontId="3" fillId="0" borderId="45" applyAlignment="1" pivotButton="0" quotePrefix="0" xfId="0">
      <alignment horizontal="center"/>
    </xf>
    <xf numFmtId="0" fontId="3" fillId="0" borderId="27" applyAlignment="1" pivotButton="0" quotePrefix="0" xfId="0">
      <alignment horizontal="left"/>
    </xf>
    <xf numFmtId="4" fontId="3" fillId="0" borderId="27" applyAlignment="1" pivotButton="0" quotePrefix="0" xfId="0">
      <alignment horizontal="center"/>
    </xf>
    <xf numFmtId="0" fontId="5" fillId="2" borderId="45" applyAlignment="1" pivotButton="0" quotePrefix="0" xfId="1">
      <alignment horizontal="center"/>
    </xf>
    <xf numFmtId="0" fontId="5" fillId="2" borderId="45" pivotButton="0" quotePrefix="0" xfId="1"/>
    <xf numFmtId="0" fontId="5" fillId="2" borderId="27" applyAlignment="1" pivotButton="0" quotePrefix="0" xfId="1">
      <alignment horizontal="center"/>
    </xf>
    <xf numFmtId="0" fontId="5" fillId="2" borderId="27" pivotButton="0" quotePrefix="0" xfId="1"/>
    <xf numFmtId="4" fontId="5" fillId="2" borderId="27" applyAlignment="1" pivotButton="0" quotePrefix="0" xfId="1">
      <alignment horizontal="center"/>
    </xf>
    <xf numFmtId="0" fontId="5" fillId="2" borderId="27" applyProtection="1" pivotButton="0" quotePrefix="0" xfId="1">
      <protection locked="0" hidden="0"/>
    </xf>
    <xf numFmtId="0" fontId="5" fillId="2" borderId="27" applyAlignment="1" applyProtection="1" pivotButton="0" quotePrefix="0" xfId="1">
      <alignment horizontal="center"/>
      <protection locked="0" hidden="0"/>
    </xf>
    <xf numFmtId="4" fontId="5" fillId="2" borderId="27" applyAlignment="1" applyProtection="1" pivotButton="0" quotePrefix="0" xfId="1">
      <alignment horizontal="center"/>
      <protection locked="0" hidden="0"/>
    </xf>
    <xf numFmtId="0" fontId="5" fillId="0" borderId="27" applyAlignment="1" pivotButton="0" quotePrefix="0" xfId="0">
      <alignment horizontal="center"/>
    </xf>
    <xf numFmtId="4" fontId="5" fillId="0" borderId="27" applyAlignment="1" pivotButton="0" quotePrefix="0" xfId="1">
      <alignment horizontal="center"/>
    </xf>
    <xf numFmtId="0" fontId="5" fillId="0" borderId="27" pivotButton="0" quotePrefix="0" xfId="3"/>
    <xf numFmtId="0" fontId="5" fillId="0" borderId="27" applyAlignment="1" pivotButton="0" quotePrefix="0" xfId="3">
      <alignment vertical="center"/>
    </xf>
    <xf numFmtId="0" fontId="5" fillId="0" borderId="27" applyAlignment="1" pivotButton="0" quotePrefix="0" xfId="1">
      <alignment horizontal="center"/>
    </xf>
    <xf numFmtId="0" fontId="5" fillId="0" borderId="27" applyProtection="1" pivotButton="0" quotePrefix="0" xfId="1">
      <protection locked="0" hidden="0"/>
    </xf>
    <xf numFmtId="0" fontId="5" fillId="0" borderId="27" applyAlignment="1" applyProtection="1" pivotButton="0" quotePrefix="0" xfId="1">
      <alignment horizontal="center"/>
      <protection locked="0" hidden="0"/>
    </xf>
    <xf numFmtId="4" fontId="5" fillId="0" borderId="27" applyAlignment="1" applyProtection="1" pivotButton="0" quotePrefix="0" xfId="1">
      <alignment horizontal="center"/>
      <protection locked="0" hidden="0"/>
    </xf>
    <xf numFmtId="0" fontId="5" fillId="2" borderId="27" applyAlignment="1" pivotButton="0" quotePrefix="0" xfId="1">
      <alignment vertical="center"/>
    </xf>
    <xf numFmtId="4" fontId="5" fillId="2" borderId="27" applyAlignment="1" pivotButton="0" quotePrefix="0" xfId="4">
      <alignment horizontal="center"/>
    </xf>
    <xf numFmtId="0" fontId="5" fillId="0" borderId="45" applyAlignment="1" pivotButton="0" quotePrefix="0" xfId="1">
      <alignment horizontal="center"/>
    </xf>
    <xf numFmtId="0" fontId="5" fillId="0" borderId="45" applyAlignment="1" pivotButton="0" quotePrefix="0" xfId="1">
      <alignment vertical="center"/>
    </xf>
    <xf numFmtId="0" fontId="5" fillId="0" borderId="27" applyAlignment="1" pivotButton="0" quotePrefix="0" xfId="1">
      <alignment vertical="center"/>
    </xf>
    <xf numFmtId="0" fontId="1" fillId="2" borderId="16" applyAlignment="1" pivotButton="0" quotePrefix="0" xfId="0">
      <alignment horizontal="center"/>
    </xf>
    <xf numFmtId="4" fontId="1" fillId="2" borderId="6" applyAlignment="1" pivotButton="0" quotePrefix="0" xfId="0">
      <alignment horizontal="center"/>
    </xf>
    <xf numFmtId="0" fontId="3" fillId="2" borderId="16" applyAlignment="1" pivotButton="0" quotePrefix="0" xfId="0">
      <alignment horizontal="center"/>
    </xf>
    <xf numFmtId="0" fontId="3" fillId="2" borderId="27" pivotButton="0" quotePrefix="0" xfId="0"/>
    <xf numFmtId="0" fontId="3" fillId="0" borderId="0" applyAlignment="1" applyProtection="1" pivotButton="0" quotePrefix="0" xfId="0">
      <alignment horizontal="center"/>
      <protection locked="0" hidden="0"/>
    </xf>
    <xf numFmtId="0" fontId="1" fillId="0" borderId="0" applyAlignment="1" applyProtection="1" pivotButton="0" quotePrefix="0" xfId="0">
      <alignment horizontal="center"/>
      <protection locked="0" hidden="0"/>
    </xf>
    <xf numFmtId="0" fontId="3" fillId="0" borderId="0" pivotButton="0" quotePrefix="0" xfId="0"/>
    <xf numFmtId="0" fontId="3" fillId="0" borderId="37"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0" fontId="3" fillId="0" borderId="45" applyAlignment="1" applyProtection="1" pivotButton="0" quotePrefix="0" xfId="0">
      <alignment horizontal="center"/>
      <protection locked="0" hidden="0"/>
    </xf>
    <xf numFmtId="0" fontId="3" fillId="0" borderId="27" applyAlignment="1" applyProtection="1" pivotButton="0" quotePrefix="0" xfId="0">
      <alignment horizontal="center"/>
      <protection locked="0" hidden="0"/>
    </xf>
    <xf numFmtId="0" fontId="3" fillId="2" borderId="45" applyAlignment="1" applyProtection="1" pivotButton="0" quotePrefix="0" xfId="0">
      <alignment horizontal="center"/>
      <protection locked="0" hidden="0"/>
    </xf>
    <xf numFmtId="0" fontId="3" fillId="0" borderId="30" applyAlignment="1" applyProtection="1" pivotButton="0" quotePrefix="0" xfId="0">
      <alignment horizontal="center"/>
      <protection locked="0" hidden="0"/>
    </xf>
    <xf numFmtId="0" fontId="1" fillId="0" borderId="0" pivotButton="0" quotePrefix="0" xfId="0"/>
    <xf numFmtId="0" fontId="0" fillId="0" borderId="0" applyProtection="1" pivotButton="0" quotePrefix="0" xfId="0">
      <protection locked="0" hidden="0"/>
    </xf>
    <xf numFmtId="164" fontId="1" fillId="2" borderId="7" applyAlignment="1" pivotButton="0" quotePrefix="0" xfId="0">
      <alignment horizontal="center"/>
    </xf>
    <xf numFmtId="164" fontId="3" fillId="2" borderId="24" applyAlignment="1" pivotButton="0" quotePrefix="0" xfId="0">
      <alignment horizontal="center"/>
    </xf>
    <xf numFmtId="164" fontId="3" fillId="2" borderId="28" applyAlignment="1" pivotButton="0" quotePrefix="0" xfId="0">
      <alignment horizontal="center"/>
    </xf>
    <xf numFmtId="164" fontId="1" fillId="2" borderId="11" applyAlignment="1" pivotButton="0" quotePrefix="0" xfId="0">
      <alignment horizontal="center"/>
    </xf>
    <xf numFmtId="164" fontId="1" fillId="0" borderId="7" applyAlignment="1" pivotButton="0" quotePrefix="0" xfId="0">
      <alignment horizontal="center"/>
    </xf>
    <xf numFmtId="164" fontId="3" fillId="0" borderId="24" applyAlignment="1" pivotButton="0" quotePrefix="0" xfId="0">
      <alignment horizontal="center"/>
    </xf>
    <xf numFmtId="164" fontId="3" fillId="2" borderId="46" applyAlignment="1" pivotButton="0" quotePrefix="0" xfId="0">
      <alignment horizontal="center"/>
    </xf>
    <xf numFmtId="0" fontId="3" fillId="2" borderId="54" applyAlignment="1" pivotButton="0" quotePrefix="0" xfId="0">
      <alignment horizontal="center"/>
    </xf>
    <xf numFmtId="0" fontId="3" fillId="2" borderId="30" pivotButton="0" quotePrefix="0" xfId="0"/>
    <xf numFmtId="0" fontId="3" fillId="2" borderId="44" applyAlignment="1" pivotButton="0" quotePrefix="0" xfId="0">
      <alignment horizontal="center"/>
    </xf>
    <xf numFmtId="0" fontId="0" fillId="0" borderId="0" applyAlignment="1" applyProtection="1" pivotButton="0" quotePrefix="0" xfId="0">
      <alignment horizontal="left"/>
      <protection locked="0" hidden="0"/>
    </xf>
    <xf numFmtId="0" fontId="11" fillId="0" borderId="0" applyProtection="1" pivotButton="0" quotePrefix="0" xfId="0">
      <protection locked="0" hidden="0"/>
    </xf>
    <xf numFmtId="0" fontId="3" fillId="2" borderId="27" applyAlignment="1" pivotButton="0" quotePrefix="0" xfId="0">
      <alignment horizontal="left" wrapText="1"/>
    </xf>
    <xf numFmtId="0" fontId="3" fillId="2" borderId="23" applyAlignment="1" pivotButton="0" quotePrefix="0" xfId="0">
      <alignment horizontal="center" vertical="center"/>
    </xf>
    <xf numFmtId="0" fontId="3" fillId="2" borderId="27" applyAlignment="1" applyProtection="1" pivotButton="0" quotePrefix="0" xfId="0">
      <alignment horizontal="center" vertical="center"/>
      <protection locked="0" hidden="0"/>
    </xf>
    <xf numFmtId="4" fontId="3" fillId="2" borderId="27" applyAlignment="1" pivotButton="0" quotePrefix="0" xfId="0">
      <alignment horizontal="center" vertical="center"/>
    </xf>
    <xf numFmtId="164" fontId="3" fillId="0" borderId="46" applyAlignment="1" pivotButton="0" quotePrefix="0" xfId="0">
      <alignment horizontal="center"/>
    </xf>
    <xf numFmtId="164" fontId="3" fillId="2" borderId="24" applyAlignment="1" pivotButton="0" quotePrefix="0" xfId="0">
      <alignment horizontal="center" vertical="center"/>
    </xf>
    <xf numFmtId="0" fontId="5" fillId="2" borderId="27" applyAlignment="1" applyProtection="1" pivotButton="0" quotePrefix="0" xfId="0">
      <alignment horizontal="center"/>
      <protection locked="0" hidden="0"/>
    </xf>
    <xf numFmtId="0" fontId="12" fillId="0" borderId="0" applyAlignment="1" pivotButton="0" quotePrefix="0" xfId="0">
      <alignment horizontal="center"/>
    </xf>
    <xf numFmtId="165" fontId="12" fillId="0" borderId="0" applyAlignment="1" pivotButton="0" quotePrefix="0" xfId="0">
      <alignment horizontal="right"/>
    </xf>
    <xf numFmtId="0" fontId="3" fillId="0" borderId="30" applyAlignment="1" pivotButton="0" quotePrefix="0" xfId="0">
      <alignment horizontal="center"/>
    </xf>
    <xf numFmtId="0" fontId="3" fillId="0" borderId="30" applyAlignment="1" pivotButton="0" quotePrefix="0" xfId="0">
      <alignment horizontal="left"/>
    </xf>
    <xf numFmtId="2" fontId="3" fillId="0" borderId="30" applyAlignment="1" pivotButton="0" quotePrefix="0" xfId="0">
      <alignment horizontal="center"/>
    </xf>
    <xf numFmtId="2" fontId="3" fillId="0" borderId="45" applyAlignment="1" pivotButton="0" quotePrefix="0" xfId="0">
      <alignment horizontal="center"/>
    </xf>
    <xf numFmtId="164" fontId="1" fillId="2" borderId="3" applyAlignment="1" pivotButton="0" quotePrefix="0" xfId="0">
      <alignment horizontal="center"/>
    </xf>
    <xf numFmtId="164" fontId="3" fillId="0" borderId="28" applyAlignment="1" pivotButton="0" quotePrefix="0" xfId="0">
      <alignment horizontal="center"/>
    </xf>
    <xf numFmtId="0" fontId="3" fillId="2" borderId="45" applyAlignment="1" pivotButton="0" quotePrefix="0" xfId="0">
      <alignment horizontal="center"/>
    </xf>
    <xf numFmtId="0" fontId="3" fillId="2" borderId="45" pivotButton="0" quotePrefix="0" xfId="0"/>
    <xf numFmtId="4" fontId="3" fillId="2" borderId="45" applyAlignment="1" pivotButton="0" quotePrefix="0" xfId="0">
      <alignment horizontal="center"/>
    </xf>
    <xf numFmtId="0" fontId="3" fillId="0" borderId="54" applyAlignment="1" pivotButton="0" quotePrefix="0" xfId="0">
      <alignment horizontal="center"/>
    </xf>
    <xf numFmtId="0" fontId="1" fillId="0" borderId="16" applyAlignment="1" pivotButton="0" quotePrefix="0" xfId="0">
      <alignment horizontal="center"/>
    </xf>
    <xf numFmtId="0" fontId="1" fillId="4" borderId="1" applyAlignment="1" pivotButton="0" quotePrefix="0" xfId="0">
      <alignment horizontal="center"/>
    </xf>
    <xf numFmtId="0" fontId="1" fillId="4" borderId="2" applyAlignment="1" pivotButton="0" quotePrefix="0" xfId="0">
      <alignment horizontal="center"/>
    </xf>
    <xf numFmtId="0" fontId="1" fillId="4" borderId="1" applyAlignment="1" pivotButton="0" quotePrefix="0" xfId="0">
      <alignment horizontal="left"/>
    </xf>
    <xf numFmtId="0" fontId="3" fillId="2" borderId="1" applyAlignment="1" pivotButton="0" quotePrefix="0" xfId="0">
      <alignment horizontal="center"/>
    </xf>
    <xf numFmtId="0" fontId="13" fillId="2" borderId="1" applyAlignment="1" pivotButton="0" quotePrefix="0" xfId="0">
      <alignment horizontal="left"/>
    </xf>
    <xf numFmtId="164" fontId="1" fillId="4" borderId="3" applyAlignment="1" pivotButton="0" quotePrefix="0" xfId="0">
      <alignment horizontal="center"/>
    </xf>
    <xf numFmtId="164" fontId="3" fillId="2" borderId="48" applyAlignment="1" pivotButton="0" quotePrefix="0" xfId="0">
      <alignment horizontal="center"/>
    </xf>
    <xf numFmtId="0" fontId="3" fillId="2" borderId="2" applyAlignment="1" pivotButton="0" quotePrefix="0" xfId="0">
      <alignment horizontal="center"/>
    </xf>
    <xf numFmtId="0" fontId="3" fillId="2" borderId="13" applyAlignment="1" pivotButton="0" quotePrefix="0" xfId="0">
      <alignment horizontal="center"/>
    </xf>
    <xf numFmtId="0" fontId="1" fillId="2" borderId="31" applyAlignment="1" pivotButton="0" quotePrefix="0" xfId="0">
      <alignment horizontal="center"/>
    </xf>
    <xf numFmtId="0" fontId="1" fillId="2" borderId="13" applyAlignment="1" pivotButton="0" quotePrefix="0" xfId="0">
      <alignment horizontal="center"/>
    </xf>
    <xf numFmtId="0" fontId="3" fillId="0" borderId="1" applyAlignment="1" pivotButton="0" quotePrefix="0" xfId="0">
      <alignment horizontal="center"/>
    </xf>
    <xf numFmtId="164" fontId="1" fillId="2" borderId="14" applyAlignment="1" pivotButton="0" quotePrefix="0" xfId="0">
      <alignment horizontal="center"/>
    </xf>
    <xf numFmtId="0" fontId="3" fillId="2" borderId="42" applyAlignment="1" pivotButton="0" quotePrefix="0" xfId="0">
      <alignment horizontal="center"/>
    </xf>
    <xf numFmtId="0" fontId="1" fillId="4" borderId="31" applyAlignment="1" pivotButton="0" quotePrefix="0" xfId="0">
      <alignment horizontal="center"/>
    </xf>
    <xf numFmtId="164" fontId="1" fillId="4" borderId="32" applyAlignment="1" pivotButton="0" quotePrefix="0" xfId="0">
      <alignment horizontal="center"/>
    </xf>
    <xf numFmtId="0" fontId="3" fillId="2" borderId="42" applyAlignment="1" pivotButton="0" quotePrefix="0" xfId="0">
      <alignment horizontal="left"/>
    </xf>
    <xf numFmtId="0" fontId="3" fillId="2" borderId="30" applyAlignment="1" applyProtection="1" pivotButton="0" quotePrefix="0" xfId="0">
      <alignment horizontal="center"/>
      <protection locked="0" hidden="0"/>
    </xf>
    <xf numFmtId="4" fontId="3" fillId="2" borderId="30" applyAlignment="1" pivotButton="0" quotePrefix="0" xfId="0">
      <alignment horizontal="center"/>
    </xf>
    <xf numFmtId="0" fontId="0" fillId="0" borderId="0" applyAlignment="1" applyProtection="1" pivotButton="0" quotePrefix="0" xfId="0">
      <alignment horizontal="center"/>
      <protection locked="0" hidden="0"/>
    </xf>
    <xf numFmtId="0" fontId="3" fillId="0" borderId="16" applyAlignment="1" pivotButton="0" quotePrefix="0" xfId="0">
      <alignment horizontal="center"/>
    </xf>
    <xf numFmtId="0" fontId="3" fillId="0" borderId="6" applyAlignment="1" applyProtection="1" pivotButton="0" quotePrefix="0" xfId="0">
      <alignment horizontal="center"/>
      <protection locked="0" hidden="0"/>
    </xf>
    <xf numFmtId="0" fontId="3" fillId="0" borderId="6" applyAlignment="1" pivotButton="0" quotePrefix="0" xfId="0">
      <alignment horizontal="center"/>
    </xf>
    <xf numFmtId="0" fontId="3" fillId="0" borderId="6" applyAlignment="1" pivotButton="0" quotePrefix="0" xfId="0">
      <alignment horizontal="left"/>
    </xf>
    <xf numFmtId="2" fontId="3" fillId="0" borderId="6" applyAlignment="1" pivotButton="0" quotePrefix="0" xfId="0">
      <alignment horizontal="center"/>
    </xf>
    <xf numFmtId="164" fontId="3" fillId="0" borderId="7" applyAlignment="1" pivotButton="0" quotePrefix="0" xfId="0">
      <alignment horizontal="center"/>
    </xf>
    <xf numFmtId="164" fontId="3" fillId="4" borderId="3" applyAlignment="1" pivotButton="0" quotePrefix="0" xfId="0">
      <alignment horizontal="center"/>
    </xf>
    <xf numFmtId="0" fontId="1" fillId="2" borderId="41" applyAlignment="1" pivotButton="0" quotePrefix="0" xfId="0">
      <alignment horizontal="center"/>
    </xf>
    <xf numFmtId="4" fontId="1" fillId="2" borderId="13" applyAlignment="1" pivotButton="0" quotePrefix="0" xfId="0">
      <alignment horizontal="center"/>
    </xf>
    <xf numFmtId="4" fontId="1" fillId="4" borderId="2" applyAlignment="1" pivotButton="0" quotePrefix="0" xfId="0">
      <alignment horizontal="center"/>
    </xf>
    <xf numFmtId="0" fontId="3" fillId="4" borderId="31" applyAlignment="1" pivotButton="0" quotePrefix="0" xfId="0">
      <alignment horizontal="center"/>
    </xf>
    <xf numFmtId="0" fontId="1" fillId="0" borderId="1" applyAlignment="1" pivotButton="0" quotePrefix="0" xfId="0">
      <alignment horizontal="center"/>
    </xf>
    <xf numFmtId="0" fontId="1" fillId="0" borderId="2" applyAlignment="1" pivotButton="0" quotePrefix="0" xfId="0">
      <alignment horizontal="center"/>
    </xf>
    <xf numFmtId="0" fontId="1" fillId="4" borderId="15" applyAlignment="1" pivotButton="0" quotePrefix="0" xfId="0">
      <alignment horizontal="center"/>
    </xf>
    <xf numFmtId="0" fontId="1" fillId="4" borderId="13" applyAlignment="1" pivotButton="0" quotePrefix="0" xfId="0">
      <alignment horizontal="center"/>
    </xf>
    <xf numFmtId="4" fontId="1" fillId="2" borderId="5" applyAlignment="1" pivotButton="0" quotePrefix="0" xfId="0">
      <alignment horizontal="center"/>
    </xf>
    <xf numFmtId="0" fontId="1" fillId="2" borderId="15" applyAlignment="1" pivotButton="0" quotePrefix="0" xfId="0">
      <alignment horizontal="center"/>
    </xf>
    <xf numFmtId="0" fontId="1" fillId="2" borderId="32" applyAlignment="1" pivotButton="0" quotePrefix="0" xfId="0">
      <alignment horizontal="center"/>
    </xf>
    <xf numFmtId="4" fontId="1" fillId="4" borderId="13" applyAlignment="1" pivotButton="0" quotePrefix="0" xfId="0">
      <alignment horizontal="center"/>
    </xf>
    <xf numFmtId="164" fontId="1" fillId="4" borderId="14" applyAlignment="1" pivotButton="0" quotePrefix="0" xfId="0">
      <alignment horizontal="center"/>
    </xf>
    <xf numFmtId="0" fontId="3" fillId="2" borderId="6" applyAlignment="1" pivotButton="0" quotePrefix="0" xfId="0">
      <alignment horizontal="center"/>
    </xf>
    <xf numFmtId="164" fontId="1" fillId="4" borderId="7" applyAlignment="1" pivotButton="0" quotePrefix="0" xfId="0">
      <alignment horizontal="center"/>
    </xf>
    <xf numFmtId="0" fontId="3" fillId="4" borderId="15" applyAlignment="1" pivotButton="0" quotePrefix="0" xfId="0">
      <alignment horizontal="center"/>
    </xf>
    <xf numFmtId="4" fontId="1" fillId="2" borderId="9" applyAlignment="1" pivotButton="0" quotePrefix="0" xfId="0">
      <alignment horizontal="center"/>
    </xf>
    <xf numFmtId="0" fontId="2" fillId="0" borderId="6" applyAlignment="1" pivotButton="0" quotePrefix="0" xfId="1">
      <alignment horizontal="center"/>
    </xf>
    <xf numFmtId="4" fontId="1" fillId="0" borderId="6" applyAlignment="1" pivotButton="0" quotePrefix="0" xfId="0">
      <alignment horizontal="center"/>
    </xf>
    <xf numFmtId="0" fontId="2" fillId="2" borderId="13" applyAlignment="1" pivotButton="0" quotePrefix="0" xfId="1">
      <alignment horizontal="center"/>
    </xf>
    <xf numFmtId="0" fontId="2" fillId="4" borderId="2" applyAlignment="1" pivotButton="0" quotePrefix="0" xfId="1">
      <alignment horizontal="center"/>
    </xf>
    <xf numFmtId="0" fontId="5" fillId="2" borderId="30" applyAlignment="1" pivotButton="0" quotePrefix="0" xfId="1">
      <alignment horizontal="center"/>
    </xf>
    <xf numFmtId="0" fontId="5" fillId="2" borderId="30" pivotButton="0" quotePrefix="0" xfId="1"/>
    <xf numFmtId="0" fontId="2" fillId="4" borderId="13" applyAlignment="1" pivotButton="0" quotePrefix="0" xfId="1">
      <alignment horizontal="center"/>
    </xf>
    <xf numFmtId="0" fontId="5" fillId="2" borderId="45" applyAlignment="1" pivotButton="0" quotePrefix="0" xfId="1">
      <alignment vertical="center"/>
    </xf>
    <xf numFmtId="0" fontId="3" fillId="4" borderId="13" applyAlignment="1" pivotButton="0" quotePrefix="0" xfId="0">
      <alignment horizontal="center"/>
    </xf>
    <xf numFmtId="0" fontId="3" fillId="2" borderId="45" applyAlignment="1" pivotButton="0" quotePrefix="0" xfId="0">
      <alignment horizontal="left"/>
    </xf>
    <xf numFmtId="4" fontId="1" fillId="2" borderId="7" applyAlignment="1" pivotButton="0" quotePrefix="0" xfId="0">
      <alignment horizontal="center"/>
    </xf>
    <xf numFmtId="4" fontId="3" fillId="0" borderId="27" applyAlignment="1" applyProtection="1" pivotButton="0" quotePrefix="0" xfId="0">
      <alignment horizontal="center"/>
      <protection locked="0" hidden="0"/>
    </xf>
    <xf numFmtId="0" fontId="3" fillId="0" borderId="2" applyAlignment="1" pivotButton="0" quotePrefix="0" xfId="0">
      <alignment horizontal="center"/>
    </xf>
    <xf numFmtId="0" fontId="1" fillId="0" borderId="3" applyAlignment="1" pivotButton="0" quotePrefix="0" xfId="0">
      <alignment horizontal="center"/>
    </xf>
    <xf numFmtId="4" fontId="1" fillId="0" borderId="5" applyAlignment="1" pivotButton="0" quotePrefix="0" xfId="0">
      <alignment horizontal="center"/>
    </xf>
    <xf numFmtId="0" fontId="1" fillId="2" borderId="1" applyAlignment="1" pivotButton="0" quotePrefix="0" xfId="0">
      <alignment horizontal="left"/>
    </xf>
    <xf numFmtId="4" fontId="1" fillId="4" borderId="3" applyAlignment="1" pivotButton="0" quotePrefix="0" xfId="0">
      <alignment horizontal="center"/>
    </xf>
    <xf numFmtId="0" fontId="13" fillId="4" borderId="1" applyAlignment="1" pivotButton="0" quotePrefix="0" xfId="0">
      <alignment horizontal="left"/>
    </xf>
    <xf numFmtId="4" fontId="1" fillId="4" borderId="31" applyAlignment="1" pivotButton="0" quotePrefix="0" xfId="0">
      <alignment horizontal="center"/>
    </xf>
    <xf numFmtId="4" fontId="1" fillId="2" borderId="2" pivotButton="0" quotePrefix="0" xfId="0"/>
    <xf numFmtId="4" fontId="1" fillId="2" borderId="1" pivotButton="0" quotePrefix="0" xfId="0"/>
    <xf numFmtId="4" fontId="1" fillId="2" borderId="3" pivotButton="0" quotePrefix="0" xfId="0"/>
    <xf numFmtId="164" fontId="3" fillId="2" borderId="45" pivotButton="0" quotePrefix="0" xfId="0"/>
    <xf numFmtId="0" fontId="1" fillId="0" borderId="0" applyProtection="1" pivotButton="0" quotePrefix="0" xfId="0">
      <protection locked="0" hidden="0"/>
    </xf>
    <xf numFmtId="164" fontId="1" fillId="0" borderId="0" applyAlignment="1" applyProtection="1" pivotButton="0" quotePrefix="0" xfId="0">
      <alignment horizontal="center"/>
      <protection locked="0" hidden="0"/>
    </xf>
    <xf numFmtId="0" fontId="1" fillId="2" borderId="8" applyAlignment="1" pivotButton="0" quotePrefix="0" xfId="0">
      <alignment horizontal="center"/>
    </xf>
    <xf numFmtId="0" fontId="15" fillId="0" borderId="0" pivotButton="0" quotePrefix="0" xfId="0"/>
    <xf numFmtId="49" fontId="15" fillId="0" borderId="4" pivotButton="0" quotePrefix="0" xfId="0"/>
    <xf numFmtId="49" fontId="15" fillId="0" borderId="8" pivotButton="0" quotePrefix="0" xfId="0"/>
    <xf numFmtId="0" fontId="15" fillId="0" borderId="8" pivotButton="0" quotePrefix="0" xfId="0"/>
    <xf numFmtId="0" fontId="15" fillId="0" borderId="8" applyAlignment="1" pivotButton="0" quotePrefix="0" xfId="0">
      <alignment horizontal="left"/>
    </xf>
    <xf numFmtId="0" fontId="15" fillId="0" borderId="1" pivotButton="0" quotePrefix="0" xfId="0"/>
    <xf numFmtId="0" fontId="15" fillId="0" borderId="13" pivotButton="0" quotePrefix="0" xfId="0"/>
    <xf numFmtId="0" fontId="15" fillId="0" borderId="14" pivotButton="0" quotePrefix="0" xfId="0"/>
    <xf numFmtId="0" fontId="15" fillId="0" borderId="15" pivotButton="0" quotePrefix="0" xfId="0"/>
    <xf numFmtId="0" fontId="15" fillId="0" borderId="16" applyAlignment="1" pivotButton="0" quotePrefix="0" xfId="0">
      <alignment horizontal="center"/>
    </xf>
    <xf numFmtId="0" fontId="15" fillId="0" borderId="7" applyAlignment="1" pivotButton="0" quotePrefix="0" xfId="0">
      <alignment horizontal="center"/>
    </xf>
    <xf numFmtId="49" fontId="15" fillId="0" borderId="17" pivotButton="0" quotePrefix="0" xfId="0"/>
    <xf numFmtId="0" fontId="15" fillId="0" borderId="17" pivotButton="0" quotePrefix="0" xfId="0"/>
    <xf numFmtId="0" fontId="15" fillId="0" borderId="23" pivotButton="0" quotePrefix="0" xfId="0"/>
    <xf numFmtId="0" fontId="15" fillId="0" borderId="23" applyAlignment="1" pivotButton="0" quotePrefix="0" xfId="0">
      <alignment horizontal="left"/>
    </xf>
    <xf numFmtId="0" fontId="15" fillId="0" borderId="29" pivotButton="0" quotePrefix="0" xfId="0"/>
    <xf numFmtId="0" fontId="15" fillId="0" borderId="33" pivotButton="0" quotePrefix="0" xfId="0"/>
    <xf numFmtId="0" fontId="15" fillId="0" borderId="36" pivotButton="0" quotePrefix="0" xfId="0"/>
    <xf numFmtId="0" fontId="15" fillId="0" borderId="17" applyAlignment="1" pivotButton="0" quotePrefix="0" xfId="0">
      <alignment vertical="top"/>
    </xf>
    <xf numFmtId="0" fontId="14" fillId="0" borderId="8" pivotButton="0" quotePrefix="0" xfId="0"/>
    <xf numFmtId="164" fontId="14" fillId="0" borderId="8" pivotButton="0" quotePrefix="0" xfId="0"/>
    <xf numFmtId="0" fontId="15" fillId="0" borderId="23" applyAlignment="1" pivotButton="0" quotePrefix="0" xfId="0">
      <alignment vertical="top"/>
    </xf>
    <xf numFmtId="0" fontId="14" fillId="0" borderId="8" applyAlignment="1" pivotButton="0" quotePrefix="0" xfId="0">
      <alignment horizontal="center" vertical="top" wrapText="1"/>
    </xf>
    <xf numFmtId="0" fontId="15" fillId="0" borderId="1" applyAlignment="1" pivotButton="0" quotePrefix="0" xfId="0">
      <alignment horizontal="left"/>
    </xf>
    <xf numFmtId="0" fontId="15" fillId="0" borderId="0" applyProtection="1" pivotButton="0" quotePrefix="0" xfId="0">
      <protection locked="0" hidden="0"/>
    </xf>
    <xf numFmtId="0" fontId="3" fillId="4" borderId="2" applyAlignment="1" pivotButton="0" quotePrefix="0" xfId="0">
      <alignment horizontal="center"/>
    </xf>
    <xf numFmtId="0" fontId="3" fillId="2" borderId="31" applyAlignment="1" pivotButton="0" quotePrefix="0" xfId="0">
      <alignment horizontal="center"/>
    </xf>
    <xf numFmtId="0" fontId="1" fillId="0" borderId="27" applyAlignment="1" pivotButton="0" quotePrefix="0" xfId="0">
      <alignment horizontal="left"/>
    </xf>
    <xf numFmtId="0" fontId="1" fillId="0" borderId="30" applyAlignment="1" pivotButton="0" quotePrefix="0" xfId="0">
      <alignment horizontal="left"/>
    </xf>
    <xf numFmtId="0" fontId="15" fillId="0" borderId="8" applyAlignment="1" pivotButton="0" quotePrefix="0" xfId="0">
      <alignment shrinkToFit="1"/>
    </xf>
    <xf numFmtId="0" fontId="0" fillId="0"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xf>
    <xf numFmtId="0" fontId="0" fillId="0" borderId="0" applyAlignment="1" pivotButton="0" quotePrefix="0" xfId="0">
      <alignment horizontal="center" vertical="center" wrapText="1"/>
    </xf>
    <xf numFmtId="0" fontId="12" fillId="0" borderId="42" applyAlignment="1" pivotButton="0" quotePrefix="0" xfId="0">
      <alignment horizontal="center"/>
    </xf>
    <xf numFmtId="165" fontId="3" fillId="2" borderId="45" applyAlignment="1" applyProtection="1" pivotButton="0" quotePrefix="0" xfId="2">
      <alignment horizontal="center"/>
      <protection locked="0" hidden="0"/>
    </xf>
    <xf numFmtId="0" fontId="5" fillId="0" borderId="45" applyAlignment="1" pivotButton="0" quotePrefix="0" xfId="0">
      <alignment horizontal="center"/>
    </xf>
    <xf numFmtId="0" fontId="5" fillId="0" borderId="45" pivotButton="0" quotePrefix="0" xfId="3"/>
    <xf numFmtId="4" fontId="5" fillId="0" borderId="45" applyAlignment="1" pivotButton="0" quotePrefix="0" xfId="1">
      <alignment horizontal="center"/>
    </xf>
    <xf numFmtId="0" fontId="5" fillId="0" borderId="45" applyAlignment="1" pivotButton="0" quotePrefix="0" xfId="1">
      <alignment horizontal="center" vertical="center"/>
    </xf>
    <xf numFmtId="4" fontId="3" fillId="2" borderId="47" applyAlignment="1" pivotButton="0" quotePrefix="0" xfId="0">
      <alignment horizontal="center"/>
    </xf>
    <xf numFmtId="0" fontId="3" fillId="2" borderId="27" applyAlignment="1" pivotButton="0" quotePrefix="0" xfId="0">
      <alignment horizontal="left" vertical="center"/>
    </xf>
    <xf numFmtId="0" fontId="1" fillId="2" borderId="12" applyAlignment="1" pivotButton="0" quotePrefix="0" xfId="0">
      <alignment horizontal="center"/>
    </xf>
    <xf numFmtId="0" fontId="3" fillId="2" borderId="10" applyAlignment="1" pivotButton="0" quotePrefix="0" xfId="0">
      <alignment horizontal="center"/>
    </xf>
    <xf numFmtId="0" fontId="1" fillId="2" borderId="10" applyAlignment="1" pivotButton="0" quotePrefix="0" xfId="0">
      <alignment horizontal="center"/>
    </xf>
    <xf numFmtId="0" fontId="2" fillId="2" borderId="10" applyAlignment="1" pivotButton="0" quotePrefix="0" xfId="1">
      <alignment horizontal="center"/>
    </xf>
    <xf numFmtId="4" fontId="1" fillId="2" borderId="10" applyAlignment="1" pivotButton="0" quotePrefix="0" xfId="0">
      <alignment horizontal="center"/>
    </xf>
    <xf numFmtId="4" fontId="5" fillId="2" borderId="45" applyAlignment="1" pivotButton="0" quotePrefix="0" xfId="1">
      <alignment horizontal="center"/>
    </xf>
    <xf numFmtId="4" fontId="3" fillId="2" borderId="24" applyAlignment="1" pivotButton="0" quotePrefix="0" xfId="0">
      <alignment horizontal="center"/>
    </xf>
    <xf numFmtId="4" fontId="3" fillId="2" borderId="27" applyAlignment="1" applyProtection="1" pivotButton="0" quotePrefix="0" xfId="0">
      <alignment horizontal="center"/>
      <protection locked="0" hidden="0"/>
    </xf>
    <xf numFmtId="0" fontId="1" fillId="0" borderId="12" applyAlignment="1" pivotButton="0" quotePrefix="0" xfId="0">
      <alignment horizontal="center"/>
    </xf>
    <xf numFmtId="0" fontId="3" fillId="0" borderId="10" applyAlignment="1" pivotButton="0" quotePrefix="0" xfId="0">
      <alignment horizontal="center"/>
    </xf>
    <xf numFmtId="0" fontId="1" fillId="0" borderId="10" applyAlignment="1" pivotButton="0" quotePrefix="0" xfId="0">
      <alignment horizontal="center"/>
    </xf>
    <xf numFmtId="4" fontId="1" fillId="0" borderId="10" applyAlignment="1" pivotButton="0" quotePrefix="0" xfId="0">
      <alignment horizontal="center"/>
    </xf>
    <xf numFmtId="0" fontId="1" fillId="4" borderId="15" applyAlignment="1" pivotButton="0" quotePrefix="0" xfId="0">
      <alignment horizontal="left"/>
    </xf>
    <xf numFmtId="4" fontId="5" fillId="0" borderId="27" applyAlignment="1" pivotButton="0" quotePrefix="0" xfId="5">
      <alignment horizontal="center"/>
    </xf>
    <xf numFmtId="4" fontId="3" fillId="0" borderId="46" applyAlignment="1" pivotButton="0" quotePrefix="0" xfId="0">
      <alignment horizontal="center"/>
    </xf>
    <xf numFmtId="0" fontId="3" fillId="0" borderId="44" applyAlignment="1" pivotButton="0" quotePrefix="0" xfId="0">
      <alignment horizontal="center"/>
    </xf>
    <xf numFmtId="0" fontId="3" fillId="0" borderId="42" pivotButton="0" quotePrefix="0" xfId="0"/>
    <xf numFmtId="0" fontId="5" fillId="0" borderId="42" applyAlignment="1" pivotButton="0" quotePrefix="0" xfId="1">
      <alignment horizontal="center"/>
    </xf>
    <xf numFmtId="0" fontId="5" fillId="0" borderId="42" applyProtection="1" pivotButton="0" quotePrefix="0" xfId="1">
      <protection locked="0" hidden="0"/>
    </xf>
    <xf numFmtId="4" fontId="5" fillId="0" borderId="42" applyAlignment="1" pivotButton="0" quotePrefix="0" xfId="1">
      <alignment horizontal="center"/>
    </xf>
    <xf numFmtId="4" fontId="3" fillId="0" borderId="43" applyAlignment="1" pivotButton="0" quotePrefix="0" xfId="0">
      <alignment horizontal="center"/>
    </xf>
    <xf numFmtId="0" fontId="5" fillId="0" borderId="45" applyAlignment="1" pivotButton="0" quotePrefix="0" xfId="3">
      <alignment vertical="center" wrapText="1"/>
    </xf>
    <xf numFmtId="0" fontId="3" fillId="4" borderId="0" applyAlignment="1" pivotButton="0" quotePrefix="0" xfId="0">
      <alignment horizontal="center"/>
    </xf>
    <xf numFmtId="0" fontId="3" fillId="0" borderId="23" applyAlignment="1" pivotButton="0" quotePrefix="0" xfId="0">
      <alignment horizontal="center" vertical="top"/>
    </xf>
    <xf numFmtId="0" fontId="5" fillId="0" borderId="27" applyAlignment="1" pivotButton="0" quotePrefix="0" xfId="0">
      <alignment horizontal="center" vertical="top"/>
    </xf>
    <xf numFmtId="0" fontId="5" fillId="0" borderId="27" applyAlignment="1" pivotButton="0" quotePrefix="0" xfId="3">
      <alignment vertical="top" wrapText="1"/>
    </xf>
    <xf numFmtId="0" fontId="3" fillId="0" borderId="0" applyAlignment="1" pivotButton="0" quotePrefix="0" xfId="0">
      <alignment vertical="top"/>
    </xf>
    <xf numFmtId="0" fontId="1" fillId="0" borderId="9" applyAlignment="1" pivotButton="0" quotePrefix="0" xfId="0">
      <alignment horizontal="center"/>
    </xf>
    <xf numFmtId="0" fontId="2" fillId="4" borderId="2" applyAlignment="1" pivotButton="0" quotePrefix="0" xfId="1">
      <alignment horizontal="center" vertical="center"/>
    </xf>
    <xf numFmtId="0" fontId="13" fillId="4" borderId="41" applyAlignment="1" pivotButton="0" quotePrefix="0" xfId="0">
      <alignment horizontal="left"/>
    </xf>
    <xf numFmtId="0" fontId="1" fillId="4" borderId="0" applyAlignment="1" pivotButton="0" quotePrefix="0" xfId="0">
      <alignment horizontal="center"/>
    </xf>
    <xf numFmtId="165" fontId="17" fillId="0" borderId="0" applyAlignment="1" pivotButton="0" quotePrefix="0" xfId="0">
      <alignment horizontal="right"/>
    </xf>
    <xf numFmtId="0" fontId="17" fillId="0" borderId="0" applyAlignment="1" pivotButton="0" quotePrefix="0" xfId="0">
      <alignment horizontal="center"/>
    </xf>
    <xf numFmtId="0" fontId="6" fillId="0" borderId="0" pivotButton="0" quotePrefix="0" xfId="0"/>
    <xf numFmtId="1" fontId="18" fillId="0" borderId="0" applyAlignment="1" applyProtection="1" pivotButton="0" quotePrefix="0" xfId="0">
      <alignment horizontal="center"/>
      <protection locked="0" hidden="0"/>
    </xf>
    <xf numFmtId="0" fontId="18" fillId="0" borderId="0" applyAlignment="1" applyProtection="1" pivotButton="0" quotePrefix="0" xfId="0">
      <alignment horizontal="left"/>
      <protection locked="0" hidden="0"/>
    </xf>
    <xf numFmtId="4" fontId="18" fillId="0" borderId="0" applyAlignment="1" applyProtection="1" pivotButton="0" quotePrefix="0" xfId="0">
      <alignment horizontal="center"/>
      <protection locked="0" hidden="0"/>
    </xf>
    <xf numFmtId="0" fontId="3" fillId="0" borderId="27" applyAlignment="1" pivotButton="0" quotePrefix="0" xfId="0">
      <alignment horizontal="center" vertical="top"/>
    </xf>
    <xf numFmtId="0" fontId="3" fillId="2" borderId="45" applyAlignment="1" pivotButton="0" quotePrefix="0" xfId="0">
      <alignment horizontal="left" vertical="top" wrapText="1"/>
    </xf>
    <xf numFmtId="0" fontId="3" fillId="2" borderId="27" applyAlignment="1" pivotButton="0" quotePrefix="0" xfId="0">
      <alignment horizontal="left" vertical="top" wrapText="1"/>
    </xf>
    <xf numFmtId="0" fontId="1" fillId="2" borderId="1" applyAlignment="1" pivotButton="0" quotePrefix="0" xfId="0">
      <alignment horizontal="center"/>
    </xf>
    <xf numFmtId="0" fontId="1" fillId="2" borderId="2" applyAlignment="1" pivotButton="0" quotePrefix="0" xfId="0">
      <alignment horizontal="center"/>
    </xf>
    <xf numFmtId="0" fontId="1" fillId="2" borderId="3" applyAlignment="1" pivotButton="0" quotePrefix="0" xfId="0">
      <alignment horizontal="center"/>
    </xf>
    <xf numFmtId="4" fontId="1" fillId="2" borderId="2" applyAlignment="1" pivotButton="0" quotePrefix="0" xfId="0">
      <alignment horizontal="center"/>
    </xf>
    <xf numFmtId="0" fontId="0" fillId="0" borderId="0" applyAlignment="1" pivotButton="0" quotePrefix="0" xfId="0">
      <alignment horizontal="left" wrapText="1"/>
    </xf>
    <xf numFmtId="0" fontId="3" fillId="4" borderId="2" applyAlignment="1" applyProtection="1" pivotButton="0" quotePrefix="0" xfId="0">
      <alignment horizontal="center"/>
      <protection locked="0" hidden="0"/>
    </xf>
    <xf numFmtId="0" fontId="3" fillId="4" borderId="2" applyAlignment="1" pivotButton="0" quotePrefix="0" xfId="0">
      <alignment horizontal="left"/>
    </xf>
    <xf numFmtId="2" fontId="3" fillId="4" borderId="2" applyAlignment="1" pivotButton="0" quotePrefix="0" xfId="0">
      <alignment horizontal="center"/>
    </xf>
    <xf numFmtId="0" fontId="3" fillId="0" borderId="0" applyAlignment="1" pivotButton="0" quotePrefix="0" xfId="0">
      <alignment horizontal="center" vertical="center"/>
    </xf>
    <xf numFmtId="0" fontId="3" fillId="0" borderId="14" pivotButton="0" quotePrefix="0" xfId="0"/>
    <xf numFmtId="0" fontId="3" fillId="4" borderId="1" applyAlignment="1" pivotButton="0" quotePrefix="0" xfId="0">
      <alignment horizontal="center"/>
    </xf>
    <xf numFmtId="0" fontId="3" fillId="4" borderId="22" applyAlignment="1" pivotButton="0" quotePrefix="0" xfId="0">
      <alignment horizontal="center"/>
    </xf>
    <xf numFmtId="0" fontId="3" fillId="4" borderId="45" applyAlignment="1" applyProtection="1" pivotButton="0" quotePrefix="0" xfId="0">
      <alignment horizontal="center"/>
      <protection locked="0" hidden="0"/>
    </xf>
    <xf numFmtId="0" fontId="3" fillId="4" borderId="45" applyAlignment="1" pivotButton="0" quotePrefix="0" xfId="0">
      <alignment horizontal="center"/>
    </xf>
    <xf numFmtId="0" fontId="3" fillId="4" borderId="45" pivotButton="0" quotePrefix="0" xfId="0"/>
    <xf numFmtId="4" fontId="3" fillId="4" borderId="45" applyAlignment="1" pivotButton="0" quotePrefix="0" xfId="0">
      <alignment horizontal="center"/>
    </xf>
    <xf numFmtId="164" fontId="3" fillId="4" borderId="46" applyAlignment="1" pivotButton="0" quotePrefix="0" xfId="0">
      <alignment horizontal="center"/>
    </xf>
    <xf numFmtId="0" fontId="3" fillId="4" borderId="23" applyAlignment="1" pivotButton="0" quotePrefix="0" xfId="0">
      <alignment horizontal="center"/>
    </xf>
    <xf numFmtId="0" fontId="3" fillId="4" borderId="27" applyAlignment="1" applyProtection="1" pivotButton="0" quotePrefix="0" xfId="0">
      <alignment horizontal="center"/>
      <protection locked="0" hidden="0"/>
    </xf>
    <xf numFmtId="0" fontId="3" fillId="4" borderId="27" applyAlignment="1" pivotButton="0" quotePrefix="0" xfId="0">
      <alignment horizontal="center"/>
    </xf>
    <xf numFmtId="0" fontId="3" fillId="4" borderId="27" pivotButton="0" quotePrefix="0" xfId="0"/>
    <xf numFmtId="4" fontId="3" fillId="4" borderId="27" applyAlignment="1" pivotButton="0" quotePrefix="0" xfId="0">
      <alignment horizontal="center"/>
    </xf>
    <xf numFmtId="164" fontId="3" fillId="4" borderId="24" applyAlignment="1" pivotButton="0" quotePrefix="0" xfId="0">
      <alignment horizontal="center"/>
    </xf>
    <xf numFmtId="0" fontId="3" fillId="4" borderId="30" applyAlignment="1" pivotButton="0" quotePrefix="0" xfId="0">
      <alignment horizontal="center"/>
    </xf>
    <xf numFmtId="0" fontId="3" fillId="4" borderId="30" pivotButton="0" quotePrefix="0" xfId="0"/>
    <xf numFmtId="0" fontId="3" fillId="4" borderId="54" applyAlignment="1" pivotButton="0" quotePrefix="0" xfId="0">
      <alignment horizontal="center"/>
    </xf>
    <xf numFmtId="164" fontId="3" fillId="4" borderId="28" applyAlignment="1" pivotButton="0" quotePrefix="0" xfId="0">
      <alignment horizontal="center"/>
    </xf>
    <xf numFmtId="0" fontId="1" fillId="4" borderId="3" applyAlignment="1" pivotButton="0" quotePrefix="0" xfId="0">
      <alignment horizontal="center"/>
    </xf>
    <xf numFmtId="4" fontId="1" fillId="4" borderId="9" applyAlignment="1" pivotButton="0" quotePrefix="0" xfId="0">
      <alignment horizontal="center"/>
    </xf>
    <xf numFmtId="164" fontId="1" fillId="4" borderId="11" applyAlignment="1" pivotButton="0" quotePrefix="0" xfId="0">
      <alignment horizontal="center"/>
    </xf>
    <xf numFmtId="0" fontId="5" fillId="4" borderId="27" applyAlignment="1" pivotButton="0" quotePrefix="0" xfId="1">
      <alignment horizontal="center"/>
    </xf>
    <xf numFmtId="0" fontId="5" fillId="4" borderId="27" applyAlignment="1" pivotButton="0" quotePrefix="0" xfId="1">
      <alignment vertical="center"/>
    </xf>
    <xf numFmtId="4" fontId="5" fillId="4" borderId="45" applyAlignment="1" pivotButton="0" quotePrefix="0" xfId="1">
      <alignment horizontal="center"/>
    </xf>
    <xf numFmtId="0" fontId="5" fillId="4" borderId="30" applyAlignment="1" pivotButton="0" quotePrefix="0" xfId="1">
      <alignment horizontal="center"/>
    </xf>
    <xf numFmtId="0" fontId="3" fillId="4" borderId="27" applyProtection="1" pivotButton="0" quotePrefix="0" xfId="0">
      <protection locked="0" hidden="0"/>
    </xf>
    <xf numFmtId="4" fontId="5" fillId="4" borderId="27" applyAlignment="1" pivotButton="0" quotePrefix="0" xfId="4">
      <alignment horizontal="center"/>
    </xf>
    <xf numFmtId="164" fontId="1" fillId="4" borderId="24" applyAlignment="1" pivotButton="0" quotePrefix="0" xfId="0">
      <alignment horizontal="center"/>
    </xf>
    <xf numFmtId="4" fontId="5" fillId="4" borderId="27" applyAlignment="1" pivotButton="0" quotePrefix="0" xfId="1">
      <alignment horizontal="center"/>
    </xf>
    <xf numFmtId="4" fontId="1" fillId="4" borderId="5" applyAlignment="1" pivotButton="0" quotePrefix="0" xfId="0">
      <alignment horizontal="center"/>
    </xf>
    <xf numFmtId="0" fontId="2" fillId="2" borderId="6" applyAlignment="1" pivotButton="0" quotePrefix="0" xfId="1">
      <alignment horizontal="center"/>
    </xf>
    <xf numFmtId="0" fontId="3" fillId="0" borderId="12" applyAlignment="1" pivotButton="0" quotePrefix="0" xfId="0">
      <alignment horizontal="center"/>
    </xf>
    <xf numFmtId="0" fontId="3" fillId="0" borderId="10" applyAlignment="1" applyProtection="1" pivotButton="0" quotePrefix="0" xfId="0">
      <alignment horizontal="center"/>
      <protection locked="0" hidden="0"/>
    </xf>
    <xf numFmtId="0" fontId="3" fillId="0" borderId="10" applyAlignment="1" pivotButton="0" quotePrefix="0" xfId="0">
      <alignment horizontal="left"/>
    </xf>
    <xf numFmtId="2" fontId="3" fillId="0" borderId="10" applyAlignment="1" pivotButton="0" quotePrefix="0" xfId="0">
      <alignment horizontal="center"/>
    </xf>
    <xf numFmtId="164" fontId="3" fillId="0" borderId="11" applyAlignment="1" pivotButton="0" quotePrefix="0" xfId="0">
      <alignment horizontal="center"/>
    </xf>
    <xf numFmtId="0" fontId="3" fillId="0" borderId="27" pivotButton="0" quotePrefix="0" xfId="0"/>
    <xf numFmtId="2" fontId="14" fillId="0" borderId="27" pivotButton="0" quotePrefix="0" xfId="0"/>
    <xf numFmtId="9" fontId="15" fillId="0" borderId="27" pivotButton="0" quotePrefix="0" xfId="0"/>
    <xf numFmtId="0" fontId="14" fillId="3" borderId="44" applyAlignment="1" applyProtection="1" pivotButton="0" quotePrefix="0" xfId="0">
      <alignment horizontal="center" vertical="center" wrapText="1"/>
      <protection locked="0" hidden="0"/>
    </xf>
    <xf numFmtId="0" fontId="14" fillId="3" borderId="42" applyAlignment="1" applyProtection="1" pivotButton="0" quotePrefix="0" xfId="0">
      <alignment horizontal="center" vertical="center" wrapText="1"/>
      <protection locked="0" hidden="0"/>
    </xf>
    <xf numFmtId="1" fontId="14" fillId="3" borderId="42" applyAlignment="1" applyProtection="1" pivotButton="0" quotePrefix="0" xfId="0">
      <alignment horizontal="center" vertical="center" wrapText="1"/>
      <protection locked="0" hidden="0"/>
    </xf>
    <xf numFmtId="2" fontId="19" fillId="3" borderId="42" applyAlignment="1" applyProtection="1" pivotButton="0" quotePrefix="0" xfId="0">
      <alignment horizontal="center" vertical="center" wrapText="1"/>
      <protection locked="0" hidden="0"/>
    </xf>
    <xf numFmtId="43" fontId="14" fillId="3" borderId="43" applyAlignment="1" applyProtection="1" pivotButton="0" quotePrefix="0" xfId="0">
      <alignment horizontal="center" vertical="center" wrapText="1"/>
      <protection locked="0" hidden="0"/>
    </xf>
    <xf numFmtId="0" fontId="15" fillId="4" borderId="1" applyAlignment="1" applyProtection="1" pivotButton="0" quotePrefix="0" xfId="0">
      <alignment horizontal="center"/>
      <protection locked="0" hidden="0"/>
    </xf>
    <xf numFmtId="1" fontId="14" fillId="4" borderId="2" applyAlignment="1" applyProtection="1" pivotButton="0" quotePrefix="0" xfId="0">
      <alignment horizontal="center" vertical="center" wrapText="1"/>
      <protection locked="0" hidden="0"/>
    </xf>
    <xf numFmtId="0" fontId="14" fillId="4" borderId="2" applyAlignment="1" applyProtection="1" pivotButton="0" quotePrefix="0" xfId="0">
      <alignment horizontal="left" vertical="center" wrapText="1"/>
      <protection locked="0" hidden="0"/>
    </xf>
    <xf numFmtId="0" fontId="14" fillId="4" borderId="2" applyAlignment="1" applyProtection="1" pivotButton="0" quotePrefix="0" xfId="0">
      <alignment horizontal="center" vertical="center" wrapText="1"/>
      <protection locked="0" hidden="0"/>
    </xf>
    <xf numFmtId="2" fontId="19" fillId="4" borderId="2" applyAlignment="1" applyProtection="1" pivotButton="0" quotePrefix="0" xfId="0">
      <alignment horizontal="center" vertical="center" wrapText="1"/>
      <protection locked="0" hidden="0"/>
    </xf>
    <xf numFmtId="43" fontId="14" fillId="4" borderId="3" applyAlignment="1" applyProtection="1" pivotButton="0" quotePrefix="0" xfId="0">
      <alignment horizontal="center" vertical="center" wrapText="1"/>
      <protection locked="0" hidden="0"/>
    </xf>
    <xf numFmtId="0" fontId="15" fillId="0" borderId="22" applyAlignment="1" applyProtection="1" pivotButton="0" quotePrefix="0" xfId="0">
      <alignment horizontal="center"/>
      <protection locked="0" hidden="0"/>
    </xf>
    <xf numFmtId="0" fontId="15" fillId="0" borderId="45" applyAlignment="1" applyProtection="1" pivotButton="0" quotePrefix="0" xfId="0">
      <alignment horizontal="center"/>
      <protection locked="0" hidden="0"/>
    </xf>
    <xf numFmtId="1" fontId="15" fillId="0" borderId="45" applyAlignment="1" applyProtection="1" pivotButton="0" quotePrefix="0" xfId="0">
      <alignment horizontal="center"/>
      <protection locked="0" hidden="0"/>
    </xf>
    <xf numFmtId="0" fontId="20" fillId="0" borderId="45" applyProtection="1" pivotButton="0" quotePrefix="0" xfId="1">
      <protection locked="0" hidden="0"/>
    </xf>
    <xf numFmtId="164" fontId="15" fillId="0" borderId="46" applyAlignment="1" applyProtection="1" pivotButton="0" quotePrefix="0" xfId="0">
      <alignment horizontal="center"/>
      <protection locked="0" hidden="0"/>
    </xf>
    <xf numFmtId="1" fontId="15" fillId="0" borderId="0" applyProtection="1" pivotButton="0" quotePrefix="0" xfId="0">
      <protection locked="0" hidden="0"/>
    </xf>
    <xf numFmtId="0" fontId="15" fillId="0" borderId="23" applyAlignment="1" applyProtection="1" pivotButton="0" quotePrefix="0" xfId="0">
      <alignment horizontal="center"/>
      <protection locked="0" hidden="0"/>
    </xf>
    <xf numFmtId="0" fontId="15" fillId="0" borderId="27" applyAlignment="1" applyProtection="1" pivotButton="0" quotePrefix="0" xfId="0">
      <alignment horizontal="center"/>
      <protection locked="0" hidden="0"/>
    </xf>
    <xf numFmtId="1" fontId="15" fillId="0" borderId="27" applyAlignment="1" applyProtection="1" pivotButton="0" quotePrefix="0" xfId="0">
      <alignment horizontal="center"/>
      <protection locked="0" hidden="0"/>
    </xf>
    <xf numFmtId="0" fontId="20" fillId="0" borderId="27" applyProtection="1" pivotButton="0" quotePrefix="0" xfId="1">
      <protection locked="0" hidden="0"/>
    </xf>
    <xf numFmtId="2" fontId="20" fillId="0" borderId="27" applyAlignment="1" applyProtection="1" pivotButton="0" quotePrefix="0" xfId="1">
      <alignment horizontal="right"/>
      <protection locked="0" hidden="0"/>
    </xf>
    <xf numFmtId="164" fontId="15" fillId="0" borderId="24" applyAlignment="1" applyProtection="1" pivotButton="0" quotePrefix="0" xfId="0">
      <alignment horizontal="center"/>
      <protection locked="0" hidden="0"/>
    </xf>
    <xf numFmtId="0" fontId="15" fillId="0" borderId="54" applyAlignment="1" applyProtection="1" pivotButton="0" quotePrefix="0" xfId="0">
      <alignment horizontal="center"/>
      <protection locked="0" hidden="0"/>
    </xf>
    <xf numFmtId="0" fontId="15" fillId="0" borderId="30" applyAlignment="1" applyProtection="1" pivotButton="0" quotePrefix="0" xfId="0">
      <alignment horizontal="center"/>
      <protection locked="0" hidden="0"/>
    </xf>
    <xf numFmtId="1" fontId="15" fillId="0" borderId="30" applyAlignment="1" applyProtection="1" pivotButton="0" quotePrefix="0" xfId="0">
      <alignment horizontal="center"/>
      <protection locked="0" hidden="0"/>
    </xf>
    <xf numFmtId="0" fontId="20" fillId="0" borderId="30" applyAlignment="1" applyProtection="1" pivotButton="0" quotePrefix="0" xfId="1">
      <alignment horizontal="left"/>
      <protection locked="0" hidden="0"/>
    </xf>
    <xf numFmtId="0" fontId="20" fillId="0" borderId="30" applyProtection="1" pivotButton="0" quotePrefix="0" xfId="1">
      <protection locked="0" hidden="0"/>
    </xf>
    <xf numFmtId="2" fontId="20" fillId="0" borderId="30" applyAlignment="1" applyProtection="1" pivotButton="0" quotePrefix="0" xfId="1">
      <alignment horizontal="right"/>
      <protection locked="0" hidden="0"/>
    </xf>
    <xf numFmtId="0" fontId="14" fillId="4" borderId="1" applyAlignment="1" applyProtection="1" pivotButton="0" quotePrefix="0" xfId="0">
      <alignment horizontal="center"/>
      <protection locked="0" hidden="0"/>
    </xf>
    <xf numFmtId="0" fontId="15" fillId="4" borderId="2" applyAlignment="1" applyProtection="1" pivotButton="0" quotePrefix="0" xfId="0">
      <alignment horizontal="center"/>
      <protection locked="0" hidden="0"/>
    </xf>
    <xf numFmtId="1" fontId="14" fillId="4" borderId="2" applyAlignment="1" applyProtection="1" pivotButton="0" quotePrefix="0" xfId="0">
      <alignment horizontal="centerContinuous"/>
      <protection locked="0" hidden="0"/>
    </xf>
    <xf numFmtId="0" fontId="14" fillId="4" borderId="3" applyAlignment="1" applyProtection="1" pivotButton="0" quotePrefix="0" xfId="0">
      <alignment horizontal="left"/>
      <protection locked="0" hidden="0"/>
    </xf>
    <xf numFmtId="0" fontId="14" fillId="0" borderId="10" applyAlignment="1" applyProtection="1" pivotButton="0" quotePrefix="0" xfId="0">
      <alignment horizontal="center"/>
      <protection locked="0" hidden="0"/>
    </xf>
    <xf numFmtId="2" fontId="20" fillId="0" borderId="10" applyAlignment="1" applyProtection="1" pivotButton="0" quotePrefix="0" xfId="0">
      <alignment horizontal="right"/>
      <protection locked="0" hidden="0"/>
    </xf>
    <xf numFmtId="164" fontId="15" fillId="0" borderId="11" applyAlignment="1" applyProtection="1" pivotButton="0" quotePrefix="0" xfId="0">
      <alignment horizontal="center"/>
      <protection locked="0" hidden="0"/>
    </xf>
    <xf numFmtId="0" fontId="14" fillId="0" borderId="6" applyAlignment="1" applyProtection="1" pivotButton="0" quotePrefix="0" xfId="0">
      <alignment horizontal="center"/>
      <protection locked="0" hidden="0"/>
    </xf>
    <xf numFmtId="2" fontId="19" fillId="0" borderId="6" applyAlignment="1" applyProtection="1" pivotButton="0" quotePrefix="0" xfId="0">
      <alignment horizontal="center"/>
      <protection locked="0" hidden="0"/>
    </xf>
    <xf numFmtId="164" fontId="14" fillId="0" borderId="7" applyAlignment="1" applyProtection="1" pivotButton="0" quotePrefix="0" xfId="0">
      <alignment horizontal="center"/>
      <protection locked="0" hidden="0"/>
    </xf>
    <xf numFmtId="0" fontId="21" fillId="4" borderId="41" applyAlignment="1" applyProtection="1" pivotButton="0" quotePrefix="0" xfId="0">
      <alignment horizontal="left"/>
      <protection locked="0" hidden="0"/>
    </xf>
    <xf numFmtId="0" fontId="22" fillId="4" borderId="31" applyAlignment="1" applyProtection="1" pivotButton="0" quotePrefix="0" xfId="0">
      <alignment horizontal="center"/>
      <protection locked="0" hidden="0"/>
    </xf>
    <xf numFmtId="1" fontId="21" fillId="4" borderId="31" applyAlignment="1" applyProtection="1" pivotButton="0" quotePrefix="0" xfId="0">
      <alignment horizontal="center"/>
      <protection locked="0" hidden="0"/>
    </xf>
    <xf numFmtId="0" fontId="21" fillId="4" borderId="31" applyAlignment="1" applyProtection="1" pivotButton="0" quotePrefix="0" xfId="0">
      <alignment horizontal="left"/>
      <protection locked="0" hidden="0"/>
    </xf>
    <xf numFmtId="0" fontId="14" fillId="4" borderId="31" applyAlignment="1" applyProtection="1" pivotButton="0" quotePrefix="0" xfId="0">
      <alignment horizontal="center"/>
      <protection locked="0" hidden="0"/>
    </xf>
    <xf numFmtId="2" fontId="19" fillId="4" borderId="31" applyAlignment="1" applyProtection="1" pivotButton="0" quotePrefix="0" xfId="0">
      <alignment horizontal="center"/>
      <protection locked="0" hidden="0"/>
    </xf>
    <xf numFmtId="164" fontId="14" fillId="4" borderId="32" applyAlignment="1" applyProtection="1" pivotButton="0" quotePrefix="0" xfId="0">
      <alignment horizontal="center"/>
      <protection locked="0" hidden="0"/>
    </xf>
    <xf numFmtId="0" fontId="15" fillId="2" borderId="1" applyAlignment="1" applyProtection="1" pivotButton="0" quotePrefix="0" xfId="0">
      <alignment horizontal="center"/>
      <protection locked="0" hidden="0"/>
    </xf>
    <xf numFmtId="1" fontId="14" fillId="2" borderId="2" applyAlignment="1" applyProtection="1" pivotButton="0" quotePrefix="0" xfId="0">
      <alignment horizontal="center"/>
      <protection locked="0" hidden="0"/>
    </xf>
    <xf numFmtId="0" fontId="14" fillId="2" borderId="2" applyAlignment="1" applyProtection="1" pivotButton="0" quotePrefix="0" xfId="0">
      <alignment horizontal="left"/>
      <protection locked="0" hidden="0"/>
    </xf>
    <xf numFmtId="0" fontId="14" fillId="2" borderId="2" applyAlignment="1" applyProtection="1" pivotButton="0" quotePrefix="0" xfId="0">
      <alignment horizontal="center"/>
      <protection locked="0" hidden="0"/>
    </xf>
    <xf numFmtId="2" fontId="19" fillId="2" borderId="2" applyAlignment="1" applyProtection="1" pivotButton="0" quotePrefix="0" xfId="0">
      <alignment horizontal="center"/>
      <protection locked="0" hidden="0"/>
    </xf>
    <xf numFmtId="164" fontId="14" fillId="2" borderId="3" applyAlignment="1" applyProtection="1" pivotButton="0" quotePrefix="0" xfId="0">
      <alignment horizontal="center"/>
      <protection locked="0" hidden="0"/>
    </xf>
    <xf numFmtId="0" fontId="15" fillId="2" borderId="23" applyAlignment="1" applyProtection="1" pivotButton="0" quotePrefix="0" xfId="0">
      <alignment horizontal="center"/>
      <protection locked="0" hidden="0"/>
    </xf>
    <xf numFmtId="0" fontId="15" fillId="2" borderId="27" applyAlignment="1" applyProtection="1" pivotButton="0" quotePrefix="0" xfId="0">
      <alignment horizontal="center"/>
      <protection locked="0" hidden="0"/>
    </xf>
    <xf numFmtId="1" fontId="15" fillId="2" borderId="27" applyAlignment="1" applyProtection="1" pivotButton="0" quotePrefix="0" xfId="0">
      <alignment horizontal="center"/>
      <protection locked="0" hidden="0"/>
    </xf>
    <xf numFmtId="0" fontId="20" fillId="2" borderId="27" applyAlignment="1" applyProtection="1" pivotButton="0" quotePrefix="0" xfId="0">
      <alignment horizontal="left"/>
      <protection locked="0" hidden="0"/>
    </xf>
    <xf numFmtId="0" fontId="20" fillId="2" borderId="27" applyProtection="1" pivotButton="0" quotePrefix="0" xfId="0">
      <protection locked="0" hidden="0"/>
    </xf>
    <xf numFmtId="2" fontId="20" fillId="2" borderId="27" applyAlignment="1" applyProtection="1" pivotButton="0" quotePrefix="0" xfId="0">
      <alignment horizontal="center"/>
      <protection locked="0" hidden="0"/>
    </xf>
    <xf numFmtId="164" fontId="15" fillId="2" borderId="24" applyAlignment="1" applyProtection="1" pivotButton="0" quotePrefix="0" xfId="0">
      <alignment horizontal="center"/>
      <protection locked="0" hidden="0"/>
    </xf>
    <xf numFmtId="0" fontId="15" fillId="2" borderId="22" applyAlignment="1" applyProtection="1" pivotButton="0" quotePrefix="0" xfId="0">
      <alignment horizontal="center"/>
      <protection locked="0" hidden="0"/>
    </xf>
    <xf numFmtId="0" fontId="15" fillId="2" borderId="45" applyAlignment="1" applyProtection="1" pivotButton="0" quotePrefix="0" xfId="0">
      <alignment horizontal="center"/>
      <protection locked="0" hidden="0"/>
    </xf>
    <xf numFmtId="1" fontId="15" fillId="2" borderId="45" applyAlignment="1" applyProtection="1" pivotButton="0" quotePrefix="0" xfId="0">
      <alignment horizontal="center"/>
      <protection locked="0" hidden="0"/>
    </xf>
    <xf numFmtId="0" fontId="20" fillId="2" borderId="45" applyAlignment="1" applyProtection="1" pivotButton="0" quotePrefix="0" xfId="0">
      <alignment horizontal="left"/>
      <protection locked="0" hidden="0"/>
    </xf>
    <xf numFmtId="0" fontId="20" fillId="5" borderId="27" applyAlignment="1" applyProtection="1" pivotButton="0" quotePrefix="0" xfId="0">
      <alignment horizontal="left"/>
      <protection locked="0" hidden="0"/>
    </xf>
    <xf numFmtId="0" fontId="15" fillId="2" borderId="30" applyAlignment="1" applyProtection="1" pivotButton="0" quotePrefix="0" xfId="0">
      <alignment horizontal="center"/>
      <protection locked="0" hidden="0"/>
    </xf>
    <xf numFmtId="1" fontId="15" fillId="2" borderId="30" applyAlignment="1" applyProtection="1" pivotButton="0" quotePrefix="0" xfId="0">
      <alignment horizontal="center"/>
      <protection locked="0" hidden="0"/>
    </xf>
    <xf numFmtId="0" fontId="15" fillId="2" borderId="2" applyAlignment="1" applyProtection="1" pivotButton="0" quotePrefix="0" xfId="0">
      <alignment horizontal="center"/>
      <protection locked="0" hidden="0"/>
    </xf>
    <xf numFmtId="1" fontId="15" fillId="2" borderId="2" applyAlignment="1" applyProtection="1" pivotButton="0" quotePrefix="0" xfId="0">
      <alignment horizontal="center"/>
      <protection locked="0" hidden="0"/>
    </xf>
    <xf numFmtId="0" fontId="15" fillId="2" borderId="2" applyAlignment="1" applyProtection="1" pivotButton="0" quotePrefix="0" xfId="0">
      <alignment horizontal="left"/>
      <protection locked="0" hidden="0"/>
    </xf>
    <xf numFmtId="0" fontId="19" fillId="2" borderId="2" applyAlignment="1" applyProtection="1" pivotButton="0" quotePrefix="0" xfId="0">
      <alignment horizontal="center"/>
      <protection locked="0" hidden="0"/>
    </xf>
    <xf numFmtId="2" fontId="24" fillId="2" borderId="2" applyAlignment="1" applyProtection="1" pivotButton="0" quotePrefix="0" xfId="0">
      <alignment horizontal="center"/>
      <protection locked="0" hidden="0"/>
    </xf>
    <xf numFmtId="164" fontId="15" fillId="2" borderId="3" applyAlignment="1" applyProtection="1" pivotButton="0" quotePrefix="0" xfId="0">
      <alignment horizontal="center"/>
      <protection locked="0" hidden="0"/>
    </xf>
    <xf numFmtId="4" fontId="20" fillId="2" borderId="27" applyAlignment="1" applyProtection="1" pivotButton="0" quotePrefix="0" xfId="0">
      <alignment horizontal="center"/>
      <protection locked="0" hidden="0"/>
    </xf>
    <xf numFmtId="0" fontId="20" fillId="2" borderId="2" applyAlignment="1" applyProtection="1" pivotButton="0" quotePrefix="0" xfId="0">
      <alignment horizontal="left"/>
      <protection locked="0" hidden="0"/>
    </xf>
    <xf numFmtId="2" fontId="20" fillId="2" borderId="2" applyAlignment="1" applyProtection="1" pivotButton="0" quotePrefix="0" xfId="0">
      <alignment horizontal="center"/>
      <protection locked="0" hidden="0"/>
    </xf>
    <xf numFmtId="0" fontId="20" fillId="2" borderId="42" applyProtection="1" pivotButton="0" quotePrefix="0" xfId="0">
      <protection locked="0" hidden="0"/>
    </xf>
    <xf numFmtId="4" fontId="20" fillId="2" borderId="27" applyAlignment="1" pivotButton="0" quotePrefix="0" xfId="0">
      <alignment horizontal="center"/>
    </xf>
    <xf numFmtId="0" fontId="20" fillId="2" borderId="27" applyAlignment="1" pivotButton="0" quotePrefix="0" xfId="0">
      <alignment horizontal="left"/>
    </xf>
    <xf numFmtId="0" fontId="20" fillId="2" borderId="27" pivotButton="0" quotePrefix="0" xfId="0"/>
    <xf numFmtId="0" fontId="15" fillId="2" borderId="54" applyAlignment="1" applyProtection="1" pivotButton="0" quotePrefix="0" xfId="0">
      <alignment horizontal="center"/>
      <protection locked="0" hidden="0"/>
    </xf>
    <xf numFmtId="0" fontId="20" fillId="2" borderId="30" applyAlignment="1" applyProtection="1" pivotButton="0" quotePrefix="0" xfId="0">
      <alignment horizontal="left"/>
      <protection locked="0" hidden="0"/>
    </xf>
    <xf numFmtId="0" fontId="20" fillId="2" borderId="30" applyProtection="1" pivotButton="0" quotePrefix="0" xfId="0">
      <protection locked="0" hidden="0"/>
    </xf>
    <xf numFmtId="2" fontId="20" fillId="2" borderId="30" applyAlignment="1" applyProtection="1" pivotButton="0" quotePrefix="0" xfId="0">
      <alignment horizontal="center"/>
      <protection locked="0" hidden="0"/>
    </xf>
    <xf numFmtId="0" fontId="20" fillId="2" borderId="30" applyAlignment="1" applyProtection="1" pivotButton="0" quotePrefix="0" xfId="1">
      <alignment horizontal="left"/>
      <protection locked="0" hidden="0"/>
    </xf>
    <xf numFmtId="0" fontId="20" fillId="2" borderId="30" applyProtection="1" pivotButton="0" quotePrefix="0" xfId="1">
      <protection locked="0" hidden="0"/>
    </xf>
    <xf numFmtId="2" fontId="20" fillId="2" borderId="30" applyAlignment="1" applyProtection="1" pivotButton="0" quotePrefix="0" xfId="1">
      <alignment horizontal="center"/>
      <protection locked="0" hidden="0"/>
    </xf>
    <xf numFmtId="0" fontId="15" fillId="2" borderId="27" applyAlignment="1" applyProtection="1" pivotButton="0" quotePrefix="0" xfId="0">
      <alignment horizontal="left"/>
      <protection locked="0" hidden="0"/>
    </xf>
    <xf numFmtId="0" fontId="15" fillId="2" borderId="30" applyAlignment="1" applyProtection="1" pivotButton="0" quotePrefix="0" xfId="0">
      <alignment horizontal="left"/>
      <protection locked="0" hidden="0"/>
    </xf>
    <xf numFmtId="0" fontId="15" fillId="2" borderId="30" applyProtection="1" pivotButton="0" quotePrefix="0" xfId="0">
      <protection locked="0" hidden="0"/>
    </xf>
    <xf numFmtId="2" fontId="15" fillId="2" borderId="30" applyProtection="1" pivotButton="0" quotePrefix="0" xfId="0">
      <protection locked="0" hidden="0"/>
    </xf>
    <xf numFmtId="0" fontId="15" fillId="2" borderId="3" applyAlignment="1" applyProtection="1" pivotButton="0" quotePrefix="0" xfId="0">
      <alignment horizontal="left"/>
      <protection locked="0" hidden="0"/>
    </xf>
    <xf numFmtId="0" fontId="14" fillId="2" borderId="8" applyAlignment="1" applyProtection="1" pivotButton="0" quotePrefix="0" xfId="0">
      <alignment horizontal="center"/>
      <protection locked="0" hidden="0"/>
    </xf>
    <xf numFmtId="2" fontId="20" fillId="2" borderId="8" applyAlignment="1" applyProtection="1" pivotButton="0" quotePrefix="0" xfId="0">
      <alignment horizontal="center"/>
      <protection locked="0" hidden="0"/>
    </xf>
    <xf numFmtId="0" fontId="14" fillId="2" borderId="47" applyAlignment="1" applyProtection="1" pivotButton="0" quotePrefix="0" xfId="0">
      <alignment horizontal="center"/>
      <protection locked="0" hidden="0"/>
    </xf>
    <xf numFmtId="2" fontId="20" fillId="2" borderId="47" applyAlignment="1" applyProtection="1" pivotButton="0" quotePrefix="0" xfId="0">
      <alignment horizontal="center"/>
      <protection locked="0" hidden="0"/>
    </xf>
    <xf numFmtId="164" fontId="15" fillId="2" borderId="11" applyAlignment="1" applyProtection="1" pivotButton="0" quotePrefix="0" xfId="0">
      <alignment horizontal="center"/>
      <protection locked="0" hidden="0"/>
    </xf>
    <xf numFmtId="0" fontId="14" fillId="2" borderId="6" applyAlignment="1" applyProtection="1" pivotButton="0" quotePrefix="0" xfId="0">
      <alignment horizontal="center"/>
      <protection locked="0" hidden="0"/>
    </xf>
    <xf numFmtId="2" fontId="19" fillId="2" borderId="6" applyAlignment="1" applyProtection="1" pivotButton="0" quotePrefix="0" xfId="0">
      <alignment horizontal="center"/>
      <protection locked="0" hidden="0"/>
    </xf>
    <xf numFmtId="164" fontId="14" fillId="2" borderId="7" applyAlignment="1" applyProtection="1" pivotButton="0" quotePrefix="0" xfId="0">
      <alignment horizontal="center"/>
      <protection locked="0" hidden="0"/>
    </xf>
    <xf numFmtId="0" fontId="21" fillId="2" borderId="41" applyAlignment="1" applyProtection="1" pivotButton="0" quotePrefix="0" xfId="0">
      <alignment horizontal="left"/>
      <protection locked="0" hidden="0"/>
    </xf>
    <xf numFmtId="0" fontId="15" fillId="2" borderId="31" applyAlignment="1" applyProtection="1" pivotButton="0" quotePrefix="0" xfId="0">
      <alignment horizontal="center"/>
      <protection locked="0" hidden="0"/>
    </xf>
    <xf numFmtId="1" fontId="14" fillId="2" borderId="31" applyAlignment="1" applyProtection="1" pivotButton="0" quotePrefix="0" xfId="0">
      <alignment horizontal="centerContinuous"/>
      <protection locked="0" hidden="0"/>
    </xf>
    <xf numFmtId="0" fontId="14" fillId="2" borderId="31" applyAlignment="1" applyProtection="1" pivotButton="0" quotePrefix="0" xfId="0">
      <alignment horizontal="left"/>
      <protection locked="0" hidden="0"/>
    </xf>
    <xf numFmtId="0" fontId="14" fillId="2" borderId="31" applyAlignment="1" applyProtection="1" pivotButton="0" quotePrefix="0" xfId="0">
      <alignment horizontal="center"/>
      <protection locked="0" hidden="0"/>
    </xf>
    <xf numFmtId="2" fontId="19" fillId="2" borderId="31" applyAlignment="1" applyProtection="1" pivotButton="0" quotePrefix="0" xfId="0">
      <alignment horizontal="center"/>
      <protection locked="0" hidden="0"/>
    </xf>
    <xf numFmtId="164" fontId="14" fillId="2" borderId="32" applyAlignment="1" applyProtection="1" pivotButton="0" quotePrefix="0" xfId="0">
      <alignment horizontal="center"/>
      <protection locked="0" hidden="0"/>
    </xf>
    <xf numFmtId="0" fontId="14" fillId="4" borderId="2" applyAlignment="1" applyProtection="1" pivotButton="0" quotePrefix="0" xfId="0">
      <alignment horizontal="left"/>
      <protection locked="0" hidden="0"/>
    </xf>
    <xf numFmtId="0" fontId="14" fillId="4" borderId="2" applyAlignment="1" applyProtection="1" pivotButton="0" quotePrefix="0" xfId="0">
      <alignment horizontal="center"/>
      <protection locked="0" hidden="0"/>
    </xf>
    <xf numFmtId="2" fontId="19" fillId="4" borderId="2" applyAlignment="1" applyProtection="1" pivotButton="0" quotePrefix="0" xfId="0">
      <alignment horizontal="center"/>
      <protection locked="0" hidden="0"/>
    </xf>
    <xf numFmtId="164" fontId="14" fillId="4" borderId="3" applyAlignment="1" applyProtection="1" pivotButton="0" quotePrefix="0" xfId="0">
      <alignment horizontal="center"/>
      <protection locked="0" hidden="0"/>
    </xf>
    <xf numFmtId="0" fontId="20" fillId="0" borderId="45" applyAlignment="1" applyProtection="1" pivotButton="0" quotePrefix="0" xfId="0">
      <alignment horizontal="left"/>
      <protection locked="0" hidden="0"/>
    </xf>
    <xf numFmtId="2" fontId="20" fillId="0" borderId="45" applyAlignment="1" applyProtection="1" pivotButton="0" quotePrefix="0" xfId="0">
      <alignment horizontal="center"/>
      <protection locked="0" hidden="0"/>
    </xf>
    <xf numFmtId="0" fontId="20" fillId="0" borderId="27" applyAlignment="1" applyProtection="1" pivotButton="0" quotePrefix="0" xfId="0">
      <alignment horizontal="left"/>
      <protection locked="0" hidden="0"/>
    </xf>
    <xf numFmtId="2" fontId="20" fillId="0" borderId="27" applyAlignment="1" applyProtection="1" pivotButton="0" quotePrefix="0" xfId="0">
      <alignment horizontal="center"/>
      <protection locked="0" hidden="0"/>
    </xf>
    <xf numFmtId="1" fontId="15" fillId="4" borderId="2" applyAlignment="1" applyProtection="1" pivotButton="0" quotePrefix="0" xfId="0">
      <alignment horizontal="center"/>
      <protection locked="0" hidden="0"/>
    </xf>
    <xf numFmtId="0" fontId="15" fillId="4" borderId="2" applyAlignment="1" applyProtection="1" pivotButton="0" quotePrefix="0" xfId="0">
      <alignment horizontal="left"/>
      <protection locked="0" hidden="0"/>
    </xf>
    <xf numFmtId="0" fontId="19" fillId="4" borderId="2" applyAlignment="1" applyProtection="1" pivotButton="0" quotePrefix="0" xfId="0">
      <alignment horizontal="center"/>
      <protection locked="0" hidden="0"/>
    </xf>
    <xf numFmtId="2" fontId="24" fillId="4" borderId="2" applyAlignment="1" applyProtection="1" pivotButton="0" quotePrefix="0" xfId="0">
      <alignment horizontal="center"/>
      <protection locked="0" hidden="0"/>
    </xf>
    <xf numFmtId="164" fontId="15" fillId="4" borderId="3" applyAlignment="1" applyProtection="1" pivotButton="0" quotePrefix="0" xfId="0">
      <alignment horizontal="center"/>
      <protection locked="0" hidden="0"/>
    </xf>
    <xf numFmtId="0" fontId="20" fillId="0" borderId="27" applyProtection="1" pivotButton="0" quotePrefix="0" xfId="0">
      <protection locked="0" hidden="0"/>
    </xf>
    <xf numFmtId="0" fontId="20" fillId="0" borderId="30" applyAlignment="1" applyProtection="1" pivotButton="0" quotePrefix="0" xfId="0">
      <alignment horizontal="left"/>
      <protection locked="0" hidden="0"/>
    </xf>
    <xf numFmtId="2" fontId="20" fillId="0" borderId="30" applyAlignment="1" applyProtection="1" pivotButton="0" quotePrefix="0" xfId="0">
      <alignment horizontal="center"/>
      <protection locked="0" hidden="0"/>
    </xf>
    <xf numFmtId="2" fontId="20" fillId="4" borderId="2" applyAlignment="1" applyProtection="1" pivotButton="0" quotePrefix="0" xfId="0">
      <alignment horizontal="center"/>
      <protection locked="0" hidden="0"/>
    </xf>
    <xf numFmtId="2" fontId="20" fillId="0" borderId="30" applyAlignment="1" applyProtection="1" pivotButton="0" quotePrefix="0" xfId="1">
      <alignment horizontal="center"/>
      <protection locked="0" hidden="0"/>
    </xf>
    <xf numFmtId="2" fontId="20" fillId="0" borderId="10" applyAlignment="1" applyProtection="1" pivotButton="0" quotePrefix="0" xfId="0">
      <alignment horizontal="center"/>
      <protection locked="0" hidden="0"/>
    </xf>
    <xf numFmtId="0" fontId="14" fillId="4" borderId="8" applyAlignment="1" applyProtection="1" pivotButton="0" quotePrefix="0" xfId="0">
      <alignment horizontal="center"/>
      <protection locked="0" hidden="0"/>
    </xf>
    <xf numFmtId="2" fontId="20" fillId="0" borderId="9" applyAlignment="1" applyProtection="1" pivotButton="0" quotePrefix="0" xfId="0">
      <alignment horizontal="center"/>
      <protection locked="0" hidden="0"/>
    </xf>
    <xf numFmtId="0" fontId="14" fillId="0" borderId="42" applyAlignment="1" applyProtection="1" pivotButton="0" quotePrefix="0" xfId="0">
      <alignment horizontal="center"/>
      <protection locked="0" hidden="0"/>
    </xf>
    <xf numFmtId="0" fontId="14" fillId="4" borderId="41" applyAlignment="1" applyProtection="1" pivotButton="0" quotePrefix="0" xfId="0">
      <alignment horizontal="left"/>
      <protection locked="0" hidden="0"/>
    </xf>
    <xf numFmtId="0" fontId="15" fillId="4" borderId="31" applyAlignment="1" applyProtection="1" pivotButton="0" quotePrefix="0" xfId="0">
      <alignment horizontal="center"/>
      <protection locked="0" hidden="0"/>
    </xf>
    <xf numFmtId="1" fontId="14" fillId="4" borderId="31" applyAlignment="1" applyProtection="1" pivotButton="0" quotePrefix="0" xfId="0">
      <alignment horizontal="centerContinuous"/>
      <protection locked="0" hidden="0"/>
    </xf>
    <xf numFmtId="0" fontId="14" fillId="4" borderId="31" applyAlignment="1" applyProtection="1" pivotButton="0" quotePrefix="0" xfId="0">
      <alignment horizontal="left"/>
      <protection locked="0" hidden="0"/>
    </xf>
    <xf numFmtId="1" fontId="14" fillId="2" borderId="2" applyAlignment="1" applyProtection="1" pivotButton="0" quotePrefix="0" xfId="0">
      <alignment horizontal="centerContinuous"/>
      <protection locked="0" hidden="0"/>
    </xf>
    <xf numFmtId="0" fontId="20" fillId="5" borderId="30" applyAlignment="1" applyProtection="1" pivotButton="0" quotePrefix="0" xfId="0">
      <alignment horizontal="left"/>
      <protection locked="0" hidden="0"/>
    </xf>
    <xf numFmtId="1" fontId="15" fillId="2" borderId="34" applyAlignment="1" applyProtection="1" pivotButton="0" quotePrefix="0" xfId="0">
      <alignment horizontal="center"/>
      <protection locked="0" hidden="0"/>
    </xf>
    <xf numFmtId="1" fontId="15" fillId="2" borderId="13" applyAlignment="1" applyProtection="1" pivotButton="0" quotePrefix="0" xfId="0">
      <alignment horizontal="center"/>
      <protection locked="0" hidden="0"/>
    </xf>
    <xf numFmtId="0" fontId="24" fillId="2" borderId="2" applyAlignment="1" applyProtection="1" pivotButton="0" quotePrefix="0" xfId="0">
      <alignment horizontal="left"/>
      <protection locked="0" hidden="0"/>
    </xf>
    <xf numFmtId="0" fontId="20" fillId="5" borderId="45" applyAlignment="1" applyProtection="1" pivotButton="0" quotePrefix="0" xfId="0">
      <alignment horizontal="left"/>
      <protection locked="0" hidden="0"/>
    </xf>
    <xf numFmtId="43" fontId="15" fillId="2" borderId="30" applyAlignment="1" applyProtection="1" pivotButton="0" quotePrefix="0" xfId="0">
      <alignment horizontal="center"/>
      <protection locked="0" hidden="0"/>
    </xf>
    <xf numFmtId="2" fontId="20" fillId="2" borderId="10" applyAlignment="1" applyProtection="1" pivotButton="0" quotePrefix="0" xfId="0">
      <alignment horizontal="center"/>
      <protection locked="0" hidden="0"/>
    </xf>
    <xf numFmtId="1" fontId="15" fillId="2" borderId="31" applyAlignment="1" applyProtection="1" pivotButton="0" quotePrefix="0" xfId="0">
      <alignment horizontal="center"/>
      <protection locked="0" hidden="0"/>
    </xf>
    <xf numFmtId="0" fontId="24" fillId="2" borderId="31" applyAlignment="1" applyProtection="1" pivotButton="0" quotePrefix="0" xfId="0">
      <alignment horizontal="left"/>
      <protection locked="0" hidden="0"/>
    </xf>
    <xf numFmtId="2" fontId="24" fillId="2" borderId="31" applyAlignment="1" applyProtection="1" pivotButton="0" quotePrefix="0" xfId="0">
      <alignment horizontal="center"/>
      <protection locked="0" hidden="0"/>
    </xf>
    <xf numFmtId="164" fontId="15" fillId="2" borderId="32" applyAlignment="1" applyProtection="1" pivotButton="0" quotePrefix="0" xfId="0">
      <alignment horizontal="center"/>
      <protection locked="0" hidden="0"/>
    </xf>
    <xf numFmtId="0" fontId="20" fillId="0" borderId="45" applyProtection="1" pivotButton="0" quotePrefix="0" xfId="0">
      <protection locked="0" hidden="0"/>
    </xf>
    <xf numFmtId="0" fontId="20" fillId="0" borderId="30" applyProtection="1" pivotButton="0" quotePrefix="0" xfId="0">
      <protection locked="0" hidden="0"/>
    </xf>
    <xf numFmtId="0" fontId="14" fillId="4" borderId="1" applyAlignment="1" applyProtection="1" pivotButton="0" quotePrefix="0" xfId="0">
      <alignment horizontal="left"/>
      <protection locked="0" hidden="0"/>
    </xf>
    <xf numFmtId="1" fontId="15" fillId="2" borderId="27" applyProtection="1" pivotButton="0" quotePrefix="0" xfId="0">
      <protection locked="0" hidden="0"/>
    </xf>
    <xf numFmtId="0" fontId="15" fillId="2" borderId="27" applyProtection="1" pivotButton="0" quotePrefix="0" xfId="0">
      <protection locked="0" hidden="0"/>
    </xf>
    <xf numFmtId="0" fontId="14" fillId="2" borderId="10" applyAlignment="1" applyProtection="1" pivotButton="0" quotePrefix="0" xfId="0">
      <alignment horizontal="center"/>
      <protection locked="0" hidden="0"/>
    </xf>
    <xf numFmtId="4" fontId="19" fillId="4" borderId="2" applyAlignment="1" applyProtection="1" pivotButton="0" quotePrefix="0" xfId="0">
      <alignment horizontal="center"/>
      <protection locked="0" hidden="0"/>
    </xf>
    <xf numFmtId="0" fontId="14" fillId="0" borderId="0" applyProtection="1" pivotButton="0" quotePrefix="0" xfId="0">
      <protection locked="0" hidden="0"/>
    </xf>
    <xf numFmtId="4" fontId="20" fillId="0" borderId="27" applyAlignment="1" applyProtection="1" pivotButton="0" quotePrefix="0" xfId="0">
      <alignment horizontal="center"/>
      <protection locked="0" hidden="0"/>
    </xf>
    <xf numFmtId="0" fontId="14" fillId="4" borderId="8" applyAlignment="1" applyProtection="1" pivotButton="0" quotePrefix="0" xfId="0">
      <alignment horizontal="left"/>
      <protection locked="0" hidden="0"/>
    </xf>
    <xf numFmtId="0" fontId="14" fillId="0" borderId="8" applyAlignment="1" applyProtection="1" pivotButton="0" quotePrefix="0" xfId="0">
      <alignment horizontal="center"/>
      <protection locked="0" hidden="0"/>
    </xf>
    <xf numFmtId="4" fontId="20" fillId="0" borderId="8" applyAlignment="1" applyProtection="1" pivotButton="0" quotePrefix="0" xfId="0">
      <alignment horizontal="center"/>
      <protection locked="0" hidden="0"/>
    </xf>
    <xf numFmtId="4" fontId="20" fillId="0" borderId="10" applyAlignment="1" applyProtection="1" pivotButton="0" quotePrefix="0" xfId="0">
      <alignment horizontal="center"/>
      <protection locked="0" hidden="0"/>
    </xf>
    <xf numFmtId="0" fontId="14" fillId="0" borderId="5" applyAlignment="1" applyProtection="1" pivotButton="0" quotePrefix="0" xfId="0">
      <alignment horizontal="center"/>
      <protection locked="0" hidden="0"/>
    </xf>
    <xf numFmtId="4" fontId="19" fillId="0" borderId="6" applyAlignment="1" applyProtection="1" pivotButton="0" quotePrefix="0" xfId="0">
      <alignment horizontal="center"/>
      <protection locked="0" hidden="0"/>
    </xf>
    <xf numFmtId="0" fontId="14" fillId="4" borderId="15" applyAlignment="1" applyProtection="1" pivotButton="0" quotePrefix="0" xfId="0">
      <alignment horizontal="left"/>
      <protection locked="0" hidden="0"/>
    </xf>
    <xf numFmtId="0" fontId="15" fillId="4" borderId="13" applyAlignment="1" applyProtection="1" pivotButton="0" quotePrefix="0" xfId="0">
      <alignment horizontal="center"/>
      <protection locked="0" hidden="0"/>
    </xf>
    <xf numFmtId="1" fontId="14" fillId="4" borderId="13" applyAlignment="1" applyProtection="1" pivotButton="0" quotePrefix="0" xfId="0">
      <alignment horizontal="centerContinuous"/>
      <protection locked="0" hidden="0"/>
    </xf>
    <xf numFmtId="0" fontId="14" fillId="4" borderId="13" applyAlignment="1" applyProtection="1" pivotButton="0" quotePrefix="0" xfId="0">
      <alignment horizontal="left"/>
      <protection locked="0" hidden="0"/>
    </xf>
    <xf numFmtId="43" fontId="15" fillId="2" borderId="45" applyProtection="1" pivotButton="0" quotePrefix="0" xfId="0">
      <protection locked="0" hidden="0"/>
    </xf>
    <xf numFmtId="1" fontId="15" fillId="2" borderId="45" applyProtection="1" pivotButton="0" quotePrefix="0" xfId="0">
      <protection locked="0" hidden="0"/>
    </xf>
    <xf numFmtId="0" fontId="15" fillId="2" borderId="45" applyProtection="1" pivotButton="0" quotePrefix="0" xfId="0">
      <protection locked="0" hidden="0"/>
    </xf>
    <xf numFmtId="43" fontId="15" fillId="2" borderId="27" applyProtection="1" pivotButton="0" quotePrefix="0" xfId="0">
      <protection locked="0" hidden="0"/>
    </xf>
    <xf numFmtId="0" fontId="14" fillId="2" borderId="27" applyAlignment="1" applyProtection="1" pivotButton="0" quotePrefix="0" xfId="0">
      <alignment horizontal="center"/>
      <protection locked="0" hidden="0"/>
    </xf>
    <xf numFmtId="1" fontId="15" fillId="2" borderId="30" applyProtection="1" pivotButton="0" quotePrefix="0" xfId="0">
      <protection locked="0" hidden="0"/>
    </xf>
    <xf numFmtId="43" fontId="15" fillId="2" borderId="30" applyProtection="1" pivotButton="0" quotePrefix="0" xfId="0">
      <protection locked="0" hidden="0"/>
    </xf>
    <xf numFmtId="2" fontId="20" fillId="2" borderId="30" applyAlignment="1" applyProtection="1" pivotButton="0" quotePrefix="0" xfId="1">
      <alignment horizontal="right"/>
      <protection locked="0" hidden="0"/>
    </xf>
    <xf numFmtId="164" fontId="15" fillId="2" borderId="43" applyAlignment="1" applyProtection="1" pivotButton="0" quotePrefix="0" xfId="0">
      <alignment horizontal="center"/>
      <protection locked="0" hidden="0"/>
    </xf>
    <xf numFmtId="1" fontId="15" fillId="2" borderId="2" applyProtection="1" pivotButton="0" quotePrefix="0" xfId="0">
      <protection locked="0" hidden="0"/>
    </xf>
    <xf numFmtId="43" fontId="15" fillId="2" borderId="2" applyProtection="1" pivotButton="0" quotePrefix="0" xfId="0">
      <protection locked="0" hidden="0"/>
    </xf>
    <xf numFmtId="43" fontId="15" fillId="2" borderId="10" applyProtection="1" pivotButton="0" quotePrefix="0" xfId="0">
      <protection locked="0" hidden="0"/>
    </xf>
    <xf numFmtId="0" fontId="14" fillId="2" borderId="42" applyAlignment="1" applyProtection="1" pivotButton="0" quotePrefix="0" xfId="0">
      <alignment horizontal="center"/>
      <protection locked="0" hidden="0"/>
    </xf>
    <xf numFmtId="43" fontId="15" fillId="2" borderId="42" applyProtection="1" pivotButton="0" quotePrefix="0" xfId="0">
      <protection locked="0" hidden="0"/>
    </xf>
    <xf numFmtId="0" fontId="21" fillId="2" borderId="1" applyAlignment="1" applyProtection="1" pivotButton="0" quotePrefix="0" xfId="0">
      <alignment horizontal="left"/>
      <protection locked="0" hidden="0"/>
    </xf>
    <xf numFmtId="43" fontId="15" fillId="2" borderId="31" applyProtection="1" pivotButton="0" quotePrefix="0" xfId="0">
      <protection locked="0" hidden="0"/>
    </xf>
    <xf numFmtId="0" fontId="21" fillId="4" borderId="1" applyAlignment="1" applyProtection="1" pivotButton="0" quotePrefix="0" xfId="0">
      <alignment horizontal="left"/>
      <protection locked="0" hidden="0"/>
    </xf>
    <xf numFmtId="1" fontId="15" fillId="4" borderId="2" applyProtection="1" pivotButton="0" quotePrefix="0" xfId="0">
      <protection locked="0" hidden="0"/>
    </xf>
    <xf numFmtId="43" fontId="14" fillId="4" borderId="12" applyAlignment="1" applyProtection="1" pivotButton="0" quotePrefix="0" xfId="0">
      <alignment horizontal="center"/>
      <protection locked="0" hidden="0"/>
    </xf>
    <xf numFmtId="0" fontId="15" fillId="0" borderId="37" applyProtection="1" pivotButton="0" quotePrefix="0" xfId="0">
      <protection locked="0" hidden="0"/>
    </xf>
    <xf numFmtId="0" fontId="15" fillId="0" borderId="0" applyAlignment="1" applyProtection="1" pivotButton="0" quotePrefix="0" xfId="0">
      <alignment horizontal="center"/>
      <protection locked="0" hidden="0"/>
    </xf>
    <xf numFmtId="0" fontId="15" fillId="0" borderId="0" applyAlignment="1" applyProtection="1" pivotButton="0" quotePrefix="0" xfId="0">
      <alignment horizontal="left"/>
      <protection locked="0" hidden="0"/>
    </xf>
    <xf numFmtId="2" fontId="15" fillId="0" borderId="0" applyProtection="1" pivotButton="0" quotePrefix="0" xfId="0">
      <protection locked="0" hidden="0"/>
    </xf>
    <xf numFmtId="164" fontId="15" fillId="0" borderId="0" applyProtection="1" pivotButton="0" quotePrefix="0" xfId="0">
      <protection locked="0" hidden="0"/>
    </xf>
    <xf numFmtId="0" fontId="15" fillId="0" borderId="51" pivotButton="0" quotePrefix="0" xfId="0"/>
    <xf numFmtId="0" fontId="15" fillId="0" borderId="25" pivotButton="0" quotePrefix="0" xfId="0"/>
    <xf numFmtId="0" fontId="20" fillId="5" borderId="30" applyAlignment="1" applyProtection="1" pivotButton="0" quotePrefix="0" xfId="1">
      <alignment horizontal="left"/>
      <protection locked="0" hidden="0"/>
    </xf>
    <xf numFmtId="0" fontId="14" fillId="3" borderId="42" applyAlignment="1" applyProtection="1" pivotButton="0" quotePrefix="0" xfId="0">
      <alignment horizontal="left" vertical="center" wrapText="1"/>
      <protection locked="0" hidden="0"/>
    </xf>
    <xf numFmtId="0" fontId="20" fillId="5" borderId="27" applyAlignment="1" pivotButton="0" quotePrefix="0" xfId="0">
      <alignment horizontal="left"/>
    </xf>
    <xf numFmtId="43" fontId="15" fillId="4" borderId="2" applyAlignment="1" pivotButton="0" quotePrefix="0" xfId="0">
      <alignment horizontal="center"/>
    </xf>
    <xf numFmtId="43" fontId="15" fillId="2" borderId="2" applyAlignment="1" pivotButton="0" quotePrefix="0" xfId="0">
      <alignment horizontal="center"/>
    </xf>
    <xf numFmtId="164" fontId="15" fillId="0" borderId="46" applyAlignment="1" pivotButton="0" quotePrefix="0" xfId="0">
      <alignment horizontal="center"/>
    </xf>
    <xf numFmtId="164" fontId="15" fillId="0" borderId="24" applyAlignment="1" pivotButton="0" quotePrefix="0" xfId="0">
      <alignment horizontal="center"/>
    </xf>
    <xf numFmtId="164" fontId="15" fillId="4" borderId="3" applyAlignment="1" pivotButton="0" quotePrefix="0" xfId="0">
      <alignment horizontal="center"/>
    </xf>
    <xf numFmtId="164" fontId="15" fillId="0" borderId="28" applyAlignment="1" pivotButton="0" quotePrefix="0" xfId="0">
      <alignment horizontal="center"/>
    </xf>
    <xf numFmtId="164" fontId="15" fillId="2" borderId="24" applyAlignment="1" pivotButton="0" quotePrefix="0" xfId="0">
      <alignment horizontal="center"/>
    </xf>
    <xf numFmtId="164" fontId="15" fillId="2" borderId="28" applyAlignment="1" pivotButton="0" quotePrefix="0" xfId="0">
      <alignment horizontal="center"/>
    </xf>
    <xf numFmtId="164" fontId="15" fillId="2" borderId="3" applyAlignment="1" pivotButton="0" quotePrefix="0" xfId="0">
      <alignment horizontal="center"/>
    </xf>
    <xf numFmtId="164" fontId="15" fillId="2" borderId="11" applyAlignment="1" pivotButton="0" quotePrefix="0" xfId="0">
      <alignment horizontal="center"/>
    </xf>
    <xf numFmtId="164" fontId="14" fillId="2" borderId="7" applyAlignment="1" pivotButton="0" quotePrefix="0" xfId="0">
      <alignment horizontal="center"/>
    </xf>
    <xf numFmtId="164" fontId="15" fillId="2" borderId="46" applyAlignment="1" pivotButton="0" quotePrefix="0" xfId="0">
      <alignment horizontal="center"/>
    </xf>
    <xf numFmtId="2" fontId="20" fillId="2" borderId="27" applyAlignment="1" pivotButton="0" quotePrefix="0" xfId="0">
      <alignment horizontal="center"/>
    </xf>
    <xf numFmtId="164" fontId="15" fillId="0" borderId="11" applyAlignment="1" pivotButton="0" quotePrefix="0" xfId="0">
      <alignment horizontal="center"/>
    </xf>
    <xf numFmtId="164" fontId="14" fillId="0" borderId="7" applyAlignment="1" pivotButton="0" quotePrefix="0" xfId="0">
      <alignment horizontal="center"/>
    </xf>
    <xf numFmtId="0" fontId="14" fillId="0" borderId="49" applyProtection="1" pivotButton="0" quotePrefix="0" xfId="0">
      <protection locked="0" hidden="0"/>
    </xf>
    <xf numFmtId="0" fontId="15" fillId="0" borderId="49" applyProtection="1" pivotButton="0" quotePrefix="0" xfId="0">
      <protection locked="0" hidden="0"/>
    </xf>
    <xf numFmtId="1" fontId="15" fillId="0" borderId="49" applyProtection="1" pivotButton="0" quotePrefix="0" xfId="0">
      <protection locked="0" hidden="0"/>
    </xf>
    <xf numFmtId="49" fontId="14" fillId="0" borderId="49" applyAlignment="1" applyProtection="1" pivotButton="0" quotePrefix="0" xfId="0">
      <alignment horizontal="left"/>
      <protection locked="0" hidden="0"/>
    </xf>
    <xf numFmtId="0" fontId="15" fillId="2" borderId="2" applyAlignment="1" pivotButton="0" quotePrefix="0" xfId="0">
      <alignment horizontal="center"/>
    </xf>
    <xf numFmtId="0" fontId="15" fillId="2" borderId="27" applyAlignment="1" pivotButton="0" quotePrefix="0" xfId="0">
      <alignment horizontal="center"/>
    </xf>
    <xf numFmtId="0" fontId="15" fillId="2" borderId="30" applyAlignment="1" pivotButton="0" quotePrefix="0" xfId="0">
      <alignment horizontal="center"/>
    </xf>
    <xf numFmtId="164" fontId="14" fillId="2" borderId="11" applyAlignment="1" pivotButton="0" quotePrefix="0" xfId="0">
      <alignment horizontal="center"/>
    </xf>
    <xf numFmtId="164" fontId="14" fillId="2" borderId="43" applyAlignment="1" pivotButton="0" quotePrefix="0" xfId="0">
      <alignment horizontal="center"/>
    </xf>
    <xf numFmtId="43" fontId="14" fillId="2" borderId="32" applyAlignment="1" pivotButton="0" quotePrefix="0" xfId="0">
      <alignment horizontal="center"/>
    </xf>
    <xf numFmtId="164" fontId="14" fillId="4" borderId="11" applyAlignment="1" pivotButton="0" quotePrefix="0" xfId="0">
      <alignment horizontal="center"/>
    </xf>
    <xf numFmtId="164" fontId="15" fillId="0" borderId="3" applyAlignment="1" pivotButton="0" quotePrefix="0" xfId="0">
      <alignment horizontal="center"/>
    </xf>
    <xf numFmtId="0" fontId="0" fillId="7" borderId="10" applyAlignment="1" pivotButton="0" quotePrefix="0" xfId="0">
      <alignment horizontal="center"/>
    </xf>
    <xf numFmtId="0" fontId="0" fillId="0" borderId="42" applyAlignment="1" pivotButton="0" quotePrefix="0" xfId="0">
      <alignment horizontal="center"/>
    </xf>
    <xf numFmtId="0" fontId="16" fillId="6" borderId="2" applyAlignment="1" pivotButton="0" quotePrefix="0" xfId="0">
      <alignment horizontal="center" vertical="center" wrapText="1"/>
    </xf>
    <xf numFmtId="0" fontId="0" fillId="5" borderId="3" applyAlignment="1" pivotButton="0" quotePrefix="0" xfId="0">
      <alignment wrapText="1"/>
    </xf>
    <xf numFmtId="0" fontId="0" fillId="0" borderId="42" pivotButton="0" quotePrefix="0" xfId="0"/>
    <xf numFmtId="0" fontId="0" fillId="0" borderId="27" applyAlignment="1" pivotButton="0" quotePrefix="0" xfId="0">
      <alignment horizontal="center"/>
    </xf>
    <xf numFmtId="0" fontId="0" fillId="5" borderId="0" applyAlignment="1" pivotButton="0" quotePrefix="0" xfId="0">
      <alignment horizontal="center" wrapText="1"/>
    </xf>
    <xf numFmtId="0" fontId="0" fillId="5" borderId="0" applyAlignment="1" pivotButton="0" quotePrefix="0" xfId="0">
      <alignment horizontal="center" vertical="center" wrapText="1"/>
    </xf>
    <xf numFmtId="0" fontId="0" fillId="0" borderId="33" applyAlignment="1" pivotButton="0" quotePrefix="0" xfId="0">
      <alignment wrapText="1"/>
    </xf>
    <xf numFmtId="0" fontId="0" fillId="0" borderId="34" applyAlignment="1" pivotButton="0" quotePrefix="0" xfId="0">
      <alignment wrapText="1"/>
    </xf>
    <xf numFmtId="0" fontId="0" fillId="0" borderId="35" applyAlignment="1" pivotButton="0" quotePrefix="0" xfId="0">
      <alignment wrapText="1"/>
    </xf>
    <xf numFmtId="0" fontId="5" fillId="5" borderId="27" applyAlignment="1" pivotButton="0" quotePrefix="0" xfId="3">
      <alignment wrapText="1"/>
    </xf>
    <xf numFmtId="0" fontId="5" fillId="5" borderId="27" pivotButton="0" quotePrefix="0" xfId="3"/>
    <xf numFmtId="0" fontId="5" fillId="5" borderId="27" applyAlignment="1" pivotButton="0" quotePrefix="0" xfId="3">
      <alignment vertical="center"/>
    </xf>
    <xf numFmtId="0" fontId="5" fillId="5" borderId="27" applyAlignment="1" pivotButton="0" quotePrefix="0" xfId="1">
      <alignment vertical="center"/>
    </xf>
    <xf numFmtId="0" fontId="5" fillId="5" borderId="30" applyAlignment="1" pivotButton="0" quotePrefix="0" xfId="1">
      <alignment vertical="center"/>
    </xf>
    <xf numFmtId="0" fontId="5" fillId="5" borderId="45" applyAlignment="1" pivotButton="0" quotePrefix="0" xfId="1">
      <alignment vertical="top" wrapText="1"/>
    </xf>
    <xf numFmtId="0" fontId="5" fillId="5" borderId="45" applyAlignment="1" pivotButton="0" quotePrefix="0" xfId="1">
      <alignment vertical="center"/>
    </xf>
    <xf numFmtId="0" fontId="25" fillId="0" borderId="45" applyAlignment="1" pivotButton="0" quotePrefix="0" xfId="1">
      <alignment horizontal="center"/>
    </xf>
    <xf numFmtId="0" fontId="25" fillId="0" borderId="27" applyAlignment="1" pivotButton="0" quotePrefix="0" xfId="1">
      <alignment vertical="center"/>
    </xf>
    <xf numFmtId="4" fontId="25" fillId="4" borderId="45" applyAlignment="1" pivotButton="0" quotePrefix="0" xfId="1">
      <alignment horizontal="center"/>
    </xf>
    <xf numFmtId="164" fontId="26" fillId="0" borderId="24" applyAlignment="1" pivotButton="0" quotePrefix="0" xfId="0">
      <alignment horizontal="center"/>
    </xf>
    <xf numFmtId="0" fontId="25" fillId="0" borderId="27" applyAlignment="1" pivotButton="0" quotePrefix="0" xfId="1">
      <alignment horizontal="center"/>
    </xf>
    <xf numFmtId="0" fontId="25" fillId="0" borderId="27" applyAlignment="1" pivotButton="0" quotePrefix="0" xfId="0">
      <alignment horizontal="center"/>
    </xf>
    <xf numFmtId="0" fontId="25" fillId="0" borderId="27" applyAlignment="1" pivotButton="0" quotePrefix="0" xfId="3">
      <alignment vertical="center"/>
    </xf>
    <xf numFmtId="0" fontId="3" fillId="5" borderId="27" pivotButton="0" quotePrefix="0" xfId="0"/>
    <xf numFmtId="0" fontId="3" fillId="0" borderId="49" applyAlignment="1" pivotButton="0" quotePrefix="0" xfId="0">
      <alignment horizontal="center"/>
    </xf>
    <xf numFmtId="0" fontId="1" fillId="0" borderId="49" applyAlignment="1" pivotButton="0" quotePrefix="0" xfId="0">
      <alignment horizontal="center"/>
    </xf>
    <xf numFmtId="0" fontId="12" fillId="0" borderId="49" applyAlignment="1" pivotButton="0" quotePrefix="0" xfId="0">
      <alignment horizontal="left"/>
    </xf>
    <xf numFmtId="0" fontId="12" fillId="0" borderId="49" applyAlignment="1" pivotButton="0" quotePrefix="0" xfId="0">
      <alignment horizontal="center"/>
    </xf>
    <xf numFmtId="0" fontId="17" fillId="0" borderId="49" applyAlignment="1" pivotButton="0" quotePrefix="0" xfId="0">
      <alignment horizontal="center"/>
    </xf>
    <xf numFmtId="0" fontId="6" fillId="0" borderId="49" applyAlignment="1" pivotButton="0" quotePrefix="0" xfId="0">
      <alignment horizontal="center"/>
    </xf>
    <xf numFmtId="0" fontId="3" fillId="0" borderId="49" applyAlignment="1" pivotButton="0" quotePrefix="0" xfId="0">
      <alignment horizontal="center" vertical="top"/>
    </xf>
    <xf numFmtId="0" fontId="1" fillId="0" borderId="49" applyProtection="1" pivotButton="0" quotePrefix="0" xfId="0">
      <protection locked="0" hidden="0"/>
    </xf>
    <xf numFmtId="0" fontId="3" fillId="0" borderId="49" pivotButton="0" quotePrefix="0" xfId="0"/>
    <xf numFmtId="0" fontId="9" fillId="5" borderId="58" applyAlignment="1" pivotButton="0" quotePrefix="0" xfId="0">
      <alignment horizontal="center" vertical="center" wrapText="1"/>
    </xf>
    <xf numFmtId="0" fontId="0" fillId="0" borderId="57" applyAlignment="1" applyProtection="1" pivotButton="0" quotePrefix="0" xfId="0">
      <alignment horizontal="center"/>
      <protection locked="0" hidden="0"/>
    </xf>
    <xf numFmtId="0" fontId="0" fillId="0" borderId="57" applyAlignment="1" applyProtection="1" pivotButton="0" quotePrefix="0" xfId="0">
      <alignment horizontal="left"/>
      <protection locked="0" hidden="0"/>
    </xf>
    <xf numFmtId="0" fontId="20" fillId="0" borderId="0" applyAlignment="1" pivotButton="0" quotePrefix="0" xfId="0">
      <alignment horizontal="center" vertical="center"/>
    </xf>
    <xf numFmtId="0" fontId="15" fillId="0" borderId="27" applyAlignment="1" pivotButton="0" quotePrefix="0" xfId="0">
      <alignment horizontal="center"/>
    </xf>
    <xf numFmtId="0" fontId="0" fillId="4" borderId="40" applyAlignment="1" pivotButton="0" quotePrefix="0" xfId="0">
      <alignment horizontal="center"/>
    </xf>
    <xf numFmtId="0" fontId="0" fillId="4" borderId="0" pivotButton="0" quotePrefix="0" xfId="0"/>
    <xf numFmtId="0" fontId="0" fillId="4" borderId="0" applyAlignment="1" pivotButton="0" quotePrefix="0" xfId="0">
      <alignment horizontal="center"/>
    </xf>
    <xf numFmtId="0" fontId="0" fillId="4" borderId="49" applyAlignment="1" pivotButton="0" quotePrefix="0" xfId="0">
      <alignment horizontal="center"/>
    </xf>
    <xf numFmtId="0" fontId="0" fillId="4" borderId="49" pivotButton="0" quotePrefix="0" xfId="0"/>
    <xf numFmtId="0" fontId="14" fillId="0" borderId="42" applyAlignment="1" pivotButton="0" quotePrefix="0" xfId="0">
      <alignment horizontal="center"/>
    </xf>
    <xf numFmtId="0" fontId="15" fillId="0" borderId="42" pivotButton="0" quotePrefix="0" xfId="0"/>
    <xf numFmtId="4" fontId="20" fillId="0" borderId="42" applyAlignment="1" pivotButton="0" quotePrefix="0" xfId="0">
      <alignment horizontal="center"/>
    </xf>
    <xf numFmtId="0" fontId="19" fillId="0" borderId="42" pivotButton="0" quotePrefix="0" xfId="0"/>
    <xf numFmtId="0" fontId="20" fillId="0" borderId="0" applyAlignment="1" pivotButton="0" quotePrefix="0" xfId="0">
      <alignment horizontal="left" vertical="center"/>
    </xf>
    <xf numFmtId="0" fontId="17" fillId="0" borderId="42" applyAlignment="1" pivotButton="0" quotePrefix="0" xfId="0">
      <alignment horizontal="center"/>
    </xf>
    <xf numFmtId="0" fontId="6" fillId="0" borderId="42" pivotButton="0" quotePrefix="0" xfId="0"/>
    <xf numFmtId="0" fontId="3" fillId="0" borderId="42" applyAlignment="1" pivotButton="0" quotePrefix="0" xfId="0">
      <alignment vertical="top"/>
    </xf>
    <xf numFmtId="0" fontId="1" fillId="0" borderId="42" applyAlignment="1" applyProtection="1" pivotButton="0" quotePrefix="0" xfId="0">
      <alignment horizontal="center"/>
      <protection locked="0" hidden="0"/>
    </xf>
    <xf numFmtId="0" fontId="9" fillId="5" borderId="58" applyAlignment="1" pivotButton="0" quotePrefix="0" xfId="7">
      <alignment horizontal="center" vertical="center" wrapText="1"/>
    </xf>
    <xf numFmtId="0" fontId="16" fillId="0" borderId="0" applyAlignment="1" pivotButton="0" quotePrefix="0" xfId="0">
      <alignment horizontal="center" vertical="center" wrapText="1"/>
    </xf>
    <xf numFmtId="0" fontId="8" fillId="0" borderId="0" applyAlignment="1" pivotButton="0" quotePrefix="0" xfId="0">
      <alignment horizontal="center" wrapText="1"/>
    </xf>
    <xf numFmtId="0" fontId="8" fillId="0" borderId="0" applyAlignment="1" pivotButton="0" quotePrefix="0" xfId="0">
      <alignment horizontal="center"/>
    </xf>
    <xf numFmtId="0" fontId="8" fillId="0" borderId="0" applyAlignment="1" applyProtection="1" pivotButton="0" quotePrefix="0" xfId="0">
      <alignment horizontal="center"/>
      <protection locked="0" hidden="0"/>
    </xf>
    <xf numFmtId="0" fontId="13" fillId="5" borderId="41" applyAlignment="1" pivotButton="0" quotePrefix="0" xfId="0">
      <alignment horizontal="left"/>
    </xf>
    <xf numFmtId="0" fontId="3" fillId="5" borderId="0" applyAlignment="1" pivotButton="0" quotePrefix="0" xfId="0">
      <alignment horizontal="center"/>
    </xf>
    <xf numFmtId="0" fontId="1" fillId="5" borderId="0" applyAlignment="1" pivotButton="0" quotePrefix="0" xfId="0">
      <alignment horizontal="center"/>
    </xf>
    <xf numFmtId="4" fontId="1" fillId="5" borderId="31" applyAlignment="1" pivotButton="0" quotePrefix="0" xfId="0">
      <alignment horizontal="center"/>
    </xf>
    <xf numFmtId="164" fontId="1" fillId="5" borderId="32" applyAlignment="1" pivotButton="0" quotePrefix="0" xfId="0">
      <alignment horizontal="center"/>
    </xf>
    <xf numFmtId="0" fontId="13" fillId="5" borderId="1" applyAlignment="1" pivotButton="0" quotePrefix="0" xfId="0">
      <alignment horizontal="left"/>
    </xf>
    <xf numFmtId="0" fontId="3" fillId="5" borderId="31" applyAlignment="1" pivotButton="0" quotePrefix="0" xfId="0">
      <alignment horizontal="center"/>
    </xf>
    <xf numFmtId="0" fontId="1" fillId="5" borderId="31" applyAlignment="1" pivotButton="0" quotePrefix="0" xfId="0">
      <alignment horizontal="center"/>
    </xf>
    <xf numFmtId="0" fontId="2" fillId="5" borderId="31" applyAlignment="1" pivotButton="0" quotePrefix="0" xfId="1">
      <alignment horizontal="center"/>
    </xf>
    <xf numFmtId="0" fontId="1" fillId="5" borderId="1" applyAlignment="1" pivotButton="0" quotePrefix="0" xfId="0">
      <alignment horizontal="left"/>
    </xf>
    <xf numFmtId="0" fontId="3" fillId="5" borderId="2" applyAlignment="1" pivotButton="0" quotePrefix="0" xfId="0">
      <alignment horizontal="center"/>
    </xf>
    <xf numFmtId="0" fontId="1" fillId="5" borderId="2" applyAlignment="1" pivotButton="0" quotePrefix="0" xfId="0">
      <alignment horizontal="center"/>
    </xf>
    <xf numFmtId="4" fontId="1" fillId="5" borderId="2" applyAlignment="1" pivotButton="0" quotePrefix="0" xfId="0">
      <alignment horizontal="center"/>
    </xf>
    <xf numFmtId="164" fontId="1" fillId="5" borderId="3" applyAlignment="1" pivotButton="0" quotePrefix="0" xfId="0">
      <alignment horizontal="center"/>
    </xf>
    <xf numFmtId="0" fontId="1" fillId="5" borderId="15" applyAlignment="1" pivotButton="0" quotePrefix="0" xfId="0">
      <alignment horizontal="left"/>
    </xf>
    <xf numFmtId="0" fontId="3" fillId="5" borderId="42" applyAlignment="1" applyProtection="1" pivotButton="0" quotePrefix="0" xfId="0">
      <alignment horizontal="center"/>
      <protection locked="0" hidden="0"/>
    </xf>
    <xf numFmtId="0" fontId="5" fillId="5" borderId="50" applyAlignment="1" applyProtection="1" pivotButton="0" quotePrefix="0" xfId="1">
      <alignment horizontal="center"/>
      <protection locked="0" hidden="0"/>
    </xf>
    <xf numFmtId="0" fontId="5" fillId="5" borderId="1" applyProtection="1" pivotButton="0" quotePrefix="0" xfId="1">
      <protection locked="0" hidden="0"/>
    </xf>
    <xf numFmtId="4" fontId="5" fillId="5" borderId="2" applyAlignment="1" applyProtection="1" pivotButton="0" quotePrefix="0" xfId="1">
      <alignment horizontal="center"/>
      <protection locked="0" hidden="0"/>
    </xf>
    <xf numFmtId="164" fontId="3" fillId="5" borderId="3" applyAlignment="1" pivotButton="0" quotePrefix="0" xfId="0">
      <alignment horizontal="center"/>
    </xf>
    <xf numFmtId="0" fontId="3" fillId="5" borderId="13" applyAlignment="1" pivotButton="0" quotePrefix="0" xfId="0">
      <alignment horizontal="center"/>
    </xf>
    <xf numFmtId="0" fontId="1" fillId="5" borderId="13" applyAlignment="1" pivotButton="0" quotePrefix="0" xfId="0">
      <alignment horizontal="center"/>
    </xf>
    <xf numFmtId="0" fontId="15" fillId="0" borderId="2" applyAlignment="1" pivotButton="0" quotePrefix="0" xfId="0">
      <alignment horizontal="center"/>
    </xf>
    <xf numFmtId="0" fontId="15" fillId="0" borderId="3" applyAlignment="1" pivotButton="0" quotePrefix="0" xfId="0">
      <alignment horizontal="center"/>
    </xf>
    <xf numFmtId="2" fontId="20" fillId="0" borderId="27" applyAlignment="1" pivotButton="0" quotePrefix="0" xfId="0">
      <alignment horizontal="center"/>
    </xf>
    <xf numFmtId="1" fontId="15" fillId="0" borderId="45" applyAlignment="1" applyProtection="1" pivotButton="0" quotePrefix="0" xfId="0">
      <alignment horizontal="center" wrapText="1"/>
      <protection locked="0" hidden="0"/>
    </xf>
    <xf numFmtId="0" fontId="15" fillId="5" borderId="8" applyAlignment="1" applyProtection="1" pivotButton="0" quotePrefix="0" xfId="0">
      <alignment horizontal="center"/>
      <protection locked="0" hidden="0"/>
    </xf>
    <xf numFmtId="0" fontId="15" fillId="0" borderId="26" pivotButton="0" quotePrefix="0" xfId="0"/>
    <xf numFmtId="0" fontId="15" fillId="0" borderId="33" applyAlignment="1" pivotButton="0" quotePrefix="0" xfId="0">
      <alignment vertical="top"/>
    </xf>
    <xf numFmtId="0" fontId="15" fillId="0" borderId="4" applyAlignment="1" pivotButton="0" quotePrefix="0" xfId="0">
      <alignment horizontal="center"/>
    </xf>
    <xf numFmtId="1" fontId="15" fillId="0" borderId="18" applyAlignment="1" pivotButton="0" quotePrefix="0" xfId="0">
      <alignment horizontal="center"/>
    </xf>
    <xf numFmtId="1" fontId="15" fillId="0" borderId="24" applyAlignment="1" pivotButton="0" quotePrefix="0" xfId="0">
      <alignment horizontal="center"/>
    </xf>
    <xf numFmtId="3" fontId="15" fillId="0" borderId="24" applyAlignment="1" pivotButton="0" quotePrefix="0" xfId="0">
      <alignment horizontal="center"/>
    </xf>
    <xf numFmtId="164" fontId="15" fillId="0" borderId="21" applyAlignment="1" pivotButton="0" quotePrefix="0" xfId="0">
      <alignment horizontal="center"/>
    </xf>
    <xf numFmtId="0" fontId="15" fillId="0" borderId="18" applyAlignment="1" pivotButton="0" quotePrefix="0" xfId="0">
      <alignment horizontal="center"/>
    </xf>
    <xf numFmtId="164" fontId="15" fillId="0" borderId="27" applyAlignment="1" pivotButton="0" quotePrefix="0" xfId="0">
      <alignment horizontal="center"/>
    </xf>
    <xf numFmtId="0" fontId="15" fillId="0" borderId="24" applyAlignment="1" pivotButton="0" quotePrefix="0" xfId="0">
      <alignment horizontal="center"/>
    </xf>
    <xf numFmtId="164" fontId="15" fillId="0" borderId="30" applyAlignment="1" pivotButton="0" quotePrefix="0" xfId="0">
      <alignment horizontal="center"/>
    </xf>
    <xf numFmtId="164" fontId="15" fillId="0" borderId="34" applyAlignment="1" pivotButton="0" quotePrefix="0" xfId="0">
      <alignment horizontal="center"/>
    </xf>
    <xf numFmtId="0" fontId="15" fillId="0" borderId="35" applyAlignment="1" pivotButton="0" quotePrefix="0" xfId="0">
      <alignment horizontal="center"/>
    </xf>
    <xf numFmtId="164" fontId="15" fillId="0" borderId="21" applyAlignment="1" pivotButton="0" quotePrefix="0" xfId="0">
      <alignment horizontal="center" vertical="top"/>
    </xf>
    <xf numFmtId="0" fontId="15" fillId="0" borderId="18" applyAlignment="1" pivotButton="0" quotePrefix="0" xfId="0">
      <alignment horizontal="center" vertical="top"/>
    </xf>
    <xf numFmtId="164" fontId="15" fillId="0" borderId="27" applyAlignment="1" pivotButton="0" quotePrefix="0" xfId="0">
      <alignment horizontal="center" vertical="top"/>
    </xf>
    <xf numFmtId="0" fontId="15" fillId="0" borderId="24" applyAlignment="1" pivotButton="0" quotePrefix="0" xfId="0">
      <alignment horizontal="center" vertical="top"/>
    </xf>
    <xf numFmtId="164" fontId="15" fillId="0" borderId="30" applyAlignment="1" pivotButton="0" quotePrefix="0" xfId="0">
      <alignment horizontal="center" vertical="top"/>
    </xf>
    <xf numFmtId="0" fontId="15" fillId="0" borderId="28" applyAlignment="1" pivotButton="0" quotePrefix="0" xfId="0">
      <alignment horizontal="center" vertical="top"/>
    </xf>
    <xf numFmtId="164" fontId="15" fillId="0" borderId="34" applyAlignment="1" pivotButton="0" quotePrefix="0" xfId="0">
      <alignment horizontal="center" vertical="top"/>
    </xf>
    <xf numFmtId="0" fontId="15" fillId="0" borderId="35" applyAlignment="1" pivotButton="0" quotePrefix="0" xfId="0">
      <alignment horizontal="center" vertical="top"/>
    </xf>
    <xf numFmtId="0" fontId="15" fillId="0" borderId="53" applyAlignment="1" pivotButton="0" quotePrefix="0" xfId="0">
      <alignment horizontal="center" vertical="top"/>
    </xf>
    <xf numFmtId="14" fontId="15" fillId="0" borderId="2" pivotButton="0" quotePrefix="0" xfId="0"/>
    <xf numFmtId="14" fontId="15" fillId="0" borderId="3" pivotButton="0" quotePrefix="0" xfId="0"/>
    <xf numFmtId="0" fontId="15" fillId="5" borderId="17" applyProtection="1" pivotButton="0" quotePrefix="0" xfId="0">
      <protection locked="0" hidden="0"/>
    </xf>
    <xf numFmtId="14" fontId="15" fillId="5" borderId="21" applyProtection="1" pivotButton="0" quotePrefix="0" xfId="0">
      <protection locked="0" hidden="0"/>
    </xf>
    <xf numFmtId="0" fontId="15" fillId="5" borderId="18" applyProtection="1" pivotButton="0" quotePrefix="0" xfId="0">
      <protection locked="0" hidden="0"/>
    </xf>
    <xf numFmtId="0" fontId="15" fillId="5" borderId="23" applyProtection="1" pivotButton="0" quotePrefix="0" xfId="0">
      <protection locked="0" hidden="0"/>
    </xf>
    <xf numFmtId="0" fontId="15" fillId="5" borderId="27" applyProtection="1" pivotButton="0" quotePrefix="0" xfId="0">
      <protection locked="0" hidden="0"/>
    </xf>
    <xf numFmtId="0" fontId="15" fillId="5" borderId="24" applyProtection="1" pivotButton="0" quotePrefix="0" xfId="0">
      <protection locked="0" hidden="0"/>
    </xf>
    <xf numFmtId="0" fontId="15" fillId="5" borderId="33" applyProtection="1" pivotButton="0" quotePrefix="0" xfId="0">
      <protection locked="0" hidden="0"/>
    </xf>
    <xf numFmtId="0" fontId="15" fillId="5" borderId="34" applyProtection="1" pivotButton="0" quotePrefix="0" xfId="0">
      <protection locked="0" hidden="0"/>
    </xf>
    <xf numFmtId="0" fontId="15" fillId="5" borderId="35" applyProtection="1" pivotButton="0" quotePrefix="0" xfId="0">
      <protection locked="0" hidden="0"/>
    </xf>
    <xf numFmtId="0" fontId="15" fillId="5" borderId="18" applyAlignment="1" pivotButton="0" quotePrefix="0" xfId="0">
      <alignment horizontal="center"/>
    </xf>
    <xf numFmtId="14" fontId="15" fillId="0" borderId="28" applyAlignment="1" pivotButton="0" quotePrefix="0" xfId="0">
      <alignment horizontal="center"/>
    </xf>
    <xf numFmtId="14" fontId="14" fillId="0" borderId="8" applyAlignment="1" pivotButton="0" quotePrefix="0" xfId="0">
      <alignment horizontal="center" vertical="top" wrapText="1"/>
    </xf>
    <xf numFmtId="0" fontId="15" fillId="0" borderId="8" applyAlignment="1" pivotButton="0" quotePrefix="0" xfId="0">
      <alignment horizontal="left" vertical="top" wrapText="1"/>
    </xf>
    <xf numFmtId="0" fontId="15" fillId="0" borderId="1" applyAlignment="1" pivotButton="0" quotePrefix="0" xfId="0">
      <alignment horizontal="center" vertical="top" wrapText="1"/>
    </xf>
    <xf numFmtId="0" fontId="15" fillId="0" borderId="3" applyAlignment="1" pivotButton="0" quotePrefix="0" xfId="0">
      <alignment horizontal="center" vertical="top" wrapText="1"/>
    </xf>
    <xf numFmtId="0" fontId="31" fillId="0" borderId="0" applyAlignment="1" pivotButton="0" quotePrefix="0" xfId="0">
      <alignment horizontal="center" vertical="center"/>
    </xf>
    <xf numFmtId="0" fontId="20" fillId="0" borderId="2" applyAlignment="1" applyProtection="1" pivotButton="0" quotePrefix="0" xfId="0">
      <alignment horizontal="left"/>
      <protection locked="0" hidden="0"/>
    </xf>
    <xf numFmtId="0" fontId="20" fillId="2" borderId="0" pivotButton="0" quotePrefix="0" xfId="8"/>
    <xf numFmtId="0" fontId="20" fillId="0" borderId="0" pivotButton="0" quotePrefix="0" xfId="8"/>
    <xf numFmtId="1" fontId="15" fillId="2" borderId="27" applyAlignment="1" pivotButton="0" quotePrefix="0" xfId="0">
      <alignment horizontal="center"/>
    </xf>
    <xf numFmtId="0" fontId="0" fillId="9" borderId="10" applyAlignment="1" pivotButton="0" quotePrefix="0" xfId="0">
      <alignment horizontal="center"/>
    </xf>
    <xf numFmtId="0" fontId="10" fillId="0" borderId="0" applyAlignment="1" pivotButton="0" quotePrefix="0" xfId="9">
      <alignment horizontal="center"/>
    </xf>
    <xf numFmtId="2" fontId="20" fillId="5" borderId="27" applyAlignment="1" pivotButton="0" quotePrefix="0" xfId="0">
      <alignment horizontal="center"/>
    </xf>
    <xf numFmtId="164" fontId="15" fillId="0" borderId="26" applyAlignment="1" pivotButton="0" quotePrefix="0" xfId="0">
      <alignment horizontal="center" vertical="top"/>
    </xf>
    <xf numFmtId="0" fontId="35" fillId="0" borderId="17" applyAlignment="1" pivotButton="0" quotePrefix="0" xfId="0">
      <alignment horizontal="left"/>
    </xf>
    <xf numFmtId="0" fontId="20" fillId="0" borderId="23" applyAlignment="1" pivotButton="0" quotePrefix="0" xfId="9">
      <alignment horizontal="left"/>
    </xf>
    <xf numFmtId="0" fontId="32" fillId="0" borderId="23" applyAlignment="1" pivotButton="0" quotePrefix="0" xfId="9">
      <alignment horizontal="left"/>
    </xf>
    <xf numFmtId="0" fontId="35" fillId="0" borderId="23" applyAlignment="1" pivotButton="0" quotePrefix="0" xfId="0">
      <alignment horizontal="left"/>
    </xf>
    <xf numFmtId="0" fontId="19" fillId="3" borderId="42" applyAlignment="1" applyProtection="1" pivotButton="0" quotePrefix="0" xfId="10">
      <alignment horizontal="center" vertical="center" wrapText="1"/>
      <protection locked="0" hidden="0"/>
    </xf>
    <xf numFmtId="0" fontId="20" fillId="5" borderId="45" applyAlignment="1" applyProtection="1" pivotButton="0" quotePrefix="0" xfId="1">
      <alignment horizontal="left"/>
      <protection locked="0" hidden="0"/>
    </xf>
    <xf numFmtId="2" fontId="20" fillId="5" borderId="45" applyAlignment="1" applyProtection="1" pivotButton="0" quotePrefix="0" xfId="1">
      <alignment horizontal="right"/>
      <protection locked="0" hidden="0"/>
    </xf>
    <xf numFmtId="0" fontId="20" fillId="5" borderId="27" applyAlignment="1" applyProtection="1" pivotButton="0" quotePrefix="0" xfId="1">
      <alignment horizontal="left"/>
      <protection locked="0" hidden="0"/>
    </xf>
    <xf numFmtId="2" fontId="20" fillId="5" borderId="27" applyAlignment="1" applyProtection="1" pivotButton="0" quotePrefix="0" xfId="1">
      <alignment horizontal="right"/>
      <protection locked="0" hidden="0"/>
    </xf>
    <xf numFmtId="0" fontId="24" fillId="0" borderId="27" applyAlignment="1" applyProtection="1" pivotButton="0" quotePrefix="0" xfId="1">
      <alignment horizontal="left"/>
      <protection locked="0" hidden="0"/>
    </xf>
    <xf numFmtId="2" fontId="20" fillId="5" borderId="30" applyAlignment="1" applyProtection="1" pivotButton="0" quotePrefix="0" xfId="1">
      <alignment horizontal="right"/>
      <protection locked="0" hidden="0"/>
    </xf>
    <xf numFmtId="4" fontId="20" fillId="5" borderId="27" applyAlignment="1" applyProtection="1" pivotButton="0" quotePrefix="0" xfId="0">
      <alignment horizontal="center"/>
      <protection locked="0" hidden="0"/>
    </xf>
    <xf numFmtId="2" fontId="20" fillId="5" borderId="27" applyAlignment="1" applyProtection="1" pivotButton="0" quotePrefix="0" xfId="0">
      <alignment horizontal="center"/>
      <protection locked="0" hidden="0"/>
    </xf>
    <xf numFmtId="4" fontId="20" fillId="5" borderId="27" applyAlignment="1" pivotButton="0" quotePrefix="0" xfId="0">
      <alignment horizontal="center"/>
    </xf>
    <xf numFmtId="2" fontId="20" fillId="5" borderId="30" applyAlignment="1" applyProtection="1" pivotButton="0" quotePrefix="0" xfId="0">
      <alignment horizontal="center"/>
      <protection locked="0" hidden="0"/>
    </xf>
    <xf numFmtId="2" fontId="20" fillId="5" borderId="30" applyAlignment="1" applyProtection="1" pivotButton="0" quotePrefix="0" xfId="1">
      <alignment horizontal="center"/>
      <protection locked="0" hidden="0"/>
    </xf>
    <xf numFmtId="43" fontId="15" fillId="0" borderId="30" applyAlignment="1" applyProtection="1" pivotButton="0" quotePrefix="0" xfId="0">
      <alignment horizontal="center"/>
      <protection locked="0" hidden="0"/>
    </xf>
    <xf numFmtId="2" fontId="20" fillId="5" borderId="45" applyAlignment="1" applyProtection="1" pivotButton="0" quotePrefix="0" xfId="0">
      <alignment horizontal="center"/>
      <protection locked="0" hidden="0"/>
    </xf>
    <xf numFmtId="0" fontId="15" fillId="0" borderId="27" applyAlignment="1" applyProtection="1" pivotButton="0" quotePrefix="0" xfId="0">
      <alignment horizontal="left"/>
      <protection locked="0" hidden="0"/>
    </xf>
    <xf numFmtId="0" fontId="15" fillId="0" borderId="27" applyProtection="1" pivotButton="0" quotePrefix="0" xfId="0">
      <protection locked="0" hidden="0"/>
    </xf>
    <xf numFmtId="0" fontId="1" fillId="0" borderId="0" applyAlignment="1" pivotButton="0" quotePrefix="0" xfId="0">
      <alignment horizontal="right"/>
    </xf>
    <xf numFmtId="0" fontId="36" fillId="0" borderId="0" applyAlignment="1" pivotButton="0" quotePrefix="0" xfId="0">
      <alignment horizontal="center" vertical="center" wrapText="1"/>
    </xf>
    <xf numFmtId="0" fontId="1" fillId="0" borderId="0" applyAlignment="1" pivotButton="0" quotePrefix="0" xfId="0">
      <alignment horizontal="center"/>
    </xf>
    <xf numFmtId="164" fontId="1" fillId="0" borderId="0" pivotButton="0" quotePrefix="0" xfId="0"/>
    <xf numFmtId="164" fontId="1" fillId="0" borderId="0" applyAlignment="1" pivotButton="0" quotePrefix="0" xfId="0">
      <alignment horizontal="center"/>
    </xf>
    <xf numFmtId="164" fontId="1" fillId="0" borderId="3" applyAlignment="1" pivotButton="0" quotePrefix="0" xfId="0">
      <alignment horizontal="center"/>
    </xf>
    <xf numFmtId="0" fontId="1" fillId="0" borderId="37" applyAlignment="1" pivotButton="0" quotePrefix="0" xfId="0">
      <alignment horizontal="center"/>
    </xf>
    <xf numFmtId="0" fontId="37" fillId="0" borderId="0" applyAlignment="1" pivotButton="0" quotePrefix="0" xfId="0">
      <alignment horizontal="center"/>
    </xf>
    <xf numFmtId="164" fontId="1" fillId="0" borderId="38" applyAlignment="1" pivotButton="0" quotePrefix="0" xfId="0">
      <alignment horizontal="center"/>
    </xf>
    <xf numFmtId="0" fontId="3" fillId="0" borderId="37" applyAlignment="1" pivotButton="0" quotePrefix="0" xfId="0">
      <alignment horizontal="center"/>
    </xf>
    <xf numFmtId="164" fontId="3" fillId="0" borderId="38" applyAlignment="1" pivotButton="0" quotePrefix="0" xfId="0">
      <alignment horizontal="center"/>
    </xf>
    <xf numFmtId="0" fontId="3" fillId="0" borderId="15" applyAlignment="1" pivotButton="0" quotePrefix="0" xfId="0">
      <alignment horizontal="center"/>
    </xf>
    <xf numFmtId="0" fontId="3" fillId="0" borderId="13" pivotButton="0" quotePrefix="0" xfId="0"/>
    <xf numFmtId="164" fontId="3" fillId="0" borderId="14" applyAlignment="1" pivotButton="0" quotePrefix="0" xfId="0">
      <alignment horizontal="center"/>
    </xf>
    <xf numFmtId="0" fontId="3" fillId="0" borderId="41" applyAlignment="1" pivotButton="0" quotePrefix="0" xfId="0">
      <alignment horizontal="center"/>
    </xf>
    <xf numFmtId="0" fontId="37" fillId="0" borderId="31" applyAlignment="1" pivotButton="0" quotePrefix="0" xfId="0">
      <alignment horizontal="center"/>
    </xf>
    <xf numFmtId="164" fontId="3" fillId="0" borderId="32" applyAlignment="1" pivotButton="0" quotePrefix="0" xfId="0">
      <alignment horizontal="center"/>
    </xf>
    <xf numFmtId="0" fontId="1" fillId="0" borderId="41" applyAlignment="1" pivotButton="0" quotePrefix="0" xfId="0">
      <alignment horizontal="center"/>
    </xf>
    <xf numFmtId="164" fontId="0" fillId="0" borderId="0" pivotButton="0" quotePrefix="0" xfId="0"/>
    <xf numFmtId="0" fontId="0" fillId="0" borderId="37" applyAlignment="1" pivotButton="0" quotePrefix="0" xfId="0">
      <alignment horizontal="center"/>
    </xf>
    <xf numFmtId="164" fontId="1" fillId="0" borderId="32" applyAlignment="1" pivotButton="0" quotePrefix="0" xfId="0">
      <alignment horizontal="center"/>
    </xf>
    <xf numFmtId="0" fontId="1" fillId="0" borderId="15" applyAlignment="1" pivotButton="0" quotePrefix="0" xfId="0">
      <alignment horizontal="center"/>
    </xf>
    <xf numFmtId="0" fontId="3" fillId="0" borderId="13" applyAlignment="1" pivotButton="0" quotePrefix="0" xfId="0">
      <alignment horizontal="left"/>
    </xf>
    <xf numFmtId="0" fontId="3" fillId="0" borderId="0" applyAlignment="1" pivotButton="0" quotePrefix="0" xfId="0">
      <alignment horizontal="left"/>
    </xf>
    <xf numFmtId="0" fontId="37" fillId="0" borderId="31" applyAlignment="1" pivotButton="0" quotePrefix="0" xfId="0">
      <alignment horizontal="center" vertical="top"/>
    </xf>
    <xf numFmtId="0" fontId="3" fillId="0" borderId="76" applyAlignment="1" pivotButton="0" quotePrefix="0" xfId="0">
      <alignment horizontal="center"/>
    </xf>
    <xf numFmtId="0" fontId="3" fillId="0" borderId="55" applyAlignment="1" pivotButton="0" quotePrefix="0" xfId="0">
      <alignment horizontal="left"/>
    </xf>
    <xf numFmtId="164" fontId="3" fillId="0" borderId="77" applyAlignment="1" pivotButton="0" quotePrefix="0" xfId="0">
      <alignment horizontal="center"/>
    </xf>
    <xf numFmtId="164" fontId="1" fillId="0" borderId="14" applyAlignment="1" pivotButton="0" quotePrefix="0" xfId="0">
      <alignment horizontal="center"/>
    </xf>
    <xf numFmtId="0" fontId="13" fillId="0" borderId="2" applyAlignment="1" pivotButton="0" quotePrefix="0" xfId="0">
      <alignment horizontal="center"/>
    </xf>
    <xf numFmtId="164" fontId="0" fillId="0" borderId="0" applyAlignment="1" applyProtection="1" pivotButton="0" quotePrefix="0" xfId="0">
      <alignment horizontal="center"/>
      <protection locked="0" hidden="0"/>
    </xf>
    <xf numFmtId="0" fontId="11" fillId="0" borderId="0" pivotButton="0" quotePrefix="0" xfId="0"/>
    <xf numFmtId="0" fontId="4" fillId="0" borderId="0" pivotButton="0" quotePrefix="0" xfId="0"/>
    <xf numFmtId="0" fontId="9" fillId="0" borderId="0" applyAlignment="1" pivotButton="0" quotePrefix="0" xfId="0">
      <alignment horizontal="center"/>
    </xf>
    <xf numFmtId="0" fontId="39" fillId="0" borderId="0" pivotButton="0" quotePrefix="0" xfId="0"/>
    <xf numFmtId="0" fontId="4" fillId="0" borderId="55" applyAlignment="1" pivotButton="0" quotePrefix="0" xfId="0">
      <alignment horizontal="center"/>
    </xf>
    <xf numFmtId="0" fontId="4" fillId="0" borderId="0" applyAlignment="1" pivotButton="0" quotePrefix="0" xfId="0">
      <alignment horizontal="center"/>
    </xf>
    <xf numFmtId="0" fontId="39" fillId="0" borderId="55" applyProtection="1" pivotButton="0" quotePrefix="0" xfId="0">
      <protection locked="0" hidden="0"/>
    </xf>
    <xf numFmtId="0" fontId="4" fillId="0" borderId="0" applyProtection="1" pivotButton="0" quotePrefix="0" xfId="0">
      <protection locked="0" hidden="0"/>
    </xf>
    <xf numFmtId="0" fontId="4" fillId="5" borderId="40" applyAlignment="1" applyProtection="1" pivotButton="0" quotePrefix="0" xfId="0">
      <alignment horizontal="center"/>
      <protection locked="0" hidden="0"/>
    </xf>
    <xf numFmtId="0" fontId="11" fillId="0" borderId="0" applyAlignment="1" applyProtection="1" pivotButton="0" quotePrefix="0" xfId="0">
      <alignment horizontal="center"/>
      <protection locked="0" hidden="0"/>
    </xf>
    <xf numFmtId="0" fontId="40" fillId="0" borderId="0" pivotButton="0" quotePrefix="0" xfId="0"/>
    <xf numFmtId="0" fontId="4" fillId="0" borderId="40" applyAlignment="1" applyProtection="1" pivotButton="0" quotePrefix="0" xfId="0">
      <alignment horizontal="center"/>
      <protection locked="0" hidden="0"/>
    </xf>
    <xf numFmtId="0" fontId="4" fillId="0" borderId="0" applyAlignment="1" applyProtection="1" pivotButton="0" quotePrefix="0" xfId="0">
      <alignment horizontal="center"/>
      <protection locked="0" hidden="0"/>
    </xf>
    <xf numFmtId="0" fontId="4" fillId="0" borderId="55" applyProtection="1" pivotButton="0" quotePrefix="0" xfId="0">
      <protection locked="0" hidden="0"/>
    </xf>
    <xf numFmtId="0" fontId="11" fillId="12" borderId="53" applyAlignment="1" pivotButton="0" quotePrefix="0" xfId="0">
      <alignment horizontal="center" vertical="center"/>
    </xf>
    <xf numFmtId="0" fontId="11" fillId="12" borderId="30" applyAlignment="1" pivotButton="0" quotePrefix="0" xfId="0">
      <alignment horizontal="center" vertical="center"/>
    </xf>
    <xf numFmtId="0" fontId="11" fillId="13" borderId="30" applyAlignment="1" pivotButton="0" quotePrefix="0" xfId="0">
      <alignment horizontal="center" vertical="center"/>
    </xf>
    <xf numFmtId="0" fontId="11" fillId="12" borderId="50" applyAlignment="1" pivotButton="0" quotePrefix="0" xfId="0">
      <alignment horizontal="center" vertical="center"/>
    </xf>
    <xf numFmtId="0" fontId="11" fillId="12" borderId="42" applyAlignment="1" pivotButton="0" quotePrefix="0" xfId="0">
      <alignment horizontal="center" vertical="center"/>
    </xf>
    <xf numFmtId="0" fontId="11" fillId="12" borderId="52" applyAlignment="1" pivotButton="0" quotePrefix="0" xfId="0">
      <alignment horizontal="center" vertical="center"/>
    </xf>
    <xf numFmtId="0" fontId="11" fillId="13" borderId="45" applyAlignment="1" pivotButton="0" quotePrefix="0" xfId="0">
      <alignment horizontal="center" vertical="center"/>
    </xf>
    <xf numFmtId="0" fontId="0" fillId="0" borderId="27" applyProtection="1" pivotButton="0" quotePrefix="0" xfId="0">
      <protection locked="0" hidden="0"/>
    </xf>
    <xf numFmtId="0" fontId="0" fillId="0" borderId="27" applyAlignment="1" applyProtection="1" pivotButton="0" quotePrefix="0" xfId="0">
      <alignment horizontal="center"/>
      <protection locked="0" hidden="0"/>
    </xf>
    <xf numFmtId="0" fontId="0" fillId="0" borderId="27" applyAlignment="1" applyProtection="1" pivotButton="0" quotePrefix="0" xfId="0">
      <alignment horizontal="left"/>
      <protection locked="0" hidden="0"/>
    </xf>
    <xf numFmtId="0" fontId="11" fillId="0" borderId="27" applyAlignment="1" applyProtection="1" pivotButton="0" quotePrefix="0" xfId="0">
      <alignment horizontal="left"/>
      <protection locked="0" hidden="0"/>
    </xf>
    <xf numFmtId="0" fontId="11" fillId="0" borderId="27" applyAlignment="1" applyProtection="1" pivotButton="0" quotePrefix="0" xfId="0">
      <alignment horizontal="center"/>
      <protection locked="0" hidden="0"/>
    </xf>
    <xf numFmtId="165" fontId="11" fillId="0" borderId="27" applyAlignment="1" applyProtection="1" pivotButton="0" quotePrefix="0" xfId="2">
      <alignment horizontal="left"/>
      <protection locked="0" hidden="0"/>
    </xf>
    <xf numFmtId="0" fontId="4" fillId="0" borderId="27" applyProtection="1" pivotButton="0" quotePrefix="0" xfId="0">
      <protection locked="0" hidden="0"/>
    </xf>
    <xf numFmtId="0" fontId="11" fillId="0" borderId="27" applyProtection="1" pivotButton="0" quotePrefix="0" xfId="0">
      <protection locked="0" hidden="0"/>
    </xf>
    <xf numFmtId="165" fontId="11" fillId="0" borderId="27" applyAlignment="1" applyProtection="1" pivotButton="0" quotePrefix="0" xfId="2">
      <alignment horizontal="center"/>
      <protection locked="0" hidden="0"/>
    </xf>
    <xf numFmtId="0" fontId="4" fillId="0" borderId="27" applyAlignment="1" applyProtection="1" pivotButton="0" quotePrefix="0" xfId="0">
      <alignment horizontal="center"/>
      <protection locked="0" hidden="0"/>
    </xf>
    <xf numFmtId="165" fontId="11" fillId="0" borderId="27" applyAlignment="1" applyProtection="1" pivotButton="0" quotePrefix="0" xfId="2">
      <alignment horizontal="right"/>
      <protection locked="0" hidden="0"/>
    </xf>
    <xf numFmtId="0" fontId="11" fillId="0" borderId="27" applyAlignment="1" applyProtection="1" pivotButton="0" quotePrefix="0" xfId="0">
      <alignment wrapText="1"/>
      <protection locked="0" hidden="0"/>
    </xf>
    <xf numFmtId="0" fontId="4" fillId="0" borderId="30" applyProtection="1" pivotButton="0" quotePrefix="0" xfId="0">
      <protection locked="0" hidden="0"/>
    </xf>
    <xf numFmtId="0" fontId="11" fillId="0" borderId="30" applyProtection="1" pivotButton="0" quotePrefix="0" xfId="0">
      <protection locked="0" hidden="0"/>
    </xf>
    <xf numFmtId="0" fontId="11" fillId="0" borderId="27" pivotButton="0" quotePrefix="0" xfId="0"/>
    <xf numFmtId="0" fontId="11" fillId="0" borderId="26" pivotButton="0" quotePrefix="0" xfId="0"/>
    <xf numFmtId="165" fontId="11" fillId="0" borderId="26" applyAlignment="1" pivotButton="0" quotePrefix="0" xfId="0">
      <alignment horizontal="center"/>
    </xf>
    <xf numFmtId="0" fontId="4" fillId="0" borderId="53" applyProtection="1" pivotButton="0" quotePrefix="0" xfId="0">
      <protection locked="0" hidden="0"/>
    </xf>
    <xf numFmtId="9" fontId="11" fillId="0" borderId="26" pivotButton="0" quotePrefix="0" xfId="0"/>
    <xf numFmtId="0" fontId="4" fillId="0" borderId="50" applyProtection="1" pivotButton="0" quotePrefix="0" xfId="0">
      <protection locked="0" hidden="0"/>
    </xf>
    <xf numFmtId="0" fontId="41" fillId="0" borderId="27" pivotButton="0" quotePrefix="0" xfId="0"/>
    <xf numFmtId="0" fontId="41" fillId="0" borderId="26" pivotButton="0" quotePrefix="0" xfId="0"/>
    <xf numFmtId="0" fontId="4" fillId="0" borderId="52" applyProtection="1" pivotButton="0" quotePrefix="0" xfId="0">
      <protection locked="0" hidden="0"/>
    </xf>
    <xf numFmtId="0" fontId="11" fillId="0" borderId="55" applyProtection="1" pivotButton="0" quotePrefix="0" xfId="0">
      <protection locked="0" hidden="0"/>
    </xf>
    <xf numFmtId="0" fontId="11" fillId="12" borderId="27" applyAlignment="1" applyProtection="1" pivotButton="0" quotePrefix="0" xfId="0">
      <alignment horizontal="center"/>
      <protection locked="0" hidden="0"/>
    </xf>
    <xf numFmtId="0" fontId="11" fillId="12" borderId="27" applyProtection="1" pivotButton="0" quotePrefix="0" xfId="0">
      <protection locked="0" hidden="0"/>
    </xf>
    <xf numFmtId="0" fontId="11" fillId="12" borderId="40" applyProtection="1" pivotButton="0" quotePrefix="0" xfId="0">
      <protection locked="0" hidden="0"/>
    </xf>
    <xf numFmtId="0" fontId="4" fillId="12" borderId="40" applyProtection="1" pivotButton="0" quotePrefix="0" xfId="0">
      <protection locked="0" hidden="0"/>
    </xf>
    <xf numFmtId="0" fontId="4" fillId="12" borderId="25" applyProtection="1" pivotButton="0" quotePrefix="0" xfId="0">
      <protection locked="0" hidden="0"/>
    </xf>
    <xf numFmtId="0" fontId="4" fillId="13" borderId="27" applyProtection="1" pivotButton="0" quotePrefix="0" xfId="0">
      <protection locked="0" hidden="0"/>
    </xf>
    <xf numFmtId="0" fontId="4" fillId="0" borderId="26" applyProtection="1" pivotButton="0" quotePrefix="0" xfId="0">
      <protection locked="0" hidden="0"/>
    </xf>
    <xf numFmtId="0" fontId="4" fillId="0" borderId="40" applyProtection="1" pivotButton="0" quotePrefix="0" xfId="0">
      <protection locked="0" hidden="0"/>
    </xf>
    <xf numFmtId="0" fontId="4" fillId="0" borderId="25" applyProtection="1" pivotButton="0" quotePrefix="0" xfId="0">
      <protection locked="0" hidden="0"/>
    </xf>
    <xf numFmtId="0" fontId="4" fillId="0" borderId="42" applyProtection="1" pivotButton="0" quotePrefix="0" xfId="0">
      <protection locked="0" hidden="0"/>
    </xf>
    <xf numFmtId="0" fontId="4" fillId="0" borderId="49" applyProtection="1" pivotButton="0" quotePrefix="0" xfId="0">
      <protection locked="0" hidden="0"/>
    </xf>
    <xf numFmtId="0" fontId="15" fillId="0" borderId="37" pivotButton="0" quotePrefix="0" xfId="0"/>
    <xf numFmtId="164" fontId="15" fillId="0" borderId="43" applyAlignment="1" pivotButton="0" quotePrefix="0" xfId="0">
      <alignment horizontal="center"/>
    </xf>
    <xf numFmtId="0" fontId="0" fillId="14" borderId="0" pivotButton="0" quotePrefix="0" xfId="0"/>
    <xf numFmtId="0" fontId="0" fillId="4" borderId="40" applyProtection="1" pivotButton="0" quotePrefix="0" xfId="0">
      <protection locked="0" hidden="0"/>
    </xf>
    <xf numFmtId="0" fontId="0" fillId="4" borderId="40" pivotButton="0" quotePrefix="0" xfId="0"/>
    <xf numFmtId="0" fontId="0" fillId="4" borderId="25" pivotButton="0" quotePrefix="0" xfId="0"/>
    <xf numFmtId="0" fontId="0" fillId="4" borderId="26" applyProtection="1" pivotButton="0" quotePrefix="0" xfId="0">
      <protection locked="0" hidden="0"/>
    </xf>
    <xf numFmtId="0" fontId="42" fillId="4" borderId="0" pivotButton="0" quotePrefix="0" xfId="0"/>
    <xf numFmtId="0" fontId="43" fillId="4" borderId="42" pivotButton="0" quotePrefix="0" xfId="0"/>
    <xf numFmtId="0" fontId="43" fillId="4" borderId="65" applyAlignment="1" applyProtection="1" pivotButton="0" quotePrefix="0" xfId="0">
      <alignment horizontal="center"/>
      <protection locked="0" hidden="0"/>
    </xf>
    <xf numFmtId="0" fontId="43" fillId="4" borderId="68" pivotButton="0" quotePrefix="0" xfId="0"/>
    <xf numFmtId="1" fontId="43" fillId="4" borderId="66" pivotButton="0" quotePrefix="0" xfId="0"/>
    <xf numFmtId="0" fontId="43" fillId="4" borderId="0" pivotButton="0" quotePrefix="0" xfId="0"/>
    <xf numFmtId="0" fontId="42" fillId="14" borderId="0" pivotButton="0" quotePrefix="0" xfId="0"/>
    <xf numFmtId="0" fontId="42" fillId="0" borderId="0" pivotButton="0" quotePrefix="0" xfId="0"/>
    <xf numFmtId="0" fontId="0" fillId="4" borderId="70" pivotButton="0" quotePrefix="0" xfId="0"/>
    <xf numFmtId="0" fontId="0" fillId="4" borderId="27" applyAlignment="1" pivotButton="0" quotePrefix="0" xfId="0">
      <alignment horizontal="center"/>
    </xf>
    <xf numFmtId="0" fontId="0" fillId="4" borderId="51" applyAlignment="1" pivotButton="0" quotePrefix="0" xfId="0">
      <alignment horizontal="center"/>
    </xf>
    <xf numFmtId="0" fontId="44" fillId="4" borderId="50" pivotButton="0" quotePrefix="0" xfId="0"/>
    <xf numFmtId="0" fontId="44" fillId="4" borderId="49" pivotButton="0" quotePrefix="0" xfId="0"/>
    <xf numFmtId="0" fontId="44" fillId="4" borderId="50" applyAlignment="1" pivotButton="0" quotePrefix="0" xfId="0">
      <alignment horizontal="center"/>
    </xf>
    <xf numFmtId="0" fontId="44" fillId="4" borderId="49" applyAlignment="1" pivotButton="0" quotePrefix="0" xfId="0">
      <alignment horizontal="center"/>
    </xf>
    <xf numFmtId="0" fontId="42" fillId="0" borderId="0" applyAlignment="1" pivotButton="0" quotePrefix="0" xfId="0">
      <alignment horizontal="center"/>
    </xf>
    <xf numFmtId="0" fontId="0" fillId="0" borderId="0" applyAlignment="1" pivotButton="0" quotePrefix="0" xfId="0">
      <alignment horizontal="left"/>
    </xf>
    <xf numFmtId="0" fontId="0" fillId="0" borderId="57" applyAlignment="1" pivotButton="0" quotePrefix="0" xfId="0">
      <alignment horizontal="center"/>
    </xf>
    <xf numFmtId="0" fontId="0" fillId="0" borderId="57" applyAlignment="1" pivotButton="0" quotePrefix="0" xfId="0">
      <alignment horizontal="left"/>
    </xf>
    <xf numFmtId="0" fontId="2" fillId="5" borderId="45" applyAlignment="1" pivotButton="0" quotePrefix="0" xfId="1">
      <alignment vertical="top" wrapText="1"/>
    </xf>
    <xf numFmtId="0" fontId="15" fillId="0" borderId="23" applyAlignment="1" pivotButton="0" quotePrefix="0" xfId="0">
      <alignment horizontal="left" indent="1"/>
    </xf>
    <xf numFmtId="0" fontId="35" fillId="0" borderId="33" applyAlignment="1" pivotButton="0" quotePrefix="0" xfId="0">
      <alignment horizontal="left"/>
    </xf>
    <xf numFmtId="3" fontId="15" fillId="0" borderId="35" applyAlignment="1" pivotButton="0" quotePrefix="0" xfId="0">
      <alignment horizontal="center"/>
    </xf>
    <xf numFmtId="0" fontId="22" fillId="4" borderId="0" applyAlignment="1" pivotButton="0" quotePrefix="0" xfId="0">
      <alignment horizontal="center" vertical="center"/>
    </xf>
    <xf numFmtId="0" fontId="14" fillId="4" borderId="50" applyAlignment="1" pivotButton="0" quotePrefix="0" xfId="0">
      <alignment vertical="center"/>
    </xf>
    <xf numFmtId="0" fontId="15" fillId="4" borderId="0" applyAlignment="1" pivotButton="0" quotePrefix="0" xfId="0">
      <alignment vertical="center"/>
    </xf>
    <xf numFmtId="0" fontId="15" fillId="4" borderId="50" pivotButton="0" quotePrefix="0" xfId="0"/>
    <xf numFmtId="0" fontId="15" fillId="4" borderId="0" pivotButton="0" quotePrefix="0" xfId="0"/>
    <xf numFmtId="0" fontId="22" fillId="4" borderId="27" applyAlignment="1" pivotButton="0" quotePrefix="0" xfId="0">
      <alignment horizontal="center" vertical="center"/>
    </xf>
    <xf numFmtId="0" fontId="15" fillId="4" borderId="49" pivotButton="0" quotePrefix="0" xfId="0"/>
    <xf numFmtId="0" fontId="22" fillId="4" borderId="25" applyAlignment="1" pivotButton="0" quotePrefix="0" xfId="0">
      <alignment horizontal="center" vertical="center"/>
    </xf>
    <xf numFmtId="0" fontId="15" fillId="4" borderId="56" applyAlignment="1" pivotButton="0" quotePrefix="0" xfId="0">
      <alignment vertical="center"/>
    </xf>
    <xf numFmtId="0" fontId="15" fillId="4" borderId="61" applyAlignment="1" pivotButton="0" quotePrefix="0" xfId="0">
      <alignment horizontal="right" vertical="center"/>
    </xf>
    <xf numFmtId="0" fontId="15" fillId="4" borderId="63" applyAlignment="1" pivotButton="0" quotePrefix="0" xfId="0">
      <alignment vertical="center"/>
    </xf>
    <xf numFmtId="0" fontId="15" fillId="4" borderId="61" applyAlignment="1" pivotButton="0" quotePrefix="0" xfId="0">
      <alignment vertical="center"/>
    </xf>
    <xf numFmtId="0" fontId="15" fillId="4" borderId="30" applyAlignment="1" pivotButton="0" quotePrefix="0" xfId="0">
      <alignment horizontal="right" vertical="center"/>
    </xf>
    <xf numFmtId="0" fontId="15" fillId="4" borderId="64" applyAlignment="1" pivotButton="0" quotePrefix="0" xfId="0">
      <alignment horizontal="right" vertical="center"/>
    </xf>
    <xf numFmtId="0" fontId="15" fillId="4" borderId="66" applyAlignment="1" pivotButton="0" quotePrefix="0" xfId="0">
      <alignment vertical="center"/>
    </xf>
    <xf numFmtId="0" fontId="15" fillId="4" borderId="67" applyAlignment="1" pivotButton="0" quotePrefix="0" xfId="0">
      <alignment vertical="center"/>
    </xf>
    <xf numFmtId="0" fontId="15" fillId="4" borderId="49" applyAlignment="1" pivotButton="0" quotePrefix="0" xfId="0">
      <alignment vertical="center"/>
    </xf>
    <xf numFmtId="0" fontId="8" fillId="0" borderId="0" pivotButton="0" quotePrefix="0" xfId="0"/>
    <xf numFmtId="0" fontId="8" fillId="4" borderId="0" pivotButton="0" quotePrefix="0" xfId="0"/>
    <xf numFmtId="0" fontId="8" fillId="4" borderId="27" pivotButton="0" quotePrefix="0" xfId="0"/>
    <xf numFmtId="0" fontId="8" fillId="4" borderId="26" pivotButton="0" quotePrefix="0" xfId="0"/>
    <xf numFmtId="0" fontId="8" fillId="4" borderId="42" pivotButton="0" quotePrefix="0" xfId="0"/>
    <xf numFmtId="0" fontId="20" fillId="14" borderId="0" applyProtection="1" pivotButton="0" quotePrefix="0" xfId="0">
      <protection locked="0" hidden="0"/>
    </xf>
    <xf numFmtId="0" fontId="10" fillId="4" borderId="0" pivotButton="0" quotePrefix="0" xfId="0"/>
    <xf numFmtId="1" fontId="10" fillId="4" borderId="66" pivotButton="0" quotePrefix="0" xfId="0"/>
    <xf numFmtId="0" fontId="10" fillId="4" borderId="66" pivotButton="0" quotePrefix="0" xfId="0"/>
    <xf numFmtId="0" fontId="10" fillId="14" borderId="0" pivotButton="0" quotePrefix="0" xfId="0"/>
    <xf numFmtId="0" fontId="8" fillId="4" borderId="45" pivotButton="0" quotePrefix="0" xfId="0"/>
    <xf numFmtId="0" fontId="8" fillId="4" borderId="52" applyAlignment="1" pivotButton="0" quotePrefix="0" xfId="0">
      <alignment horizontal="center"/>
    </xf>
    <xf numFmtId="0" fontId="8" fillId="4" borderId="55" pivotButton="0" quotePrefix="0" xfId="0"/>
    <xf numFmtId="1" fontId="8" fillId="4" borderId="56" pivotButton="0" quotePrefix="0" xfId="0"/>
    <xf numFmtId="0" fontId="8" fillId="4" borderId="69" pivotButton="0" quotePrefix="0" xfId="0"/>
    <xf numFmtId="0" fontId="8" fillId="0" borderId="27" applyAlignment="1" pivotButton="0" quotePrefix="0" xfId="0">
      <alignment horizontal="center"/>
    </xf>
    <xf numFmtId="0" fontId="8" fillId="4" borderId="0" applyAlignment="1" pivotButton="0" quotePrefix="0" xfId="0">
      <alignment horizontal="center"/>
    </xf>
    <xf numFmtId="0" fontId="8" fillId="0" borderId="40" applyAlignment="1" pivotButton="0" quotePrefix="0" xfId="0">
      <alignment horizontal="center"/>
    </xf>
    <xf numFmtId="0" fontId="8" fillId="0" borderId="72" applyAlignment="1" pivotButton="0" quotePrefix="0" xfId="0">
      <alignment horizontal="center"/>
    </xf>
    <xf numFmtId="0" fontId="8" fillId="0" borderId="73" applyAlignment="1" pivotButton="0" quotePrefix="0" xfId="0">
      <alignment horizontal="center"/>
    </xf>
    <xf numFmtId="0" fontId="8" fillId="0" borderId="26" applyAlignment="1" pivotButton="0" quotePrefix="0" xfId="0">
      <alignment horizontal="center"/>
    </xf>
    <xf numFmtId="0" fontId="8" fillId="14" borderId="0" applyAlignment="1" pivotButton="0" quotePrefix="0" xfId="0">
      <alignment horizontal="center"/>
    </xf>
    <xf numFmtId="0" fontId="8" fillId="0" borderId="78" applyAlignment="1" pivotButton="0" quotePrefix="0" xfId="0">
      <alignment horizontal="center"/>
    </xf>
    <xf numFmtId="0" fontId="10" fillId="0" borderId="59" applyAlignment="1" applyProtection="1" pivotButton="0" quotePrefix="0" xfId="0">
      <alignment horizontal="center" vertical="center"/>
      <protection locked="0" hidden="0"/>
    </xf>
    <xf numFmtId="0" fontId="10" fillId="0" borderId="74" applyAlignment="1" applyProtection="1" pivotButton="0" quotePrefix="0" xfId="0">
      <alignment horizontal="center"/>
      <protection locked="0" hidden="0"/>
    </xf>
    <xf numFmtId="0" fontId="10" fillId="0" borderId="49" applyAlignment="1" applyProtection="1" pivotButton="0" quotePrefix="0" xfId="0">
      <alignment horizontal="center"/>
      <protection locked="0" hidden="0"/>
    </xf>
    <xf numFmtId="0" fontId="10" fillId="4" borderId="0" applyAlignment="1" pivotButton="0" quotePrefix="0" xfId="0">
      <alignment horizontal="center"/>
    </xf>
    <xf numFmtId="0" fontId="10" fillId="4" borderId="49" applyAlignment="1" pivotButton="0" quotePrefix="0" xfId="0">
      <alignment horizontal="center"/>
    </xf>
    <xf numFmtId="0" fontId="10" fillId="0" borderId="75" applyAlignment="1" applyProtection="1" pivotButton="0" quotePrefix="0" xfId="0">
      <alignment horizontal="center"/>
      <protection locked="0" hidden="0"/>
    </xf>
    <xf numFmtId="0" fontId="10" fillId="0" borderId="51" applyAlignment="1" applyProtection="1" pivotButton="0" quotePrefix="0" xfId="0">
      <alignment horizontal="center"/>
      <protection locked="0" hidden="0"/>
    </xf>
    <xf numFmtId="0" fontId="10" fillId="14" borderId="0" applyAlignment="1" applyProtection="1" pivotButton="0" quotePrefix="0" xfId="0">
      <alignment horizontal="center"/>
      <protection locked="0" hidden="0"/>
    </xf>
    <xf numFmtId="0" fontId="10" fillId="0" borderId="50" applyAlignment="1" applyProtection="1" pivotButton="0" quotePrefix="0" xfId="0">
      <alignment horizontal="center"/>
      <protection locked="0" hidden="0"/>
    </xf>
    <xf numFmtId="0" fontId="10" fillId="0" borderId="60" applyAlignment="1" applyProtection="1" pivotButton="0" quotePrefix="0" xfId="0">
      <alignment horizontal="center" vertical="center"/>
      <protection locked="0" hidden="0"/>
    </xf>
    <xf numFmtId="0" fontId="10" fillId="4" borderId="0" applyAlignment="1" applyProtection="1" pivotButton="0" quotePrefix="0" xfId="0">
      <alignment horizontal="center"/>
      <protection locked="0" hidden="0"/>
    </xf>
    <xf numFmtId="0" fontId="10" fillId="4" borderId="49" applyAlignment="1" applyProtection="1" pivotButton="0" quotePrefix="0" xfId="0">
      <alignment horizontal="center"/>
      <protection locked="0" hidden="0"/>
    </xf>
    <xf numFmtId="0" fontId="10" fillId="0" borderId="50" applyAlignment="1" applyProtection="1" pivotButton="0" quotePrefix="0" xfId="0">
      <alignment horizontal="center" vertical="center"/>
      <protection locked="0" hidden="0"/>
    </xf>
    <xf numFmtId="0" fontId="10" fillId="0" borderId="79" applyAlignment="1" applyProtection="1" pivotButton="0" quotePrefix="0" xfId="0">
      <alignment horizontal="center"/>
      <protection locked="0" hidden="0"/>
    </xf>
    <xf numFmtId="0" fontId="10" fillId="4" borderId="80" applyAlignment="1" applyProtection="1" pivotButton="0" quotePrefix="0" xfId="0">
      <alignment horizontal="center"/>
      <protection locked="0" hidden="0"/>
    </xf>
    <xf numFmtId="0" fontId="10" fillId="0" borderId="0" applyAlignment="1" applyProtection="1" pivotButton="0" quotePrefix="0" xfId="0">
      <alignment horizontal="center"/>
      <protection locked="0" hidden="0"/>
    </xf>
    <xf numFmtId="0" fontId="10" fillId="0" borderId="60" applyAlignment="1" applyProtection="1" pivotButton="0" quotePrefix="0" xfId="0">
      <alignment horizontal="center"/>
      <protection locked="0" hidden="0"/>
    </xf>
    <xf numFmtId="0" fontId="20" fillId="4" borderId="0" pivotButton="0" quotePrefix="0" xfId="0"/>
    <xf numFmtId="0" fontId="20" fillId="4" borderId="0" applyAlignment="1" pivotButton="0" quotePrefix="0" xfId="0">
      <alignment horizontal="center"/>
    </xf>
    <xf numFmtId="0" fontId="10" fillId="0" borderId="0" applyAlignment="1" pivotButton="0" quotePrefix="0" xfId="0">
      <alignment horizontal="center"/>
    </xf>
    <xf numFmtId="0" fontId="10" fillId="14" borderId="0" applyAlignment="1" pivotButton="0" quotePrefix="0" xfId="0">
      <alignment horizontal="center"/>
    </xf>
    <xf numFmtId="0" fontId="10" fillId="0" borderId="0" pivotButton="0" quotePrefix="0" xfId="0"/>
    <xf numFmtId="0" fontId="15" fillId="0" borderId="54" pivotButton="0" quotePrefix="0" xfId="0"/>
    <xf numFmtId="0" fontId="15" fillId="0" borderId="45" applyAlignment="1" pivotButton="0" quotePrefix="0" xfId="0">
      <alignment horizontal="center"/>
    </xf>
    <xf numFmtId="0" fontId="15" fillId="0" borderId="30" applyAlignment="1" pivotButton="0" quotePrefix="0" xfId="0">
      <alignment horizontal="center"/>
    </xf>
    <xf numFmtId="0" fontId="48" fillId="0" borderId="0" applyAlignment="1" pivotButton="0" quotePrefix="0" xfId="0">
      <alignment vertical="center"/>
    </xf>
    <xf numFmtId="0" fontId="4" fillId="0" borderId="27" applyAlignment="1" pivotButton="0" quotePrefix="0" xfId="3">
      <alignment horizontal="center"/>
    </xf>
    <xf numFmtId="0" fontId="4" fillId="15" borderId="27" applyAlignment="1" pivotButton="0" quotePrefix="0" xfId="3">
      <alignment horizontal="center"/>
    </xf>
    <xf numFmtId="0" fontId="0" fillId="4" borderId="27" pivotButton="0" quotePrefix="0" xfId="0"/>
    <xf numFmtId="0" fontId="4" fillId="16" borderId="27" applyAlignment="1" pivotButton="0" quotePrefix="0" xfId="3">
      <alignment horizontal="center"/>
    </xf>
    <xf numFmtId="0" fontId="4" fillId="17" borderId="27" applyAlignment="1" pivotButton="0" quotePrefix="0" xfId="3">
      <alignment horizontal="center"/>
    </xf>
    <xf numFmtId="0" fontId="4" fillId="18" borderId="27" applyAlignment="1" pivotButton="0" quotePrefix="0" xfId="3">
      <alignment horizontal="center"/>
    </xf>
    <xf numFmtId="0" fontId="4" fillId="19" borderId="27" applyAlignment="1" pivotButton="0" quotePrefix="0" xfId="3">
      <alignment horizontal="center"/>
    </xf>
    <xf numFmtId="0" fontId="4" fillId="20" borderId="27" applyAlignment="1" pivotButton="0" quotePrefix="0" xfId="3">
      <alignment horizontal="center"/>
    </xf>
    <xf numFmtId="0" fontId="4" fillId="21" borderId="27" applyAlignment="1" pivotButton="0" quotePrefix="0" xfId="3">
      <alignment horizontal="center"/>
    </xf>
    <xf numFmtId="0" fontId="4" fillId="22" borderId="27" applyAlignment="1" pivotButton="0" quotePrefix="0" xfId="3">
      <alignment horizontal="center"/>
    </xf>
    <xf numFmtId="0" fontId="4" fillId="23" borderId="27" applyAlignment="1" pivotButton="0" quotePrefix="0" xfId="3">
      <alignment horizontal="center"/>
    </xf>
    <xf numFmtId="0" fontId="4" fillId="24" borderId="27" applyAlignment="1" pivotButton="0" quotePrefix="0" xfId="3">
      <alignment horizontal="center"/>
    </xf>
    <xf numFmtId="0" fontId="4" fillId="25" borderId="27" applyAlignment="1" pivotButton="0" quotePrefix="0" xfId="3">
      <alignment horizontal="center"/>
    </xf>
    <xf numFmtId="0" fontId="4" fillId="26" borderId="27" applyAlignment="1" pivotButton="0" quotePrefix="0" xfId="3">
      <alignment horizontal="center"/>
    </xf>
    <xf numFmtId="0" fontId="0" fillId="0" borderId="27" pivotButton="0" quotePrefix="0" xfId="0"/>
    <xf numFmtId="0" fontId="4" fillId="19" borderId="27" pivotButton="0" quotePrefix="0" xfId="3"/>
    <xf numFmtId="0" fontId="4" fillId="20" borderId="27" pivotButton="0" quotePrefix="0" xfId="3"/>
    <xf numFmtId="0" fontId="4" fillId="21" borderId="27" pivotButton="0" quotePrefix="0" xfId="3"/>
    <xf numFmtId="0" fontId="4" fillId="22" borderId="27" pivotButton="0" quotePrefix="0" xfId="3"/>
    <xf numFmtId="0" fontId="16" fillId="8" borderId="27" applyAlignment="1" pivotButton="0" quotePrefix="0" xfId="0">
      <alignment horizontal="centerContinuous"/>
    </xf>
    <xf numFmtId="0" fontId="0" fillId="8" borderId="27" applyAlignment="1" pivotButton="0" quotePrefix="0" xfId="0">
      <alignment horizontal="centerContinuous"/>
    </xf>
    <xf numFmtId="0" fontId="4" fillId="0" borderId="27" applyAlignment="1" pivotButton="0" quotePrefix="0" xfId="11">
      <alignment horizontal="center"/>
    </xf>
    <xf numFmtId="0" fontId="4" fillId="21" borderId="27" pivotButton="0" quotePrefix="0" xfId="11"/>
    <xf numFmtId="0" fontId="4" fillId="15" borderId="27" applyAlignment="1" pivotButton="0" quotePrefix="0" xfId="11">
      <alignment horizontal="center"/>
    </xf>
    <xf numFmtId="0" fontId="10" fillId="0" borderId="27" applyAlignment="1" pivotButton="0" quotePrefix="0" xfId="12">
      <alignment horizontal="center"/>
    </xf>
    <xf numFmtId="166" fontId="7" fillId="0" borderId="27" applyAlignment="1" pivotButton="0" quotePrefix="0" xfId="12">
      <alignment horizontal="center"/>
    </xf>
    <xf numFmtId="0" fontId="7" fillId="0" borderId="27" applyAlignment="1" pivotButton="0" quotePrefix="0" xfId="12">
      <alignment horizontal="center"/>
    </xf>
    <xf numFmtId="0" fontId="4" fillId="16" borderId="27" applyAlignment="1" pivotButton="0" quotePrefix="0" xfId="11">
      <alignment horizontal="center"/>
    </xf>
    <xf numFmtId="0" fontId="4" fillId="17" borderId="27" applyAlignment="1" pivotButton="0" quotePrefix="0" xfId="11">
      <alignment horizontal="center"/>
    </xf>
    <xf numFmtId="0" fontId="50" fillId="18" borderId="27" applyAlignment="1" pivotButton="0" quotePrefix="0" xfId="11">
      <alignment horizontal="center"/>
    </xf>
    <xf numFmtId="0" fontId="4" fillId="19" borderId="27" applyAlignment="1" pivotButton="0" quotePrefix="0" xfId="11">
      <alignment horizontal="center"/>
    </xf>
    <xf numFmtId="0" fontId="4" fillId="20" borderId="27" applyAlignment="1" pivotButton="0" quotePrefix="0" xfId="11">
      <alignment horizontal="center"/>
    </xf>
    <xf numFmtId="0" fontId="4" fillId="21" borderId="27" applyAlignment="1" pivotButton="0" quotePrefix="0" xfId="11">
      <alignment horizontal="center"/>
    </xf>
    <xf numFmtId="0" fontId="50" fillId="22" borderId="27" applyAlignment="1" pivotButton="0" quotePrefix="0" xfId="11">
      <alignment horizontal="center"/>
    </xf>
    <xf numFmtId="0" fontId="4" fillId="23" borderId="27" applyAlignment="1" pivotButton="0" quotePrefix="0" xfId="11">
      <alignment horizontal="center"/>
    </xf>
    <xf numFmtId="0" fontId="4" fillId="24" borderId="27" applyAlignment="1" pivotButton="0" quotePrefix="0" xfId="11">
      <alignment horizontal="center"/>
    </xf>
    <xf numFmtId="0" fontId="4" fillId="25" borderId="27" applyAlignment="1" pivotButton="0" quotePrefix="0" xfId="11">
      <alignment horizontal="center"/>
    </xf>
    <xf numFmtId="0" fontId="4" fillId="26" borderId="27" applyAlignment="1" pivotButton="0" quotePrefix="0" xfId="11">
      <alignment horizontal="center"/>
    </xf>
    <xf numFmtId="0" fontId="50" fillId="15" borderId="27" applyAlignment="1" pivotButton="0" quotePrefix="0" xfId="11">
      <alignment horizontal="center"/>
    </xf>
    <xf numFmtId="0" fontId="4" fillId="18" borderId="27" applyAlignment="1" pivotButton="0" quotePrefix="0" xfId="11">
      <alignment horizontal="center"/>
    </xf>
    <xf numFmtId="0" fontId="4" fillId="22" borderId="27" applyAlignment="1" pivotButton="0" quotePrefix="0" xfId="11">
      <alignment horizontal="center"/>
    </xf>
    <xf numFmtId="0" fontId="4" fillId="0" borderId="0" applyAlignment="1" pivotButton="0" quotePrefix="0" xfId="11">
      <alignment horizontal="center"/>
    </xf>
    <xf numFmtId="0" fontId="50" fillId="0" borderId="0" applyAlignment="1" pivotButton="0" quotePrefix="0" xfId="11">
      <alignment horizontal="center"/>
    </xf>
    <xf numFmtId="166" fontId="7" fillId="0" borderId="0" pivotButton="0" quotePrefix="0" xfId="12"/>
    <xf numFmtId="0" fontId="49" fillId="3" borderId="31" pivotButton="0" quotePrefix="0" xfId="12"/>
    <xf numFmtId="0" fontId="49" fillId="3" borderId="32" pivotButton="0" quotePrefix="0" xfId="12"/>
    <xf numFmtId="0" fontId="49" fillId="3" borderId="13" pivotButton="0" quotePrefix="0" xfId="12"/>
    <xf numFmtId="0" fontId="49" fillId="3" borderId="14" pivotButton="0" quotePrefix="0" xfId="12"/>
    <xf numFmtId="0" fontId="4" fillId="15" borderId="45" applyAlignment="1" pivotButton="0" quotePrefix="0" xfId="11">
      <alignment horizontal="center"/>
    </xf>
    <xf numFmtId="0" fontId="10" fillId="0" borderId="45" applyAlignment="1" pivotButton="0" quotePrefix="0" xfId="12">
      <alignment horizontal="center"/>
    </xf>
    <xf numFmtId="0" fontId="4" fillId="27" borderId="45" applyAlignment="1" pivotButton="0" quotePrefix="0" xfId="12">
      <alignment horizontal="center"/>
    </xf>
    <xf numFmtId="0" fontId="4" fillId="28" borderId="27" applyAlignment="1" pivotButton="0" quotePrefix="0" xfId="12">
      <alignment horizontal="center"/>
    </xf>
    <xf numFmtId="0" fontId="4" fillId="29" borderId="27" applyAlignment="1" pivotButton="0" quotePrefix="0" xfId="12">
      <alignment horizontal="center"/>
    </xf>
    <xf numFmtId="0" fontId="51" fillId="30" borderId="27" applyAlignment="1" pivotButton="0" quotePrefix="0" xfId="12">
      <alignment horizontal="center"/>
    </xf>
    <xf numFmtId="0" fontId="4" fillId="31" borderId="27" applyAlignment="1" pivotButton="0" quotePrefix="0" xfId="12">
      <alignment horizontal="center"/>
    </xf>
    <xf numFmtId="0" fontId="4" fillId="14" borderId="27" applyAlignment="1" pivotButton="0" quotePrefix="0" xfId="12">
      <alignment horizontal="center"/>
    </xf>
    <xf numFmtId="0" fontId="4" fillId="32" borderId="27" applyAlignment="1" pivotButton="0" quotePrefix="0" xfId="12">
      <alignment horizontal="center"/>
    </xf>
    <xf numFmtId="0" fontId="51" fillId="33" borderId="27" applyAlignment="1" pivotButton="0" quotePrefix="0" xfId="12">
      <alignment horizontal="center"/>
    </xf>
    <xf numFmtId="0" fontId="4" fillId="5" borderId="27" applyAlignment="1" pivotButton="0" quotePrefix="0" xfId="12">
      <alignment horizontal="center"/>
    </xf>
    <xf numFmtId="0" fontId="4" fillId="34" borderId="27" applyAlignment="1" pivotButton="0" quotePrefix="0" xfId="12">
      <alignment horizontal="center"/>
    </xf>
    <xf numFmtId="0" fontId="4" fillId="35" borderId="27" applyAlignment="1" pivotButton="0" quotePrefix="0" xfId="12">
      <alignment horizontal="center"/>
    </xf>
    <xf numFmtId="0" fontId="4" fillId="36" borderId="27" applyAlignment="1" pivotButton="0" quotePrefix="0" xfId="12">
      <alignment horizontal="center"/>
    </xf>
    <xf numFmtId="14" fontId="15" fillId="0" borderId="28" applyAlignment="1" applyProtection="1" pivotButton="0" quotePrefix="0" xfId="0">
      <alignment horizontal="center"/>
      <protection locked="0" hidden="0"/>
    </xf>
    <xf numFmtId="0" fontId="15" fillId="0" borderId="30" applyProtection="1" pivotButton="0" quotePrefix="0" xfId="0">
      <protection locked="0" hidden="0"/>
    </xf>
    <xf numFmtId="0" fontId="0" fillId="7" borderId="9" applyAlignment="1" pivotButton="0" quotePrefix="0" xfId="0">
      <alignment horizontal="center"/>
    </xf>
    <xf numFmtId="0" fontId="10" fillId="0" borderId="0" applyAlignment="1" pivotButton="0" quotePrefix="0" xfId="9">
      <alignment horizontal="center" wrapText="1"/>
    </xf>
    <xf numFmtId="0" fontId="15" fillId="0" borderId="45" pivotButton="0" quotePrefix="0" xfId="0"/>
    <xf numFmtId="0" fontId="15" fillId="0" borderId="22" applyAlignment="1" pivotButton="0" quotePrefix="0" xfId="0">
      <alignment horizontal="left" indent="1"/>
    </xf>
    <xf numFmtId="0" fontId="35" fillId="0" borderId="12" pivotButton="0" quotePrefix="0" xfId="0"/>
    <xf numFmtId="0" fontId="14" fillId="0" borderId="11" applyAlignment="1" pivotButton="0" quotePrefix="0" xfId="0">
      <alignment horizontal="center"/>
    </xf>
    <xf numFmtId="0" fontId="15" fillId="0" borderId="51" applyAlignment="1" pivotButton="0" quotePrefix="0" xfId="0">
      <alignment vertical="top"/>
    </xf>
    <xf numFmtId="0" fontId="15" fillId="0" borderId="53" pivotButton="0" quotePrefix="0" xfId="0"/>
    <xf numFmtId="0" fontId="35" fillId="0" borderId="45" pivotButton="0" quotePrefix="0" xfId="0"/>
    <xf numFmtId="0" fontId="14" fillId="0" borderId="45" pivotButton="0" quotePrefix="0" xfId="0"/>
    <xf numFmtId="0" fontId="15" fillId="0" borderId="52" pivotButton="0" quotePrefix="0" xfId="0"/>
    <xf numFmtId="0" fontId="15" fillId="0" borderId="46" applyAlignment="1" pivotButton="0" quotePrefix="0" xfId="0">
      <alignment horizontal="center"/>
    </xf>
    <xf numFmtId="0" fontId="15" fillId="0" borderId="28" applyAlignment="1" pivotButton="0" quotePrefix="0" xfId="0">
      <alignment horizontal="center"/>
    </xf>
    <xf numFmtId="0" fontId="0" fillId="0" borderId="0" applyAlignment="1" applyProtection="1" pivotButton="0" quotePrefix="0" xfId="0">
      <alignment horizontal="center" wrapText="1"/>
      <protection locked="0" hidden="0"/>
    </xf>
    <xf numFmtId="0" fontId="20" fillId="4" borderId="30" applyProtection="1" pivotButton="0" quotePrefix="0" xfId="0">
      <protection locked="0" hidden="0"/>
    </xf>
    <xf numFmtId="0" fontId="15" fillId="5" borderId="27" applyAlignment="1" applyProtection="1" pivotButton="0" quotePrefix="0" xfId="0">
      <alignment horizontal="left"/>
      <protection locked="0" hidden="0"/>
    </xf>
    <xf numFmtId="0" fontId="15" fillId="4" borderId="45" applyAlignment="1" pivotButton="0" quotePrefix="0" xfId="0">
      <alignment horizontal="right" vertical="center"/>
    </xf>
    <xf numFmtId="0" fontId="15" fillId="4" borderId="45" applyAlignment="1" pivotButton="0" quotePrefix="0" xfId="0">
      <alignment vertical="center"/>
    </xf>
    <xf numFmtId="0" fontId="20" fillId="4" borderId="27" applyProtection="1" pivotButton="0" quotePrefix="0" xfId="1">
      <protection locked="0" hidden="0"/>
    </xf>
    <xf numFmtId="2" fontId="20" fillId="5" borderId="27" applyAlignment="1" applyProtection="1" pivotButton="0" quotePrefix="0" xfId="1">
      <alignment horizontal="center"/>
      <protection locked="0" hidden="0"/>
    </xf>
    <xf numFmtId="16" fontId="0" fillId="0" borderId="27" applyAlignment="1" pivotButton="0" quotePrefix="1" xfId="0">
      <alignment horizontal="center"/>
    </xf>
    <xf numFmtId="0" fontId="0" fillId="0" borderId="27" applyAlignment="1" pivotButton="0" quotePrefix="1" xfId="0">
      <alignment horizontal="center"/>
    </xf>
    <xf numFmtId="0" fontId="0" fillId="4" borderId="26" pivotButton="0" quotePrefix="0" xfId="0"/>
    <xf numFmtId="0" fontId="0" fillId="4" borderId="26" applyAlignment="1" pivotButton="0" quotePrefix="0" xfId="0">
      <alignment horizontal="center"/>
    </xf>
    <xf numFmtId="0" fontId="0" fillId="0" borderId="26" applyAlignment="1" pivotButton="0" quotePrefix="0" xfId="0">
      <alignment horizontal="center"/>
    </xf>
    <xf numFmtId="0" fontId="0" fillId="0" borderId="50" pivotButton="0" quotePrefix="0" xfId="0"/>
    <xf numFmtId="0" fontId="5" fillId="4" borderId="27" applyProtection="1" pivotButton="0" quotePrefix="0" xfId="1">
      <protection locked="0" hidden="0"/>
    </xf>
    <xf numFmtId="0" fontId="5" fillId="5" borderId="27" pivotButton="0" quotePrefix="0" xfId="1"/>
    <xf numFmtId="0" fontId="5" fillId="5" borderId="27" applyAlignment="1" pivotButton="0" quotePrefix="0" xfId="3">
      <alignment vertical="top" wrapText="1"/>
    </xf>
    <xf numFmtId="167" fontId="0" fillId="0" borderId="0" applyAlignment="1" pivotButton="0" quotePrefix="0" xfId="0">
      <alignment horizontal="left"/>
    </xf>
    <xf numFmtId="167" fontId="0" fillId="0" borderId="0" applyAlignment="1" pivotButton="0" quotePrefix="0" xfId="0">
      <alignment horizontal="center"/>
    </xf>
    <xf numFmtId="0" fontId="3" fillId="5" borderId="0" applyAlignment="1" pivotButton="0" quotePrefix="0" xfId="0">
      <alignment horizontal="center" vertical="center"/>
    </xf>
    <xf numFmtId="168" fontId="8" fillId="0" borderId="0" applyAlignment="1" pivotButton="0" quotePrefix="0" xfId="0">
      <alignment horizontal="center" vertical="center"/>
    </xf>
    <xf numFmtId="0" fontId="15" fillId="0" borderId="30" applyAlignment="1" applyProtection="1" pivotButton="0" quotePrefix="0" xfId="0">
      <alignment horizontal="left"/>
      <protection locked="0" hidden="0"/>
    </xf>
    <xf numFmtId="0" fontId="14" fillId="0" borderId="0" applyAlignment="1" applyProtection="1" pivotButton="0" quotePrefix="0" xfId="0">
      <alignment horizontal="right"/>
      <protection locked="0" hidden="0"/>
    </xf>
    <xf numFmtId="0" fontId="20" fillId="4" borderId="30" applyAlignment="1" applyProtection="1" pivotButton="0" quotePrefix="0" xfId="0">
      <alignment horizontal="left"/>
      <protection locked="0" hidden="0"/>
    </xf>
    <xf numFmtId="2" fontId="20" fillId="4" borderId="45" applyAlignment="1" applyProtection="1" pivotButton="0" quotePrefix="0" xfId="0">
      <alignment horizontal="center"/>
      <protection locked="0" hidden="0"/>
    </xf>
    <xf numFmtId="0" fontId="52" fillId="5" borderId="0" pivotButton="0" quotePrefix="0" xfId="0"/>
    <xf numFmtId="0" fontId="15" fillId="0" borderId="41" applyAlignment="1" pivotButton="0" quotePrefix="0" xfId="0">
      <alignment horizontal="left" vertical="top" wrapText="1"/>
    </xf>
    <xf numFmtId="0" fontId="15" fillId="0" borderId="31" applyAlignment="1" pivotButton="0" quotePrefix="0" xfId="0">
      <alignment horizontal="left" vertical="top" wrapText="1"/>
    </xf>
    <xf numFmtId="0" fontId="15" fillId="0" borderId="32" applyAlignment="1" pivotButton="0" quotePrefix="0" xfId="0">
      <alignment horizontal="left" vertical="top" wrapText="1"/>
    </xf>
    <xf numFmtId="0" fontId="15" fillId="0" borderId="37" applyAlignment="1" pivotButton="0" quotePrefix="0" xfId="0">
      <alignment horizontal="left" vertical="top" wrapText="1"/>
    </xf>
    <xf numFmtId="0" fontId="15" fillId="0" borderId="0" applyAlignment="1" pivotButton="0" quotePrefix="0" xfId="0">
      <alignment horizontal="left" vertical="top" wrapText="1"/>
    </xf>
    <xf numFmtId="0" fontId="15" fillId="0" borderId="38" applyAlignment="1" pivotButton="0" quotePrefix="0" xfId="0">
      <alignment horizontal="left" vertical="top" wrapText="1"/>
    </xf>
    <xf numFmtId="0" fontId="15" fillId="0" borderId="15" applyAlignment="1" pivotButton="0" quotePrefix="0" xfId="0">
      <alignment horizontal="left" vertical="top" wrapText="1"/>
    </xf>
    <xf numFmtId="0" fontId="15" fillId="0" borderId="13" applyAlignment="1" pivotButton="0" quotePrefix="0" xfId="0">
      <alignment horizontal="left" vertical="top" wrapText="1"/>
    </xf>
    <xf numFmtId="0" fontId="15" fillId="0" borderId="14" applyAlignment="1" pivotButton="0" quotePrefix="0" xfId="0">
      <alignment horizontal="left" vertical="top" wrapText="1"/>
    </xf>
    <xf numFmtId="0" fontId="14" fillId="0" borderId="1" applyAlignment="1" pivotButton="0" quotePrefix="0" xfId="0">
      <alignment horizontal="center" vertical="top" wrapText="1"/>
    </xf>
    <xf numFmtId="0" fontId="14" fillId="0" borderId="3" applyAlignment="1" pivotButton="0" quotePrefix="0" xfId="0">
      <alignment horizontal="center" vertical="top" wrapText="1"/>
    </xf>
    <xf numFmtId="0" fontId="14" fillId="0" borderId="1" applyAlignment="1" pivotButton="0" quotePrefix="0" xfId="0">
      <alignment horizontal="left" vertical="top" wrapText="1"/>
    </xf>
    <xf numFmtId="0" fontId="14" fillId="0" borderId="3" applyAlignment="1" pivotButton="0" quotePrefix="0" xfId="0">
      <alignment horizontal="left" vertical="top" wrapText="1"/>
    </xf>
    <xf numFmtId="0" fontId="15" fillId="5" borderId="27" applyAlignment="1" applyProtection="1" pivotButton="0" quotePrefix="0" xfId="0">
      <alignment horizontal="center"/>
      <protection locked="0" hidden="0"/>
    </xf>
    <xf numFmtId="0" fontId="15" fillId="5" borderId="34" applyAlignment="1" applyProtection="1" pivotButton="0" quotePrefix="0" xfId="0">
      <alignment horizontal="center"/>
      <protection locked="0" hidden="0"/>
    </xf>
    <xf numFmtId="0" fontId="14" fillId="0" borderId="37" applyAlignment="1" pivotButton="0" quotePrefix="0" xfId="0">
      <alignment horizontal="center"/>
    </xf>
    <xf numFmtId="0" fontId="14" fillId="0" borderId="0" applyAlignment="1" pivotButton="0" quotePrefix="0" xfId="0">
      <alignment horizontal="center"/>
    </xf>
    <xf numFmtId="0" fontId="14" fillId="0" borderId="38" applyAlignment="1" pivotButton="0" quotePrefix="0" xfId="0">
      <alignment horizontal="center"/>
    </xf>
    <xf numFmtId="0" fontId="14" fillId="0" borderId="2" applyAlignment="1" pivotButton="0" quotePrefix="0" xfId="0">
      <alignment horizontal="center" vertical="top" wrapText="1"/>
    </xf>
    <xf numFmtId="49" fontId="15" fillId="5" borderId="27" applyAlignment="1" applyProtection="1" pivotButton="0" quotePrefix="0" xfId="0">
      <alignment horizontal="center"/>
      <protection locked="0" hidden="0"/>
    </xf>
    <xf numFmtId="0" fontId="15" fillId="0" borderId="12" applyAlignment="1" pivotButton="0" quotePrefix="0" xfId="0">
      <alignment horizontal="left"/>
    </xf>
    <xf numFmtId="0" fontId="15" fillId="0" borderId="11" applyAlignment="1" pivotButton="0" quotePrefix="0" xfId="0">
      <alignment horizontal="left"/>
    </xf>
    <xf numFmtId="164" fontId="15" fillId="0" borderId="13" applyAlignment="1" pivotButton="0" quotePrefix="0" xfId="0">
      <alignment horizontal="center"/>
    </xf>
    <xf numFmtId="0" fontId="15" fillId="0" borderId="41" applyAlignment="1" pivotButton="0" quotePrefix="0" xfId="0">
      <alignment horizontal="center" vertical="top"/>
    </xf>
    <xf numFmtId="0" fontId="15" fillId="0" borderId="32" applyAlignment="1" pivotButton="0" quotePrefix="0" xfId="0">
      <alignment horizontal="center" vertical="top"/>
    </xf>
    <xf numFmtId="0" fontId="15" fillId="0" borderId="41" applyAlignment="1" pivotButton="0" quotePrefix="0" xfId="0">
      <alignment horizontal="center"/>
    </xf>
    <xf numFmtId="0" fontId="15" fillId="0" borderId="31" applyAlignment="1" pivotButton="0" quotePrefix="0" xfId="0">
      <alignment horizontal="center"/>
    </xf>
    <xf numFmtId="0" fontId="15" fillId="0" borderId="32" applyAlignment="1" pivotButton="0" quotePrefix="0" xfId="0">
      <alignment horizontal="center"/>
    </xf>
    <xf numFmtId="169" fontId="15" fillId="5" borderId="21" applyAlignment="1" applyProtection="1" pivotButton="0" quotePrefix="0" xfId="0">
      <alignment horizontal="center"/>
      <protection locked="0" hidden="0"/>
    </xf>
    <xf numFmtId="0" fontId="15" fillId="5" borderId="21" applyAlignment="1" applyProtection="1" pivotButton="0" quotePrefix="0" xfId="0">
      <alignment horizontal="center"/>
      <protection locked="0" hidden="0"/>
    </xf>
    <xf numFmtId="169" fontId="15" fillId="5" borderId="27" applyAlignment="1" applyProtection="1" pivotButton="0" quotePrefix="0" xfId="0">
      <alignment horizontal="center"/>
      <protection locked="0" hidden="0"/>
    </xf>
    <xf numFmtId="0" fontId="15" fillId="0" borderId="15" applyAlignment="1" pivotButton="0" quotePrefix="0" xfId="0">
      <alignment horizontal="center"/>
    </xf>
    <xf numFmtId="0" fontId="15" fillId="0" borderId="13" applyAlignment="1" pivotButton="0" quotePrefix="0" xfId="0">
      <alignment horizontal="center"/>
    </xf>
    <xf numFmtId="0" fontId="15" fillId="5" borderId="1" applyAlignment="1" applyProtection="1" pivotButton="0" quotePrefix="0" xfId="0">
      <alignment horizontal="center"/>
      <protection locked="0" hidden="0"/>
    </xf>
    <xf numFmtId="0" fontId="15" fillId="5" borderId="2" applyAlignment="1" applyProtection="1" pivotButton="0" quotePrefix="0" xfId="0">
      <alignment horizontal="center"/>
      <protection locked="0" hidden="0"/>
    </xf>
    <xf numFmtId="0" fontId="15" fillId="5" borderId="3" applyAlignment="1" applyProtection="1" pivotButton="0" quotePrefix="0" xfId="0">
      <alignment horizontal="center"/>
      <protection locked="0" hidden="0"/>
    </xf>
    <xf numFmtId="0" fontId="15" fillId="5" borderId="9" applyAlignment="1" applyProtection="1" pivotButton="0" quotePrefix="0" xfId="0">
      <alignment horizontal="center"/>
      <protection locked="0" hidden="0"/>
    </xf>
    <xf numFmtId="0" fontId="15" fillId="5" borderId="11" applyAlignment="1" applyProtection="1" pivotButton="0" quotePrefix="0" xfId="0">
      <alignment horizontal="center"/>
      <protection locked="0" hidden="0"/>
    </xf>
    <xf numFmtId="0" fontId="14" fillId="0" borderId="1" applyAlignment="1" pivotButton="0" quotePrefix="0" xfId="0">
      <alignment horizontal="center"/>
    </xf>
    <xf numFmtId="0" fontId="14" fillId="0" borderId="2" applyAlignment="1" pivotButton="0" quotePrefix="0" xfId="0">
      <alignment horizontal="center"/>
    </xf>
    <xf numFmtId="0" fontId="14" fillId="0" borderId="3" applyAlignment="1" pivotButton="0" quotePrefix="0" xfId="0">
      <alignment horizontal="center"/>
    </xf>
    <xf numFmtId="0" fontId="15" fillId="5" borderId="5" applyAlignment="1" applyProtection="1" pivotButton="0" quotePrefix="0" xfId="0">
      <alignment horizontal="center"/>
      <protection locked="0" hidden="0"/>
    </xf>
    <xf numFmtId="0" fontId="15" fillId="5" borderId="7" applyAlignment="1" applyProtection="1" pivotButton="0" quotePrefix="0" xfId="0">
      <alignment horizontal="center"/>
      <protection locked="0" hidden="0"/>
    </xf>
    <xf numFmtId="14" fontId="15" fillId="5" borderId="9" applyAlignment="1" applyProtection="1" pivotButton="0" quotePrefix="0" xfId="0">
      <alignment horizontal="center"/>
      <protection locked="0" hidden="0"/>
    </xf>
    <xf numFmtId="14" fontId="15" fillId="5" borderId="11" applyAlignment="1" applyProtection="1" pivotButton="0" quotePrefix="0" xfId="0">
      <alignment horizontal="center"/>
      <protection locked="0" hidden="0"/>
    </xf>
    <xf numFmtId="0" fontId="15" fillId="5" borderId="1" applyAlignment="1" applyProtection="1" pivotButton="0" quotePrefix="1" xfId="0">
      <alignment horizontal="center" shrinkToFit="1"/>
      <protection locked="0" hidden="0"/>
    </xf>
    <xf numFmtId="0" fontId="15" fillId="5" borderId="2" applyAlignment="1" applyProtection="1" pivotButton="0" quotePrefix="1" xfId="0">
      <alignment horizontal="center" shrinkToFit="1"/>
      <protection locked="0" hidden="0"/>
    </xf>
    <xf numFmtId="0" fontId="15" fillId="5" borderId="3" applyAlignment="1" applyProtection="1" pivotButton="0" quotePrefix="1" xfId="0">
      <alignment horizontal="center" shrinkToFit="1"/>
      <protection locked="0" hidden="0"/>
    </xf>
    <xf numFmtId="0" fontId="14" fillId="0" borderId="27" applyAlignment="1" pivotButton="0" quotePrefix="0" xfId="0">
      <alignment horizontal="center"/>
    </xf>
    <xf numFmtId="0" fontId="14" fillId="0" borderId="0" applyAlignment="1" pivotButton="0" quotePrefix="0" xfId="0">
      <alignment horizontal="right"/>
    </xf>
    <xf numFmtId="0" fontId="14" fillId="0" borderId="27" applyAlignment="1" pivotButton="0" quotePrefix="0" xfId="0">
      <alignment horizontal="left"/>
    </xf>
    <xf numFmtId="0" fontId="1" fillId="0" borderId="0" applyAlignment="1" pivotButton="0" quotePrefix="0" xfId="0">
      <alignment horizontal="right"/>
    </xf>
    <xf numFmtId="0" fontId="20" fillId="4" borderId="0" applyAlignment="1" pivotButton="0" quotePrefix="0" xfId="0">
      <alignment horizontal="center"/>
    </xf>
    <xf numFmtId="0" fontId="10" fillId="0" borderId="60" applyAlignment="1" applyProtection="1" pivotButton="0" quotePrefix="0" xfId="0">
      <alignment horizontal="center" vertical="center"/>
      <protection locked="0" hidden="0"/>
    </xf>
    <xf numFmtId="0" fontId="20" fillId="4" borderId="62" applyAlignment="1" applyProtection="1" pivotButton="0" quotePrefix="0" xfId="0">
      <alignment horizontal="left" wrapText="1"/>
      <protection locked="0" hidden="0"/>
    </xf>
    <xf numFmtId="0" fontId="20" fillId="4" borderId="71" applyAlignment="1" applyProtection="1" pivotButton="0" quotePrefix="0" xfId="0">
      <alignment horizontal="left" wrapText="1"/>
      <protection locked="0" hidden="0"/>
    </xf>
    <xf numFmtId="0" fontId="20" fillId="4" borderId="63" applyAlignment="1" applyProtection="1" pivotButton="0" quotePrefix="0" xfId="0">
      <alignment horizontal="left" wrapText="1"/>
      <protection locked="0" hidden="0"/>
    </xf>
    <xf numFmtId="0" fontId="20" fillId="4" borderId="65" applyAlignment="1" applyProtection="1" pivotButton="0" quotePrefix="0" xfId="0">
      <alignment horizontal="left" wrapText="1"/>
      <protection locked="0" hidden="0"/>
    </xf>
    <xf numFmtId="0" fontId="20" fillId="4" borderId="68" applyAlignment="1" applyProtection="1" pivotButton="0" quotePrefix="0" xfId="0">
      <alignment horizontal="left" wrapText="1"/>
      <protection locked="0" hidden="0"/>
    </xf>
    <xf numFmtId="0" fontId="20" fillId="4" borderId="66" applyAlignment="1" applyProtection="1" pivotButton="0" quotePrefix="0" xfId="0">
      <alignment horizontal="left" wrapText="1"/>
      <protection locked="0" hidden="0"/>
    </xf>
    <xf numFmtId="0" fontId="20" fillId="4" borderId="26" applyAlignment="1" applyProtection="1" pivotButton="0" quotePrefix="0" xfId="0">
      <alignment horizontal="left" wrapText="1"/>
      <protection locked="0" hidden="0"/>
    </xf>
    <xf numFmtId="0" fontId="20" fillId="4" borderId="40" applyAlignment="1" applyProtection="1" pivotButton="0" quotePrefix="0" xfId="0">
      <alignment horizontal="left" wrapText="1"/>
      <protection locked="0" hidden="0"/>
    </xf>
    <xf numFmtId="0" fontId="20" fillId="4" borderId="25" applyAlignment="1" applyProtection="1" pivotButton="0" quotePrefix="0" xfId="0">
      <alignment horizontal="left" wrapText="1"/>
      <protection locked="0" hidden="0"/>
    </xf>
    <xf numFmtId="0" fontId="20" fillId="4" borderId="65" applyAlignment="1" applyProtection="1" pivotButton="0" quotePrefix="0" xfId="0">
      <alignment wrapText="1"/>
      <protection locked="0" hidden="0"/>
    </xf>
    <xf numFmtId="0" fontId="20" fillId="4" borderId="68" applyProtection="1" pivotButton="0" quotePrefix="0" xfId="0">
      <protection locked="0" hidden="0"/>
    </xf>
    <xf numFmtId="0" fontId="20" fillId="4" borderId="66" applyProtection="1" pivotButton="0" quotePrefix="0" xfId="0">
      <protection locked="0" hidden="0"/>
    </xf>
    <xf numFmtId="0" fontId="20" fillId="4" borderId="62" applyAlignment="1" applyProtection="1" pivotButton="0" quotePrefix="0" xfId="0">
      <alignment wrapText="1"/>
      <protection locked="0" hidden="0"/>
    </xf>
    <xf numFmtId="0" fontId="20" fillId="4" borderId="71" applyProtection="1" pivotButton="0" quotePrefix="0" xfId="0">
      <protection locked="0" hidden="0"/>
    </xf>
    <xf numFmtId="0" fontId="20" fillId="4" borderId="63" applyProtection="1" pivotButton="0" quotePrefix="0" xfId="0">
      <protection locked="0" hidden="0"/>
    </xf>
    <xf numFmtId="0" fontId="20" fillId="4" borderId="62" applyAlignment="1" applyProtection="1" pivotButton="0" quotePrefix="0" xfId="0">
      <alignment horizontal="left"/>
      <protection locked="0" hidden="0"/>
    </xf>
    <xf numFmtId="0" fontId="20" fillId="4" borderId="71" applyAlignment="1" applyProtection="1" pivotButton="0" quotePrefix="0" xfId="0">
      <alignment horizontal="left"/>
      <protection locked="0" hidden="0"/>
    </xf>
    <xf numFmtId="0" fontId="20" fillId="4" borderId="63" applyAlignment="1" applyProtection="1" pivotButton="0" quotePrefix="0" xfId="0">
      <alignment horizontal="left"/>
      <protection locked="0" hidden="0"/>
    </xf>
    <xf numFmtId="0" fontId="20" fillId="4" borderId="26" applyAlignment="1" applyProtection="1" pivotButton="0" quotePrefix="0" xfId="0">
      <alignment horizontal="left"/>
      <protection locked="0" hidden="0"/>
    </xf>
    <xf numFmtId="0" fontId="20" fillId="4" borderId="40" applyAlignment="1" applyProtection="1" pivotButton="0" quotePrefix="0" xfId="0">
      <alignment horizontal="left"/>
      <protection locked="0" hidden="0"/>
    </xf>
    <xf numFmtId="0" fontId="20" fillId="4" borderId="25" applyAlignment="1" applyProtection="1" pivotButton="0" quotePrefix="0" xfId="0">
      <alignment horizontal="left"/>
      <protection locked="0" hidden="0"/>
    </xf>
    <xf numFmtId="0" fontId="22" fillId="4" borderId="30" applyAlignment="1" pivotButton="0" quotePrefix="0" xfId="0">
      <alignment horizontal="center" vertical="center" textRotation="90"/>
    </xf>
    <xf numFmtId="0" fontId="22" fillId="4" borderId="42" applyAlignment="1" pivotButton="0" quotePrefix="0" xfId="0">
      <alignment horizontal="center" vertical="center" textRotation="90"/>
    </xf>
    <xf numFmtId="0" fontId="22" fillId="4" borderId="45" applyAlignment="1" pivotButton="0" quotePrefix="0" xfId="0">
      <alignment horizontal="center" vertical="center" textRotation="90"/>
    </xf>
    <xf numFmtId="0" fontId="8" fillId="6" borderId="1" applyAlignment="1" pivotButton="0" quotePrefix="0" xfId="0">
      <alignment horizontal="center" vertical="center" wrapText="1"/>
    </xf>
    <xf numFmtId="0" fontId="8" fillId="6" borderId="2" applyAlignment="1" pivotButton="0" quotePrefix="0" xfId="0">
      <alignment horizontal="center" vertical="center" wrapText="1"/>
    </xf>
    <xf numFmtId="0" fontId="0" fillId="0" borderId="22" applyAlignment="1" pivotButton="0" quotePrefix="0" xfId="0">
      <alignment horizontal="center" wrapText="1"/>
    </xf>
    <xf numFmtId="0" fontId="0" fillId="0" borderId="45" applyAlignment="1" pivotButton="0" quotePrefix="0" xfId="0">
      <alignment horizontal="center" wrapText="1"/>
    </xf>
    <xf numFmtId="0" fontId="0" fillId="0" borderId="46" applyAlignment="1" pivotButton="0" quotePrefix="0" xfId="0">
      <alignment horizontal="center" wrapText="1"/>
    </xf>
    <xf numFmtId="0" fontId="0" fillId="7" borderId="1" applyAlignment="1" pivotButton="0" quotePrefix="0" xfId="0">
      <alignment horizontal="center"/>
    </xf>
    <xf numFmtId="0" fontId="0" fillId="7" borderId="9" applyAlignment="1" pivotButton="0" quotePrefix="0" xfId="0">
      <alignment horizontal="center"/>
    </xf>
    <xf numFmtId="0" fontId="4" fillId="0" borderId="55" applyAlignment="1" pivotButton="0" quotePrefix="0" xfId="0">
      <alignment horizontal="center"/>
    </xf>
    <xf numFmtId="0" fontId="11" fillId="0" borderId="0" applyAlignment="1" pivotButton="0" quotePrefix="0" xfId="0">
      <alignment horizontal="right"/>
    </xf>
    <xf numFmtId="14" fontId="4" fillId="0" borderId="55" applyAlignment="1" pivotButton="0" quotePrefix="0" xfId="0">
      <alignment horizontal="center"/>
    </xf>
    <xf numFmtId="0" fontId="4" fillId="0" borderId="53" applyAlignment="1" applyProtection="1" pivotButton="0" quotePrefix="0" xfId="0">
      <alignment horizontal="left" vertical="top" wrapText="1"/>
      <protection locked="0" hidden="0"/>
    </xf>
    <xf numFmtId="0" fontId="4" fillId="0" borderId="51" applyAlignment="1" applyProtection="1" pivotButton="0" quotePrefix="0" xfId="0">
      <alignment horizontal="left" vertical="top" wrapText="1"/>
      <protection locked="0" hidden="0"/>
    </xf>
    <xf numFmtId="0" fontId="4" fillId="0" borderId="50" applyAlignment="1" applyProtection="1" pivotButton="0" quotePrefix="0" xfId="0">
      <alignment horizontal="left" vertical="top" wrapText="1"/>
      <protection locked="0" hidden="0"/>
    </xf>
    <xf numFmtId="0" fontId="4" fillId="0" borderId="49" applyAlignment="1" applyProtection="1" pivotButton="0" quotePrefix="0" xfId="0">
      <alignment horizontal="left" vertical="top" wrapText="1"/>
      <protection locked="0" hidden="0"/>
    </xf>
    <xf numFmtId="0" fontId="4" fillId="0" borderId="52" applyAlignment="1" applyProtection="1" pivotButton="0" quotePrefix="0" xfId="0">
      <alignment horizontal="left" vertical="top" wrapText="1"/>
      <protection locked="0" hidden="0"/>
    </xf>
    <xf numFmtId="0" fontId="4" fillId="0" borderId="56" applyAlignment="1" applyProtection="1" pivotButton="0" quotePrefix="0" xfId="0">
      <alignment horizontal="left" vertical="top" wrapText="1"/>
      <protection locked="0" hidden="0"/>
    </xf>
    <xf numFmtId="0" fontId="38" fillId="0" borderId="0" applyAlignment="1" pivotButton="0" quotePrefix="0" xfId="0">
      <alignment horizontal="center"/>
    </xf>
    <xf numFmtId="0" fontId="4" fillId="0" borderId="0" applyAlignment="1" pivotButton="0" quotePrefix="0" xfId="0">
      <alignment horizontal="center"/>
    </xf>
    <xf numFmtId="0" fontId="8" fillId="8" borderId="27" applyAlignment="1" pivotButton="0" quotePrefix="0" xfId="0">
      <alignment horizontal="center" vertical="center"/>
    </xf>
    <xf numFmtId="0" fontId="45" fillId="3" borderId="0" applyAlignment="1" pivotButton="0" quotePrefix="0" xfId="0">
      <alignment horizontal="center"/>
    </xf>
    <xf numFmtId="0" fontId="45" fillId="3" borderId="55" applyAlignment="1" pivotButton="0" quotePrefix="0" xfId="0">
      <alignment horizontal="center"/>
    </xf>
    <xf numFmtId="0" fontId="46" fillId="8" borderId="53" applyAlignment="1" pivotButton="0" quotePrefix="0" xfId="3">
      <alignment horizontal="center" vertical="center"/>
    </xf>
    <xf numFmtId="0" fontId="46" fillId="8" borderId="81" applyAlignment="1" pivotButton="0" quotePrefix="0" xfId="3">
      <alignment horizontal="center" vertical="center"/>
    </xf>
    <xf numFmtId="0" fontId="46" fillId="8" borderId="51" applyAlignment="1" pivotButton="0" quotePrefix="0" xfId="3">
      <alignment horizontal="center" vertical="center"/>
    </xf>
    <xf numFmtId="0" fontId="46" fillId="8" borderId="52" applyAlignment="1" pivotButton="0" quotePrefix="0" xfId="3">
      <alignment horizontal="center" vertical="center"/>
    </xf>
    <xf numFmtId="0" fontId="46" fillId="8" borderId="55" applyAlignment="1" pivotButton="0" quotePrefix="0" xfId="3">
      <alignment horizontal="center" vertical="center"/>
    </xf>
    <xf numFmtId="0" fontId="46" fillId="8" borderId="56" applyAlignment="1" pivotButton="0" quotePrefix="0" xfId="3">
      <alignment horizontal="center" vertical="center"/>
    </xf>
    <xf numFmtId="0" fontId="47" fillId="8" borderId="30" applyAlignment="1" pivotButton="0" quotePrefix="0" xfId="0">
      <alignment horizontal="center" vertical="center"/>
    </xf>
    <xf numFmtId="0" fontId="47" fillId="8" borderId="45" applyAlignment="1" pivotButton="0" quotePrefix="0" xfId="0">
      <alignment horizontal="center" vertical="center"/>
    </xf>
    <xf numFmtId="0" fontId="8" fillId="8" borderId="30" applyAlignment="1" pivotButton="0" quotePrefix="0" xfId="0">
      <alignment horizontal="center" vertical="center"/>
    </xf>
    <xf numFmtId="0" fontId="8" fillId="8" borderId="45" applyAlignment="1" pivotButton="0" quotePrefix="0" xfId="0">
      <alignment horizontal="center" vertical="center"/>
    </xf>
    <xf numFmtId="0" fontId="16" fillId="8" borderId="27" applyAlignment="1" pivotButton="0" quotePrefix="0" xfId="0">
      <alignment horizontal="center" vertical="center"/>
    </xf>
    <xf numFmtId="0" fontId="0" fillId="8" borderId="27" applyAlignment="1" pivotButton="0" quotePrefix="0" xfId="0">
      <alignment horizontal="center" vertical="center"/>
    </xf>
    <xf numFmtId="164" fontId="3" fillId="2" borderId="27" applyAlignment="1" pivotButton="0" quotePrefix="0" xfId="0">
      <alignment horizontal="center"/>
    </xf>
    <xf numFmtId="0" fontId="5" fillId="0" borderId="27" applyAlignment="1" applyProtection="1" pivotButton="0" quotePrefix="0" xfId="0">
      <alignment horizontal="center" vertical="center" wrapText="1"/>
      <protection locked="0" hidden="0"/>
    </xf>
    <xf numFmtId="166" fontId="5" fillId="0" borderId="27" applyAlignment="1" applyProtection="1" pivotButton="0" quotePrefix="0" xfId="2">
      <alignment horizontal="center" vertical="center"/>
      <protection locked="0" hidden="0"/>
    </xf>
    <xf numFmtId="0" fontId="5" fillId="0" borderId="27" applyAlignment="1" applyProtection="1" pivotButton="0" quotePrefix="0" xfId="0">
      <alignment horizontal="center" vertical="center"/>
      <protection locked="0" hidden="0"/>
    </xf>
    <xf numFmtId="166" fontId="5" fillId="0" borderId="27" applyAlignment="1" pivotButton="0" quotePrefix="0" xfId="0">
      <alignment horizontal="center" vertical="center"/>
    </xf>
    <xf numFmtId="0" fontId="5" fillId="0" borderId="27" applyAlignment="1" pivotButton="0" quotePrefix="0" xfId="0">
      <alignment horizontal="center" vertical="center" wrapText="1"/>
    </xf>
    <xf numFmtId="166" fontId="5" fillId="0" borderId="27" applyAlignment="1" pivotButton="0" quotePrefix="0" xfId="2">
      <alignment horizontal="center" vertical="center"/>
    </xf>
    <xf numFmtId="0" fontId="5" fillId="0" borderId="27" applyAlignment="1" pivotButton="0" quotePrefix="0" xfId="0">
      <alignment horizontal="center" vertical="center"/>
    </xf>
    <xf numFmtId="164" fontId="3" fillId="2" borderId="45" applyAlignment="1" pivotButton="0" quotePrefix="0" xfId="0">
      <alignment horizontal="center"/>
    </xf>
    <xf numFmtId="164" fontId="3" fillId="2" borderId="20" applyAlignment="1" pivotButton="0" quotePrefix="0" xfId="0">
      <alignment horizontal="center"/>
    </xf>
    <xf numFmtId="164" fontId="3" fillId="2" borderId="39" applyAlignment="1" pivotButton="0" quotePrefix="0" xfId="0">
      <alignment horizontal="center"/>
    </xf>
    <xf numFmtId="164" fontId="3" fillId="2" borderId="19" applyAlignment="1" pivotButton="0" quotePrefix="0" xfId="0">
      <alignment horizontal="center"/>
    </xf>
    <xf numFmtId="0" fontId="3" fillId="7" borderId="27" applyAlignment="1" applyProtection="1" pivotButton="0" quotePrefix="0" xfId="0">
      <alignment horizontal="center"/>
      <protection locked="0" hidden="0"/>
    </xf>
    <xf numFmtId="164" fontId="3" fillId="7" borderId="27" applyAlignment="1" applyProtection="1" pivotButton="0" quotePrefix="0" xfId="0">
      <alignment horizontal="center"/>
      <protection locked="0" hidden="0"/>
    </xf>
    <xf numFmtId="0" fontId="3" fillId="0" borderId="27" applyAlignment="1" applyProtection="1" pivotButton="0" quotePrefix="0" xfId="0">
      <alignment horizontal="center"/>
      <protection locked="0" hidden="0"/>
    </xf>
    <xf numFmtId="164" fontId="3" fillId="0" borderId="27" applyAlignment="1" applyProtection="1" pivotButton="0" quotePrefix="0" xfId="0">
      <alignment horizontal="center"/>
      <protection locked="0" hidden="0"/>
    </xf>
    <xf numFmtId="0" fontId="1" fillId="2" borderId="1" applyAlignment="1" pivotButton="0" quotePrefix="0" xfId="0">
      <alignment horizontal="center"/>
    </xf>
    <xf numFmtId="0" fontId="1" fillId="2" borderId="2" applyAlignment="1" pivotButton="0" quotePrefix="0" xfId="0">
      <alignment horizontal="center"/>
    </xf>
    <xf numFmtId="0" fontId="1" fillId="2" borderId="3" applyAlignment="1" pivotButton="0" quotePrefix="0" xfId="0">
      <alignment horizontal="center"/>
    </xf>
    <xf numFmtId="0" fontId="3" fillId="2" borderId="50" applyAlignment="1" pivotButton="0" quotePrefix="0" xfId="0">
      <alignment horizontal="center"/>
    </xf>
    <xf numFmtId="0" fontId="3" fillId="2" borderId="49" applyAlignment="1" pivotButton="0" quotePrefix="0" xfId="0">
      <alignment horizontal="center"/>
    </xf>
    <xf numFmtId="0" fontId="3" fillId="2" borderId="0" applyAlignment="1" pivotButton="0" quotePrefix="0" xfId="0">
      <alignment horizontal="center"/>
    </xf>
    <xf numFmtId="0" fontId="1" fillId="0" borderId="26" applyAlignment="1" applyProtection="1" pivotButton="0" quotePrefix="0" xfId="0">
      <alignment horizontal="center"/>
      <protection locked="0" hidden="0"/>
    </xf>
    <xf numFmtId="0" fontId="1" fillId="0" borderId="40" applyAlignment="1" applyProtection="1" pivotButton="0" quotePrefix="0" xfId="0">
      <alignment horizontal="center"/>
      <protection locked="0" hidden="0"/>
    </xf>
    <xf numFmtId="0" fontId="1" fillId="0" borderId="25" applyAlignment="1" applyProtection="1" pivotButton="0" quotePrefix="0" xfId="0">
      <alignment horizontal="center"/>
      <protection locked="0" hidden="0"/>
    </xf>
    <xf numFmtId="164" fontId="3" fillId="0" borderId="26" applyAlignment="1" applyProtection="1" pivotButton="0" quotePrefix="0" xfId="0">
      <alignment horizontal="center"/>
      <protection locked="0" hidden="0"/>
    </xf>
    <xf numFmtId="164" fontId="3" fillId="0" borderId="25" applyAlignment="1" applyProtection="1" pivotButton="0" quotePrefix="0" xfId="0">
      <alignment horizontal="center"/>
      <protection locked="0" hidden="0"/>
    </xf>
    <xf numFmtId="0" fontId="3" fillId="0" borderId="26" applyAlignment="1" applyProtection="1" pivotButton="0" quotePrefix="0" xfId="0">
      <alignment horizontal="center"/>
      <protection locked="0" hidden="0"/>
    </xf>
    <xf numFmtId="0" fontId="3" fillId="0" borderId="40" applyAlignment="1" applyProtection="1" pivotButton="0" quotePrefix="0" xfId="0">
      <alignment horizontal="center"/>
      <protection locked="0" hidden="0"/>
    </xf>
    <xf numFmtId="0" fontId="3" fillId="0" borderId="25" applyAlignment="1" applyProtection="1" pivotButton="0" quotePrefix="0" xfId="0">
      <alignment horizontal="center"/>
      <protection locked="0" hidden="0"/>
    </xf>
    <xf numFmtId="1" fontId="3" fillId="0" borderId="27" applyAlignment="1" applyProtection="1" pivotButton="0" quotePrefix="0" xfId="0">
      <alignment horizontal="center"/>
      <protection locked="0" hidden="0"/>
    </xf>
    <xf numFmtId="4" fontId="1" fillId="2" borderId="1" applyAlignment="1" pivotButton="0" quotePrefix="0" xfId="0">
      <alignment horizontal="center"/>
    </xf>
    <xf numFmtId="4" fontId="1" fillId="2" borderId="2" applyAlignment="1" pivotButton="0" quotePrefix="0" xfId="0">
      <alignment horizontal="center"/>
    </xf>
    <xf numFmtId="4" fontId="1" fillId="2" borderId="3" applyAlignment="1" pivotButton="0" quotePrefix="0" xfId="0">
      <alignment horizontal="center"/>
    </xf>
    <xf numFmtId="0" fontId="49" fillId="3" borderId="0" applyAlignment="1" pivotButton="0" quotePrefix="0" xfId="12">
      <alignment horizontal="center"/>
    </xf>
    <xf numFmtId="0" fontId="49" fillId="3" borderId="41" applyAlignment="1" pivotButton="0" quotePrefix="0" xfId="12">
      <alignment horizontal="center"/>
    </xf>
    <xf numFmtId="0" fontId="49" fillId="3" borderId="31" applyAlignment="1" pivotButton="0" quotePrefix="0" xfId="12">
      <alignment horizontal="center"/>
    </xf>
    <xf numFmtId="0" fontId="49" fillId="3" borderId="32" applyAlignment="1" pivotButton="0" quotePrefix="0" xfId="12">
      <alignment horizontal="center"/>
    </xf>
    <xf numFmtId="0" fontId="49" fillId="3" borderId="15" applyAlignment="1" pivotButton="0" quotePrefix="0" xfId="12">
      <alignment horizontal="center"/>
    </xf>
    <xf numFmtId="0" fontId="49" fillId="3" borderId="13" applyAlignment="1" pivotButton="0" quotePrefix="0" xfId="12">
      <alignment horizontal="center"/>
    </xf>
    <xf numFmtId="0" fontId="49" fillId="3" borderId="14" applyAlignment="1" pivotButton="0" quotePrefix="0" xfId="12">
      <alignment horizontal="center"/>
    </xf>
    <xf numFmtId="0" fontId="14" fillId="0" borderId="8" applyAlignment="1" pivotButton="0" quotePrefix="0" xfId="0">
      <alignment horizontal="center"/>
    </xf>
    <xf numFmtId="0" fontId="0" fillId="0" borderId="2" pivotButton="0" quotePrefix="0" xfId="0"/>
    <xf numFmtId="0" fontId="0" fillId="0" borderId="3" pivotButton="0" quotePrefix="0" xfId="0"/>
    <xf numFmtId="0" fontId="0" fillId="0" borderId="2" applyProtection="1" pivotButton="0" quotePrefix="0" xfId="0">
      <protection locked="0" hidden="0"/>
    </xf>
    <xf numFmtId="0" fontId="0" fillId="0" borderId="3" applyProtection="1" pivotButton="0" quotePrefix="0" xfId="0">
      <protection locked="0" hidden="0"/>
    </xf>
    <xf numFmtId="0" fontId="0" fillId="0" borderId="5" applyProtection="1" pivotButton="0" quotePrefix="0" xfId="0">
      <protection locked="0" hidden="0"/>
    </xf>
    <xf numFmtId="0" fontId="15" fillId="5" borderId="8" applyAlignment="1" applyProtection="1" pivotButton="0" quotePrefix="1" xfId="0">
      <alignment horizontal="center" shrinkToFit="1"/>
      <protection locked="0" hidden="0"/>
    </xf>
    <xf numFmtId="0" fontId="0" fillId="0" borderId="9" applyProtection="1" pivotButton="0" quotePrefix="0" xfId="0">
      <protection locked="0" hidden="0"/>
    </xf>
    <xf numFmtId="0" fontId="0" fillId="0" borderId="9" pivotButton="0" quotePrefix="0" xfId="0"/>
    <xf numFmtId="0" fontId="0" fillId="0" borderId="13" pivotButton="0" quotePrefix="0" xfId="0"/>
    <xf numFmtId="0" fontId="15" fillId="0" borderId="4" applyAlignment="1" pivotButton="0" quotePrefix="0" xfId="0">
      <alignment horizontal="center" vertical="top"/>
    </xf>
    <xf numFmtId="0" fontId="0" fillId="0" borderId="32" pivotButton="0" quotePrefix="0" xfId="0"/>
    <xf numFmtId="0" fontId="0" fillId="0" borderId="31" pivotButton="0" quotePrefix="0" xfId="0"/>
    <xf numFmtId="169" fontId="15" fillId="5" borderId="21" applyAlignment="1" applyProtection="1" pivotButton="0" quotePrefix="0" xfId="0">
      <alignment horizontal="center"/>
      <protection locked="0" hidden="0"/>
    </xf>
    <xf numFmtId="0" fontId="0" fillId="0" borderId="39" applyProtection="1" pivotButton="0" quotePrefix="0" xfId="0">
      <protection locked="0" hidden="0"/>
    </xf>
    <xf numFmtId="0" fontId="0" fillId="0" borderId="19" applyProtection="1" pivotButton="0" quotePrefix="0" xfId="0">
      <protection locked="0" hidden="0"/>
    </xf>
    <xf numFmtId="169" fontId="15" fillId="5" borderId="27" applyAlignment="1" applyProtection="1" pivotButton="0" quotePrefix="0" xfId="0">
      <alignment horizontal="center"/>
      <protection locked="0" hidden="0"/>
    </xf>
    <xf numFmtId="0" fontId="0" fillId="0" borderId="40" applyProtection="1" pivotButton="0" quotePrefix="0" xfId="0">
      <protection locked="0" hidden="0"/>
    </xf>
    <xf numFmtId="0" fontId="0" fillId="0" borderId="25" applyProtection="1" pivotButton="0" quotePrefix="0" xfId="0">
      <protection locked="0" hidden="0"/>
    </xf>
    <xf numFmtId="0" fontId="0" fillId="0" borderId="82" applyProtection="1" pivotButton="0" quotePrefix="0" xfId="0">
      <protection locked="0" hidden="0"/>
    </xf>
    <xf numFmtId="0" fontId="0" fillId="0" borderId="83" applyProtection="1" pivotButton="0" quotePrefix="0" xfId="0">
      <protection locked="0" hidden="0"/>
    </xf>
    <xf numFmtId="0" fontId="14" fillId="0" borderId="84" applyAlignment="1" pivotButton="0" quotePrefix="0" xfId="0">
      <alignment horizontal="center"/>
    </xf>
    <xf numFmtId="0" fontId="0" fillId="0" borderId="38" pivotButton="0" quotePrefix="0" xfId="0"/>
    <xf numFmtId="0" fontId="0" fillId="0" borderId="37" pivotButton="0" quotePrefix="0" xfId="0"/>
    <xf numFmtId="0" fontId="0" fillId="0" borderId="15" pivotButton="0" quotePrefix="0" xfId="0"/>
    <xf numFmtId="0" fontId="0" fillId="0" borderId="14" pivotButton="0" quotePrefix="0" xfId="0"/>
    <xf numFmtId="0" fontId="14" fillId="0" borderId="8" applyAlignment="1" pivotButton="0" quotePrefix="0" xfId="0">
      <alignment horizontal="left" vertical="top" wrapText="1"/>
    </xf>
    <xf numFmtId="0" fontId="0" fillId="0" borderId="40" pivotButton="0" quotePrefix="0" xfId="0"/>
    <xf numFmtId="0" fontId="0" fillId="0" borderId="25" pivotButton="0" quotePrefix="0" xfId="0"/>
    <xf numFmtId="165" fontId="3" fillId="2" borderId="45" applyAlignment="1" applyProtection="1" pivotButton="0" quotePrefix="0" xfId="2">
      <alignment horizontal="center"/>
      <protection locked="0" hidden="0"/>
    </xf>
    <xf numFmtId="165" fontId="12" fillId="0" borderId="0" applyAlignment="1" pivotButton="0" quotePrefix="0" xfId="0">
      <alignment horizontal="right"/>
    </xf>
    <xf numFmtId="165" fontId="17" fillId="0" borderId="0" applyAlignment="1" pivotButton="0" quotePrefix="0" xfId="0">
      <alignment horizontal="right"/>
    </xf>
    <xf numFmtId="168" fontId="8" fillId="0" borderId="0" applyAlignment="1" pivotButton="0" quotePrefix="0" xfId="0">
      <alignment horizontal="center" vertical="center"/>
    </xf>
    <xf numFmtId="0" fontId="22" fillId="4" borderId="27" applyAlignment="1" pivotButton="0" quotePrefix="0" xfId="0">
      <alignment horizontal="center" vertical="center" textRotation="90"/>
    </xf>
    <xf numFmtId="0" fontId="0" fillId="0" borderId="45" pivotButton="0" quotePrefix="0" xfId="0"/>
    <xf numFmtId="0" fontId="20" fillId="4" borderId="64" applyAlignment="1" applyProtection="1" pivotButton="0" quotePrefix="0" xfId="0">
      <alignment wrapText="1"/>
      <protection locked="0" hidden="0"/>
    </xf>
    <xf numFmtId="0" fontId="0" fillId="0" borderId="68" applyProtection="1" pivotButton="0" quotePrefix="0" xfId="0">
      <protection locked="0" hidden="0"/>
    </xf>
    <xf numFmtId="0" fontId="0" fillId="0" borderId="66" applyProtection="1" pivotButton="0" quotePrefix="0" xfId="0">
      <protection locked="0" hidden="0"/>
    </xf>
    <xf numFmtId="0" fontId="20" fillId="4" borderId="61" applyAlignment="1" applyProtection="1" pivotButton="0" quotePrefix="0" xfId="0">
      <alignment horizontal="left" wrapText="1"/>
      <protection locked="0" hidden="0"/>
    </xf>
    <xf numFmtId="0" fontId="0" fillId="0" borderId="71" applyProtection="1" pivotButton="0" quotePrefix="0" xfId="0">
      <protection locked="0" hidden="0"/>
    </xf>
    <xf numFmtId="0" fontId="0" fillId="0" borderId="63" applyProtection="1" pivotButton="0" quotePrefix="0" xfId="0">
      <protection locked="0" hidden="0"/>
    </xf>
    <xf numFmtId="0" fontId="20" fillId="4" borderId="27" applyAlignment="1" applyProtection="1" pivotButton="0" quotePrefix="0" xfId="0">
      <alignment horizontal="left" wrapText="1"/>
      <protection locked="0" hidden="0"/>
    </xf>
    <xf numFmtId="0" fontId="20" fillId="4" borderId="27" applyAlignment="1" applyProtection="1" pivotButton="0" quotePrefix="0" xfId="0">
      <alignment horizontal="left"/>
      <protection locked="0" hidden="0"/>
    </xf>
    <xf numFmtId="0" fontId="20" fillId="4" borderId="61" applyAlignment="1" applyProtection="1" pivotButton="0" quotePrefix="0" xfId="0">
      <alignment horizontal="left"/>
      <protection locked="0" hidden="0"/>
    </xf>
    <xf numFmtId="0" fontId="20" fillId="4" borderId="61" applyAlignment="1" applyProtection="1" pivotButton="0" quotePrefix="0" xfId="0">
      <alignment wrapText="1"/>
      <protection locked="0" hidden="0"/>
    </xf>
    <xf numFmtId="0" fontId="20" fillId="4" borderId="64" applyAlignment="1" applyProtection="1" pivotButton="0" quotePrefix="0" xfId="0">
      <alignment horizontal="left" wrapText="1"/>
      <protection locked="0" hidden="0"/>
    </xf>
    <xf numFmtId="0" fontId="0" fillId="0" borderId="60" applyProtection="1" pivotButton="0" quotePrefix="0" xfId="0">
      <protection locked="0" hidden="0"/>
    </xf>
    <xf numFmtId="0" fontId="0" fillId="7" borderId="12" applyAlignment="1" pivotButton="0" quotePrefix="0" xfId="0">
      <alignment horizontal="center"/>
    </xf>
    <xf numFmtId="0" fontId="0" fillId="0" borderId="55" pivotButton="0" quotePrefix="0" xfId="0"/>
    <xf numFmtId="0" fontId="0" fillId="0" borderId="56" pivotButton="0" quotePrefix="0" xfId="0"/>
    <xf numFmtId="165" fontId="11" fillId="0" borderId="27" applyAlignment="1" applyProtection="1" pivotButton="0" quotePrefix="0" xfId="2">
      <alignment horizontal="left"/>
      <protection locked="0" hidden="0"/>
    </xf>
    <xf numFmtId="165" fontId="11" fillId="0" borderId="27" applyAlignment="1" applyProtection="1" pivotButton="0" quotePrefix="0" xfId="2">
      <alignment horizontal="center"/>
      <protection locked="0" hidden="0"/>
    </xf>
    <xf numFmtId="165" fontId="11" fillId="0" borderId="27" applyAlignment="1" applyProtection="1" pivotButton="0" quotePrefix="0" xfId="2">
      <alignment horizontal="right"/>
      <protection locked="0" hidden="0"/>
    </xf>
    <xf numFmtId="165" fontId="11" fillId="0" borderId="26" applyAlignment="1" pivotButton="0" quotePrefix="0" xfId="0">
      <alignment horizontal="center"/>
    </xf>
    <xf numFmtId="0" fontId="4" fillId="0" borderId="27" applyAlignment="1" applyProtection="1" pivotButton="0" quotePrefix="0" xfId="0">
      <alignment horizontal="left" vertical="top" wrapText="1"/>
      <protection locked="0" hidden="0"/>
    </xf>
    <xf numFmtId="0" fontId="0" fillId="0" borderId="51" applyProtection="1" pivotButton="0" quotePrefix="0" xfId="0">
      <protection locked="0" hidden="0"/>
    </xf>
    <xf numFmtId="0" fontId="0" fillId="0" borderId="50" applyProtection="1" pivotButton="0" quotePrefix="0" xfId="0">
      <protection locked="0" hidden="0"/>
    </xf>
    <xf numFmtId="0" fontId="0" fillId="0" borderId="49" applyProtection="1" pivotButton="0" quotePrefix="0" xfId="0">
      <protection locked="0" hidden="0"/>
    </xf>
    <xf numFmtId="0" fontId="0" fillId="0" borderId="52" applyProtection="1" pivotButton="0" quotePrefix="0" xfId="0">
      <protection locked="0" hidden="0"/>
    </xf>
    <xf numFmtId="0" fontId="0" fillId="0" borderId="56" applyProtection="1" pivotButton="0" quotePrefix="0" xfId="0">
      <protection locked="0" hidden="0"/>
    </xf>
    <xf numFmtId="0" fontId="46" fillId="8" borderId="27" applyAlignment="1" pivotButton="0" quotePrefix="0" xfId="3">
      <alignment horizontal="center" vertical="center"/>
    </xf>
    <xf numFmtId="0" fontId="0" fillId="0" borderId="81" pivotButton="0" quotePrefix="0" xfId="0"/>
    <xf numFmtId="0" fontId="0" fillId="0" borderId="51" pivotButton="0" quotePrefix="0" xfId="0"/>
    <xf numFmtId="0" fontId="47" fillId="8" borderId="27" applyAlignment="1" pivotButton="0" quotePrefix="0" xfId="0">
      <alignment horizontal="center" vertical="center"/>
    </xf>
    <xf numFmtId="0" fontId="0" fillId="0" borderId="52" pivotButton="0" quotePrefix="0" xfId="0"/>
    <xf numFmtId="167" fontId="0" fillId="0" borderId="0" applyAlignment="1" pivotButton="0" quotePrefix="0" xfId="0">
      <alignment horizontal="left"/>
    </xf>
    <xf numFmtId="167" fontId="0" fillId="0" borderId="0" applyAlignment="1" pivotButton="0" quotePrefix="0" xfId="0">
      <alignment horizontal="center"/>
    </xf>
    <xf numFmtId="4" fontId="1" fillId="2" borderId="8" applyAlignment="1" pivotButton="0" quotePrefix="0" xfId="0">
      <alignment horizontal="center"/>
    </xf>
    <xf numFmtId="0" fontId="0" fillId="0" borderId="49" pivotButton="0" quotePrefix="0" xfId="0"/>
    <xf numFmtId="0" fontId="1" fillId="0" borderId="27" applyAlignment="1" applyProtection="1" pivotButton="0" quotePrefix="0" xfId="0">
      <alignment horizontal="center"/>
      <protection locked="0" hidden="0"/>
    </xf>
    <xf numFmtId="164" fontId="3" fillId="2" borderId="21" applyAlignment="1" pivotButton="0" quotePrefix="0" xfId="0">
      <alignment horizontal="center"/>
    </xf>
    <xf numFmtId="0" fontId="0" fillId="0" borderId="39" pivotButton="0" quotePrefix="0" xfId="0"/>
    <xf numFmtId="0" fontId="0" fillId="0" borderId="19" pivotButton="0" quotePrefix="0" xfId="0"/>
    <xf numFmtId="166" fontId="5" fillId="0" borderId="27" applyAlignment="1" pivotButton="0" quotePrefix="0" xfId="2">
      <alignment horizontal="center" vertical="center"/>
    </xf>
    <xf numFmtId="166" fontId="5" fillId="0" borderId="27" applyAlignment="1" pivotButton="0" quotePrefix="0" xfId="0">
      <alignment horizontal="center" vertical="center"/>
    </xf>
    <xf numFmtId="0" fontId="0" fillId="0" borderId="45" applyProtection="1" pivotButton="0" quotePrefix="0" xfId="0">
      <protection locked="0" hidden="0"/>
    </xf>
    <xf numFmtId="0" fontId="0" fillId="0" borderId="81" applyProtection="1" pivotButton="0" quotePrefix="0" xfId="0">
      <protection locked="0" hidden="0"/>
    </xf>
    <xf numFmtId="166" fontId="5" fillId="0" borderId="27" applyAlignment="1" applyProtection="1" pivotButton="0" quotePrefix="0" xfId="2">
      <alignment horizontal="center" vertical="center"/>
      <protection locked="0" hidden="0"/>
    </xf>
    <xf numFmtId="0" fontId="0" fillId="0" borderId="55" applyProtection="1" pivotButton="0" quotePrefix="0" xfId="0">
      <protection locked="0" hidden="0"/>
    </xf>
    <xf numFmtId="166" fontId="7" fillId="0" borderId="27" applyAlignment="1" pivotButton="0" quotePrefix="0" xfId="12">
      <alignment horizontal="center"/>
    </xf>
    <xf numFmtId="166" fontId="7" fillId="0" borderId="0" pivotButton="0" quotePrefix="0" xfId="12"/>
    <xf numFmtId="0" fontId="49" fillId="3" borderId="8" applyAlignment="1" pivotButton="0" quotePrefix="0" xfId="12">
      <alignment horizontal="center"/>
    </xf>
  </cellXfs>
  <cellStyles count="13">
    <cellStyle name="Normal" xfId="0" builtinId="0"/>
    <cellStyle name="Normal 2 2" xfId="1"/>
    <cellStyle name="Currency" xfId="2" builtinId="4"/>
    <cellStyle name="Normal 3" xfId="3"/>
    <cellStyle name="Currency 2 2" xfId="4"/>
    <cellStyle name="Currency 3" xfId="5"/>
    <cellStyle name="Normal 4" xfId="6"/>
    <cellStyle name="Normal 6 4" xfId="7"/>
    <cellStyle name="Normal 2" xfId="8"/>
    <cellStyle name="Good" xfId="9" builtinId="26"/>
    <cellStyle name="Bad" xfId="10" builtinId="27"/>
    <cellStyle name="Normal 3 3" xfId="11"/>
    <cellStyle name="Normal 30" xfId="12"/>
  </cellStyles>
  <dxfs count="350">
    <dxf>
      <font>
        <color rgb="FFFF9900"/>
      </font>
      <fill>
        <patternFill>
          <bgColor rgb="FFFF9900"/>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0000FF"/>
      </font>
      <fill>
        <patternFill>
          <bgColor rgb="FF0000FF"/>
        </patternFill>
      </fill>
    </dxf>
    <dxf>
      <fill>
        <patternFill>
          <bgColor rgb="FF00FFFF"/>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800000"/>
      </font>
      <fill>
        <patternFill>
          <bgColor rgb="FF800000"/>
        </patternFill>
      </fill>
    </dxf>
    <dxf>
      <font>
        <color rgb="FF969696"/>
      </font>
      <fill>
        <patternFill>
          <bgColor rgb="FF969696"/>
        </patternFill>
      </fill>
    </dxf>
    <dxf>
      <fill>
        <patternFill>
          <bgColor rgb="FFFFFF00"/>
        </patternFill>
      </fill>
    </dxf>
    <dxf>
      <font>
        <color rgb="FF00FF00"/>
      </font>
      <fill>
        <patternFill>
          <bgColor rgb="FF00FF00"/>
        </patternFill>
      </fill>
    </dxf>
    <dxf>
      <fill>
        <patternFill>
          <bgColor rgb="FFCC99FF"/>
        </patternFill>
      </fill>
    </dxf>
    <dxf>
      <fill>
        <patternFill>
          <bgColor rgb="FFFF99CC"/>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99CC"/>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00FF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ill>
        <patternFill>
          <bgColor rgb="FFCC99FF"/>
        </patternFill>
      </fill>
    </dxf>
    <dxf>
      <font>
        <color rgb="FFFFFFFF"/>
      </font>
      <fill>
        <patternFill>
          <bgColor rgb="FFFFFFFF"/>
        </patternFill>
      </fill>
    </dxf>
    <dxf>
      <font>
        <color rgb="FF969696"/>
      </font>
      <fill>
        <patternFill>
          <bgColor rgb="FF969696"/>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ill>
        <patternFill>
          <bgColor rgb="FF00FFFF"/>
        </patternFill>
      </fill>
    </dxf>
    <dxf>
      <font>
        <color rgb="FF800000"/>
      </font>
      <fill>
        <patternFill>
          <bgColor rgb="FF800000"/>
        </patternFill>
      </fill>
    </dxf>
    <dxf>
      <font>
        <color rgb="FFFF0000"/>
      </font>
      <fill>
        <patternFill>
          <bgColor rgb="FFFF0000"/>
        </patternFill>
      </fill>
    </dxf>
    <dxf>
      <fill>
        <patternFill>
          <bgColor rgb="FFCC99FF"/>
        </patternFill>
      </fill>
    </dxf>
    <dxf>
      <font>
        <color rgb="FFFF0000"/>
      </font>
      <fill>
        <patternFill>
          <bgColor rgb="FFFF0000"/>
        </patternFill>
      </fill>
    </dxf>
    <dxf>
      <font>
        <color rgb="FF000000"/>
      </font>
      <fill>
        <patternFill>
          <bgColor rgb="FF000000"/>
        </patternFill>
      </fill>
    </dxf>
    <dxf>
      <fill>
        <patternFill>
          <bgColor rgb="FFFF99CC"/>
        </patternFill>
      </fill>
    </dxf>
    <dxf>
      <fill>
        <patternFill>
          <bgColor rgb="FFFFFF00"/>
        </patternFill>
      </fill>
    </dxf>
    <dxf>
      <fill>
        <patternFill>
          <bgColor rgb="FF00FFFF"/>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ill>
        <patternFill>
          <bgColor rgb="FFFF99CC"/>
        </patternFill>
      </fill>
    </dxf>
    <dxf>
      <font>
        <color rgb="FF00FF00"/>
      </font>
      <fill>
        <patternFill>
          <bgColor rgb="FF00FF00"/>
        </patternFill>
      </fill>
    </dxf>
    <dxf>
      <font>
        <color rgb="FF800000"/>
      </font>
      <fill>
        <patternFill>
          <bgColor rgb="FF800000"/>
        </patternFill>
      </fill>
    </dxf>
    <dxf>
      <font>
        <color rgb="FF0000FF"/>
      </font>
      <fill>
        <patternFill>
          <bgColor rgb="FF0000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ont>
        <color rgb="FFFF9900"/>
      </font>
      <fill>
        <patternFill>
          <bgColor rgb="FFFF9900"/>
        </patternFill>
      </fill>
    </dxf>
    <dxf>
      <fill>
        <patternFill>
          <bgColor rgb="FF00FFFF"/>
        </patternFill>
      </fill>
    </dxf>
    <dxf>
      <font>
        <color rgb="FF969696"/>
      </font>
      <fill>
        <patternFill>
          <bgColor rgb="FF969696"/>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FF0000"/>
      </font>
      <fill>
        <patternFill>
          <bgColor rgb="FFFF0000"/>
        </patternFill>
      </fill>
    </dxf>
    <dxf>
      <fill>
        <patternFill>
          <bgColor rgb="FFCC99FF"/>
        </patternFill>
      </fill>
    </dxf>
    <dxf>
      <fill>
        <patternFill>
          <bgColor rgb="FFFFFF00"/>
        </patternFill>
      </fill>
    </dxf>
    <dxf>
      <fill>
        <patternFill>
          <bgColor rgb="FFFF99CC"/>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9900"/>
      </font>
      <fill>
        <patternFill>
          <bgColor rgb="FFFF99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FFFF"/>
      </font>
      <fill>
        <patternFill>
          <bgColor rgb="FF00FFFF"/>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969696"/>
      </font>
      <fill>
        <patternFill>
          <bgColor rgb="FF969696"/>
        </patternFill>
      </fill>
    </dxf>
    <dxf>
      <font>
        <color rgb="FF0000FF"/>
      </font>
      <fill>
        <patternFill>
          <bgColor rgb="FF0000FF"/>
        </patternFill>
      </fill>
    </dxf>
    <dxf>
      <font>
        <color rgb="FFFF99CC"/>
      </font>
      <fill>
        <patternFill>
          <bgColor rgb="FFFF99CC"/>
        </patternFill>
      </fill>
    </dxf>
    <dxf>
      <font>
        <color rgb="FF000000"/>
      </font>
      <fill>
        <patternFill>
          <bgColor rgb="FF000000"/>
        </patternFill>
      </fill>
    </dxf>
    <dxf>
      <font>
        <color rgb="FF0000FF"/>
      </font>
      <fill>
        <patternFill>
          <bgColor rgb="FF0000FF"/>
        </patternFill>
      </fill>
    </dxf>
    <dxf>
      <font>
        <color rgb="FFFF99CC"/>
      </font>
      <fill>
        <patternFill>
          <bgColor rgb="FFFF99CC"/>
        </patternFill>
      </fill>
    </dxf>
    <dxf>
      <font>
        <color rgb="FF00FFFF"/>
      </font>
      <fill>
        <patternFill>
          <bgColor rgb="FF00FFFF"/>
        </patternFill>
      </fill>
    </dxf>
    <dxf>
      <font>
        <color rgb="FFCC99FF"/>
      </font>
      <fill>
        <patternFill>
          <bgColor rgb="FFCC99FF"/>
        </patternFill>
      </fill>
    </dxf>
    <dxf>
      <font>
        <color rgb="FFFFFF00"/>
      </font>
      <fill>
        <patternFill>
          <bgColor rgb="FFFFFF00"/>
        </patternFill>
      </fill>
    </dxf>
    <dxf>
      <font>
        <color rgb="FFFF0000"/>
      </font>
      <fill>
        <patternFill>
          <bgColor rgb="FFFF0000"/>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FFFFFF"/>
      </font>
      <fill>
        <patternFill>
          <bgColor rgb="FFFFFFFF"/>
        </patternFill>
      </fill>
    </dxf>
    <dxf>
      <font>
        <color rgb="FFFF9900"/>
      </font>
      <fill>
        <patternFill>
          <bgColor rgb="FFFF9900"/>
        </patternFill>
      </fill>
    </dxf>
    <dxf>
      <font>
        <color rgb="FF0000FF"/>
      </font>
      <fill>
        <patternFill>
          <bgColor rgb="FF0000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0000"/>
      </font>
      <fill>
        <patternFill>
          <bgColor rgb="FFFF0000"/>
        </patternFill>
      </fill>
    </dxf>
    <dxf>
      <font>
        <color rgb="FFFF99CC"/>
      </font>
      <fill>
        <patternFill>
          <bgColor rgb="FFFF99CC"/>
        </patternFill>
      </fill>
    </dxf>
    <dxf>
      <font>
        <color rgb="FFCC99FF"/>
      </font>
      <fill>
        <patternFill>
          <bgColor rgb="FFCC99FF"/>
        </patternFill>
      </fill>
    </dxf>
    <dxf>
      <font>
        <color rgb="FF0000FF"/>
      </font>
      <fill>
        <patternFill>
          <bgColor rgb="FF0000FF"/>
        </patternFill>
      </fill>
    </dxf>
    <dxf>
      <font>
        <color rgb="FFFF9900"/>
      </font>
      <fill>
        <patternFill>
          <bgColor rgb="FFFF9900"/>
        </patternFill>
      </fill>
    </dxf>
    <dxf>
      <font>
        <color rgb="FF00FFFF"/>
      </font>
      <fill>
        <patternFill>
          <bgColor rgb="FF00FFFF"/>
        </patternFill>
      </fill>
    </dxf>
    <dxf>
      <font>
        <color rgb="FFFFFF00"/>
      </font>
      <fill>
        <patternFill>
          <bgColor rgb="FFFF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00FF00"/>
      </font>
      <fill>
        <patternFill>
          <bgColor rgb="FF00FF00"/>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0000FF"/>
      </font>
      <fill>
        <patternFill>
          <bgColor rgb="FF0000FF"/>
        </patternFill>
      </fill>
    </dxf>
    <dxf>
      <font>
        <color rgb="FFCC99FF"/>
      </font>
      <fill>
        <patternFill>
          <bgColor rgb="FFCC99FF"/>
        </patternFill>
      </fill>
    </dxf>
    <dxf>
      <font>
        <color rgb="FF00FFFF"/>
      </font>
      <fill>
        <patternFill>
          <bgColor rgb="FF00FFFF"/>
        </patternFill>
      </fill>
    </dxf>
    <dxf>
      <font>
        <color rgb="FFFF99CC"/>
      </font>
      <fill>
        <patternFill>
          <bgColor rgb="FFFF99CC"/>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00"/>
      </font>
      <fill>
        <patternFill>
          <bgColor rgb="FF000000"/>
        </patternFill>
      </fill>
    </dxf>
    <dxf>
      <font>
        <color rgb="FFFFFF00"/>
      </font>
      <fill>
        <patternFill>
          <bgColor rgb="FFFFFF00"/>
        </patternFill>
      </fill>
    </dxf>
    <dxf>
      <font>
        <color rgb="FF00FFFF"/>
      </font>
      <fill>
        <patternFill>
          <bgColor rgb="FF00FFFF"/>
        </patternFill>
      </fill>
    </dxf>
    <dxf>
      <font>
        <color rgb="FFFF99CC"/>
      </font>
      <fill>
        <patternFill>
          <bgColor rgb="FFFF99CC"/>
        </patternFill>
      </fill>
    </dxf>
    <dxf>
      <font>
        <color rgb="FFCC99FF"/>
      </font>
      <fill>
        <patternFill>
          <bgColor rgb="FFCC99FF"/>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0000"/>
      </font>
      <fill>
        <patternFill>
          <bgColor rgb="FFFF0000"/>
        </patternFill>
      </fill>
    </dxf>
    <dxf>
      <font>
        <color rgb="FFFFFF00"/>
      </font>
      <fill>
        <patternFill>
          <bgColor rgb="FFFFFF00"/>
        </patternFill>
      </fill>
    </dxf>
    <dxf>
      <font>
        <color rgb="FF000000"/>
      </font>
      <fill>
        <patternFill>
          <bgColor rgb="FF000000"/>
        </patternFill>
      </fill>
    </dxf>
    <dxf>
      <font>
        <color rgb="FFFFFFFF"/>
      </font>
      <fill>
        <patternFill>
          <bgColor rgb="FFFFFFFF"/>
        </patternFill>
      </fill>
    </dxf>
    <dxf>
      <font>
        <color rgb="FF969696"/>
      </font>
      <fill>
        <patternFill>
          <bgColor rgb="FF969696"/>
        </patternFill>
      </fill>
    </dxf>
    <dxf>
      <font>
        <color rgb="FFFF0000"/>
      </font>
      <fill>
        <patternFill>
          <bgColor rgb="FFFF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00FFFF"/>
      </font>
      <fill>
        <patternFill>
          <bgColor rgb="FF00FFFF"/>
        </patternFill>
      </fill>
    </dxf>
    <dxf>
      <font>
        <color rgb="FFFF99CC"/>
      </font>
      <fill>
        <patternFill>
          <bgColor rgb="FFFF99CC"/>
        </patternFill>
      </fill>
    </dxf>
    <dxf>
      <font>
        <color rgb="FFCC99FF"/>
      </font>
      <fill>
        <patternFill>
          <bgColor rgb="FFCC99FF"/>
        </patternFill>
      </fill>
    </dxf>
    <dxf>
      <font>
        <color rgb="FF800000"/>
      </font>
      <fill>
        <patternFill>
          <bgColor rgb="FF800000"/>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FF99CC"/>
      </font>
      <fill>
        <patternFill>
          <bgColor rgb="FFFF99CC"/>
        </patternFill>
      </fill>
    </dxf>
    <dxf>
      <font>
        <color rgb="FF00FFFF"/>
      </font>
      <fill>
        <patternFill>
          <bgColor rgb="FF00FFFF"/>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00FFFF"/>
      </font>
      <fill>
        <patternFill>
          <bgColor rgb="FF00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99CC"/>
      </font>
      <fill>
        <patternFill>
          <bgColor rgb="FFFF99CC"/>
        </patternFill>
      </fill>
    </dxf>
    <dxf>
      <font>
        <color rgb="FFFFFFFF"/>
      </font>
      <fill>
        <patternFill>
          <bgColor rgb="FFFFFFFF"/>
        </patternFill>
      </fill>
    </dxf>
    <dxf>
      <fill>
        <patternFill>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tc={A219C05B-C764-4352-A9BD-195F6D576382}</author>
    <author>tc={A4F931B9-0967-467F-B093-BF9F84805966}</author>
    <author>tc={DCD75B6F-4AB5-411A-AA47-65ACE0223E2B}</author>
    <author>tc={7C0A7016-B069-4983-AC87-A9C9F5235E9F}</author>
  </authors>
  <commentList>
    <comment ref="D9" authorId="0" shapeId="0">
      <text>
        <t xml:space="preserve">[Threaded comment]
Your version of Excel allows you to read this threaded comment; however, any edits to it will get removed if the file is opened in a newer version of Excel. Learn more: https://go.microsoft.com/fwlink/?linkid=870924
Comment:
    MINIMUM CHARGE IF FLAT RATE IS LESS THAN MINIMUM OPTION
</t>
      </text>
    </comment>
    <comment ref="D188" authorId="1" shapeId="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t>
      </text>
    </comment>
    <comment ref="D200" authorId="2" shapeId="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  This unit includes (1 cable and up to 2 Multiports) or (#2 and 3 Multiports) if lashed at the same time.  (Can be used for (2) copper cables upto 200pr)</t>
      </text>
    </comment>
    <comment ref="D201" authorId="3" shapeId="0">
      <text>
        <t>[Threaded comment]
Your version of Excel allows you to read this threaded comment; however, any edits to it will get removed if the file is opened in a newer version of Excel. Learn more: https://go.microsoft.com/fwlink/?linkid=870924
Comment:
      This unit includes (1 cable and up to 2 multiports) or #2 and 3 Multiports only) if lashed at the same time.  (Can be used for (2 Copper Cables up to 200pr)</t>
      </text>
    </comment>
  </commentList>
</comments>
</file>

<file path=xl/comments/comment2.xml><?xml version="1.0" encoding="utf-8"?>
<comments xmlns="http://schemas.openxmlformats.org/spreadsheetml/2006/main">
  <authors>
    <author>Strock, Terry</author>
    <author>Allen, Danielle</author>
    <author>Jones, Chris R.</author>
    <author>tc={44B01994-5FB1-4C70-9D3E-70DBCAD16252}</author>
  </authors>
  <commentList>
    <comment ref="Q1" authorId="0" shapeId="0">
      <text>
        <t>Strock, Terry:
This is the adder to cover additional MP's not covered by unit 140 or 141</t>
      </text>
    </comment>
    <comment ref="D6" authorId="1" shapeId="0">
      <text>
        <t>Allen, Danielle:
ONLY UTILIZE FOR 2" OR 4" CONDUIT</t>
      </text>
    </comment>
    <comment ref="F6" authorId="1" shapeId="0">
      <text>
        <t>Allen, Danielle:
VALUES FROM 0 TO 4</t>
      </text>
    </comment>
    <comment ref="G6" authorId="1" shapeId="0">
      <text>
        <t>Allen, Danielle:
VALUE OF 1 OR 2</t>
      </text>
    </comment>
    <comment ref="H6" authorId="2" shapeId="0">
      <text>
        <t>Jones, Chris R.:
INPUT 1 FOR 3RD CONDUIT OR 2 FOR 4TH CONDUIT</t>
      </text>
    </comment>
    <comment ref="I6" authorId="2" shapeId="0">
      <text>
        <t>Jones, Chris  
INPUT 1  FOR THE 5TH CONDUIT</t>
      </text>
    </comment>
    <comment ref="J6" authorId="0" shapeId="0">
      <text>
        <t>Strock, Terry:
If span is all MPs you get 3 MPs before needing an adder for additional MPs</t>
      </text>
    </comment>
    <comment ref="K6" authorId="0" shapeId="0">
      <text>
        <t>Strock, Terry:
If MPs only use unit 146 for the first MP</t>
      </text>
    </comment>
    <comment ref="L6" authorId="0" shapeId="0">
      <text>
        <t>Strock, Terry:
Use if more than 1 cable in a span.</t>
      </text>
    </comment>
    <comment ref="M6" authorId="0" shapeId="0">
      <text>
        <t>Strock, Terry:
Use this unit for MP 2 and 3 in spans with MPs only</t>
      </text>
    </comment>
    <comment ref="AM64" authorId="3" shapeId="0">
      <text>
        <t>[Threaded comment]
Your version of Excel allows you to read this threaded comment; however, any edits to it will get removed if the file is opened in a newer version of Excel. Learn more: https://go.microsoft.com/fwlink/?linkid=870924
Comment:
    3 RAISES (TV AND 2LMS) RESAG 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codeName="Sheet1">
    <outlinePr summaryBelow="1" summaryRight="1"/>
    <pageSetUpPr/>
  </sheetPr>
  <dimension ref="A1:G48"/>
  <sheetViews>
    <sheetView tabSelected="1" zoomScaleNormal="100" workbookViewId="0">
      <selection activeCell="F29" sqref="F29"/>
    </sheetView>
  </sheetViews>
  <sheetFormatPr baseColWidth="8" defaultColWidth="8.85546875" defaultRowHeight="12.75"/>
  <cols>
    <col width="28.140625" customWidth="1" style="160" min="1" max="1"/>
    <col width="13.28515625" customWidth="1" style="160" min="2" max="2"/>
    <col width="38.5703125" bestFit="1" customWidth="1" style="160" min="3" max="3"/>
    <col width="14.42578125" customWidth="1" style="160" min="4" max="4"/>
    <col width="15.140625" bestFit="1" customWidth="1" style="160" min="5" max="5"/>
    <col width="10.85546875" bestFit="1" customWidth="1" style="160" min="6" max="6"/>
    <col width="9.42578125" bestFit="1" customWidth="1" style="160" min="7" max="7"/>
    <col width="8.85546875" customWidth="1" style="160" min="8" max="16384"/>
  </cols>
  <sheetData>
    <row r="1" ht="13.5" customHeight="1" thickBot="1">
      <c r="A1" s="1100" t="inlineStr">
        <is>
          <t>RSB WORKBOOK</t>
        </is>
      </c>
      <c r="B1" s="1101" t="n"/>
      <c r="C1" s="1101" t="n"/>
      <c r="D1" s="1101" t="n"/>
      <c r="E1" s="1101" t="n"/>
      <c r="F1" s="1101" t="n"/>
      <c r="G1" s="1102" t="n"/>
    </row>
    <row r="2" ht="13.5" customHeight="1" thickBot="1">
      <c r="A2" s="161" t="inlineStr">
        <is>
          <t>CUSTOMER NAME</t>
        </is>
      </c>
      <c r="B2" s="594" t="inlineStr">
        <is>
          <t>LUMOS</t>
        </is>
      </c>
      <c r="C2" s="1103" t="n"/>
      <c r="D2" s="1104" t="n"/>
      <c r="E2" s="161" t="inlineStr">
        <is>
          <t>ENGINEER</t>
        </is>
      </c>
      <c r="F2" s="989" t="inlineStr">
        <is>
          <t>CHAD ROBERTSON</t>
        </is>
      </c>
      <c r="G2" s="1105" t="n"/>
    </row>
    <row r="3" ht="15.75" customHeight="1" thickBot="1">
      <c r="A3" s="162" t="inlineStr">
        <is>
          <t>CUSTOMER LOCATION</t>
        </is>
      </c>
      <c r="B3" s="1106" t="inlineStr">
        <is>
          <t>VIRGINIA</t>
        </is>
      </c>
      <c r="C3" s="1103" t="n"/>
      <c r="D3" s="1104" t="n"/>
      <c r="E3" s="162" t="inlineStr">
        <is>
          <t>DATE</t>
        </is>
      </c>
      <c r="F3" s="991" t="n"/>
      <c r="G3" s="1107" t="n"/>
    </row>
    <row r="4" ht="13.5" customHeight="1" thickBot="1">
      <c r="A4" s="162" t="inlineStr">
        <is>
          <t>MARKET</t>
        </is>
      </c>
      <c r="B4" s="594" t="inlineStr">
        <is>
          <t>CHESTERFIELD</t>
        </is>
      </c>
      <c r="C4" s="1103" t="n"/>
      <c r="D4" s="1104" t="n"/>
      <c r="E4" s="163" t="inlineStr">
        <is>
          <t>Project #</t>
        </is>
      </c>
      <c r="F4" s="984" t="inlineStr">
        <is>
          <t>CHST</t>
        </is>
      </c>
      <c r="G4" s="1107" t="n"/>
    </row>
    <row r="5" ht="13.5" customHeight="1" thickBot="1">
      <c r="A5" s="189" t="n"/>
      <c r="B5" s="189" t="n"/>
      <c r="C5" s="164" t="inlineStr">
        <is>
          <t>Permits Due Date</t>
        </is>
      </c>
      <c r="D5" s="617" t="n"/>
      <c r="E5" s="968" t="n"/>
      <c r="F5" s="1108" t="n"/>
      <c r="G5" s="618" t="n"/>
    </row>
    <row r="6" ht="13.5" customHeight="1" thickBot="1">
      <c r="A6" s="165" t="inlineStr">
        <is>
          <t>CAPITAL BUDGET #</t>
        </is>
      </c>
      <c r="B6" s="594">
        <f>IF(ISBLANK(F4), "", F4)</f>
        <v/>
      </c>
      <c r="C6" s="165" t="inlineStr">
        <is>
          <t>Planning Guide #</t>
        </is>
      </c>
      <c r="D6" s="163" t="n"/>
      <c r="F6" s="166" t="n"/>
      <c r="G6" s="167" t="n"/>
    </row>
    <row r="7" ht="13.5" customHeight="1" thickBot="1">
      <c r="A7" s="168" t="n"/>
      <c r="B7" s="970" t="n"/>
      <c r="C7" s="1109" t="n"/>
      <c r="F7" s="169" t="inlineStr">
        <is>
          <t>Cost</t>
        </is>
      </c>
      <c r="G7" s="170" t="inlineStr">
        <is>
          <t>Days</t>
        </is>
      </c>
    </row>
    <row r="8">
      <c r="A8" s="171" t="inlineStr">
        <is>
          <t>Project #</t>
        </is>
      </c>
      <c r="B8" s="628">
        <f>IF(ISBLANK(F4), "", F4)</f>
        <v/>
      </c>
      <c r="C8" s="643" t="inlineStr">
        <is>
          <t>Total Aerial (Eng-Aerial Footage)</t>
        </is>
      </c>
      <c r="D8" s="598">
        <f>D9+D10</f>
        <v/>
      </c>
      <c r="E8" s="172" t="inlineStr">
        <is>
          <t>DOT</t>
        </is>
      </c>
      <c r="F8" s="601">
        <f>LABOR!F49</f>
        <v/>
      </c>
      <c r="G8" s="602" t="n"/>
    </row>
    <row r="9">
      <c r="A9" s="173" t="n"/>
      <c r="B9" s="604" t="n"/>
      <c r="C9" s="174" t="inlineStr">
        <is>
          <t>New Aerial Fiber Cable Placement</t>
        </is>
      </c>
      <c r="D9" s="599">
        <f>SUM(LABOR!B162:B170,LABOR!B200)</f>
        <v/>
      </c>
      <c r="E9" s="173" t="inlineStr">
        <is>
          <t>Municipal</t>
        </is>
      </c>
      <c r="F9" s="603">
        <f>LABOR!F50</f>
        <v/>
      </c>
      <c r="G9" s="604" t="n"/>
    </row>
    <row r="10">
      <c r="A10" s="173" t="n"/>
      <c r="B10" s="604" t="n"/>
      <c r="C10" s="644" t="inlineStr">
        <is>
          <t>Total Overlash</t>
        </is>
      </c>
      <c r="D10" s="599">
        <f>SUM(LABOR!B176,LABOR!B201,LABOR!B205,LABOR!B206)</f>
        <v/>
      </c>
      <c r="E10" s="173" t="inlineStr">
        <is>
          <t>RR</t>
        </is>
      </c>
      <c r="F10" s="603">
        <f>LABOR!F51</f>
        <v/>
      </c>
      <c r="G10" s="604" t="n"/>
    </row>
    <row r="11">
      <c r="A11" s="173" t="inlineStr">
        <is>
          <t>Planned Completion</t>
        </is>
      </c>
      <c r="B11" s="629" t="n"/>
      <c r="C11" s="645" t="inlineStr">
        <is>
          <t>Total Underground (Eng-New Conduit Footage)</t>
        </is>
      </c>
      <c r="D11" s="600">
        <f>SUM('LABOR SPAN SHEET'!AD2)</f>
        <v/>
      </c>
      <c r="E11" s="173" t="inlineStr">
        <is>
          <t>Easement</t>
        </is>
      </c>
      <c r="F11" s="603">
        <f>TOTALS!C27</f>
        <v/>
      </c>
      <c r="G11" s="604" t="n"/>
    </row>
    <row r="12">
      <c r="A12" s="175" t="inlineStr">
        <is>
          <t>HLE</t>
        </is>
      </c>
      <c r="B12" s="908" t="n"/>
      <c r="C12" s="174" t="inlineStr">
        <is>
          <t>Total Existing Conduit Footage</t>
        </is>
      </c>
      <c r="D12" s="600">
        <f>'LABOR SPAN SHEET'!AA2</f>
        <v/>
      </c>
      <c r="E12" s="173" t="inlineStr">
        <is>
          <t>Pole</t>
        </is>
      </c>
      <c r="F12" s="603">
        <f>LABOR!F52</f>
        <v/>
      </c>
      <c r="G12" s="604" t="n"/>
    </row>
    <row r="13">
      <c r="A13" s="175" t="inlineStr">
        <is>
          <t>Detailed</t>
        </is>
      </c>
      <c r="B13" s="485" t="n"/>
      <c r="C13" s="646" t="inlineStr">
        <is>
          <t>Total Fiber (Eng-Fiber Footage)</t>
        </is>
      </c>
      <c r="D13" s="600">
        <f>SUM(MATERIAL!B31:B37,MATERIAL!B107:B113,MATERIAL!B175:B181)</f>
        <v/>
      </c>
      <c r="E13" s="173" t="inlineStr">
        <is>
          <t>Conduit</t>
        </is>
      </c>
      <c r="F13" s="603">
        <f>LABOR!F53</f>
        <v/>
      </c>
      <c r="G13" s="604" t="n"/>
    </row>
    <row r="14" ht="13.5" customHeight="1" thickBot="1">
      <c r="A14" s="175" t="inlineStr">
        <is>
          <t>Job Package</t>
        </is>
      </c>
      <c r="B14" s="485" t="n"/>
      <c r="C14" s="778" t="inlineStr">
        <is>
          <t>Total Fiber &amp; Conduit (Eng-Total Bld Footage</t>
        </is>
      </c>
      <c r="D14" s="779">
        <f>D8+D11+D12</f>
        <v/>
      </c>
      <c r="E14" s="173" t="inlineStr">
        <is>
          <t>Other</t>
        </is>
      </c>
      <c r="F14" s="605" t="n">
        <v>10000</v>
      </c>
      <c r="G14" s="604" t="n"/>
    </row>
    <row r="15" ht="13.5" customHeight="1" thickBot="1">
      <c r="A15" s="175" t="n"/>
      <c r="B15" s="485" t="n"/>
      <c r="C15" s="1110" t="inlineStr">
        <is>
          <t>Variance Approved Dates</t>
        </is>
      </c>
      <c r="D15" s="1111" t="n"/>
      <c r="E15" s="176" t="inlineStr">
        <is>
          <t>Traffic Control</t>
        </is>
      </c>
      <c r="F15" s="606">
        <f>TOTALS!C30</f>
        <v/>
      </c>
      <c r="G15" s="607" t="n"/>
    </row>
    <row r="16" ht="13.5" customHeight="1" thickBot="1">
      <c r="A16" s="177" t="n"/>
      <c r="B16" s="487" t="n"/>
      <c r="C16" s="173" t="inlineStr">
        <is>
          <t>HLE to Detailed Est</t>
        </is>
      </c>
      <c r="D16" s="642" t="n"/>
      <c r="E16" s="178" t="inlineStr">
        <is>
          <t>Engineering</t>
        </is>
      </c>
      <c r="F16" s="608">
        <f>SUM(TOTALS!C9:C12)</f>
        <v/>
      </c>
      <c r="G16" s="609" t="n"/>
    </row>
    <row r="17" ht="13.5" customHeight="1" thickBot="1">
      <c r="A17" s="179" t="inlineStr">
        <is>
          <t>Total OSP Cost (- Eng Vendor Cost)</t>
        </is>
      </c>
      <c r="B17" s="180">
        <f>TOTALS!C71-F16</f>
        <v/>
      </c>
      <c r="C17" s="477" t="inlineStr">
        <is>
          <t>Detailed Est to JP</t>
        </is>
      </c>
      <c r="D17" s="616" t="n"/>
      <c r="E17" s="181" t="inlineStr">
        <is>
          <t>Drafting</t>
        </is>
      </c>
      <c r="F17" s="610">
        <f>SUM(TOTALS!C14:C15)</f>
        <v/>
      </c>
      <c r="G17" s="611" t="n"/>
    </row>
    <row r="18" ht="13.5" customHeight="1" thickBot="1">
      <c r="A18" s="179" t="inlineStr">
        <is>
          <t>Total Including Equ.</t>
        </is>
      </c>
      <c r="B18" s="180">
        <f>B17+F21</f>
        <v/>
      </c>
      <c r="C18" s="478" t="n"/>
      <c r="D18" s="595" t="n"/>
      <c r="E18" s="181" t="inlineStr">
        <is>
          <t>Permitting</t>
        </is>
      </c>
      <c r="F18" s="610">
        <f>SUM(TOTALS!C17:C28)</f>
        <v/>
      </c>
      <c r="G18" s="611" t="n"/>
    </row>
    <row r="19" ht="13.5" customHeight="1" thickBot="1">
      <c r="A19" s="750" t="n"/>
      <c r="B19" s="751" t="n"/>
      <c r="C19" s="477" t="n"/>
      <c r="D19" s="917" t="n"/>
      <c r="E19" s="181" t="inlineStr">
        <is>
          <t>Construction</t>
        </is>
      </c>
      <c r="F19" s="610">
        <f>SUM(TOTALS!C32,TOTALS!C35,TOTALS!C37,TOTALS!C40:C41,TOTALS!C44:C45,TOTALS!C48,TOTALS!C52,TOTALS!C64,TOTALS!C66)</f>
        <v/>
      </c>
      <c r="G19" s="611" t="n"/>
    </row>
    <row r="20" ht="13.5" customHeight="1" thickBot="1">
      <c r="A20" s="914" t="inlineStr">
        <is>
          <t>ON NET</t>
        </is>
      </c>
      <c r="B20" s="915" t="inlineStr">
        <is>
          <t>QTY</t>
        </is>
      </c>
      <c r="C20" s="914" t="inlineStr">
        <is>
          <t xml:space="preserve">NEAR NET </t>
        </is>
      </c>
      <c r="D20" s="915" t="inlineStr">
        <is>
          <t>QTY</t>
        </is>
      </c>
      <c r="E20" s="916" t="inlineStr">
        <is>
          <t>Splicing</t>
        </is>
      </c>
      <c r="F20" s="612">
        <f>SUM(TOTALS!C54,TOTALS!C57,TOTALS!C59,TOTALS!C62)</f>
        <v/>
      </c>
      <c r="G20" s="613" t="n"/>
    </row>
    <row r="21">
      <c r="A21" s="913" t="inlineStr">
        <is>
          <t>SFU Residential-ON</t>
        </is>
      </c>
      <c r="B21" s="921">
        <f>COUNTIFS('House Count'!F:F, "RES-HOA",'House Count'!H:H,"Y")+COUNTIFS('House Count'!F:F, "RES-SFU",'House Count'!H:H,"Y")</f>
        <v/>
      </c>
      <c r="C21" s="913" t="inlineStr">
        <is>
          <t>SFU Residential-NN</t>
        </is>
      </c>
      <c r="D21" s="921">
        <f>COUNTIFS('House Count'!F:F, "RES-HOA",'House Count'!H:H,"N")+COUNTIFS('House Count'!F:F, "RES-SFU",'House Count'!H:H,"N")</f>
        <v/>
      </c>
      <c r="E21" s="916" t="inlineStr">
        <is>
          <t>Access Equipment</t>
        </is>
      </c>
      <c r="F21" s="612">
        <f>TOTALS!C67</f>
        <v/>
      </c>
      <c r="G21" s="613" t="n"/>
    </row>
    <row r="22">
      <c r="A22" s="777" t="inlineStr">
        <is>
          <t>MDU Residential-ON</t>
        </is>
      </c>
      <c r="B22" s="604">
        <f>COUNTIFS('House Count'!F:F, "RES-MDU",'House Count'!H:H,"Y")</f>
        <v/>
      </c>
      <c r="C22" s="777" t="inlineStr">
        <is>
          <t>MDU Residential-NN</t>
        </is>
      </c>
      <c r="D22" s="604">
        <f>COUNTIFS('House Count'!F:F, "RES-MDU",'House Count'!H:H,"N")</f>
        <v/>
      </c>
      <c r="E22" s="916" t="inlineStr">
        <is>
          <t>LCP Equipment</t>
        </is>
      </c>
      <c r="F22" s="612">
        <f>MATERIAL!H340</f>
        <v/>
      </c>
      <c r="G22" s="613" t="n"/>
    </row>
    <row r="23">
      <c r="A23" s="777" t="inlineStr">
        <is>
          <t>Business-ON</t>
        </is>
      </c>
      <c r="B23" s="604">
        <f>COUNTIFS('House Count'!F:F, "COMM-SU",'House Count'!H:H,"Y")+COUNTIFS('House Count'!F:F, "COM-MTU",'House Count'!H:H,"Y")</f>
        <v/>
      </c>
      <c r="C23" s="777" t="inlineStr">
        <is>
          <t>Business-NN</t>
        </is>
      </c>
      <c r="D23" s="604">
        <f>COUNTIFS('House Count'!F:F, "COMM-SU",'House Count'!H:H,"N")+COUNTIFS('House Count'!F:F, "COM-MTU",'House Count'!H:H,"N")</f>
        <v/>
      </c>
      <c r="E23" s="916" t="n"/>
      <c r="F23" s="612" t="n"/>
      <c r="G23" s="613" t="n"/>
    </row>
    <row r="24" ht="13.5" customHeight="1" thickBot="1">
      <c r="A24" s="842" t="inlineStr">
        <is>
          <t xml:space="preserve">   Vacant Lots-ON</t>
        </is>
      </c>
      <c r="B24" s="922">
        <f>COUNTIFS('House Count'!F:F, "VL",'House Count'!H:H,"Y")</f>
        <v/>
      </c>
      <c r="C24" s="842" t="inlineStr">
        <is>
          <t xml:space="preserve">   Vacant Lots-NN</t>
        </is>
      </c>
      <c r="D24" s="922">
        <f>COUNTIFS('House Count'!F:F, "VL",'House Count'!H:H,"N")</f>
        <v/>
      </c>
      <c r="E24" s="916" t="n"/>
      <c r="F24" s="612" t="n"/>
      <c r="G24" s="613" t="n"/>
    </row>
    <row r="25" ht="13.5" customHeight="1" thickBot="1">
      <c r="A25" s="914" t="inlineStr">
        <is>
          <t>TOTAL ON NET:</t>
        </is>
      </c>
      <c r="B25" s="915">
        <f>SUM(B21:B24)</f>
        <v/>
      </c>
      <c r="C25" s="914" t="inlineStr">
        <is>
          <t>TOTAL NEAR NET:</t>
        </is>
      </c>
      <c r="D25" s="915">
        <f>SUM(D21:D24)</f>
        <v/>
      </c>
      <c r="E25" s="916" t="n"/>
      <c r="F25" s="612" t="n"/>
      <c r="G25" s="613" t="n"/>
    </row>
    <row r="26" ht="13.5" customHeight="1" thickBot="1">
      <c r="A26" s="918" t="n"/>
      <c r="B26" s="919" t="n"/>
      <c r="C26" s="912" t="n"/>
      <c r="D26" s="920" t="n"/>
      <c r="E26" s="596" t="n"/>
      <c r="F26" s="614" t="n"/>
      <c r="G26" s="615" t="n"/>
    </row>
    <row r="27" ht="13.5" customHeight="1" thickBot="1">
      <c r="A27" s="979" t="inlineStr">
        <is>
          <t>LIST OF PERMITS - EASEMENTS - IRU SPLICING NEEDED</t>
        </is>
      </c>
      <c r="B27" s="1109" t="n"/>
      <c r="C27" s="1109" t="n"/>
      <c r="D27" s="1109" t="n"/>
      <c r="E27" s="168" t="n"/>
      <c r="F27" s="166" t="n"/>
      <c r="G27" s="167" t="n"/>
    </row>
    <row r="28" ht="13.5" customHeight="1" thickBot="1">
      <c r="A28" s="597" t="inlineStr">
        <is>
          <t>NAME</t>
        </is>
      </c>
      <c r="B28" s="597" t="inlineStr">
        <is>
          <t>DESCRIPTION</t>
        </is>
      </c>
      <c r="C28" s="1112" t="n"/>
      <c r="D28" s="1111" t="n"/>
      <c r="E28" s="597" t="inlineStr">
        <is>
          <t>DUE</t>
        </is>
      </c>
      <c r="F28" s="597" t="inlineStr">
        <is>
          <t>SENT</t>
        </is>
      </c>
      <c r="G28" s="597" t="inlineStr">
        <is>
          <t>APPROVED</t>
        </is>
      </c>
    </row>
    <row r="29">
      <c r="A29" s="619" t="n"/>
      <c r="B29" s="1113" t="n"/>
      <c r="C29" s="1114" t="n"/>
      <c r="D29" s="1115" t="n"/>
      <c r="E29" s="620" t="n"/>
      <c r="F29" s="620" t="n"/>
      <c r="G29" s="621" t="n"/>
    </row>
    <row r="30">
      <c r="A30" s="622" t="n"/>
      <c r="B30" s="1116" t="n"/>
      <c r="C30" s="1117" t="n"/>
      <c r="D30" s="1118" t="n"/>
      <c r="E30" s="623" t="n"/>
      <c r="F30" s="623" t="n"/>
      <c r="G30" s="624" t="n"/>
    </row>
    <row r="31">
      <c r="A31" s="622" t="n"/>
      <c r="B31" s="961" t="n"/>
      <c r="C31" s="1117" t="n"/>
      <c r="D31" s="1118" t="n"/>
      <c r="E31" s="623" t="n"/>
      <c r="F31" s="623" t="n"/>
      <c r="G31" s="624" t="n"/>
    </row>
    <row r="32">
      <c r="A32" s="622" t="n"/>
      <c r="B32" s="961" t="n"/>
      <c r="C32" s="1117" t="n"/>
      <c r="D32" s="1118" t="n"/>
      <c r="E32" s="623" t="n"/>
      <c r="F32" s="623" t="n"/>
      <c r="G32" s="624" t="n"/>
    </row>
    <row r="33">
      <c r="A33" s="622" t="n"/>
      <c r="B33" s="967" t="n"/>
      <c r="C33" s="1117" t="n"/>
      <c r="D33" s="1118" t="n"/>
      <c r="E33" s="623" t="n"/>
      <c r="F33" s="623" t="n"/>
      <c r="G33" s="624" t="n"/>
    </row>
    <row r="34">
      <c r="A34" s="622" t="n"/>
      <c r="B34" s="961" t="n"/>
      <c r="C34" s="1117" t="n"/>
      <c r="D34" s="1118" t="n"/>
      <c r="E34" s="623" t="n"/>
      <c r="F34" s="623" t="n"/>
      <c r="G34" s="624" t="n"/>
    </row>
    <row r="35">
      <c r="A35" s="622" t="n"/>
      <c r="B35" s="961" t="n"/>
      <c r="C35" s="1117" t="n"/>
      <c r="D35" s="1118" t="n"/>
      <c r="E35" s="623" t="n"/>
      <c r="F35" s="623" t="n"/>
      <c r="G35" s="624" t="n"/>
    </row>
    <row r="36">
      <c r="A36" s="622" t="n"/>
      <c r="B36" s="961" t="n"/>
      <c r="C36" s="1117" t="n"/>
      <c r="D36" s="1118" t="n"/>
      <c r="E36" s="623" t="n"/>
      <c r="F36" s="623" t="n"/>
      <c r="G36" s="624" t="n"/>
    </row>
    <row r="37" ht="13.5" customHeight="1" thickBot="1">
      <c r="A37" s="625" t="n"/>
      <c r="B37" s="962" t="n"/>
      <c r="C37" s="1119" t="n"/>
      <c r="D37" s="1120" t="n"/>
      <c r="E37" s="626" t="n"/>
      <c r="F37" s="626" t="n"/>
      <c r="G37" s="627" t="n"/>
    </row>
    <row r="38" ht="13.5" customHeight="1" thickBot="1">
      <c r="A38" s="1121" t="inlineStr">
        <is>
          <t>COMMENTS</t>
        </is>
      </c>
      <c r="G38" s="1122" t="n"/>
    </row>
    <row r="39">
      <c r="A39" s="631" t="n"/>
      <c r="B39" s="1112" t="n"/>
      <c r="C39" s="1112" t="n"/>
      <c r="D39" s="1112" t="n"/>
      <c r="E39" s="1112" t="n"/>
      <c r="F39" s="1112" t="n"/>
      <c r="G39" s="1111" t="n"/>
    </row>
    <row r="40">
      <c r="A40" s="1123" t="n"/>
      <c r="G40" s="1122" t="n"/>
    </row>
    <row r="41">
      <c r="A41" s="1123" t="n"/>
      <c r="G41" s="1122" t="n"/>
    </row>
    <row r="42">
      <c r="A42" s="1123" t="n"/>
      <c r="G42" s="1122" t="n"/>
    </row>
    <row r="43">
      <c r="A43" s="1123" t="n"/>
      <c r="G43" s="1122" t="n"/>
    </row>
    <row r="44" ht="13.5" customHeight="1" thickBot="1">
      <c r="A44" s="1124" t="n"/>
      <c r="B44" s="1109" t="n"/>
      <c r="C44" s="1109" t="n"/>
      <c r="D44" s="1109" t="n"/>
      <c r="E44" s="1109" t="n"/>
      <c r="F44" s="1109" t="n"/>
      <c r="G44" s="1125" t="n"/>
    </row>
    <row r="45" ht="15" customHeight="1" thickBot="1">
      <c r="A45" s="182" t="inlineStr">
        <is>
          <t>*** BELOW IS FOR ADMIN USE ONLY***</t>
        </is>
      </c>
      <c r="B45" s="1101" t="n"/>
      <c r="C45" s="1101" t="n"/>
      <c r="D45" s="1101" t="n"/>
      <c r="E45" s="1101" t="n"/>
      <c r="F45" s="1101" t="n"/>
      <c r="G45" s="1102" t="n"/>
    </row>
    <row r="46" ht="13.5" customHeight="1" thickBot="1">
      <c r="A46" s="182" t="inlineStr">
        <is>
          <t>JP Approval Date:</t>
        </is>
      </c>
      <c r="B46" s="630" t="n"/>
      <c r="C46" s="182" t="inlineStr">
        <is>
          <t>Approved By:</t>
        </is>
      </c>
      <c r="D46" s="182" t="n"/>
      <c r="E46" s="1126" t="inlineStr">
        <is>
          <t>Date sent to Construction:</t>
        </is>
      </c>
      <c r="F46" s="1102" t="n"/>
      <c r="G46" s="630" t="n"/>
    </row>
    <row r="47" ht="15" customHeight="1" thickBot="1">
      <c r="A47" s="182" t="inlineStr">
        <is>
          <t>Construction Complete:</t>
        </is>
      </c>
      <c r="B47" s="1102" t="n"/>
      <c r="C47" s="631" t="n"/>
      <c r="D47" s="182" t="inlineStr">
        <is>
          <t>Miss Utility Polygon:</t>
        </is>
      </c>
      <c r="E47" s="1102" t="n"/>
      <c r="F47" s="632" t="n"/>
      <c r="G47" s="633" t="n"/>
    </row>
    <row r="48" ht="13.5" customHeight="1" thickBot="1">
      <c r="A48" s="183" t="inlineStr">
        <is>
          <t>REVISION DATE 11/18/2025</t>
        </is>
      </c>
      <c r="B48" s="590" t="n"/>
      <c r="C48" s="590" t="n"/>
      <c r="D48" s="590" t="n"/>
      <c r="E48" s="590" t="n"/>
      <c r="F48" s="590" t="n"/>
      <c r="G48" s="591" t="n"/>
    </row>
  </sheetData>
  <sheetProtection selectLockedCells="1" selectUnlockedCells="0" algorithmName="SHA-512" sheet="1" objects="0" insertRows="1" insertHyperlinks="1" autoFilter="1" scenarios="0" formatColumns="1" deleteColumns="1" insertColumns="1" pivotTables="1" deleteRows="1" formatCells="1" saltValue="xsuxsOgNrfkfcJY+I7jKNQ==" formatRows="1" sort="1" spinCount="100000" hashValue="LoX845qOF4kizBtSczXa1q7bNSzzyhRJwIR0+IKCDqYMpAIfOhkvvQHO4PvCz5z8Av/K4eHmeXgQ8crcr6X8Vg=="/>
  <mergeCells count="27">
    <mergeCell ref="F4:G4"/>
    <mergeCell ref="B7:C7"/>
    <mergeCell ref="C15:D15"/>
    <mergeCell ref="A39:G44"/>
    <mergeCell ref="E5:F5"/>
    <mergeCell ref="A38:G38"/>
    <mergeCell ref="B29:D29"/>
    <mergeCell ref="B34:D34"/>
    <mergeCell ref="F3:G3"/>
    <mergeCell ref="B28:D28"/>
    <mergeCell ref="B37:D37"/>
    <mergeCell ref="B30:D30"/>
    <mergeCell ref="A45:G45"/>
    <mergeCell ref="B33:D33"/>
    <mergeCell ref="F2:G2"/>
    <mergeCell ref="D47:E47"/>
    <mergeCell ref="B36:D36"/>
    <mergeCell ref="A1:G1"/>
    <mergeCell ref="E46:F46"/>
    <mergeCell ref="B32:D32"/>
    <mergeCell ref="B4:D4"/>
    <mergeCell ref="A47:B47"/>
    <mergeCell ref="B35:D35"/>
    <mergeCell ref="B3:D3"/>
    <mergeCell ref="A27:D27"/>
    <mergeCell ref="B31:D31"/>
    <mergeCell ref="B2:D2"/>
  </mergeCells>
  <dataValidations count="1">
    <dataValidation sqref="B19" showDropDown="0" showInputMessage="1" showErrorMessage="1" allowBlank="1" type="list">
      <formula1>"144,288,432"</formula1>
    </dataValidation>
  </dataValidations>
  <pageMargins left="0.7" right="0.7" top="0.75" bottom="0.75" header="0.3" footer="0.3"/>
  <pageSetup orientation="portrait"/>
</worksheet>
</file>

<file path=xl/worksheets/sheet2.xml><?xml version="1.0" encoding="utf-8"?>
<worksheet xmlns="http://schemas.openxmlformats.org/spreadsheetml/2006/main">
  <sheetPr codeName="Sheet2">
    <outlinePr summaryBelow="1" summaryRight="1"/>
    <pageSetUpPr/>
  </sheetPr>
  <dimension ref="A1:A1"/>
  <sheetViews>
    <sheetView zoomScaleNormal="100" workbookViewId="0">
      <selection activeCell="A1" sqref="A1"/>
    </sheetView>
  </sheetViews>
  <sheetFormatPr baseColWidth="8" defaultRowHeight="15"/>
  <sheetData>
    <row r="1">
      <c r="A1" t="inlineStr">
        <is>
          <t>PASTE LOCATION MAP HERE</t>
        </is>
      </c>
    </row>
  </sheetData>
  <pageMargins left="0.7" right="0.7" top="0.75" bottom="0.75" header="0.3" footer="0.3"/>
</worksheet>
</file>

<file path=xl/worksheets/sheet3.xml><?xml version="1.0" encoding="utf-8"?>
<worksheet xmlns="http://schemas.openxmlformats.org/spreadsheetml/2006/main">
  <sheetPr codeName="Sheet3">
    <outlinePr summaryBelow="1" summaryRight="1"/>
    <pageSetUpPr/>
  </sheetPr>
  <dimension ref="A1:AH384"/>
  <sheetViews>
    <sheetView zoomScaleNormal="100" workbookViewId="0">
      <pane ySplit="4" topLeftCell="A307" activePane="bottomLeft" state="frozen"/>
      <selection pane="bottomLeft" activeCell="B305" sqref="B305"/>
    </sheetView>
  </sheetViews>
  <sheetFormatPr baseColWidth="8" defaultColWidth="8.85546875" defaultRowHeight="12.75" outlineLevelRow="1"/>
  <cols>
    <col width="15.85546875" customWidth="1" style="184" min="1" max="1"/>
    <col width="12.42578125" bestFit="1" customWidth="1" style="473" min="2" max="2"/>
    <col width="9.42578125" customWidth="1" style="306" min="3" max="3"/>
    <col width="10" customWidth="1" style="306" min="4" max="4"/>
    <col width="26.140625" bestFit="1" customWidth="1" style="474" min="5" max="5"/>
    <col width="101.85546875" customWidth="1" style="184" min="6" max="6"/>
    <col width="13.42578125" bestFit="1" customWidth="1" style="475" min="7" max="7"/>
    <col width="11" bestFit="1" customWidth="1" style="184" min="8" max="8"/>
    <col width="8.85546875" customWidth="1" style="184" min="9" max="9"/>
    <col width="21.5703125" bestFit="1" customWidth="1" style="498" min="10" max="10"/>
    <col width="8.85546875" customWidth="1" style="555" min="11" max="11"/>
    <col width="8.85546875" customWidth="1" style="184" min="12" max="16384"/>
  </cols>
  <sheetData>
    <row r="1">
      <c r="A1" s="997" t="inlineStr">
        <is>
          <t>CUSTOMER NAME</t>
        </is>
      </c>
      <c r="C1" s="998">
        <f>'COVER SHEET'!B2</f>
        <v/>
      </c>
      <c r="D1" s="1127" t="n"/>
      <c r="E1" s="1127" t="n"/>
      <c r="F1" s="1128" t="n"/>
      <c r="G1" s="288" t="inlineStr">
        <is>
          <t>Tax</t>
        </is>
      </c>
      <c r="H1" s="289" t="n">
        <v>0.05</v>
      </c>
    </row>
    <row r="2">
      <c r="A2" s="997" t="inlineStr">
        <is>
          <t>ENGINEER</t>
        </is>
      </c>
      <c r="C2" s="998">
        <f>'COVER SHEET'!F2</f>
        <v/>
      </c>
      <c r="D2" s="1127" t="n"/>
      <c r="E2" s="1127" t="n"/>
      <c r="F2" s="1128" t="n"/>
      <c r="G2" s="288" t="inlineStr">
        <is>
          <t>Provisioning</t>
        </is>
      </c>
      <c r="H2" s="289" t="n">
        <v>0.1</v>
      </c>
    </row>
    <row r="3">
      <c r="A3" s="997" t="inlineStr">
        <is>
          <t>Project #</t>
        </is>
      </c>
      <c r="C3" s="998">
        <f>IF(ISBLANK('COVER SHEET'!F4),"",'COVER SHEET'!F4)</f>
        <v/>
      </c>
      <c r="D3" s="1127" t="n"/>
      <c r="E3" s="1127" t="n"/>
      <c r="F3" s="1128" t="n"/>
      <c r="G3" s="996" t="n"/>
      <c r="H3" s="1128" t="n"/>
    </row>
    <row r="4" ht="26.25" customHeight="1" thickBot="1">
      <c r="A4" s="290" t="inlineStr">
        <is>
          <t>Task Name</t>
        </is>
      </c>
      <c r="B4" s="647" t="inlineStr">
        <is>
          <t>QUANTITY</t>
        </is>
      </c>
      <c r="C4" s="292" t="inlineStr">
        <is>
          <t>ACTUAL QUANITY</t>
        </is>
      </c>
      <c r="D4" s="292" t="inlineStr">
        <is>
          <t>REEL NUMBER</t>
        </is>
      </c>
      <c r="E4" s="480" t="inlineStr">
        <is>
          <t>ITEM #</t>
        </is>
      </c>
      <c r="F4" s="291" t="inlineStr">
        <is>
          <t>DESCRIPTION</t>
        </is>
      </c>
      <c r="G4" s="293" t="inlineStr">
        <is>
          <t>COST</t>
        </is>
      </c>
      <c r="H4" s="294" t="inlineStr">
        <is>
          <t>TOTAL</t>
        </is>
      </c>
    </row>
    <row r="5" ht="13.5" customHeight="1" thickBot="1">
      <c r="A5" s="295" t="n"/>
      <c r="B5" s="482" t="n"/>
      <c r="C5" s="296" t="n"/>
      <c r="D5" s="296" t="n"/>
      <c r="E5" s="297" t="n"/>
      <c r="F5" s="298" t="inlineStr">
        <is>
          <t>POLE MATERIAL</t>
        </is>
      </c>
      <c r="G5" s="299" t="n"/>
      <c r="H5" s="300" t="n"/>
    </row>
    <row r="6" hidden="1" outlineLevel="1">
      <c r="A6" s="301" t="inlineStr">
        <is>
          <t>O.POLES</t>
        </is>
      </c>
      <c r="B6" s="302" t="n"/>
      <c r="C6" s="303" t="n"/>
      <c r="D6" s="303" t="n"/>
      <c r="E6" s="648" t="inlineStr">
        <is>
          <t>POLE30C3</t>
        </is>
      </c>
      <c r="F6" s="304" t="inlineStr">
        <is>
          <t>Pole 30' CL3</t>
        </is>
      </c>
      <c r="G6" s="649" t="n">
        <v>265.72</v>
      </c>
      <c r="H6" s="305">
        <f>B6*G6</f>
        <v/>
      </c>
      <c r="I6" s="306" t="n"/>
    </row>
    <row r="7" hidden="1" outlineLevel="1">
      <c r="A7" s="307" t="inlineStr">
        <is>
          <t>O.POLES</t>
        </is>
      </c>
      <c r="B7" s="308" t="n"/>
      <c r="C7" s="309" t="n"/>
      <c r="D7" s="309" t="n"/>
      <c r="E7" s="650" t="inlineStr">
        <is>
          <t>POLE30C4</t>
        </is>
      </c>
      <c r="F7" s="310" t="inlineStr">
        <is>
          <t>Pole 30  CL4</t>
        </is>
      </c>
      <c r="G7" s="651" t="n">
        <v>221.98</v>
      </c>
      <c r="H7" s="312">
        <f>G7*B7</f>
        <v/>
      </c>
    </row>
    <row r="8" hidden="1" outlineLevel="1">
      <c r="A8" s="307" t="inlineStr">
        <is>
          <t>O.POLES</t>
        </is>
      </c>
      <c r="B8" s="308" t="n"/>
      <c r="C8" s="309" t="n"/>
      <c r="D8" s="309" t="n"/>
      <c r="E8" s="650" t="inlineStr">
        <is>
          <t>POLE30C5</t>
        </is>
      </c>
      <c r="F8" s="310" t="inlineStr">
        <is>
          <t>Pole 30  CL5</t>
        </is>
      </c>
      <c r="G8" s="651" t="n">
        <v>195.39</v>
      </c>
      <c r="H8" s="312">
        <f>B8*G8</f>
        <v/>
      </c>
      <c r="J8" s="499" t="n"/>
    </row>
    <row r="9" hidden="1" outlineLevel="1">
      <c r="A9" s="307" t="inlineStr">
        <is>
          <t>O.POLES</t>
        </is>
      </c>
      <c r="B9" s="308" t="n"/>
      <c r="C9" s="309" t="n"/>
      <c r="D9" s="309" t="n"/>
      <c r="E9" s="650" t="inlineStr">
        <is>
          <t>POLE35C4</t>
        </is>
      </c>
      <c r="F9" s="310" t="inlineStr">
        <is>
          <t>Pole 35 CL4</t>
        </is>
      </c>
      <c r="G9" s="651" t="n">
        <v>280.86</v>
      </c>
      <c r="H9" s="312">
        <f>B9*G9</f>
        <v/>
      </c>
    </row>
    <row r="10" hidden="1" outlineLevel="1">
      <c r="A10" s="307" t="inlineStr">
        <is>
          <t>O.POLES</t>
        </is>
      </c>
      <c r="B10" s="308" t="n"/>
      <c r="C10" s="309" t="n"/>
      <c r="D10" s="309" t="n"/>
      <c r="E10" s="650" t="inlineStr">
        <is>
          <t>POLE35C5</t>
        </is>
      </c>
      <c r="F10" s="310" t="inlineStr">
        <is>
          <t>Pole 35 CL5</t>
        </is>
      </c>
      <c r="G10" s="651" t="n">
        <v>235.85</v>
      </c>
      <c r="H10" s="312">
        <f>B10*G10</f>
        <v/>
      </c>
    </row>
    <row r="11" hidden="1" outlineLevel="1">
      <c r="A11" s="307" t="inlineStr">
        <is>
          <t>O.POLES</t>
        </is>
      </c>
      <c r="B11" s="308" t="n"/>
      <c r="C11" s="309" t="n"/>
      <c r="D11" s="309" t="n"/>
      <c r="E11" s="650" t="inlineStr">
        <is>
          <t>POLE40C2</t>
        </is>
      </c>
      <c r="F11" s="310" t="inlineStr">
        <is>
          <t>Pole 40' CL2</t>
        </is>
      </c>
      <c r="G11" s="651" t="n">
        <v>395</v>
      </c>
      <c r="H11" s="312">
        <f>B11*G11</f>
        <v/>
      </c>
    </row>
    <row r="12" hidden="1" outlineLevel="1">
      <c r="A12" s="307" t="inlineStr">
        <is>
          <t>O.POLES</t>
        </is>
      </c>
      <c r="B12" s="308" t="n"/>
      <c r="C12" s="309" t="n"/>
      <c r="D12" s="309" t="n"/>
      <c r="E12" s="650" t="inlineStr">
        <is>
          <t>POLE40C3</t>
        </is>
      </c>
      <c r="F12" s="310" t="inlineStr">
        <is>
          <t>Pole 40 CL3</t>
        </is>
      </c>
      <c r="G12" s="651" t="n">
        <v>381.29</v>
      </c>
      <c r="H12" s="312">
        <f>B12*G12</f>
        <v/>
      </c>
    </row>
    <row r="13" hidden="1" outlineLevel="1">
      <c r="A13" s="307" t="inlineStr">
        <is>
          <t>O.POLES</t>
        </is>
      </c>
      <c r="B13" s="308" t="n"/>
      <c r="C13" s="309" t="n"/>
      <c r="D13" s="309" t="n"/>
      <c r="E13" s="650" t="inlineStr">
        <is>
          <t>POLE40C4</t>
        </is>
      </c>
      <c r="F13" s="310" t="inlineStr">
        <is>
          <t>Pole 40' CL4</t>
        </is>
      </c>
      <c r="G13" s="651" t="n">
        <v>325.97</v>
      </c>
      <c r="H13" s="312">
        <f>B13*G13</f>
        <v/>
      </c>
    </row>
    <row r="14" hidden="1" outlineLevel="1">
      <c r="A14" s="307" t="inlineStr">
        <is>
          <t>O.POLES</t>
        </is>
      </c>
      <c r="B14" s="308" t="n"/>
      <c r="C14" s="309" t="n"/>
      <c r="D14" s="309" t="n"/>
      <c r="E14" s="650" t="inlineStr">
        <is>
          <t>POLE40C5</t>
        </is>
      </c>
      <c r="F14" s="310" t="inlineStr">
        <is>
          <t>Pole 40' CL5</t>
        </is>
      </c>
      <c r="G14" s="651" t="n">
        <v>274.22</v>
      </c>
      <c r="H14" s="312">
        <f>B14*G14</f>
        <v/>
      </c>
    </row>
    <row r="15" hidden="1" outlineLevel="1">
      <c r="A15" s="307" t="inlineStr">
        <is>
          <t>O.POLES</t>
        </is>
      </c>
      <c r="B15" s="308" t="n"/>
      <c r="C15" s="309" t="n"/>
      <c r="D15" s="309" t="n"/>
      <c r="E15" s="652" t="inlineStr">
        <is>
          <t>POLE45C1</t>
        </is>
      </c>
      <c r="F15" s="310" t="inlineStr">
        <is>
          <t>Pole 45' CL1 Not stocked item, Contact Purchasing for Price/Availability</t>
        </is>
      </c>
      <c r="G15" s="311" t="n"/>
      <c r="H15" s="312">
        <f>B15*G15</f>
        <v/>
      </c>
    </row>
    <row r="16" hidden="1" outlineLevel="1">
      <c r="A16" s="307" t="inlineStr">
        <is>
          <t>O.POLES</t>
        </is>
      </c>
      <c r="B16" s="308" t="n"/>
      <c r="C16" s="309" t="n"/>
      <c r="D16" s="309" t="n"/>
      <c r="E16" s="652" t="inlineStr">
        <is>
          <t>POLE45C2</t>
        </is>
      </c>
      <c r="F16" s="310" t="inlineStr">
        <is>
          <t>Pole 45' CL2 Not stocked item, Contact Purchasing for Price/Availability</t>
        </is>
      </c>
      <c r="G16" s="311" t="n"/>
      <c r="H16" s="312">
        <f>B16*G16</f>
        <v/>
      </c>
    </row>
    <row r="17" hidden="1" outlineLevel="1">
      <c r="A17" s="307" t="inlineStr">
        <is>
          <t>O.POLES</t>
        </is>
      </c>
      <c r="B17" s="308" t="n"/>
      <c r="C17" s="309" t="n"/>
      <c r="D17" s="309" t="n"/>
      <c r="E17" s="650" t="inlineStr">
        <is>
          <t>POLE45C3</t>
        </is>
      </c>
      <c r="F17" s="310" t="inlineStr">
        <is>
          <t>Pole 45' CL3</t>
        </is>
      </c>
      <c r="G17" s="651" t="n">
        <v>480.52</v>
      </c>
      <c r="H17" s="312">
        <f>B17*G17</f>
        <v/>
      </c>
    </row>
    <row r="18" hidden="1" outlineLevel="1">
      <c r="A18" s="307" t="inlineStr">
        <is>
          <t>O.POLES</t>
        </is>
      </c>
      <c r="B18" s="308" t="n"/>
      <c r="C18" s="309" t="n"/>
      <c r="D18" s="309" t="n"/>
      <c r="E18" s="650" t="inlineStr">
        <is>
          <t>POLE45C4</t>
        </is>
      </c>
      <c r="F18" s="310" t="inlineStr">
        <is>
          <t>Pole 45' CL4</t>
        </is>
      </c>
      <c r="G18" s="651" t="n">
        <v>325.97</v>
      </c>
      <c r="H18" s="312">
        <f>B18*G18</f>
        <v/>
      </c>
    </row>
    <row r="19" hidden="1" outlineLevel="1">
      <c r="A19" s="307" t="inlineStr">
        <is>
          <t>O.POLES</t>
        </is>
      </c>
      <c r="B19" s="308" t="n"/>
      <c r="C19" s="309" t="n"/>
      <c r="D19" s="309" t="n"/>
      <c r="E19" s="650" t="inlineStr">
        <is>
          <t>POLE50C2</t>
        </is>
      </c>
      <c r="F19" s="310" t="inlineStr">
        <is>
          <t xml:space="preserve">Pole 50' CL2 </t>
        </is>
      </c>
      <c r="G19" s="651" t="n">
        <v>624.08</v>
      </c>
      <c r="H19" s="312">
        <f>B19*G19</f>
        <v/>
      </c>
    </row>
    <row r="20" hidden="1" outlineLevel="1">
      <c r="A20" s="307" t="inlineStr">
        <is>
          <t>O.POLES</t>
        </is>
      </c>
      <c r="B20" s="308" t="n"/>
      <c r="C20" s="309" t="n"/>
      <c r="D20" s="309" t="n"/>
      <c r="E20" s="652" t="inlineStr">
        <is>
          <t>POLE55C1</t>
        </is>
      </c>
      <c r="F20" s="310" t="inlineStr">
        <is>
          <t>Pole 55' CL1 Not stocked item, Contact Purchasing for Price/Availability</t>
        </is>
      </c>
      <c r="G20" s="311" t="n"/>
      <c r="H20" s="312">
        <f>B20*G20</f>
        <v/>
      </c>
    </row>
    <row r="21" hidden="1" outlineLevel="1">
      <c r="A21" s="313" t="inlineStr">
        <is>
          <t>O.POLES</t>
        </is>
      </c>
      <c r="B21" s="314" t="n"/>
      <c r="C21" s="315" t="n"/>
      <c r="D21" s="315" t="n"/>
      <c r="E21" s="479" t="inlineStr">
        <is>
          <t>POLE55C2</t>
        </is>
      </c>
      <c r="F21" s="317" t="inlineStr">
        <is>
          <t>Pole  55' CL2</t>
        </is>
      </c>
      <c r="G21" s="653" t="n">
        <v>733.14</v>
      </c>
      <c r="H21" s="312">
        <f>B21*G21</f>
        <v/>
      </c>
    </row>
    <row r="22" hidden="1" outlineLevel="1">
      <c r="A22" s="313" t="inlineStr">
        <is>
          <t>MISC.</t>
        </is>
      </c>
      <c r="B22" s="314" t="n"/>
      <c r="C22" s="315" t="n"/>
      <c r="D22" s="315" t="n"/>
      <c r="E22" s="316" t="n"/>
      <c r="F22" s="317" t="n"/>
      <c r="G22" s="318" t="n"/>
      <c r="H22" s="312">
        <f>B22*G22</f>
        <v/>
      </c>
    </row>
    <row r="23" hidden="1" outlineLevel="1">
      <c r="A23" s="313" t="inlineStr">
        <is>
          <t>MISC.</t>
        </is>
      </c>
      <c r="B23" s="314" t="n"/>
      <c r="C23" s="315" t="n"/>
      <c r="D23" s="315" t="n"/>
      <c r="E23" s="316" t="n"/>
      <c r="F23" s="317" t="n"/>
      <c r="G23" s="318" t="n"/>
      <c r="H23" s="312">
        <f>B23*G23</f>
        <v/>
      </c>
    </row>
    <row r="24" hidden="1" outlineLevel="1">
      <c r="A24" s="313" t="inlineStr">
        <is>
          <t>MISC.</t>
        </is>
      </c>
      <c r="B24" s="314" t="n"/>
      <c r="C24" s="315" t="n"/>
      <c r="D24" s="315" t="n"/>
      <c r="E24" s="316" t="n"/>
      <c r="F24" s="317" t="n"/>
      <c r="G24" s="318" t="n"/>
      <c r="H24" s="312">
        <f>B24*G24</f>
        <v/>
      </c>
    </row>
    <row r="25" hidden="1" outlineLevel="1" ht="13.5" customHeight="1" thickBot="1">
      <c r="A25" s="313" t="inlineStr">
        <is>
          <t>MISC.</t>
        </is>
      </c>
      <c r="B25" s="314" t="n"/>
      <c r="C25" s="315" t="n"/>
      <c r="D25" s="315" t="n"/>
      <c r="E25" s="316" t="n"/>
      <c r="F25" s="317" t="n"/>
      <c r="G25" s="318" t="n"/>
      <c r="H25" s="312">
        <f>B25*G25</f>
        <v/>
      </c>
    </row>
    <row r="26" hidden="1" outlineLevel="1" ht="13.5" customHeight="1" thickBot="1">
      <c r="A26" s="319" t="n"/>
      <c r="B26" s="320" t="n"/>
      <c r="C26" s="321" t="n"/>
      <c r="D26" s="321" t="n"/>
      <c r="E26" s="322" t="n"/>
      <c r="F26" s="323" t="inlineStr">
        <is>
          <t>SUB-TOTAL - O.POLES</t>
        </is>
      </c>
      <c r="G26" s="324" t="n"/>
      <c r="H26" s="325">
        <f>SUM(H6:H25)</f>
        <v/>
      </c>
    </row>
    <row r="27" hidden="1" outlineLevel="1" ht="13.5" customHeight="1" thickBot="1">
      <c r="A27" s="319" t="n"/>
      <c r="B27" s="320" t="n"/>
      <c r="C27" s="321" t="n"/>
      <c r="D27" s="321" t="n"/>
      <c r="E27" s="322" t="n"/>
      <c r="F27" s="323" t="inlineStr">
        <is>
          <t>PROVISIONING - POLE MATERIAL</t>
        </is>
      </c>
      <c r="G27" s="324" t="n"/>
      <c r="H27" s="325">
        <f>H26*(H1+H2)</f>
        <v/>
      </c>
    </row>
    <row r="28" hidden="1" outlineLevel="1" ht="13.5" customHeight="1" thickBot="1">
      <c r="A28" s="319" t="n"/>
      <c r="B28" s="320" t="n"/>
      <c r="C28" s="321" t="n"/>
      <c r="D28" s="321" t="n"/>
      <c r="E28" s="322" t="n"/>
      <c r="F28" s="326" t="inlineStr">
        <is>
          <t>TOTAL - O.POLES</t>
        </is>
      </c>
      <c r="G28" s="327" t="n"/>
      <c r="H28" s="328">
        <f>H27+H26</f>
        <v/>
      </c>
    </row>
    <row r="29" collapsed="1" ht="13.5" customHeight="1" thickBot="1">
      <c r="A29" s="329" t="inlineStr">
        <is>
          <t>&lt;----Click the + to Expand or Collapse the "POLE MATERIAL" Section</t>
        </is>
      </c>
      <c r="B29" s="330" t="n"/>
      <c r="C29" s="331" t="n"/>
      <c r="D29" s="331" t="n"/>
      <c r="E29" s="332" t="n"/>
      <c r="F29" s="333" t="n"/>
      <c r="G29" s="334" t="n"/>
      <c r="H29" s="335" t="n"/>
    </row>
    <row r="30" ht="13.5" customHeight="1" thickBot="1">
      <c r="A30" s="336" t="n"/>
      <c r="B30" s="483" t="inlineStr">
        <is>
          <t>-</t>
        </is>
      </c>
      <c r="C30" s="337" t="n"/>
      <c r="D30" s="337" t="n"/>
      <c r="E30" s="338" t="n"/>
      <c r="F30" s="339" t="inlineStr">
        <is>
          <t>AERIAL FIBER ASSET MATERIAL</t>
        </is>
      </c>
      <c r="G30" s="340" t="n"/>
      <c r="H30" s="341" t="n"/>
    </row>
    <row r="31" hidden="1" outlineLevel="1">
      <c r="A31" s="342" t="inlineStr">
        <is>
          <t>O.FBR.AERL</t>
        </is>
      </c>
      <c r="B31" s="343" t="n"/>
      <c r="C31" s="344" t="n"/>
      <c r="D31" s="344" t="n"/>
      <c r="E31" s="345" t="inlineStr">
        <is>
          <t>FIBCOMFIG8</t>
        </is>
      </c>
      <c r="F31" s="346" t="inlineStr">
        <is>
          <t>FIBER - COMMSCOPE FIGURE 8 M-006-MN-8W-F06NS/25G/109 (RDF)</t>
        </is>
      </c>
      <c r="G31" s="494" t="n"/>
      <c r="H31" s="488">
        <f>B31*G31</f>
        <v/>
      </c>
    </row>
    <row r="32" hidden="1" outlineLevel="1">
      <c r="A32" s="342" t="inlineStr">
        <is>
          <t>O.FBR.AERL</t>
        </is>
      </c>
      <c r="B32" s="502">
        <f>'CABLE SHEET'!I3</f>
        <v/>
      </c>
      <c r="C32" s="344" t="n"/>
      <c r="D32" s="344" t="n"/>
      <c r="E32" s="353" t="inlineStr">
        <is>
          <t>FIBGEN48ARMR</t>
        </is>
      </c>
      <c r="F32" s="346" t="inlineStr">
        <is>
          <t>048 Loose Tube PN D-048-LA-8W-F12NS; 048ZUC-T4122D20; AT3CEH2YT-048</t>
        </is>
      </c>
      <c r="G32" s="641" t="n">
        <v>0.31</v>
      </c>
      <c r="H32" s="488">
        <f>B32*G32</f>
        <v/>
      </c>
      <c r="K32" s="556" t="n"/>
    </row>
    <row r="33" hidden="1" outlineLevel="1">
      <c r="A33" s="342" t="inlineStr">
        <is>
          <t>O.FBR.AERL</t>
        </is>
      </c>
      <c r="B33" s="502">
        <f>'CABLE SHEET'!I4</f>
        <v/>
      </c>
      <c r="C33" s="344" t="n"/>
      <c r="D33" s="344" t="n"/>
      <c r="E33" s="353" t="inlineStr">
        <is>
          <t>FIBGEN96ARMR</t>
        </is>
      </c>
      <c r="F33" s="346" t="inlineStr">
        <is>
          <t>096 Loose Tube PN D-096-LA-8W-F12NS; 096ZUC-T4122D20; AT3CEH2YT-096</t>
        </is>
      </c>
      <c r="G33" s="641" t="n">
        <v>0.62</v>
      </c>
      <c r="H33" s="488">
        <f>B33*G33</f>
        <v/>
      </c>
      <c r="K33" s="556" t="n"/>
    </row>
    <row r="34" hidden="1" outlineLevel="1">
      <c r="A34" s="342" t="inlineStr">
        <is>
          <t>O.FBR.AERL</t>
        </is>
      </c>
      <c r="B34" s="502">
        <f>'CABLE SHEET'!I5</f>
        <v/>
      </c>
      <c r="C34" s="344" t="n"/>
      <c r="D34" s="344" t="n"/>
      <c r="E34" s="353" t="inlineStr">
        <is>
          <t>FIBGEN144RIB</t>
        </is>
      </c>
      <c r="F34" s="636" t="inlineStr">
        <is>
          <t>144 Ribbon FIber PN 144EC5-14100D53</t>
        </is>
      </c>
      <c r="G34" s="641" t="n">
        <v>0.98</v>
      </c>
      <c r="H34" s="488">
        <f>B34*G34</f>
        <v/>
      </c>
      <c r="K34" s="556" t="n"/>
    </row>
    <row r="35" hidden="1" outlineLevel="1">
      <c r="A35" s="342" t="inlineStr">
        <is>
          <t>O.FBR.AERL</t>
        </is>
      </c>
      <c r="B35" s="343" t="n"/>
      <c r="C35" s="344" t="n"/>
      <c r="D35" s="344" t="n"/>
      <c r="E35" s="345" t="inlineStr">
        <is>
          <t>FIBOFS192LTARMR</t>
        </is>
      </c>
      <c r="F35" s="346" t="inlineStr">
        <is>
          <t>FIBER OFS AT3CEH2YT-192-FORTEX NON-DIELECTRIC LIGHT ARMOR</t>
        </is>
      </c>
      <c r="G35" s="494" t="n"/>
      <c r="H35" s="488">
        <f>B35*G35</f>
        <v/>
      </c>
      <c r="K35" s="556" t="n"/>
    </row>
    <row r="36" hidden="1" outlineLevel="1">
      <c r="A36" s="342" t="inlineStr">
        <is>
          <t>O.FBR.AERL</t>
        </is>
      </c>
      <c r="B36" s="502">
        <f>'CABLE SHEET'!I6</f>
        <v/>
      </c>
      <c r="C36" s="344" t="n"/>
      <c r="D36" s="344" t="n"/>
      <c r="E36" s="353" t="inlineStr">
        <is>
          <t>FIBGEN288RIB</t>
        </is>
      </c>
      <c r="F36" s="346" t="inlineStr">
        <is>
          <t>288 Ribbon FIber PN 288EV5-14100D53</t>
        </is>
      </c>
      <c r="G36" s="641" t="n">
        <v>1.55</v>
      </c>
      <c r="H36" s="488">
        <f>B36*G36</f>
        <v/>
      </c>
      <c r="K36" s="556" t="n"/>
    </row>
    <row r="37" hidden="1" outlineLevel="1" ht="13.5" customHeight="1" thickBot="1">
      <c r="A37" s="342" t="inlineStr">
        <is>
          <t>O.FBR.AERL</t>
        </is>
      </c>
      <c r="B37" s="502">
        <f>'CABLE SHEET'!I7</f>
        <v/>
      </c>
      <c r="C37" s="344" t="n"/>
      <c r="D37" s="344" t="n"/>
      <c r="E37" s="353" t="inlineStr">
        <is>
          <t>FIBGEN432RIB</t>
        </is>
      </c>
      <c r="F37" s="346" t="inlineStr">
        <is>
          <t>432 Ribbon Fiber OFS AT-3CE84SX-432; COR 432EV5-14100D53; STL RA0432FSN06TFBUUS</t>
        </is>
      </c>
      <c r="G37" s="641" t="n">
        <v>3.6</v>
      </c>
      <c r="H37" s="488">
        <f>B37*G37</f>
        <v/>
      </c>
      <c r="K37" s="556" t="n"/>
    </row>
    <row r="38" hidden="1" outlineLevel="1" ht="13.5" customHeight="1" thickBot="1">
      <c r="A38" s="336" t="n"/>
      <c r="B38" s="356" t="n"/>
      <c r="C38" s="357" t="n"/>
      <c r="D38" s="357" t="n"/>
      <c r="E38" s="358" t="n"/>
      <c r="F38" s="359" t="inlineStr">
        <is>
          <t>AERIAL CABLE ASSET MATERIAL</t>
        </is>
      </c>
      <c r="G38" s="360" t="n"/>
      <c r="H38" s="490" t="n"/>
      <c r="K38" s="556" t="n"/>
    </row>
    <row r="39" hidden="1" outlineLevel="1">
      <c r="A39" s="342" t="inlineStr">
        <is>
          <t>O.FBR.AERL</t>
        </is>
      </c>
      <c r="B39" s="343" t="n"/>
      <c r="C39" s="344" t="n"/>
      <c r="D39" s="344" t="n"/>
      <c r="E39" s="345" t="inlineStr">
        <is>
          <t>CBLFS2522</t>
        </is>
      </c>
      <c r="F39" s="346" t="inlineStr">
        <is>
          <t>CABLE F.S. 25-22</t>
        </is>
      </c>
      <c r="G39" s="347" t="n"/>
      <c r="H39" s="488">
        <f>B39*G39</f>
        <v/>
      </c>
      <c r="K39" s="556" t="n"/>
    </row>
    <row r="40" hidden="1" outlineLevel="1">
      <c r="A40" s="342" t="inlineStr">
        <is>
          <t>O.FBR.AERL</t>
        </is>
      </c>
      <c r="B40" s="343" t="n"/>
      <c r="C40" s="344" t="n"/>
      <c r="D40" s="344" t="n"/>
      <c r="E40" s="345" t="inlineStr">
        <is>
          <t>CBLFSKIN10024</t>
        </is>
      </c>
      <c r="F40" s="346" t="inlineStr">
        <is>
          <t>CABLE FOAM SKIN 100-24</t>
        </is>
      </c>
      <c r="G40" s="347" t="n"/>
      <c r="H40" s="488">
        <f>B40*G40</f>
        <v/>
      </c>
      <c r="K40" s="556" t="n"/>
    </row>
    <row r="41" hidden="1" outlineLevel="1">
      <c r="A41" s="342" t="inlineStr">
        <is>
          <t>O.FBR.AERL</t>
        </is>
      </c>
      <c r="B41" s="343" t="n"/>
      <c r="C41" s="344" t="n"/>
      <c r="D41" s="344" t="n"/>
      <c r="E41" s="345" t="inlineStr">
        <is>
          <t>CBLFSKIN120024</t>
        </is>
      </c>
      <c r="F41" s="346" t="inlineStr">
        <is>
          <t>CABLE FOAM SKIN 1200-24</t>
        </is>
      </c>
      <c r="G41" s="347" t="n"/>
      <c r="H41" s="488">
        <f>B41*G41</f>
        <v/>
      </c>
      <c r="K41" s="556" t="n"/>
    </row>
    <row r="42" hidden="1" outlineLevel="1">
      <c r="A42" s="342" t="inlineStr">
        <is>
          <t>O.FBR.AERL</t>
        </is>
      </c>
      <c r="B42" s="343" t="n"/>
      <c r="C42" s="344" t="n"/>
      <c r="D42" s="344" t="n"/>
      <c r="E42" s="345" t="inlineStr">
        <is>
          <t>CBLFSKIN1224</t>
        </is>
      </c>
      <c r="F42" s="346" t="inlineStr">
        <is>
          <t>CABLE FOAM SKIN 12-24</t>
        </is>
      </c>
      <c r="G42" s="347" t="n"/>
      <c r="H42" s="488">
        <f>B42*G42</f>
        <v/>
      </c>
      <c r="K42" s="556" t="n"/>
    </row>
    <row r="43" hidden="1" outlineLevel="1">
      <c r="A43" s="342" t="inlineStr">
        <is>
          <t>O.FBR.AERL</t>
        </is>
      </c>
      <c r="B43" s="343" t="n"/>
      <c r="C43" s="344" t="n"/>
      <c r="D43" s="344" t="n"/>
      <c r="E43" s="345" t="inlineStr">
        <is>
          <t>CBLFSKIN180024</t>
        </is>
      </c>
      <c r="F43" s="346" t="inlineStr">
        <is>
          <t>CABLE FOAM SKIN 1800-24</t>
        </is>
      </c>
      <c r="G43" s="347" t="n"/>
      <c r="H43" s="488">
        <f>B43*G43</f>
        <v/>
      </c>
      <c r="K43" s="556" t="n"/>
    </row>
    <row r="44" hidden="1" outlineLevel="1">
      <c r="A44" s="342" t="inlineStr">
        <is>
          <t>O.FBR.AERL</t>
        </is>
      </c>
      <c r="B44" s="343" t="n"/>
      <c r="C44" s="344" t="n"/>
      <c r="D44" s="344" t="n"/>
      <c r="E44" s="345" t="inlineStr">
        <is>
          <t>CBLFSKIN20024</t>
        </is>
      </c>
      <c r="F44" s="346" t="inlineStr">
        <is>
          <t>CABLE FOAM SKIN 200-24</t>
        </is>
      </c>
      <c r="G44" s="347" t="n"/>
      <c r="H44" s="488">
        <f>B44*G44</f>
        <v/>
      </c>
      <c r="K44" s="556" t="n"/>
    </row>
    <row r="45" hidden="1" outlineLevel="1">
      <c r="A45" s="342" t="inlineStr">
        <is>
          <t>O.FBR.AERL</t>
        </is>
      </c>
      <c r="B45" s="343" t="n"/>
      <c r="C45" s="344" t="n"/>
      <c r="D45" s="344" t="n"/>
      <c r="E45" s="345" t="inlineStr">
        <is>
          <t>CBLFSKIN2524</t>
        </is>
      </c>
      <c r="F45" s="346" t="inlineStr">
        <is>
          <t>CABLE FOAM SKIN 25-24</t>
        </is>
      </c>
      <c r="G45" s="347" t="n"/>
      <c r="H45" s="488">
        <f>B45*G45</f>
        <v/>
      </c>
      <c r="K45" s="556" t="n"/>
    </row>
    <row r="46" hidden="1" outlineLevel="1">
      <c r="A46" s="342" t="inlineStr">
        <is>
          <t>O.FBR.AERL</t>
        </is>
      </c>
      <c r="B46" s="343" t="n"/>
      <c r="C46" s="344" t="n"/>
      <c r="D46" s="344" t="n"/>
      <c r="E46" s="345" t="inlineStr">
        <is>
          <t>CBLFSKIN30024</t>
        </is>
      </c>
      <c r="F46" s="346" t="inlineStr">
        <is>
          <t>CABLE FOAM SKIN 300-24</t>
        </is>
      </c>
      <c r="G46" s="347" t="n"/>
      <c r="H46" s="488">
        <f>B46*G46</f>
        <v/>
      </c>
      <c r="K46" s="556" t="n"/>
    </row>
    <row r="47" hidden="1" outlineLevel="1">
      <c r="A47" s="342" t="inlineStr">
        <is>
          <t>O.FBR.AERL</t>
        </is>
      </c>
      <c r="B47" s="343" t="n"/>
      <c r="C47" s="344" t="n"/>
      <c r="D47" s="344" t="n"/>
      <c r="E47" s="345" t="inlineStr">
        <is>
          <t>CBLFSKIN40024</t>
        </is>
      </c>
      <c r="F47" s="346" t="inlineStr">
        <is>
          <t>CABLE FOAM SKIN 400-24</t>
        </is>
      </c>
      <c r="G47" s="347" t="n"/>
      <c r="H47" s="488">
        <f>B47*G47</f>
        <v/>
      </c>
      <c r="K47" s="556" t="n"/>
    </row>
    <row r="48" hidden="1" outlineLevel="1">
      <c r="A48" s="342" t="inlineStr">
        <is>
          <t>O.FBR.AERL</t>
        </is>
      </c>
      <c r="B48" s="343" t="n"/>
      <c r="C48" s="344" t="n"/>
      <c r="D48" s="344" t="n"/>
      <c r="E48" s="345" t="inlineStr">
        <is>
          <t>CBLFSKIN5022</t>
        </is>
      </c>
      <c r="F48" s="346" t="inlineStr">
        <is>
          <t>CABLE FOAM SKIN 50-22</t>
        </is>
      </c>
      <c r="G48" s="347" t="n"/>
      <c r="H48" s="488">
        <f>B48*G48</f>
        <v/>
      </c>
      <c r="K48" s="556" t="n"/>
    </row>
    <row r="49" hidden="1" outlineLevel="1">
      <c r="A49" s="342" t="inlineStr">
        <is>
          <t>O.FBR.AERL</t>
        </is>
      </c>
      <c r="B49" s="343" t="n"/>
      <c r="C49" s="344" t="n"/>
      <c r="D49" s="344" t="n"/>
      <c r="E49" s="345" t="inlineStr">
        <is>
          <t>CBLFSKIN5024</t>
        </is>
      </c>
      <c r="F49" s="346" t="inlineStr">
        <is>
          <t>CABLE FOAM SKIN 50-24</t>
        </is>
      </c>
      <c r="G49" s="347" t="n"/>
      <c r="H49" s="488">
        <f>B49*G49</f>
        <v/>
      </c>
      <c r="K49" s="556" t="n"/>
    </row>
    <row r="50" hidden="1" outlineLevel="1">
      <c r="A50" s="342" t="inlineStr">
        <is>
          <t>O.FBR.AERL</t>
        </is>
      </c>
      <c r="B50" s="343" t="n"/>
      <c r="C50" s="344" t="n"/>
      <c r="D50" s="344" t="n"/>
      <c r="E50" s="345" t="inlineStr">
        <is>
          <t>CBLFSKIN60024</t>
        </is>
      </c>
      <c r="F50" s="346" t="inlineStr">
        <is>
          <t>CABLE FOAM SKIN 600-24</t>
        </is>
      </c>
      <c r="G50" s="347" t="n"/>
      <c r="H50" s="488">
        <f>B50*G50</f>
        <v/>
      </c>
      <c r="K50" s="556" t="n"/>
    </row>
    <row r="51" hidden="1" outlineLevel="1">
      <c r="A51" s="342" t="inlineStr">
        <is>
          <t>O.FBR.AERL</t>
        </is>
      </c>
      <c r="B51" s="343" t="n"/>
      <c r="C51" s="344" t="n"/>
      <c r="D51" s="344" t="n"/>
      <c r="E51" s="345" t="inlineStr">
        <is>
          <t>CBLFSKIN622</t>
        </is>
      </c>
      <c r="F51" s="346" t="inlineStr">
        <is>
          <t>CABLE FOAM SKIN 6-22</t>
        </is>
      </c>
      <c r="G51" s="347" t="n"/>
      <c r="H51" s="488">
        <f>B51*G51</f>
        <v/>
      </c>
      <c r="K51" s="556" t="n"/>
    </row>
    <row r="52" hidden="1" outlineLevel="1">
      <c r="A52" s="342" t="inlineStr">
        <is>
          <t>O.FBR.AERL</t>
        </is>
      </c>
      <c r="B52" s="343" t="n"/>
      <c r="C52" s="344" t="n"/>
      <c r="D52" s="344" t="n"/>
      <c r="E52" s="345" t="inlineStr">
        <is>
          <t>CBLFSKIN624</t>
        </is>
      </c>
      <c r="F52" s="346" t="inlineStr">
        <is>
          <t>CABLE FOAM SKIN 6-24</t>
        </is>
      </c>
      <c r="G52" s="347" t="n"/>
      <c r="H52" s="488">
        <f>B52*G52</f>
        <v/>
      </c>
      <c r="K52" s="556" t="n"/>
    </row>
    <row r="53" hidden="1" outlineLevel="1">
      <c r="A53" s="342" t="inlineStr">
        <is>
          <t>O.FBR.AERL</t>
        </is>
      </c>
      <c r="B53" s="343" t="n"/>
      <c r="C53" s="344" t="n"/>
      <c r="D53" s="344" t="n"/>
      <c r="E53" s="345" t="inlineStr">
        <is>
          <t>CBLFSKIN90024</t>
        </is>
      </c>
      <c r="F53" s="346" t="inlineStr">
        <is>
          <t>CABLE FOAM SKIN 900-24</t>
        </is>
      </c>
      <c r="G53" s="347" t="n"/>
      <c r="H53" s="488">
        <f>B53*G53</f>
        <v/>
      </c>
      <c r="K53" s="556" t="n"/>
    </row>
    <row r="54" hidden="1" outlineLevel="1">
      <c r="A54" s="342" t="inlineStr">
        <is>
          <t>O.FBR.AERL</t>
        </is>
      </c>
      <c r="B54" s="343" t="n"/>
      <c r="C54" s="344" t="n"/>
      <c r="D54" s="344" t="n"/>
      <c r="E54" s="345" t="inlineStr">
        <is>
          <t>CBLRDW622</t>
        </is>
      </c>
      <c r="F54" s="346" t="inlineStr">
        <is>
          <t>RDW 6-22   #10-006-17 IMRDW 109 MESSENGER FIG 8</t>
        </is>
      </c>
      <c r="G54" s="347" t="n"/>
      <c r="H54" s="488">
        <f>B54*G54</f>
        <v/>
      </c>
      <c r="K54" s="556" t="n"/>
    </row>
    <row r="55" hidden="1" outlineLevel="1">
      <c r="A55" s="342" t="inlineStr">
        <is>
          <t>O.FBR.AERL</t>
        </is>
      </c>
      <c r="B55" s="343" t="n"/>
      <c r="C55" s="344" t="n"/>
      <c r="D55" s="344" t="n"/>
      <c r="E55" s="345" t="inlineStr">
        <is>
          <t>CCTSPLCASE4X25</t>
        </is>
      </c>
      <c r="F55" s="346" t="inlineStr">
        <is>
          <t>CASE SPL 4X25 8000624 W/BOND</t>
        </is>
      </c>
      <c r="G55" s="347" t="n"/>
      <c r="H55" s="488">
        <f>B55*G55</f>
        <v/>
      </c>
      <c r="K55" s="556" t="n"/>
    </row>
    <row r="56" hidden="1" outlineLevel="1">
      <c r="A56" s="342" t="inlineStr">
        <is>
          <t>O.FBR.AERL</t>
        </is>
      </c>
      <c r="B56" s="343" t="n"/>
      <c r="C56" s="344" t="n"/>
      <c r="D56" s="344" t="n"/>
      <c r="E56" s="345" t="inlineStr">
        <is>
          <t>CCTSPLCASE65X28</t>
        </is>
      </c>
      <c r="F56" s="346" t="inlineStr">
        <is>
          <t>CASE SPL 6.5X28 8000626 W/BOND</t>
        </is>
      </c>
      <c r="G56" s="347" t="n"/>
      <c r="H56" s="488">
        <f>B56*G56</f>
        <v/>
      </c>
      <c r="K56" s="556" t="n"/>
    </row>
    <row r="57" hidden="1" outlineLevel="1">
      <c r="A57" s="342" t="inlineStr">
        <is>
          <t>O.FBR.AERL</t>
        </is>
      </c>
      <c r="B57" s="343" t="n"/>
      <c r="C57" s="344" t="n"/>
      <c r="D57" s="344" t="n"/>
      <c r="E57" s="345" t="inlineStr">
        <is>
          <t>CCTSPLCASE65X38</t>
        </is>
      </c>
      <c r="F57" s="346" t="inlineStr">
        <is>
          <t>CASE SPL 6.5X38 8000634 W/BOND</t>
        </is>
      </c>
      <c r="G57" s="347" t="n"/>
      <c r="H57" s="488">
        <f>B57*G57</f>
        <v/>
      </c>
      <c r="K57" s="556" t="n"/>
    </row>
    <row r="58" hidden="1" outlineLevel="1">
      <c r="A58" s="342" t="inlineStr">
        <is>
          <t>O.FBR.AERL</t>
        </is>
      </c>
      <c r="B58" s="343" t="n"/>
      <c r="C58" s="344" t="n"/>
      <c r="D58" s="344" t="n"/>
      <c r="E58" s="345" t="inlineStr">
        <is>
          <t>CCTSPLCASE95X28</t>
        </is>
      </c>
      <c r="F58" s="346" t="inlineStr">
        <is>
          <t>CASE SPL 9.5X28 8000630 W/BOND</t>
        </is>
      </c>
      <c r="G58" s="347" t="n"/>
      <c r="H58" s="488">
        <f>B58*G58</f>
        <v/>
      </c>
      <c r="K58" s="556" t="n"/>
    </row>
    <row r="59" hidden="1" outlineLevel="1">
      <c r="A59" s="342" t="inlineStr">
        <is>
          <t>O.FBR.AERL</t>
        </is>
      </c>
      <c r="B59" s="343" t="n"/>
      <c r="C59" s="344" t="n"/>
      <c r="D59" s="344" t="n"/>
      <c r="E59" s="345" t="inlineStr">
        <is>
          <t>CCTSPLCASE95X38</t>
        </is>
      </c>
      <c r="F59" s="346" t="inlineStr">
        <is>
          <t>CASE SPL 9.5X38 8000635 W/BOND</t>
        </is>
      </c>
      <c r="G59" s="347" t="n"/>
      <c r="H59" s="488">
        <f>B59*G59</f>
        <v/>
      </c>
      <c r="K59" s="556" t="n"/>
    </row>
    <row r="60" hidden="1" outlineLevel="1">
      <c r="A60" s="342" t="inlineStr">
        <is>
          <t>O.FBR.AERL</t>
        </is>
      </c>
      <c r="B60" s="343" t="n"/>
      <c r="C60" s="344" t="n"/>
      <c r="D60" s="344" t="n"/>
      <c r="E60" s="345" t="inlineStr">
        <is>
          <t>CCTSPLCASE95X45</t>
        </is>
      </c>
      <c r="F60" s="346" t="inlineStr">
        <is>
          <t>CASE SPL 9.5X45 8006176 W/BOND</t>
        </is>
      </c>
      <c r="G60" s="347" t="n"/>
      <c r="H60" s="488">
        <f>B60*G60</f>
        <v/>
      </c>
      <c r="K60" s="556" t="n"/>
    </row>
    <row r="61" hidden="1" outlineLevel="1">
      <c r="A61" s="342" t="inlineStr">
        <is>
          <t>O.FBR.AERL</t>
        </is>
      </c>
      <c r="B61" s="343" t="n"/>
      <c r="C61" s="344" t="n"/>
      <c r="D61" s="344" t="n"/>
      <c r="E61" s="345" t="inlineStr">
        <is>
          <t>CCTREDDI95X284</t>
        </is>
      </c>
      <c r="F61" s="346" t="inlineStr">
        <is>
          <t>CLOS REDDI 9.5X28.4 8006175&amp;74</t>
        </is>
      </c>
      <c r="G61" s="347" t="n"/>
      <c r="H61" s="488">
        <f>B61*G61</f>
        <v/>
      </c>
      <c r="K61" s="556" t="n"/>
    </row>
    <row r="62" hidden="1" outlineLevel="1">
      <c r="A62" s="342" t="inlineStr">
        <is>
          <t>O.FBR.AERL</t>
        </is>
      </c>
      <c r="B62" s="343" t="n"/>
      <c r="C62" s="344" t="n"/>
      <c r="D62" s="344" t="n"/>
      <c r="E62" s="345" t="inlineStr">
        <is>
          <t>CCTREDDI95X385</t>
        </is>
      </c>
      <c r="F62" s="346" t="inlineStr">
        <is>
          <t>CLOS REDDI 9.5X38.5 8006181</t>
        </is>
      </c>
      <c r="G62" s="347" t="n"/>
      <c r="H62" s="488">
        <f>B62*G62</f>
        <v/>
      </c>
      <c r="K62" s="556" t="n"/>
    </row>
    <row r="63" hidden="1" outlineLevel="1">
      <c r="A63" s="342" t="inlineStr">
        <is>
          <t>O.FBR.AERL</t>
        </is>
      </c>
      <c r="B63" s="343" t="n"/>
      <c r="C63" s="344" t="n"/>
      <c r="D63" s="344" t="n"/>
      <c r="E63" s="345" t="inlineStr">
        <is>
          <t>CCTCLSR2BB</t>
        </is>
      </c>
      <c r="F63" s="346" t="inlineStr">
        <is>
          <t>CLOSURE 2BB SC/DC</t>
        </is>
      </c>
      <c r="G63" s="347" t="n"/>
      <c r="H63" s="488">
        <f>B63*G63</f>
        <v/>
      </c>
      <c r="K63" s="556" t="n"/>
    </row>
    <row r="64" hidden="1" outlineLevel="1">
      <c r="A64" s="342" t="inlineStr">
        <is>
          <t>O.FBR.AERL</t>
        </is>
      </c>
      <c r="B64" s="343" t="n"/>
      <c r="C64" s="344" t="n"/>
      <c r="D64" s="344" t="n"/>
      <c r="E64" s="345" t="inlineStr">
        <is>
          <t>CCTCLSR3BB</t>
        </is>
      </c>
      <c r="F64" s="346" t="inlineStr">
        <is>
          <t>CLOSURE 3BB SC/DC</t>
        </is>
      </c>
      <c r="G64" s="347" t="n"/>
      <c r="H64" s="488">
        <f>B64*G64</f>
        <v/>
      </c>
      <c r="K64" s="556" t="n"/>
    </row>
    <row r="65" hidden="1" outlineLevel="1">
      <c r="A65" s="342" t="inlineStr">
        <is>
          <t>O.FBR.AERL</t>
        </is>
      </c>
      <c r="B65" s="343" t="n"/>
      <c r="C65" s="344" t="n"/>
      <c r="D65" s="344" t="n"/>
      <c r="E65" s="345" t="inlineStr">
        <is>
          <t>CCTCLSR5BB</t>
        </is>
      </c>
      <c r="F65" s="346" t="inlineStr">
        <is>
          <t>CLOSURE 5BB BB5X26-SB/2SC-LHS</t>
        </is>
      </c>
      <c r="G65" s="347" t="n"/>
      <c r="H65" s="488">
        <f>B65*G65</f>
        <v/>
      </c>
      <c r="K65" s="556" t="n"/>
    </row>
    <row r="66" hidden="1" outlineLevel="1">
      <c r="A66" s="342" t="inlineStr">
        <is>
          <t>O.FBR.AERL</t>
        </is>
      </c>
      <c r="B66" s="343" t="n"/>
      <c r="C66" s="344" t="n"/>
      <c r="D66" s="344" t="n"/>
      <c r="E66" s="345" t="inlineStr">
        <is>
          <t>CCT2X29AERCLSR</t>
        </is>
      </c>
      <c r="F66" s="346" t="inlineStr">
        <is>
          <t>CLOSURE AERIAL SLIC  2" X 29" 3M SLIC 2X29</t>
        </is>
      </c>
      <c r="G66" s="347" t="n"/>
      <c r="H66" s="488">
        <f>B66*G66</f>
        <v/>
      </c>
      <c r="K66" s="556" t="n"/>
    </row>
    <row r="67" hidden="1" outlineLevel="1">
      <c r="A67" s="342" t="inlineStr">
        <is>
          <t>O.FBR.AERL</t>
        </is>
      </c>
      <c r="B67" s="343" t="n"/>
      <c r="C67" s="344" t="n"/>
      <c r="D67" s="344" t="n"/>
      <c r="E67" s="345" t="inlineStr">
        <is>
          <t>CCT3X33AERCLSR</t>
        </is>
      </c>
      <c r="F67" s="346" t="inlineStr">
        <is>
          <t>CLOSURE AERIAL SLIC 3" X 33" CSL333</t>
        </is>
      </c>
      <c r="G67" s="347" t="n"/>
      <c r="H67" s="488">
        <f>B67*G67</f>
        <v/>
      </c>
      <c r="K67" s="556" t="n"/>
    </row>
    <row r="68" hidden="1" outlineLevel="1">
      <c r="A68" s="342" t="inlineStr">
        <is>
          <t>O.FBR.AERL</t>
        </is>
      </c>
      <c r="B68" s="343" t="n"/>
      <c r="C68" s="344" t="n"/>
      <c r="D68" s="344" t="n"/>
      <c r="E68" s="345" t="inlineStr">
        <is>
          <t>CCT5X33AERCLSR</t>
        </is>
      </c>
      <c r="F68" s="346" t="inlineStr">
        <is>
          <t>CLOSURE AERIAL SLIC 5" X 33" CSL533</t>
        </is>
      </c>
      <c r="G68" s="347" t="n"/>
      <c r="H68" s="488">
        <f>B68*G68</f>
        <v/>
      </c>
      <c r="K68" s="556" t="n"/>
    </row>
    <row r="69" hidden="1" outlineLevel="1">
      <c r="A69" s="342" t="inlineStr">
        <is>
          <t>O.FBR.AERL</t>
        </is>
      </c>
      <c r="B69" s="343" t="n"/>
      <c r="C69" s="344" t="n"/>
      <c r="D69" s="344" t="n"/>
      <c r="E69" s="345" t="inlineStr">
        <is>
          <t>CCT7X33AERCLSR</t>
        </is>
      </c>
      <c r="F69" s="346" t="inlineStr">
        <is>
          <t>CLOSURE AERIAL SLIC 7" X 33" CSL733</t>
        </is>
      </c>
      <c r="G69" s="347" t="n"/>
      <c r="H69" s="488">
        <f>B69*G69</f>
        <v/>
      </c>
      <c r="K69" s="556" t="n"/>
    </row>
    <row r="70" hidden="1" outlineLevel="1">
      <c r="A70" s="342" t="inlineStr">
        <is>
          <t>O.FBR.AERL</t>
        </is>
      </c>
      <c r="B70" s="343" t="n"/>
      <c r="C70" s="344" t="n"/>
      <c r="D70" s="344" t="n"/>
      <c r="E70" s="345" t="inlineStr">
        <is>
          <t>CCT9X36AERCLSR</t>
        </is>
      </c>
      <c r="F70" s="346" t="inlineStr">
        <is>
          <t>CLOSURE AERIAL SLIC 9" X 36" CSL936</t>
        </is>
      </c>
      <c r="G70" s="347" t="n"/>
      <c r="H70" s="488">
        <f>B70*G70</f>
        <v/>
      </c>
      <c r="K70" s="556" t="n"/>
    </row>
    <row r="71" hidden="1" outlineLevel="1">
      <c r="A71" s="342" t="inlineStr">
        <is>
          <t>O.FBR.AERL</t>
        </is>
      </c>
      <c r="B71" s="343" t="n"/>
      <c r="C71" s="344" t="n"/>
      <c r="D71" s="344" t="n"/>
      <c r="E71" s="345" t="inlineStr">
        <is>
          <t>CCTTERM2X19SLIC</t>
        </is>
      </c>
      <c r="F71" s="346" t="inlineStr">
        <is>
          <t>SLIC 2.2X19 CLOSURE SLIC22X19SES</t>
        </is>
      </c>
      <c r="G71" s="347" t="n"/>
      <c r="H71" s="488">
        <f>B71*G71</f>
        <v/>
      </c>
      <c r="K71" s="556" t="n"/>
    </row>
    <row r="72" hidden="1" outlineLevel="1">
      <c r="A72" s="342" t="inlineStr">
        <is>
          <t>O.FBR.AERL</t>
        </is>
      </c>
      <c r="B72" s="343" t="n"/>
      <c r="C72" s="344" t="n"/>
      <c r="D72" s="344" t="n"/>
      <c r="E72" s="345" t="inlineStr">
        <is>
          <t>CCT3X28TERM</t>
        </is>
      </c>
      <c r="F72" s="346" t="inlineStr">
        <is>
          <t>SLIC TERMINAL W/10PR BLK 3X28 W/SPIRAL END - 328-PI-10/SES</t>
        </is>
      </c>
      <c r="G72" s="347" t="n"/>
      <c r="H72" s="488">
        <f>B72*G72</f>
        <v/>
      </c>
      <c r="K72" s="556" t="n"/>
    </row>
    <row r="73" hidden="1" outlineLevel="1">
      <c r="A73" s="342" t="inlineStr">
        <is>
          <t>O.FBR.AERL</t>
        </is>
      </c>
      <c r="B73" s="343" t="n"/>
      <c r="C73" s="344" t="n"/>
      <c r="D73" s="344" t="n"/>
      <c r="E73" s="345" t="inlineStr">
        <is>
          <t>CCT5X30TERM</t>
        </is>
      </c>
      <c r="F73" s="346" t="inlineStr">
        <is>
          <t>SLIC TERMINAL W/10PR BLK 5X30 W/SPIRAL END - 530-PI-10/SES</t>
        </is>
      </c>
      <c r="G73" s="347" t="n"/>
      <c r="H73" s="488">
        <f>B73*G73</f>
        <v/>
      </c>
      <c r="K73" s="556" t="n"/>
    </row>
    <row r="74" hidden="1" outlineLevel="1" ht="13.5" customHeight="1" thickBot="1">
      <c r="A74" s="342" t="n"/>
      <c r="B74" s="343" t="n"/>
      <c r="C74" s="344" t="n"/>
      <c r="D74" s="344" t="n"/>
      <c r="E74" s="345" t="n"/>
      <c r="F74" s="346" t="n"/>
      <c r="G74" s="347" t="n"/>
      <c r="H74" s="488">
        <f>B74*G74</f>
        <v/>
      </c>
      <c r="K74" s="556" t="n"/>
    </row>
    <row r="75" hidden="1" outlineLevel="1" ht="13.5" customHeight="1" thickBot="1">
      <c r="A75" s="336" t="n"/>
      <c r="B75" s="356" t="n"/>
      <c r="C75" s="357" t="n"/>
      <c r="D75" s="357" t="n"/>
      <c r="E75" s="358" t="n"/>
      <c r="F75" s="359" t="inlineStr">
        <is>
          <t>AERIAL FIBER SUPPORT PARTS</t>
        </is>
      </c>
      <c r="G75" s="360" t="n"/>
      <c r="H75" s="490" t="n"/>
    </row>
    <row r="76" hidden="1" outlineLevel="1">
      <c r="A76" s="342" t="inlineStr">
        <is>
          <t>O.FBR.AERL</t>
        </is>
      </c>
      <c r="B76" s="343" t="n"/>
      <c r="C76" s="344" t="n"/>
      <c r="D76" s="344" t="n"/>
      <c r="E76" s="353" t="inlineStr">
        <is>
          <t>SPLSNOSHOE12IN</t>
        </is>
      </c>
      <c r="F76" s="346" t="inlineStr">
        <is>
          <t>SNO-SHOE PLASTIC 12" PN FIS12M</t>
        </is>
      </c>
      <c r="G76" s="654" t="n">
        <v>17.5</v>
      </c>
      <c r="H76" s="488">
        <f>B76*G76</f>
        <v/>
      </c>
    </row>
    <row r="77" hidden="1" outlineLevel="1">
      <c r="A77" s="342" t="inlineStr">
        <is>
          <t>O.FBR.AERL</t>
        </is>
      </c>
      <c r="B77" s="343" t="n"/>
      <c r="C77" s="344" t="n"/>
      <c r="D77" s="344" t="n"/>
      <c r="E77" s="353" t="inlineStr">
        <is>
          <t>SPLSNOSHOE16</t>
        </is>
      </c>
      <c r="F77" s="346" t="inlineStr">
        <is>
          <t>SNO-SHOE PLASTIC 16" use for 144 fiber count or larger</t>
        </is>
      </c>
      <c r="G77" s="654" t="n">
        <v>34.38</v>
      </c>
      <c r="H77" s="488">
        <f>B77*G77</f>
        <v/>
      </c>
    </row>
    <row r="78" hidden="1" outlineLevel="1">
      <c r="A78" s="342" t="inlineStr">
        <is>
          <t>O.FBR.AERL</t>
        </is>
      </c>
      <c r="B78" s="343" t="n"/>
      <c r="C78" s="344" t="n"/>
      <c r="D78" s="344" t="n"/>
      <c r="E78" s="353" t="inlineStr">
        <is>
          <t>HDW10INANCHOR</t>
        </is>
      </c>
      <c r="F78" s="346" t="inlineStr">
        <is>
          <t>10" SCREW ANCHOR</t>
        </is>
      </c>
      <c r="G78" s="654" t="n">
        <v>84.5</v>
      </c>
      <c r="H78" s="488">
        <f>G78*B78</f>
        <v/>
      </c>
    </row>
    <row r="79" hidden="1" outlineLevel="1">
      <c r="A79" s="342" t="inlineStr">
        <is>
          <t>O.FBR.AERL</t>
        </is>
      </c>
      <c r="B79" s="343" t="n"/>
      <c r="C79" s="344" t="n"/>
      <c r="D79" s="344" t="n"/>
      <c r="E79" s="345" t="inlineStr">
        <is>
          <t>HDWANCH12HLX</t>
        </is>
      </c>
      <c r="F79" s="346" t="inlineStr">
        <is>
          <t>ANCHOR 12" HELIX C102-5206</t>
        </is>
      </c>
      <c r="G79" s="362" t="n"/>
      <c r="H79" s="488">
        <f>G79*B79</f>
        <v/>
      </c>
    </row>
    <row r="80" hidden="1" outlineLevel="1">
      <c r="A80" s="342" t="inlineStr">
        <is>
          <t>O.FBR.AERL</t>
        </is>
      </c>
      <c r="B80" s="343" t="n"/>
      <c r="C80" s="344" t="n"/>
      <c r="D80" s="344" t="n"/>
      <c r="E80" s="345" t="inlineStr">
        <is>
          <t>HDWANCH8HLX</t>
        </is>
      </c>
      <c r="F80" s="346" t="inlineStr">
        <is>
          <t>ANCHOR 8" HELIX C102-5204</t>
        </is>
      </c>
      <c r="G80" s="362" t="n"/>
      <c r="H80" s="488">
        <f>G80*B80</f>
        <v/>
      </c>
    </row>
    <row r="81" hidden="1" outlineLevel="1">
      <c r="A81" s="342" t="inlineStr">
        <is>
          <t>O.FBR.AERL</t>
        </is>
      </c>
      <c r="B81" s="343" t="n"/>
      <c r="C81" s="344" t="n"/>
      <c r="D81" s="344" t="n"/>
      <c r="E81" s="345" t="inlineStr">
        <is>
          <t>HDWTRPLEYENUT</t>
        </is>
      </c>
      <c r="F81" s="346" t="inlineStr">
        <is>
          <t>TRIPLEYE EYENUT 12585</t>
        </is>
      </c>
      <c r="G81" s="362" t="n"/>
      <c r="H81" s="488">
        <f>G81*B81</f>
        <v/>
      </c>
    </row>
    <row r="82" hidden="1" outlineLevel="1" ht="13.5" customHeight="1" thickBot="1">
      <c r="A82" s="342" t="inlineStr">
        <is>
          <t>O.FBR.AERL</t>
        </is>
      </c>
      <c r="B82" s="343" t="n"/>
      <c r="C82" s="344" t="n"/>
      <c r="D82" s="344" t="n"/>
      <c r="E82" s="345" t="inlineStr">
        <is>
          <t>HDWANCHRD1X7</t>
        </is>
      </c>
      <c r="F82" s="346" t="inlineStr">
        <is>
          <t>ANCHOR ROD 1" X 7' 12334P</t>
        </is>
      </c>
      <c r="G82" s="362" t="n"/>
      <c r="H82" s="488">
        <f>G82*B82</f>
        <v/>
      </c>
    </row>
    <row r="83" hidden="1" outlineLevel="1" ht="13.5" customHeight="1" thickBot="1">
      <c r="A83" s="336" t="n"/>
      <c r="B83" s="356" t="n"/>
      <c r="C83" s="357" t="n"/>
      <c r="D83" s="357" t="n"/>
      <c r="E83" s="358" t="n"/>
      <c r="F83" s="359" t="inlineStr">
        <is>
          <t>AERIAL CLEAR VIEW DROP SINGLE ENDED</t>
        </is>
      </c>
      <c r="G83" s="360" t="n"/>
      <c r="H83" s="490">
        <f>B83*G83</f>
        <v/>
      </c>
    </row>
    <row r="84" hidden="1" outlineLevel="1">
      <c r="A84" s="342" t="inlineStr">
        <is>
          <t>O.FBR.AERL</t>
        </is>
      </c>
      <c r="B84" s="343" t="n"/>
      <c r="C84" s="344" t="n"/>
      <c r="D84" s="344" t="n"/>
      <c r="E84" s="345" t="inlineStr">
        <is>
          <t>FDPCORCLRCRVOPT75</t>
        </is>
      </c>
      <c r="F84" s="345" t="inlineStr">
        <is>
          <t>FLEX DROP 75'</t>
        </is>
      </c>
      <c r="G84" s="347" t="n"/>
      <c r="H84" s="488">
        <f>B84*G84</f>
        <v/>
      </c>
    </row>
    <row r="85" hidden="1" outlineLevel="1" ht="13.5" customHeight="1" thickBot="1">
      <c r="A85" s="342" t="inlineStr">
        <is>
          <t>O.FBR.AERL</t>
        </is>
      </c>
      <c r="B85" s="343" t="n"/>
      <c r="C85" s="344" t="n"/>
      <c r="D85" s="344" t="n"/>
      <c r="E85" s="345" t="inlineStr">
        <is>
          <t>FDPCORCLRCRVOPT600</t>
        </is>
      </c>
      <c r="F85" s="345" t="inlineStr">
        <is>
          <t>FLEX DROP 600'</t>
        </is>
      </c>
      <c r="G85" s="347" t="n"/>
      <c r="H85" s="488">
        <f>B85*G85</f>
        <v/>
      </c>
    </row>
    <row r="86" hidden="1" outlineLevel="1" ht="13.5" customHeight="1" thickBot="1">
      <c r="A86" s="336" t="n"/>
      <c r="B86" s="356" t="n"/>
      <c r="C86" s="357" t="n"/>
      <c r="D86" s="357" t="n"/>
      <c r="E86" s="363" t="n"/>
      <c r="F86" s="359" t="inlineStr">
        <is>
          <t>AERIAL MULTI PORT</t>
        </is>
      </c>
      <c r="G86" s="364" t="n"/>
      <c r="H86" s="490" t="n"/>
    </row>
    <row r="87" hidden="1" outlineLevel="1">
      <c r="A87" s="342" t="inlineStr">
        <is>
          <t>O.FBR.AERL</t>
        </is>
      </c>
      <c r="B87" s="343" t="n"/>
      <c r="C87" s="344" t="n"/>
      <c r="D87" s="344" t="n"/>
      <c r="E87" s="345" t="inlineStr">
        <is>
          <t>HDWWRSTRND14GRN</t>
        </is>
      </c>
      <c r="F87" s="345" t="inlineStr">
        <is>
          <t>WIRE #14 STRANDED TRACER GREEN</t>
        </is>
      </c>
      <c r="G87" s="347" t="n"/>
      <c r="H87" s="488">
        <f>B87*G87</f>
        <v/>
      </c>
    </row>
    <row r="88" hidden="1" outlineLevel="1">
      <c r="A88" s="342" t="inlineStr">
        <is>
          <t>O.FBR.AERL</t>
        </is>
      </c>
      <c r="B88" s="343" t="n"/>
      <c r="C88" s="344" t="n"/>
      <c r="D88" s="344" t="n"/>
      <c r="E88" s="345" t="inlineStr">
        <is>
          <t>FIJSCA</t>
        </is>
      </c>
      <c r="F88" s="345" t="inlineStr">
        <is>
          <t>FIBER PIGTAIL 12 FIBER SCAPC RBD9-SA3M</t>
        </is>
      </c>
      <c r="G88" s="347" t="n"/>
      <c r="H88" s="488">
        <f>B88*G88</f>
        <v/>
      </c>
    </row>
    <row r="89" hidden="1" outlineLevel="1">
      <c r="A89" s="342" t="inlineStr">
        <is>
          <t>O.FBR.AERL</t>
        </is>
      </c>
      <c r="B89" s="343" t="n"/>
      <c r="C89" s="344" t="n"/>
      <c r="D89" s="344" t="n"/>
      <c r="E89" s="345" t="inlineStr">
        <is>
          <t>HDWAHD28PT</t>
        </is>
      </c>
      <c r="F89" s="345" t="inlineStr">
        <is>
          <t>AERIAL MOUNTING BRACKET 2-8 PT MOB-KT-AHD 2-8 PORTS</t>
        </is>
      </c>
      <c r="G89" s="347" t="n"/>
      <c r="H89" s="488">
        <f>B89*G89</f>
        <v/>
      </c>
    </row>
    <row r="90" hidden="1" outlineLevel="1">
      <c r="A90" s="342" t="inlineStr">
        <is>
          <t>O.FBR.AERL</t>
        </is>
      </c>
      <c r="B90" s="343" t="n"/>
      <c r="C90" s="344" t="n"/>
      <c r="D90" s="344" t="n"/>
      <c r="E90" s="345" t="inlineStr">
        <is>
          <t>HDWAHD12PT</t>
        </is>
      </c>
      <c r="F90" s="345" t="inlineStr">
        <is>
          <t>AERIAL MOUNTING BRACKET 12 PT MOB-KT-AHD-12 PORTS</t>
        </is>
      </c>
      <c r="G90" s="347" t="n"/>
      <c r="H90" s="488">
        <f>B90*G90</f>
        <v/>
      </c>
    </row>
    <row r="91" hidden="1" outlineLevel="1">
      <c r="A91" s="342" t="inlineStr">
        <is>
          <t>O.FBR.AERL</t>
        </is>
      </c>
      <c r="B91" s="343" t="n"/>
      <c r="C91" s="344" t="n"/>
      <c r="D91" s="344" t="n"/>
      <c r="E91" s="353" t="inlineStr">
        <is>
          <t>SPLMLTERMBOX</t>
        </is>
      </c>
      <c r="F91" s="345" t="inlineStr">
        <is>
          <t>MULTILINK TERM BOX 12"X20"X8" RNB-12208-1SL-C-PG-Y-S</t>
        </is>
      </c>
      <c r="G91" s="655" t="n">
        <v>166.09</v>
      </c>
      <c r="H91" s="488">
        <f>B91*G91</f>
        <v/>
      </c>
    </row>
    <row r="92" hidden="1" outlineLevel="1">
      <c r="A92" s="342" t="inlineStr">
        <is>
          <t>O.FBR.AERL</t>
        </is>
      </c>
      <c r="B92" s="343" t="n"/>
      <c r="C92" s="344" t="n"/>
      <c r="D92" s="344" t="n"/>
      <c r="E92" s="481" t="inlineStr">
        <is>
          <t>STRSTRAND516EHS</t>
        </is>
      </c>
      <c r="F92" s="365" t="inlineStr">
        <is>
          <t>STRAND 5/16 EHSD</t>
        </is>
      </c>
      <c r="G92" s="656" t="n">
        <v>0.4</v>
      </c>
      <c r="H92" s="488">
        <f>B92*G92</f>
        <v/>
      </c>
    </row>
    <row r="93" hidden="1" outlineLevel="1">
      <c r="A93" s="342" t="inlineStr">
        <is>
          <t>O.FBR.AERL</t>
        </is>
      </c>
      <c r="B93" s="343" t="n"/>
      <c r="C93" s="344" t="n"/>
      <c r="D93" s="344" t="n"/>
      <c r="E93" s="481" t="inlineStr">
        <is>
          <t>STRSTRAND14EHS</t>
        </is>
      </c>
      <c r="F93" s="368" t="inlineStr">
        <is>
          <t>STRAND 1/4" EHS (6.6M)</t>
        </is>
      </c>
      <c r="G93" s="656" t="n">
        <v>0.26</v>
      </c>
      <c r="H93" s="488">
        <f>B93*G93</f>
        <v/>
      </c>
    </row>
    <row r="94" hidden="1" outlineLevel="1">
      <c r="A94" s="342" t="inlineStr">
        <is>
          <t>O.FBR.AERL</t>
        </is>
      </c>
      <c r="B94" s="343" t="n"/>
      <c r="C94" s="344" t="n"/>
      <c r="D94" s="344" t="n"/>
      <c r="E94" s="367" t="inlineStr">
        <is>
          <t>STRSTRAND16M</t>
        </is>
      </c>
      <c r="F94" s="368" t="inlineStr">
        <is>
          <t>STRAND 16M  7/16UTL</t>
        </is>
      </c>
      <c r="G94" s="366" t="n"/>
      <c r="H94" s="488">
        <f>B94*G94</f>
        <v/>
      </c>
    </row>
    <row r="95" hidden="1" outlineLevel="1">
      <c r="A95" s="342" t="inlineStr">
        <is>
          <t>O.FBR.AERL</t>
        </is>
      </c>
      <c r="B95" s="343" t="n"/>
      <c r="C95" s="344" t="n"/>
      <c r="D95" s="344" t="n"/>
      <c r="E95" s="345" t="inlineStr">
        <is>
          <t>HDWSIDEFITPX34A</t>
        </is>
      </c>
      <c r="F95" s="346" t="inlineStr">
        <is>
          <t>POLE PLATE SIDEWALK GUY PJ1501</t>
        </is>
      </c>
      <c r="G95" s="347" t="n"/>
      <c r="H95" s="488">
        <f>B95*G95</f>
        <v/>
      </c>
    </row>
    <row r="96" hidden="1" outlineLevel="1">
      <c r="A96" s="342" t="inlineStr">
        <is>
          <t>O.FBR.AERL</t>
        </is>
      </c>
      <c r="B96" s="343" t="n"/>
      <c r="C96" s="344" t="n"/>
      <c r="D96" s="344" t="n"/>
      <c r="E96" s="353" t="inlineStr">
        <is>
          <t>HDWGGRDYLW7</t>
        </is>
      </c>
      <c r="F96" s="346" t="inlineStr">
        <is>
          <t>GUY GUARD YELLOW PVC X 7'0 G5517</t>
        </is>
      </c>
      <c r="G96" s="655" t="n">
        <v>5.95</v>
      </c>
      <c r="H96" s="488">
        <f>B96*G96</f>
        <v/>
      </c>
    </row>
    <row r="97" hidden="1" outlineLevel="1">
      <c r="A97" s="369" t="inlineStr">
        <is>
          <t>O.FBR.AERL</t>
        </is>
      </c>
      <c r="B97" s="354" t="n"/>
      <c r="C97" s="355" t="n"/>
      <c r="D97" s="355" t="n"/>
      <c r="E97" s="423" t="inlineStr">
        <is>
          <t>HDWLUMOAERCBLTAG</t>
        </is>
      </c>
      <c r="F97" s="371" t="inlineStr">
        <is>
          <t>LUMOS AERIAL CABLE WRAP TAG</t>
        </is>
      </c>
      <c r="G97" s="657" t="n">
        <v>3.29</v>
      </c>
      <c r="H97" s="488">
        <f>B97*G97</f>
        <v/>
      </c>
    </row>
    <row r="98" hidden="1" outlineLevel="1">
      <c r="A98" s="369" t="inlineStr">
        <is>
          <t>O.FBR.AERL</t>
        </is>
      </c>
      <c r="B98" s="354" t="n"/>
      <c r="C98" s="355" t="n"/>
      <c r="D98" s="355" t="n"/>
      <c r="E98" s="479" t="inlineStr">
        <is>
          <t>SPLTIITERM24PTSCCON</t>
        </is>
      </c>
      <c r="F98" s="374" t="inlineStr">
        <is>
          <t>TII 24 PORT SC-UPC TERMINAL PANEL PN FET3G-24RSCN00</t>
        </is>
      </c>
      <c r="G98" s="658" t="n">
        <v>133.06</v>
      </c>
      <c r="H98" s="488">
        <f>B98*G98</f>
        <v/>
      </c>
    </row>
    <row r="99" hidden="1" outlineLevel="1">
      <c r="A99" s="369" t="inlineStr">
        <is>
          <t>O.FBR.AERL</t>
        </is>
      </c>
      <c r="B99" s="354" t="n"/>
      <c r="C99" s="355" t="n"/>
      <c r="D99" s="355" t="n"/>
      <c r="E99" s="373" t="inlineStr">
        <is>
          <t>SPLSCAPCSMFCON</t>
        </is>
      </c>
      <c r="F99" s="374" t="inlineStr">
        <is>
          <t>CONNECTOR SCAPC SPLICE ON F/ 250UM &amp; 900UM 4PK</t>
        </is>
      </c>
      <c r="G99" s="375" t="n"/>
      <c r="H99" s="488">
        <f>B99*G99</f>
        <v/>
      </c>
    </row>
    <row r="100" hidden="1" outlineLevel="1">
      <c r="A100" s="369" t="n"/>
      <c r="B100" s="354" t="n"/>
      <c r="C100" s="355" t="n"/>
      <c r="D100" s="355" t="n"/>
      <c r="E100" s="376" t="inlineStr">
        <is>
          <t>SPLTII48FGRFET4G</t>
        </is>
      </c>
      <c r="F100" s="374" t="inlineStr">
        <is>
          <t>TII 48 PORT OUTDOOR ENCLOSURE</t>
        </is>
      </c>
      <c r="G100" s="375" t="n"/>
      <c r="H100" s="488">
        <f>B100*G100</f>
        <v/>
      </c>
    </row>
    <row r="101" hidden="1" outlineLevel="1" ht="13.5" customHeight="1" thickBot="1">
      <c r="A101" s="369" t="n"/>
      <c r="B101" s="354" t="n"/>
      <c r="C101" s="355" t="n"/>
      <c r="D101" s="355" t="n"/>
      <c r="E101" s="377" t="n"/>
      <c r="F101" s="378" t="n"/>
      <c r="G101" s="379" t="n"/>
      <c r="H101" s="489">
        <f>B101*G287</f>
        <v/>
      </c>
    </row>
    <row r="102" hidden="1" outlineLevel="1" ht="13.5" customHeight="1" thickBot="1">
      <c r="A102" s="336" t="n"/>
      <c r="B102" s="356" t="inlineStr">
        <is>
          <t>-</t>
        </is>
      </c>
      <c r="C102" s="357" t="n"/>
      <c r="D102" s="357" t="n"/>
      <c r="E102" s="380" t="n"/>
      <c r="F102" s="381" t="inlineStr">
        <is>
          <t>TOTAL - O.FBR.AERL</t>
        </is>
      </c>
      <c r="G102" s="382" t="n"/>
      <c r="H102" s="490">
        <f>SUM(H32:H101)</f>
        <v/>
      </c>
    </row>
    <row r="103" hidden="1" outlineLevel="1" ht="13.5" customHeight="1" thickBot="1">
      <c r="A103" s="336" t="n"/>
      <c r="B103" s="356" t="inlineStr">
        <is>
          <t>-</t>
        </is>
      </c>
      <c r="C103" s="357" t="n"/>
      <c r="D103" s="357" t="n"/>
      <c r="E103" s="380" t="n"/>
      <c r="F103" s="383" t="inlineStr">
        <is>
          <t>PROVISIONING - O.FBR.AERL</t>
        </is>
      </c>
      <c r="G103" s="384" t="n"/>
      <c r="H103" s="491">
        <f>H102*(H1+H2)</f>
        <v/>
      </c>
    </row>
    <row r="104" hidden="1" outlineLevel="1" ht="13.5" customHeight="1" thickBot="1">
      <c r="A104" s="336" t="n"/>
      <c r="B104" s="356" t="inlineStr">
        <is>
          <t>-</t>
        </is>
      </c>
      <c r="C104" s="357" t="n"/>
      <c r="D104" s="357" t="n"/>
      <c r="E104" s="380" t="n"/>
      <c r="F104" s="386" t="inlineStr">
        <is>
          <t>TOTAL - O.FBR.AERL</t>
        </is>
      </c>
      <c r="G104" s="387" t="n"/>
      <c r="H104" s="492">
        <f>H103+H102</f>
        <v/>
      </c>
    </row>
    <row r="105" collapsed="1" ht="13.5" customHeight="1" thickBot="1">
      <c r="A105" s="389" t="inlineStr">
        <is>
          <t>&lt;----Click the + to Expand or Collapse the "AERIAL FIBER ASSET MATERIAL" Section</t>
        </is>
      </c>
      <c r="B105" s="390" t="n"/>
      <c r="C105" s="391" t="n"/>
      <c r="D105" s="391" t="n"/>
      <c r="E105" s="392" t="n"/>
      <c r="F105" s="393" t="n"/>
      <c r="G105" s="394" t="n"/>
      <c r="H105" s="395" t="n"/>
    </row>
    <row r="106" ht="13.5" customHeight="1" thickBot="1">
      <c r="A106" s="295" t="n"/>
      <c r="B106" s="482" t="n"/>
      <c r="C106" s="321" t="n"/>
      <c r="D106" s="321" t="n"/>
      <c r="E106" s="396" t="n"/>
      <c r="F106" s="397" t="inlineStr">
        <is>
          <t>UNDERGROUND ASSET MATERIAL</t>
        </is>
      </c>
      <c r="G106" s="398" t="n"/>
      <c r="H106" s="399" t="n"/>
    </row>
    <row r="107" hidden="1" outlineLevel="1">
      <c r="A107" s="307" t="inlineStr">
        <is>
          <t>O.FBR.UNDG</t>
        </is>
      </c>
      <c r="B107" s="548">
        <f>'CABLE SHEET'!N3</f>
        <v/>
      </c>
      <c r="C107" s="309" t="n"/>
      <c r="D107" s="309" t="n"/>
      <c r="E107" s="353" t="inlineStr">
        <is>
          <t>FIBGEN48ARMR</t>
        </is>
      </c>
      <c r="F107" s="409" t="inlineStr">
        <is>
          <t>048 Loose Tube PN D-048-LA-8W-F12NS; 048ZUC-T4122D20; AT3CEH2YT-048</t>
        </is>
      </c>
      <c r="G107" s="641" t="n">
        <v>0.31</v>
      </c>
      <c r="H107" s="485">
        <f>B107*G107</f>
        <v/>
      </c>
      <c r="J107" s="497" t="n"/>
      <c r="K107" s="554" t="n"/>
    </row>
    <row r="108" hidden="1" outlineLevel="1">
      <c r="A108" s="307" t="inlineStr">
        <is>
          <t>O.FBR.UNDG</t>
        </is>
      </c>
      <c r="B108" s="548" t="n"/>
      <c r="C108" s="309" t="n"/>
      <c r="D108" s="309" t="n"/>
      <c r="E108" s="402" t="inlineStr">
        <is>
          <t>FIBGEN72ARMR</t>
        </is>
      </c>
      <c r="F108" s="409" t="inlineStr">
        <is>
          <t>048 Loose Tube PN D-048-LA-8W-F12NS; 048ZUC-T4122D20; AT3CEH2YT-048</t>
        </is>
      </c>
      <c r="G108" s="592" t="n"/>
      <c r="H108" s="485">
        <f>B108*G108</f>
        <v/>
      </c>
      <c r="K108" s="554" t="n"/>
    </row>
    <row r="109" hidden="1" outlineLevel="1">
      <c r="A109" s="307" t="inlineStr">
        <is>
          <t>O.FBR.UNDG</t>
        </is>
      </c>
      <c r="B109" s="548">
        <f>'CABLE SHEET'!N4</f>
        <v/>
      </c>
      <c r="C109" s="309" t="n"/>
      <c r="D109" s="309" t="n"/>
      <c r="E109" s="353" t="inlineStr">
        <is>
          <t>FIBGEN96ARMR</t>
        </is>
      </c>
      <c r="F109" s="409" t="inlineStr">
        <is>
          <t>096 Loose Tube PN D-096-LA-8W-F12NS; 096ZUC-T4122D20; AT3CEH2YT-096</t>
        </is>
      </c>
      <c r="G109" s="641" t="n">
        <v>0.62</v>
      </c>
      <c r="H109" s="485">
        <f>B109*G109</f>
        <v/>
      </c>
      <c r="K109" s="554" t="n"/>
    </row>
    <row r="110" hidden="1" outlineLevel="1">
      <c r="A110" s="307" t="inlineStr">
        <is>
          <t>O.FBR.UNDG</t>
        </is>
      </c>
      <c r="B110" s="548">
        <f>'CABLE SHEET'!N5</f>
        <v/>
      </c>
      <c r="C110" s="309" t="n"/>
      <c r="D110" s="309" t="n"/>
      <c r="E110" s="353" t="inlineStr">
        <is>
          <t>FIBGEN144RIB</t>
        </is>
      </c>
      <c r="F110" s="637" t="inlineStr">
        <is>
          <t>144 Ribbon FIber PN 144EC5-14100D53</t>
        </is>
      </c>
      <c r="G110" s="641" t="n">
        <v>0.98</v>
      </c>
      <c r="H110" s="485">
        <f>B110*G110</f>
        <v/>
      </c>
      <c r="K110" s="554" t="n"/>
    </row>
    <row r="111" hidden="1" outlineLevel="1">
      <c r="A111" s="307" t="inlineStr">
        <is>
          <t>O.FBR.UNDG</t>
        </is>
      </c>
      <c r="B111" s="308" t="n"/>
      <c r="C111" s="309" t="n"/>
      <c r="D111" s="309" t="n"/>
      <c r="E111" s="402" t="inlineStr">
        <is>
          <t>FIBOFS192LTARMR</t>
        </is>
      </c>
      <c r="F111" s="409" t="inlineStr">
        <is>
          <t>FIBER OFS AT3CEH2YT-192-FORTEX NON-DIELECTRIC LIGHT ARMOR</t>
        </is>
      </c>
      <c r="G111" s="592" t="n"/>
      <c r="H111" s="485">
        <f>B111*G111</f>
        <v/>
      </c>
      <c r="K111" s="554" t="n"/>
    </row>
    <row r="112" hidden="1" outlineLevel="1">
      <c r="A112" s="307" t="inlineStr">
        <is>
          <t>O.FBR.UNDG</t>
        </is>
      </c>
      <c r="B112" s="548">
        <f>'CABLE SHEET'!N6</f>
        <v/>
      </c>
      <c r="C112" s="309" t="n"/>
      <c r="D112" s="309" t="n"/>
      <c r="E112" s="353" t="inlineStr">
        <is>
          <t>FIBGEN288RIB</t>
        </is>
      </c>
      <c r="F112" s="409" t="inlineStr">
        <is>
          <t>288 Ribbon FIber PN 288EV5-14100D53</t>
        </is>
      </c>
      <c r="G112" s="641" t="n">
        <v>1.55</v>
      </c>
      <c r="H112" s="485">
        <f>B112*G112</f>
        <v/>
      </c>
      <c r="K112" s="554" t="n"/>
    </row>
    <row r="113" hidden="1" outlineLevel="1" ht="13.5" customHeight="1" thickBot="1">
      <c r="A113" s="307" t="inlineStr">
        <is>
          <t>O.FBR.UNDG</t>
        </is>
      </c>
      <c r="B113" s="548">
        <f>'CABLE SHEET'!N7</f>
        <v/>
      </c>
      <c r="C113" s="309" t="n"/>
      <c r="D113" s="309" t="n"/>
      <c r="E113" s="353" t="inlineStr">
        <is>
          <t>FIBGEN432RIB</t>
        </is>
      </c>
      <c r="F113" s="409" t="inlineStr">
        <is>
          <t>432 Ribbon Fiber OFS AT-3CE84SX-432; COR 432EV5-14100D53; STL RA0432FSN06TFBUUS</t>
        </is>
      </c>
      <c r="G113" s="641" t="n">
        <v>3.6</v>
      </c>
      <c r="H113" s="485">
        <f>B113*G113</f>
        <v/>
      </c>
      <c r="J113" s="497" t="n"/>
      <c r="K113" s="554" t="n"/>
    </row>
    <row r="114" hidden="1" outlineLevel="1" ht="13.5" customHeight="1" thickBot="1">
      <c r="A114" s="295" t="n"/>
      <c r="B114" s="320" t="n"/>
      <c r="C114" s="404" t="n"/>
      <c r="D114" s="404" t="n"/>
      <c r="E114" s="405" t="n"/>
      <c r="F114" s="406" t="inlineStr">
        <is>
          <t>UNDERGROUND CABLE ASSET MATERIAL</t>
        </is>
      </c>
      <c r="G114" s="407" t="n"/>
      <c r="H114" s="408" t="n"/>
      <c r="K114" s="556" t="n"/>
    </row>
    <row r="115" hidden="1" outlineLevel="1">
      <c r="A115" s="307" t="inlineStr">
        <is>
          <t>O.FBR.UNDG</t>
        </is>
      </c>
      <c r="B115" s="308" t="n"/>
      <c r="C115" s="309" t="n"/>
      <c r="D115" s="309" t="n"/>
      <c r="E115" s="402" t="inlineStr">
        <is>
          <t>CBLFS2522</t>
        </is>
      </c>
      <c r="F115" s="409" t="inlineStr">
        <is>
          <t>CABLE F.S. 25-22</t>
        </is>
      </c>
      <c r="G115" s="403" t="n"/>
      <c r="H115" s="485">
        <f>B115*G115</f>
        <v/>
      </c>
      <c r="K115" s="556" t="n"/>
    </row>
    <row r="116" hidden="1" outlineLevel="1">
      <c r="A116" s="307" t="inlineStr">
        <is>
          <t>O.FBR.UNDG</t>
        </is>
      </c>
      <c r="B116" s="308" t="n"/>
      <c r="C116" s="309" t="n"/>
      <c r="D116" s="309" t="n"/>
      <c r="E116" s="402" t="inlineStr">
        <is>
          <t>CBLFSKIN10024</t>
        </is>
      </c>
      <c r="F116" s="409" t="inlineStr">
        <is>
          <t>CABLE FOAM SKIN 100-24</t>
        </is>
      </c>
      <c r="G116" s="403" t="n"/>
      <c r="H116" s="485">
        <f>B116*G116</f>
        <v/>
      </c>
      <c r="K116" s="556" t="n"/>
    </row>
    <row r="117" hidden="1" outlineLevel="1">
      <c r="A117" s="307" t="inlineStr">
        <is>
          <t>O.FBR.UNDG</t>
        </is>
      </c>
      <c r="B117" s="308" t="n"/>
      <c r="C117" s="309" t="n"/>
      <c r="D117" s="309" t="n"/>
      <c r="E117" s="402" t="inlineStr">
        <is>
          <t>CBLFSKIN120024</t>
        </is>
      </c>
      <c r="F117" s="409" t="inlineStr">
        <is>
          <t>CABLE FOAM SKIN 1200-24</t>
        </is>
      </c>
      <c r="G117" s="403" t="n"/>
      <c r="H117" s="485">
        <f>B117*G117</f>
        <v/>
      </c>
      <c r="K117" s="556" t="n"/>
    </row>
    <row r="118" hidden="1" outlineLevel="1">
      <c r="A118" s="307" t="inlineStr">
        <is>
          <t>O.FBR.UNDG</t>
        </is>
      </c>
      <c r="B118" s="308" t="n"/>
      <c r="C118" s="309" t="n"/>
      <c r="D118" s="309" t="n"/>
      <c r="E118" s="402" t="inlineStr">
        <is>
          <t>CBLFSKIN1224</t>
        </is>
      </c>
      <c r="F118" s="409" t="inlineStr">
        <is>
          <t>CABLE FOAM SKIN 12-24</t>
        </is>
      </c>
      <c r="G118" s="403" t="n"/>
      <c r="H118" s="485">
        <f>B118*G118</f>
        <v/>
      </c>
      <c r="K118" s="556" t="n"/>
    </row>
    <row r="119" hidden="1" outlineLevel="1">
      <c r="A119" s="307" t="inlineStr">
        <is>
          <t>O.FBR.UNDG</t>
        </is>
      </c>
      <c r="B119" s="308" t="n"/>
      <c r="C119" s="309" t="n"/>
      <c r="D119" s="309" t="n"/>
      <c r="E119" s="402" t="inlineStr">
        <is>
          <t>CBLFSKIN180024</t>
        </is>
      </c>
      <c r="F119" s="409" t="inlineStr">
        <is>
          <t>CABLE FOAM SKIN 1800-24</t>
        </is>
      </c>
      <c r="G119" s="403" t="n"/>
      <c r="H119" s="485">
        <f>B119*G119</f>
        <v/>
      </c>
      <c r="K119" s="556" t="n"/>
    </row>
    <row r="120" hidden="1" outlineLevel="1">
      <c r="A120" s="307" t="inlineStr">
        <is>
          <t>O.FBR.UNDG</t>
        </is>
      </c>
      <c r="B120" s="308" t="n"/>
      <c r="C120" s="309" t="n"/>
      <c r="D120" s="309" t="n"/>
      <c r="E120" s="402" t="inlineStr">
        <is>
          <t>CBLFSKIN20024</t>
        </is>
      </c>
      <c r="F120" s="409" t="inlineStr">
        <is>
          <t>CABLE FOAM SKIN 200-24</t>
        </is>
      </c>
      <c r="G120" s="403" t="n"/>
      <c r="H120" s="485">
        <f>B120*G120</f>
        <v/>
      </c>
      <c r="K120" s="556" t="n"/>
    </row>
    <row r="121" hidden="1" outlineLevel="1">
      <c r="A121" s="307" t="inlineStr">
        <is>
          <t>O.FBR.UNDG</t>
        </is>
      </c>
      <c r="B121" s="308" t="n"/>
      <c r="C121" s="309" t="n"/>
      <c r="D121" s="309" t="n"/>
      <c r="E121" s="402" t="inlineStr">
        <is>
          <t>CBLFSKIN2524</t>
        </is>
      </c>
      <c r="F121" s="409" t="inlineStr">
        <is>
          <t>CABLE FOAM SKIN 25-24</t>
        </is>
      </c>
      <c r="G121" s="403" t="n"/>
      <c r="H121" s="485">
        <f>B121*G121</f>
        <v/>
      </c>
      <c r="K121" s="556" t="n"/>
    </row>
    <row r="122" hidden="1" outlineLevel="1">
      <c r="A122" s="307" t="inlineStr">
        <is>
          <t>O.FBR.UNDG</t>
        </is>
      </c>
      <c r="B122" s="308" t="n"/>
      <c r="C122" s="309" t="n"/>
      <c r="D122" s="309" t="n"/>
      <c r="E122" s="402" t="inlineStr">
        <is>
          <t>CBLFSKIN30024</t>
        </is>
      </c>
      <c r="F122" s="409" t="inlineStr">
        <is>
          <t>CABLE FOAM SKIN 300-24</t>
        </is>
      </c>
      <c r="G122" s="403" t="n"/>
      <c r="H122" s="485">
        <f>B122*G122</f>
        <v/>
      </c>
      <c r="K122" s="556" t="n"/>
    </row>
    <row r="123" hidden="1" outlineLevel="1">
      <c r="A123" s="307" t="inlineStr">
        <is>
          <t>O.FBR.UNDG</t>
        </is>
      </c>
      <c r="B123" s="308" t="n"/>
      <c r="C123" s="309" t="n"/>
      <c r="D123" s="309" t="n"/>
      <c r="E123" s="402" t="inlineStr">
        <is>
          <t>CBLFSKIN40024</t>
        </is>
      </c>
      <c r="F123" s="409" t="inlineStr">
        <is>
          <t>CABLE FOAM SKIN 400-24</t>
        </is>
      </c>
      <c r="G123" s="403" t="n"/>
      <c r="H123" s="485">
        <f>B123*G123</f>
        <v/>
      </c>
      <c r="K123" s="556" t="n"/>
    </row>
    <row r="124" hidden="1" outlineLevel="1">
      <c r="A124" s="307" t="inlineStr">
        <is>
          <t>O.FBR.UNDG</t>
        </is>
      </c>
      <c r="B124" s="308" t="n"/>
      <c r="C124" s="309" t="n"/>
      <c r="D124" s="309" t="n"/>
      <c r="E124" s="402" t="inlineStr">
        <is>
          <t>CBLFSKIN5022</t>
        </is>
      </c>
      <c r="F124" s="409" t="inlineStr">
        <is>
          <t>CABLE FOAM SKIN 50-22</t>
        </is>
      </c>
      <c r="G124" s="403" t="n"/>
      <c r="H124" s="485">
        <f>B124*G124</f>
        <v/>
      </c>
      <c r="K124" s="556" t="n"/>
    </row>
    <row r="125" hidden="1" outlineLevel="1">
      <c r="A125" s="307" t="inlineStr">
        <is>
          <t>O.FBR.UNDG</t>
        </is>
      </c>
      <c r="B125" s="308" t="n"/>
      <c r="C125" s="309" t="n"/>
      <c r="D125" s="309" t="n"/>
      <c r="E125" s="402" t="inlineStr">
        <is>
          <t>CBLFSKIN5024</t>
        </is>
      </c>
      <c r="F125" s="409" t="inlineStr">
        <is>
          <t>CABLE FOAM SKIN 50-24</t>
        </is>
      </c>
      <c r="G125" s="403" t="n"/>
      <c r="H125" s="485">
        <f>B125*G125</f>
        <v/>
      </c>
      <c r="K125" s="556" t="n"/>
    </row>
    <row r="126" hidden="1" outlineLevel="1">
      <c r="A126" s="307" t="inlineStr">
        <is>
          <t>O.FBR.UNDG</t>
        </is>
      </c>
      <c r="B126" s="308" t="n"/>
      <c r="C126" s="309" t="n"/>
      <c r="D126" s="309" t="n"/>
      <c r="E126" s="402" t="inlineStr">
        <is>
          <t>CBLFSKIN60024</t>
        </is>
      </c>
      <c r="F126" s="409" t="inlineStr">
        <is>
          <t>CABLE FOAM SKIN 600-24</t>
        </is>
      </c>
      <c r="G126" s="403" t="n"/>
      <c r="H126" s="485">
        <f>B126*G126</f>
        <v/>
      </c>
      <c r="K126" s="556" t="n"/>
    </row>
    <row r="127" hidden="1" outlineLevel="1">
      <c r="A127" s="307" t="inlineStr">
        <is>
          <t>O.FBR.UNDG</t>
        </is>
      </c>
      <c r="B127" s="308" t="n"/>
      <c r="C127" s="309" t="n"/>
      <c r="D127" s="309" t="n"/>
      <c r="E127" s="402" t="inlineStr">
        <is>
          <t>CBLFSKIN622</t>
        </is>
      </c>
      <c r="F127" s="409" t="inlineStr">
        <is>
          <t>CABLE FOAM SKIN 6-22</t>
        </is>
      </c>
      <c r="G127" s="403" t="n"/>
      <c r="H127" s="485">
        <f>B127*G127</f>
        <v/>
      </c>
      <c r="K127" s="556" t="n"/>
    </row>
    <row r="128" hidden="1" outlineLevel="1">
      <c r="A128" s="307" t="inlineStr">
        <is>
          <t>O.FBR.UNDG</t>
        </is>
      </c>
      <c r="B128" s="308" t="n"/>
      <c r="C128" s="309" t="n"/>
      <c r="D128" s="309" t="n"/>
      <c r="E128" s="402" t="inlineStr">
        <is>
          <t>CBLFSKIN624</t>
        </is>
      </c>
      <c r="F128" s="409" t="inlineStr">
        <is>
          <t>CABLE FOAM SKIN 6-24</t>
        </is>
      </c>
      <c r="G128" s="403" t="n"/>
      <c r="H128" s="485">
        <f>B128*G128</f>
        <v/>
      </c>
      <c r="K128" s="556" t="n"/>
    </row>
    <row r="129" hidden="1" outlineLevel="1">
      <c r="A129" s="307" t="inlineStr">
        <is>
          <t>O.FBR.UNDG</t>
        </is>
      </c>
      <c r="B129" s="308" t="n"/>
      <c r="C129" s="309" t="n"/>
      <c r="D129" s="309" t="n"/>
      <c r="E129" s="402" t="inlineStr">
        <is>
          <t>CBLFSKIN90024</t>
        </is>
      </c>
      <c r="F129" s="409" t="inlineStr">
        <is>
          <t>CABLE FOAM SKIN 900-24</t>
        </is>
      </c>
      <c r="G129" s="403" t="n"/>
      <c r="H129" s="485">
        <f>B129*G129</f>
        <v/>
      </c>
      <c r="K129" s="556" t="n"/>
    </row>
    <row r="130" hidden="1" outlineLevel="1">
      <c r="A130" s="307" t="inlineStr">
        <is>
          <t>O.FBR.UNDG</t>
        </is>
      </c>
      <c r="B130" s="308" t="n"/>
      <c r="C130" s="309" t="n"/>
      <c r="D130" s="309" t="n"/>
      <c r="E130" s="402" t="inlineStr">
        <is>
          <t>CBLRDW622</t>
        </is>
      </c>
      <c r="F130" s="409" t="inlineStr">
        <is>
          <t>RDW 6-22   #10-006-17 IMRDW 109 MESSENGER FIG 8</t>
        </is>
      </c>
      <c r="G130" s="403" t="n"/>
      <c r="H130" s="485">
        <f>B130*G130</f>
        <v/>
      </c>
      <c r="K130" s="556" t="n"/>
    </row>
    <row r="131" hidden="1" outlineLevel="1">
      <c r="A131" s="307" t="inlineStr">
        <is>
          <t>O.FBR.UNDG</t>
        </is>
      </c>
      <c r="B131" s="308" t="n"/>
      <c r="C131" s="309" t="n"/>
      <c r="D131" s="309" t="n"/>
      <c r="E131" s="402" t="inlineStr">
        <is>
          <t>CCTSPLCASE4X25</t>
        </is>
      </c>
      <c r="F131" s="409" t="inlineStr">
        <is>
          <t>CASE SPL 4X25 8000624 W/BOND</t>
        </is>
      </c>
      <c r="G131" s="403" t="n"/>
      <c r="H131" s="485">
        <f>B131*G131</f>
        <v/>
      </c>
      <c r="K131" s="556" t="n"/>
    </row>
    <row r="132" hidden="1" outlineLevel="1">
      <c r="A132" s="307" t="inlineStr">
        <is>
          <t>O.FBR.UNDG</t>
        </is>
      </c>
      <c r="B132" s="308" t="n"/>
      <c r="C132" s="309" t="n"/>
      <c r="D132" s="309" t="n"/>
      <c r="E132" s="402" t="inlineStr">
        <is>
          <t>CCTSPLCASE65X28</t>
        </is>
      </c>
      <c r="F132" s="409" t="inlineStr">
        <is>
          <t>CASE SPL 6.5X28 8000626 W/BOND</t>
        </is>
      </c>
      <c r="G132" s="403" t="n"/>
      <c r="H132" s="485">
        <f>B132*G132</f>
        <v/>
      </c>
      <c r="K132" s="556" t="n"/>
    </row>
    <row r="133" hidden="1" outlineLevel="1">
      <c r="A133" s="307" t="inlineStr">
        <is>
          <t>O.FBR.UNDG</t>
        </is>
      </c>
      <c r="B133" s="308" t="n"/>
      <c r="C133" s="309" t="n"/>
      <c r="D133" s="309" t="n"/>
      <c r="E133" s="402" t="inlineStr">
        <is>
          <t>CCTSPLCASE65X38</t>
        </is>
      </c>
      <c r="F133" s="409" t="inlineStr">
        <is>
          <t>CASE SPL 6.5X38 8000634 W/BOND</t>
        </is>
      </c>
      <c r="G133" s="403" t="n"/>
      <c r="H133" s="485">
        <f>B133*G133</f>
        <v/>
      </c>
      <c r="K133" s="556" t="n"/>
    </row>
    <row r="134" hidden="1" outlineLevel="1">
      <c r="A134" s="307" t="inlineStr">
        <is>
          <t>O.FBR.UNDG</t>
        </is>
      </c>
      <c r="B134" s="308" t="n"/>
      <c r="C134" s="309" t="n"/>
      <c r="D134" s="309" t="n"/>
      <c r="E134" s="402" t="inlineStr">
        <is>
          <t>CCTSPLCASE95X28</t>
        </is>
      </c>
      <c r="F134" s="409" t="inlineStr">
        <is>
          <t>CASE SPL 9.5X28 8000630 W/BOND</t>
        </is>
      </c>
      <c r="G134" s="403" t="n"/>
      <c r="H134" s="485">
        <f>B134*G134</f>
        <v/>
      </c>
      <c r="K134" s="556" t="n"/>
    </row>
    <row r="135" hidden="1" outlineLevel="1">
      <c r="A135" s="307" t="inlineStr">
        <is>
          <t>O.FBR.UNDG</t>
        </is>
      </c>
      <c r="B135" s="308" t="n"/>
      <c r="C135" s="309" t="n"/>
      <c r="D135" s="309" t="n"/>
      <c r="E135" s="402" t="inlineStr">
        <is>
          <t>CCTSPLCASE95X38</t>
        </is>
      </c>
      <c r="F135" s="409" t="inlineStr">
        <is>
          <t>CASE SPL 9.5X38 8000635 W/BOND</t>
        </is>
      </c>
      <c r="G135" s="403" t="n"/>
      <c r="H135" s="485">
        <f>B135*G135</f>
        <v/>
      </c>
      <c r="K135" s="556" t="n"/>
    </row>
    <row r="136" hidden="1" outlineLevel="1">
      <c r="A136" s="307" t="inlineStr">
        <is>
          <t>O.FBR.UNDG</t>
        </is>
      </c>
      <c r="B136" s="308" t="n"/>
      <c r="C136" s="309" t="n"/>
      <c r="D136" s="309" t="n"/>
      <c r="E136" s="402" t="inlineStr">
        <is>
          <t>CCTSPLCASE95X45</t>
        </is>
      </c>
      <c r="F136" s="409" t="inlineStr">
        <is>
          <t>CASE SPL 9.5X45 8006176 W/BOND</t>
        </is>
      </c>
      <c r="G136" s="403" t="n"/>
      <c r="H136" s="485">
        <f>B136*G136</f>
        <v/>
      </c>
      <c r="K136" s="556" t="n"/>
    </row>
    <row r="137" hidden="1" outlineLevel="1">
      <c r="A137" s="307" t="inlineStr">
        <is>
          <t>O.FBR.UNDG</t>
        </is>
      </c>
      <c r="B137" s="308" t="n"/>
      <c r="C137" s="309" t="n"/>
      <c r="D137" s="309" t="n"/>
      <c r="E137" s="402" t="inlineStr">
        <is>
          <t>CCTREDDI95X284</t>
        </is>
      </c>
      <c r="F137" s="409" t="inlineStr">
        <is>
          <t>CLOS REDDI 9.5X28.4 8006175&amp;74</t>
        </is>
      </c>
      <c r="G137" s="403" t="n"/>
      <c r="H137" s="485">
        <f>B137*G137</f>
        <v/>
      </c>
      <c r="K137" s="556" t="n"/>
    </row>
    <row r="138" hidden="1" outlineLevel="1">
      <c r="A138" s="307" t="inlineStr">
        <is>
          <t>O.FBR.UNDG</t>
        </is>
      </c>
      <c r="B138" s="308" t="n"/>
      <c r="C138" s="309" t="n"/>
      <c r="D138" s="309" t="n"/>
      <c r="E138" s="402" t="inlineStr">
        <is>
          <t>CCTREDDI95X385</t>
        </is>
      </c>
      <c r="F138" s="409" t="inlineStr">
        <is>
          <t>CLOS REDDI 9.5X38.5 8006181</t>
        </is>
      </c>
      <c r="G138" s="403" t="n"/>
      <c r="H138" s="485">
        <f>B138*G138</f>
        <v/>
      </c>
      <c r="K138" s="556" t="n"/>
    </row>
    <row r="139" hidden="1" outlineLevel="1">
      <c r="A139" s="307" t="inlineStr">
        <is>
          <t>O.FBR.UNDG</t>
        </is>
      </c>
      <c r="B139" s="308" t="n"/>
      <c r="C139" s="309" t="n"/>
      <c r="D139" s="309" t="n"/>
      <c r="E139" s="402" t="inlineStr">
        <is>
          <t>CCTCLSR2BB</t>
        </is>
      </c>
      <c r="F139" s="409" t="inlineStr">
        <is>
          <t>CLOSURE 2BB SC/DC</t>
        </is>
      </c>
      <c r="G139" s="403" t="n"/>
      <c r="H139" s="485">
        <f>B139*G139</f>
        <v/>
      </c>
      <c r="K139" s="556" t="n"/>
    </row>
    <row r="140" hidden="1" outlineLevel="1">
      <c r="A140" s="307" t="inlineStr">
        <is>
          <t>O.FBR.UNDG</t>
        </is>
      </c>
      <c r="B140" s="308" t="n"/>
      <c r="C140" s="309" t="n"/>
      <c r="D140" s="309" t="n"/>
      <c r="E140" s="402" t="inlineStr">
        <is>
          <t>CCTCLSR3BB</t>
        </is>
      </c>
      <c r="F140" s="409" t="inlineStr">
        <is>
          <t>CLOSURE 3BB SC/DC</t>
        </is>
      </c>
      <c r="G140" s="403" t="n"/>
      <c r="H140" s="485">
        <f>B140*G140</f>
        <v/>
      </c>
      <c r="K140" s="556" t="n"/>
    </row>
    <row r="141" hidden="1" outlineLevel="1">
      <c r="A141" s="307" t="inlineStr">
        <is>
          <t>O.FBR.UNDG</t>
        </is>
      </c>
      <c r="B141" s="308" t="n"/>
      <c r="C141" s="309" t="n"/>
      <c r="D141" s="309" t="n"/>
      <c r="E141" s="402" t="inlineStr">
        <is>
          <t>CCTCLSR5BB</t>
        </is>
      </c>
      <c r="F141" s="409" t="inlineStr">
        <is>
          <t>CLOSURE 5BB BB5X26-SB/2SC-LHS</t>
        </is>
      </c>
      <c r="G141" s="403" t="n"/>
      <c r="H141" s="485">
        <f>B141*G141</f>
        <v/>
      </c>
      <c r="K141" s="556" t="n"/>
    </row>
    <row r="142" hidden="1" outlineLevel="1">
      <c r="A142" s="307" t="inlineStr">
        <is>
          <t>O.FBR.UNDG</t>
        </is>
      </c>
      <c r="B142" s="308" t="n"/>
      <c r="C142" s="309" t="n"/>
      <c r="D142" s="309" t="n"/>
      <c r="E142" s="402" t="inlineStr">
        <is>
          <t>CCT2X29AERCLSR</t>
        </is>
      </c>
      <c r="F142" s="409" t="inlineStr">
        <is>
          <t>CLOSURE AERIAL SLIC  2" X 29" 3M SLIC 2X29</t>
        </is>
      </c>
      <c r="G142" s="403" t="n"/>
      <c r="H142" s="485">
        <f>B142*G142</f>
        <v/>
      </c>
      <c r="K142" s="556" t="n"/>
    </row>
    <row r="143" hidden="1" outlineLevel="1">
      <c r="A143" s="307" t="inlineStr">
        <is>
          <t>O.FBR.UNDG</t>
        </is>
      </c>
      <c r="B143" s="308" t="n"/>
      <c r="C143" s="309" t="n"/>
      <c r="D143" s="309" t="n"/>
      <c r="E143" s="402" t="inlineStr">
        <is>
          <t>CCT3X33AERCLSR</t>
        </is>
      </c>
      <c r="F143" s="409" t="inlineStr">
        <is>
          <t>CLOSURE AERIAL SLIC 3" X 33" CSL333</t>
        </is>
      </c>
      <c r="G143" s="403" t="n"/>
      <c r="H143" s="485">
        <f>B143*G143</f>
        <v/>
      </c>
      <c r="K143" s="556" t="n"/>
    </row>
    <row r="144" hidden="1" outlineLevel="1">
      <c r="A144" s="307" t="inlineStr">
        <is>
          <t>O.FBR.UNDG</t>
        </is>
      </c>
      <c r="B144" s="308" t="n"/>
      <c r="C144" s="309" t="n"/>
      <c r="D144" s="309" t="n"/>
      <c r="E144" s="402" t="inlineStr">
        <is>
          <t>CCT5X33AERCLSR</t>
        </is>
      </c>
      <c r="F144" s="409" t="inlineStr">
        <is>
          <t>CLOSURE AERIAL SLIC 5" X 33" CSL533</t>
        </is>
      </c>
      <c r="G144" s="403" t="n"/>
      <c r="H144" s="485">
        <f>B144*G144</f>
        <v/>
      </c>
      <c r="K144" s="556" t="n"/>
    </row>
    <row r="145" hidden="1" outlineLevel="1">
      <c r="A145" s="307" t="inlineStr">
        <is>
          <t>O.FBR.UNDG</t>
        </is>
      </c>
      <c r="B145" s="308" t="n"/>
      <c r="C145" s="309" t="n"/>
      <c r="D145" s="309" t="n"/>
      <c r="E145" s="402" t="inlineStr">
        <is>
          <t>CCT7X33AERCLSR</t>
        </is>
      </c>
      <c r="F145" s="409" t="inlineStr">
        <is>
          <t>CLOSURE AERIAL SLIC 7" X 33" CSL733</t>
        </is>
      </c>
      <c r="G145" s="403" t="n"/>
      <c r="H145" s="485">
        <f>B145*G145</f>
        <v/>
      </c>
      <c r="K145" s="556" t="n"/>
    </row>
    <row r="146" hidden="1" outlineLevel="1">
      <c r="A146" s="307" t="inlineStr">
        <is>
          <t>O.FBR.UNDG</t>
        </is>
      </c>
      <c r="B146" s="308" t="n"/>
      <c r="C146" s="309" t="n"/>
      <c r="D146" s="309" t="n"/>
      <c r="E146" s="402" t="inlineStr">
        <is>
          <t>CCT9X36AERCLSR</t>
        </is>
      </c>
      <c r="F146" s="409" t="inlineStr">
        <is>
          <t>CLOSURE AERIAL SLIC 9" X 36" CSL936</t>
        </is>
      </c>
      <c r="G146" s="403" t="n"/>
      <c r="H146" s="485">
        <f>B146*G146</f>
        <v/>
      </c>
      <c r="K146" s="556" t="n"/>
    </row>
    <row r="147" hidden="1" outlineLevel="1">
      <c r="A147" s="307" t="inlineStr">
        <is>
          <t>O.FBR.UNDG</t>
        </is>
      </c>
      <c r="B147" s="308" t="n"/>
      <c r="C147" s="309" t="n"/>
      <c r="D147" s="309" t="n"/>
      <c r="E147" s="402" t="inlineStr">
        <is>
          <t>CCTTERM2X19SLIC</t>
        </is>
      </c>
      <c r="F147" s="409" t="inlineStr">
        <is>
          <t>SLIC 2.2X19 CLOSURE SLIC22X19SES</t>
        </is>
      </c>
      <c r="G147" s="403" t="n"/>
      <c r="H147" s="485">
        <f>B147*G147</f>
        <v/>
      </c>
      <c r="K147" s="556" t="n"/>
    </row>
    <row r="148" hidden="1" outlineLevel="1">
      <c r="A148" s="307" t="inlineStr">
        <is>
          <t>O.FBR.UNDG</t>
        </is>
      </c>
      <c r="B148" s="308" t="n"/>
      <c r="C148" s="309" t="n"/>
      <c r="D148" s="309" t="n"/>
      <c r="E148" s="402" t="inlineStr">
        <is>
          <t>CCT3X28TERM</t>
        </is>
      </c>
      <c r="F148" s="409" t="inlineStr">
        <is>
          <t>SLIC TERMINAL W/10PR BLK 3X28 W/SPIRAL END - 328-PI-10/SES</t>
        </is>
      </c>
      <c r="G148" s="403" t="n"/>
      <c r="H148" s="485">
        <f>B148*G148</f>
        <v/>
      </c>
      <c r="K148" s="556" t="n"/>
    </row>
    <row r="149" hidden="1" outlineLevel="1">
      <c r="A149" s="307" t="inlineStr">
        <is>
          <t>O.FBR.UNDG</t>
        </is>
      </c>
      <c r="B149" s="308" t="n"/>
      <c r="C149" s="309" t="n"/>
      <c r="D149" s="309" t="n"/>
      <c r="E149" s="402" t="inlineStr">
        <is>
          <t>CCT5X30TERM</t>
        </is>
      </c>
      <c r="F149" s="409" t="inlineStr">
        <is>
          <t>SLIC TERMINAL W/10PR BLK 5X30 W/SPIRAL END - 530-PI-10/SES</t>
        </is>
      </c>
      <c r="G149" s="403" t="n"/>
      <c r="H149" s="485">
        <f>B149*G149</f>
        <v/>
      </c>
      <c r="K149" s="556" t="n"/>
    </row>
    <row r="150" hidden="1" outlineLevel="1">
      <c r="A150" s="307" t="inlineStr">
        <is>
          <t>O.FBR.UNDG</t>
        </is>
      </c>
      <c r="B150" s="308" t="n"/>
      <c r="C150" s="309" t="n"/>
      <c r="D150" s="309" t="n"/>
      <c r="E150" s="402" t="inlineStr">
        <is>
          <t>PEDCAD6</t>
        </is>
      </c>
      <c r="F150" s="409" t="inlineStr">
        <is>
          <t>PEDESTAL CAD-6</t>
        </is>
      </c>
      <c r="G150" s="403" t="n"/>
      <c r="H150" s="485">
        <f>B150*G150</f>
        <v/>
      </c>
      <c r="K150" s="556" t="n"/>
    </row>
    <row r="151" hidden="1" outlineLevel="1">
      <c r="A151" s="307" t="inlineStr">
        <is>
          <t>O.FBR.UNDG</t>
        </is>
      </c>
      <c r="B151" s="308" t="n"/>
      <c r="C151" s="309" t="n"/>
      <c r="D151" s="309" t="n"/>
      <c r="E151" s="402" t="inlineStr">
        <is>
          <t>PEDCAD8</t>
        </is>
      </c>
      <c r="F151" s="409" t="inlineStr">
        <is>
          <t>PEDESTAL CAD-8</t>
        </is>
      </c>
      <c r="G151" s="403" t="n"/>
      <c r="H151" s="485">
        <f>B151*G151</f>
        <v/>
      </c>
      <c r="K151" s="556" t="n"/>
    </row>
    <row r="152" hidden="1" outlineLevel="1">
      <c r="A152" s="307" t="inlineStr">
        <is>
          <t>O.FBR.UNDG</t>
        </is>
      </c>
      <c r="B152" s="308" t="n"/>
      <c r="C152" s="309" t="n"/>
      <c r="D152" s="309" t="n"/>
      <c r="E152" s="402" t="inlineStr">
        <is>
          <t>PEDOFPOBD7</t>
        </is>
      </c>
      <c r="F152" s="409" t="inlineStr">
        <is>
          <t>PEDESTAL OPFO-BD7</t>
        </is>
      </c>
      <c r="G152" s="403" t="n"/>
      <c r="H152" s="485">
        <f>B152*G152</f>
        <v/>
      </c>
      <c r="K152" s="556" t="n"/>
    </row>
    <row r="153" hidden="1" outlineLevel="1">
      <c r="A153" s="307" t="inlineStr">
        <is>
          <t>O.FBR.UNDG</t>
        </is>
      </c>
      <c r="B153" s="308" t="n"/>
      <c r="C153" s="309" t="n"/>
      <c r="D153" s="309" t="n"/>
      <c r="E153" s="402" t="inlineStr">
        <is>
          <t>PEDUP1248</t>
        </is>
      </c>
      <c r="F153" s="409" t="inlineStr">
        <is>
          <t>PEDESTAL UP1248</t>
        </is>
      </c>
      <c r="G153" s="403" t="n"/>
      <c r="H153" s="485">
        <f>B153*G153</f>
        <v/>
      </c>
      <c r="K153" s="556" t="n"/>
    </row>
    <row r="154" hidden="1" outlineLevel="1">
      <c r="A154" s="307" t="inlineStr">
        <is>
          <t>O.FBR.UNDG</t>
        </is>
      </c>
      <c r="B154" s="308" t="n"/>
      <c r="C154" s="309" t="n"/>
      <c r="D154" s="309" t="n"/>
      <c r="E154" s="402" t="inlineStr">
        <is>
          <t>HDWPOSTPDSTL42</t>
        </is>
      </c>
      <c r="F154" s="409" t="inlineStr">
        <is>
          <t>POST PEDESTAL 42" S1342</t>
        </is>
      </c>
      <c r="G154" s="403" t="n"/>
      <c r="H154" s="485">
        <f>B154*G154</f>
        <v/>
      </c>
      <c r="K154" s="556" t="n"/>
    </row>
    <row r="155" hidden="1" outlineLevel="1" ht="13.5" customHeight="1" thickBot="1">
      <c r="A155" s="307" t="inlineStr">
        <is>
          <t>O.FBR.UNDG</t>
        </is>
      </c>
      <c r="B155" s="308" t="n"/>
      <c r="C155" s="309" t="n"/>
      <c r="D155" s="309" t="n"/>
      <c r="E155" s="353" t="inlineStr">
        <is>
          <t>PEDFTTHPRFRM10</t>
        </is>
      </c>
      <c r="F155" s="409" t="inlineStr">
        <is>
          <t>PEDESTAL- FTTH- PRO10FSNGURB 10" PROFORM - EMERSON *INSIDE THE LEC ONLY*</t>
        </is>
      </c>
      <c r="G155" s="657" t="n">
        <v>184.26</v>
      </c>
      <c r="H155" s="485">
        <f>B155*G155</f>
        <v/>
      </c>
      <c r="K155" s="556" t="n"/>
    </row>
    <row r="156" hidden="1" outlineLevel="1" ht="13.5" customHeight="1" thickBot="1">
      <c r="A156" s="295" t="n"/>
      <c r="B156" s="320" t="n"/>
      <c r="C156" s="404" t="n"/>
      <c r="D156" s="404" t="n"/>
      <c r="E156" s="405" t="n"/>
      <c r="F156" s="406" t="inlineStr">
        <is>
          <t>UNDERGROUND CLEAR VIEW DROP SINGLE ENDED</t>
        </is>
      </c>
      <c r="G156" s="407" t="n"/>
      <c r="H156" s="486" t="n"/>
    </row>
    <row r="157" hidden="1" outlineLevel="1">
      <c r="A157" s="307" t="inlineStr">
        <is>
          <t>O.FBR.UNDG</t>
        </is>
      </c>
      <c r="B157" s="308" t="n"/>
      <c r="C157" s="309" t="n"/>
      <c r="D157" s="309" t="n"/>
      <c r="E157" s="402" t="inlineStr">
        <is>
          <t>FDPCORCLRCRVOPT75</t>
        </is>
      </c>
      <c r="F157" s="402" t="inlineStr">
        <is>
          <t>Flex drop 75'</t>
        </is>
      </c>
      <c r="G157" s="403" t="n"/>
      <c r="H157" s="485">
        <f>B157*G157</f>
        <v/>
      </c>
    </row>
    <row r="158" hidden="1" outlineLevel="1" ht="13.5" customHeight="1" thickBot="1">
      <c r="A158" s="307" t="inlineStr">
        <is>
          <t>O.FBR.UNDG</t>
        </is>
      </c>
      <c r="B158" s="308" t="n"/>
      <c r="C158" s="309" t="n"/>
      <c r="D158" s="309" t="n"/>
      <c r="E158" s="402" t="inlineStr">
        <is>
          <t>FDPCORCLRCRVOPT600</t>
        </is>
      </c>
      <c r="F158" s="402" t="inlineStr">
        <is>
          <t>FLEX DROP 600'</t>
        </is>
      </c>
      <c r="G158" s="403" t="n"/>
      <c r="H158" s="485">
        <f>B158*G158</f>
        <v/>
      </c>
      <c r="K158" s="557" t="n"/>
    </row>
    <row r="159" hidden="1" outlineLevel="1" ht="13.5" customHeight="1" thickBot="1">
      <c r="A159" s="295" t="n"/>
      <c r="B159" s="320" t="n"/>
      <c r="C159" s="404" t="n"/>
      <c r="D159" s="404" t="n"/>
      <c r="E159" s="635" t="n"/>
      <c r="F159" s="406" t="inlineStr">
        <is>
          <t>UNDERGROUND MULTI PORT</t>
        </is>
      </c>
      <c r="G159" s="412" t="n"/>
      <c r="H159" s="486" t="n"/>
    </row>
    <row r="160" hidden="1" outlineLevel="1">
      <c r="A160" s="313" t="inlineStr">
        <is>
          <t>O.FBR.UNDG</t>
        </is>
      </c>
      <c r="B160" s="308" t="n"/>
      <c r="C160" s="309" t="n"/>
      <c r="D160" s="309" t="n"/>
      <c r="E160" s="402" t="inlineStr">
        <is>
          <t>FIJSCA</t>
        </is>
      </c>
      <c r="F160" s="402" t="inlineStr">
        <is>
          <t>FIBER PIGTAIL 12 FIBER SCAPC RBD9-SA3M</t>
        </is>
      </c>
      <c r="G160" s="403" t="n"/>
      <c r="H160" s="485">
        <f>B160*G160</f>
        <v/>
      </c>
    </row>
    <row r="161" hidden="1" outlineLevel="1">
      <c r="A161" s="313" t="inlineStr">
        <is>
          <t>O.FBR.UNDG</t>
        </is>
      </c>
      <c r="B161" s="308" t="n"/>
      <c r="C161" s="309" t="n"/>
      <c r="D161" s="309" t="n"/>
      <c r="E161" s="402" t="inlineStr">
        <is>
          <t>HDWAHD28PT</t>
        </is>
      </c>
      <c r="F161" s="402" t="inlineStr">
        <is>
          <t>AERIAL MOUNTING BRACKET 2-8 PT MOB-KT-AHD 2-8 PORTS</t>
        </is>
      </c>
      <c r="G161" s="403" t="n"/>
      <c r="H161" s="485">
        <f>B161*G161</f>
        <v/>
      </c>
    </row>
    <row r="162" hidden="1" outlineLevel="1">
      <c r="A162" s="313" t="inlineStr">
        <is>
          <t>O.FBR.UNDG</t>
        </is>
      </c>
      <c r="B162" s="308" t="n"/>
      <c r="C162" s="309" t="n"/>
      <c r="D162" s="309" t="n"/>
      <c r="E162" s="402" t="inlineStr">
        <is>
          <t>HDWAHD12PT</t>
        </is>
      </c>
      <c r="F162" s="402" t="inlineStr">
        <is>
          <t>AERIAL MOUNTING BRACKET 12 PT MOB-KT-AHD-12 PORTS</t>
        </is>
      </c>
      <c r="G162" s="403" t="n"/>
      <c r="H162" s="485">
        <f>B162*G162</f>
        <v/>
      </c>
    </row>
    <row r="163" hidden="1" outlineLevel="1">
      <c r="A163" s="313" t="inlineStr">
        <is>
          <t>O.FBR.UNDG</t>
        </is>
      </c>
      <c r="B163" s="308" t="n"/>
      <c r="C163" s="309" t="n"/>
      <c r="D163" s="309" t="n"/>
      <c r="E163" s="353" t="inlineStr">
        <is>
          <t>SPLMLTERMBOX</t>
        </is>
      </c>
      <c r="F163" s="402" t="inlineStr">
        <is>
          <t>MULTILINK TERM BOX 12"X20"X8" RNB-12208-1SL-C-PG-Y-S</t>
        </is>
      </c>
      <c r="G163" s="655" t="n">
        <v>166.09</v>
      </c>
      <c r="H163" s="485">
        <f>B163*G163</f>
        <v/>
      </c>
    </row>
    <row r="164" hidden="1" outlineLevel="1">
      <c r="A164" s="313" t="inlineStr">
        <is>
          <t>O.FBR.UNDG</t>
        </is>
      </c>
      <c r="B164" s="308" t="n"/>
      <c r="C164" s="309" t="n"/>
      <c r="D164" s="309" t="n"/>
      <c r="E164" s="353" t="inlineStr">
        <is>
          <t>HDWLUMOAERCBLTAG</t>
        </is>
      </c>
      <c r="F164" s="402" t="inlineStr">
        <is>
          <t>LUMOS AERIAL CABLE WRAP TAG</t>
        </is>
      </c>
      <c r="G164" s="655" t="n">
        <v>3.29</v>
      </c>
      <c r="H164" s="485">
        <f>B164*G164</f>
        <v/>
      </c>
    </row>
    <row r="165" hidden="1" outlineLevel="1">
      <c r="A165" s="313" t="inlineStr">
        <is>
          <t>O.FBR.UNDG</t>
        </is>
      </c>
      <c r="B165" s="659" t="n"/>
      <c r="C165" s="315" t="n"/>
      <c r="D165" s="315" t="n"/>
      <c r="E165" s="410" t="inlineStr">
        <is>
          <t>HDWWRSTRND14GRN</t>
        </is>
      </c>
      <c r="F165" s="410" t="inlineStr">
        <is>
          <t>WIRE #14 STRANDED TRACER GREEN</t>
        </is>
      </c>
      <c r="G165" s="411" t="n"/>
      <c r="H165" s="485">
        <f>B165*G165</f>
        <v/>
      </c>
    </row>
    <row r="166" hidden="1" outlineLevel="1">
      <c r="A166" s="313" t="inlineStr">
        <is>
          <t>O.FBR.AERL</t>
        </is>
      </c>
      <c r="B166" s="314" t="n"/>
      <c r="C166" s="315" t="n"/>
      <c r="D166" s="315" t="n"/>
      <c r="E166" s="316" t="inlineStr">
        <is>
          <t>SPLTIITERM24PTSCCON</t>
        </is>
      </c>
      <c r="F166" s="317" t="inlineStr">
        <is>
          <t>TII 24 PORT SC-UPC TERMINAL PANEL PN FET3G-24RSCN00</t>
        </is>
      </c>
      <c r="G166" s="413" t="n"/>
      <c r="H166" s="485">
        <f>B166*G166</f>
        <v/>
      </c>
    </row>
    <row r="167" hidden="1" outlineLevel="1">
      <c r="A167" s="313" t="inlineStr">
        <is>
          <t>O.FBR.AERL</t>
        </is>
      </c>
      <c r="B167" s="314" t="n"/>
      <c r="C167" s="315" t="n"/>
      <c r="D167" s="315" t="n"/>
      <c r="E167" s="316" t="inlineStr">
        <is>
          <t>SPLSCAPCSMFCON</t>
        </is>
      </c>
      <c r="F167" s="317" t="inlineStr">
        <is>
          <t>CONNECTOR SCAPC SPLICE ON F/ 250UM &amp; 900UM 4PK</t>
        </is>
      </c>
      <c r="G167" s="413" t="n"/>
      <c r="H167" s="485">
        <f>B167*G167</f>
        <v/>
      </c>
    </row>
    <row r="168" hidden="1" outlineLevel="1">
      <c r="A168" s="313" t="inlineStr">
        <is>
          <t>O.FBR.AERL</t>
        </is>
      </c>
      <c r="B168" s="314" t="n"/>
      <c r="C168" s="315" t="n"/>
      <c r="D168" s="315" t="n"/>
      <c r="E168" s="316" t="inlineStr">
        <is>
          <t>SPLTIIDEMARC24PTSCAPCADPT</t>
        </is>
      </c>
      <c r="F168" s="317" t="inlineStr">
        <is>
          <t>TII 24 PORT SC-APC TERMINAL PANEL PN FET3G-24RSCN00</t>
        </is>
      </c>
      <c r="G168" s="413" t="n"/>
      <c r="H168" s="485">
        <f>B168*G168</f>
        <v/>
      </c>
    </row>
    <row r="169" hidden="1" outlineLevel="1" ht="13.5" customHeight="1" thickBot="1">
      <c r="A169" s="313" t="inlineStr">
        <is>
          <t>O.FBR.AERL</t>
        </is>
      </c>
      <c r="B169" s="314" t="n"/>
      <c r="C169" s="315" t="n"/>
      <c r="D169" s="315" t="n"/>
      <c r="E169" s="316" t="inlineStr">
        <is>
          <t>SPLTII48FGRFET4G</t>
        </is>
      </c>
      <c r="F169" s="317" t="inlineStr">
        <is>
          <t>TII 48 PORT OUTDOOR ENCLOSURE</t>
        </is>
      </c>
      <c r="G169" s="413" t="n"/>
      <c r="H169" s="485">
        <f>B169*G169</f>
        <v/>
      </c>
    </row>
    <row r="170" hidden="1" outlineLevel="1" ht="13.5" customHeight="1" thickBot="1">
      <c r="A170" s="295" t="n"/>
      <c r="B170" s="320" t="n"/>
      <c r="C170" s="404" t="n"/>
      <c r="D170" s="404" t="n"/>
      <c r="E170" s="405" t="n"/>
      <c r="F170" s="326" t="inlineStr">
        <is>
          <t>SUB-TOTAL - O.FBR.UNDG</t>
        </is>
      </c>
      <c r="G170" s="414" t="n"/>
      <c r="H170" s="495">
        <f>SUM(H107:H169)</f>
        <v/>
      </c>
    </row>
    <row r="171" hidden="1" outlineLevel="1" ht="13.5" customHeight="1" thickBot="1">
      <c r="A171" s="295" t="n"/>
      <c r="B171" s="320" t="n"/>
      <c r="C171" s="404" t="n"/>
      <c r="D171" s="404" t="n"/>
      <c r="E171" s="405" t="n"/>
      <c r="F171" s="415" t="inlineStr">
        <is>
          <t>PROVISIONING - FIBER UNDERGROUND</t>
        </is>
      </c>
      <c r="G171" s="416" t="n"/>
      <c r="H171" s="495">
        <f>H170*(H1+H2)</f>
        <v/>
      </c>
    </row>
    <row r="172" hidden="1" outlineLevel="1" ht="13.5" customHeight="1" thickBot="1">
      <c r="A172" s="295" t="n"/>
      <c r="B172" s="320" t="n"/>
      <c r="C172" s="404" t="n"/>
      <c r="D172" s="404" t="n"/>
      <c r="E172" s="405" t="n"/>
      <c r="F172" s="417" t="inlineStr">
        <is>
          <t>TOTAL - O.FBR.UNDG</t>
        </is>
      </c>
      <c r="G172" s="327" t="n"/>
      <c r="H172" s="496">
        <f>H171+H170</f>
        <v/>
      </c>
    </row>
    <row r="173" collapsed="1" ht="13.5" customHeight="1" thickBot="1">
      <c r="A173" s="418" t="inlineStr">
        <is>
          <t>&lt;----Click the + to Expand or Collapse the "UNDERGROUND ASSET MATERIAL" Section</t>
        </is>
      </c>
      <c r="B173" s="419" t="n"/>
      <c r="C173" s="420" t="n"/>
      <c r="D173" s="420" t="n"/>
      <c r="E173" s="421" t="n"/>
      <c r="F173" s="333" t="n"/>
      <c r="G173" s="334" t="n"/>
      <c r="H173" s="335" t="n"/>
    </row>
    <row r="174" ht="13.5" customHeight="1" thickBot="1">
      <c r="A174" s="336" t="n"/>
      <c r="B174" s="483" t="inlineStr">
        <is>
          <t>-</t>
        </is>
      </c>
      <c r="C174" s="422" t="n"/>
      <c r="D174" s="422" t="n"/>
      <c r="E174" s="338" t="n"/>
      <c r="F174" s="339" t="inlineStr">
        <is>
          <t>BURIED FIBER ASSET MATERIAL</t>
        </is>
      </c>
      <c r="G174" s="340" t="n"/>
      <c r="H174" s="341" t="n"/>
    </row>
    <row r="175" outlineLevel="1">
      <c r="A175" s="342" t="inlineStr">
        <is>
          <t>O.FBR.BURD</t>
        </is>
      </c>
      <c r="B175" s="502">
        <f>'CABLE SHEET'!D3</f>
        <v/>
      </c>
      <c r="C175" s="344" t="n"/>
      <c r="D175" s="344" t="n"/>
      <c r="E175" s="353" t="inlineStr">
        <is>
          <t>FIBGEN48ARMR</t>
        </is>
      </c>
      <c r="F175" s="346" t="inlineStr">
        <is>
          <t>048 Loose Tube PN D-048-LA-8W-F12NS; 048ZUC-T4122D20; AT3CEH2YT-048</t>
        </is>
      </c>
      <c r="G175" s="641" t="n">
        <v>0.31</v>
      </c>
      <c r="H175" s="488">
        <f>B175*G175</f>
        <v/>
      </c>
      <c r="J175" s="497" t="n"/>
      <c r="K175" s="554" t="n"/>
    </row>
    <row r="176" outlineLevel="1">
      <c r="A176" s="342" t="inlineStr">
        <is>
          <t>O.FBR.BURD</t>
        </is>
      </c>
      <c r="B176" s="502" t="n"/>
      <c r="C176" s="344" t="n"/>
      <c r="D176" s="344" t="n"/>
      <c r="E176" s="345" t="inlineStr">
        <is>
          <t>FIBGEN72ARMR</t>
        </is>
      </c>
      <c r="F176" s="346" t="inlineStr">
        <is>
          <t>048 Loose Tube PN D-048-LA-8W-F12NS; 048ZUC-T4122D20; AT3CEH2YT-048</t>
        </is>
      </c>
      <c r="G176" s="494" t="n">
        <v>0.6</v>
      </c>
      <c r="H176" s="488">
        <f>B176*G176</f>
        <v/>
      </c>
      <c r="J176" s="497" t="n"/>
      <c r="K176" s="554" t="n"/>
    </row>
    <row r="177" outlineLevel="1">
      <c r="A177" s="342" t="inlineStr">
        <is>
          <t>O.FBR.BURD</t>
        </is>
      </c>
      <c r="B177" s="502">
        <f>'CABLE SHEET'!D4</f>
        <v/>
      </c>
      <c r="C177" s="344" t="n"/>
      <c r="D177" s="344" t="n"/>
      <c r="E177" s="353" t="inlineStr">
        <is>
          <t>FIBGEN96ARMR</t>
        </is>
      </c>
      <c r="F177" s="346" t="inlineStr">
        <is>
          <t>096 Loose Tube PN D-096-LA-8W-F12NS; 096ZUC-T4122D20; AT3CEH2YT-096</t>
        </is>
      </c>
      <c r="G177" s="641" t="n">
        <v>0.62</v>
      </c>
      <c r="H177" s="488">
        <f>B177*G177</f>
        <v/>
      </c>
      <c r="J177" s="497" t="n"/>
      <c r="K177" s="554" t="n"/>
    </row>
    <row r="178" outlineLevel="1">
      <c r="A178" s="342" t="inlineStr">
        <is>
          <t>O.FBR.BURD</t>
        </is>
      </c>
      <c r="B178" s="502">
        <f>'CABLE SHEET'!D5</f>
        <v/>
      </c>
      <c r="C178" s="344" t="n"/>
      <c r="D178" s="344" t="n"/>
      <c r="E178" s="353" t="inlineStr">
        <is>
          <t>FIBGEN144RIB</t>
        </is>
      </c>
      <c r="F178" s="636" t="inlineStr">
        <is>
          <t>144 Ribbon FIber PN 144EC5-14100D53</t>
        </is>
      </c>
      <c r="G178" s="641" t="n">
        <v>0.98</v>
      </c>
      <c r="H178" s="488">
        <f>B178*G178</f>
        <v/>
      </c>
      <c r="K178" s="554" t="n"/>
    </row>
    <row r="179" outlineLevel="1">
      <c r="A179" s="342" t="inlineStr">
        <is>
          <t>O.FBR.BURD</t>
        </is>
      </c>
      <c r="B179" s="343" t="n"/>
      <c r="C179" s="344" t="n"/>
      <c r="D179" s="344" t="n"/>
      <c r="E179" s="345" t="inlineStr">
        <is>
          <t>FIBOFS192LTARMR</t>
        </is>
      </c>
      <c r="F179" s="346" t="inlineStr">
        <is>
          <t>FIBER OFS AT3CEH2YT-192-FORTEX NON-DIELECTRIC LIGHT ARMOR</t>
        </is>
      </c>
      <c r="G179" s="494" t="n">
        <v>1.7</v>
      </c>
      <c r="H179" s="488">
        <f>B179*G179</f>
        <v/>
      </c>
      <c r="J179" s="497" t="n"/>
      <c r="K179" s="554" t="n"/>
    </row>
    <row r="180" outlineLevel="1">
      <c r="A180" s="342" t="inlineStr">
        <is>
          <t>O.FBR.BURD</t>
        </is>
      </c>
      <c r="B180" s="638">
        <f>'CABLE SHEET'!D6</f>
        <v/>
      </c>
      <c r="C180" s="344" t="n"/>
      <c r="D180" s="344" t="n"/>
      <c r="E180" s="353" t="inlineStr">
        <is>
          <t>FIBGEN288RIB</t>
        </is>
      </c>
      <c r="F180" s="346" t="inlineStr">
        <is>
          <t>288 Ribbon FIber PN 288EV5-14100D53</t>
        </is>
      </c>
      <c r="G180" s="641" t="n">
        <v>1.55</v>
      </c>
      <c r="H180" s="488">
        <f>B180*G180</f>
        <v/>
      </c>
      <c r="K180" s="554" t="n"/>
    </row>
    <row r="181" outlineLevel="1" ht="13.5" customHeight="1" thickBot="1">
      <c r="A181" s="342" t="inlineStr">
        <is>
          <t>O.FBR.BURD</t>
        </is>
      </c>
      <c r="B181" s="502">
        <f>'CABLE SHEET'!D7</f>
        <v/>
      </c>
      <c r="C181" s="344" t="n"/>
      <c r="D181" s="344" t="n"/>
      <c r="E181" s="353" t="inlineStr">
        <is>
          <t>FIBGEN432RIB</t>
        </is>
      </c>
      <c r="F181" s="346" t="inlineStr">
        <is>
          <t>432 Ribbon Fiber OFS AT-3CE84SX-432; COR 432EV5-14100D53; STL RA0432FSN06TFBUUS</t>
        </is>
      </c>
      <c r="G181" s="641" t="n">
        <v>3.6</v>
      </c>
      <c r="H181" s="488">
        <f>B181*G181</f>
        <v/>
      </c>
      <c r="J181" s="497" t="n"/>
      <c r="K181" s="554" t="n"/>
    </row>
    <row r="182" outlineLevel="1" ht="13.5" customHeight="1" thickBot="1">
      <c r="A182" s="336" t="n"/>
      <c r="B182" s="356" t="n"/>
      <c r="C182" s="357" t="n"/>
      <c r="D182" s="357" t="n"/>
      <c r="E182" s="363" t="n"/>
      <c r="F182" s="359" t="inlineStr">
        <is>
          <t>BURIED CABLE ASSET MATERIAL</t>
        </is>
      </c>
      <c r="G182" s="364" t="n"/>
      <c r="H182" s="361" t="n"/>
      <c r="K182" s="556" t="n"/>
    </row>
    <row r="183" outlineLevel="1">
      <c r="A183" s="342" t="inlineStr">
        <is>
          <t>O.FBR.BURD</t>
        </is>
      </c>
      <c r="B183" s="343" t="n"/>
      <c r="C183" s="344" t="n"/>
      <c r="D183" s="344" t="n"/>
      <c r="E183" s="345" t="inlineStr">
        <is>
          <t>CBLFS2522</t>
        </is>
      </c>
      <c r="F183" s="346" t="inlineStr">
        <is>
          <t>CABLE F.S. 25-22</t>
        </is>
      </c>
      <c r="G183" s="347" t="n"/>
      <c r="H183" s="488">
        <f>B183*G183</f>
        <v/>
      </c>
      <c r="K183" s="556" t="n"/>
    </row>
    <row r="184" outlineLevel="1">
      <c r="A184" s="342" t="inlineStr">
        <is>
          <t>O.FBR.BURD</t>
        </is>
      </c>
      <c r="B184" s="343" t="n"/>
      <c r="C184" s="344" t="n"/>
      <c r="D184" s="344" t="n"/>
      <c r="E184" s="345" t="inlineStr">
        <is>
          <t>CBLFSKIN10024</t>
        </is>
      </c>
      <c r="F184" s="346" t="inlineStr">
        <is>
          <t>CABLE FOAM SKIN 100-24</t>
        </is>
      </c>
      <c r="G184" s="347" t="n"/>
      <c r="H184" s="488">
        <f>B184*G184</f>
        <v/>
      </c>
      <c r="K184" s="556" t="n"/>
    </row>
    <row r="185" outlineLevel="1">
      <c r="A185" s="342" t="inlineStr">
        <is>
          <t>O.FBR.BURD</t>
        </is>
      </c>
      <c r="B185" s="343" t="n"/>
      <c r="C185" s="344" t="n"/>
      <c r="D185" s="344" t="n"/>
      <c r="E185" s="345" t="inlineStr">
        <is>
          <t>CBLFSKIN120024</t>
        </is>
      </c>
      <c r="F185" s="346" t="inlineStr">
        <is>
          <t>CABLE FOAM SKIN 1200-24</t>
        </is>
      </c>
      <c r="G185" s="347" t="n"/>
      <c r="H185" s="488">
        <f>B185*G185</f>
        <v/>
      </c>
      <c r="K185" s="556" t="n"/>
    </row>
    <row r="186" outlineLevel="1">
      <c r="A186" s="342" t="inlineStr">
        <is>
          <t>O.FBR.BURD</t>
        </is>
      </c>
      <c r="B186" s="343" t="n"/>
      <c r="C186" s="344" t="n"/>
      <c r="D186" s="344" t="n"/>
      <c r="E186" s="345" t="inlineStr">
        <is>
          <t>CBLFSKIN1224</t>
        </is>
      </c>
      <c r="F186" s="346" t="inlineStr">
        <is>
          <t>CABLE FOAM SKIN 12-24</t>
        </is>
      </c>
      <c r="G186" s="347" t="n"/>
      <c r="H186" s="488">
        <f>B186*G186</f>
        <v/>
      </c>
      <c r="K186" s="556" t="n"/>
    </row>
    <row r="187" outlineLevel="1">
      <c r="A187" s="342" t="inlineStr">
        <is>
          <t>O.FBR.BURD</t>
        </is>
      </c>
      <c r="B187" s="343" t="n"/>
      <c r="C187" s="344" t="n"/>
      <c r="D187" s="344" t="n"/>
      <c r="E187" s="345" t="inlineStr">
        <is>
          <t>CBLFSKIN180024</t>
        </is>
      </c>
      <c r="F187" s="346" t="inlineStr">
        <is>
          <t>CABLE FOAM SKIN 1800-24</t>
        </is>
      </c>
      <c r="G187" s="347" t="n"/>
      <c r="H187" s="488">
        <f>B187*G187</f>
        <v/>
      </c>
      <c r="K187" s="556" t="n"/>
    </row>
    <row r="188" outlineLevel="1">
      <c r="A188" s="342" t="inlineStr">
        <is>
          <t>O.FBR.BURD</t>
        </is>
      </c>
      <c r="B188" s="343" t="n"/>
      <c r="C188" s="344" t="n"/>
      <c r="D188" s="344" t="n"/>
      <c r="E188" s="345" t="inlineStr">
        <is>
          <t>CBLFSKIN20024</t>
        </is>
      </c>
      <c r="F188" s="346" t="inlineStr">
        <is>
          <t>CABLE FOAM SKIN 200-24</t>
        </is>
      </c>
      <c r="G188" s="347" t="n"/>
      <c r="H188" s="488">
        <f>B188*G188</f>
        <v/>
      </c>
      <c r="K188" s="556" t="n"/>
    </row>
    <row r="189" outlineLevel="1">
      <c r="A189" s="342" t="inlineStr">
        <is>
          <t>O.FBR.BURD</t>
        </is>
      </c>
      <c r="B189" s="343" t="n"/>
      <c r="C189" s="344" t="n"/>
      <c r="D189" s="344" t="n"/>
      <c r="E189" s="345" t="inlineStr">
        <is>
          <t>CBLFSKIN2524</t>
        </is>
      </c>
      <c r="F189" s="346" t="inlineStr">
        <is>
          <t>CABLE FOAM SKIN 25-24</t>
        </is>
      </c>
      <c r="G189" s="347" t="n"/>
      <c r="H189" s="488">
        <f>B189*G189</f>
        <v/>
      </c>
      <c r="K189" s="556" t="n"/>
    </row>
    <row r="190" outlineLevel="1">
      <c r="A190" s="342" t="inlineStr">
        <is>
          <t>O.FBR.BURD</t>
        </is>
      </c>
      <c r="B190" s="343" t="n"/>
      <c r="C190" s="344" t="n"/>
      <c r="D190" s="344" t="n"/>
      <c r="E190" s="345" t="inlineStr">
        <is>
          <t>CBLFSKIN30024</t>
        </is>
      </c>
      <c r="F190" s="346" t="inlineStr">
        <is>
          <t>CABLE FOAM SKIN 300-24</t>
        </is>
      </c>
      <c r="G190" s="347" t="n"/>
      <c r="H190" s="488">
        <f>B190*G190</f>
        <v/>
      </c>
      <c r="K190" s="556" t="n"/>
    </row>
    <row r="191" outlineLevel="1">
      <c r="A191" s="342" t="inlineStr">
        <is>
          <t>O.FBR.BURD</t>
        </is>
      </c>
      <c r="B191" s="343" t="n"/>
      <c r="C191" s="344" t="n"/>
      <c r="D191" s="344" t="n"/>
      <c r="E191" s="345" t="inlineStr">
        <is>
          <t>CBLFSKIN40024</t>
        </is>
      </c>
      <c r="F191" s="346" t="inlineStr">
        <is>
          <t>CABLE FOAM SKIN 400-24</t>
        </is>
      </c>
      <c r="G191" s="347" t="n"/>
      <c r="H191" s="488">
        <f>B191*G191</f>
        <v/>
      </c>
      <c r="K191" s="556" t="n"/>
    </row>
    <row r="192" outlineLevel="1">
      <c r="A192" s="342" t="inlineStr">
        <is>
          <t>O.FBR.BURD</t>
        </is>
      </c>
      <c r="B192" s="343" t="n"/>
      <c r="C192" s="344" t="n"/>
      <c r="D192" s="344" t="n"/>
      <c r="E192" s="345" t="inlineStr">
        <is>
          <t>CBLFSKIN5022</t>
        </is>
      </c>
      <c r="F192" s="346" t="inlineStr">
        <is>
          <t>CABLE FOAM SKIN 50-22</t>
        </is>
      </c>
      <c r="G192" s="347" t="n"/>
      <c r="H192" s="488">
        <f>B192*G192</f>
        <v/>
      </c>
      <c r="K192" s="556" t="n"/>
    </row>
    <row r="193" outlineLevel="1">
      <c r="A193" s="342" t="inlineStr">
        <is>
          <t>O.FBR.BURD</t>
        </is>
      </c>
      <c r="B193" s="343" t="n"/>
      <c r="C193" s="344" t="n"/>
      <c r="D193" s="344" t="n"/>
      <c r="E193" s="345" t="inlineStr">
        <is>
          <t>CBLFSKIN5024</t>
        </is>
      </c>
      <c r="F193" s="346" t="inlineStr">
        <is>
          <t>CABLE FOAM SKIN 50-24</t>
        </is>
      </c>
      <c r="G193" s="347" t="n"/>
      <c r="H193" s="488">
        <f>B193*G193</f>
        <v/>
      </c>
      <c r="K193" s="556" t="n"/>
    </row>
    <row r="194" outlineLevel="1">
      <c r="A194" s="342" t="inlineStr">
        <is>
          <t>O.FBR.BURD</t>
        </is>
      </c>
      <c r="B194" s="343" t="n"/>
      <c r="C194" s="344" t="n"/>
      <c r="D194" s="344" t="n"/>
      <c r="E194" s="345" t="inlineStr">
        <is>
          <t>CBLFSKIN60024</t>
        </is>
      </c>
      <c r="F194" s="346" t="inlineStr">
        <is>
          <t>CABLE FOAM SKIN 600-24</t>
        </is>
      </c>
      <c r="G194" s="347" t="n"/>
      <c r="H194" s="488">
        <f>B194*G194</f>
        <v/>
      </c>
      <c r="K194" s="556" t="n"/>
    </row>
    <row r="195" outlineLevel="1">
      <c r="A195" s="342" t="inlineStr">
        <is>
          <t>O.FBR.BURD</t>
        </is>
      </c>
      <c r="B195" s="343" t="n"/>
      <c r="C195" s="344" t="n"/>
      <c r="D195" s="344" t="n"/>
      <c r="E195" s="345" t="inlineStr">
        <is>
          <t>CBLFSKIN622</t>
        </is>
      </c>
      <c r="F195" s="346" t="inlineStr">
        <is>
          <t>CABLE FOAM SKIN 6-22</t>
        </is>
      </c>
      <c r="G195" s="347" t="n"/>
      <c r="H195" s="488">
        <f>B195*G195</f>
        <v/>
      </c>
      <c r="K195" s="556" t="n"/>
    </row>
    <row r="196" outlineLevel="1">
      <c r="A196" s="342" t="inlineStr">
        <is>
          <t>O.FBR.BURD</t>
        </is>
      </c>
      <c r="B196" s="343" t="n"/>
      <c r="C196" s="344" t="n"/>
      <c r="D196" s="344" t="n"/>
      <c r="E196" s="345" t="inlineStr">
        <is>
          <t>CBLFSKIN624</t>
        </is>
      </c>
      <c r="F196" s="346" t="inlineStr">
        <is>
          <t>CABLE FOAM SKIN 6-24</t>
        </is>
      </c>
      <c r="G196" s="347" t="n"/>
      <c r="H196" s="488">
        <f>B196*G196</f>
        <v/>
      </c>
      <c r="K196" s="556" t="n"/>
    </row>
    <row r="197" outlineLevel="1">
      <c r="A197" s="342" t="inlineStr">
        <is>
          <t>O.FBR.BURD</t>
        </is>
      </c>
      <c r="B197" s="343" t="n"/>
      <c r="C197" s="344" t="n"/>
      <c r="D197" s="344" t="n"/>
      <c r="E197" s="345" t="inlineStr">
        <is>
          <t>CBLFSKIN90024</t>
        </is>
      </c>
      <c r="F197" s="346" t="inlineStr">
        <is>
          <t>CABLE FOAM SKIN 900-24</t>
        </is>
      </c>
      <c r="G197" s="347" t="n"/>
      <c r="H197" s="488">
        <f>B197*G197</f>
        <v/>
      </c>
      <c r="K197" s="556" t="n"/>
    </row>
    <row r="198" outlineLevel="1">
      <c r="A198" s="342" t="inlineStr">
        <is>
          <t>O.FBR.BURD</t>
        </is>
      </c>
      <c r="B198" s="343" t="n"/>
      <c r="C198" s="344" t="n"/>
      <c r="D198" s="344" t="n"/>
      <c r="E198" s="345" t="inlineStr">
        <is>
          <t>CBLRDW622</t>
        </is>
      </c>
      <c r="F198" s="346" t="inlineStr">
        <is>
          <t>RDW 6-22   #10-006-17 IMRDW 109 MESSENGER FIG 8</t>
        </is>
      </c>
      <c r="G198" s="347" t="n"/>
      <c r="H198" s="488">
        <f>B198*G198</f>
        <v/>
      </c>
      <c r="K198" s="556" t="n"/>
    </row>
    <row r="199" outlineLevel="1">
      <c r="A199" s="342" t="inlineStr">
        <is>
          <t>O.FBR.BURD</t>
        </is>
      </c>
      <c r="B199" s="343" t="n"/>
      <c r="C199" s="344" t="n"/>
      <c r="D199" s="344" t="n"/>
      <c r="E199" s="345" t="inlineStr">
        <is>
          <t>CCTSPLCASE4X25</t>
        </is>
      </c>
      <c r="F199" s="346" t="inlineStr">
        <is>
          <t>CASE SPL 4X25 8000624 W/BOND</t>
        </is>
      </c>
      <c r="G199" s="347" t="n"/>
      <c r="H199" s="488">
        <f>B199*G199</f>
        <v/>
      </c>
      <c r="K199" s="556" t="n"/>
    </row>
    <row r="200" outlineLevel="1">
      <c r="A200" s="342" t="inlineStr">
        <is>
          <t>O.FBR.BURD</t>
        </is>
      </c>
      <c r="B200" s="343" t="n"/>
      <c r="C200" s="344" t="n"/>
      <c r="D200" s="344" t="n"/>
      <c r="E200" s="345" t="inlineStr">
        <is>
          <t>CCTSPLCASE65X28</t>
        </is>
      </c>
      <c r="F200" s="346" t="inlineStr">
        <is>
          <t>CASE SPL 6.5X28 8000626 W/BOND</t>
        </is>
      </c>
      <c r="G200" s="347" t="n"/>
      <c r="H200" s="488">
        <f>B200*G200</f>
        <v/>
      </c>
      <c r="K200" s="556" t="n"/>
    </row>
    <row r="201" outlineLevel="1">
      <c r="A201" s="342" t="inlineStr">
        <is>
          <t>O.FBR.BURD</t>
        </is>
      </c>
      <c r="B201" s="343" t="n"/>
      <c r="C201" s="344" t="n"/>
      <c r="D201" s="344" t="n"/>
      <c r="E201" s="345" t="inlineStr">
        <is>
          <t>CCTSPLCASE65X38</t>
        </is>
      </c>
      <c r="F201" s="346" t="inlineStr">
        <is>
          <t>CASE SPL 6.5X38 8000634 W/BOND</t>
        </is>
      </c>
      <c r="G201" s="347" t="n"/>
      <c r="H201" s="488">
        <f>B201*G201</f>
        <v/>
      </c>
      <c r="K201" s="556" t="n"/>
    </row>
    <row r="202" outlineLevel="1">
      <c r="A202" s="342" t="inlineStr">
        <is>
          <t>O.FBR.BURD</t>
        </is>
      </c>
      <c r="B202" s="343" t="n"/>
      <c r="C202" s="344" t="n"/>
      <c r="D202" s="344" t="n"/>
      <c r="E202" s="345" t="inlineStr">
        <is>
          <t>CCTSPLCASE95X28</t>
        </is>
      </c>
      <c r="F202" s="346" t="inlineStr">
        <is>
          <t>CASE SPL 9.5X28 8000630 W/BOND</t>
        </is>
      </c>
      <c r="G202" s="347" t="n"/>
      <c r="H202" s="488">
        <f>B202*G202</f>
        <v/>
      </c>
      <c r="K202" s="556" t="n"/>
    </row>
    <row r="203" outlineLevel="1">
      <c r="A203" s="342" t="inlineStr">
        <is>
          <t>O.FBR.BURD</t>
        </is>
      </c>
      <c r="B203" s="343" t="n"/>
      <c r="C203" s="344" t="n"/>
      <c r="D203" s="344" t="n"/>
      <c r="E203" s="345" t="inlineStr">
        <is>
          <t>CCTSPLCASE95X38</t>
        </is>
      </c>
      <c r="F203" s="346" t="inlineStr">
        <is>
          <t>CASE SPL 9.5X38 8000635 W/BOND</t>
        </is>
      </c>
      <c r="G203" s="347" t="n"/>
      <c r="H203" s="488">
        <f>B203*G203</f>
        <v/>
      </c>
      <c r="K203" s="556" t="n"/>
    </row>
    <row r="204" outlineLevel="1">
      <c r="A204" s="342" t="inlineStr">
        <is>
          <t>O.FBR.BURD</t>
        </is>
      </c>
      <c r="B204" s="343" t="n"/>
      <c r="C204" s="344" t="n"/>
      <c r="D204" s="344" t="n"/>
      <c r="E204" s="345" t="inlineStr">
        <is>
          <t>CCTSPLCASE95X45</t>
        </is>
      </c>
      <c r="F204" s="346" t="inlineStr">
        <is>
          <t>CASE SPL 9.5X45 8006176 W/BOND</t>
        </is>
      </c>
      <c r="G204" s="347" t="n"/>
      <c r="H204" s="488">
        <f>B204*G204</f>
        <v/>
      </c>
      <c r="K204" s="556" t="n"/>
    </row>
    <row r="205" outlineLevel="1">
      <c r="A205" s="342" t="inlineStr">
        <is>
          <t>O.FBR.BURD</t>
        </is>
      </c>
      <c r="B205" s="343" t="n"/>
      <c r="C205" s="344" t="n"/>
      <c r="D205" s="344" t="n"/>
      <c r="E205" s="345" t="inlineStr">
        <is>
          <t>CCTREDDI95X284</t>
        </is>
      </c>
      <c r="F205" s="346" t="inlineStr">
        <is>
          <t>CLOS REDDI 9.5X28.4 8006175&amp;74</t>
        </is>
      </c>
      <c r="G205" s="347" t="n"/>
      <c r="H205" s="488">
        <f>B205*G205</f>
        <v/>
      </c>
      <c r="K205" s="556" t="n"/>
    </row>
    <row r="206" outlineLevel="1">
      <c r="A206" s="342" t="inlineStr">
        <is>
          <t>O.FBR.BURD</t>
        </is>
      </c>
      <c r="B206" s="343" t="n"/>
      <c r="C206" s="344" t="n"/>
      <c r="D206" s="344" t="n"/>
      <c r="E206" s="345" t="inlineStr">
        <is>
          <t>CCTREDDI95X385</t>
        </is>
      </c>
      <c r="F206" s="346" t="inlineStr">
        <is>
          <t>CLOS REDDI 9.5X38.5 8006181</t>
        </is>
      </c>
      <c r="G206" s="347" t="n"/>
      <c r="H206" s="488">
        <f>B206*G206</f>
        <v/>
      </c>
      <c r="K206" s="556" t="n"/>
    </row>
    <row r="207" outlineLevel="1">
      <c r="A207" s="342" t="inlineStr">
        <is>
          <t>O.FBR.BURD</t>
        </is>
      </c>
      <c r="B207" s="343" t="n"/>
      <c r="C207" s="344" t="n"/>
      <c r="D207" s="344" t="n"/>
      <c r="E207" s="345" t="inlineStr">
        <is>
          <t>CCTCLSR2BB</t>
        </is>
      </c>
      <c r="F207" s="346" t="inlineStr">
        <is>
          <t>CLOSURE 2BB SC/DC</t>
        </is>
      </c>
      <c r="G207" s="347" t="n"/>
      <c r="H207" s="488">
        <f>B207*G207</f>
        <v/>
      </c>
      <c r="K207" s="556" t="n"/>
    </row>
    <row r="208" outlineLevel="1">
      <c r="A208" s="342" t="inlineStr">
        <is>
          <t>O.FBR.BURD</t>
        </is>
      </c>
      <c r="B208" s="343" t="n"/>
      <c r="C208" s="344" t="n"/>
      <c r="D208" s="344" t="n"/>
      <c r="E208" s="345" t="inlineStr">
        <is>
          <t>CCTCLSR3BB</t>
        </is>
      </c>
      <c r="F208" s="346" t="inlineStr">
        <is>
          <t>CLOSURE 3BB SC/DC</t>
        </is>
      </c>
      <c r="G208" s="347" t="n"/>
      <c r="H208" s="488">
        <f>B208*G208</f>
        <v/>
      </c>
      <c r="K208" s="556" t="n"/>
    </row>
    <row r="209" outlineLevel="1">
      <c r="A209" s="342" t="inlineStr">
        <is>
          <t>O.FBR.BURD</t>
        </is>
      </c>
      <c r="B209" s="343" t="n"/>
      <c r="C209" s="344" t="n"/>
      <c r="D209" s="344" t="n"/>
      <c r="E209" s="345" t="inlineStr">
        <is>
          <t>CCTCLSR5BB</t>
        </is>
      </c>
      <c r="F209" s="346" t="inlineStr">
        <is>
          <t>CLOSURE 5BB BB5X26-SB/2SC-LHS</t>
        </is>
      </c>
      <c r="G209" s="347" t="n"/>
      <c r="H209" s="488">
        <f>B209*G209</f>
        <v/>
      </c>
      <c r="K209" s="556" t="n"/>
    </row>
    <row r="210" outlineLevel="1">
      <c r="A210" s="342" t="inlineStr">
        <is>
          <t>O.FBR.BURD</t>
        </is>
      </c>
      <c r="B210" s="343" t="n"/>
      <c r="C210" s="344" t="n"/>
      <c r="D210" s="344" t="n"/>
      <c r="E210" s="345" t="inlineStr">
        <is>
          <t>CCT2X29AERCLSR</t>
        </is>
      </c>
      <c r="F210" s="346" t="inlineStr">
        <is>
          <t>CLOSURE AERIAL SLIC  2" X 29" 3M SLIC 2X29</t>
        </is>
      </c>
      <c r="G210" s="347" t="n"/>
      <c r="H210" s="488">
        <f>B210*G210</f>
        <v/>
      </c>
      <c r="K210" s="556" t="n"/>
    </row>
    <row r="211" outlineLevel="1">
      <c r="A211" s="342" t="inlineStr">
        <is>
          <t>O.FBR.BURD</t>
        </is>
      </c>
      <c r="B211" s="343" t="n"/>
      <c r="C211" s="344" t="n"/>
      <c r="D211" s="344" t="n"/>
      <c r="E211" s="345" t="inlineStr">
        <is>
          <t>CCT3X33AERCLSR</t>
        </is>
      </c>
      <c r="F211" s="346" t="inlineStr">
        <is>
          <t>CLOSURE AERIAL SLIC 3" X 33" CSL333</t>
        </is>
      </c>
      <c r="G211" s="347" t="n"/>
      <c r="H211" s="488">
        <f>B211*G211</f>
        <v/>
      </c>
      <c r="K211" s="556" t="n"/>
    </row>
    <row r="212" outlineLevel="1">
      <c r="A212" s="342" t="inlineStr">
        <is>
          <t>O.FBR.BURD</t>
        </is>
      </c>
      <c r="B212" s="343" t="n"/>
      <c r="C212" s="344" t="n"/>
      <c r="D212" s="344" t="n"/>
      <c r="E212" s="345" t="inlineStr">
        <is>
          <t>CCT5X33AERCLSR</t>
        </is>
      </c>
      <c r="F212" s="346" t="inlineStr">
        <is>
          <t>CLOSURE AERIAL SLIC 5" X 33" CSL533</t>
        </is>
      </c>
      <c r="G212" s="347" t="n"/>
      <c r="H212" s="488">
        <f>B212*G212</f>
        <v/>
      </c>
      <c r="K212" s="556" t="n"/>
    </row>
    <row r="213" outlineLevel="1">
      <c r="A213" s="342" t="inlineStr">
        <is>
          <t>O.FBR.BURD</t>
        </is>
      </c>
      <c r="B213" s="343" t="n"/>
      <c r="C213" s="344" t="n"/>
      <c r="D213" s="344" t="n"/>
      <c r="E213" s="345" t="inlineStr">
        <is>
          <t>CCT7X33AERCLSR</t>
        </is>
      </c>
      <c r="F213" s="346" t="inlineStr">
        <is>
          <t>CLOSURE AERIAL SLIC 7" X 33" CSL733</t>
        </is>
      </c>
      <c r="G213" s="347" t="n"/>
      <c r="H213" s="488">
        <f>B213*G213</f>
        <v/>
      </c>
      <c r="K213" s="556" t="n"/>
    </row>
    <row r="214" outlineLevel="1">
      <c r="A214" s="342" t="inlineStr">
        <is>
          <t>O.FBR.BURD</t>
        </is>
      </c>
      <c r="B214" s="343" t="n"/>
      <c r="C214" s="344" t="n"/>
      <c r="D214" s="344" t="n"/>
      <c r="E214" s="345" t="inlineStr">
        <is>
          <t>CCT9X36AERCLSR</t>
        </is>
      </c>
      <c r="F214" s="346" t="inlineStr">
        <is>
          <t>CLOSURE AERIAL SLIC 9" X 36" CSL936</t>
        </is>
      </c>
      <c r="G214" s="347" t="n"/>
      <c r="H214" s="488">
        <f>B214*G214</f>
        <v/>
      </c>
      <c r="K214" s="556" t="n"/>
    </row>
    <row r="215" outlineLevel="1">
      <c r="A215" s="342" t="inlineStr">
        <is>
          <t>O.FBR.BURD</t>
        </is>
      </c>
      <c r="B215" s="343" t="n"/>
      <c r="C215" s="344" t="n"/>
      <c r="D215" s="344" t="n"/>
      <c r="E215" s="345" t="inlineStr">
        <is>
          <t>CCTTERM2X19SLIC</t>
        </is>
      </c>
      <c r="F215" s="346" t="inlineStr">
        <is>
          <t>SLIC 2.2X19 CLOSURE SLIC22X19SES</t>
        </is>
      </c>
      <c r="G215" s="347" t="n"/>
      <c r="H215" s="488">
        <f>B215*G215</f>
        <v/>
      </c>
      <c r="K215" s="556" t="n"/>
    </row>
    <row r="216" outlineLevel="1">
      <c r="A216" s="342" t="inlineStr">
        <is>
          <t>O.FBR.BURD</t>
        </is>
      </c>
      <c r="B216" s="343" t="n"/>
      <c r="C216" s="344" t="n"/>
      <c r="D216" s="344" t="n"/>
      <c r="E216" s="345" t="inlineStr">
        <is>
          <t>CCT3X28TERM</t>
        </is>
      </c>
      <c r="F216" s="346" t="inlineStr">
        <is>
          <t>SLIC TERMINAL W/10PR BLK 3X28 W/SPIRAL END - 328-PI-10/SES</t>
        </is>
      </c>
      <c r="G216" s="347" t="n"/>
      <c r="H216" s="488">
        <f>B216*G216</f>
        <v/>
      </c>
      <c r="K216" s="556" t="n"/>
    </row>
    <row r="217" outlineLevel="1">
      <c r="A217" s="342" t="inlineStr">
        <is>
          <t>O.FBR.BURD</t>
        </is>
      </c>
      <c r="B217" s="343" t="n"/>
      <c r="C217" s="344" t="n"/>
      <c r="D217" s="344" t="n"/>
      <c r="E217" s="345" t="inlineStr">
        <is>
          <t>CCT5X30TERM</t>
        </is>
      </c>
      <c r="F217" s="346" t="inlineStr">
        <is>
          <t>SLIC TERMINAL W/10PR BLK 5X30 W/SPIRAL END - 530-PI-10/SES</t>
        </is>
      </c>
      <c r="G217" s="347" t="n"/>
      <c r="H217" s="488">
        <f>B217*G217</f>
        <v/>
      </c>
      <c r="K217" s="556" t="n"/>
    </row>
    <row r="218" outlineLevel="1">
      <c r="A218" s="342" t="inlineStr">
        <is>
          <t>O.FBR.BURD</t>
        </is>
      </c>
      <c r="B218" s="343" t="n"/>
      <c r="C218" s="344" t="n"/>
      <c r="D218" s="344" t="n"/>
      <c r="E218" s="345" t="inlineStr">
        <is>
          <t>PEDCAD6</t>
        </is>
      </c>
      <c r="F218" s="346" t="inlineStr">
        <is>
          <t>PEDESTAL CAD-6</t>
        </is>
      </c>
      <c r="G218" s="347" t="n"/>
      <c r="H218" s="488">
        <f>B218*G218</f>
        <v/>
      </c>
      <c r="K218" s="556" t="n"/>
    </row>
    <row r="219" outlineLevel="1">
      <c r="A219" s="342" t="inlineStr">
        <is>
          <t>O.FBR.BURD</t>
        </is>
      </c>
      <c r="B219" s="343" t="n"/>
      <c r="C219" s="344" t="n"/>
      <c r="D219" s="344" t="n"/>
      <c r="E219" s="345" t="inlineStr">
        <is>
          <t>PEDCAD8</t>
        </is>
      </c>
      <c r="F219" s="346" t="inlineStr">
        <is>
          <t>PEDESTAL CAD-8</t>
        </is>
      </c>
      <c r="G219" s="347" t="n"/>
      <c r="H219" s="488">
        <f>B219*G219</f>
        <v/>
      </c>
      <c r="K219" s="556" t="n"/>
    </row>
    <row r="220" outlineLevel="1">
      <c r="A220" s="342" t="inlineStr">
        <is>
          <t>O.FBR.BURD</t>
        </is>
      </c>
      <c r="B220" s="343" t="n"/>
      <c r="C220" s="344" t="n"/>
      <c r="D220" s="344" t="n"/>
      <c r="E220" s="345" t="inlineStr">
        <is>
          <t>PEDOFPOBD7</t>
        </is>
      </c>
      <c r="F220" s="346" t="inlineStr">
        <is>
          <t>PEDESTAL OPFO-BD7</t>
        </is>
      </c>
      <c r="G220" s="347" t="n"/>
      <c r="H220" s="488">
        <f>B220*G220</f>
        <v/>
      </c>
      <c r="K220" s="556" t="n"/>
    </row>
    <row r="221" outlineLevel="1">
      <c r="A221" s="342" t="inlineStr">
        <is>
          <t>O.FBR.BURD</t>
        </is>
      </c>
      <c r="B221" s="343" t="n"/>
      <c r="C221" s="344" t="n"/>
      <c r="D221" s="344" t="n"/>
      <c r="E221" s="345" t="inlineStr">
        <is>
          <t>PEDUP1248</t>
        </is>
      </c>
      <c r="F221" s="346" t="inlineStr">
        <is>
          <t>PEDESTAL UP1248</t>
        </is>
      </c>
      <c r="G221" s="347" t="n"/>
      <c r="H221" s="488">
        <f>B221*G221</f>
        <v/>
      </c>
      <c r="K221" s="556" t="n"/>
    </row>
    <row r="222" outlineLevel="1">
      <c r="A222" s="342" t="inlineStr">
        <is>
          <t>O.FBR.BURD</t>
        </is>
      </c>
      <c r="B222" s="343" t="n"/>
      <c r="C222" s="344" t="n"/>
      <c r="D222" s="344" t="n"/>
      <c r="E222" s="345" t="inlineStr">
        <is>
          <t>HDWPOSTPDSTL42</t>
        </is>
      </c>
      <c r="F222" s="346" t="inlineStr">
        <is>
          <t>POST PEDESTAL 42" S1342</t>
        </is>
      </c>
      <c r="G222" s="347" t="n"/>
      <c r="H222" s="488">
        <f>B222*G222</f>
        <v/>
      </c>
      <c r="K222" s="556" t="n"/>
    </row>
    <row r="223" outlineLevel="1" ht="13.5" customHeight="1" thickBot="1">
      <c r="A223" s="369" t="inlineStr">
        <is>
          <t>O.FBR.BURD</t>
        </is>
      </c>
      <c r="B223" s="354" t="n"/>
      <c r="C223" s="355" t="n"/>
      <c r="D223" s="424" t="n"/>
      <c r="E223" s="345" t="inlineStr">
        <is>
          <t>PEDFTTHPRFRM10</t>
        </is>
      </c>
      <c r="F223" s="346" t="inlineStr">
        <is>
          <t>PEDESTAL- FTTH- PRO10FSNGURB 10" PROFORM - EMERSON *INSIDE THE LEC ONLY*</t>
        </is>
      </c>
      <c r="G223" s="372" t="n"/>
      <c r="H223" s="488">
        <f>B223*G223</f>
        <v/>
      </c>
      <c r="K223" s="556" t="n"/>
    </row>
    <row r="224" outlineLevel="1" ht="13.5" customHeight="1" thickBot="1">
      <c r="A224" s="336" t="n"/>
      <c r="B224" s="356" t="n"/>
      <c r="C224" s="357" t="n"/>
      <c r="D224" s="425" t="n"/>
      <c r="E224" s="363" t="n"/>
      <c r="F224" s="359" t="inlineStr">
        <is>
          <t>BURIED CLEAR VIEW DROP SINGLE ENDED</t>
        </is>
      </c>
      <c r="G224" s="364" t="n"/>
      <c r="H224" s="490" t="n"/>
    </row>
    <row r="225" outlineLevel="1">
      <c r="A225" s="349" t="inlineStr">
        <is>
          <t>O.FBR.BURD</t>
        </is>
      </c>
      <c r="B225" s="350" t="n"/>
      <c r="C225" s="351" t="n"/>
      <c r="D225" s="351" t="n"/>
      <c r="E225" s="345" t="inlineStr">
        <is>
          <t>FDPCORCLRCRVOPT75</t>
        </is>
      </c>
      <c r="F225" s="345" t="inlineStr">
        <is>
          <t>Flex drop 75'</t>
        </is>
      </c>
      <c r="G225" s="347" t="n"/>
      <c r="H225" s="493">
        <f>B225*G225</f>
        <v/>
      </c>
    </row>
    <row r="226" outlineLevel="1" ht="13.5" customHeight="1" thickBot="1">
      <c r="A226" s="342" t="inlineStr">
        <is>
          <t>O.FBR.BURD</t>
        </is>
      </c>
      <c r="B226" s="343" t="n"/>
      <c r="C226" s="344" t="n"/>
      <c r="D226" s="344" t="n"/>
      <c r="E226" s="345" t="inlineStr">
        <is>
          <t>FDPCORCLRCRVOPT600</t>
        </is>
      </c>
      <c r="F226" s="345" t="inlineStr">
        <is>
          <t>FLEX DROP 600'</t>
        </is>
      </c>
      <c r="G226" s="347" t="n"/>
      <c r="H226" s="488">
        <f>B226*G226</f>
        <v/>
      </c>
    </row>
    <row r="227" outlineLevel="1" ht="13.5" customHeight="1" thickBot="1">
      <c r="A227" s="336" t="n"/>
      <c r="B227" s="356" t="n"/>
      <c r="C227" s="357" t="n"/>
      <c r="D227" s="357" t="n"/>
      <c r="E227" s="426" t="n"/>
      <c r="F227" s="359" t="inlineStr">
        <is>
          <t>BURIED MULTI PORT</t>
        </is>
      </c>
      <c r="G227" s="360" t="n"/>
      <c r="H227" s="361" t="n"/>
    </row>
    <row r="228" outlineLevel="1">
      <c r="A228" s="342" t="inlineStr">
        <is>
          <t>O.FBR.BURD</t>
        </is>
      </c>
      <c r="B228" s="343" t="n"/>
      <c r="C228" s="344" t="n"/>
      <c r="D228" s="351" t="n"/>
      <c r="E228" s="345" t="inlineStr">
        <is>
          <t>FIJSCA</t>
        </is>
      </c>
      <c r="F228" s="345" t="inlineStr">
        <is>
          <t>FIBER PIGTAIL 12 FIBER SCAPC RBD9-SA3M</t>
        </is>
      </c>
      <c r="G228" s="347" t="n"/>
      <c r="H228" s="488">
        <f>B228*G228</f>
        <v/>
      </c>
    </row>
    <row r="229" outlineLevel="1">
      <c r="A229" s="342" t="inlineStr">
        <is>
          <t>O.FBR.BURD</t>
        </is>
      </c>
      <c r="B229" s="343" t="n"/>
      <c r="C229" s="344" t="n"/>
      <c r="D229" s="344" t="n"/>
      <c r="E229" s="345" t="inlineStr">
        <is>
          <t>HDWAHD28PT</t>
        </is>
      </c>
      <c r="F229" s="345" t="inlineStr">
        <is>
          <t>AERIAL MOUNTING BRACKET 2-8 PT MOB-KT-AHD 2-8 PORTS</t>
        </is>
      </c>
      <c r="G229" s="347" t="n"/>
      <c r="H229" s="488">
        <f>B229*G229</f>
        <v/>
      </c>
    </row>
    <row r="230" outlineLevel="1">
      <c r="A230" s="342" t="inlineStr">
        <is>
          <t>O.FBR.BURD</t>
        </is>
      </c>
      <c r="B230" s="343" t="n"/>
      <c r="C230" s="344" t="n"/>
      <c r="D230" s="344" t="n"/>
      <c r="E230" s="345" t="inlineStr">
        <is>
          <t>HDWAHD12PT</t>
        </is>
      </c>
      <c r="F230" s="345" t="inlineStr">
        <is>
          <t>AERIAL MOUNTING BRACKET 12 PT MOB-KT-AHD-12 PORTS</t>
        </is>
      </c>
      <c r="G230" s="347" t="n"/>
      <c r="H230" s="488">
        <f>B230*G230</f>
        <v/>
      </c>
    </row>
    <row r="231" outlineLevel="1">
      <c r="A231" s="342" t="inlineStr">
        <is>
          <t>O.FBR.BURD</t>
        </is>
      </c>
      <c r="B231" s="343" t="n"/>
      <c r="C231" s="344" t="n"/>
      <c r="D231" s="344" t="n"/>
      <c r="E231" s="353" t="inlineStr">
        <is>
          <t>SPLMLTERMBOX</t>
        </is>
      </c>
      <c r="F231" s="345" t="inlineStr">
        <is>
          <t>MULTILINK TERM BOX 12"X20"X8" RNB-12208-1SL-C-PG-Y-S</t>
        </is>
      </c>
      <c r="G231" s="655" t="n">
        <v>166.09</v>
      </c>
      <c r="H231" s="488">
        <f>B231*G231</f>
        <v/>
      </c>
    </row>
    <row r="232" outlineLevel="1">
      <c r="A232" s="342" t="inlineStr">
        <is>
          <t>O.FBR.BURD</t>
        </is>
      </c>
      <c r="B232" s="350" t="n"/>
      <c r="C232" s="351" t="n"/>
      <c r="D232" s="351" t="n"/>
      <c r="E232" s="353" t="inlineStr">
        <is>
          <t>HDWLUMOAERCBLTAG</t>
        </is>
      </c>
      <c r="F232" s="345" t="inlineStr">
        <is>
          <t>LUMOS AERIAL CABLE WRAP TAG</t>
        </is>
      </c>
      <c r="G232" s="655" t="n">
        <v>3.29</v>
      </c>
      <c r="H232" s="488">
        <f>B232*G232</f>
        <v/>
      </c>
    </row>
    <row r="233" outlineLevel="1">
      <c r="A233" s="342" t="inlineStr">
        <is>
          <t>O.FBR.BURD</t>
        </is>
      </c>
      <c r="B233" s="428" t="n"/>
      <c r="C233" s="355" t="n"/>
      <c r="D233" s="355" t="n"/>
      <c r="E233" s="370" t="inlineStr">
        <is>
          <t>HDWWRSTRND14GRN</t>
        </is>
      </c>
      <c r="F233" s="370" t="inlineStr">
        <is>
          <t>WIRE #14 STRANDED TRACER GREEN</t>
        </is>
      </c>
      <c r="G233" s="372" t="n"/>
      <c r="H233" s="488">
        <f>B233*G233</f>
        <v/>
      </c>
    </row>
    <row r="234" outlineLevel="1">
      <c r="A234" s="342" t="inlineStr">
        <is>
          <t>O.FBR.BURD</t>
        </is>
      </c>
      <c r="B234" s="354" t="n"/>
      <c r="C234" s="355" t="n"/>
      <c r="D234" s="355" t="n"/>
      <c r="E234" s="373" t="inlineStr">
        <is>
          <t>SPLTIITERM24PTSCCON</t>
        </is>
      </c>
      <c r="F234" s="374" t="inlineStr">
        <is>
          <t>TII 24 PORT SC-UPC TERMINAL PANEL PN FET3G-24RSCN00</t>
        </is>
      </c>
      <c r="G234" s="375" t="n"/>
      <c r="H234" s="488">
        <f>B234*G234</f>
        <v/>
      </c>
    </row>
    <row r="235" outlineLevel="1">
      <c r="A235" s="342" t="inlineStr">
        <is>
          <t>O.FBR.BURD</t>
        </is>
      </c>
      <c r="B235" s="354" t="n"/>
      <c r="C235" s="355" t="n"/>
      <c r="D235" s="355" t="n"/>
      <c r="E235" s="373" t="inlineStr">
        <is>
          <t>SPLSCAPCSMFCON</t>
        </is>
      </c>
      <c r="F235" s="374" t="inlineStr">
        <is>
          <t>CONNECTOR SCAPC SPLICE ON F/ 250UM &amp; 900UM 4PK</t>
        </is>
      </c>
      <c r="G235" s="375" t="n"/>
      <c r="H235" s="488">
        <f>B235*G235</f>
        <v/>
      </c>
    </row>
    <row r="236" outlineLevel="1">
      <c r="A236" s="342" t="inlineStr">
        <is>
          <t>O.FBR.BURD</t>
        </is>
      </c>
      <c r="B236" s="354" t="n"/>
      <c r="C236" s="355" t="n"/>
      <c r="D236" s="355" t="n"/>
      <c r="E236" s="373" t="inlineStr">
        <is>
          <t>SPLTIIDEMARC24PTSCAPCADPT</t>
        </is>
      </c>
      <c r="F236" s="374" t="inlineStr">
        <is>
          <t>TII 24 PORT SC-APC TERMINAL PANEL PN FET3G-24RSCN00</t>
        </is>
      </c>
      <c r="G236" s="375" t="n"/>
      <c r="H236" s="488">
        <f>B236*G236</f>
        <v/>
      </c>
    </row>
    <row r="237" outlineLevel="1" ht="13.5" customHeight="1" thickBot="1">
      <c r="A237" s="342" t="inlineStr">
        <is>
          <t>O.FBR.BURD</t>
        </is>
      </c>
      <c r="B237" s="354" t="n"/>
      <c r="C237" s="355" t="n"/>
      <c r="D237" s="355" t="n"/>
      <c r="E237" s="373" t="inlineStr">
        <is>
          <t>SPLTII48FGRFET4G</t>
        </is>
      </c>
      <c r="F237" s="374" t="inlineStr">
        <is>
          <t>TII 48 PORT OUTDOOR ENCLOSURE</t>
        </is>
      </c>
      <c r="G237" s="375" t="n"/>
      <c r="H237" s="488">
        <f>B237*G237</f>
        <v/>
      </c>
    </row>
    <row r="238" outlineLevel="1" ht="13.5" customHeight="1" thickBot="1">
      <c r="A238" s="336" t="n"/>
      <c r="B238" s="356" t="inlineStr">
        <is>
          <t>-</t>
        </is>
      </c>
      <c r="C238" s="357" t="n"/>
      <c r="D238" s="357" t="n"/>
      <c r="E238" s="380" t="n"/>
      <c r="F238" s="339" t="inlineStr">
        <is>
          <t>TOTAL - O.FBR.BURD</t>
        </is>
      </c>
      <c r="G238" s="429" t="n"/>
      <c r="H238" s="491">
        <f>SUM(H175:H237)</f>
        <v/>
      </c>
    </row>
    <row r="239" outlineLevel="1" ht="13.5" customHeight="1" thickBot="1">
      <c r="A239" s="336" t="n"/>
      <c r="B239" s="356" t="inlineStr">
        <is>
          <t>-</t>
        </is>
      </c>
      <c r="C239" s="357" t="n"/>
      <c r="D239" s="357" t="n"/>
      <c r="E239" s="380" t="n"/>
      <c r="F239" s="339" t="inlineStr">
        <is>
          <t>PROVISIONING - BURIED FIBER</t>
        </is>
      </c>
      <c r="G239" s="429" t="n"/>
      <c r="H239" s="491">
        <f>H238*(H1+H2)</f>
        <v/>
      </c>
    </row>
    <row r="240" outlineLevel="1" ht="13.5" customHeight="1" thickBot="1">
      <c r="A240" s="336" t="n"/>
      <c r="B240" s="356" t="inlineStr">
        <is>
          <t>-</t>
        </is>
      </c>
      <c r="C240" s="357" t="n"/>
      <c r="D240" s="357" t="n"/>
      <c r="E240" s="380" t="n"/>
      <c r="F240" s="393" t="inlineStr">
        <is>
          <t>TOTAL - O.FBR.BURD</t>
        </is>
      </c>
      <c r="G240" s="387" t="n"/>
      <c r="H240" s="492">
        <f>H239+H238</f>
        <v/>
      </c>
    </row>
    <row r="241" ht="13.5" customHeight="1" thickBot="1">
      <c r="A241" s="389" t="inlineStr">
        <is>
          <t>&lt;----Click the + to Expand or Collapse the "BURIED FIBER ASSET MATERIAL" Section</t>
        </is>
      </c>
      <c r="B241" s="390" t="n"/>
      <c r="C241" s="430" t="n"/>
      <c r="D241" s="430" t="n"/>
      <c r="E241" s="431" t="n"/>
      <c r="F241" s="431" t="n"/>
      <c r="G241" s="432" t="n"/>
      <c r="H241" s="433" t="n"/>
    </row>
    <row r="242" ht="13.5" customHeight="1" thickBot="1">
      <c r="A242" s="295" t="n"/>
      <c r="B242" s="482" t="inlineStr">
        <is>
          <t>-</t>
        </is>
      </c>
      <c r="C242" s="321" t="n"/>
      <c r="D242" s="321" t="n"/>
      <c r="E242" s="396" t="n"/>
      <c r="F242" s="397" t="inlineStr">
        <is>
          <t>CONDUIT ASSET MATERIAL</t>
        </is>
      </c>
      <c r="G242" s="398" t="n"/>
      <c r="H242" s="399" t="n"/>
    </row>
    <row r="243" outlineLevel="1" ht="12.75" customHeight="1">
      <c r="A243" s="301" t="inlineStr">
        <is>
          <t>O.CONDUIT</t>
        </is>
      </c>
      <c r="B243" s="843">
        <f>(('LABOR SPAN SHEET'!AG2)-SUMIF('LABOR SPAN SHEET'!D7:$D$1000,"4""",'LABOR SPAN SHEET'!AG7:$AG$1000)-SUMIF('LABOR SPAN SHEET'!D7:$D$1000,"2""",'LABOR SPAN SHEET'!AG7:$AG$1000))+(SUMIF('LABOR SPAN SHEET'!D7:$D$1000,"4""",'LABOR SPAN SHEET'!AG7:$AG$1000)*3)</f>
        <v/>
      </c>
      <c r="C243" s="303" t="n"/>
      <c r="D243" s="593" t="n"/>
      <c r="E243" s="427" t="inlineStr">
        <is>
          <t>INDGEN125</t>
        </is>
      </c>
      <c r="F243" s="434" t="inlineStr">
        <is>
          <t>INNERDUCT 1.25" ARNCO SDR 13.5</t>
        </is>
      </c>
      <c r="G243" s="660" t="n">
        <v>0.29</v>
      </c>
      <c r="H243" s="484">
        <f>B243*G243</f>
        <v/>
      </c>
    </row>
    <row r="244" outlineLevel="1" ht="12.75" customHeight="1">
      <c r="A244" s="307" t="inlineStr">
        <is>
          <t>O.CONDUIT</t>
        </is>
      </c>
      <c r="B244" s="302" t="n"/>
      <c r="C244" s="303" t="n"/>
      <c r="D244" s="593" t="n"/>
      <c r="E244" s="400" t="inlineStr">
        <is>
          <t>INDGEN34</t>
        </is>
      </c>
      <c r="F244" s="434" t="inlineStr">
        <is>
          <t>3/4" /SDR-13.5 /Regular /Straight Ribs; Not stocked/standard item, lead time may be needed</t>
        </is>
      </c>
      <c r="G244" s="401" t="n">
        <v>0.28</v>
      </c>
      <c r="H244" s="484">
        <f>B244*G244</f>
        <v/>
      </c>
    </row>
    <row r="245" outlineLevel="1" ht="12.75" customHeight="1">
      <c r="A245" s="307" t="inlineStr">
        <is>
          <t>O.CONDUIT</t>
        </is>
      </c>
      <c r="B245" s="302" t="n"/>
      <c r="C245" s="303" t="n"/>
      <c r="D245" s="593" t="n"/>
      <c r="E245" s="402" t="inlineStr">
        <is>
          <t>IND1SUB</t>
        </is>
      </c>
      <c r="F245" s="402" t="inlineStr">
        <is>
          <t>1" /SDR-13.5 /Regular /Straight Ribs /Orange /Orange /Silico; Not stocked/standard item, lead time may be needed</t>
        </is>
      </c>
      <c r="G245" s="401" t="n">
        <v>0.48</v>
      </c>
      <c r="H245" s="484">
        <f>B245*G245</f>
        <v/>
      </c>
    </row>
    <row r="246" outlineLevel="1" ht="12.75" customHeight="1">
      <c r="A246" s="307" t="inlineStr">
        <is>
          <t>O.CONDUIT</t>
        </is>
      </c>
      <c r="B246" s="548" t="n"/>
      <c r="C246" s="309" t="n"/>
      <c r="D246" s="593" t="n"/>
      <c r="E246" s="402" t="inlineStr">
        <is>
          <t>INDGEN15</t>
        </is>
      </c>
      <c r="F246" s="409" t="inlineStr">
        <is>
          <t>INNERDUCT-1.5" SDR 13.5 SMOOTH; Not stocked/standard item, lead time may be needed</t>
        </is>
      </c>
      <c r="G246" s="401" t="n">
        <v>1.09</v>
      </c>
      <c r="H246" s="484">
        <f>B246*G246</f>
        <v/>
      </c>
      <c r="J246" s="500" t="n"/>
      <c r="K246" s="554" t="n"/>
    </row>
    <row r="247" outlineLevel="1">
      <c r="A247" s="307" t="inlineStr">
        <is>
          <t>O.CONDUIT</t>
        </is>
      </c>
      <c r="B247" s="548">
        <f>SUMIF('LABOR SPAN SHEET'!D7:$D$1000,"2""",'LABOR SPAN SHEET'!AG7:$AG$1000)</f>
        <v/>
      </c>
      <c r="C247" s="308" t="n"/>
      <c r="D247" s="593" t="n"/>
      <c r="E247" s="353" t="inlineStr">
        <is>
          <t>INDGEN2</t>
        </is>
      </c>
      <c r="F247" s="402" t="inlineStr">
        <is>
          <t>INNERDUCT-2" SDR 13.5 SMOOTH (ROLL PIPE)</t>
        </is>
      </c>
      <c r="G247" s="660" t="n">
        <v>0.43</v>
      </c>
      <c r="H247" s="484">
        <f>B247*G247</f>
        <v/>
      </c>
      <c r="J247" s="500" t="n"/>
      <c r="K247" s="554" t="n"/>
    </row>
    <row r="248" outlineLevel="1">
      <c r="A248" s="307" t="inlineStr">
        <is>
          <t>O.CONDUIT</t>
        </is>
      </c>
      <c r="B248" s="308" t="n"/>
      <c r="C248" s="309" t="n"/>
      <c r="D248" s="593" t="n"/>
      <c r="E248" s="402" t="inlineStr">
        <is>
          <t>INDSMOOTH4</t>
        </is>
      </c>
      <c r="F248" s="402" t="inlineStr">
        <is>
          <t>INNERDUCT-4" SDR 13.5 SMOOTH (ROLL PIPE) Not stocked/standard item, lead time may be needed</t>
        </is>
      </c>
      <c r="G248" s="401" t="n">
        <v>5.4</v>
      </c>
      <c r="H248" s="484">
        <f>B248*G248</f>
        <v/>
      </c>
    </row>
    <row r="249" outlineLevel="1">
      <c r="A249" s="307" t="inlineStr">
        <is>
          <t>O.CONDUIT</t>
        </is>
      </c>
      <c r="B249" s="548">
        <f>SUMIF('LABOR SPAN SHEET'!D7:$D$1000,"4""",'LABOR SPAN SHEET'!AG7:$AG$1000)</f>
        <v/>
      </c>
      <c r="C249" s="309" t="n"/>
      <c r="D249" s="593" t="n"/>
      <c r="E249" s="353" t="inlineStr">
        <is>
          <t>INDGEN4SDR11</t>
        </is>
      </c>
      <c r="F249" s="402" t="inlineStr">
        <is>
          <t>INNERDUCT - 4" SDR 11 (MAX REEL 550') - ***RR CROSSINGS ONLY***</t>
        </is>
      </c>
      <c r="G249" s="660" t="n">
        <v>6.1</v>
      </c>
      <c r="H249" s="484">
        <f>B249*G249</f>
        <v/>
      </c>
    </row>
    <row r="250" outlineLevel="1">
      <c r="A250" s="307" t="inlineStr">
        <is>
          <t>O.CONDUIT</t>
        </is>
      </c>
      <c r="B250" s="308" t="n"/>
      <c r="C250" s="309" t="n"/>
      <c r="D250" s="593" t="n"/>
      <c r="E250" s="402" t="inlineStr">
        <is>
          <t>IND125ORGBLUGREN</t>
        </is>
      </c>
      <c r="F250" s="402" t="inlineStr">
        <is>
          <t>3 COLOR INNERDUCT; Not stocked/standard item, lead time may be needed</t>
        </is>
      </c>
      <c r="G250" s="401" t="n">
        <v>1.27</v>
      </c>
      <c r="H250" s="484">
        <f>B250*G250</f>
        <v/>
      </c>
    </row>
    <row r="251" outlineLevel="1">
      <c r="A251" s="307" t="inlineStr">
        <is>
          <t>O.CONDUIT</t>
        </is>
      </c>
      <c r="B251" s="308" t="n"/>
      <c r="C251" s="309" t="n"/>
      <c r="D251" s="593" t="n"/>
      <c r="E251" s="402" t="inlineStr">
        <is>
          <t>INDGENMICRO85</t>
        </is>
      </c>
      <c r="F251" s="402" t="inlineStr">
        <is>
          <t>MicroDuct /8.5 mm OD/6 mm ID /Listed/Straight Ribs/ Natural /Natural /Durathane (Riser) Silicore /Empty /Ink Jet /Listed Print /Wood /WRLD 24x18x12 /2,500 PN 10013574</t>
        </is>
      </c>
      <c r="G251" s="401" t="n">
        <v>0.45</v>
      </c>
      <c r="H251" s="484">
        <f>B251*G251</f>
        <v/>
      </c>
    </row>
    <row r="252" outlineLevel="1">
      <c r="A252" s="307" t="inlineStr">
        <is>
          <t>O.CONDUIT</t>
        </is>
      </c>
      <c r="B252" s="308" t="n"/>
      <c r="C252" s="309" t="n"/>
      <c r="D252" s="593" t="n"/>
      <c r="E252" s="402" t="inlineStr">
        <is>
          <t>INDMAXCELL2</t>
        </is>
      </c>
      <c r="F252" s="402" t="inlineStr">
        <is>
          <t>INNERDUCT MAXCELL 2" 3 CELL MXC2003YLXXXX - NON-DETECTABLE; Not stocked/standard item, lead time may be needed</t>
        </is>
      </c>
      <c r="G252" s="401" t="n">
        <v>2.47</v>
      </c>
      <c r="H252" s="484">
        <f>B252*G252</f>
        <v/>
      </c>
    </row>
    <row r="253" outlineLevel="1">
      <c r="A253" s="307" t="inlineStr">
        <is>
          <t>O.CONDUIT</t>
        </is>
      </c>
      <c r="B253" s="308" t="n"/>
      <c r="C253" s="309" t="n"/>
      <c r="D253" s="593" t="n"/>
      <c r="E253" s="402" t="inlineStr">
        <is>
          <t>CND4INPVC</t>
        </is>
      </c>
      <c r="F253" s="402" t="inlineStr">
        <is>
          <t>CONDUIT 4" PVC SCHEDULE 40 CPV400 ***Order in 10' Lengths***</t>
        </is>
      </c>
      <c r="G253" s="401" t="n">
        <v>8.699999999999999</v>
      </c>
      <c r="H253" s="484">
        <f>B253*G253</f>
        <v/>
      </c>
    </row>
    <row r="254" outlineLevel="1">
      <c r="A254" s="307" t="inlineStr">
        <is>
          <t>O.CONDUIT</t>
        </is>
      </c>
      <c r="B254" s="844">
        <f>ROUNDUP('LABOR SPAN SHEET'!AD2/500,0)</f>
        <v/>
      </c>
      <c r="C254" s="315" t="n"/>
      <c r="D254" s="593" t="n"/>
      <c r="E254" s="353" t="inlineStr">
        <is>
          <t>SPLROUTEMARKER</t>
        </is>
      </c>
      <c r="F254" s="409" t="inlineStr">
        <is>
          <t>FIBER ROUTE MARKER SIGN</t>
        </is>
      </c>
      <c r="G254" s="660" t="n">
        <v>13.97</v>
      </c>
      <c r="H254" s="484">
        <f>B254*G254</f>
        <v/>
      </c>
      <c r="J254" s="500" t="n"/>
      <c r="K254" s="554" t="n"/>
    </row>
    <row r="255" outlineLevel="1">
      <c r="A255" s="307" t="inlineStr">
        <is>
          <t>O.CONDUIT</t>
        </is>
      </c>
      <c r="B255" s="314" t="n"/>
      <c r="C255" s="315" t="n"/>
      <c r="D255" s="593" t="n"/>
      <c r="E255" s="402" t="inlineStr">
        <is>
          <t>HDWLACBALL3M</t>
        </is>
      </c>
      <c r="F255" s="409" t="inlineStr">
        <is>
          <t>LOCATOR BALL 3M - 1401-XR 80611161136 - CONSUMABLE STOCK</t>
        </is>
      </c>
      <c r="G255" s="401" t="n">
        <v>14.6</v>
      </c>
      <c r="H255" s="484">
        <f>B255*G255</f>
        <v/>
      </c>
    </row>
    <row r="256" outlineLevel="1">
      <c r="A256" s="307" t="inlineStr">
        <is>
          <t>O.CONDUIT</t>
        </is>
      </c>
      <c r="B256" s="314" t="n"/>
      <c r="C256" s="315" t="n"/>
      <c r="D256" s="593" t="n"/>
      <c r="E256" s="423" t="inlineStr">
        <is>
          <t>PEDCHNCHP920</t>
        </is>
      </c>
      <c r="F256" s="435" t="inlineStr">
        <is>
          <t>CPH920C1B1S2L00A0 Challenger Pedestal Housing (Large), Standard Bracket/12" Stake, Standard Logo</t>
        </is>
      </c>
      <c r="G256" s="660" t="n">
        <v>38.95</v>
      </c>
      <c r="H256" s="484">
        <f>B256*G256</f>
        <v/>
      </c>
    </row>
    <row r="257" outlineLevel="1">
      <c r="A257" s="307" t="inlineStr">
        <is>
          <t>O.CONDUIT</t>
        </is>
      </c>
      <c r="B257" s="314">
        <f>K257</f>
        <v/>
      </c>
      <c r="C257" s="315" t="n"/>
      <c r="D257" s="593" t="n"/>
      <c r="E257" s="423" t="inlineStr">
        <is>
          <t>PBXGENDRPBX</t>
        </is>
      </c>
      <c r="F257" s="435" t="inlineStr">
        <is>
          <t>NON-DOT/NON-TIER 22 - FLOWER POT 11"X11"X12" DROP BOX  PN SGLB01211261 AU101512P00N-XX;   100007163; SGLB-0</t>
        </is>
      </c>
      <c r="G257" s="660" t="n">
        <v>19</v>
      </c>
      <c r="H257" s="484">
        <f>B257*G257</f>
        <v/>
      </c>
      <c r="I257" s="944" t="inlineStr">
        <is>
          <t>FP</t>
        </is>
      </c>
      <c r="J257" s="500" t="inlineStr">
        <is>
          <t>11"X11"X12" Non-Tier 22</t>
        </is>
      </c>
      <c r="K257" s="554">
        <f>SUM(L257:AH257)</f>
        <v/>
      </c>
    </row>
    <row r="258" outlineLevel="1">
      <c r="A258" s="307" t="inlineStr">
        <is>
          <t>O.CONDUIT</t>
        </is>
      </c>
      <c r="B258" s="314">
        <f>K258</f>
        <v/>
      </c>
      <c r="C258" s="315" t="n"/>
      <c r="D258" s="593" t="n"/>
      <c r="E258" s="410" t="inlineStr">
        <is>
          <t>PBXGENDRPBXT22</t>
        </is>
      </c>
      <c r="F258" s="435" t="inlineStr">
        <is>
          <t>TIER 22 FLOWER POT BULK Utilities 12x12x12” Depth GLB, SHIELD Lid, Failsafe 9/16” Hex Bolt, Custom LUMOS logo PN BULKU1212120061261</t>
        </is>
      </c>
      <c r="G258" s="401" t="n">
        <v>121</v>
      </c>
      <c r="H258" s="484">
        <f>B258*G258</f>
        <v/>
      </c>
      <c r="I258" s="944" t="inlineStr">
        <is>
          <t>FP</t>
        </is>
      </c>
      <c r="J258" s="500" t="inlineStr">
        <is>
          <t>12"X12"X12" Tier 22</t>
        </is>
      </c>
      <c r="K258" s="554">
        <f>SUM(L258:AH258)</f>
        <v/>
      </c>
    </row>
    <row r="259" outlineLevel="1">
      <c r="A259" s="307" t="inlineStr">
        <is>
          <t>O.CONDUIT</t>
        </is>
      </c>
      <c r="B259" s="314">
        <f>K259</f>
        <v/>
      </c>
      <c r="C259" s="315" t="n"/>
      <c r="D259" s="593" t="n"/>
      <c r="E259" s="423" t="inlineStr">
        <is>
          <t>PBXGEN13X24X18</t>
        </is>
      </c>
      <c r="F259" s="924" t="inlineStr">
        <is>
          <t>TIER 22 (SPLT) 13"x24"x18" DEEP BULK VAULT SHIELD TIER 22 (33 750LB TEST LOAD) SELF-LOCK HEX-HEAD SECURITY LUMOS CUSTOM LOGO  PN  BULKU1324180066261</t>
        </is>
      </c>
      <c r="G259" s="660" t="n">
        <v>191.4</v>
      </c>
      <c r="H259" s="484">
        <f>B259*G259</f>
        <v/>
      </c>
      <c r="I259" s="944" t="inlineStr">
        <is>
          <t>HH</t>
        </is>
      </c>
      <c r="J259" s="500" t="inlineStr">
        <is>
          <t>13"X24"X18" Tier 22</t>
        </is>
      </c>
      <c r="K259" s="554">
        <f>SUM(L259:AH259)</f>
        <v/>
      </c>
    </row>
    <row r="260" outlineLevel="1">
      <c r="A260" s="307" t="inlineStr">
        <is>
          <t>O.CONDUIT</t>
        </is>
      </c>
      <c r="B260" s="314" t="n"/>
      <c r="C260" s="315" t="n"/>
      <c r="D260" s="593" t="n"/>
      <c r="E260" s="410" t="inlineStr">
        <is>
          <t>PBXGEN17X30X24GRN</t>
        </is>
      </c>
      <c r="F260" s="924" t="inlineStr">
        <is>
          <t>NON-DOT/NON-TIER 22 (SM)- 17"X30" 24" DEEP BULK VAULT HDPE PLASTIC LID SELF-LOCK HEX-HEAD SECURITY LUMOS CUSTOM LOGO PN: BULKU1730240016261</t>
        </is>
      </c>
      <c r="G260" s="401" t="n">
        <v>194.62</v>
      </c>
      <c r="H260" s="484">
        <f>B260*G260</f>
        <v/>
      </c>
      <c r="I260" s="944" t="inlineStr">
        <is>
          <t>HH</t>
        </is>
      </c>
      <c r="J260" s="500" t="inlineStr">
        <is>
          <t>17"X30"X24" Non-Tier 22</t>
        </is>
      </c>
      <c r="K260" s="554">
        <f>SUM(L260:AH260)</f>
        <v/>
      </c>
    </row>
    <row r="261" outlineLevel="1">
      <c r="A261" s="307" t="inlineStr">
        <is>
          <t>O.CONDUIT</t>
        </is>
      </c>
      <c r="B261" s="314">
        <f>K261</f>
        <v/>
      </c>
      <c r="C261" s="315" t="n"/>
      <c r="D261" s="593" t="n"/>
      <c r="E261" s="423" t="inlineStr">
        <is>
          <t>PBXGEN17X30X24</t>
        </is>
      </c>
      <c r="F261" s="924" t="inlineStr">
        <is>
          <t>TIER 22 (SM) 17"X30" 24" DEEP BULK VAULT SHIELD TIER 22 (33 750LB TEST LOAD) 1-PIECE LID SELF-LOCK HEX-HEAD SECURITY LUMOS CUSTOM LOGO PN  BULKU1730240066261</t>
        </is>
      </c>
      <c r="G261" s="660" t="n">
        <v>317</v>
      </c>
      <c r="H261" s="484">
        <f>B261*G261</f>
        <v/>
      </c>
      <c r="I261" s="944" t="inlineStr">
        <is>
          <t>HH</t>
        </is>
      </c>
      <c r="J261" s="500" t="inlineStr">
        <is>
          <t>17"X30"X24" Tier 22</t>
        </is>
      </c>
      <c r="K261" s="554">
        <f>SUM(L261:AH261)</f>
        <v/>
      </c>
    </row>
    <row r="262" outlineLevel="1">
      <c r="A262" s="307" t="inlineStr">
        <is>
          <t>O.CONDUIT</t>
        </is>
      </c>
      <c r="B262" s="314">
        <f>K262</f>
        <v/>
      </c>
      <c r="C262" s="315" t="n"/>
      <c r="D262" s="593" t="n"/>
      <c r="E262" s="423" t="inlineStr">
        <is>
          <t>PBXGEN24X36X24</t>
        </is>
      </c>
      <c r="F262" s="924" t="inlineStr">
        <is>
          <t>TIER 22 (MED) 24"X36" 24" DEEP BULK VAULT SHIELD TIER 22 (33 750LB TEST LOAD) 1-PIECE LID SELF-LOCK HEX SECURITY. LUMOS CUSTOM LOGO PN BULKU2436240066261</t>
        </is>
      </c>
      <c r="G262" s="660" t="n">
        <v>429.74</v>
      </c>
      <c r="H262" s="484">
        <f>B262*G262</f>
        <v/>
      </c>
      <c r="I262" s="944" t="inlineStr">
        <is>
          <t>HH</t>
        </is>
      </c>
      <c r="J262" s="500" t="inlineStr">
        <is>
          <t>24"X36"X24" Tier 22</t>
        </is>
      </c>
      <c r="K262" s="554">
        <f>SUM(L262:AH262)</f>
        <v/>
      </c>
    </row>
    <row r="263" outlineLevel="1">
      <c r="A263" s="307" t="inlineStr">
        <is>
          <t>O.CONDUIT</t>
        </is>
      </c>
      <c r="B263" s="314" t="n"/>
      <c r="C263" s="315" t="n"/>
      <c r="D263" s="593" t="n"/>
      <c r="E263" s="423" t="inlineStr">
        <is>
          <t>PBXGEN30X48X24</t>
        </is>
      </c>
      <c r="F263" s="924" t="inlineStr">
        <is>
          <t>TIER 22 (LHH) PULL BOX 30X48X24 BULK TIER 22 LID, GREY COMPOSITE PN BULKU3048240081261</t>
        </is>
      </c>
      <c r="G263" s="660" t="n">
        <v>626.9</v>
      </c>
      <c r="H263" s="484">
        <f>B263*G263</f>
        <v/>
      </c>
      <c r="I263" s="944" t="inlineStr">
        <is>
          <t>HH</t>
        </is>
      </c>
      <c r="J263" s="500" t="inlineStr">
        <is>
          <t>30"X48"X24" Tier 22</t>
        </is>
      </c>
      <c r="K263" s="554">
        <f>SUM(L263:AH263)</f>
        <v/>
      </c>
    </row>
    <row r="264" outlineLevel="1">
      <c r="A264" s="307" t="inlineStr">
        <is>
          <t>O.CONDUIT</t>
        </is>
      </c>
      <c r="B264" s="314" t="n"/>
      <c r="C264" s="315" t="n"/>
      <c r="D264" s="593" t="n"/>
      <c r="E264" s="945" t="inlineStr">
        <is>
          <t>PBXGEN30X48X36</t>
        </is>
      </c>
      <c r="F264" s="924" t="inlineStr">
        <is>
          <t>TIER 22 (XLG) 30X48X36 W/SPLIT LID, TRUE TIER 22, GREY COMPOSITE PN BULKU3048360081261</t>
        </is>
      </c>
      <c r="G264" s="946" t="n">
        <v>659</v>
      </c>
      <c r="H264" s="484">
        <f>B264*G264</f>
        <v/>
      </c>
      <c r="I264" s="944" t="n"/>
      <c r="J264" s="500" t="n"/>
      <c r="K264" s="554" t="n"/>
    </row>
    <row r="265" outlineLevel="1">
      <c r="A265" s="307" t="inlineStr">
        <is>
          <t>O.CONDUIT</t>
        </is>
      </c>
      <c r="B265" s="314" t="n"/>
      <c r="C265" s="315" t="n"/>
      <c r="D265" s="593" t="n"/>
      <c r="E265" s="410" t="inlineStr">
        <is>
          <t xml:space="preserve">HDWCHASWGBRKT </t>
        </is>
      </c>
      <c r="F265" s="435" t="inlineStr">
        <is>
          <t>SWING ARM KIT FOR PULL BOXES, Fiber Tap Butterfly Plate Kit w/Swing Bracket PN BR00453K</t>
        </is>
      </c>
      <c r="G265" s="401" t="n">
        <v>70.42</v>
      </c>
      <c r="H265" s="484">
        <f>B265*G265</f>
        <v/>
      </c>
      <c r="J265" s="500" t="n"/>
      <c r="K265" s="554" t="n"/>
    </row>
    <row r="266" outlineLevel="1">
      <c r="A266" s="307" t="inlineStr">
        <is>
          <t>O.CONDUIT</t>
        </is>
      </c>
      <c r="B266" s="314" t="n"/>
      <c r="C266" s="315" t="n"/>
      <c r="D266" s="593" t="n"/>
      <c r="E266" s="410" t="inlineStr">
        <is>
          <t>CNDSWP4IN3690</t>
        </is>
      </c>
      <c r="F266" s="435" t="inlineStr">
        <is>
          <t>CONDUIT SWEEPS 4" PVC 36" 90*R PN UA9FNB</t>
        </is>
      </c>
      <c r="G266" s="401" t="n">
        <v>43.51</v>
      </c>
      <c r="H266" s="484">
        <f>B266*G266</f>
        <v/>
      </c>
      <c r="J266" s="500" t="n"/>
      <c r="K266" s="554" t="n"/>
    </row>
    <row r="267" outlineLevel="1" ht="13.5" customHeight="1" thickBot="1">
      <c r="A267" s="313" t="n"/>
      <c r="B267" s="314" t="n"/>
      <c r="C267" s="315" t="n"/>
      <c r="D267" s="315" t="n"/>
      <c r="E267" s="410" t="n"/>
      <c r="F267" s="435" t="n"/>
      <c r="G267" s="411" t="n"/>
      <c r="H267" s="484">
        <f>B267*G267</f>
        <v/>
      </c>
    </row>
    <row r="268" outlineLevel="1" ht="13.5" customHeight="1" thickBot="1">
      <c r="A268" s="319" t="n"/>
      <c r="B268" s="320" t="inlineStr">
        <is>
          <t>-</t>
        </is>
      </c>
      <c r="C268" s="321" t="n"/>
      <c r="D268" s="321" t="n"/>
      <c r="E268" s="322" t="n"/>
      <c r="F268" s="323" t="inlineStr">
        <is>
          <t>TOTAL - O.CONDUIT</t>
        </is>
      </c>
      <c r="G268" s="414" t="n"/>
      <c r="H268" s="495">
        <f>SUM(H243:H267)</f>
        <v/>
      </c>
    </row>
    <row r="269" outlineLevel="1" ht="13.5" customHeight="1" thickBot="1">
      <c r="A269" s="319" t="n"/>
      <c r="B269" s="320" t="inlineStr">
        <is>
          <t>-</t>
        </is>
      </c>
      <c r="C269" s="321" t="n"/>
      <c r="D269" s="321" t="n"/>
      <c r="E269" s="322" t="n"/>
      <c r="F269" s="323" t="inlineStr">
        <is>
          <t>PROVISIONING - CONDUIT MATERIAL</t>
        </is>
      </c>
      <c r="G269" s="414" t="n"/>
      <c r="H269" s="495">
        <f>H268*(H1+H2)</f>
        <v/>
      </c>
    </row>
    <row r="270" outlineLevel="1" ht="13.5" customHeight="1" thickBot="1">
      <c r="A270" s="319" t="n"/>
      <c r="B270" s="320" t="inlineStr">
        <is>
          <t>-</t>
        </is>
      </c>
      <c r="C270" s="321" t="n"/>
      <c r="D270" s="321" t="n"/>
      <c r="E270" s="322" t="n"/>
      <c r="F270" s="326" t="inlineStr">
        <is>
          <t>TOTAL - O.CONDUIT</t>
        </is>
      </c>
      <c r="G270" s="327" t="n"/>
      <c r="H270" s="496">
        <f>H268+H269</f>
        <v/>
      </c>
    </row>
    <row r="271" ht="13.5" customHeight="1" thickBot="1">
      <c r="A271" s="436" t="inlineStr">
        <is>
          <t>&lt;----Click the + to Expand or Collapse the "CONDUIT ASSET MATERIAL" Section</t>
        </is>
      </c>
      <c r="B271" s="320" t="n"/>
      <c r="C271" s="321" t="n"/>
      <c r="D271" s="321" t="n"/>
      <c r="E271" s="396" t="n"/>
      <c r="F271" s="397" t="n"/>
      <c r="G271" s="398" t="n"/>
      <c r="H271" s="399" t="n"/>
    </row>
    <row r="272" ht="13.5" customHeight="1" thickBot="1">
      <c r="A272" s="336" t="n"/>
      <c r="B272" s="483" t="inlineStr">
        <is>
          <t>-</t>
        </is>
      </c>
      <c r="C272" s="422" t="n"/>
      <c r="D272" s="422" t="n"/>
      <c r="E272" s="338" t="n"/>
      <c r="F272" s="339" t="inlineStr">
        <is>
          <t>AERIAL SPLICING MATERIAL</t>
        </is>
      </c>
      <c r="G272" s="340" t="n"/>
      <c r="H272" s="341" t="n"/>
    </row>
    <row r="273" hidden="1" outlineLevel="1">
      <c r="A273" s="342" t="inlineStr">
        <is>
          <t>O.FBR.AERL</t>
        </is>
      </c>
      <c r="B273" s="343" t="n"/>
      <c r="C273" s="344" t="n"/>
      <c r="D273" s="344" t="n"/>
      <c r="E273" s="346" t="inlineStr">
        <is>
          <t>SPLHEATSHRINK60MM</t>
        </is>
      </c>
      <c r="F273" s="346" t="inlineStr">
        <is>
          <t>HEAT SHRINK SLEEVE/SING FIBER(50MM) (CONSUMABLE STOCK)</t>
        </is>
      </c>
      <c r="G273" s="347" t="n"/>
      <c r="H273" s="348">
        <f>B273*G273</f>
        <v/>
      </c>
    </row>
    <row r="274" hidden="1" outlineLevel="1">
      <c r="A274" s="342" t="inlineStr">
        <is>
          <t>O.FBR.AERL</t>
        </is>
      </c>
      <c r="B274" s="343" t="n"/>
      <c r="C274" s="344" t="n"/>
      <c r="D274" s="344" t="n"/>
      <c r="E274" s="345" t="inlineStr">
        <is>
          <t>SPLHEATSHRINK42MRIBBON</t>
        </is>
      </c>
      <c r="F274" s="346" t="inlineStr">
        <is>
          <t xml:space="preserve">42MM HEAT SHRINK FOR RIBBON FIBER </t>
        </is>
      </c>
      <c r="G274" s="347" t="n"/>
      <c r="H274" s="348">
        <f>B274*G274</f>
        <v/>
      </c>
    </row>
    <row r="275" hidden="1" outlineLevel="1">
      <c r="A275" s="342" t="inlineStr">
        <is>
          <t>O.FBR.AERL</t>
        </is>
      </c>
      <c r="B275" s="343" t="n"/>
      <c r="C275" s="344" t="n"/>
      <c r="D275" s="344" t="n"/>
      <c r="E275" s="345" t="inlineStr">
        <is>
          <t>SPLTRAY80805110CYT</t>
        </is>
      </c>
      <c r="F275" s="346" t="inlineStr">
        <is>
          <t>SPLICE TRAY 80805110 COYOTE - OLD CLOSURES</t>
        </is>
      </c>
      <c r="G275" s="347" t="n"/>
      <c r="H275" s="348">
        <f>B275*G275</f>
        <v/>
      </c>
    </row>
    <row r="276" hidden="1" outlineLevel="1">
      <c r="A276" s="342" t="inlineStr">
        <is>
          <t>O.FBR.AERL</t>
        </is>
      </c>
      <c r="B276" s="343" t="n"/>
      <c r="C276" s="437" t="n"/>
      <c r="D276" s="437" t="n"/>
      <c r="E276" s="376" t="inlineStr">
        <is>
          <t>SPLCLSRCYT40</t>
        </is>
      </c>
      <c r="F276" s="438" t="inlineStr">
        <is>
          <t>CLOSURE COYOTE 6" 8006540</t>
        </is>
      </c>
      <c r="G276" s="347" t="n"/>
      <c r="H276" s="348">
        <f>B276*G276</f>
        <v/>
      </c>
    </row>
    <row r="277" hidden="1" outlineLevel="1">
      <c r="A277" s="342" t="inlineStr">
        <is>
          <t>O.FBR.AERL</t>
        </is>
      </c>
      <c r="B277" s="343" t="n"/>
      <c r="C277" s="437" t="n"/>
      <c r="D277" s="437" t="n"/>
      <c r="E277" s="376" t="inlineStr">
        <is>
          <t>FIJSCA</t>
        </is>
      </c>
      <c r="F277" s="438" t="inlineStr">
        <is>
          <t>FIBER PIGTAIL 12 FIBER SCAPC RBD9-SA3M</t>
        </is>
      </c>
      <c r="G277" s="347" t="n"/>
      <c r="H277" s="348">
        <f>B277*G277</f>
        <v/>
      </c>
    </row>
    <row r="278" hidden="1" outlineLevel="1">
      <c r="A278" s="342" t="inlineStr">
        <is>
          <t>O.FBR.AERL</t>
        </is>
      </c>
      <c r="B278" s="343" t="n"/>
      <c r="C278" s="437" t="n"/>
      <c r="D278" s="437" t="n"/>
      <c r="E278" s="353" t="inlineStr">
        <is>
          <t>SPLCOMFOSC450B6CASE</t>
        </is>
      </c>
      <c r="F278" s="345" t="inlineStr">
        <is>
          <t>TYCO B CASE ONLY FOSC450-B6-6-NT-0-B3V 058514-000</t>
        </is>
      </c>
      <c r="G278" s="657" t="n">
        <v>226.08</v>
      </c>
      <c r="H278" s="348">
        <f>B278*G278</f>
        <v/>
      </c>
    </row>
    <row r="279" hidden="1" outlineLevel="1">
      <c r="A279" s="342" t="inlineStr">
        <is>
          <t>O.FBR.AERL</t>
        </is>
      </c>
      <c r="B279" s="343" t="n"/>
      <c r="C279" s="437" t="n"/>
      <c r="D279" s="437" t="n"/>
      <c r="E279" s="353" t="inlineStr">
        <is>
          <t>SPLCOMFOSC12RIBTRY</t>
        </is>
      </c>
      <c r="F279" s="345" t="inlineStr">
        <is>
          <t>TYCO A/B SPLICETRAY ONLY FOSC ACC-A/B-TRAY-12-RBN 709972-000</t>
        </is>
      </c>
      <c r="G279" s="657" t="n">
        <v>26.24</v>
      </c>
      <c r="H279" s="348">
        <f>B279*G279</f>
        <v/>
      </c>
    </row>
    <row r="280" hidden="1" outlineLevel="1">
      <c r="A280" s="342" t="inlineStr">
        <is>
          <t>O.FBR.AERL</t>
        </is>
      </c>
      <c r="B280" s="343" t="n"/>
      <c r="C280" s="437" t="n"/>
      <c r="D280" s="437" t="n"/>
      <c r="E280" s="353" t="inlineStr">
        <is>
          <t>SPLCOMFOSC450D6CASE</t>
        </is>
      </c>
      <c r="F280" s="346" t="inlineStr">
        <is>
          <t>TYCO D CASE ONLY FOSC450-D6-6-NT-0-D3V c32954-000</t>
        </is>
      </c>
      <c r="G280" s="657" t="n">
        <v>338.04</v>
      </c>
      <c r="H280" s="348">
        <f>B280*G280</f>
        <v/>
      </c>
    </row>
    <row r="281" hidden="1" outlineLevel="1">
      <c r="A281" s="342" t="inlineStr">
        <is>
          <t>O.FBR.AERL</t>
        </is>
      </c>
      <c r="B281" s="343" t="n"/>
      <c r="C281" s="437" t="n"/>
      <c r="D281" s="437" t="n"/>
      <c r="E281" s="423" t="inlineStr">
        <is>
          <t>SPLCOMFOSCRIBTRAYKIT</t>
        </is>
      </c>
      <c r="F281" s="371" t="inlineStr">
        <is>
          <t xml:space="preserve"> TYCO D SPLICE TRAY ONLY FOSC ACC-5-TRAY-RIBN-24 061064-000</t>
        </is>
      </c>
      <c r="G281" s="657" t="n">
        <v>35</v>
      </c>
      <c r="H281" s="348">
        <f>B281*G281</f>
        <v/>
      </c>
    </row>
    <row r="282" hidden="1" outlineLevel="1">
      <c r="A282" s="342" t="inlineStr">
        <is>
          <t>O.FBR.AERL</t>
        </is>
      </c>
      <c r="B282" s="343" t="n"/>
      <c r="C282" s="437" t="n"/>
      <c r="D282" s="437" t="n"/>
      <c r="E282" s="373" t="inlineStr">
        <is>
          <t>SPLCRNUCA4046CLOS</t>
        </is>
      </c>
      <c r="F282" s="374" t="inlineStr">
        <is>
          <t xml:space="preserve">CORNING RDF MULTIPORT CLOSURE </t>
        </is>
      </c>
      <c r="G282" s="375" t="n"/>
      <c r="H282" s="348">
        <f>B282*G282</f>
        <v/>
      </c>
    </row>
    <row r="283" hidden="1" outlineLevel="1">
      <c r="A283" s="342" t="inlineStr">
        <is>
          <t>O.FBR.AERL</t>
        </is>
      </c>
      <c r="B283" s="343" t="n"/>
      <c r="C283" s="437" t="n"/>
      <c r="D283" s="437" t="n"/>
      <c r="E283" s="373" t="inlineStr">
        <is>
          <t>SPLGROM8003989</t>
        </is>
      </c>
      <c r="F283" s="374" t="inlineStr">
        <is>
          <t>GROMMET 4 HOLE FLAT DROP ONLY</t>
        </is>
      </c>
      <c r="G283" s="375" t="n"/>
      <c r="H283" s="348">
        <f>B283*G283</f>
        <v/>
      </c>
    </row>
    <row r="284" hidden="1" outlineLevel="1">
      <c r="A284" s="342" t="inlineStr">
        <is>
          <t>O.FBR.AERL</t>
        </is>
      </c>
      <c r="B284" s="343" t="n"/>
      <c r="C284" s="437" t="n"/>
      <c r="D284" s="437" t="n"/>
      <c r="E284" s="373" t="inlineStr">
        <is>
          <t>SPLGROM8003796</t>
        </is>
      </c>
      <c r="F284" s="374" t="inlineStr">
        <is>
          <t>GROMMET 12 HOLE FLAT DROP ONLY</t>
        </is>
      </c>
      <c r="G284" s="375" t="n"/>
      <c r="H284" s="348">
        <f>B284*G284</f>
        <v/>
      </c>
    </row>
    <row r="285" hidden="1" outlineLevel="1">
      <c r="A285" s="342" t="inlineStr">
        <is>
          <t>O.FBR.AERL</t>
        </is>
      </c>
      <c r="B285" s="343" t="n"/>
      <c r="C285" s="437" t="n"/>
      <c r="D285" s="437" t="n"/>
      <c r="E285" s="373" t="inlineStr">
        <is>
          <t>SPLPANCONLDCSCAPC</t>
        </is>
      </c>
      <c r="F285" s="374" t="inlineStr">
        <is>
          <t>PANEL CONN LDC-CP1P-6C SCAPC CORNING</t>
        </is>
      </c>
      <c r="G285" s="375" t="n"/>
      <c r="H285" s="348">
        <f>B285*G285</f>
        <v/>
      </c>
    </row>
    <row r="286" hidden="1" outlineLevel="1">
      <c r="A286" s="342" t="inlineStr">
        <is>
          <t>O.FBR.AERL</t>
        </is>
      </c>
      <c r="B286" s="343" t="n"/>
      <c r="C286" s="437" t="n"/>
      <c r="D286" s="437" t="n"/>
      <c r="E286" s="345" t="inlineStr">
        <is>
          <t>SPLFIBRCLOSSLIC530</t>
        </is>
      </c>
      <c r="F286" s="346" t="inlineStr">
        <is>
          <t>CLOSURE FIBERE SLIC 530 4 PORT SLFT-530-D-1-04-1</t>
        </is>
      </c>
      <c r="G286" s="362" t="n"/>
      <c r="H286" s="348">
        <f>B286*G286</f>
        <v/>
      </c>
    </row>
    <row r="287" hidden="1" outlineLevel="1">
      <c r="A287" s="342" t="inlineStr">
        <is>
          <t>O.FBR.AERL</t>
        </is>
      </c>
      <c r="B287" s="343" t="n"/>
      <c r="C287" s="437" t="n"/>
      <c r="D287" s="437" t="n"/>
      <c r="E287" s="373" t="inlineStr">
        <is>
          <t>SPLTIIDEMARC24PTSCAPCADPT</t>
        </is>
      </c>
      <c r="F287" s="374" t="inlineStr">
        <is>
          <t>TII 24 PORT SC-APC TERMINAL PANEL PN FET3G-24RSCN00</t>
        </is>
      </c>
      <c r="G287" s="375" t="n"/>
      <c r="H287" s="348">
        <f>B287*G287</f>
        <v/>
      </c>
    </row>
    <row r="288" hidden="1" outlineLevel="1">
      <c r="A288" s="342" t="inlineStr">
        <is>
          <t>O.FBR.AERL</t>
        </is>
      </c>
      <c r="B288" s="343" t="n"/>
      <c r="C288" s="437" t="n"/>
      <c r="D288" s="437" t="n"/>
      <c r="E288" s="925" t="inlineStr">
        <is>
          <t>SPLCHNYLWJKTSEC</t>
        </is>
      </c>
      <c r="F288" s="438" t="inlineStr">
        <is>
          <t>Yellow Jacket Splice terminal Aerial; 2 Splice trays, 2) 1x4 Splitter; 12 port  SC/APC Bulkhead, Grnd incld PN: YJK0162BA0NN0NNAA</t>
        </is>
      </c>
      <c r="G288" s="623" t="n">
        <v>237.63</v>
      </c>
      <c r="H288" s="348">
        <f>B288*G288</f>
        <v/>
      </c>
    </row>
    <row r="289" hidden="1" outlineLevel="1">
      <c r="A289" s="342" t="inlineStr">
        <is>
          <t>O.FBR.AERL</t>
        </is>
      </c>
      <c r="B289" s="343" t="n"/>
      <c r="C289" s="437" t="n"/>
      <c r="D289" s="437" t="n"/>
      <c r="E289" s="376" t="n"/>
      <c r="F289" s="438" t="n"/>
      <c r="G289" s="438" t="n"/>
      <c r="H289" s="348">
        <f>B289*G289</f>
        <v/>
      </c>
    </row>
    <row r="290" hidden="1" outlineLevel="1" ht="13.5" customHeight="1" thickBot="1">
      <c r="A290" s="369" t="inlineStr">
        <is>
          <t>MISC.</t>
        </is>
      </c>
      <c r="B290" s="354" t="n"/>
      <c r="C290" s="355" t="n"/>
      <c r="D290" s="355" t="n"/>
      <c r="E290" s="376" t="n"/>
      <c r="F290" s="438" t="n"/>
      <c r="G290" s="438" t="n"/>
      <c r="H290" s="348">
        <f>B290*G290</f>
        <v/>
      </c>
    </row>
    <row r="291" hidden="1" outlineLevel="1" ht="13.5" customHeight="1" thickBot="1">
      <c r="A291" s="336" t="n"/>
      <c r="B291" s="356" t="n"/>
      <c r="C291" s="357" t="n"/>
      <c r="D291" s="357" t="n"/>
      <c r="E291" s="380" t="n"/>
      <c r="F291" s="439" t="inlineStr">
        <is>
          <t xml:space="preserve">SUB-TOTAL - O.FBR.AERL - SPLICING </t>
        </is>
      </c>
      <c r="G291" s="429" t="n"/>
      <c r="H291" s="385">
        <f>SUM(H273:H290)</f>
        <v/>
      </c>
    </row>
    <row r="292" hidden="1" outlineLevel="1" ht="13.5" customHeight="1" thickBot="1">
      <c r="A292" s="336" t="n"/>
      <c r="B292" s="356" t="n"/>
      <c r="C292" s="357" t="n"/>
      <c r="D292" s="357" t="n"/>
      <c r="E292" s="380" t="n"/>
      <c r="F292" s="439" t="inlineStr">
        <is>
          <t>PROVISIONING - POLE MATERIAL</t>
        </is>
      </c>
      <c r="G292" s="429" t="n"/>
      <c r="H292" s="385">
        <f>H291*(H1+H2)</f>
        <v/>
      </c>
    </row>
    <row r="293" hidden="1" outlineLevel="1" ht="13.5" customHeight="1" thickBot="1">
      <c r="A293" s="336" t="n"/>
      <c r="B293" s="356" t="n"/>
      <c r="C293" s="357" t="n"/>
      <c r="D293" s="357" t="n"/>
      <c r="E293" s="380" t="n"/>
      <c r="F293" s="386" t="inlineStr">
        <is>
          <t>TOTAL - O.FBR.AERL - SPLICING (LUMOS MATERIAL)</t>
        </is>
      </c>
      <c r="G293" s="387" t="n"/>
      <c r="H293" s="388">
        <f>H291+H292</f>
        <v/>
      </c>
    </row>
    <row r="294" collapsed="1" ht="13.5" customHeight="1" thickBot="1">
      <c r="A294" s="389" t="inlineStr">
        <is>
          <t>&lt;----Click the + to Expand or Collapse the "AERIAL SPLICING MATERIAL" Section</t>
        </is>
      </c>
      <c r="B294" s="390" t="n"/>
      <c r="C294" s="391" t="n"/>
      <c r="D294" s="391" t="n"/>
      <c r="E294" s="392" t="n"/>
      <c r="F294" s="393" t="n"/>
      <c r="G294" s="394" t="n"/>
      <c r="H294" s="395" t="n"/>
    </row>
    <row r="295" ht="13.5" customFormat="1" customHeight="1" s="441" thickBot="1">
      <c r="A295" s="295" t="n"/>
      <c r="B295" s="482" t="inlineStr">
        <is>
          <t>-</t>
        </is>
      </c>
      <c r="C295" s="321" t="n"/>
      <c r="D295" s="321" t="n"/>
      <c r="E295" s="396" t="n"/>
      <c r="F295" s="397" t="inlineStr">
        <is>
          <t>BURIED SPLICING MATERIAL</t>
        </is>
      </c>
      <c r="G295" s="440" t="n"/>
      <c r="H295" s="399" t="n"/>
      <c r="J295" s="498" t="n"/>
      <c r="K295" s="555" t="n"/>
      <c r="L295" s="184" t="n"/>
      <c r="M295" s="184" t="n"/>
      <c r="N295" s="184" t="n"/>
      <c r="O295" s="184" t="n"/>
      <c r="P295" s="184" t="n"/>
      <c r="Q295" s="184" t="n"/>
      <c r="R295" s="184" t="n"/>
      <c r="S295" s="184" t="n"/>
      <c r="T295" s="184" t="n"/>
      <c r="U295" s="184" t="n"/>
      <c r="V295" s="184" t="n"/>
      <c r="W295" s="184" t="n"/>
      <c r="X295" s="184" t="n"/>
      <c r="Y295" s="184" t="n"/>
      <c r="Z295" s="184" t="n"/>
      <c r="AA295" s="184" t="n"/>
      <c r="AB295" s="184" t="n"/>
      <c r="AC295" s="184" t="n"/>
      <c r="AD295" s="184" t="n"/>
      <c r="AE295" s="184" t="n"/>
      <c r="AF295" s="184" t="n"/>
      <c r="AG295" s="184" t="n"/>
      <c r="AH295" s="184" t="n"/>
    </row>
    <row r="296" outlineLevel="1">
      <c r="A296" s="301" t="inlineStr">
        <is>
          <t>O.FBR.BURD</t>
        </is>
      </c>
      <c r="B296" s="308" t="n"/>
      <c r="C296" s="309" t="n"/>
      <c r="D296" s="309" t="n"/>
      <c r="E296" s="402" t="inlineStr">
        <is>
          <t>SPLLGSTR216TRY</t>
        </is>
      </c>
      <c r="F296" s="409" t="inlineStr">
        <is>
          <t>LGSTR216 TRAY LITGRIP RIBBON LONG</t>
        </is>
      </c>
      <c r="G296" s="403" t="n"/>
      <c r="H296" s="485">
        <f>B296*G296</f>
        <v/>
      </c>
      <c r="J296" s="500" t="n"/>
      <c r="K296" s="554" t="n"/>
    </row>
    <row r="297" outlineLevel="1">
      <c r="A297" s="301" t="inlineStr">
        <is>
          <t>O.FBR.BURD</t>
        </is>
      </c>
      <c r="B297" s="308" t="n"/>
      <c r="C297" s="309" t="n"/>
      <c r="D297" s="309" t="n"/>
      <c r="E297" s="402" t="inlineStr">
        <is>
          <t>SPLLGSTR216TRY</t>
        </is>
      </c>
      <c r="F297" s="409" t="inlineStr">
        <is>
          <t>LGSTR216 TRAY LITGRIP RIBBON LONG</t>
        </is>
      </c>
      <c r="G297" s="442" t="n"/>
      <c r="H297" s="485">
        <f>B297*G297</f>
        <v/>
      </c>
      <c r="J297" s="500" t="n"/>
      <c r="K297" s="554" t="n"/>
    </row>
    <row r="298" outlineLevel="1">
      <c r="A298" s="301" t="inlineStr">
        <is>
          <t>O.FBR.BURD</t>
        </is>
      </c>
      <c r="B298" s="308" t="n"/>
      <c r="C298" s="309" t="n"/>
      <c r="D298" s="309" t="n"/>
      <c r="E298" s="402" t="inlineStr">
        <is>
          <t>SPLHEATSHRINK60MM</t>
        </is>
      </c>
      <c r="F298" s="409" t="inlineStr">
        <is>
          <t>HEAT SHRINK SLEEVE/SING FIBER(50MM) (CONSUMABLE STOCK)</t>
        </is>
      </c>
      <c r="G298" s="442" t="n">
        <v>1.29</v>
      </c>
      <c r="H298" s="485">
        <f>B298*G298</f>
        <v/>
      </c>
    </row>
    <row r="299" outlineLevel="1">
      <c r="A299" s="301" t="inlineStr">
        <is>
          <t>O.FBR.BURD</t>
        </is>
      </c>
      <c r="B299" s="308" t="n"/>
      <c r="C299" s="309" t="n"/>
      <c r="D299" s="309" t="n"/>
      <c r="E299" s="402" t="inlineStr">
        <is>
          <t>SPLHEATSHRINK42MRIBBON</t>
        </is>
      </c>
      <c r="F299" s="409" t="inlineStr">
        <is>
          <t>42MM HEAT SHRINK FOR RIBBON FIBER  (CONSUMABLE STOCK)</t>
        </is>
      </c>
      <c r="G299" s="403" t="n">
        <v>0.84</v>
      </c>
      <c r="H299" s="485">
        <f>B299*G299</f>
        <v/>
      </c>
      <c r="J299" s="500" t="n"/>
      <c r="K299" s="554" t="n"/>
    </row>
    <row r="300" outlineLevel="1">
      <c r="A300" s="301" t="inlineStr">
        <is>
          <t>O.FBR.BURD</t>
        </is>
      </c>
      <c r="B300" s="308" t="n"/>
      <c r="C300" s="309" t="n"/>
      <c r="D300" s="309" t="n"/>
      <c r="E300" s="402" t="inlineStr">
        <is>
          <t>SPLTRAY80805110CYT</t>
        </is>
      </c>
      <c r="F300" s="409" t="inlineStr">
        <is>
          <t>SPLICE TRAY 80805110 COYOTE - OLD CLOSURES</t>
        </is>
      </c>
      <c r="G300" s="403" t="n"/>
      <c r="H300" s="485">
        <f>B300*G300</f>
        <v/>
      </c>
    </row>
    <row r="301" outlineLevel="1">
      <c r="A301" s="301" t="inlineStr">
        <is>
          <t>O.FBR.BURD</t>
        </is>
      </c>
      <c r="B301" s="308" t="n">
        <v>0</v>
      </c>
      <c r="C301" s="309" t="n"/>
      <c r="D301" s="309" t="n"/>
      <c r="E301" s="353" t="inlineStr">
        <is>
          <t>SPLCOMFOSC450B6CASE</t>
        </is>
      </c>
      <c r="F301" s="402" t="inlineStr">
        <is>
          <t>TYCO B CASE ONLY FOSC450-B6-6-NT-0-B3V 058514-000</t>
        </is>
      </c>
      <c r="G301" s="657" t="n">
        <v>226.08</v>
      </c>
      <c r="H301" s="485">
        <f>B301*G301</f>
        <v/>
      </c>
    </row>
    <row r="302" outlineLevel="1">
      <c r="A302" s="301" t="inlineStr">
        <is>
          <t>O.FBR.BURD</t>
        </is>
      </c>
      <c r="B302" s="308">
        <f>B301</f>
        <v/>
      </c>
      <c r="C302" s="309" t="n"/>
      <c r="D302" s="309" t="n"/>
      <c r="E302" s="353" t="inlineStr">
        <is>
          <t>SPLCOMFOSC12RIBTRY</t>
        </is>
      </c>
      <c r="F302" s="402" t="inlineStr">
        <is>
          <t>TYCO A/B SPLICETRAY ONLY FOSC ACC-A/B-TRAY-12-RBN 709972-000</t>
        </is>
      </c>
      <c r="G302" s="657" t="n">
        <v>26.24</v>
      </c>
      <c r="H302" s="485">
        <f>B302*G302</f>
        <v/>
      </c>
    </row>
    <row r="303" outlineLevel="1">
      <c r="A303" s="301" t="inlineStr">
        <is>
          <t>O.FBR.BURD</t>
        </is>
      </c>
      <c r="B303" s="308" t="n">
        <v>0</v>
      </c>
      <c r="C303" s="309" t="n"/>
      <c r="D303" s="309" t="n"/>
      <c r="E303" s="353" t="inlineStr">
        <is>
          <t>SPLCOMFOSC450D6CASE</t>
        </is>
      </c>
      <c r="F303" s="409" t="inlineStr">
        <is>
          <t>TYCO D CASE ONLY FOSC450-D6-6-NT-0-D3V c32954-000</t>
        </is>
      </c>
      <c r="G303" s="657" t="n">
        <v>338.54</v>
      </c>
      <c r="H303" s="485">
        <f>B303*G303</f>
        <v/>
      </c>
    </row>
    <row r="304" outlineLevel="1">
      <c r="A304" s="308" t="inlineStr">
        <is>
          <t>O.FBR.BURD</t>
        </is>
      </c>
      <c r="B304" s="314">
        <f>B303</f>
        <v/>
      </c>
      <c r="C304" s="315" t="n"/>
      <c r="D304" s="315" t="n"/>
      <c r="E304" s="423" t="inlineStr">
        <is>
          <t>SPLCOMFOSCRIBTRAYKIT</t>
        </is>
      </c>
      <c r="F304" s="435" t="inlineStr">
        <is>
          <t xml:space="preserve"> TYCO D SPLICE TRAY ONLY FOSC ACC-D-TRAY-RIBN-24 061064-000</t>
        </is>
      </c>
      <c r="G304" s="657" t="n">
        <v>35</v>
      </c>
      <c r="H304" s="485">
        <f>B304*G304</f>
        <v/>
      </c>
    </row>
    <row r="305" outlineLevel="1">
      <c r="A305" s="308" t="inlineStr">
        <is>
          <t>MISC</t>
        </is>
      </c>
      <c r="B305" s="314" t="n"/>
      <c r="C305" s="315" t="n"/>
      <c r="D305" s="315" t="n"/>
      <c r="E305" s="316" t="inlineStr">
        <is>
          <t>SPLGROM8003989</t>
        </is>
      </c>
      <c r="F305" s="317" t="inlineStr">
        <is>
          <t>GROMMET 4 HOLE FLAT DROP ONLY</t>
        </is>
      </c>
      <c r="G305" s="413" t="n"/>
      <c r="H305" s="485">
        <f>B305*G305</f>
        <v/>
      </c>
    </row>
    <row r="306" outlineLevel="1">
      <c r="A306" s="308" t="inlineStr">
        <is>
          <t>MISC</t>
        </is>
      </c>
      <c r="B306" s="314" t="n"/>
      <c r="C306" s="315" t="n"/>
      <c r="D306" s="315" t="n"/>
      <c r="E306" s="316" t="inlineStr">
        <is>
          <t>SPLGROM8003796</t>
        </is>
      </c>
      <c r="F306" s="317" t="inlineStr">
        <is>
          <t>GROMMET 12 HOLE FLAT DROP ONLY</t>
        </is>
      </c>
      <c r="G306" s="413" t="n"/>
      <c r="H306" s="485">
        <f>B306*G306</f>
        <v/>
      </c>
      <c r="J306" s="500" t="n"/>
      <c r="K306" s="554" t="n"/>
    </row>
    <row r="307" outlineLevel="1">
      <c r="A307" s="308" t="inlineStr">
        <is>
          <t>O.FBR.BURD</t>
        </is>
      </c>
      <c r="B307" s="314" t="n"/>
      <c r="C307" s="315" t="n"/>
      <c r="D307" s="315" t="n"/>
      <c r="E307" s="316" t="inlineStr">
        <is>
          <t>SPLPANCONLDCSCAPC</t>
        </is>
      </c>
      <c r="F307" s="317" t="inlineStr">
        <is>
          <t>PANEL CONN LDC-CP1P-6C SCAPC CORNING</t>
        </is>
      </c>
      <c r="G307" s="413" t="n"/>
      <c r="H307" s="485">
        <f>B307*G307</f>
        <v/>
      </c>
      <c r="J307" s="500" t="n"/>
      <c r="K307" s="554" t="n"/>
    </row>
    <row r="308" outlineLevel="1">
      <c r="A308" s="308" t="inlineStr">
        <is>
          <t>O.FBR.BURD</t>
        </is>
      </c>
      <c r="B308" s="314" t="n"/>
      <c r="C308" s="315" t="n"/>
      <c r="D308" s="315" t="n"/>
      <c r="E308" s="316" t="inlineStr">
        <is>
          <t>SPLTIIDEMARC24PTSCAPCADPT</t>
        </is>
      </c>
      <c r="F308" s="317" t="inlineStr">
        <is>
          <t>TII 24 PORT SC-APC TERMINAL PANEL PN FET3G-24RSCN00</t>
        </is>
      </c>
      <c r="G308" s="413" t="n"/>
      <c r="H308" s="485">
        <f>B308*G308</f>
        <v/>
      </c>
    </row>
    <row r="309" outlineLevel="1">
      <c r="A309" s="308" t="inlineStr">
        <is>
          <t>O.FBR.BURD</t>
        </is>
      </c>
      <c r="B309" s="314" t="n"/>
      <c r="C309" s="315" t="n"/>
      <c r="D309" s="315" t="n"/>
      <c r="E309" s="661" t="inlineStr">
        <is>
          <t>FIJSCA</t>
        </is>
      </c>
      <c r="F309" s="662" t="inlineStr">
        <is>
          <t>FIBER PIGTAIL 12 FIBER SCAPC RBD9-SA3M</t>
        </is>
      </c>
      <c r="G309" s="403" t="n"/>
      <c r="H309" s="485">
        <f>B309*G309</f>
        <v/>
      </c>
    </row>
    <row r="310" outlineLevel="1">
      <c r="A310" s="308" t="inlineStr">
        <is>
          <t>O.FBR.BURD</t>
        </is>
      </c>
      <c r="B310" s="308" t="n">
        <v>0</v>
      </c>
      <c r="C310" s="309" t="n"/>
      <c r="D310" s="309" t="n"/>
      <c r="E310" s="353" t="inlineStr">
        <is>
          <t>SPLCHNG5NPRI</t>
        </is>
      </c>
      <c r="F310" s="928" t="inlineStr">
        <is>
          <t>Primary Splitter Location-G5NS TerminalGreen Hornet Fiber Splice Closure - Terminal Base, G5N- 5"x11", Two (2) Splice Trays, Two (2) 2x8 Splitters bare leads only,  No Grommets, No Brackets, No Ground G5NSTA2ES0NN0NNN</t>
        </is>
      </c>
      <c r="G310" s="929" t="n">
        <v>190.32</v>
      </c>
      <c r="H310" s="485">
        <f>B310*G310</f>
        <v/>
      </c>
    </row>
    <row r="311" outlineLevel="1">
      <c r="A311" s="307" t="inlineStr">
        <is>
          <t>O.FBR.BURD</t>
        </is>
      </c>
      <c r="B311" s="308" t="n">
        <v>0</v>
      </c>
      <c r="C311" s="309" t="n"/>
      <c r="D311" s="309" t="n"/>
      <c r="E311" s="353" t="inlineStr">
        <is>
          <t>SPLCHNG5NSEC</t>
        </is>
      </c>
      <c r="F311" s="928" t="inlineStr">
        <is>
          <t>Secondary Splitter Location"Drop Terminal"Green Hornet Fiber Splice Closure, G5N- 5"x11", Splice Trays (3), SC/APC Bulkhead with 16 Ports, Two (2) 1x4 Splitters with SC/APC Connectors,  No Grommets, No Brackets, No Ground G5NSTA2BA0NN0NNN</t>
        </is>
      </c>
      <c r="G311" s="929" t="n">
        <v>211.83</v>
      </c>
      <c r="H311" s="485">
        <f>B311*G311</f>
        <v/>
      </c>
    </row>
    <row r="312" outlineLevel="1">
      <c r="A312" s="307" t="inlineStr">
        <is>
          <t>O.FBR.BURD</t>
        </is>
      </c>
      <c r="B312" s="308" t="n"/>
      <c r="C312" s="309" t="n"/>
      <c r="D312" s="309" t="n"/>
      <c r="E312" s="353" t="n"/>
      <c r="F312" s="928" t="inlineStr">
        <is>
          <t>G5N G5NTA2S00NNNN Green hornet splice terminal base, 2 splice trays</t>
        </is>
      </c>
      <c r="G312" s="929" t="n">
        <v>97</v>
      </c>
      <c r="H312" s="485">
        <f>B312*G312</f>
        <v/>
      </c>
    </row>
    <row r="313" outlineLevel="1">
      <c r="A313" s="307" t="inlineStr">
        <is>
          <t>O.FBR.BURD</t>
        </is>
      </c>
      <c r="B313" s="308" t="n"/>
      <c r="C313" s="309" t="n"/>
      <c r="D313" s="309" t="n"/>
      <c r="E313" s="353" t="n"/>
      <c r="F313" s="928" t="inlineStr">
        <is>
          <t>13X24X18 HANDHOLE, G5N secondary splice case, 3)1x4 splice trays</t>
        </is>
      </c>
      <c r="G313" s="929" t="n">
        <v>386</v>
      </c>
      <c r="H313" s="485">
        <f>B313*G313</f>
        <v/>
      </c>
    </row>
    <row r="314" outlineLevel="1">
      <c r="A314" s="307" t="inlineStr">
        <is>
          <t>O.FBR.BURD</t>
        </is>
      </c>
      <c r="B314" s="308" t="n"/>
      <c r="C314" s="309" t="n"/>
      <c r="D314" s="309" t="n"/>
      <c r="E314" s="661" t="inlineStr">
        <is>
          <t>SPLCHNG5NGRMT34</t>
        </is>
      </c>
      <c r="F314" s="662" t="inlineStr">
        <is>
          <t>Green Hornet Drop/Lateral Grommets Cable Diameter - 0.188-0.250 Inches PN: GR06116101-34  (CONSUMABLE STOCK)</t>
        </is>
      </c>
      <c r="G314" s="403" t="n">
        <v>2.33</v>
      </c>
      <c r="H314" s="485">
        <f>B314*G314</f>
        <v/>
      </c>
    </row>
    <row r="315" outlineLevel="1">
      <c r="A315" s="307" t="inlineStr">
        <is>
          <t>O.FBR.BURD</t>
        </is>
      </c>
      <c r="B315" s="308" t="n"/>
      <c r="C315" s="309" t="n"/>
      <c r="D315" s="309" t="n"/>
      <c r="E315" s="661" t="inlineStr">
        <is>
          <t>SPLCHNG5NGRMT89</t>
        </is>
      </c>
      <c r="F315" s="662" t="inlineStr">
        <is>
          <t>Primary Splitter Location Green Hornet Main Grommet, 1.5” (38.1mm), 0.188”-0.250” (9.525mm-11.125mm).  (CONSUMABLE STOCK)</t>
        </is>
      </c>
      <c r="G315" s="403" t="n">
        <v>9.199999999999999</v>
      </c>
      <c r="H315" s="485">
        <f>B315*G315</f>
        <v/>
      </c>
    </row>
    <row r="316" outlineLevel="1">
      <c r="A316" s="313" t="inlineStr">
        <is>
          <t>O.FBR.BURD</t>
        </is>
      </c>
      <c r="B316" s="314" t="n"/>
      <c r="C316" s="315" t="n"/>
      <c r="D316" s="315" t="n"/>
      <c r="E316" s="943" t="inlineStr">
        <is>
          <t>SPLCHNG5NGRMT78</t>
        </is>
      </c>
      <c r="F316" s="909" t="inlineStr">
        <is>
          <t>Secondary Splitter Location "Drop Terminal Grommet"Green Hornet Main Grommet, 1.5” (38.1mm), 0.188”-0.250” (9.525mm-11.125mm).  (CONSUMABLE STOCK)</t>
        </is>
      </c>
      <c r="G316" s="411" t="n">
        <v>9.199999999999999</v>
      </c>
      <c r="H316" s="485">
        <f>B316*G316</f>
        <v/>
      </c>
    </row>
    <row r="317" outlineLevel="1">
      <c r="A317" s="313" t="inlineStr">
        <is>
          <t>O.FBR.BURD</t>
        </is>
      </c>
      <c r="B317" s="314" t="n"/>
      <c r="C317" s="315" t="n"/>
      <c r="D317" s="315" t="n"/>
      <c r="E317" s="943" t="inlineStr">
        <is>
          <t>SPLCHNG5NGRMT891</t>
        </is>
      </c>
      <c r="F317" s="909" t="inlineStr">
        <is>
          <t>(12 PER PACK) End of Line Main Oval Port Grommets Cable Diameter - 0.375”-0.438” INCHES –  (CONSUMABLE STOCK)</t>
        </is>
      </c>
      <c r="G317" s="411" t="n">
        <v>9.199999999999999</v>
      </c>
      <c r="H317" s="485">
        <f>B317*G317</f>
        <v/>
      </c>
    </row>
    <row r="318" outlineLevel="1" ht="13.5" customHeight="1" thickBot="1">
      <c r="A318" s="313" t="inlineStr">
        <is>
          <t>O.FBR.BURD</t>
        </is>
      </c>
      <c r="B318" s="314" t="n"/>
      <c r="C318" s="315" t="n"/>
      <c r="D318" s="315" t="n"/>
      <c r="E318" s="943" t="inlineStr">
        <is>
          <t>SPLCHNG5NGRMT781</t>
        </is>
      </c>
      <c r="F318" s="909" t="inlineStr">
        <is>
          <t>(12 PER PACK) End of Line Main Oval Port Grommets Cable Diameter - 0.438” - .500"  INCHES -  (CONSUMABLE STOCK)</t>
        </is>
      </c>
      <c r="G318" s="411" t="n">
        <v>9.199999999999999</v>
      </c>
      <c r="H318" s="485">
        <f>B318*G318</f>
        <v/>
      </c>
    </row>
    <row r="319" outlineLevel="1" ht="13.5" customHeight="1" thickBot="1">
      <c r="A319" s="319" t="n"/>
      <c r="B319" s="320" t="inlineStr">
        <is>
          <t>-</t>
        </is>
      </c>
      <c r="C319" s="321" t="n"/>
      <c r="D319" s="321" t="n"/>
      <c r="E319" s="443" t="n"/>
      <c r="F319" s="444" t="inlineStr">
        <is>
          <t>SUB-TOTAL - O.FBR.BURD - SPLICING (LUMOS MATERIAL)</t>
        </is>
      </c>
      <c r="G319" s="445" t="n"/>
      <c r="H319" s="508">
        <f>SUM(H296:H318)</f>
        <v/>
      </c>
    </row>
    <row r="320" outlineLevel="1" ht="13.5" customHeight="1" thickBot="1">
      <c r="A320" s="319" t="n"/>
      <c r="B320" s="320" t="inlineStr">
        <is>
          <t>-</t>
        </is>
      </c>
      <c r="C320" s="321" t="n"/>
      <c r="D320" s="321" t="n"/>
      <c r="E320" s="322" t="n"/>
      <c r="F320" s="323" t="inlineStr">
        <is>
          <t>PROVISIONING - SPLICING (LUMOS MATERIAL)</t>
        </is>
      </c>
      <c r="G320" s="446" t="n"/>
      <c r="H320" s="495">
        <f>H319*(H1+H2)</f>
        <v/>
      </c>
    </row>
    <row r="321" outlineLevel="1" ht="13.5" customHeight="1" thickBot="1">
      <c r="A321" s="319" t="n"/>
      <c r="B321" s="320" t="n"/>
      <c r="C321" s="321" t="n"/>
      <c r="D321" s="321" t="n"/>
      <c r="E321" s="322" t="n"/>
      <c r="F321" s="447" t="inlineStr">
        <is>
          <t>TOTAL - O.FBR.BURD - SPLICING (LUMOS MATERIAL)</t>
        </is>
      </c>
      <c r="G321" s="448" t="n"/>
      <c r="H321" s="496">
        <f>H319+H320</f>
        <v/>
      </c>
    </row>
    <row r="322" ht="13.5" customHeight="1" thickBot="1">
      <c r="A322" s="449" t="inlineStr">
        <is>
          <t>&lt;----Click the + to Expand or Collapse the "BURIED SPLICING MATERIAL" Section</t>
        </is>
      </c>
      <c r="B322" s="450" t="n"/>
      <c r="C322" s="451" t="n"/>
      <c r="D322" s="451" t="n"/>
      <c r="E322" s="452" t="n"/>
      <c r="F322" s="397" t="n"/>
      <c r="G322" s="440" t="n"/>
      <c r="H322" s="399" t="n"/>
    </row>
    <row r="323" ht="13.5" customHeight="1" thickBot="1">
      <c r="A323" s="336" t="n"/>
      <c r="B323" s="501">
        <f>IF(SUM(H340)&gt;0,"-",IF(SUM(H333)&gt;0,"-",""))</f>
        <v/>
      </c>
      <c r="C323" s="337" t="n"/>
      <c r="D323" s="337" t="n"/>
      <c r="E323" s="338" t="n"/>
      <c r="F323" s="339" t="inlineStr">
        <is>
          <t>LCP / EQUIPMENT</t>
        </is>
      </c>
      <c r="G323" s="340" t="n"/>
      <c r="H323" s="341" t="n"/>
    </row>
    <row r="324" hidden="1" outlineLevel="1">
      <c r="A324" s="342" t="inlineStr">
        <is>
          <t>S.D.EQ</t>
        </is>
      </c>
      <c r="B324" s="502" t="n"/>
      <c r="C324" s="437" t="n"/>
      <c r="D324" s="437" t="n"/>
      <c r="E324" s="345" t="n"/>
      <c r="F324" s="457" t="inlineStr">
        <is>
          <t>MISC FTTH LCP PARTS</t>
        </is>
      </c>
      <c r="G324" s="456" t="n"/>
      <c r="H324" s="493" t="n"/>
    </row>
    <row r="325" hidden="1" outlineLevel="1">
      <c r="A325" s="342" t="inlineStr">
        <is>
          <t>S.D.EQ</t>
        </is>
      </c>
      <c r="B325" s="503" t="n"/>
      <c r="C325" s="458" t="n"/>
      <c r="D325" s="458" t="n"/>
      <c r="E325" s="345" t="inlineStr">
        <is>
          <t>SPLFANOUTASEMSCAPCORB</t>
        </is>
      </c>
      <c r="F325" s="438" t="inlineStr">
        <is>
          <t>FANOUT ASSEMBLY SC/APC ORBITAL 300543022</t>
        </is>
      </c>
      <c r="G325" s="456" t="n"/>
      <c r="H325" s="493">
        <f>B325*G325</f>
        <v/>
      </c>
    </row>
    <row r="326" hidden="1" outlineLevel="1">
      <c r="A326" s="369" t="inlineStr">
        <is>
          <t>S.D.EQ</t>
        </is>
      </c>
      <c r="B326" s="354" t="n"/>
      <c r="C326" s="458" t="n"/>
      <c r="D326" s="458" t="n"/>
      <c r="E326" s="345" t="inlineStr">
        <is>
          <t>SPLFANOUT6</t>
        </is>
      </c>
      <c r="F326" s="438" t="inlineStr">
        <is>
          <t>FANOUT ASMBLY SC/APC ORBITAL6' COMCODE 301015673</t>
        </is>
      </c>
      <c r="G326" s="456" t="n"/>
      <c r="H326" s="493">
        <f>B326*G326</f>
        <v/>
      </c>
    </row>
    <row r="327" hidden="1" outlineLevel="1">
      <c r="A327" s="369" t="inlineStr">
        <is>
          <t>S.D.EQ</t>
        </is>
      </c>
      <c r="B327" s="343" t="n"/>
      <c r="C327" s="437" t="n"/>
      <c r="D327" s="437" t="n"/>
      <c r="E327" s="345" t="inlineStr">
        <is>
          <t>SPLCOUPMOD1X32ORB</t>
        </is>
      </c>
      <c r="F327" s="438" t="inlineStr">
        <is>
          <t>OFS ORBITAL SPLITTER</t>
        </is>
      </c>
      <c r="G327" s="456" t="n"/>
      <c r="H327" s="493">
        <f>B327*G327</f>
        <v/>
      </c>
    </row>
    <row r="328" hidden="1" outlineLevel="1">
      <c r="A328" s="369" t="inlineStr">
        <is>
          <t>S.D.EQ</t>
        </is>
      </c>
      <c r="B328" s="343" t="n"/>
      <c r="C328" s="437" t="n"/>
      <c r="D328" s="437" t="n"/>
      <c r="E328" s="345" t="inlineStr">
        <is>
          <t>SPLFDHCPLRMOD</t>
        </is>
      </c>
      <c r="F328" s="438" t="inlineStr">
        <is>
          <t>OPTITECT FDH COUPLER MODULE   ( GEN 1)</t>
        </is>
      </c>
      <c r="G328" s="456" t="n"/>
      <c r="H328" s="493">
        <f>B328*G328</f>
        <v/>
      </c>
    </row>
    <row r="329" hidden="1" outlineLevel="1">
      <c r="A329" s="369" t="inlineStr">
        <is>
          <t>S.D.EQ</t>
        </is>
      </c>
      <c r="B329" s="343" t="n"/>
      <c r="C329" s="437" t="n"/>
      <c r="D329" s="437" t="n"/>
      <c r="E329" s="370" t="inlineStr">
        <is>
          <t>SPLTFLST72</t>
        </is>
      </c>
      <c r="F329" s="378" t="inlineStr">
        <is>
          <t>TERMINAL FIBER LST1U-072/7 105 335 871</t>
        </is>
      </c>
      <c r="G329" s="459" t="n"/>
      <c r="H329" s="493">
        <f>B329*G329</f>
        <v/>
      </c>
    </row>
    <row r="330" hidden="1" outlineLevel="1">
      <c r="A330" s="369" t="inlineStr">
        <is>
          <t>S.D.EQ</t>
        </is>
      </c>
      <c r="B330" s="354" t="n"/>
      <c r="C330" s="458" t="n"/>
      <c r="D330" s="458" t="n"/>
      <c r="E330" s="373" t="inlineStr">
        <is>
          <t>SPLFIBRTERM288</t>
        </is>
      </c>
      <c r="F330" s="373" t="inlineStr">
        <is>
          <t>TERMINAL FIBER 288 SCAPC ADC LSX-LL-1242-A-SPL</t>
        </is>
      </c>
      <c r="G330" s="460" t="n"/>
      <c r="H330" s="493">
        <f>B330*G330</f>
        <v/>
      </c>
    </row>
    <row r="331" hidden="1" outlineLevel="1">
      <c r="A331" s="369" t="inlineStr">
        <is>
          <t>S.D.EQ</t>
        </is>
      </c>
      <c r="B331" s="354" t="n"/>
      <c r="C331" s="458" t="n"/>
      <c r="D331" s="458" t="n"/>
      <c r="E331" s="370" t="inlineStr">
        <is>
          <t>SPL12PIGTAIL</t>
        </is>
      </c>
      <c r="F331" s="378" t="inlineStr">
        <is>
          <t>FIBER PIGTAIL 12 FIBER SC/UPC ***use inventory until exhausted***</t>
        </is>
      </c>
      <c r="G331" s="459" t="n"/>
      <c r="H331" s="493">
        <f>B331*G331</f>
        <v/>
      </c>
    </row>
    <row r="332" hidden="1" outlineLevel="1">
      <c r="A332" s="369" t="inlineStr">
        <is>
          <t>S.D.EQ</t>
        </is>
      </c>
      <c r="B332" s="503" t="n"/>
      <c r="C332" s="458" t="n"/>
      <c r="D332" s="458" t="n"/>
      <c r="E332" s="370" t="inlineStr">
        <is>
          <t>SPLTFLST144</t>
        </is>
      </c>
      <c r="F332" s="378" t="inlineStr">
        <is>
          <t>TERMINAL FIBER LST1U-144/9 107 535 569</t>
        </is>
      </c>
      <c r="G332" s="459" t="n"/>
      <c r="H332" s="493">
        <f>B332*G332</f>
        <v/>
      </c>
    </row>
    <row r="333" hidden="1" outlineLevel="1">
      <c r="A333" s="369" t="inlineStr">
        <is>
          <t>S.D.EQ</t>
        </is>
      </c>
      <c r="B333" s="354" t="n"/>
      <c r="C333" s="458" t="n"/>
      <c r="D333" s="458" t="n"/>
      <c r="E333" s="370" t="n"/>
      <c r="F333" s="378" t="n"/>
      <c r="G333" s="459" t="n"/>
      <c r="H333" s="493">
        <f>B333*G333</f>
        <v/>
      </c>
    </row>
    <row r="334" hidden="1" outlineLevel="1" ht="13.5" customHeight="1" thickBot="1">
      <c r="A334" s="369" t="n"/>
      <c r="B334" s="354" t="n"/>
      <c r="C334" s="458" t="n"/>
      <c r="D334" s="458" t="n"/>
      <c r="E334" s="377" t="n"/>
      <c r="F334" s="378" t="n"/>
      <c r="G334" s="378" t="n"/>
      <c r="H334" s="461" t="n"/>
    </row>
    <row r="335" hidden="1" outlineLevel="1" ht="13.5" customHeight="1" thickBot="1">
      <c r="A335" s="336" t="n"/>
      <c r="B335" s="356" t="n"/>
      <c r="C335" s="462" t="n"/>
      <c r="D335" s="462" t="n"/>
      <c r="E335" s="363" t="n"/>
      <c r="F335" s="339" t="inlineStr">
        <is>
          <t>ONT EQUIPMENT</t>
        </is>
      </c>
      <c r="G335" s="463" t="n"/>
      <c r="H335" s="361" t="n"/>
    </row>
    <row r="336" hidden="1" outlineLevel="1">
      <c r="A336" s="349" t="inlineStr">
        <is>
          <t>S.D.EQ</t>
        </is>
      </c>
      <c r="B336" s="350" t="n"/>
      <c r="C336" s="454" t="n"/>
      <c r="D336" s="454" t="n"/>
      <c r="E336" s="352" t="inlineStr">
        <is>
          <t>ONTADTTA372</t>
        </is>
      </c>
      <c r="F336" s="455" t="inlineStr">
        <is>
          <t>ADTRAN BUSINESS ONT</t>
        </is>
      </c>
      <c r="G336" s="453" t="n"/>
      <c r="H336" s="493">
        <f>G336*B336</f>
        <v/>
      </c>
    </row>
    <row r="337" hidden="1" outlineLevel="1" ht="13.5" customHeight="1" thickBot="1">
      <c r="A337" s="369" t="inlineStr">
        <is>
          <t>S.D.EQ</t>
        </is>
      </c>
      <c r="B337" s="354" t="n"/>
      <c r="C337" s="458" t="n"/>
      <c r="D337" s="458" t="n"/>
      <c r="E337" s="370" t="inlineStr">
        <is>
          <t>ONTADT1GMICRO</t>
        </is>
      </c>
      <c r="F337" s="378" t="inlineStr">
        <is>
          <t>MICRO ONT (RESIDENTIAL), ADTRANN TA411 1G + POTS MICRO ONT PN 1287787F1</t>
        </is>
      </c>
      <c r="G337" s="459" t="n"/>
      <c r="H337" s="489">
        <f>G337*B337</f>
        <v/>
      </c>
    </row>
    <row r="338" hidden="1" outlineLevel="1" ht="13.5" customHeight="1" thickBot="1">
      <c r="A338" s="336" t="n"/>
      <c r="B338" s="356" t="n"/>
      <c r="C338" s="357" t="n"/>
      <c r="D338" s="357" t="n"/>
      <c r="E338" s="380" t="n"/>
      <c r="F338" s="439" t="inlineStr">
        <is>
          <t>SUB-TOTAL -  EQUIPMENT  (LUMOS MATERIAL)</t>
        </is>
      </c>
      <c r="G338" s="464" t="n"/>
      <c r="H338" s="504">
        <f>SUM(H324:H333,H334:H337)</f>
        <v/>
      </c>
    </row>
    <row r="339" hidden="1" outlineLevel="1" ht="13.5" customHeight="1" thickBot="1">
      <c r="A339" s="336" t="n"/>
      <c r="B339" s="356" t="n"/>
      <c r="C339" s="357" t="n"/>
      <c r="D339" s="357" t="n"/>
      <c r="E339" s="380" t="n"/>
      <c r="F339" s="439" t="inlineStr">
        <is>
          <t>PROVISIONING -EQUIPMENT  (LUMOS MATERIAL)</t>
        </is>
      </c>
      <c r="G339" s="464" t="n"/>
      <c r="H339" s="504">
        <f>H338*(H1+H2)</f>
        <v/>
      </c>
    </row>
    <row r="340" hidden="1" outlineLevel="1" ht="13.5" customHeight="1" thickBot="1">
      <c r="A340" s="336" t="n"/>
      <c r="B340" s="356" t="n"/>
      <c r="C340" s="357" t="n"/>
      <c r="D340" s="357" t="n"/>
      <c r="E340" s="380" t="n"/>
      <c r="F340" s="465" t="inlineStr">
        <is>
          <t>TOTAL -  EQUIPMENT  (LUMOS MATERIAL)</t>
        </is>
      </c>
      <c r="G340" s="466" t="n"/>
      <c r="H340" s="505">
        <f>SUM(H338:H339)</f>
        <v/>
      </c>
    </row>
    <row r="341" collapsed="1" ht="13.5" customHeight="1" thickBot="1">
      <c r="A341" s="467" t="inlineStr">
        <is>
          <t>&lt;----Click the + to Expand or Collapse the "LCP / EQUIPMENT" Section</t>
        </is>
      </c>
      <c r="B341" s="356" t="n"/>
      <c r="C341" s="462" t="n"/>
      <c r="D341" s="462" t="n"/>
      <c r="E341" s="358" t="n"/>
      <c r="F341" s="339" t="n"/>
      <c r="G341" s="468" t="n"/>
      <c r="H341" s="506" t="n"/>
    </row>
    <row r="342" ht="13.5" customHeight="1" thickBot="1">
      <c r="A342" s="469" t="n"/>
      <c r="B342" s="320" t="n"/>
      <c r="C342" s="470" t="n"/>
      <c r="D342" s="470" t="n"/>
      <c r="E342" s="405" t="n"/>
      <c r="F342" s="397" t="n"/>
      <c r="G342" s="471" t="inlineStr">
        <is>
          <t>Sheet Total</t>
        </is>
      </c>
      <c r="H342" s="507">
        <f>SUM(H340,H321,H293,H270,H240,H172,H104,H28,)</f>
        <v/>
      </c>
    </row>
    <row r="343">
      <c r="A343" s="472" t="n"/>
      <c r="H343" s="473" t="n"/>
    </row>
    <row r="344">
      <c r="G344" s="476" t="n"/>
    </row>
    <row r="345">
      <c r="G345" s="184" t="n"/>
    </row>
    <row r="346">
      <c r="G346" s="184" t="n"/>
    </row>
    <row r="347">
      <c r="G347" s="184" t="n"/>
    </row>
    <row r="348">
      <c r="G348" s="184" t="n"/>
    </row>
    <row r="349">
      <c r="G349" s="184" t="n"/>
    </row>
    <row r="350">
      <c r="G350" s="184" t="n"/>
    </row>
    <row r="351">
      <c r="G351" s="184" t="n"/>
    </row>
    <row r="352">
      <c r="G352" s="184" t="n"/>
    </row>
    <row r="353">
      <c r="G353" s="184" t="n"/>
    </row>
    <row r="354">
      <c r="G354" s="184" t="n"/>
    </row>
    <row r="355">
      <c r="G355" s="184" t="n"/>
    </row>
    <row r="356">
      <c r="G356" s="184" t="n"/>
    </row>
    <row r="357">
      <c r="G357" s="184" t="n"/>
    </row>
    <row r="358">
      <c r="G358" s="184" t="n"/>
    </row>
    <row r="359">
      <c r="G359" s="184" t="n"/>
    </row>
    <row r="360">
      <c r="G360" s="184" t="n"/>
    </row>
    <row r="361">
      <c r="G361" s="184" t="n"/>
    </row>
    <row r="362">
      <c r="G362" s="476" t="n"/>
    </row>
    <row r="363">
      <c r="G363" s="476" t="n"/>
    </row>
    <row r="364">
      <c r="G364" s="476" t="n"/>
    </row>
    <row r="365">
      <c r="G365" s="476" t="n"/>
    </row>
    <row r="366">
      <c r="G366" s="476" t="n"/>
    </row>
    <row r="367">
      <c r="G367" s="476" t="n"/>
    </row>
    <row r="368">
      <c r="G368" s="476" t="n"/>
    </row>
    <row r="369">
      <c r="G369" s="476" t="n"/>
    </row>
    <row r="370">
      <c r="G370" s="476" t="n"/>
    </row>
    <row r="371">
      <c r="G371" s="476" t="n"/>
    </row>
    <row r="372">
      <c r="G372" s="476" t="n"/>
    </row>
    <row r="373">
      <c r="G373" s="476" t="n"/>
    </row>
    <row r="374">
      <c r="G374" s="476" t="n"/>
    </row>
    <row r="375">
      <c r="G375" s="476" t="n"/>
    </row>
    <row r="376">
      <c r="G376" s="476" t="n"/>
    </row>
    <row r="377">
      <c r="G377" s="476" t="n"/>
    </row>
    <row r="378">
      <c r="G378" s="476" t="n"/>
    </row>
    <row r="379">
      <c r="G379" s="476" t="n"/>
    </row>
    <row r="380">
      <c r="G380" s="476" t="n"/>
    </row>
    <row r="381">
      <c r="G381" s="476" t="n"/>
    </row>
    <row r="382">
      <c r="G382" s="476" t="n"/>
    </row>
    <row r="383">
      <c r="G383" s="476" t="n"/>
    </row>
    <row r="384">
      <c r="G384" s="476" t="n"/>
    </row>
  </sheetData>
  <autoFilter ref="B4:B342"/>
  <mergeCells count="7">
    <mergeCell ref="A2:B2"/>
    <mergeCell ref="C3:F3"/>
    <mergeCell ref="C1:F1"/>
    <mergeCell ref="A1:B1"/>
    <mergeCell ref="C2:F2"/>
    <mergeCell ref="A3:B3"/>
    <mergeCell ref="G3:H3"/>
  </mergeCells>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AR491"/>
  <sheetViews>
    <sheetView zoomScaleNormal="100" workbookViewId="0">
      <pane ySplit="5" topLeftCell="A373" activePane="bottomLeft" state="frozen"/>
      <selection pane="bottomLeft" activeCell="D266" sqref="D266"/>
    </sheetView>
  </sheetViews>
  <sheetFormatPr baseColWidth="8" defaultColWidth="8.85546875" defaultRowHeight="15" customHeight="1" outlineLevelRow="1"/>
  <cols>
    <col width="9.7109375" customWidth="1" style="49" min="1" max="1"/>
    <col width="10.28515625" bestFit="1" customWidth="1" style="12" min="2" max="2"/>
    <col width="7.140625" bestFit="1" customWidth="1" style="49" min="3" max="3"/>
    <col width="65.140625" customWidth="1" style="49" min="4" max="4"/>
    <col width="25.140625" bestFit="1" customWidth="1" style="49" min="5" max="5"/>
    <col width="9.5703125" bestFit="1" customWidth="1" style="49" min="6" max="6"/>
    <col width="8.85546875" customWidth="1" style="49" min="7" max="7"/>
    <col width="20.85546875" bestFit="1" customWidth="1" style="535" min="8" max="8"/>
    <col width="8.85546875" customWidth="1" style="218" min="9" max="9"/>
    <col width="8.85546875" customWidth="1" style="49" min="10" max="16384"/>
  </cols>
  <sheetData>
    <row r="1" ht="15" customHeight="1">
      <c r="A1" s="999" t="inlineStr">
        <is>
          <t>CUSTOMER NAME</t>
        </is>
      </c>
      <c r="C1" s="11" t="inlineStr">
        <is>
          <t>-</t>
        </is>
      </c>
      <c r="D1" s="11">
        <f>'COVER SHEET'!B2</f>
        <v/>
      </c>
      <c r="E1" s="11" t="inlineStr">
        <is>
          <t>Solid Rock Adder</t>
        </is>
      </c>
      <c r="F1" s="11" t="n"/>
    </row>
    <row r="2" ht="15" customHeight="1">
      <c r="A2" s="999" t="inlineStr">
        <is>
          <t>ENGINEER</t>
        </is>
      </c>
      <c r="C2" s="11" t="inlineStr">
        <is>
          <t>-</t>
        </is>
      </c>
      <c r="D2" s="11">
        <f>'COVER SHEET'!F2</f>
        <v/>
      </c>
      <c r="E2" s="11" t="n"/>
      <c r="F2" s="11" t="n"/>
      <c r="G2" s="11" t="n"/>
      <c r="H2" s="536" t="n"/>
    </row>
    <row r="3" ht="15" customHeight="1">
      <c r="A3" s="999" t="inlineStr">
        <is>
          <t>Project #</t>
        </is>
      </c>
      <c r="C3" s="11" t="inlineStr">
        <is>
          <t>-</t>
        </is>
      </c>
      <c r="D3" s="11">
        <f>'COVER SHEET'!F4</f>
        <v/>
      </c>
      <c r="E3" s="11" t="n"/>
      <c r="F3" s="11" t="n"/>
      <c r="G3" s="11" t="n"/>
      <c r="H3" s="536" t="n"/>
    </row>
    <row r="4" ht="15" customHeight="1" thickBot="1">
      <c r="A4" s="12" t="n"/>
      <c r="C4" s="12" t="n"/>
      <c r="D4" s="250" t="n"/>
      <c r="E4" s="13" t="n"/>
      <c r="F4" s="13" t="n"/>
    </row>
    <row r="5" ht="15" customHeight="1" thickBot="1">
      <c r="A5" s="43" t="inlineStr">
        <is>
          <t>Task Name</t>
        </is>
      </c>
      <c r="B5" s="7" t="inlineStr">
        <is>
          <t>QUANTITY</t>
        </is>
      </c>
      <c r="C5" s="7" t="inlineStr">
        <is>
          <t>UNIT</t>
        </is>
      </c>
      <c r="D5" s="7" t="inlineStr">
        <is>
          <t>UNIT DESCRIPTION</t>
        </is>
      </c>
      <c r="E5" s="44" t="inlineStr">
        <is>
          <t>UNIT COST</t>
        </is>
      </c>
      <c r="F5" s="144" t="inlineStr">
        <is>
          <t>TOTAL</t>
        </is>
      </c>
    </row>
    <row r="6" ht="15" customHeight="1" thickBot="1">
      <c r="A6" s="121" t="n"/>
      <c r="B6" s="185">
        <f>IF(SUM(F29)&gt;0,"-","")</f>
        <v/>
      </c>
      <c r="C6" s="91" t="n"/>
      <c r="D6" s="91" t="inlineStr">
        <is>
          <t>ENGINEERING</t>
        </is>
      </c>
      <c r="E6" s="119" t="n"/>
      <c r="F6" s="150" t="n"/>
    </row>
    <row r="7" outlineLevel="1" ht="15" customHeight="1">
      <c r="A7" s="10" t="n"/>
      <c r="B7" s="52" t="n"/>
      <c r="C7" s="17" t="n"/>
      <c r="D7" s="18" t="inlineStr">
        <is>
          <t>PROJECT PLANNING / DESIGN - COMPANY LABOR</t>
        </is>
      </c>
      <c r="E7" s="19" t="n">
        <v>0.7</v>
      </c>
      <c r="F7" s="74">
        <f>E7*B7</f>
        <v/>
      </c>
    </row>
    <row r="8" outlineLevel="1" ht="15" customHeight="1">
      <c r="A8" s="8" t="n"/>
      <c r="B8" s="1073" t="n"/>
      <c r="C8" s="1" t="n"/>
      <c r="D8" s="20" t="inlineStr">
        <is>
          <t>PROJECT PLANNING / DESIGN - CONTRACT LABOR</t>
        </is>
      </c>
      <c r="E8" s="21" t="n">
        <v>50</v>
      </c>
      <c r="F8" s="63">
        <f>E8*B8</f>
        <v/>
      </c>
    </row>
    <row r="9" outlineLevel="1" ht="15" customHeight="1">
      <c r="A9" s="8" t="n"/>
      <c r="B9" s="1073" t="n"/>
      <c r="C9" s="1" t="n"/>
      <c r="D9" s="20" t="inlineStr">
        <is>
          <t>CONTRACTOR MINIMUM AERIAL/BURIED/UNDERGROUND CHARGE</t>
        </is>
      </c>
      <c r="E9" s="21" t="n">
        <v>1</v>
      </c>
      <c r="F9" s="63">
        <f>E9*B9</f>
        <v/>
      </c>
    </row>
    <row r="10" outlineLevel="1" ht="15" customHeight="1">
      <c r="A10" s="8" t="n"/>
      <c r="B10" s="1073" t="n"/>
      <c r="C10" s="1" t="n"/>
      <c r="D10" s="20" t="inlineStr">
        <is>
          <t>CONTRACTOR - FLAT RATE - AERIAL - PER LINEAR FOOT 0-1 MILE</t>
        </is>
      </c>
      <c r="E10" s="21" t="n">
        <v>0.5</v>
      </c>
      <c r="F10" s="63">
        <f>E10*B10</f>
        <v/>
      </c>
    </row>
    <row r="11" outlineLevel="1" ht="15" customHeight="1">
      <c r="A11" s="8" t="n"/>
      <c r="B11" s="1073" t="n"/>
      <c r="C11" s="1" t="n"/>
      <c r="D11" s="20" t="inlineStr">
        <is>
          <t>CONTRACTOR - FLAT RATE - AERIAL - PER LINEAR FOOT 1-2 MILE</t>
        </is>
      </c>
      <c r="E11" s="21" t="n">
        <v>0.5</v>
      </c>
      <c r="F11" s="63">
        <f>E11*B11</f>
        <v/>
      </c>
    </row>
    <row r="12" outlineLevel="1" ht="15" customHeight="1">
      <c r="A12" s="8" t="n"/>
      <c r="B12" s="1073" t="n"/>
      <c r="C12" s="1" t="n"/>
      <c r="D12" s="20" t="inlineStr">
        <is>
          <t>CONTRACTOR - FLAT RATE - AERIAL - PER LINEAR FOOT 2-5 MILE</t>
        </is>
      </c>
      <c r="E12" s="21" t="n">
        <v>0.5</v>
      </c>
      <c r="F12" s="63">
        <f>E12*B12</f>
        <v/>
      </c>
    </row>
    <row r="13" outlineLevel="1" ht="15" customHeight="1">
      <c r="A13" s="8" t="n"/>
      <c r="B13" s="1073" t="n"/>
      <c r="C13" s="1" t="n"/>
      <c r="D13" s="20" t="inlineStr">
        <is>
          <t>CONTRACTOR - FLAT RATE - BURIED/UNDERGROUND - PER LINEAR FOOT 0-1 MILE</t>
        </is>
      </c>
      <c r="E13" s="21" t="n">
        <v>0.5</v>
      </c>
      <c r="F13" s="63">
        <f>E13*B13</f>
        <v/>
      </c>
    </row>
    <row r="14" outlineLevel="1" ht="15" customHeight="1">
      <c r="A14" s="8" t="n"/>
      <c r="B14" s="1073" t="n"/>
      <c r="C14" s="1" t="n"/>
      <c r="D14" s="20" t="inlineStr">
        <is>
          <t>CONTRACTOR - FLAT RATE - BURIED/UNDERGROUND - PER LINEAR FOOT 1-2 MILE</t>
        </is>
      </c>
      <c r="E14" s="21" t="n">
        <v>0.5</v>
      </c>
      <c r="F14" s="63">
        <f>E14*B14</f>
        <v/>
      </c>
    </row>
    <row r="15" outlineLevel="1" ht="15" customHeight="1">
      <c r="A15" s="8" t="n"/>
      <c r="B15" s="1073">
        <f>SUM('LABOR SPAN SHEET'!AD2)</f>
        <v/>
      </c>
      <c r="C15" s="1" t="n"/>
      <c r="D15" s="20" t="inlineStr">
        <is>
          <t>CONTRACTOR - FLAT RATE - BURIED/UNDERGROUND - PER LINEAR FOOT 2-5 MILE</t>
        </is>
      </c>
      <c r="E15" s="21" t="n">
        <v>0.5</v>
      </c>
      <c r="F15" s="63">
        <f>E15*B15</f>
        <v/>
      </c>
    </row>
    <row r="16" outlineLevel="1" ht="15" customHeight="1">
      <c r="A16" s="8" t="n"/>
      <c r="B16" s="1073" t="n"/>
      <c r="C16" s="1" t="n"/>
      <c r="D16" s="20" t="inlineStr">
        <is>
          <t>CONTRACTOR - DESIGN OVER 5 MILES - PER BID</t>
        </is>
      </c>
      <c r="E16" s="145" t="n"/>
      <c r="F16" s="63">
        <f>E16*B16</f>
        <v/>
      </c>
    </row>
    <row r="17" outlineLevel="1" ht="15" customHeight="1">
      <c r="A17" s="8" t="n"/>
      <c r="B17" s="1073" t="n"/>
      <c r="C17" s="1" t="n"/>
      <c r="D17" s="20" t="inlineStr">
        <is>
          <t>CONTRACTOR - MAJOR REDESIGN COST - PER FOOT</t>
        </is>
      </c>
      <c r="E17" s="21" t="n">
        <v>0.6</v>
      </c>
      <c r="F17" s="63">
        <f>E17*B17</f>
        <v/>
      </c>
    </row>
    <row r="18" outlineLevel="1" ht="15" customHeight="1">
      <c r="A18" s="8" t="n"/>
      <c r="B18" s="1073" t="n"/>
      <c r="C18" s="1" t="n"/>
      <c r="D18" s="20" t="inlineStr">
        <is>
          <t>CONTRACTOR - PE STAMP - PLUS 15% OF COST</t>
        </is>
      </c>
      <c r="E18" s="145" t="n"/>
      <c r="F18" s="63">
        <f>E18*B18</f>
        <v/>
      </c>
    </row>
    <row r="19" outlineLevel="1" ht="15" customHeight="1">
      <c r="A19" s="8" t="n"/>
      <c r="B19" s="1073" t="n"/>
      <c r="C19" s="1" t="n"/>
      <c r="D19" s="20" t="inlineStr">
        <is>
          <t>CONTRACTOR - OSP OFFICE ESTIMATE</t>
        </is>
      </c>
      <c r="E19" s="21" t="n">
        <v>150</v>
      </c>
      <c r="F19" s="63">
        <f>E19*B19</f>
        <v/>
      </c>
    </row>
    <row r="20" outlineLevel="1" ht="15" customHeight="1">
      <c r="A20" s="8" t="n"/>
      <c r="B20" s="1073" t="n"/>
      <c r="C20" s="1" t="n"/>
      <c r="D20" s="20" t="inlineStr">
        <is>
          <t>CONTRACTOR - OSP DETAILED FIELD ESTIMATE</t>
        </is>
      </c>
      <c r="E20" s="21" t="n">
        <v>350</v>
      </c>
      <c r="F20" s="63">
        <f>E20*B20</f>
        <v/>
      </c>
    </row>
    <row r="21" outlineLevel="1" ht="15" customHeight="1">
      <c r="A21" s="8" t="n"/>
      <c r="B21" s="1073" t="n"/>
      <c r="C21" s="1" t="n"/>
      <c r="D21" s="20" t="inlineStr">
        <is>
          <t>CONTRACTOR - CAP RING - SHORT HAUL - LONG HAUL - FIELD ESTIMATE</t>
        </is>
      </c>
      <c r="E21" s="21" t="n">
        <v>500</v>
      </c>
      <c r="F21" s="63">
        <f>E21*B21</f>
        <v/>
      </c>
    </row>
    <row r="22" outlineLevel="1" ht="15" customHeight="1">
      <c r="A22" s="8" t="n"/>
      <c r="B22" s="1073" t="n"/>
      <c r="C22" s="1" t="n"/>
      <c r="D22" s="20" t="inlineStr">
        <is>
          <t>CONTRACTOR - PROJECT MANAGEMENT</t>
        </is>
      </c>
      <c r="E22" s="21" t="n">
        <v>48</v>
      </c>
      <c r="F22" s="63">
        <f>E22*B22</f>
        <v/>
      </c>
    </row>
    <row r="23" outlineLevel="1" ht="15" customHeight="1">
      <c r="A23" s="8" t="n"/>
      <c r="B23" s="1073" t="n"/>
      <c r="C23" s="1" t="n"/>
      <c r="D23" s="20" t="inlineStr">
        <is>
          <t>CONTRACTOR - OSP ENGINEER</t>
        </is>
      </c>
      <c r="E23" s="21" t="n">
        <v>48</v>
      </c>
      <c r="F23" s="63">
        <f>E23*B23</f>
        <v/>
      </c>
    </row>
    <row r="24" outlineLevel="1" ht="15" customHeight="1">
      <c r="A24" s="8" t="n"/>
      <c r="B24" s="1073" t="n"/>
      <c r="C24" s="1" t="n"/>
      <c r="D24" s="20" t="inlineStr">
        <is>
          <t>CONTRACTOR - ASSOCIATE ENGINEER</t>
        </is>
      </c>
      <c r="E24" s="21" t="n">
        <v>37</v>
      </c>
      <c r="F24" s="63">
        <f>E24*B24</f>
        <v/>
      </c>
    </row>
    <row r="25" outlineLevel="1" ht="15" customHeight="1">
      <c r="A25" s="8" t="n"/>
      <c r="B25" s="1073" t="n"/>
      <c r="C25" s="1" t="n"/>
      <c r="D25" s="20" t="inlineStr">
        <is>
          <t>CONTRACTOR - ENGINEER ASSISTANT</t>
        </is>
      </c>
      <c r="E25" s="21" t="n">
        <v>21</v>
      </c>
      <c r="F25" s="63">
        <f>E25*B25</f>
        <v/>
      </c>
    </row>
    <row r="26" outlineLevel="1" ht="15" customHeight="1">
      <c r="A26" s="8" t="n"/>
      <c r="B26" s="1073" t="n"/>
      <c r="C26" s="1" t="n"/>
      <c r="D26" s="20" t="inlineStr">
        <is>
          <t>CONTRACTOR - ENGINEERING ADMIN</t>
        </is>
      </c>
      <c r="E26" s="21" t="n">
        <v>29</v>
      </c>
      <c r="F26" s="63">
        <f>E26*B26</f>
        <v/>
      </c>
    </row>
    <row r="27" outlineLevel="1" ht="15" customHeight="1">
      <c r="A27" s="8" t="n"/>
      <c r="B27" s="1073" t="n"/>
      <c r="C27" s="1" t="n"/>
      <c r="D27" s="20" t="inlineStr">
        <is>
          <t>CONTRACTOR - ENGINEERING ADMIN ASSISTANT</t>
        </is>
      </c>
      <c r="E27" s="21" t="n">
        <v>21</v>
      </c>
      <c r="F27" s="63">
        <f>E27*B27</f>
        <v/>
      </c>
    </row>
    <row r="28" outlineLevel="1" ht="15" customHeight="1" thickBot="1">
      <c r="A28" s="8" t="n"/>
      <c r="B28" s="1" t="n"/>
      <c r="C28" s="1" t="n"/>
      <c r="D28" s="20" t="inlineStr">
        <is>
          <t>LUMOS LABOR - JOB COORDINATION - PROJECT MANAGEMENT</t>
        </is>
      </c>
      <c r="E28" s="21" t="n">
        <v>500</v>
      </c>
      <c r="F28" s="63">
        <f>E28*B28</f>
        <v/>
      </c>
    </row>
    <row r="29" outlineLevel="1" ht="15" customHeight="1" thickBot="1">
      <c r="A29" s="110" t="n"/>
      <c r="B29" s="112" t="n"/>
      <c r="C29" s="112" t="n"/>
      <c r="D29" s="9" t="inlineStr">
        <is>
          <t>TOTAL - ENGINEERING</t>
        </is>
      </c>
      <c r="E29" s="135" t="n"/>
      <c r="F29" s="62">
        <f>SUM(F7:F28)</f>
        <v/>
      </c>
    </row>
    <row r="30" outlineLevel="1" ht="15" customHeight="1" thickBot="1">
      <c r="A30" s="151" t="inlineStr">
        <is>
          <t>&lt;----Click the + to Expand or Collapse the "ENGINEERING" Section</t>
        </is>
      </c>
      <c r="B30" s="120" t="n"/>
      <c r="C30" s="120" t="n"/>
      <c r="D30" s="104" t="n"/>
      <c r="E30" s="152" t="n"/>
      <c r="F30" s="105" t="n"/>
    </row>
    <row r="31" outlineLevel="1" ht="15" customHeight="1" thickBot="1">
      <c r="A31" s="1075" t="n"/>
      <c r="B31" s="97">
        <f>IF(SUM(F35)&gt;0,"-","")</f>
        <v/>
      </c>
      <c r="C31" s="1076" t="n"/>
      <c r="D31" s="1076" t="inlineStr">
        <is>
          <t>DRAFTING</t>
        </is>
      </c>
      <c r="E31" s="1091" t="n"/>
      <c r="F31" s="83" t="n"/>
    </row>
    <row r="32" outlineLevel="1" ht="15" customHeight="1">
      <c r="A32" s="3" t="n"/>
      <c r="B32" s="54" t="n"/>
      <c r="C32" s="85" t="n"/>
      <c r="D32" s="143" t="inlineStr">
        <is>
          <t>CONTRACTOR - CAD INPUT / MAPPING (M4)</t>
        </is>
      </c>
      <c r="E32" s="87" t="n">
        <v>32</v>
      </c>
      <c r="F32" s="64">
        <f>E32*B32</f>
        <v/>
      </c>
    </row>
    <row r="33" outlineLevel="1" ht="15" customHeight="1">
      <c r="A33" s="14" t="n"/>
      <c r="B33" s="4" t="n"/>
      <c r="C33" s="5" t="n"/>
      <c r="D33" s="15" t="inlineStr">
        <is>
          <t>COMPANY LABOR - CAD INPUT/ MAPPING (M4)</t>
        </is>
      </c>
      <c r="E33" s="16" t="n"/>
      <c r="F33" s="59">
        <f>E33*B33</f>
        <v/>
      </c>
    </row>
    <row r="34" outlineLevel="1" ht="15" customHeight="1" thickBot="1">
      <c r="A34" s="14" t="n"/>
      <c r="B34" s="5" t="n"/>
      <c r="C34" s="5" t="n"/>
      <c r="D34" s="15" t="inlineStr">
        <is>
          <t>CONTRACTOR - M4 - POSTING TIME</t>
        </is>
      </c>
      <c r="E34" s="16" t="n">
        <v>150</v>
      </c>
      <c r="F34" s="59">
        <f>E34*B34</f>
        <v/>
      </c>
    </row>
    <row r="35" outlineLevel="1" ht="15" customHeight="1" thickBot="1">
      <c r="A35" s="45" t="n"/>
      <c r="B35" s="130" t="n"/>
      <c r="C35" s="130" t="n"/>
      <c r="D35" s="7" t="inlineStr">
        <is>
          <t>TOTAL - DRAFTING</t>
        </is>
      </c>
      <c r="E35" s="44" t="n"/>
      <c r="F35" s="58">
        <f>SUM(F32:F34)</f>
        <v/>
      </c>
    </row>
    <row r="36" outlineLevel="1" ht="15" customHeight="1" thickBot="1">
      <c r="A36" s="149" t="inlineStr">
        <is>
          <t>&lt;----Click the + to Expand or Collapse the "DRAFTING" Section</t>
        </is>
      </c>
      <c r="B36" s="97" t="n"/>
      <c r="C36" s="97" t="n"/>
      <c r="D36" s="1076" t="n"/>
      <c r="E36" s="1091" t="n"/>
      <c r="F36" s="83" t="n"/>
    </row>
    <row r="37" outlineLevel="1" ht="15" customHeight="1" thickBot="1">
      <c r="A37" s="132" t="n"/>
      <c r="B37" s="142">
        <f>IF(SUM(F56)&gt;0,"-","")</f>
        <v/>
      </c>
      <c r="C37" s="142" t="n"/>
      <c r="D37" s="124" t="inlineStr">
        <is>
          <t>PERMITTING</t>
        </is>
      </c>
      <c r="E37" s="128" t="n"/>
      <c r="F37" s="129" t="n"/>
    </row>
    <row r="38" outlineLevel="1" ht="15" customHeight="1">
      <c r="A38" s="10" t="n"/>
      <c r="B38" s="52" t="n"/>
      <c r="C38" s="17" t="n"/>
      <c r="D38" s="18" t="inlineStr">
        <is>
          <t>EASEMENTS / ACQUISITION - COMPANY LABOR</t>
        </is>
      </c>
      <c r="E38" s="19" t="n">
        <v>50</v>
      </c>
      <c r="F38" s="74">
        <f>E38*B38</f>
        <v/>
      </c>
    </row>
    <row r="39" outlineLevel="1" ht="15" customHeight="1">
      <c r="A39" s="8" t="n"/>
      <c r="B39" s="1073" t="n"/>
      <c r="C39" s="1" t="n"/>
      <c r="D39" s="20" t="inlineStr">
        <is>
          <t>EASEMENTS / ACQUISITION - CONTRACT LABOR</t>
        </is>
      </c>
      <c r="E39" s="21" t="n">
        <v>50</v>
      </c>
      <c r="F39" s="63">
        <f>E39*B39</f>
        <v/>
      </c>
    </row>
    <row r="40" outlineLevel="1" ht="15" customHeight="1">
      <c r="A40" s="8" t="n"/>
      <c r="B40" s="1073" t="n"/>
      <c r="C40" s="1" t="n"/>
      <c r="D40" s="20" t="inlineStr">
        <is>
          <t>CONTRACTOR - NEGOTIATION OF EASEMENT BEYOND FIRST ATTEMPT</t>
        </is>
      </c>
      <c r="E40" s="21" t="n">
        <v>500</v>
      </c>
      <c r="F40" s="63">
        <f>E40*B40</f>
        <v/>
      </c>
    </row>
    <row r="41" outlineLevel="1" ht="15" customHeight="1">
      <c r="A41" s="8" t="n"/>
      <c r="B41" s="1073" t="n"/>
      <c r="C41" s="1" t="n"/>
      <c r="D41" s="20" t="inlineStr">
        <is>
          <t>CONTRACTOR - NEGOTIATION OF BUILDING LICENSE AGREEMENTS</t>
        </is>
      </c>
      <c r="E41" s="21" t="n">
        <v>500</v>
      </c>
      <c r="F41" s="63">
        <f>E41*B41</f>
        <v/>
      </c>
    </row>
    <row r="42" outlineLevel="1" ht="15" customHeight="1">
      <c r="A42" s="8" t="n"/>
      <c r="B42" s="1">
        <f>IF(SUM(F42)&gt;0,"-","")</f>
        <v/>
      </c>
      <c r="C42" s="1" t="n"/>
      <c r="D42" s="187" t="inlineStr">
        <is>
          <t>EASEMENT FEES</t>
        </is>
      </c>
      <c r="E42" s="21" t="n">
        <v>0</v>
      </c>
      <c r="F42" s="63">
        <f>E42</f>
        <v/>
      </c>
    </row>
    <row r="43" outlineLevel="1" ht="15" customHeight="1">
      <c r="A43" s="8" t="n"/>
      <c r="B43" s="1073" t="n"/>
      <c r="C43" s="1" t="n"/>
      <c r="D43" s="20" t="inlineStr">
        <is>
          <t>PERMITS / AUTHORIZATION - COMPANY LABOR</t>
        </is>
      </c>
      <c r="E43" s="21" t="n">
        <v>50</v>
      </c>
      <c r="F43" s="63">
        <f>E43*B43</f>
        <v/>
      </c>
    </row>
    <row r="44" outlineLevel="1" ht="15" customHeight="1">
      <c r="A44" s="8" t="n"/>
      <c r="B44" s="1073" t="n"/>
      <c r="C44" s="1" t="n"/>
      <c r="D44" s="20" t="inlineStr">
        <is>
          <t>PERMITS / AUTHORIZATION - CONTRACT LABOR</t>
        </is>
      </c>
      <c r="E44" s="21" t="n">
        <v>610</v>
      </c>
      <c r="F44" s="63">
        <f>E44*B44</f>
        <v/>
      </c>
    </row>
    <row r="45" outlineLevel="1" ht="15" customHeight="1">
      <c r="A45" s="8" t="n"/>
      <c r="B45" s="1073" t="n"/>
      <c r="C45" s="1" t="n"/>
      <c r="D45" s="20" t="inlineStr">
        <is>
          <t>ADMINISTRATION PERMITING TIME - COMPANY LABOR</t>
        </is>
      </c>
      <c r="E45" s="21" t="n">
        <v>300</v>
      </c>
      <c r="F45" s="63">
        <f>E45*B45</f>
        <v/>
      </c>
    </row>
    <row r="46" outlineLevel="1" ht="15" customHeight="1">
      <c r="A46" s="8" t="n"/>
      <c r="B46" s="1073" t="n"/>
      <c r="C46" s="1" t="n"/>
      <c r="D46" s="20" t="inlineStr">
        <is>
          <t>ADMINISTRATION PERMITING TIME - CONTRACT LABOR</t>
        </is>
      </c>
      <c r="E46" s="21" t="n">
        <v>300</v>
      </c>
      <c r="F46" s="63">
        <f>E46*B46</f>
        <v/>
      </c>
    </row>
    <row r="47" outlineLevel="1" ht="15" customHeight="1">
      <c r="A47" s="8" t="n"/>
      <c r="B47" s="1073" t="n"/>
      <c r="C47" s="1" t="n"/>
      <c r="D47" s="20" t="inlineStr">
        <is>
          <t>CONTRACTOR - SPECIALIZED PERMITS</t>
        </is>
      </c>
      <c r="E47" s="21" t="n">
        <v>625</v>
      </c>
      <c r="F47" s="63">
        <f>E47*B47</f>
        <v/>
      </c>
    </row>
    <row r="48" outlineLevel="1" ht="15" customHeight="1">
      <c r="A48" s="8" t="n"/>
      <c r="B48" s="1073" t="n"/>
      <c r="C48" s="1" t="n"/>
      <c r="D48" s="20" t="inlineStr">
        <is>
          <t>CONTRACTOR - PE STAMP - PLUS 15% OF COST</t>
        </is>
      </c>
      <c r="E48" s="145" t="n">
        <v>600</v>
      </c>
      <c r="F48" s="63">
        <f>E48*B48</f>
        <v/>
      </c>
    </row>
    <row r="49" outlineLevel="1" ht="15" customHeight="1">
      <c r="A49" s="8" t="n"/>
      <c r="B49" s="1" t="n"/>
      <c r="C49" s="1" t="n"/>
      <c r="D49" s="187" t="inlineStr">
        <is>
          <t>PERMIT FEES - DOT</t>
        </is>
      </c>
      <c r="E49" s="21" t="n">
        <v>175</v>
      </c>
      <c r="F49" s="63">
        <f>E49*B49</f>
        <v/>
      </c>
    </row>
    <row r="50" outlineLevel="1" ht="15" customHeight="1">
      <c r="A50" s="8" t="n"/>
      <c r="B50" s="1" t="n"/>
      <c r="C50" s="1" t="n"/>
      <c r="D50" s="187" t="inlineStr">
        <is>
          <t>PERMIT FEES - MUNICIPAL</t>
        </is>
      </c>
      <c r="E50" s="21" t="n">
        <v>50</v>
      </c>
      <c r="F50" s="63">
        <f>E50*B50</f>
        <v/>
      </c>
    </row>
    <row r="51" outlineLevel="1" ht="15" customHeight="1">
      <c r="A51" s="8" t="n"/>
      <c r="B51" s="1" t="n"/>
      <c r="C51" s="1" t="n"/>
      <c r="D51" s="187" t="inlineStr">
        <is>
          <t>PERMIT FEES - RR</t>
        </is>
      </c>
      <c r="E51" s="21" t="n">
        <v>350</v>
      </c>
      <c r="F51" s="63">
        <f>E51*B51</f>
        <v/>
      </c>
    </row>
    <row r="52" outlineLevel="1" ht="15" customHeight="1">
      <c r="A52" s="8" t="n"/>
      <c r="B52" s="1" t="n"/>
      <c r="C52" s="1" t="n"/>
      <c r="D52" s="187" t="inlineStr">
        <is>
          <t>PERMIT FEES - POLE</t>
        </is>
      </c>
      <c r="E52" s="21" t="n">
        <v>0</v>
      </c>
      <c r="F52" s="63">
        <f>E52*B52</f>
        <v/>
      </c>
    </row>
    <row r="53" outlineLevel="1" ht="15" customHeight="1">
      <c r="A53" s="8" t="n"/>
      <c r="B53" s="1" t="n"/>
      <c r="C53" s="1" t="n"/>
      <c r="D53" s="187" t="inlineStr">
        <is>
          <t>PERMIT FEES - CONDUIT</t>
        </is>
      </c>
      <c r="E53" s="21" t="n">
        <v>0</v>
      </c>
      <c r="F53" s="63">
        <f>E53*B53</f>
        <v/>
      </c>
    </row>
    <row r="54" outlineLevel="1" ht="15" customHeight="1">
      <c r="A54" s="8" t="n"/>
      <c r="B54" s="1" t="n"/>
      <c r="C54" s="1" t="n"/>
      <c r="D54" s="187" t="inlineStr">
        <is>
          <t>PERMIT FEES - OTHER</t>
        </is>
      </c>
      <c r="E54" s="21" t="n">
        <v>10000</v>
      </c>
      <c r="F54" s="63">
        <f>E54</f>
        <v/>
      </c>
    </row>
    <row r="55" outlineLevel="1" ht="15" customHeight="1" thickBot="1">
      <c r="A55" s="88" t="n"/>
      <c r="B55" s="1" t="n"/>
      <c r="C55" s="79" t="n"/>
      <c r="D55" s="188" t="inlineStr">
        <is>
          <t>PERMIT FEES - TRAFFIC CONTROL (ENGINEERING DESIGN)</t>
        </is>
      </c>
      <c r="E55" s="21" t="n">
        <v>0</v>
      </c>
      <c r="F55" s="63">
        <f>E55</f>
        <v/>
      </c>
    </row>
    <row r="56" outlineLevel="1" ht="15" customHeight="1" thickBot="1">
      <c r="A56" s="101" t="n"/>
      <c r="B56" s="146" t="n"/>
      <c r="C56" s="146" t="n"/>
      <c r="D56" s="147" t="inlineStr">
        <is>
          <t>TOTAL - PERMITTING</t>
        </is>
      </c>
      <c r="E56" s="148" t="n"/>
      <c r="F56" s="62">
        <f>SUM(F38:F55)</f>
        <v/>
      </c>
    </row>
    <row r="57" ht="15" customHeight="1" thickBot="1">
      <c r="A57" s="568" t="inlineStr">
        <is>
          <t>&lt;----Click the + to Expand or Collapse the "PERMITTING" Section</t>
        </is>
      </c>
      <c r="B57" s="569" t="n"/>
      <c r="C57" s="569" t="n"/>
      <c r="D57" s="570" t="n"/>
      <c r="E57" s="571" t="n"/>
      <c r="F57" s="572" t="n"/>
    </row>
    <row r="58" ht="15" customHeight="1" thickBot="1">
      <c r="A58" s="93" t="n"/>
      <c r="B58" s="97">
        <f>IF(SUM(F139)&gt;0,"-","")</f>
        <v/>
      </c>
      <c r="C58" s="97" t="n"/>
      <c r="D58" s="1076" t="inlineStr">
        <is>
          <t>POLES</t>
        </is>
      </c>
      <c r="E58" s="1091" t="n"/>
      <c r="F58" s="83" t="n"/>
    </row>
    <row r="59" outlineLevel="1" ht="15" customHeight="1">
      <c r="A59" s="3" t="inlineStr">
        <is>
          <t>O.POLES</t>
        </is>
      </c>
      <c r="B59" s="54" t="n"/>
      <c r="C59" s="22" t="n">
        <v>100</v>
      </c>
      <c r="D59" s="23" t="inlineStr">
        <is>
          <t>PLACE POLE - 30 TO 35 FT.</t>
        </is>
      </c>
      <c r="E59" s="1129" t="n">
        <v>250</v>
      </c>
      <c r="F59" s="64">
        <f>E59*B59</f>
        <v/>
      </c>
      <c r="G59" s="77" t="n"/>
      <c r="H59" s="537" t="n"/>
      <c r="I59" s="194" t="n"/>
      <c r="J59" s="77" t="n"/>
      <c r="K59" s="1130" t="n"/>
    </row>
    <row r="60" outlineLevel="1" ht="15" customHeight="1">
      <c r="A60" s="3" t="inlineStr">
        <is>
          <t>O.POLES</t>
        </is>
      </c>
      <c r="B60" s="54" t="n"/>
      <c r="C60" s="22" t="n">
        <v>105</v>
      </c>
      <c r="D60" s="23" t="inlineStr">
        <is>
          <t>PLACE POLE 40 TO 45 FT</t>
        </is>
      </c>
      <c r="E60" s="1129" t="n">
        <v>315</v>
      </c>
      <c r="F60" s="64">
        <f>E60*B60</f>
        <v/>
      </c>
      <c r="G60" s="77" t="n"/>
      <c r="H60" s="538" t="n"/>
      <c r="I60" s="194" t="n"/>
      <c r="J60" s="77" t="n"/>
      <c r="K60" s="1130" t="n"/>
    </row>
    <row r="61" outlineLevel="1" ht="15" customHeight="1">
      <c r="A61" s="3" t="inlineStr">
        <is>
          <t>O.POLES</t>
        </is>
      </c>
      <c r="B61" s="4" t="n"/>
      <c r="C61" s="24" t="n">
        <v>110</v>
      </c>
      <c r="D61" s="25" t="inlineStr">
        <is>
          <t>PLACE POLE - 50 TO 55 FT.</t>
        </is>
      </c>
      <c r="E61" s="1129" t="n">
        <v>350</v>
      </c>
      <c r="F61" s="64">
        <f>E61*B61</f>
        <v/>
      </c>
      <c r="G61" s="77" t="n"/>
      <c r="H61" s="538" t="n"/>
      <c r="I61" s="194" t="n"/>
      <c r="J61" s="77" t="n"/>
      <c r="K61" s="1130" t="n"/>
    </row>
    <row r="62" outlineLevel="1" ht="15" customHeight="1">
      <c r="A62" s="3" t="inlineStr">
        <is>
          <t>O.POLES</t>
        </is>
      </c>
      <c r="B62" s="4" t="n"/>
      <c r="C62" s="24" t="n">
        <v>115</v>
      </c>
      <c r="D62" s="25" t="inlineStr">
        <is>
          <t>PLACE POLE 60 AND ABOVE FT</t>
        </is>
      </c>
      <c r="E62" s="1129" t="n">
        <v>395</v>
      </c>
      <c r="F62" s="64">
        <f>E62*B62</f>
        <v/>
      </c>
      <c r="G62" s="77" t="n"/>
      <c r="H62" s="538" t="n"/>
      <c r="I62" s="194" t="n"/>
      <c r="J62" s="77" t="n"/>
      <c r="K62" s="1130" t="n"/>
    </row>
    <row r="63" outlineLevel="1" ht="15" customHeight="1">
      <c r="A63" s="3" t="inlineStr">
        <is>
          <t>O.POLES</t>
        </is>
      </c>
      <c r="B63" s="4" t="n"/>
      <c r="C63" s="24" t="n">
        <v>120</v>
      </c>
      <c r="D63" s="25" t="inlineStr">
        <is>
          <t>PLACE STUB POLE</t>
        </is>
      </c>
      <c r="E63" s="1129" t="n">
        <v>155</v>
      </c>
      <c r="F63" s="64">
        <f>E63*B63</f>
        <v/>
      </c>
      <c r="G63" s="77" t="n"/>
      <c r="H63" s="538" t="n"/>
      <c r="I63" s="194" t="n"/>
      <c r="J63" s="77" t="n"/>
      <c r="K63" s="1130" t="n"/>
    </row>
    <row r="64" outlineLevel="1" ht="15" customHeight="1">
      <c r="A64" s="3" t="inlineStr">
        <is>
          <t>O.POLES</t>
        </is>
      </c>
      <c r="B64" s="4" t="n"/>
      <c r="C64" s="24" t="n">
        <v>125</v>
      </c>
      <c r="D64" s="25" t="inlineStr">
        <is>
          <t>REMOVE POLE 20 TO 35 FT.</t>
        </is>
      </c>
      <c r="E64" s="1129" t="n">
        <v>70</v>
      </c>
      <c r="F64" s="64">
        <f>E64*B64</f>
        <v/>
      </c>
      <c r="G64" s="77" t="n"/>
      <c r="H64" s="538" t="n"/>
      <c r="I64" s="194" t="n"/>
      <c r="J64" s="77" t="n"/>
      <c r="K64" s="1130" t="n"/>
    </row>
    <row r="65" outlineLevel="1" ht="15" customHeight="1">
      <c r="A65" s="3" t="inlineStr">
        <is>
          <t>O.POLES</t>
        </is>
      </c>
      <c r="B65" s="4" t="n"/>
      <c r="C65" s="24" t="n">
        <v>130</v>
      </c>
      <c r="D65" s="25" t="inlineStr">
        <is>
          <t>REMOVE POLE 40 TO 45 FT.</t>
        </is>
      </c>
      <c r="E65" s="1129" t="n">
        <v>80</v>
      </c>
      <c r="F65" s="64">
        <f>E65*B65</f>
        <v/>
      </c>
      <c r="G65" s="77" t="n"/>
      <c r="H65" s="538" t="n"/>
      <c r="I65" s="194" t="n"/>
      <c r="J65" s="77" t="n"/>
      <c r="K65" s="1130" t="n"/>
    </row>
    <row r="66" outlineLevel="1" ht="15" customHeight="1">
      <c r="A66" s="3" t="inlineStr">
        <is>
          <t>O.POLES</t>
        </is>
      </c>
      <c r="B66" s="4" t="n"/>
      <c r="C66" s="24" t="n">
        <v>135</v>
      </c>
      <c r="D66" s="25" t="inlineStr">
        <is>
          <t>REMOVE POLE 50 TO 55 FT.</t>
        </is>
      </c>
      <c r="E66" s="1129" t="n">
        <v>100</v>
      </c>
      <c r="F66" s="64">
        <f>E66*B66</f>
        <v/>
      </c>
      <c r="G66" s="77" t="n"/>
      <c r="H66" s="538" t="n"/>
      <c r="I66" s="194" t="n"/>
      <c r="J66" s="77" t="n"/>
      <c r="K66" s="1130" t="n"/>
    </row>
    <row r="67" outlineLevel="1" ht="15" customHeight="1">
      <c r="A67" s="3" t="inlineStr">
        <is>
          <t>O.POLES</t>
        </is>
      </c>
      <c r="B67" s="4" t="n"/>
      <c r="C67" s="24" t="n">
        <v>140</v>
      </c>
      <c r="D67" s="25" t="inlineStr">
        <is>
          <t>REMOVE POLE 60 AND ABOVE FT</t>
        </is>
      </c>
      <c r="E67" s="1129" t="n">
        <v>120</v>
      </c>
      <c r="F67" s="64">
        <f>E67*B67</f>
        <v/>
      </c>
      <c r="G67" s="77" t="n"/>
      <c r="H67" s="538" t="n"/>
      <c r="I67" s="194" t="n"/>
      <c r="J67" s="77" t="n"/>
      <c r="K67" s="1130" t="n"/>
    </row>
    <row r="68" outlineLevel="1" ht="15" customHeight="1">
      <c r="A68" s="3" t="inlineStr">
        <is>
          <t>O.POLES</t>
        </is>
      </c>
      <c r="B68" s="4" t="n"/>
      <c r="C68" s="24" t="n">
        <v>145</v>
      </c>
      <c r="D68" s="25" t="inlineStr">
        <is>
          <t>REMOVE STUB POLE</t>
        </is>
      </c>
      <c r="E68" s="1129" t="n">
        <v>65</v>
      </c>
      <c r="F68" s="64">
        <f>E68*B68</f>
        <v/>
      </c>
      <c r="G68" s="77" t="n"/>
      <c r="H68" s="538" t="n"/>
      <c r="I68" s="194" t="n"/>
      <c r="J68" s="77" t="n"/>
      <c r="K68" s="1130" t="n"/>
    </row>
    <row r="69" outlineLevel="1" ht="15" customHeight="1">
      <c r="A69" s="3" t="inlineStr">
        <is>
          <t>O.POLES</t>
        </is>
      </c>
      <c r="B69" s="4" t="n"/>
      <c r="C69" s="24" t="n">
        <v>150</v>
      </c>
      <c r="D69" s="25" t="inlineStr">
        <is>
          <t>ADDITIONAL CHARGE POLE SET IN POWER</t>
        </is>
      </c>
      <c r="E69" s="1129" t="n">
        <v>150</v>
      </c>
      <c r="F69" s="64">
        <f>E69*B69</f>
        <v/>
      </c>
      <c r="G69" s="77" t="n"/>
      <c r="H69" s="538" t="n"/>
      <c r="I69" s="194" t="n"/>
      <c r="J69" s="77" t="n"/>
      <c r="K69" s="1130" t="n"/>
    </row>
    <row r="70" outlineLevel="1" ht="15" customHeight="1">
      <c r="A70" s="3" t="inlineStr">
        <is>
          <t>O.POLES</t>
        </is>
      </c>
      <c r="B70" s="4" t="n"/>
      <c r="C70" s="24" t="n">
        <v>151</v>
      </c>
      <c r="D70" s="25" t="inlineStr">
        <is>
          <t>HAND SET POLE</t>
        </is>
      </c>
      <c r="E70" s="1129" t="n">
        <v>300</v>
      </c>
      <c r="F70" s="64">
        <f>E70*B70</f>
        <v/>
      </c>
      <c r="G70" s="77" t="n"/>
      <c r="H70" s="538" t="n"/>
      <c r="I70" s="194" t="n"/>
      <c r="J70" s="77" t="n"/>
      <c r="K70" s="1130" t="n"/>
    </row>
    <row r="71" outlineLevel="1" ht="15" customHeight="1">
      <c r="A71" s="3" t="inlineStr">
        <is>
          <t>O.POLES</t>
        </is>
      </c>
      <c r="B71" s="4" t="n"/>
      <c r="C71" s="24" t="n">
        <v>155</v>
      </c>
      <c r="D71" s="25" t="inlineStr">
        <is>
          <t xml:space="preserve">RESTORE PAVEMENT AT POLE PLACE </t>
        </is>
      </c>
      <c r="E71" s="1129" t="n">
        <v>55</v>
      </c>
      <c r="F71" s="64">
        <f>E71*B71</f>
        <v/>
      </c>
      <c r="G71" s="77" t="n"/>
      <c r="H71" s="538" t="n"/>
      <c r="I71" s="194" t="n"/>
      <c r="J71" s="77" t="n"/>
      <c r="K71" s="1130" t="n"/>
    </row>
    <row r="72" outlineLevel="1" ht="15" customHeight="1">
      <c r="A72" s="3" t="inlineStr">
        <is>
          <t>O.POLES</t>
        </is>
      </c>
      <c r="B72" s="4" t="n"/>
      <c r="C72" s="24" t="n">
        <v>160</v>
      </c>
      <c r="D72" s="25" t="inlineStr">
        <is>
          <t>REPLACE PAVEMENT AT POLE REMOVAL</t>
        </is>
      </c>
      <c r="E72" s="1129" t="n">
        <v>55</v>
      </c>
      <c r="F72" s="64">
        <f>E72*B72</f>
        <v/>
      </c>
      <c r="G72" s="77" t="n"/>
      <c r="H72" s="538" t="n"/>
      <c r="I72" s="194" t="n"/>
      <c r="J72" s="77" t="n"/>
      <c r="K72" s="1130" t="n"/>
    </row>
    <row r="73" outlineLevel="1" ht="15" customHeight="1">
      <c r="A73" s="3" t="inlineStr">
        <is>
          <t>O.POLES</t>
        </is>
      </c>
      <c r="B73" s="4" t="n"/>
      <c r="C73" s="24" t="n">
        <v>165</v>
      </c>
      <c r="D73" s="25" t="inlineStr">
        <is>
          <t>STENCIL POLE/PED</t>
        </is>
      </c>
      <c r="E73" s="1129" t="n">
        <v>8</v>
      </c>
      <c r="F73" s="64">
        <f>E73*B73</f>
        <v/>
      </c>
      <c r="G73" s="77" t="n"/>
      <c r="H73" s="538" t="n"/>
      <c r="I73" s="194" t="n"/>
      <c r="J73" s="77" t="n"/>
      <c r="K73" s="1130" t="n"/>
    </row>
    <row r="74" outlineLevel="1" ht="15" customHeight="1">
      <c r="A74" s="3" t="inlineStr">
        <is>
          <t>O.POLES</t>
        </is>
      </c>
      <c r="B74" s="4" t="n"/>
      <c r="C74" s="24" t="n">
        <v>170</v>
      </c>
      <c r="D74" s="25" t="inlineStr">
        <is>
          <t>REMOVE POLE STENCIL</t>
        </is>
      </c>
      <c r="E74" s="1129" t="n">
        <v>4</v>
      </c>
      <c r="F74" s="64">
        <f>E74*B74</f>
        <v/>
      </c>
      <c r="G74" s="77" t="n"/>
      <c r="H74" s="538" t="n"/>
      <c r="I74" s="194" t="n"/>
      <c r="J74" s="77" t="n"/>
      <c r="K74" s="1130" t="n"/>
    </row>
    <row r="75" outlineLevel="1" ht="15" customHeight="1">
      <c r="A75" s="3" t="inlineStr">
        <is>
          <t>O.POLES</t>
        </is>
      </c>
      <c r="B75" s="4" t="n"/>
      <c r="C75" s="24" t="n">
        <v>175</v>
      </c>
      <c r="D75" s="25" t="inlineStr">
        <is>
          <t>Place 8" Helix Anchor</t>
        </is>
      </c>
      <c r="E75" s="1129" t="n">
        <v>78</v>
      </c>
      <c r="F75" s="64">
        <f>E75*B75</f>
        <v/>
      </c>
      <c r="G75" s="77" t="n"/>
      <c r="H75" s="538" t="n"/>
      <c r="I75" s="194" t="n"/>
      <c r="J75" s="77" t="n"/>
      <c r="K75" s="1130" t="n"/>
    </row>
    <row r="76" outlineLevel="1" ht="15" customHeight="1">
      <c r="A76" s="3" t="inlineStr">
        <is>
          <t>O.POLES</t>
        </is>
      </c>
      <c r="B76" s="4" t="n"/>
      <c r="C76" s="24" t="n">
        <v>180</v>
      </c>
      <c r="D76" s="25" t="inlineStr">
        <is>
          <t>Place 10" Helix Anchor</t>
        </is>
      </c>
      <c r="E76" s="1129" t="n">
        <v>82</v>
      </c>
      <c r="F76" s="64">
        <f>E76*B76</f>
        <v/>
      </c>
      <c r="G76" s="77" t="n"/>
      <c r="H76" s="538" t="n"/>
      <c r="I76" s="194" t="n"/>
      <c r="J76" s="77" t="n"/>
      <c r="K76" s="1130" t="n"/>
    </row>
    <row r="77" outlineLevel="1" ht="15" customHeight="1">
      <c r="A77" s="3" t="inlineStr">
        <is>
          <t>O.POLES</t>
        </is>
      </c>
      <c r="B77" s="4" t="n"/>
      <c r="C77" s="24" t="n">
        <v>185</v>
      </c>
      <c r="D77" s="25" t="inlineStr">
        <is>
          <t>Place 12" Helix Anchor (Standard Anchor Size)</t>
        </is>
      </c>
      <c r="E77" s="1129" t="n">
        <v>92</v>
      </c>
      <c r="F77" s="64">
        <f>E77*B77</f>
        <v/>
      </c>
      <c r="G77" s="77" t="n"/>
      <c r="H77" s="538" t="n"/>
      <c r="I77" s="194" t="n"/>
      <c r="J77" s="77" t="n"/>
      <c r="K77" s="1130" t="n"/>
    </row>
    <row r="78" outlineLevel="1" ht="15" customHeight="1">
      <c r="A78" s="3" t="inlineStr">
        <is>
          <t>O.POLES</t>
        </is>
      </c>
      <c r="B78" s="4" t="n"/>
      <c r="C78" s="24" t="n">
        <v>190</v>
      </c>
      <c r="D78" s="25" t="inlineStr">
        <is>
          <t>Place Screw Anchor</t>
        </is>
      </c>
      <c r="E78" s="1129" t="n">
        <v>92</v>
      </c>
      <c r="F78" s="64">
        <f>E78*B78</f>
        <v/>
      </c>
      <c r="G78" s="77" t="n"/>
      <c r="H78" s="538" t="n"/>
      <c r="I78" s="194" t="n"/>
      <c r="J78" s="77" t="n"/>
      <c r="K78" s="1130" t="n"/>
    </row>
    <row r="79" outlineLevel="1" ht="15" customHeight="1">
      <c r="A79" s="3" t="inlineStr">
        <is>
          <t>O.POLES</t>
        </is>
      </c>
      <c r="B79" s="4" t="n"/>
      <c r="C79" s="24" t="n">
        <v>191</v>
      </c>
      <c r="D79" s="25" t="inlineStr">
        <is>
          <t>Place Exp. 3/4" x 7' Rod (Rarely Used)</t>
        </is>
      </c>
      <c r="E79" s="1129" t="n">
        <v>142</v>
      </c>
      <c r="F79" s="64">
        <f>E79*B79</f>
        <v/>
      </c>
      <c r="G79" s="77" t="n"/>
      <c r="H79" s="538" t="n"/>
      <c r="I79" s="194" t="n"/>
      <c r="J79" s="77" t="n"/>
      <c r="K79" s="1130" t="n"/>
    </row>
    <row r="80" outlineLevel="1" ht="15" customHeight="1">
      <c r="A80" s="3" t="inlineStr">
        <is>
          <t>O.POLES</t>
        </is>
      </c>
      <c r="B80" s="4" t="n"/>
      <c r="C80" s="24" t="n">
        <v>195</v>
      </c>
      <c r="D80" s="25" t="inlineStr">
        <is>
          <t>Place Exp. 3/4" x 9' Rod (Rarely Used)</t>
        </is>
      </c>
      <c r="E80" s="1129" t="n">
        <v>158</v>
      </c>
      <c r="F80" s="64">
        <f>E80*B80</f>
        <v/>
      </c>
      <c r="G80" s="77" t="n"/>
      <c r="H80" s="538" t="n"/>
      <c r="I80" s="194" t="n"/>
      <c r="J80" s="77" t="n"/>
      <c r="K80" s="1130" t="n"/>
    </row>
    <row r="81" outlineLevel="1" ht="15" customHeight="1">
      <c r="A81" s="3" t="inlineStr">
        <is>
          <t>O.POLES</t>
        </is>
      </c>
      <c r="B81" s="4" t="n"/>
      <c r="C81" s="24" t="n">
        <v>200</v>
      </c>
      <c r="D81" s="25" t="inlineStr">
        <is>
          <t>Place Exp. 1" x 10' Rod (Rarely Used)</t>
        </is>
      </c>
      <c r="E81" s="1129" t="n">
        <v>177</v>
      </c>
      <c r="F81" s="64">
        <f>E81*B81</f>
        <v/>
      </c>
      <c r="G81" s="77" t="n"/>
      <c r="H81" s="538" t="n"/>
      <c r="I81" s="194" t="n"/>
      <c r="J81" s="77" t="n"/>
      <c r="K81" s="1130" t="n"/>
    </row>
    <row r="82" outlineLevel="1" ht="15" customHeight="1">
      <c r="A82" s="3" t="inlineStr">
        <is>
          <t>O.POLES</t>
        </is>
      </c>
      <c r="B82" s="4" t="n"/>
      <c r="C82" s="24" t="n">
        <v>205</v>
      </c>
      <c r="D82" s="25" t="inlineStr">
        <is>
          <t>Place Exp. 1 1/4" x 10' Rod (Rarely Used)</t>
        </is>
      </c>
      <c r="E82" s="1129" t="n">
        <v>180</v>
      </c>
      <c r="F82" s="64">
        <f>E82*B82</f>
        <v/>
      </c>
      <c r="G82" s="77" t="n"/>
      <c r="H82" s="538" t="n"/>
      <c r="I82" s="194" t="n"/>
      <c r="J82" s="77" t="n"/>
      <c r="K82" s="1130" t="n"/>
    </row>
    <row r="83" outlineLevel="1" ht="15" customHeight="1">
      <c r="A83" s="3" t="inlineStr">
        <is>
          <t>O.POLES</t>
        </is>
      </c>
      <c r="B83" s="4" t="n"/>
      <c r="C83" s="24" t="n">
        <v>210</v>
      </c>
      <c r="D83" s="25" t="inlineStr">
        <is>
          <t>Place Aux. Eye / Anchor Rod (Rarely Used)</t>
        </is>
      </c>
      <c r="E83" s="1129" t="n">
        <v>24</v>
      </c>
      <c r="F83" s="64">
        <f>E83*B83</f>
        <v/>
      </c>
      <c r="G83" s="77" t="n"/>
      <c r="H83" s="538" t="n"/>
      <c r="I83" s="194" t="n"/>
      <c r="J83" s="77" t="n"/>
      <c r="K83" s="1130" t="n"/>
    </row>
    <row r="84" outlineLevel="1" ht="15" customHeight="1">
      <c r="A84" s="3" t="inlineStr">
        <is>
          <t>O.POLES</t>
        </is>
      </c>
      <c r="B84" s="4" t="n"/>
      <c r="C84" s="24" t="n">
        <v>215</v>
      </c>
      <c r="D84" s="25" t="inlineStr">
        <is>
          <t>Remove Aux. Eye / Anchor Rod</t>
        </is>
      </c>
      <c r="E84" s="1129" t="n">
        <v>14</v>
      </c>
      <c r="F84" s="64">
        <f>E84*B84</f>
        <v/>
      </c>
      <c r="G84" s="77" t="n"/>
      <c r="H84" s="538" t="n"/>
      <c r="I84" s="194" t="n"/>
      <c r="J84" s="77" t="n"/>
      <c r="K84" s="1130" t="n"/>
    </row>
    <row r="85" outlineLevel="1" ht="15" customHeight="1">
      <c r="A85" s="3" t="inlineStr">
        <is>
          <t>O.POLES</t>
        </is>
      </c>
      <c r="B85" s="4" t="n"/>
      <c r="C85" s="24" t="n">
        <v>220</v>
      </c>
      <c r="D85" s="25" t="inlineStr">
        <is>
          <t>Place Rock Anchor</t>
        </is>
      </c>
      <c r="E85" s="1129" t="n">
        <v>182</v>
      </c>
      <c r="F85" s="64">
        <f>E85*B85</f>
        <v/>
      </c>
      <c r="G85" s="77" t="n"/>
      <c r="H85" s="538" t="n"/>
      <c r="I85" s="194" t="n"/>
      <c r="J85" s="77" t="n"/>
      <c r="K85" s="1130" t="n"/>
    </row>
    <row r="86" outlineLevel="1" ht="15" customHeight="1">
      <c r="A86" s="3" t="inlineStr">
        <is>
          <t>O.POLES</t>
        </is>
      </c>
      <c r="B86" s="4" t="n"/>
      <c r="C86" s="24" t="n">
        <v>225</v>
      </c>
      <c r="D86" s="25" t="inlineStr">
        <is>
          <t>Remove Rock Anchor</t>
        </is>
      </c>
      <c r="E86" s="1129" t="n">
        <v>71</v>
      </c>
      <c r="F86" s="64">
        <f>E86*B86</f>
        <v/>
      </c>
      <c r="G86" s="77" t="n"/>
      <c r="H86" s="538" t="n"/>
      <c r="I86" s="194" t="n"/>
      <c r="J86" s="77" t="n"/>
      <c r="K86" s="1130" t="n"/>
    </row>
    <row r="87" outlineLevel="1" ht="15" customHeight="1">
      <c r="A87" s="3" t="inlineStr">
        <is>
          <t>O.POLES</t>
        </is>
      </c>
      <c r="B87" s="4" t="n"/>
      <c r="C87" s="24" t="n">
        <v>230</v>
      </c>
      <c r="D87" s="25" t="inlineStr">
        <is>
          <t>Remove Anchor Rod</t>
        </is>
      </c>
      <c r="E87" s="1129" t="n">
        <v>24</v>
      </c>
      <c r="F87" s="64">
        <f>E87*B87</f>
        <v/>
      </c>
      <c r="G87" s="77" t="n"/>
      <c r="H87" s="538" t="n"/>
      <c r="I87" s="194" t="n"/>
      <c r="J87" s="77" t="n"/>
      <c r="K87" s="1130" t="n"/>
    </row>
    <row r="88" outlineLevel="1" ht="15" customHeight="1">
      <c r="A88" s="3" t="inlineStr">
        <is>
          <t>O.POLES</t>
        </is>
      </c>
      <c r="B88" s="4" t="n"/>
      <c r="C88" s="24" t="n">
        <v>235</v>
      </c>
      <c r="D88" s="25" t="inlineStr">
        <is>
          <t>Remove Helix Anc. 4" , 6" , 8"</t>
        </is>
      </c>
      <c r="E88" s="1129" t="n">
        <v>26</v>
      </c>
      <c r="F88" s="64">
        <f>E88*B88</f>
        <v/>
      </c>
      <c r="G88" s="77" t="n"/>
      <c r="H88" s="538" t="n"/>
      <c r="I88" s="194" t="n"/>
      <c r="J88" s="77" t="n"/>
      <c r="K88" s="1130" t="n"/>
    </row>
    <row r="89" outlineLevel="1" ht="15" customHeight="1">
      <c r="A89" s="3" t="inlineStr">
        <is>
          <t>O.POLES</t>
        </is>
      </c>
      <c r="B89" s="4" t="n"/>
      <c r="C89" s="24" t="n">
        <v>245</v>
      </c>
      <c r="D89" s="25" t="inlineStr">
        <is>
          <t>Rock Removal Pole / Anchor Hole (Adder for 100-120 &amp; 175-200)</t>
        </is>
      </c>
      <c r="E89" s="1129" t="n">
        <v>232</v>
      </c>
      <c r="F89" s="64">
        <f>E89*B89</f>
        <v/>
      </c>
      <c r="G89" s="77" t="n"/>
      <c r="H89" s="538" t="n"/>
      <c r="I89" s="194" t="n"/>
      <c r="J89" s="77" t="n"/>
      <c r="K89" s="1130" t="n"/>
    </row>
    <row r="90" outlineLevel="1" ht="15" customHeight="1">
      <c r="A90" s="3" t="inlineStr">
        <is>
          <t>O.POLES</t>
        </is>
      </c>
      <c r="B90" s="4" t="n"/>
      <c r="C90" s="24" t="n">
        <v>246</v>
      </c>
      <c r="D90" s="25" t="inlineStr">
        <is>
          <t>Hand Dig Pole/Anchor</t>
        </is>
      </c>
      <c r="E90" s="1129" t="n">
        <v>116</v>
      </c>
      <c r="F90" s="64">
        <f>E90*B90</f>
        <v/>
      </c>
      <c r="G90" s="77" t="n"/>
      <c r="H90" s="538" t="n"/>
      <c r="I90" s="194" t="n"/>
      <c r="J90" s="77" t="n"/>
      <c r="K90" s="1130" t="n"/>
    </row>
    <row r="91" outlineLevel="1" ht="15" customHeight="1">
      <c r="A91" s="3" t="inlineStr">
        <is>
          <t>O.POLES</t>
        </is>
      </c>
      <c r="B91" s="4" t="n"/>
      <c r="C91" s="24" t="n">
        <v>247</v>
      </c>
      <c r="D91" s="25" t="inlineStr">
        <is>
          <t>Hand Set Pole/Push Brace</t>
        </is>
      </c>
      <c r="E91" s="1129" t="n">
        <v>395</v>
      </c>
      <c r="F91" s="64">
        <f>E91*B91</f>
        <v/>
      </c>
      <c r="G91" s="77" t="n"/>
      <c r="H91" s="538" t="n"/>
      <c r="I91" s="194" t="n"/>
      <c r="J91" s="77" t="n"/>
      <c r="K91" s="1130" t="n"/>
    </row>
    <row r="92" outlineLevel="1" ht="15" customHeight="1">
      <c r="A92" s="3" t="inlineStr">
        <is>
          <t>O.POLES</t>
        </is>
      </c>
      <c r="B92" s="4" t="n"/>
      <c r="C92" s="24" t="n">
        <v>248</v>
      </c>
      <c r="D92" s="25" t="inlineStr">
        <is>
          <t>Set Push Brace</t>
        </is>
      </c>
      <c r="E92" s="1129" t="n">
        <v>314</v>
      </c>
      <c r="F92" s="64">
        <f>E92*B92</f>
        <v/>
      </c>
      <c r="G92" s="77" t="n"/>
      <c r="H92" s="538" t="n"/>
      <c r="I92" s="194" t="n"/>
      <c r="J92" s="77" t="n"/>
      <c r="K92" s="1130" t="n"/>
    </row>
    <row r="93" outlineLevel="1" ht="15" customHeight="1">
      <c r="A93" s="3" t="inlineStr">
        <is>
          <t>O.POLES</t>
        </is>
      </c>
      <c r="B93" s="4" t="n"/>
      <c r="C93" s="24" t="n">
        <v>250</v>
      </c>
      <c r="D93" s="25" t="inlineStr">
        <is>
          <t>Place 6M Down Guy (Guy Shield included)</t>
        </is>
      </c>
      <c r="E93" s="1129" t="n">
        <v>45</v>
      </c>
      <c r="F93" s="64">
        <f>E93*B93</f>
        <v/>
      </c>
      <c r="G93" s="77" t="n"/>
      <c r="H93" s="538" t="n"/>
      <c r="I93" s="194" t="n"/>
      <c r="J93" s="77" t="n"/>
      <c r="K93" s="1130" t="n"/>
    </row>
    <row r="94" outlineLevel="1" ht="15" customHeight="1">
      <c r="A94" s="3" t="inlineStr">
        <is>
          <t>O.POLES</t>
        </is>
      </c>
      <c r="B94" s="4" t="n"/>
      <c r="C94" s="24" t="n">
        <v>255</v>
      </c>
      <c r="D94" s="25" t="inlineStr">
        <is>
          <t>Place 10M Down Guy (Guy Shield included)</t>
        </is>
      </c>
      <c r="E94" s="1129" t="n">
        <v>47</v>
      </c>
      <c r="F94" s="64">
        <f>E94*B94</f>
        <v/>
      </c>
      <c r="G94" s="77" t="n"/>
      <c r="H94" s="538" t="n"/>
      <c r="I94" s="194" t="n"/>
      <c r="J94" s="77" t="n"/>
      <c r="K94" s="1130" t="n"/>
    </row>
    <row r="95" outlineLevel="1" ht="15" customHeight="1">
      <c r="A95" s="3" t="inlineStr">
        <is>
          <t>O.POLES</t>
        </is>
      </c>
      <c r="B95" s="4" t="n"/>
      <c r="C95" s="24" t="n">
        <v>260</v>
      </c>
      <c r="D95" s="25" t="inlineStr">
        <is>
          <t>Place 16M Down Guy (Guy Shield included)</t>
        </is>
      </c>
      <c r="E95" s="1129" t="n">
        <v>50</v>
      </c>
      <c r="F95" s="64">
        <f>E95*B95</f>
        <v/>
      </c>
      <c r="G95" s="77" t="n"/>
      <c r="H95" s="538" t="n"/>
      <c r="I95" s="194" t="n"/>
      <c r="J95" s="77" t="n"/>
      <c r="K95" s="1130" t="n"/>
    </row>
    <row r="96" outlineLevel="1" ht="15" customHeight="1">
      <c r="A96" s="3" t="inlineStr">
        <is>
          <t>O.POLES</t>
        </is>
      </c>
      <c r="B96" s="4" t="n"/>
      <c r="C96" s="24" t="n">
        <v>265</v>
      </c>
      <c r="D96" s="25" t="inlineStr">
        <is>
          <t>Place 26M Down Guy (Guy Shield included)</t>
        </is>
      </c>
      <c r="E96" s="1129" t="n">
        <v>53</v>
      </c>
      <c r="F96" s="64">
        <f>E96*B96</f>
        <v/>
      </c>
      <c r="G96" s="77" t="n"/>
      <c r="H96" s="538" t="n"/>
      <c r="I96" s="194" t="n"/>
      <c r="J96" s="77" t="n"/>
      <c r="K96" s="1130" t="n"/>
    </row>
    <row r="97" outlineLevel="1" ht="15" customHeight="1">
      <c r="A97" s="3" t="inlineStr">
        <is>
          <t>O.POLES</t>
        </is>
      </c>
      <c r="B97" s="4" t="n"/>
      <c r="C97" s="24" t="n">
        <v>270</v>
      </c>
      <c r="D97" s="25" t="inlineStr">
        <is>
          <t>Place 6M Span Guy</t>
        </is>
      </c>
      <c r="E97" s="1129" t="n">
        <v>79</v>
      </c>
      <c r="F97" s="59">
        <f>E97*B97</f>
        <v/>
      </c>
      <c r="G97" s="77" t="n"/>
      <c r="H97" s="538" t="n"/>
      <c r="I97" s="194" t="n"/>
      <c r="J97" s="77" t="n"/>
      <c r="K97" s="1130" t="n"/>
    </row>
    <row r="98" outlineLevel="1" ht="15" customHeight="1">
      <c r="A98" s="3" t="inlineStr">
        <is>
          <t>O.POLES</t>
        </is>
      </c>
      <c r="B98" s="4" t="n"/>
      <c r="C98" s="24" t="n">
        <v>275</v>
      </c>
      <c r="D98" s="25" t="inlineStr">
        <is>
          <t>Place 10M Span Guy</t>
        </is>
      </c>
      <c r="E98" s="1129" t="n">
        <v>81</v>
      </c>
      <c r="F98" s="59">
        <f>E98*B98</f>
        <v/>
      </c>
      <c r="G98" s="77" t="n"/>
      <c r="H98" s="538" t="n"/>
      <c r="I98" s="194" t="n"/>
      <c r="J98" s="77" t="n"/>
      <c r="K98" s="1130" t="n"/>
    </row>
    <row r="99" outlineLevel="1" ht="15" customHeight="1">
      <c r="A99" s="3" t="inlineStr">
        <is>
          <t>O.POLES</t>
        </is>
      </c>
      <c r="B99" s="4" t="n"/>
      <c r="C99" s="24" t="n">
        <v>276</v>
      </c>
      <c r="D99" s="25" t="inlineStr">
        <is>
          <t>Place 16M Span Guy</t>
        </is>
      </c>
      <c r="E99" s="1129" t="n">
        <v>90</v>
      </c>
      <c r="F99" s="59">
        <f>E99*B99</f>
        <v/>
      </c>
      <c r="G99" s="77" t="n"/>
      <c r="H99" s="538" t="n"/>
      <c r="I99" s="194" t="n"/>
      <c r="J99" s="77" t="n"/>
      <c r="K99" s="1130" t="n"/>
    </row>
    <row r="100" outlineLevel="1" ht="15" customHeight="1">
      <c r="A100" s="3" t="inlineStr">
        <is>
          <t>O.POLES</t>
        </is>
      </c>
      <c r="B100" s="4" t="n"/>
      <c r="C100" s="24" t="n">
        <v>280</v>
      </c>
      <c r="D100" s="25" t="inlineStr">
        <is>
          <t>Place Sidewalk Guy</t>
        </is>
      </c>
      <c r="E100" s="1129" t="n">
        <v>95</v>
      </c>
      <c r="F100" s="59">
        <f>E100*B100</f>
        <v/>
      </c>
      <c r="G100" s="77" t="n"/>
      <c r="H100" s="538" t="n"/>
      <c r="I100" s="194" t="n"/>
      <c r="J100" s="77" t="n"/>
      <c r="K100" s="1130" t="n"/>
    </row>
    <row r="101" outlineLevel="1" ht="15" customHeight="1">
      <c r="A101" s="3" t="inlineStr">
        <is>
          <t>O.POLES</t>
        </is>
      </c>
      <c r="B101" s="4" t="n"/>
      <c r="C101" s="24" t="n">
        <v>285</v>
      </c>
      <c r="D101" s="25" t="inlineStr">
        <is>
          <t>Remove Down Guy</t>
        </is>
      </c>
      <c r="E101" s="1129" t="n">
        <v>28</v>
      </c>
      <c r="F101" s="59">
        <f>E101*B101</f>
        <v/>
      </c>
      <c r="G101" s="77" t="n"/>
      <c r="H101" s="538" t="n"/>
      <c r="I101" s="194" t="n"/>
      <c r="J101" s="77" t="n"/>
      <c r="K101" s="1130" t="n"/>
    </row>
    <row r="102" outlineLevel="1" ht="15" customHeight="1">
      <c r="A102" s="3" t="inlineStr">
        <is>
          <t>O.POLES</t>
        </is>
      </c>
      <c r="B102" s="4" t="n"/>
      <c r="C102" s="24" t="n">
        <v>290</v>
      </c>
      <c r="D102" s="25" t="inlineStr">
        <is>
          <t>Remove Span Guy</t>
        </is>
      </c>
      <c r="E102" s="1129" t="n">
        <v>37</v>
      </c>
      <c r="F102" s="59">
        <f>E102*B102</f>
        <v/>
      </c>
      <c r="G102" s="77" t="n"/>
      <c r="H102" s="538" t="n"/>
      <c r="I102" s="194" t="n"/>
      <c r="J102" s="77" t="n"/>
      <c r="K102" s="1130" t="n"/>
    </row>
    <row r="103" outlineLevel="1" ht="15" customHeight="1">
      <c r="A103" s="3" t="inlineStr">
        <is>
          <t>O.POLES</t>
        </is>
      </c>
      <c r="B103" s="4" t="n"/>
      <c r="C103" s="24" t="n">
        <v>295</v>
      </c>
      <c r="D103" s="25" t="inlineStr">
        <is>
          <t>Remove Sidewalk Guy Attachment</t>
        </is>
      </c>
      <c r="E103" s="1129" t="n">
        <v>47</v>
      </c>
      <c r="F103" s="59">
        <f>E103*B103</f>
        <v/>
      </c>
      <c r="G103" s="77" t="n"/>
      <c r="H103" s="538" t="n"/>
      <c r="I103" s="194" t="n"/>
      <c r="J103" s="77" t="n"/>
      <c r="K103" s="1130" t="n"/>
    </row>
    <row r="104" outlineLevel="1" ht="15" customHeight="1">
      <c r="A104" s="3" t="inlineStr">
        <is>
          <t>O.POLES</t>
        </is>
      </c>
      <c r="B104" s="4" t="n"/>
      <c r="C104" s="24" t="n">
        <v>300</v>
      </c>
      <c r="D104" s="25" t="inlineStr">
        <is>
          <t>Transfer Down Guy</t>
        </is>
      </c>
      <c r="E104" s="1129" t="n">
        <v>58</v>
      </c>
      <c r="F104" s="59">
        <f>E104*B104</f>
        <v/>
      </c>
      <c r="G104" s="77" t="n"/>
      <c r="H104" s="538" t="n"/>
      <c r="I104" s="194" t="n"/>
      <c r="J104" s="77" t="n"/>
      <c r="K104" s="1130" t="n"/>
    </row>
    <row r="105" outlineLevel="1" ht="15" customHeight="1">
      <c r="A105" s="3" t="inlineStr">
        <is>
          <t>O.POLES</t>
        </is>
      </c>
      <c r="B105" s="4" t="n"/>
      <c r="C105" s="24" t="n">
        <v>305</v>
      </c>
      <c r="D105" s="25" t="inlineStr">
        <is>
          <t>Transfer Span Guy</t>
        </is>
      </c>
      <c r="E105" s="1129" t="n">
        <v>58</v>
      </c>
      <c r="F105" s="59">
        <f>E105*B105</f>
        <v/>
      </c>
      <c r="G105" s="77" t="n"/>
      <c r="H105" s="538" t="n"/>
      <c r="I105" s="194" t="n"/>
      <c r="J105" s="77" t="n"/>
      <c r="K105" s="1130" t="n"/>
    </row>
    <row r="106" outlineLevel="1" ht="15" customHeight="1">
      <c r="A106" s="3" t="inlineStr">
        <is>
          <t>O.POLES</t>
        </is>
      </c>
      <c r="B106" s="4" t="n"/>
      <c r="C106" s="24" t="n">
        <v>310</v>
      </c>
      <c r="D106" s="25" t="inlineStr">
        <is>
          <t>Transfer Sidewalk Guy Attachment</t>
        </is>
      </c>
      <c r="E106" s="1129" t="n">
        <v>63</v>
      </c>
      <c r="F106" s="59">
        <f>E106*B106</f>
        <v/>
      </c>
      <c r="G106" s="77" t="n"/>
      <c r="H106" s="538" t="n"/>
      <c r="I106" s="194" t="n"/>
      <c r="J106" s="77" t="n"/>
      <c r="K106" s="1130" t="n"/>
    </row>
    <row r="107" outlineLevel="1" ht="15" customHeight="1">
      <c r="A107" s="3" t="inlineStr">
        <is>
          <t>O.POLES</t>
        </is>
      </c>
      <c r="B107" s="4" t="n"/>
      <c r="C107" s="24" t="n">
        <v>315</v>
      </c>
      <c r="D107" s="25" t="inlineStr">
        <is>
          <t>Place Guy Shield</t>
        </is>
      </c>
      <c r="E107" s="1129" t="n">
        <v>10</v>
      </c>
      <c r="F107" s="59">
        <f>E107*B107</f>
        <v/>
      </c>
      <c r="G107" s="77" t="n"/>
      <c r="H107" s="538" t="n"/>
      <c r="I107" s="194" t="n"/>
      <c r="J107" s="77" t="n"/>
      <c r="K107" s="1130" t="n"/>
    </row>
    <row r="108" outlineLevel="1" ht="15" customHeight="1">
      <c r="A108" s="3" t="inlineStr">
        <is>
          <t>O.POLES</t>
        </is>
      </c>
      <c r="B108" s="4" t="n"/>
      <c r="C108" s="24" t="n">
        <v>320</v>
      </c>
      <c r="D108" s="25" t="inlineStr">
        <is>
          <t>Remove Guy Shield</t>
        </is>
      </c>
      <c r="E108" s="1129" t="n">
        <v>6</v>
      </c>
      <c r="F108" s="59">
        <f>E108*B108</f>
        <v/>
      </c>
      <c r="G108" s="77" t="n"/>
      <c r="H108" s="538" t="n"/>
      <c r="I108" s="194" t="n"/>
      <c r="J108" s="77" t="n"/>
      <c r="K108" s="1130" t="n"/>
    </row>
    <row r="109" outlineLevel="1" ht="15" customHeight="1">
      <c r="A109" s="3" t="inlineStr">
        <is>
          <t>O.POLES</t>
        </is>
      </c>
      <c r="B109" s="4" t="n"/>
      <c r="C109" s="24" t="n">
        <v>325</v>
      </c>
      <c r="D109" s="25" t="inlineStr">
        <is>
          <t>Transfer Guy Shield</t>
        </is>
      </c>
      <c r="E109" s="1129" t="n">
        <v>14</v>
      </c>
      <c r="F109" s="59">
        <f>E109*B109</f>
        <v/>
      </c>
      <c r="G109" s="77" t="n"/>
      <c r="H109" s="538" t="n"/>
      <c r="I109" s="194" t="n"/>
      <c r="J109" s="77" t="n"/>
      <c r="K109" s="1130" t="n"/>
    </row>
    <row r="110" outlineLevel="1" ht="15" customHeight="1">
      <c r="A110" s="3" t="inlineStr">
        <is>
          <t>O.POLES</t>
        </is>
      </c>
      <c r="B110" s="4" t="n"/>
      <c r="C110" s="24" t="n">
        <v>330</v>
      </c>
      <c r="D110" s="25" t="inlineStr">
        <is>
          <t>Place Extension Arm For Cable</t>
        </is>
      </c>
      <c r="E110" s="1129" t="n">
        <v>48</v>
      </c>
      <c r="F110" s="59">
        <f>E110*B110</f>
        <v/>
      </c>
      <c r="G110" s="77" t="n"/>
      <c r="H110" s="538" t="n"/>
      <c r="I110" s="194" t="n"/>
      <c r="J110" s="77" t="n"/>
      <c r="K110" s="1130" t="n"/>
    </row>
    <row r="111" outlineLevel="1" ht="15" customHeight="1">
      <c r="A111" s="3" t="inlineStr">
        <is>
          <t>O.POLES</t>
        </is>
      </c>
      <c r="B111" s="4" t="n"/>
      <c r="C111" s="24" t="n">
        <v>335</v>
      </c>
      <c r="D111" s="25" t="inlineStr">
        <is>
          <t>Place Vertical Ground (including 1 Ground Rod and 1 Strand Bond)</t>
        </is>
      </c>
      <c r="E111" s="1129" t="n">
        <v>63</v>
      </c>
      <c r="F111" s="59">
        <f>E111*B111</f>
        <v/>
      </c>
      <c r="G111" s="77" t="n"/>
      <c r="H111" s="538" t="n"/>
      <c r="I111" s="194" t="n"/>
      <c r="J111" s="77" t="n"/>
      <c r="K111" s="1130" t="n"/>
    </row>
    <row r="112" outlineLevel="1" ht="15" customHeight="1">
      <c r="A112" s="3" t="inlineStr">
        <is>
          <t>O.POLES</t>
        </is>
      </c>
      <c r="B112" s="4" t="n"/>
      <c r="C112" s="24" t="n">
        <v>340</v>
      </c>
      <c r="D112" s="25" t="inlineStr">
        <is>
          <t>Place Aerial Ground (per Strand Bond)</t>
        </is>
      </c>
      <c r="E112" s="1129" t="n">
        <v>11</v>
      </c>
      <c r="F112" s="59">
        <f>E112*B112</f>
        <v/>
      </c>
      <c r="G112" s="77" t="n"/>
      <c r="H112" s="538" t="n"/>
      <c r="I112" s="194" t="n"/>
      <c r="J112" s="77" t="n"/>
      <c r="K112" s="1130" t="n"/>
    </row>
    <row r="113" outlineLevel="1" ht="15" customHeight="1">
      <c r="A113" s="3" t="inlineStr">
        <is>
          <t>O.POLES</t>
        </is>
      </c>
      <c r="B113" s="4" t="n"/>
      <c r="C113" s="24" t="n">
        <v>345</v>
      </c>
      <c r="D113" s="25" t="inlineStr">
        <is>
          <t>Place Cable Attachment (Wood Pole)</t>
        </is>
      </c>
      <c r="E113" s="1129" t="n">
        <v>42</v>
      </c>
      <c r="F113" s="59">
        <f>E113*B113</f>
        <v/>
      </c>
      <c r="G113" s="77" t="n"/>
      <c r="H113" s="538" t="n"/>
      <c r="I113" s="194" t="n"/>
      <c r="J113" s="77" t="n"/>
      <c r="K113" s="1130" t="n"/>
    </row>
    <row r="114" outlineLevel="1" ht="15" customHeight="1">
      <c r="A114" s="3" t="inlineStr">
        <is>
          <t>O.POLES</t>
        </is>
      </c>
      <c r="B114" s="4" t="n"/>
      <c r="C114" s="24" t="n">
        <v>350</v>
      </c>
      <c r="D114" s="25" t="inlineStr">
        <is>
          <t>Remove Cable Attachment (Wood Pole)</t>
        </is>
      </c>
      <c r="E114" s="1129" t="n">
        <v>15</v>
      </c>
      <c r="F114" s="59">
        <f>E114*B114</f>
        <v/>
      </c>
      <c r="G114" s="77" t="n"/>
      <c r="H114" s="538" t="n"/>
      <c r="I114" s="194" t="n"/>
      <c r="J114" s="77" t="n"/>
      <c r="K114" s="1130" t="n"/>
    </row>
    <row r="115" outlineLevel="1" ht="15" customHeight="1">
      <c r="A115" s="3" t="inlineStr">
        <is>
          <t>O.POLES</t>
        </is>
      </c>
      <c r="B115" s="4" t="n"/>
      <c r="C115" s="24" t="n">
        <v>355</v>
      </c>
      <c r="D115" s="25" t="inlineStr">
        <is>
          <t>Transfer Cable Attachment (Wood Pole)</t>
        </is>
      </c>
      <c r="E115" s="1129" t="n">
        <v>80</v>
      </c>
      <c r="F115" s="59">
        <f>E115*B115</f>
        <v/>
      </c>
      <c r="G115" s="77" t="n"/>
      <c r="H115" s="538" t="n"/>
      <c r="I115" s="194" t="n"/>
      <c r="J115" s="77" t="n"/>
      <c r="K115" s="1130" t="n"/>
    </row>
    <row r="116" outlineLevel="1" ht="15" customHeight="1">
      <c r="A116" s="3" t="inlineStr">
        <is>
          <t>O.POLES</t>
        </is>
      </c>
      <c r="B116" s="4" t="n"/>
      <c r="C116" s="24" t="n">
        <v>356</v>
      </c>
      <c r="D116" s="25" t="inlineStr">
        <is>
          <t>Transfer Repeater/Doubler (Wood Pole)</t>
        </is>
      </c>
      <c r="E116" s="1129" t="n">
        <v>169</v>
      </c>
      <c r="F116" s="59">
        <f>E116*B116</f>
        <v/>
      </c>
      <c r="G116" s="77" t="n"/>
      <c r="H116" s="538" t="n"/>
      <c r="I116" s="194" t="n"/>
      <c r="J116" s="77" t="n"/>
      <c r="K116" s="1130" t="n"/>
    </row>
    <row r="117" outlineLevel="1" ht="15" customHeight="1">
      <c r="A117" s="3" t="inlineStr">
        <is>
          <t>O.POLES</t>
        </is>
      </c>
      <c r="B117" s="4" t="n"/>
      <c r="C117" s="24" t="n">
        <v>360</v>
      </c>
      <c r="D117" s="25" t="inlineStr">
        <is>
          <t>Place Cable Attachment (Metal/Conc. Pole)</t>
        </is>
      </c>
      <c r="E117" s="1129" t="n">
        <v>128</v>
      </c>
      <c r="F117" s="59">
        <f>E117*B117</f>
        <v/>
      </c>
      <c r="G117" s="77" t="n"/>
      <c r="H117" s="538" t="n"/>
      <c r="I117" s="194" t="n"/>
      <c r="J117" s="77" t="n"/>
      <c r="K117" s="1130" t="n"/>
    </row>
    <row r="118" outlineLevel="1" ht="15" customHeight="1">
      <c r="A118" s="3" t="inlineStr">
        <is>
          <t>O.POLES</t>
        </is>
      </c>
      <c r="B118" s="4" t="n"/>
      <c r="C118" s="24" t="n">
        <v>365</v>
      </c>
      <c r="D118" s="25" t="inlineStr">
        <is>
          <t>Remove Cable Attachment (Metal/Conc. Pole)</t>
        </is>
      </c>
      <c r="E118" s="1129" t="n">
        <v>23</v>
      </c>
      <c r="F118" s="59">
        <f>E118*B118</f>
        <v/>
      </c>
      <c r="G118" s="77" t="n"/>
      <c r="H118" s="538" t="n"/>
      <c r="I118" s="194" t="n"/>
      <c r="J118" s="77" t="n"/>
      <c r="K118" s="1130" t="n"/>
    </row>
    <row r="119" outlineLevel="1" ht="15" customHeight="1">
      <c r="A119" s="3" t="inlineStr">
        <is>
          <t>O.POLES</t>
        </is>
      </c>
      <c r="B119" s="4" t="n"/>
      <c r="C119" s="24" t="n">
        <v>370</v>
      </c>
      <c r="D119" s="25" t="inlineStr">
        <is>
          <t>Transfer Cable Attachment (Metal/Conc. Pole)</t>
        </is>
      </c>
      <c r="E119" s="1129" t="n">
        <v>138</v>
      </c>
      <c r="F119" s="59">
        <f>E119*B119</f>
        <v/>
      </c>
      <c r="G119" s="77" t="n"/>
      <c r="H119" s="538" t="n"/>
      <c r="I119" s="194" t="n"/>
      <c r="J119" s="77" t="n"/>
      <c r="K119" s="1130" t="n"/>
    </row>
    <row r="120" outlineLevel="1" ht="15" customHeight="1">
      <c r="A120" s="3" t="inlineStr">
        <is>
          <t>O.POLES</t>
        </is>
      </c>
      <c r="B120" s="4" t="n"/>
      <c r="C120" s="24" t="n">
        <v>371</v>
      </c>
      <c r="D120" s="25" t="inlineStr">
        <is>
          <t>Transfer Cable Attach. D.E.</t>
        </is>
      </c>
      <c r="E120" s="1129" t="n">
        <v>89</v>
      </c>
      <c r="F120" s="59">
        <f>E120*B120</f>
        <v/>
      </c>
      <c r="G120" s="77" t="n"/>
      <c r="H120" s="538" t="n"/>
      <c r="I120" s="194" t="n"/>
      <c r="J120" s="77" t="n"/>
      <c r="K120" s="1130" t="n"/>
    </row>
    <row r="121" outlineLevel="1" ht="15" customHeight="1">
      <c r="A121" s="3" t="inlineStr">
        <is>
          <t>O.POLES</t>
        </is>
      </c>
      <c r="B121" s="76" t="n"/>
      <c r="C121" s="24" t="n">
        <v>375</v>
      </c>
      <c r="D121" s="25" t="inlineStr">
        <is>
          <t>Transfer Cable Attach. Double D.E.</t>
        </is>
      </c>
      <c r="E121" s="1129" t="n">
        <v>169</v>
      </c>
      <c r="F121" s="59">
        <f>E121*B121</f>
        <v/>
      </c>
      <c r="G121" s="77" t="n"/>
      <c r="H121" s="538" t="n"/>
      <c r="I121" s="194" t="n"/>
      <c r="J121" s="77" t="n"/>
      <c r="K121" s="1130" t="n"/>
    </row>
    <row r="122" outlineLevel="1" ht="15" customHeight="1">
      <c r="A122" s="3" t="inlineStr">
        <is>
          <t>O.POLES</t>
        </is>
      </c>
      <c r="B122" s="4" t="n"/>
      <c r="C122" s="24" t="n">
        <v>380</v>
      </c>
      <c r="D122" s="25" t="inlineStr">
        <is>
          <t>Place Cable "U" Guard</t>
        </is>
      </c>
      <c r="E122" s="1129" t="n">
        <v>17</v>
      </c>
      <c r="F122" s="59">
        <f>E122*B122</f>
        <v/>
      </c>
      <c r="G122" s="77" t="n"/>
      <c r="H122" s="538" t="n"/>
      <c r="I122" s="194" t="n"/>
      <c r="J122" s="77" t="n"/>
      <c r="K122" s="1130" t="n"/>
    </row>
    <row r="123" outlineLevel="1" ht="15" customHeight="1">
      <c r="A123" s="3" t="inlineStr">
        <is>
          <t>O.POLES</t>
        </is>
      </c>
      <c r="B123" s="4" t="n"/>
      <c r="C123" s="24" t="n">
        <v>385</v>
      </c>
      <c r="D123" s="25" t="inlineStr">
        <is>
          <t>Remove Cable "U" Guard</t>
        </is>
      </c>
      <c r="E123" s="1129" t="n">
        <v>9.5</v>
      </c>
      <c r="F123" s="59">
        <f>E123*B123</f>
        <v/>
      </c>
      <c r="G123" s="77" t="n"/>
      <c r="H123" s="538" t="n"/>
      <c r="I123" s="194" t="n"/>
      <c r="J123" s="77" t="n"/>
      <c r="K123" s="1130" t="n"/>
    </row>
    <row r="124" outlineLevel="1" ht="15" customHeight="1">
      <c r="A124" s="3" t="inlineStr">
        <is>
          <t>O.POLES</t>
        </is>
      </c>
      <c r="B124" s="4" t="n"/>
      <c r="C124" s="24" t="n">
        <v>390</v>
      </c>
      <c r="D124" s="25" t="inlineStr">
        <is>
          <t>Transfer Cable "U" Guard</t>
        </is>
      </c>
      <c r="E124" s="1129" t="n">
        <v>23</v>
      </c>
      <c r="F124" s="59">
        <f>E124*B124</f>
        <v/>
      </c>
      <c r="G124" s="77" t="n"/>
      <c r="H124" s="538" t="n"/>
      <c r="I124" s="194" t="n"/>
      <c r="J124" s="77" t="n"/>
      <c r="K124" s="1130" t="n"/>
    </row>
    <row r="125" outlineLevel="1" ht="15" customHeight="1">
      <c r="A125" s="3" t="inlineStr">
        <is>
          <t>O.POLES</t>
        </is>
      </c>
      <c r="B125" s="4" t="n"/>
      <c r="C125" s="24" t="n">
        <v>395</v>
      </c>
      <c r="D125" s="25" t="inlineStr">
        <is>
          <t>Place Strand (6M) (Includes Cable Attachment Wood Pole)</t>
        </is>
      </c>
      <c r="E125" s="1129" t="n">
        <v>1</v>
      </c>
      <c r="F125" s="59">
        <f>E125*B125</f>
        <v/>
      </c>
      <c r="G125" s="77" t="n"/>
      <c r="H125" s="538" t="n"/>
      <c r="I125" s="194" t="n"/>
      <c r="J125" s="77" t="n"/>
      <c r="K125" s="1130" t="n"/>
    </row>
    <row r="126" outlineLevel="1" ht="15" customHeight="1">
      <c r="A126" s="3" t="inlineStr">
        <is>
          <t>O.POLES</t>
        </is>
      </c>
      <c r="B126" s="4" t="n"/>
      <c r="C126" s="24" t="n">
        <v>400</v>
      </c>
      <c r="D126" s="25" t="inlineStr">
        <is>
          <t>Place Strand (10M) (Includes Cable Attachment Wood Pole)</t>
        </is>
      </c>
      <c r="E126" s="1129" t="n">
        <v>1.1</v>
      </c>
      <c r="F126" s="59">
        <f>E126*B126</f>
        <v/>
      </c>
      <c r="G126" s="77" t="n"/>
      <c r="H126" s="538" t="n"/>
      <c r="I126" s="194" t="n"/>
      <c r="J126" s="77" t="n"/>
      <c r="K126" s="1130" t="n"/>
    </row>
    <row r="127" outlineLevel="1" ht="15" customHeight="1">
      <c r="A127" s="3" t="inlineStr">
        <is>
          <t>O.POLES</t>
        </is>
      </c>
      <c r="B127" s="4" t="n"/>
      <c r="C127" s="24" t="n">
        <v>401</v>
      </c>
      <c r="D127" s="25" t="inlineStr">
        <is>
          <t>Place Strand (16M) (Includes Cable Attachment Wood Pole)</t>
        </is>
      </c>
      <c r="E127" s="1129" t="n">
        <v>1.15</v>
      </c>
      <c r="F127" s="59">
        <f>E127*B127</f>
        <v/>
      </c>
      <c r="G127" s="77" t="n"/>
      <c r="H127" s="538" t="n"/>
      <c r="I127" s="194" t="n"/>
      <c r="J127" s="77" t="n"/>
      <c r="K127" s="1130" t="n"/>
    </row>
    <row r="128" outlineLevel="1" ht="15" customHeight="1">
      <c r="A128" s="3" t="inlineStr">
        <is>
          <t>O.POLES</t>
        </is>
      </c>
      <c r="B128" s="4" t="n"/>
      <c r="C128" s="24" t="n">
        <v>402</v>
      </c>
      <c r="D128" s="25" t="inlineStr">
        <is>
          <t>Place Strand (26M) (Includes Cable Attachment Wood Pole)</t>
        </is>
      </c>
      <c r="E128" s="1129" t="n">
        <v>1.25</v>
      </c>
      <c r="F128" s="59">
        <f>E128*B128</f>
        <v/>
      </c>
      <c r="G128" s="77" t="n"/>
      <c r="H128" s="538" t="n"/>
      <c r="I128" s="194" t="n"/>
      <c r="J128" s="77" t="n"/>
      <c r="K128" s="1130" t="n"/>
    </row>
    <row r="129" outlineLevel="1" ht="15" customHeight="1">
      <c r="A129" s="3" t="inlineStr">
        <is>
          <t>O.POLES</t>
        </is>
      </c>
      <c r="B129" s="4" t="n"/>
      <c r="C129" s="24" t="n">
        <v>405</v>
      </c>
      <c r="D129" s="25" t="inlineStr">
        <is>
          <t>New Strand Cut to Existing</t>
        </is>
      </c>
      <c r="E129" s="1129" t="n">
        <v>58</v>
      </c>
      <c r="F129" s="59">
        <f>E129*B129</f>
        <v/>
      </c>
      <c r="G129" s="77" t="n"/>
      <c r="H129" s="538" t="n"/>
      <c r="I129" s="194" t="n"/>
      <c r="J129" s="77" t="n"/>
      <c r="K129" s="1130" t="n"/>
    </row>
    <row r="130" outlineLevel="1" ht="15" customHeight="1">
      <c r="A130" s="3" t="inlineStr">
        <is>
          <t>O.POLES</t>
        </is>
      </c>
      <c r="B130" s="4" t="n"/>
      <c r="C130" s="24" t="n">
        <v>410</v>
      </c>
      <c r="D130" s="25" t="inlineStr">
        <is>
          <t>Remove Strand (6M)</t>
        </is>
      </c>
      <c r="E130" s="1129" t="n">
        <v>0.32</v>
      </c>
      <c r="F130" s="59">
        <f>E130*B130</f>
        <v/>
      </c>
      <c r="G130" s="77" t="n"/>
      <c r="H130" s="538" t="n"/>
      <c r="I130" s="194" t="n"/>
      <c r="J130" s="77" t="n"/>
      <c r="K130" s="1130" t="n"/>
    </row>
    <row r="131" outlineLevel="1" ht="15" customHeight="1">
      <c r="A131" s="3" t="inlineStr">
        <is>
          <t>O.POLES</t>
        </is>
      </c>
      <c r="B131" s="4" t="n"/>
      <c r="C131" s="24" t="n">
        <v>415</v>
      </c>
      <c r="D131" s="25" t="inlineStr">
        <is>
          <t>Remove Strand (10M)</t>
        </is>
      </c>
      <c r="E131" s="1129" t="n">
        <v>0.34</v>
      </c>
      <c r="F131" s="59">
        <f>E131*B131</f>
        <v/>
      </c>
      <c r="G131" s="77" t="n"/>
      <c r="H131" s="538" t="n"/>
      <c r="I131" s="194" t="n"/>
      <c r="J131" s="77" t="n"/>
      <c r="K131" s="1130" t="n"/>
    </row>
    <row r="132" outlineLevel="1" ht="15" customHeight="1">
      <c r="A132" s="3" t="inlineStr">
        <is>
          <t>O.POLES</t>
        </is>
      </c>
      <c r="B132" s="4" t="n"/>
      <c r="C132" s="24" t="n">
        <v>416</v>
      </c>
      <c r="D132" s="25" t="inlineStr">
        <is>
          <t>Remove Strand (16M)</t>
        </is>
      </c>
      <c r="E132" s="1129" t="n">
        <v>0.4</v>
      </c>
      <c r="F132" s="59">
        <f>E132*B132</f>
        <v/>
      </c>
      <c r="G132" s="77" t="n"/>
      <c r="H132" s="538" t="n"/>
      <c r="I132" s="194" t="n"/>
      <c r="J132" s="77" t="n"/>
      <c r="K132" s="1130" t="n"/>
    </row>
    <row r="133" outlineLevel="1" ht="15" customHeight="1">
      <c r="A133" s="3" t="inlineStr">
        <is>
          <t>O.POLES</t>
        </is>
      </c>
      <c r="B133" s="4" t="n"/>
      <c r="C133" s="24" t="n">
        <v>417</v>
      </c>
      <c r="D133" s="25" t="inlineStr">
        <is>
          <t>Remove Strand (26M)</t>
        </is>
      </c>
      <c r="E133" s="1129" t="n">
        <v>0.42</v>
      </c>
      <c r="F133" s="59">
        <f>E133*B133</f>
        <v/>
      </c>
      <c r="G133" s="77" t="n"/>
      <c r="H133" s="538" t="n"/>
      <c r="I133" s="194" t="n"/>
      <c r="J133" s="77" t="n"/>
      <c r="K133" s="1130" t="n"/>
    </row>
    <row r="134" outlineLevel="1" ht="15" customHeight="1">
      <c r="A134" s="3" t="inlineStr">
        <is>
          <t>O.POLES</t>
        </is>
      </c>
      <c r="B134" s="4" t="n"/>
      <c r="C134" s="24" t="n">
        <v>625</v>
      </c>
      <c r="D134" s="27" t="inlineStr">
        <is>
          <t>Straighten Pole</t>
        </is>
      </c>
      <c r="E134" s="1129" t="n">
        <v>130</v>
      </c>
      <c r="F134" s="59">
        <f>E134*B134</f>
        <v/>
      </c>
    </row>
    <row r="135" outlineLevel="1" ht="15" customHeight="1">
      <c r="A135" s="3" t="inlineStr">
        <is>
          <t>O.POLES</t>
        </is>
      </c>
      <c r="B135" s="4" t="n"/>
      <c r="C135" s="24" t="n">
        <v>670</v>
      </c>
      <c r="D135" s="27" t="inlineStr">
        <is>
          <t>Right - Of - Way Clearing                                                                                  HOURLY</t>
        </is>
      </c>
      <c r="E135" s="26" t="n"/>
      <c r="F135" s="59">
        <f>E135*B135</f>
        <v/>
      </c>
    </row>
    <row r="136" outlineLevel="1" ht="15" customHeight="1">
      <c r="A136" s="3" t="inlineStr">
        <is>
          <t>O.POLES</t>
        </is>
      </c>
      <c r="B136" s="4" t="n"/>
      <c r="C136" s="24" t="n">
        <v>671</v>
      </c>
      <c r="D136" s="27" t="inlineStr">
        <is>
          <t>Cut/trim trees w/ Bucket Truck                                                                     HOURLY</t>
        </is>
      </c>
      <c r="E136" s="26" t="n"/>
      <c r="F136" s="59">
        <f>E136*B136</f>
        <v/>
      </c>
    </row>
    <row r="137" outlineLevel="1" ht="15" customHeight="1">
      <c r="A137" s="3" t="inlineStr">
        <is>
          <t>O.POLES</t>
        </is>
      </c>
      <c r="B137" s="4" t="n"/>
      <c r="C137" s="28" t="n">
        <v>672</v>
      </c>
      <c r="D137" s="27" t="inlineStr">
        <is>
          <t>Cut/trim trees w/ Bucket Truck &amp; Chipper                                                 HOURLY</t>
        </is>
      </c>
      <c r="E137" s="29" t="n"/>
      <c r="F137" s="59">
        <f>E137*B137</f>
        <v/>
      </c>
    </row>
    <row r="138" outlineLevel="1" ht="15" customHeight="1" thickBot="1">
      <c r="A138" s="3" t="inlineStr">
        <is>
          <t>O.POLES</t>
        </is>
      </c>
      <c r="B138" s="4" t="n"/>
      <c r="C138" s="28" t="n">
        <v>673</v>
      </c>
      <c r="D138" s="27" t="inlineStr">
        <is>
          <t>Remove large trees 8" or larger at per tree basis                                    HOURLY</t>
        </is>
      </c>
      <c r="E138" s="29" t="n"/>
      <c r="F138" s="59">
        <f>E138*B138</f>
        <v/>
      </c>
    </row>
    <row r="139" outlineLevel="1" ht="15" customHeight="1" thickBot="1">
      <c r="A139" s="202" t="n"/>
      <c r="B139" s="203" t="n"/>
      <c r="C139" s="204" t="n"/>
      <c r="D139" s="205" t="inlineStr">
        <is>
          <t>TOTAL - PLACE POLE</t>
        </is>
      </c>
      <c r="E139" s="206" t="n"/>
      <c r="F139" s="61">
        <f>SUM(F59:F138)</f>
        <v/>
      </c>
    </row>
    <row r="140" ht="15" customHeight="1" thickBot="1">
      <c r="A140" s="231" t="inlineStr">
        <is>
          <t>&lt;----Click the + to Expand or Collapse the "POLES" Section</t>
        </is>
      </c>
      <c r="B140" s="224" t="n"/>
      <c r="C140" s="224" t="n"/>
      <c r="D140" s="232" t="n"/>
      <c r="E140" s="152" t="n"/>
      <c r="F140" s="105" t="n"/>
    </row>
    <row r="141" ht="15" customHeight="1" thickBot="1">
      <c r="A141" s="1075" t="n"/>
      <c r="B141" s="97">
        <f>IF(SUM(F159)&gt;0,"-","")</f>
        <v/>
      </c>
      <c r="C141" s="1076" t="n"/>
      <c r="D141" s="1076" t="inlineStr">
        <is>
          <t>POLES</t>
        </is>
      </c>
      <c r="E141" s="1076" t="n"/>
      <c r="F141" s="1077" t="n"/>
    </row>
    <row r="142" outlineLevel="1" ht="15" customHeight="1">
      <c r="A142" s="3" t="inlineStr">
        <is>
          <t>O.POLES</t>
        </is>
      </c>
      <c r="B142" s="22" t="n"/>
      <c r="C142" s="22" t="n">
        <v>101</v>
      </c>
      <c r="D142" s="23" t="inlineStr">
        <is>
          <t>PLACE POLE - 25 TO 40 FT.</t>
        </is>
      </c>
      <c r="E142" s="207" t="n">
        <v>350</v>
      </c>
      <c r="F142" s="59">
        <f>E142*B142</f>
        <v/>
      </c>
    </row>
    <row r="143" outlineLevel="1" ht="15" customHeight="1">
      <c r="A143" s="3" t="inlineStr">
        <is>
          <t>O.POLES</t>
        </is>
      </c>
      <c r="B143" s="22" t="n"/>
      <c r="C143" s="22" t="n">
        <v>102</v>
      </c>
      <c r="D143" s="23" t="inlineStr">
        <is>
          <t>PLACE POLE - 45 TO 55 FT.</t>
        </is>
      </c>
      <c r="E143" s="207" t="n">
        <v>425</v>
      </c>
      <c r="F143" s="59">
        <f>E143*B143</f>
        <v/>
      </c>
    </row>
    <row r="144" outlineLevel="1" ht="15" customHeight="1">
      <c r="A144" s="3" t="inlineStr">
        <is>
          <t>O.POLES</t>
        </is>
      </c>
      <c r="B144" s="24" t="n"/>
      <c r="C144" s="24" t="n">
        <v>103</v>
      </c>
      <c r="D144" s="25" t="inlineStr">
        <is>
          <t>PLACE POLE - &gt; 55 FT</t>
        </is>
      </c>
      <c r="E144" s="207" t="n">
        <v>515</v>
      </c>
      <c r="F144" s="59">
        <f>E144*B144</f>
        <v/>
      </c>
    </row>
    <row r="145" outlineLevel="1" ht="15" customHeight="1">
      <c r="A145" s="3" t="inlineStr">
        <is>
          <t>O.POLES</t>
        </is>
      </c>
      <c r="B145" s="24" t="n"/>
      <c r="C145" s="24" t="n">
        <v>106</v>
      </c>
      <c r="D145" s="25" t="inlineStr">
        <is>
          <t>REMOVE POLE 30 TO 40 FT.</t>
        </is>
      </c>
      <c r="E145" s="207" t="n">
        <v>215</v>
      </c>
      <c r="F145" s="59">
        <f>E145*B145</f>
        <v/>
      </c>
    </row>
    <row r="146" outlineLevel="1" ht="15" customHeight="1">
      <c r="A146" s="3" t="inlineStr">
        <is>
          <t>O.POLES</t>
        </is>
      </c>
      <c r="B146" s="24" t="n"/>
      <c r="C146" s="24" t="n">
        <v>108</v>
      </c>
      <c r="D146" s="25" t="inlineStr">
        <is>
          <t>REMOVE POLE 45 TO 55 FT.</t>
        </is>
      </c>
      <c r="E146" s="207" t="n">
        <v>215</v>
      </c>
      <c r="F146" s="59">
        <f>E146*B146</f>
        <v/>
      </c>
    </row>
    <row r="147" outlineLevel="1" ht="15" customHeight="1">
      <c r="A147" s="3" t="inlineStr">
        <is>
          <t>O.POLES</t>
        </is>
      </c>
      <c r="B147" s="24" t="n"/>
      <c r="C147" s="24" t="n">
        <v>110</v>
      </c>
      <c r="D147" s="937" t="inlineStr">
        <is>
          <t>PLACE STRAND (PRE-APPROVED)</t>
        </is>
      </c>
      <c r="E147" s="207" t="n">
        <v>2.5</v>
      </c>
      <c r="F147" s="59">
        <f>E147*B147</f>
        <v/>
      </c>
    </row>
    <row r="148" outlineLevel="1" ht="15" customHeight="1">
      <c r="A148" s="3" t="inlineStr">
        <is>
          <t>O.POLES</t>
        </is>
      </c>
      <c r="B148" s="24" t="n"/>
      <c r="C148" s="24" t="n">
        <v>111</v>
      </c>
      <c r="D148" s="25" t="inlineStr">
        <is>
          <t>ADDITIONAL CHARGE POLE SET IN POWER</t>
        </is>
      </c>
      <c r="E148" s="207" t="n">
        <v>175</v>
      </c>
      <c r="F148" s="59">
        <f>E148*B148</f>
        <v/>
      </c>
    </row>
    <row r="149" outlineLevel="1" ht="15" customHeight="1">
      <c r="A149" s="3" t="inlineStr">
        <is>
          <t>O.POLES</t>
        </is>
      </c>
      <c r="B149" s="24" t="n"/>
      <c r="C149" s="24" t="n">
        <v>112</v>
      </c>
      <c r="D149" s="25" t="inlineStr">
        <is>
          <t>HAND SET POLE</t>
        </is>
      </c>
      <c r="E149" s="207" t="n">
        <v>600</v>
      </c>
      <c r="F149" s="59">
        <f>E149*B149</f>
        <v/>
      </c>
    </row>
    <row r="150" outlineLevel="1" ht="15" customHeight="1">
      <c r="A150" s="3" t="inlineStr">
        <is>
          <t>O.POLES</t>
        </is>
      </c>
      <c r="B150" s="24" t="n"/>
      <c r="C150" s="24" t="n">
        <v>113</v>
      </c>
      <c r="D150" s="25" t="inlineStr">
        <is>
          <t xml:space="preserve">RESTORE PAVEMENT AT POLE PLACE </t>
        </is>
      </c>
      <c r="E150" s="207" t="n">
        <v>75</v>
      </c>
      <c r="F150" s="59">
        <f>E150*B150</f>
        <v/>
      </c>
    </row>
    <row r="151" outlineLevel="1" ht="15" customHeight="1">
      <c r="A151" s="3" t="inlineStr">
        <is>
          <t>O.POLES</t>
        </is>
      </c>
      <c r="B151" s="24" t="n"/>
      <c r="C151" s="24" t="n">
        <v>114</v>
      </c>
      <c r="D151" s="25" t="inlineStr">
        <is>
          <t>REPLACE PAVEMENT AT POLE REMOVAL</t>
        </is>
      </c>
      <c r="E151" s="207" t="n">
        <v>75</v>
      </c>
      <c r="F151" s="59">
        <f>E151*B151</f>
        <v/>
      </c>
    </row>
    <row r="152" outlineLevel="1" ht="15" customHeight="1">
      <c r="A152" s="3" t="inlineStr">
        <is>
          <t>O.POLES</t>
        </is>
      </c>
      <c r="B152" s="24" t="n"/>
      <c r="C152" s="24" t="n">
        <v>115</v>
      </c>
      <c r="D152" s="25" t="inlineStr">
        <is>
          <t>ROCK REMOVAL POLE   CU FT PRICE</t>
        </is>
      </c>
      <c r="E152" s="207" t="n">
        <v>100</v>
      </c>
      <c r="F152" s="59">
        <f>E152*B152</f>
        <v/>
      </c>
    </row>
    <row r="153" outlineLevel="1" ht="15" customHeight="1">
      <c r="A153" s="3" t="inlineStr">
        <is>
          <t>O.POLES</t>
        </is>
      </c>
      <c r="B153" s="24" t="n"/>
      <c r="C153" s="24" t="n">
        <v>116</v>
      </c>
      <c r="D153" s="25" t="inlineStr">
        <is>
          <t>HAND DIG POLE</t>
        </is>
      </c>
      <c r="E153" s="207" t="n">
        <v>165</v>
      </c>
      <c r="F153" s="59">
        <f>E153*B153</f>
        <v/>
      </c>
    </row>
    <row r="154" outlineLevel="1" ht="15" customHeight="1">
      <c r="A154" s="3" t="inlineStr">
        <is>
          <t>O.POLES</t>
        </is>
      </c>
      <c r="B154" s="24" t="n"/>
      <c r="C154" s="24" t="n">
        <v>117</v>
      </c>
      <c r="D154" s="937" t="inlineStr">
        <is>
          <t>PLACE ANCHOR AND GUYS</t>
        </is>
      </c>
      <c r="E154" s="207" t="n">
        <v>225</v>
      </c>
      <c r="F154" s="59">
        <f>E154*B154</f>
        <v/>
      </c>
    </row>
    <row r="155" outlineLevel="1" ht="15" customHeight="1">
      <c r="A155" s="3" t="inlineStr">
        <is>
          <t>O.POLES</t>
        </is>
      </c>
      <c r="B155" s="24" t="n"/>
      <c r="C155" s="24" t="n">
        <v>118</v>
      </c>
      <c r="D155" s="25" t="inlineStr">
        <is>
          <t>RE-SAG LINE   (PER SPAN) 6 ATTACHMENTS SPANS BOTH DIRECTIONS</t>
        </is>
      </c>
      <c r="E155" s="207" t="n">
        <v>115</v>
      </c>
      <c r="F155" s="59">
        <f>E155*B155</f>
        <v/>
      </c>
    </row>
    <row r="156" outlineLevel="1" ht="15" customHeight="1">
      <c r="A156" s="3" t="inlineStr">
        <is>
          <t>O.POLES</t>
        </is>
      </c>
      <c r="B156" s="28" t="n"/>
      <c r="C156" s="28" t="n">
        <v>144</v>
      </c>
      <c r="D156" s="27" t="inlineStr">
        <is>
          <t xml:space="preserve">Hand Set Push Brace </t>
        </is>
      </c>
      <c r="E156" s="207" t="n">
        <v>220</v>
      </c>
      <c r="F156" s="59">
        <f>E156*B156</f>
        <v/>
      </c>
    </row>
    <row r="157" outlineLevel="1" ht="15" customHeight="1">
      <c r="A157" s="3" t="inlineStr">
        <is>
          <t>O.POLES</t>
        </is>
      </c>
      <c r="B157" s="28" t="n"/>
      <c r="C157" s="27" t="inlineStr">
        <is>
          <t>MISC</t>
        </is>
      </c>
      <c r="D157" s="29" t="n"/>
      <c r="E157" s="209" t="n"/>
      <c r="F157" s="59" t="n"/>
    </row>
    <row r="158" outlineLevel="1" ht="15" customHeight="1" thickBot="1">
      <c r="A158" s="3" t="inlineStr">
        <is>
          <t>O.POLES</t>
        </is>
      </c>
      <c r="B158" s="28" t="n"/>
      <c r="C158" s="27" t="inlineStr">
        <is>
          <t>MISC</t>
        </is>
      </c>
      <c r="D158" s="29" t="n"/>
      <c r="E158" s="209" t="n"/>
      <c r="F158" s="208" t="n"/>
    </row>
    <row r="159" outlineLevel="1" ht="15" customHeight="1" thickBot="1">
      <c r="A159" s="202" t="n"/>
      <c r="B159" s="203" t="n"/>
      <c r="C159" s="204" t="n"/>
      <c r="D159" s="205" t="inlineStr">
        <is>
          <t>TOTAL - PLACE POLE</t>
        </is>
      </c>
      <c r="E159" s="206" t="n"/>
      <c r="F159" s="61">
        <f>SUM(F142:F158)</f>
        <v/>
      </c>
    </row>
    <row r="160" ht="15" customHeight="1" thickBot="1">
      <c r="A160" s="573" t="inlineStr">
        <is>
          <t>&lt;----Click the + to Expand or Collapse the "POLES" Section</t>
        </is>
      </c>
      <c r="B160" s="574" t="n"/>
      <c r="C160" s="575" t="n"/>
      <c r="D160" s="576" t="n"/>
      <c r="E160" s="571" t="n"/>
      <c r="F160" s="572" t="n"/>
    </row>
    <row r="161" ht="15" customFormat="1" customHeight="1" s="235" thickBot="1">
      <c r="A161" s="90" t="n"/>
      <c r="B161" s="185">
        <f>IF(SUM(F185)&gt;0,"-","")</f>
        <v/>
      </c>
      <c r="C161" s="91" t="n"/>
      <c r="D161" s="230" t="inlineStr">
        <is>
          <t xml:space="preserve">AERIAL </t>
        </is>
      </c>
      <c r="E161" s="119" t="n"/>
      <c r="F161" s="95" t="n"/>
      <c r="G161" s="234" t="n"/>
      <c r="H161" s="539" t="n"/>
      <c r="I161" s="559" t="n"/>
      <c r="J161" s="234" t="n"/>
      <c r="K161" s="1131" t="n"/>
    </row>
    <row r="162" outlineLevel="1" ht="15" customFormat="1" customHeight="1" s="235">
      <c r="A162" s="10" t="inlineStr">
        <is>
          <t>O.FBR.AERL</t>
        </is>
      </c>
      <c r="B162" s="52" t="n"/>
      <c r="C162" s="196" t="n">
        <v>420</v>
      </c>
      <c r="D162" s="197" t="inlineStr">
        <is>
          <t>Place Aerial Cable (4 to 30 Fiber) (Cable Handling and Figure Eighting included)</t>
        </is>
      </c>
      <c r="E162" s="198" t="n">
        <v>1.06</v>
      </c>
      <c r="F162" s="74">
        <f>E162*B162</f>
        <v/>
      </c>
      <c r="G162" s="234" t="n"/>
      <c r="H162" s="539" t="n"/>
      <c r="I162" s="559" t="n"/>
      <c r="J162" s="234" t="n"/>
      <c r="K162" s="1131" t="n"/>
    </row>
    <row r="163" outlineLevel="1" ht="15" customFormat="1" customHeight="1" s="235">
      <c r="A163" s="8" t="inlineStr">
        <is>
          <t>O.FBR.AERL</t>
        </is>
      </c>
      <c r="B163" s="52" t="n"/>
      <c r="C163" s="30" t="n">
        <v>421</v>
      </c>
      <c r="D163" s="32" t="inlineStr">
        <is>
          <t>Place Aerial RDF or ADSS  (6-24 Fiber) (Includes Cable Attachment to Wood Pole)</t>
        </is>
      </c>
      <c r="E163" s="31" t="n">
        <v>1.08</v>
      </c>
      <c r="F163" s="74">
        <f>E163*B163</f>
        <v/>
      </c>
      <c r="G163" s="234" t="n"/>
      <c r="H163" s="539" t="n"/>
      <c r="I163" s="559" t="n"/>
      <c r="J163" s="234" t="n"/>
      <c r="K163" s="1131" t="n"/>
    </row>
    <row r="164" outlineLevel="1" ht="15" customFormat="1" customHeight="1" s="235">
      <c r="A164" s="8" t="inlineStr">
        <is>
          <t>O.FBR.AERL</t>
        </is>
      </c>
      <c r="B164" s="52" t="n"/>
      <c r="C164" s="30" t="n">
        <v>425</v>
      </c>
      <c r="D164" s="32" t="inlineStr">
        <is>
          <t>Place Aerial Cable (36 to 72 Fiber) (Cable Handling and Figure eighting included)</t>
        </is>
      </c>
      <c r="E164" s="31" t="n">
        <v>1.18</v>
      </c>
      <c r="F164" s="74">
        <f>E164*B164</f>
        <v/>
      </c>
      <c r="G164" s="234" t="n"/>
      <c r="H164" s="539" t="n"/>
      <c r="I164" s="559" t="n"/>
      <c r="J164" s="234" t="n"/>
      <c r="K164" s="1131" t="n"/>
    </row>
    <row r="165" outlineLevel="1" ht="15" customFormat="1" customHeight="1" s="235">
      <c r="A165" s="8" t="inlineStr">
        <is>
          <t>O.FBR.AERL</t>
        </is>
      </c>
      <c r="B165" s="52" t="n"/>
      <c r="C165" s="30" t="n">
        <v>430</v>
      </c>
      <c r="D165" s="32" t="inlineStr">
        <is>
          <t>Place Aerial Cable (96 to 288 Fiber) (Cable Handling and Figure eighting included)</t>
        </is>
      </c>
      <c r="E165" s="31" t="n">
        <v>1.26</v>
      </c>
      <c r="F165" s="74">
        <f>E165*B165</f>
        <v/>
      </c>
      <c r="G165" s="234" t="n"/>
      <c r="H165" s="539" t="n"/>
      <c r="I165" s="559" t="n"/>
      <c r="J165" s="234" t="n"/>
      <c r="K165" s="1131" t="n"/>
    </row>
    <row r="166" outlineLevel="1" ht="15" customFormat="1" customHeight="1" s="235">
      <c r="A166" s="8" t="inlineStr">
        <is>
          <t>O.CBL.AERL</t>
        </is>
      </c>
      <c r="B166" s="52" t="n"/>
      <c r="C166" s="30" t="n">
        <v>435</v>
      </c>
      <c r="D166" s="32" t="inlineStr">
        <is>
          <t>Place Aerial Cable (12 to 200 Copper)</t>
        </is>
      </c>
      <c r="E166" s="31" t="n">
        <v>0.8</v>
      </c>
      <c r="F166" s="74">
        <f>E166*B166</f>
        <v/>
      </c>
      <c r="G166" s="234" t="n"/>
      <c r="H166" s="539" t="n"/>
      <c r="I166" s="559" t="n"/>
      <c r="J166" s="234" t="n"/>
      <c r="K166" s="1131" t="n"/>
    </row>
    <row r="167" outlineLevel="1" ht="15" customFormat="1" customHeight="1" s="235">
      <c r="A167" s="8" t="inlineStr">
        <is>
          <t>O.CBL.AERL</t>
        </is>
      </c>
      <c r="B167" s="52" t="n"/>
      <c r="C167" s="30" t="n">
        <v>436</v>
      </c>
      <c r="D167" s="32" t="inlineStr">
        <is>
          <t>Place Aerial RDW (6 to 12 Copper) (Includes Cable Attachment to Wood Pole)</t>
        </is>
      </c>
      <c r="E167" s="31" t="n">
        <v>0.88</v>
      </c>
      <c r="F167" s="74">
        <f>E167*B167</f>
        <v/>
      </c>
      <c r="G167" s="234" t="n"/>
      <c r="H167" s="539" t="n"/>
      <c r="I167" s="559" t="n"/>
      <c r="J167" s="234" t="n"/>
      <c r="K167" s="1131" t="n"/>
    </row>
    <row r="168" outlineLevel="1" ht="15" customFormat="1" customHeight="1" s="235">
      <c r="A168" s="8" t="inlineStr">
        <is>
          <t>O.CBL.AERL</t>
        </is>
      </c>
      <c r="B168" s="52" t="n"/>
      <c r="C168" s="30" t="n">
        <v>440</v>
      </c>
      <c r="D168" s="32" t="inlineStr">
        <is>
          <t>Place Aerial Cable (300 to 600)</t>
        </is>
      </c>
      <c r="E168" s="31" t="n">
        <v>0.9</v>
      </c>
      <c r="F168" s="74">
        <f>E168*B168</f>
        <v/>
      </c>
      <c r="G168" s="234" t="n"/>
      <c r="H168" s="539" t="n"/>
      <c r="I168" s="559" t="n"/>
      <c r="J168" s="234" t="n"/>
      <c r="K168" s="1131" t="n"/>
    </row>
    <row r="169" outlineLevel="1" ht="15" customFormat="1" customHeight="1" s="235">
      <c r="A169" s="8" t="inlineStr">
        <is>
          <t>O.CBL.AERL</t>
        </is>
      </c>
      <c r="B169" s="52" t="n"/>
      <c r="C169" s="30" t="n">
        <v>445</v>
      </c>
      <c r="D169" s="32" t="inlineStr">
        <is>
          <t>Place Aerial Cable (900 to 1200)</t>
        </is>
      </c>
      <c r="E169" s="31" t="n">
        <v>1.16</v>
      </c>
      <c r="F169" s="74">
        <f>E169*B169</f>
        <v/>
      </c>
      <c r="G169" s="234" t="n"/>
      <c r="H169" s="539" t="n"/>
      <c r="I169" s="559" t="n"/>
      <c r="J169" s="234" t="n"/>
      <c r="K169" s="1131" t="n"/>
    </row>
    <row r="170" outlineLevel="1" ht="15" customFormat="1" customHeight="1" s="235">
      <c r="A170" s="8" t="inlineStr">
        <is>
          <t>O.CBL.AERL</t>
        </is>
      </c>
      <c r="B170" s="52" t="n"/>
      <c r="C170" s="30" t="n">
        <v>450</v>
      </c>
      <c r="D170" s="33" t="inlineStr">
        <is>
          <t>Place Aerial Cable (1300 to 1800)</t>
        </is>
      </c>
      <c r="E170" s="31" t="n">
        <v>1.42</v>
      </c>
      <c r="F170" s="74">
        <f>E170*B170</f>
        <v/>
      </c>
      <c r="G170" s="234" t="n"/>
      <c r="H170" s="539" t="n"/>
      <c r="I170" s="559" t="n"/>
      <c r="J170" s="234" t="n"/>
      <c r="K170" s="1131" t="n"/>
    </row>
    <row r="171" outlineLevel="1" ht="15" customFormat="1" customHeight="1" s="235">
      <c r="A171" s="8" t="inlineStr">
        <is>
          <t>O.FBR.AERL</t>
        </is>
      </c>
      <c r="B171" s="1073" t="n"/>
      <c r="C171" s="30" t="n">
        <v>451</v>
      </c>
      <c r="D171" s="33" t="inlineStr">
        <is>
          <t>De-lash/Re-lash Fiber/Copper Facility (Combined Unit)</t>
        </is>
      </c>
      <c r="E171" s="31" t="n">
        <v>0.95</v>
      </c>
      <c r="F171" s="74">
        <f>E171*B171</f>
        <v/>
      </c>
      <c r="G171" s="234" t="n"/>
      <c r="H171" s="539" t="n"/>
      <c r="I171" s="559" t="n"/>
      <c r="J171" s="234" t="n"/>
      <c r="K171" s="1131" t="n"/>
    </row>
    <row r="172" outlineLevel="1" ht="15" customFormat="1" customHeight="1" s="235">
      <c r="A172" s="8" t="inlineStr">
        <is>
          <t>O.CBL.AERL</t>
        </is>
      </c>
      <c r="B172" s="1073" t="n"/>
      <c r="C172" s="30" t="n">
        <v>455</v>
      </c>
      <c r="D172" s="33" t="inlineStr">
        <is>
          <t>Remove Aerial Cable - All Fiber (Junk)</t>
        </is>
      </c>
      <c r="E172" s="31" t="n">
        <v>0.44</v>
      </c>
      <c r="F172" s="74">
        <f>E172*B172</f>
        <v/>
      </c>
      <c r="G172" s="234" t="n"/>
      <c r="H172" s="539" t="n"/>
      <c r="I172" s="559" t="n"/>
      <c r="J172" s="236" t="n"/>
      <c r="K172" s="237" t="n"/>
      <c r="L172" s="238" t="n"/>
    </row>
    <row r="173" outlineLevel="1" ht="15" customFormat="1" customHeight="1" s="235">
      <c r="A173" s="8" t="inlineStr">
        <is>
          <t>O.CBL.AERL</t>
        </is>
      </c>
      <c r="B173" s="1073" t="n"/>
      <c r="C173" s="30" t="n">
        <v>460</v>
      </c>
      <c r="D173" s="33" t="inlineStr">
        <is>
          <t>Remove Aerial Cable - 12 to 600 Copper (Junk)</t>
        </is>
      </c>
      <c r="E173" s="31" t="n">
        <v>0.6</v>
      </c>
      <c r="F173" s="74">
        <f>E173*B173</f>
        <v/>
      </c>
      <c r="G173" s="234" t="n"/>
      <c r="H173" s="539" t="n"/>
      <c r="I173" s="559" t="n"/>
      <c r="J173" s="236" t="n"/>
      <c r="K173" s="237" t="n"/>
      <c r="L173" s="238" t="n"/>
    </row>
    <row r="174" outlineLevel="1" ht="15" customFormat="1" customHeight="1" s="235">
      <c r="A174" s="8" t="inlineStr">
        <is>
          <t>O.CBL.AERL</t>
        </is>
      </c>
      <c r="B174" s="1073" t="n"/>
      <c r="C174" s="34" t="n">
        <v>465</v>
      </c>
      <c r="D174" s="33" t="inlineStr">
        <is>
          <t>Remove Aerial Cable 900 to 1800 (Junk)</t>
        </is>
      </c>
      <c r="E174" s="31" t="n">
        <v>0.82</v>
      </c>
      <c r="F174" s="74">
        <f>E174*B174</f>
        <v/>
      </c>
      <c r="G174" s="234" t="n"/>
      <c r="H174" s="539" t="n"/>
      <c r="I174" s="559" t="n"/>
      <c r="J174" s="236" t="n"/>
      <c r="K174" s="237" t="n"/>
      <c r="L174" s="238" t="n"/>
    </row>
    <row r="175" outlineLevel="1" ht="15" customFormat="1" customHeight="1" s="235">
      <c r="A175" s="8" t="inlineStr">
        <is>
          <t>O.FBR.AERL</t>
        </is>
      </c>
      <c r="B175" s="1073" t="n"/>
      <c r="C175" s="34" t="n">
        <v>485</v>
      </c>
      <c r="D175" s="2" t="inlineStr">
        <is>
          <t>Remove Aerial Cable - All Fiber (Salvage)</t>
        </is>
      </c>
      <c r="E175" s="31" t="n">
        <v>0.85</v>
      </c>
      <c r="F175" s="74">
        <f>E175*B175</f>
        <v/>
      </c>
      <c r="G175" s="234" t="n"/>
      <c r="H175" s="539" t="n"/>
      <c r="I175" s="559" t="n"/>
      <c r="J175" s="236" t="n"/>
      <c r="K175" s="237" t="n"/>
      <c r="L175" s="238" t="n"/>
    </row>
    <row r="176" outlineLevel="1" ht="15" customFormat="1" customHeight="1" s="235">
      <c r="A176" s="8" t="inlineStr">
        <is>
          <t>O.FBR.AERL</t>
        </is>
      </c>
      <c r="B176" s="1073" t="n"/>
      <c r="C176" s="34" t="n">
        <v>500</v>
      </c>
      <c r="D176" s="2" t="inlineStr">
        <is>
          <t>Place Aerial Ca. to Ex. Ca. or Strand (Overlash All Cable Sizes)</t>
        </is>
      </c>
      <c r="E176" s="31" t="n">
        <v>1.28</v>
      </c>
      <c r="F176" s="74">
        <f>E176*B176</f>
        <v/>
      </c>
      <c r="G176" s="234" t="n"/>
      <c r="H176" s="539" t="n"/>
      <c r="I176" s="559" t="n"/>
      <c r="J176" s="234" t="n"/>
      <c r="K176" s="1131" t="n"/>
    </row>
    <row r="177" outlineLevel="1" ht="15" customFormat="1" customHeight="1" s="235">
      <c r="A177" s="8" t="inlineStr">
        <is>
          <t>O.FBR.AERL</t>
        </is>
      </c>
      <c r="B177" s="1073" t="n"/>
      <c r="C177" s="34" t="n">
        <v>620</v>
      </c>
      <c r="D177" s="2" t="inlineStr">
        <is>
          <t>Place Crossover Clamp</t>
        </is>
      </c>
      <c r="E177" s="31" t="n">
        <v>41</v>
      </c>
      <c r="F177" s="74">
        <f>E177*B177</f>
        <v/>
      </c>
      <c r="G177" s="234" t="n"/>
      <c r="H177" s="539" t="n"/>
      <c r="I177" s="559" t="n"/>
      <c r="J177" s="234" t="n"/>
      <c r="K177" s="1131" t="n"/>
    </row>
    <row r="178" outlineLevel="1" ht="15" customFormat="1" customHeight="1" s="235">
      <c r="A178" s="8" t="inlineStr">
        <is>
          <t>O.FBR.AERL</t>
        </is>
      </c>
      <c r="B178" s="1073" t="n"/>
      <c r="C178" s="34" t="n">
        <v>685</v>
      </c>
      <c r="D178" s="2" t="inlineStr">
        <is>
          <t>Lower Cable Attachment</t>
        </is>
      </c>
      <c r="E178" s="31" t="n">
        <v>42</v>
      </c>
      <c r="F178" s="74">
        <f>E178*B178</f>
        <v/>
      </c>
      <c r="H178" s="540" t="n"/>
      <c r="I178" s="560" t="n"/>
    </row>
    <row r="179" outlineLevel="1" ht="15" customFormat="1" customHeight="1" s="235">
      <c r="A179" s="8" t="inlineStr">
        <is>
          <t>O.FBR.AERL</t>
        </is>
      </c>
      <c r="B179" s="1073" t="n"/>
      <c r="C179" s="34" t="n">
        <v>690</v>
      </c>
      <c r="D179" s="2" t="inlineStr">
        <is>
          <t>Raise Cable Attachment</t>
        </is>
      </c>
      <c r="E179" s="31" t="n">
        <v>42</v>
      </c>
      <c r="F179" s="74">
        <f>E179*B179</f>
        <v/>
      </c>
      <c r="H179" s="540" t="n"/>
      <c r="I179" s="560" t="n"/>
    </row>
    <row r="180" outlineLevel="1" ht="15" customFormat="1" customHeight="1" s="235">
      <c r="A180" s="8" t="inlineStr">
        <is>
          <t>O.FBR.AERL</t>
        </is>
      </c>
      <c r="B180" s="1073" t="n"/>
      <c r="C180" s="34" t="n">
        <v>691</v>
      </c>
      <c r="D180" s="2" t="inlineStr">
        <is>
          <t>Resag span</t>
        </is>
      </c>
      <c r="E180" s="31" t="n">
        <v>242</v>
      </c>
      <c r="F180" s="74">
        <f>E180*B180</f>
        <v/>
      </c>
      <c r="H180" s="540" t="n"/>
      <c r="I180" s="560" t="n"/>
    </row>
    <row r="181" outlineLevel="1" ht="15" customFormat="1" customHeight="1" s="235">
      <c r="A181" s="8" t="inlineStr">
        <is>
          <t>O.FBR.AERL</t>
        </is>
      </c>
      <c r="B181" s="1073" t="n"/>
      <c r="C181" s="34" t="n">
        <v>695</v>
      </c>
      <c r="D181" s="2" t="inlineStr">
        <is>
          <t>Change A-Bolt to B-Bolt</t>
        </is>
      </c>
      <c r="E181" s="31" t="n">
        <v>42</v>
      </c>
      <c r="F181" s="74">
        <f>E181*B181</f>
        <v/>
      </c>
      <c r="H181" s="540" t="n"/>
      <c r="I181" s="560" t="n"/>
    </row>
    <row r="182" outlineLevel="1" ht="15" customFormat="1" customHeight="1" s="235">
      <c r="A182" s="8" t="inlineStr">
        <is>
          <t>O.FBR.AERL</t>
        </is>
      </c>
      <c r="B182" s="1073" t="n"/>
      <c r="C182" s="34" t="n">
        <v>700</v>
      </c>
      <c r="D182" s="2" t="inlineStr">
        <is>
          <t>Place Bolt Extension</t>
        </is>
      </c>
      <c r="E182" s="31" t="n">
        <v>42</v>
      </c>
      <c r="F182" s="74">
        <f>E182*B182</f>
        <v/>
      </c>
      <c r="H182" s="540" t="n"/>
      <c r="I182" s="560" t="n"/>
    </row>
    <row r="183" outlineLevel="1" ht="15" customFormat="1" customHeight="1" s="235">
      <c r="A183" s="8" t="inlineStr">
        <is>
          <t>O.FBR.AERL</t>
        </is>
      </c>
      <c r="B183" s="1073" t="n"/>
      <c r="C183" s="34" t="n">
        <v>705</v>
      </c>
      <c r="D183" s="2" t="inlineStr">
        <is>
          <t>Place "B" Support Bracket</t>
        </is>
      </c>
      <c r="E183" s="31" t="n">
        <v>37</v>
      </c>
      <c r="F183" s="63">
        <f>E183*B183</f>
        <v/>
      </c>
      <c r="H183" s="540" t="n"/>
      <c r="I183" s="560" t="n"/>
    </row>
    <row r="184" outlineLevel="1" ht="15" customFormat="1" customHeight="1" s="235" thickBot="1">
      <c r="A184" s="8" t="n"/>
      <c r="B184" s="1073" t="n"/>
      <c r="C184" s="34" t="n"/>
      <c r="D184" s="2" t="n"/>
      <c r="E184" s="31" t="n"/>
      <c r="F184" s="63" t="n"/>
      <c r="H184" s="540" t="n"/>
      <c r="I184" s="560" t="n"/>
    </row>
    <row r="185" outlineLevel="1" ht="15" customFormat="1" customHeight="1" s="235" thickBot="1">
      <c r="A185" s="89" t="n"/>
      <c r="B185" s="112" t="n"/>
      <c r="C185" s="9" t="n"/>
      <c r="D185" s="9" t="inlineStr">
        <is>
          <t>TOTAL - PLACE AERIAL FIBER</t>
        </is>
      </c>
      <c r="E185" s="135" t="n"/>
      <c r="F185" s="62">
        <f>SUM(F162:F183)</f>
        <v/>
      </c>
      <c r="H185" s="540" t="n"/>
      <c r="I185" s="560" t="n"/>
    </row>
    <row r="186" ht="15" customFormat="1" customHeight="1" s="235" thickBot="1">
      <c r="A186" s="151" t="inlineStr">
        <is>
          <t>&lt;----Click the + to Expand or Collapse the "AERIAL" Section</t>
        </is>
      </c>
      <c r="B186" s="185" t="n"/>
      <c r="C186" s="91" t="n"/>
      <c r="D186" s="91" t="n"/>
      <c r="E186" s="119" t="n"/>
      <c r="F186" s="95" t="n"/>
      <c r="H186" s="540" t="n"/>
      <c r="I186" s="560" t="n"/>
    </row>
    <row r="187" ht="15" customFormat="1" customHeight="1" s="235" thickBot="1">
      <c r="A187" s="90" t="n"/>
      <c r="B187" s="185">
        <f>IF(SUM(F216)&gt;0,"-","")</f>
        <v/>
      </c>
      <c r="C187" s="137" t="n"/>
      <c r="D187" s="137" t="inlineStr">
        <is>
          <t xml:space="preserve">AERIAL </t>
        </is>
      </c>
      <c r="E187" s="119" t="n"/>
      <c r="F187" s="150" t="n"/>
      <c r="H187" s="540" t="n"/>
      <c r="I187" s="560" t="n"/>
    </row>
    <row r="188" outlineLevel="1" ht="15" customFormat="1" customHeight="1" s="235">
      <c r="A188" s="10" t="inlineStr">
        <is>
          <t>O.FBR.AERL</t>
        </is>
      </c>
      <c r="B188" s="17" t="n"/>
      <c r="C188" s="196" t="n">
        <v>100</v>
      </c>
      <c r="D188" s="223" t="inlineStr">
        <is>
          <t xml:space="preserve">PLACE AERIAL FIBER PER S&amp;N CONTRACT - NEW CONSTRUCTION    </t>
        </is>
      </c>
      <c r="E188" s="198" t="n">
        <v>2.25</v>
      </c>
      <c r="F188" s="216">
        <f>E188*B188</f>
        <v/>
      </c>
      <c r="H188" s="540" t="n"/>
      <c r="I188" s="560" t="n"/>
    </row>
    <row r="189" outlineLevel="1" ht="15" customHeight="1">
      <c r="A189" s="8" t="inlineStr">
        <is>
          <t>O.FBR.AERL</t>
        </is>
      </c>
      <c r="B189" s="1" t="n"/>
      <c r="C189" s="30" t="n">
        <v>122</v>
      </c>
      <c r="D189" s="32" t="inlineStr">
        <is>
          <t>Place ADSS Fiber 24 count TTH or Equivalent</t>
        </is>
      </c>
      <c r="E189" s="198" t="n">
        <v>1.25</v>
      </c>
      <c r="F189" s="216">
        <f>E189*B189</f>
        <v/>
      </c>
    </row>
    <row r="190" outlineLevel="1" ht="15" customHeight="1">
      <c r="A190" s="8" t="inlineStr">
        <is>
          <t>O.FBR.AERL</t>
        </is>
      </c>
      <c r="B190" s="1" t="n"/>
      <c r="C190" s="30" t="n">
        <v>123</v>
      </c>
      <c r="D190" s="32" t="inlineStr">
        <is>
          <t>Place ADSS fiber 48 count</t>
        </is>
      </c>
      <c r="E190" s="198" t="n">
        <v>1.25</v>
      </c>
      <c r="F190" s="216">
        <f>E190*B190</f>
        <v/>
      </c>
    </row>
    <row r="191" outlineLevel="1" ht="15" customHeight="1">
      <c r="A191" s="8" t="inlineStr">
        <is>
          <t>O.FBR.AERL</t>
        </is>
      </c>
      <c r="B191" s="1" t="n"/>
      <c r="C191" s="30" t="n">
        <v>124</v>
      </c>
      <c r="D191" s="32" t="inlineStr">
        <is>
          <t>Place ADSS fiber &gt; 48 count</t>
        </is>
      </c>
      <c r="E191" s="198" t="n">
        <v>1.25</v>
      </c>
      <c r="F191" s="216">
        <f>E191*B191</f>
        <v/>
      </c>
    </row>
    <row r="192" outlineLevel="1" ht="15" customHeight="1">
      <c r="A192" s="8" t="inlineStr">
        <is>
          <t>O.FBR.AERL</t>
        </is>
      </c>
      <c r="B192" s="1" t="n"/>
      <c r="C192" s="30" t="n">
        <v>125</v>
      </c>
      <c r="D192" s="33" t="inlineStr">
        <is>
          <t>POLE TRANSFER OF ATTACHMENTS</t>
        </is>
      </c>
      <c r="E192" s="198" t="n">
        <v>105</v>
      </c>
      <c r="F192" s="216">
        <f>E192*B192</f>
        <v/>
      </c>
    </row>
    <row r="193" outlineLevel="1" ht="15" customFormat="1" customHeight="1" s="228">
      <c r="A193" s="225" t="inlineStr">
        <is>
          <t>O.FBR.AERL</t>
        </is>
      </c>
      <c r="B193" s="239" t="n"/>
      <c r="C193" s="226" t="n">
        <v>126</v>
      </c>
      <c r="D193" s="227" t="inlineStr">
        <is>
          <t>PLACE AERIAL FIBER PER S&amp;N CONTRACT  - OVERLASH                                                                   ( can be used for (1) copper cable up to 200pr)</t>
        </is>
      </c>
      <c r="E193" s="198" t="n">
        <v>1.35</v>
      </c>
      <c r="F193" s="216">
        <f>E193*B193</f>
        <v/>
      </c>
      <c r="H193" s="541" t="n"/>
      <c r="I193" s="561" t="n"/>
    </row>
    <row r="194" outlineLevel="1" ht="15" customHeight="1">
      <c r="A194" s="8" t="inlineStr">
        <is>
          <t>O.FBR.AERL</t>
        </is>
      </c>
      <c r="B194" s="1">
        <f>'LABOR SPAN SHEET'!AN2</f>
        <v/>
      </c>
      <c r="C194" s="30" t="n">
        <v>127</v>
      </c>
      <c r="D194" s="521" t="inlineStr">
        <is>
          <t>ROW Clearing   (per linear ft)</t>
        </is>
      </c>
      <c r="E194" s="198" t="n">
        <v>0.45</v>
      </c>
      <c r="F194" s="216">
        <f>E194*B194</f>
        <v/>
      </c>
    </row>
    <row r="195" outlineLevel="1" ht="15" customHeight="1">
      <c r="A195" s="8" t="inlineStr">
        <is>
          <t>O.FBR.AERL</t>
        </is>
      </c>
      <c r="B195" s="1" t="n"/>
      <c r="C195" s="30" t="n">
        <v>128</v>
      </c>
      <c r="D195" s="32" t="inlineStr">
        <is>
          <t>Place ADSS Fiber 96 &amp; 144 count (composit rate)</t>
        </is>
      </c>
      <c r="E195" s="198" t="n">
        <v>2.25</v>
      </c>
      <c r="F195" s="216">
        <f>E195*B195</f>
        <v/>
      </c>
    </row>
    <row r="196" outlineLevel="1" ht="15" customHeight="1">
      <c r="A196" s="8" t="inlineStr">
        <is>
          <t>O.FBR.AERL</t>
        </is>
      </c>
      <c r="B196" s="1" t="n"/>
      <c r="C196" s="30" t="n">
        <v>129</v>
      </c>
      <c r="D196" s="32" t="inlineStr">
        <is>
          <t>Place ADSS Fiber 288 &amp; above (composit rate)</t>
        </is>
      </c>
      <c r="E196" s="198" t="n">
        <v>2.25</v>
      </c>
      <c r="F196" s="216">
        <f>E196*B196</f>
        <v/>
      </c>
    </row>
    <row r="197" outlineLevel="1" ht="15" customHeight="1">
      <c r="A197" s="8" t="inlineStr">
        <is>
          <t>O.FBR.AERL</t>
        </is>
      </c>
      <c r="B197" s="1" t="n"/>
      <c r="C197" s="30" t="n">
        <v>130</v>
      </c>
      <c r="D197" s="32" t="inlineStr">
        <is>
          <t>Wreck out fiber (junk)</t>
        </is>
      </c>
      <c r="E197" s="198" t="n">
        <v>0.55</v>
      </c>
      <c r="F197" s="216">
        <f>E197*B197</f>
        <v/>
      </c>
    </row>
    <row r="198" outlineLevel="1" ht="15" customHeight="1">
      <c r="A198" s="8" t="inlineStr">
        <is>
          <t>O.FBR.AERL</t>
        </is>
      </c>
      <c r="B198" s="1" t="n"/>
      <c r="C198" s="30" t="n">
        <v>131</v>
      </c>
      <c r="D198" s="32" t="inlineStr">
        <is>
          <t>Wreck out Fiber (salveage)</t>
        </is>
      </c>
      <c r="E198" s="198" t="n">
        <v>0.95</v>
      </c>
      <c r="F198" s="216">
        <f>E198*B198</f>
        <v/>
      </c>
    </row>
    <row r="199" outlineLevel="1" ht="15" customHeight="1">
      <c r="A199" s="8" t="inlineStr">
        <is>
          <t>O.FBR.AERL</t>
        </is>
      </c>
      <c r="B199" s="1" t="n"/>
      <c r="C199" s="30" t="n">
        <v>132</v>
      </c>
      <c r="D199" s="32" t="inlineStr">
        <is>
          <t>Delash / Relash fiber</t>
        </is>
      </c>
      <c r="E199" s="198" t="n">
        <v>1.9</v>
      </c>
      <c r="F199" s="216">
        <f>E199*B199</f>
        <v/>
      </c>
    </row>
    <row r="200" outlineLevel="1" ht="15" customHeight="1">
      <c r="A200" s="8" t="inlineStr">
        <is>
          <t>O.FBR.AERL</t>
        </is>
      </c>
      <c r="B200" s="1">
        <f>'LABOR SPAN SHEET'!J2</f>
        <v/>
      </c>
      <c r="C200" s="30" t="n">
        <v>140</v>
      </c>
      <c r="D200" s="520" t="inlineStr">
        <is>
          <t xml:space="preserve">NEW Aerial Composit (FTTP)          </t>
        </is>
      </c>
      <c r="E200" s="198" t="n">
        <v>2.5</v>
      </c>
      <c r="F200" s="216">
        <f>E200*B200</f>
        <v/>
      </c>
    </row>
    <row r="201" outlineLevel="1" ht="15" customHeight="1">
      <c r="A201" s="8" t="inlineStr">
        <is>
          <t>O.FBR.AERL</t>
        </is>
      </c>
      <c r="B201" s="1">
        <f>SUM('LABOR SPAN SHEET'!K2,'LABOR SPAN SHEET'!L2,'LABOR SPAN SHEET'!M2)</f>
        <v/>
      </c>
      <c r="C201" s="30" t="n">
        <v>141</v>
      </c>
      <c r="D201" s="520" t="inlineStr">
        <is>
          <t xml:space="preserve">OVER LASH on Existing strand/cable Composit (FTTP)    </t>
        </is>
      </c>
      <c r="E201" s="198" t="n">
        <v>1.75</v>
      </c>
      <c r="F201" s="216">
        <f>E201*B201</f>
        <v/>
      </c>
    </row>
    <row r="202" outlineLevel="1" ht="15" customHeight="1">
      <c r="A202" s="8" t="inlineStr">
        <is>
          <t>O.FBR.AERL</t>
        </is>
      </c>
      <c r="B202" s="1" t="n"/>
      <c r="C202" s="30" t="n">
        <v>142</v>
      </c>
      <c r="D202" s="521" t="inlineStr">
        <is>
          <t>Place Anchor (stand alone unit when not in conjucntuon with 140 or 141)</t>
        </is>
      </c>
      <c r="E202" s="198" t="n">
        <v>100</v>
      </c>
      <c r="F202" s="216">
        <f>E202*B202</f>
        <v/>
      </c>
    </row>
    <row r="203" outlineLevel="1" ht="15" customFormat="1" customHeight="1" s="228">
      <c r="A203" s="225" t="inlineStr">
        <is>
          <t>O.FBR.AERL</t>
        </is>
      </c>
      <c r="B203" s="239" t="n"/>
      <c r="C203" s="226" t="n">
        <v>143</v>
      </c>
      <c r="D203" s="938" t="inlineStr">
        <is>
          <t>Place, Remove or Transfer Down Guy                                                                                     (stand alone unit when not in conjuction with 140 or 141)</t>
        </is>
      </c>
      <c r="E203" s="198" t="n">
        <v>100</v>
      </c>
      <c r="F203" s="216">
        <f>E203*B203</f>
        <v/>
      </c>
      <c r="H203" s="541" t="n"/>
      <c r="I203" s="561" t="n"/>
    </row>
    <row r="204" outlineLevel="1" ht="15" customHeight="1">
      <c r="A204" s="8" t="inlineStr">
        <is>
          <t>O.FBR.AERL</t>
        </is>
      </c>
      <c r="B204" s="1" t="n"/>
      <c r="C204" s="30" t="n">
        <v>145</v>
      </c>
      <c r="D204" s="32" t="inlineStr">
        <is>
          <t>REMOVE STRAND OR RDW   (ALL SIZES)</t>
        </is>
      </c>
      <c r="E204" s="198" t="n">
        <v>0.25</v>
      </c>
      <c r="F204" s="216">
        <f>E204*B204</f>
        <v/>
      </c>
    </row>
    <row r="205" outlineLevel="1" ht="15" customHeight="1">
      <c r="A205" s="8" t="inlineStr">
        <is>
          <t>O.FBR.AERL</t>
        </is>
      </c>
      <c r="B205" s="1" t="n"/>
      <c r="C205" s="30" t="n">
        <v>146</v>
      </c>
      <c r="D205" s="521" t="inlineStr">
        <is>
          <t>Overlash single Multiport only</t>
        </is>
      </c>
      <c r="E205" s="198" t="n">
        <v>1.2</v>
      </c>
      <c r="F205" s="216">
        <f>E205*B205</f>
        <v/>
      </c>
    </row>
    <row r="206" outlineLevel="1" ht="15" customHeight="1">
      <c r="A206" s="8" t="inlineStr">
        <is>
          <t>O.FBR.AERL</t>
        </is>
      </c>
      <c r="B206" s="1" t="n"/>
      <c r="C206" s="30" t="n">
        <v>147</v>
      </c>
      <c r="D206" s="521" t="inlineStr">
        <is>
          <t>Overlash Additional Multiports (used with units 140 and 141)</t>
        </is>
      </c>
      <c r="E206" s="198" t="n">
        <v>1.2</v>
      </c>
      <c r="F206" s="216">
        <f>E206*B206</f>
        <v/>
      </c>
    </row>
    <row r="207" outlineLevel="1" ht="15" customHeight="1">
      <c r="A207" s="8" t="inlineStr">
        <is>
          <t>O.FBR.AERL</t>
        </is>
      </c>
      <c r="B207" s="1">
        <f>'LABOR SPAN SHEET'!O2</f>
        <v/>
      </c>
      <c r="C207" s="30" t="n">
        <v>148</v>
      </c>
      <c r="D207" s="521" t="inlineStr">
        <is>
          <t>PLACE RDF WIRE  or selfsupporting multiport</t>
        </is>
      </c>
      <c r="E207" s="198" t="n">
        <v>0.83</v>
      </c>
      <c r="F207" s="216">
        <f>E207*B207</f>
        <v/>
      </c>
    </row>
    <row r="208" outlineLevel="1" ht="15" customHeight="1">
      <c r="A208" s="8" t="inlineStr">
        <is>
          <t>O.FBR.AERL</t>
        </is>
      </c>
      <c r="B208" s="1" t="n"/>
      <c r="C208" s="30" t="n">
        <v>150</v>
      </c>
      <c r="D208" s="522" t="inlineStr">
        <is>
          <t>Place or Transfer Riser on Pole (unit 200 for hand-dig as required)</t>
        </is>
      </c>
      <c r="E208" s="198" t="n">
        <v>100</v>
      </c>
      <c r="F208" s="216">
        <f>E208*B208</f>
        <v/>
      </c>
    </row>
    <row r="209" outlineLevel="1" ht="15" customHeight="1">
      <c r="A209" s="8" t="inlineStr">
        <is>
          <t>O.FBR.AERL</t>
        </is>
      </c>
      <c r="B209" s="1" t="n"/>
      <c r="C209" s="30" t="n">
        <v>151</v>
      </c>
      <c r="D209" s="522" t="inlineStr">
        <is>
          <t>Mount CORNING  Multiport to Strand or in Pedestal, all sizes</t>
        </is>
      </c>
      <c r="E209" s="198" t="n">
        <v>16.5</v>
      </c>
      <c r="F209" s="216">
        <f>E209*B209</f>
        <v/>
      </c>
    </row>
    <row r="210" outlineLevel="1" ht="15" customHeight="1">
      <c r="A210" s="8" t="inlineStr">
        <is>
          <t>O.FBR.AERL</t>
        </is>
      </c>
      <c r="B210" s="1" t="n"/>
      <c r="C210" s="30" t="n">
        <v>152</v>
      </c>
      <c r="D210" s="33" t="inlineStr">
        <is>
          <t>Place LCP OR MDU BOX  Pole or Ground</t>
        </is>
      </c>
      <c r="E210" s="198" t="n">
        <v>202</v>
      </c>
      <c r="F210" s="216">
        <f>E210*B210</f>
        <v/>
      </c>
    </row>
    <row r="211" outlineLevel="1" ht="15" customHeight="1">
      <c r="A211" s="8" t="inlineStr">
        <is>
          <t>O.FBR.AERL</t>
        </is>
      </c>
      <c r="B211" s="1" t="n"/>
      <c r="C211" s="34" t="n">
        <v>155</v>
      </c>
      <c r="D211" s="35" t="inlineStr">
        <is>
          <t xml:space="preserve">Wreckout cables (junk) per strand </t>
        </is>
      </c>
      <c r="E211" s="198" t="n">
        <v>0.55</v>
      </c>
      <c r="F211" s="216">
        <f>E211*B211</f>
        <v/>
      </c>
    </row>
    <row r="212" outlineLevel="1" ht="15" customHeight="1">
      <c r="A212" s="8" t="inlineStr">
        <is>
          <t>O.FBR.AERL</t>
        </is>
      </c>
      <c r="B212" s="1" t="n"/>
      <c r="C212" s="34" t="n">
        <v>156</v>
      </c>
      <c r="D212" s="936" t="inlineStr">
        <is>
          <t>ROW Clearing  for cable placement (PATH) (Pre-Approved) (per linear ft)</t>
        </is>
      </c>
      <c r="E212" s="198" t="n">
        <v>2.25</v>
      </c>
      <c r="F212" s="216">
        <f>E212*B212</f>
        <v/>
      </c>
    </row>
    <row r="213" outlineLevel="1" ht="15" customHeight="1">
      <c r="A213" s="8" t="inlineStr">
        <is>
          <t>O.FBR.AERL</t>
        </is>
      </c>
      <c r="B213" s="1" t="n"/>
      <c r="C213" s="34" t="n"/>
      <c r="D213" s="35" t="inlineStr">
        <is>
          <t>MISC</t>
        </is>
      </c>
      <c r="E213" s="31" t="n"/>
      <c r="F213" s="216">
        <f>E213*B213</f>
        <v/>
      </c>
    </row>
    <row r="214" outlineLevel="1" ht="15" customHeight="1">
      <c r="A214" s="8" t="inlineStr">
        <is>
          <t>O.FBR.AERL</t>
        </is>
      </c>
      <c r="B214" s="1" t="n"/>
      <c r="C214" s="34" t="n"/>
      <c r="D214" s="35" t="inlineStr">
        <is>
          <t>MISC</t>
        </is>
      </c>
      <c r="E214" s="31" t="n"/>
      <c r="F214" s="216">
        <f>E214*B214</f>
        <v/>
      </c>
    </row>
    <row r="215" outlineLevel="1" ht="15" customHeight="1" thickBot="1">
      <c r="A215" s="217" t="n"/>
      <c r="B215" s="218" t="n"/>
      <c r="C215" s="219" t="n"/>
      <c r="D215" s="220" t="n"/>
      <c r="E215" s="221" t="n"/>
      <c r="F215" s="222" t="n"/>
    </row>
    <row r="216" outlineLevel="1" ht="15" customHeight="1" thickBot="1">
      <c r="A216" s="121" t="n"/>
      <c r="B216" s="122" t="n"/>
      <c r="C216" s="147" t="n"/>
      <c r="D216" s="229" t="inlineStr">
        <is>
          <t>TOTAL - PLACE AERIAL FIBER</t>
        </is>
      </c>
      <c r="E216" s="213" t="n"/>
      <c r="F216" s="62">
        <f>SUM(F188:F214)</f>
        <v/>
      </c>
    </row>
    <row r="217" ht="15" customHeight="1" thickBot="1">
      <c r="A217" s="577" t="inlineStr">
        <is>
          <t>&lt;----Click the + to Expand or Collapse the "AERIAL" Section</t>
        </is>
      </c>
      <c r="B217" s="578" t="n"/>
      <c r="C217" s="579" t="n"/>
      <c r="D217" s="579" t="n"/>
      <c r="E217" s="580" t="n"/>
      <c r="F217" s="581" t="n"/>
    </row>
    <row r="218" ht="15" customHeight="1" thickBot="1">
      <c r="A218" s="126" t="n"/>
      <c r="B218" s="98">
        <f>IF(SUM(F243)&gt;0,"-","")</f>
        <v/>
      </c>
      <c r="C218" s="100" t="n"/>
      <c r="D218" s="136" t="inlineStr">
        <is>
          <t>UNDERGROUND FIBER</t>
        </is>
      </c>
      <c r="E218" s="118" t="n"/>
      <c r="F218" s="102" t="n"/>
    </row>
    <row r="219" outlineLevel="1" ht="15" customHeight="1">
      <c r="A219" s="3" t="inlineStr">
        <is>
          <t>O.CBL.UNDG</t>
        </is>
      </c>
      <c r="B219" s="54" t="n"/>
      <c r="C219" s="22" t="n">
        <v>470</v>
      </c>
      <c r="D219" s="141" t="inlineStr">
        <is>
          <t>Remove Underground Cable - All Fiber (Junk)</t>
        </is>
      </c>
      <c r="E219" s="39" t="n">
        <v>0.58</v>
      </c>
      <c r="F219" s="64">
        <f>E219*B219</f>
        <v/>
      </c>
    </row>
    <row r="220" outlineLevel="1" ht="15" customHeight="1">
      <c r="A220" s="14" t="inlineStr">
        <is>
          <t>O.CBL.UNDG</t>
        </is>
      </c>
      <c r="B220" s="4" t="n"/>
      <c r="C220" s="24" t="n">
        <v>475</v>
      </c>
      <c r="D220" s="38" t="inlineStr">
        <is>
          <t>Remove Underground Cable - 12 to 600 (Junk)</t>
        </is>
      </c>
      <c r="E220" s="39" t="n">
        <v>0.82</v>
      </c>
      <c r="F220" s="59">
        <f>E220*B220</f>
        <v/>
      </c>
    </row>
    <row r="221" outlineLevel="1" ht="15" customHeight="1">
      <c r="A221" s="14" t="inlineStr">
        <is>
          <t>O.CBL.UNDG</t>
        </is>
      </c>
      <c r="B221" s="4" t="n"/>
      <c r="C221" s="24" t="n">
        <v>480</v>
      </c>
      <c r="D221" s="38" t="inlineStr">
        <is>
          <t>Remove Underground Cable - 900 to 1800 (Junk)</t>
        </is>
      </c>
      <c r="E221" s="39" t="n">
        <v>1.14</v>
      </c>
      <c r="F221" s="59">
        <f>E221*B221</f>
        <v/>
      </c>
    </row>
    <row r="222" outlineLevel="1" ht="15" customHeight="1">
      <c r="A222" s="14" t="inlineStr">
        <is>
          <t>O.CBL.UNDG</t>
        </is>
      </c>
      <c r="B222" s="4" t="n"/>
      <c r="C222" s="24" t="n">
        <v>481</v>
      </c>
      <c r="D222" s="38" t="inlineStr">
        <is>
          <t>Remove Underground Cable - 2100 to 3600 (Junk)</t>
        </is>
      </c>
      <c r="E222" s="39" t="n">
        <v>1.58</v>
      </c>
      <c r="F222" s="59">
        <f>E222*B222</f>
        <v/>
      </c>
    </row>
    <row r="223" outlineLevel="1" ht="15" customHeight="1">
      <c r="A223" s="14" t="inlineStr">
        <is>
          <t>O.CBL.UNDG</t>
        </is>
      </c>
      <c r="B223" s="4" t="n"/>
      <c r="C223" s="24" t="n">
        <v>490</v>
      </c>
      <c r="D223" s="38" t="inlineStr">
        <is>
          <t>Remove Underground Cable - 12 to 600 (Salvage)</t>
        </is>
      </c>
      <c r="E223" s="39" t="n">
        <v>1.38</v>
      </c>
      <c r="F223" s="59">
        <f>E223*B223</f>
        <v/>
      </c>
    </row>
    <row r="224" outlineLevel="1" ht="15" customHeight="1">
      <c r="A224" s="14" t="inlineStr">
        <is>
          <t>O.CBL.UNDG</t>
        </is>
      </c>
      <c r="B224" s="4" t="n"/>
      <c r="C224" s="24" t="n">
        <v>495</v>
      </c>
      <c r="D224" s="38" t="inlineStr">
        <is>
          <t>Remove Underground Cable - 900 to 1800 (Salvage)</t>
        </is>
      </c>
      <c r="E224" s="39" t="n">
        <v>1.55</v>
      </c>
      <c r="F224" s="59">
        <f>E224*B224</f>
        <v/>
      </c>
    </row>
    <row r="225" outlineLevel="1" ht="15" customHeight="1">
      <c r="A225" s="14" t="inlineStr">
        <is>
          <t>O.FBR.UNDG</t>
        </is>
      </c>
      <c r="B225" s="4" t="n"/>
      <c r="C225" s="24" t="n">
        <v>505</v>
      </c>
      <c r="D225" s="38" t="inlineStr">
        <is>
          <t>Place  1 Inner-Duct in Existing Conduit</t>
        </is>
      </c>
      <c r="E225" s="39" t="n">
        <v>1.2</v>
      </c>
      <c r="F225" s="59">
        <f>E225*B225</f>
        <v/>
      </c>
    </row>
    <row r="226" outlineLevel="1" ht="15" customHeight="1">
      <c r="A226" s="14" t="inlineStr">
        <is>
          <t>O.FBR.UNDG</t>
        </is>
      </c>
      <c r="B226" s="4" t="n"/>
      <c r="C226" s="24" t="n">
        <v>506</v>
      </c>
      <c r="D226" s="38" t="inlineStr">
        <is>
          <t>Place 2 Inner-Ducts in Existing Conduit</t>
        </is>
      </c>
      <c r="E226" s="39" t="n">
        <v>1.6</v>
      </c>
      <c r="F226" s="59">
        <f>E226*B226</f>
        <v/>
      </c>
    </row>
    <row r="227" outlineLevel="1" ht="15" customHeight="1">
      <c r="A227" s="14" t="inlineStr">
        <is>
          <t>O.FBR.UNDG</t>
        </is>
      </c>
      <c r="B227" s="4" t="n"/>
      <c r="C227" s="24" t="n">
        <v>507</v>
      </c>
      <c r="D227" s="38" t="inlineStr">
        <is>
          <t>Place Additional Inner-Ducts ( Same Operation ) ea.</t>
        </is>
      </c>
      <c r="E227" s="39" t="n">
        <v>0.8</v>
      </c>
      <c r="F227" s="59">
        <f>E227*B227</f>
        <v/>
      </c>
    </row>
    <row r="228" outlineLevel="1" ht="15" customHeight="1">
      <c r="A228" s="14" t="inlineStr">
        <is>
          <t>O.FBR.UNDG</t>
        </is>
      </c>
      <c r="B228" s="4" t="n"/>
      <c r="C228" s="24" t="n">
        <v>510</v>
      </c>
      <c r="D228" s="38" t="inlineStr">
        <is>
          <t>Pull Multiport or Drop in Conduit (Conduit length)</t>
        </is>
      </c>
      <c r="E228" s="39" t="n">
        <v>0.9</v>
      </c>
      <c r="F228" s="59">
        <f>E228*B228</f>
        <v/>
      </c>
    </row>
    <row r="229" outlineLevel="1" ht="15" customHeight="1">
      <c r="A229" s="14" t="inlineStr">
        <is>
          <t>O.FBR.UNDG</t>
        </is>
      </c>
      <c r="B229" s="4" t="n"/>
      <c r="C229" s="24" t="n">
        <v>515</v>
      </c>
      <c r="D229" s="38" t="inlineStr">
        <is>
          <t>Place Cable on Riser Pole</t>
        </is>
      </c>
      <c r="E229" s="39" t="n">
        <v>57</v>
      </c>
      <c r="F229" s="59">
        <f>E229*B229</f>
        <v/>
      </c>
    </row>
    <row r="230" outlineLevel="1" ht="15" customHeight="1">
      <c r="A230" s="14" t="inlineStr">
        <is>
          <t>O.FBR.UNDG</t>
        </is>
      </c>
      <c r="B230" s="4" t="n"/>
      <c r="C230" s="24" t="n">
        <v>520</v>
      </c>
      <c r="D230" s="38" t="inlineStr">
        <is>
          <t>Hand Dig and Place Cable in Existing Pedestal</t>
        </is>
      </c>
      <c r="E230" s="39" t="n">
        <v>5.51</v>
      </c>
      <c r="F230" s="59">
        <f>E230*B230</f>
        <v/>
      </c>
    </row>
    <row r="231" outlineLevel="1" ht="15" customHeight="1">
      <c r="A231" s="14" t="inlineStr">
        <is>
          <t>O.FBR.UNDG</t>
        </is>
      </c>
      <c r="B231" s="4" t="n"/>
      <c r="C231" s="24" t="n">
        <v>525</v>
      </c>
      <c r="D231" s="38" t="inlineStr">
        <is>
          <t>Place Pedestal (Any Size)</t>
        </is>
      </c>
      <c r="E231" s="39" t="n">
        <v>42</v>
      </c>
      <c r="F231" s="59">
        <f>E231*B231</f>
        <v/>
      </c>
    </row>
    <row r="232" outlineLevel="1" ht="15" customHeight="1">
      <c r="A232" s="14" t="inlineStr">
        <is>
          <t>O.FBR.UNDG</t>
        </is>
      </c>
      <c r="B232" s="4" t="n"/>
      <c r="C232" s="24" t="n">
        <v>526</v>
      </c>
      <c r="D232" s="38" t="inlineStr">
        <is>
          <t>Place Ground Rod</t>
        </is>
      </c>
      <c r="E232" s="39" t="n">
        <v>23</v>
      </c>
      <c r="F232" s="59">
        <f>E232*B232</f>
        <v/>
      </c>
    </row>
    <row r="233" outlineLevel="1" ht="15" customHeight="1">
      <c r="A233" s="14" t="inlineStr">
        <is>
          <t>O.CBL.UNDG</t>
        </is>
      </c>
      <c r="B233" s="4" t="n"/>
      <c r="C233" s="24" t="n">
        <v>630</v>
      </c>
      <c r="D233" s="38" t="inlineStr">
        <is>
          <t>Remove Pedestal (All Size)</t>
        </is>
      </c>
      <c r="E233" s="39" t="n">
        <v>25</v>
      </c>
      <c r="F233" s="59">
        <f>E233*B233</f>
        <v/>
      </c>
    </row>
    <row r="234" outlineLevel="1" ht="15" customHeight="1">
      <c r="A234" s="14" t="inlineStr">
        <is>
          <t>O.FBR.BURD</t>
        </is>
      </c>
      <c r="B234" s="4" t="n"/>
      <c r="C234" s="24" t="n">
        <v>610</v>
      </c>
      <c r="D234" s="25" t="inlineStr">
        <is>
          <t>Rod &amp; Clean Conduit (Truck)</t>
        </is>
      </c>
      <c r="E234" s="39" t="n">
        <v>1.9</v>
      </c>
      <c r="F234" s="59">
        <f>E234*B234</f>
        <v/>
      </c>
    </row>
    <row r="235" outlineLevel="1" ht="15" customFormat="1" customHeight="1" s="157">
      <c r="A235" s="14" t="inlineStr">
        <is>
          <t>O.FBR.BURD</t>
        </is>
      </c>
      <c r="B235" s="4" t="n"/>
      <c r="C235" s="24" t="n">
        <v>611</v>
      </c>
      <c r="D235" s="25" t="inlineStr">
        <is>
          <t>Rod &amp; Clean Conduit (Manual)</t>
        </is>
      </c>
      <c r="E235" s="39" t="n">
        <v>1.2</v>
      </c>
      <c r="F235" s="59">
        <f>E235*B235</f>
        <v/>
      </c>
      <c r="H235" s="542" t="n"/>
      <c r="I235" s="562" t="n"/>
      <c r="J235" s="48" t="n"/>
      <c r="K235" s="48" t="n"/>
      <c r="L235" s="158" t="n"/>
      <c r="M235" s="48" t="n"/>
      <c r="N235" s="48" t="n"/>
      <c r="O235" s="48" t="n"/>
      <c r="P235" s="48" t="n"/>
      <c r="Q235" s="48" t="n"/>
      <c r="R235" s="48" t="n"/>
      <c r="S235" s="48" t="n"/>
      <c r="T235" s="48" t="n"/>
      <c r="U235" s="48" t="n"/>
      <c r="V235" s="48" t="n"/>
      <c r="W235" s="48" t="n"/>
      <c r="X235" s="48" t="n"/>
      <c r="Y235" s="47" t="n"/>
      <c r="Z235" s="48" t="n"/>
      <c r="AA235" s="48" t="n"/>
      <c r="AB235" s="48" t="n"/>
    </row>
    <row r="236" outlineLevel="1" ht="15" customHeight="1">
      <c r="A236" s="14" t="inlineStr">
        <is>
          <t>O.FBR.BURD</t>
        </is>
      </c>
      <c r="B236" s="4" t="n"/>
      <c r="C236" s="28" t="n">
        <v>210</v>
      </c>
      <c r="D236" s="27" t="inlineStr">
        <is>
          <t>PULL FIBER IN EXISTING CONDUIT</t>
        </is>
      </c>
      <c r="E236" s="39" t="n">
        <v>24</v>
      </c>
      <c r="F236" s="59">
        <f>E236*B236</f>
        <v/>
      </c>
    </row>
    <row r="237" outlineLevel="1" ht="15" customHeight="1">
      <c r="A237" s="14" t="inlineStr">
        <is>
          <t>O.FBR.BURD</t>
        </is>
      </c>
      <c r="B237" s="107" t="n"/>
      <c r="C237" s="28" t="n">
        <v>220</v>
      </c>
      <c r="D237" s="27" t="inlineStr">
        <is>
          <t>PULL ADDITIONAL FIBER IN EXISTING CONDUIT</t>
        </is>
      </c>
      <c r="E237" s="39" t="n">
        <v>182</v>
      </c>
      <c r="F237" s="59">
        <f>E237*B237</f>
        <v/>
      </c>
    </row>
    <row r="238" outlineLevel="1" ht="15" customHeight="1">
      <c r="A238" s="14" t="inlineStr">
        <is>
          <t>O.FBR.BURD</t>
        </is>
      </c>
      <c r="B238" s="4" t="n"/>
      <c r="C238" s="24" t="n">
        <v>615</v>
      </c>
      <c r="D238" s="25" t="inlineStr">
        <is>
          <t>Remove Cable From Conduit</t>
        </is>
      </c>
      <c r="E238" s="39" t="n">
        <v>0.9</v>
      </c>
      <c r="F238" s="59">
        <f>E238*B238</f>
        <v/>
      </c>
    </row>
    <row r="239" outlineLevel="1" ht="15" customHeight="1">
      <c r="A239" s="14" t="inlineStr">
        <is>
          <t>O.FBR.BURD</t>
        </is>
      </c>
      <c r="B239" s="4" t="n"/>
      <c r="C239" s="24" t="n">
        <v>635</v>
      </c>
      <c r="D239" s="25" t="inlineStr">
        <is>
          <t>Place Ground Wire</t>
        </is>
      </c>
      <c r="E239" s="39" t="n">
        <v>1.8</v>
      </c>
      <c r="F239" s="59">
        <f>E239*B239</f>
        <v/>
      </c>
    </row>
    <row r="240" outlineLevel="1" ht="15" customHeight="1">
      <c r="A240" s="65" t="inlineStr">
        <is>
          <t>O.FBR.BURD</t>
        </is>
      </c>
      <c r="B240" s="107" t="n"/>
      <c r="C240" s="138" t="n">
        <v>636</v>
      </c>
      <c r="D240" s="139" t="inlineStr">
        <is>
          <t>Place Tracer Wire</t>
        </is>
      </c>
      <c r="E240" s="39" t="n">
        <v>0.45</v>
      </c>
      <c r="F240" s="59">
        <f>E240*B240</f>
        <v/>
      </c>
    </row>
    <row r="241" outlineLevel="1" ht="15" customHeight="1">
      <c r="A241" s="14" t="inlineStr">
        <is>
          <t>O.FBR.BURD</t>
        </is>
      </c>
      <c r="B241" s="4" t="n"/>
      <c r="C241" s="5" t="n">
        <v>804</v>
      </c>
      <c r="D241" s="70" t="inlineStr">
        <is>
          <t>Pull Fiber in Conduit</t>
        </is>
      </c>
      <c r="E241" s="39" t="n">
        <v>1.2</v>
      </c>
      <c r="F241" s="59">
        <f>E241*B241</f>
        <v/>
      </c>
    </row>
    <row r="242" outlineLevel="1" ht="15" customHeight="1" thickBot="1">
      <c r="A242" s="14" t="inlineStr">
        <is>
          <t>O.FBR.BURD</t>
        </is>
      </c>
      <c r="B242" s="4" t="n"/>
      <c r="C242" s="5" t="inlineStr">
        <is>
          <t>804A</t>
        </is>
      </c>
      <c r="D242" s="70" t="inlineStr">
        <is>
          <t>Pull Additional Fibers in Conduit ea.</t>
        </is>
      </c>
      <c r="E242" s="39" t="n">
        <v>0.45</v>
      </c>
      <c r="F242" s="59">
        <f>E242*B242</f>
        <v/>
      </c>
    </row>
    <row r="243" outlineLevel="1" ht="15" customHeight="1" thickBot="1">
      <c r="A243" s="1075" t="n"/>
      <c r="B243" s="97" t="n"/>
      <c r="C243" s="1076" t="n"/>
      <c r="D243" s="1077" t="inlineStr">
        <is>
          <t>TOTAL - PLACE UNDERGROUND FIBER</t>
        </is>
      </c>
      <c r="E243" s="125" t="n"/>
      <c r="F243" s="58">
        <f>SUM(F219:F242)</f>
        <v/>
      </c>
    </row>
    <row r="244" ht="15" customHeight="1" thickBot="1">
      <c r="A244" s="94" t="inlineStr">
        <is>
          <t>&lt;----Click the + to Expand or Collapse the "UNDERGROUND FIBER" Section</t>
        </is>
      </c>
      <c r="B244" s="97" t="n"/>
      <c r="C244" s="1076" t="n"/>
      <c r="D244" s="1076" t="n"/>
      <c r="E244" s="1091" t="n"/>
      <c r="F244" s="83" t="n"/>
    </row>
    <row r="245" ht="15" customHeight="1" thickBot="1">
      <c r="A245" s="123" t="n"/>
      <c r="B245" s="142">
        <f>IF(SUM(F262)&gt;0,"-","")</f>
        <v/>
      </c>
      <c r="C245" s="124" t="n"/>
      <c r="D245" s="140" t="inlineStr">
        <is>
          <t>UNDERGROUND FIBER</t>
        </is>
      </c>
      <c r="E245" s="128" t="n"/>
      <c r="F245" s="129" t="n"/>
    </row>
    <row r="246" outlineLevel="1" ht="15" customHeight="1">
      <c r="A246" s="259" t="inlineStr">
        <is>
          <t>O.FBR.BURD</t>
        </is>
      </c>
      <c r="B246" s="261">
        <f>'LABOR SPAN SHEET'!AB2</f>
        <v/>
      </c>
      <c r="C246" s="272" t="n">
        <v>210</v>
      </c>
      <c r="D246" s="523" t="inlineStr">
        <is>
          <t>PULL FIBER IN CONDUIT (ADDITIONAL FIBER, NOT INCLUDED IN UNIT 200)</t>
        </is>
      </c>
      <c r="E246" s="274" t="n">
        <v>1.3</v>
      </c>
      <c r="F246" s="264">
        <f>E246*B246</f>
        <v/>
      </c>
    </row>
    <row r="247" outlineLevel="1" ht="15" customHeight="1">
      <c r="A247" s="259" t="inlineStr">
        <is>
          <t>O.FBR.BURD</t>
        </is>
      </c>
      <c r="B247" s="261">
        <f>'LABOR SPAN SHEET'!AA2</f>
        <v/>
      </c>
      <c r="C247" s="272" t="n">
        <v>220</v>
      </c>
      <c r="D247" s="523" t="inlineStr">
        <is>
          <t>PULL ADDITIONAL FIBER IN EXISTING CONDUIT</t>
        </is>
      </c>
      <c r="E247" s="274" t="n">
        <v>1.3</v>
      </c>
      <c r="F247" s="264">
        <f>E247*B247</f>
        <v/>
      </c>
    </row>
    <row r="248" outlineLevel="1" ht="15" customHeight="1">
      <c r="A248" s="259" t="inlineStr">
        <is>
          <t>O.FBR.BURD</t>
        </is>
      </c>
      <c r="B248" s="260" t="n"/>
      <c r="C248" s="272" t="n">
        <v>1</v>
      </c>
      <c r="D248" s="273" t="inlineStr">
        <is>
          <t>Place Hand Hole when not in conjuction with unit 200 (Urban)</t>
        </is>
      </c>
      <c r="E248" s="274" t="n">
        <v>550</v>
      </c>
      <c r="F248" s="264">
        <f>E248*B248</f>
        <v/>
      </c>
    </row>
    <row r="249" outlineLevel="1" ht="15" customHeight="1">
      <c r="A249" s="259" t="inlineStr">
        <is>
          <t>O.FBR.BURD</t>
        </is>
      </c>
      <c r="B249" s="260" t="n"/>
      <c r="C249" s="272" t="n">
        <v>2</v>
      </c>
      <c r="D249" s="273" t="inlineStr">
        <is>
          <t>Place Hand Hole when not in conjuction with unit 200 (Rural)</t>
        </is>
      </c>
      <c r="E249" s="274" t="n">
        <v>550</v>
      </c>
      <c r="F249" s="264">
        <f>E249*B249</f>
        <v/>
      </c>
    </row>
    <row r="250" outlineLevel="1" ht="15" customHeight="1">
      <c r="A250" s="259" t="inlineStr">
        <is>
          <t>O.FBR.BURD</t>
        </is>
      </c>
      <c r="B250" s="260" t="n"/>
      <c r="C250" s="272" t="n">
        <v>3</v>
      </c>
      <c r="D250" s="273" t="inlineStr">
        <is>
          <t>Place 1 Inner-Duct in Existing Conduit</t>
        </is>
      </c>
      <c r="E250" s="274" t="n">
        <v>1.09</v>
      </c>
      <c r="F250" s="264">
        <f>E250*B250</f>
        <v/>
      </c>
    </row>
    <row r="251" outlineLevel="1" ht="15" customHeight="1">
      <c r="A251" s="259" t="inlineStr">
        <is>
          <t>O.FBR.BURD</t>
        </is>
      </c>
      <c r="B251" s="260" t="n"/>
      <c r="C251" s="272" t="n">
        <v>4</v>
      </c>
      <c r="D251" s="273" t="inlineStr">
        <is>
          <t>PLACE 2 INNER-DUCTS IN EXISTING CONDUIT</t>
        </is>
      </c>
      <c r="E251" s="274" t="n">
        <v>1.66</v>
      </c>
      <c r="F251" s="264">
        <f>E251*B251</f>
        <v/>
      </c>
    </row>
    <row r="252" outlineLevel="1" ht="15" customHeight="1">
      <c r="A252" s="259" t="inlineStr">
        <is>
          <t>O.FBR.BURD</t>
        </is>
      </c>
      <c r="B252" s="260" t="n"/>
      <c r="C252" s="272" t="n">
        <v>5</v>
      </c>
      <c r="D252" s="273" t="inlineStr">
        <is>
          <t>PLACE ADDITIONAL INNER-DUCTS ( SAME OPEARATION ) up to 2 ducts.</t>
        </is>
      </c>
      <c r="E252" s="274" t="n">
        <v>2.32</v>
      </c>
      <c r="F252" s="264">
        <f>E252*B252</f>
        <v/>
      </c>
    </row>
    <row r="253" outlineLevel="1" ht="15" customHeight="1">
      <c r="A253" s="259" t="inlineStr">
        <is>
          <t>O.FBR.BURD</t>
        </is>
      </c>
      <c r="B253" s="260" t="n"/>
      <c r="C253" s="272" t="n">
        <v>6</v>
      </c>
      <c r="D253" s="273" t="inlineStr">
        <is>
          <t>Concrete Encase conduit  (Per ft)</t>
        </is>
      </c>
      <c r="E253" s="274" t="n">
        <v>16</v>
      </c>
      <c r="F253" s="264">
        <f>E253*B253</f>
        <v/>
      </c>
    </row>
    <row r="254" outlineLevel="1" ht="15" customHeight="1">
      <c r="A254" s="259" t="inlineStr">
        <is>
          <t>O.FBR.BURD</t>
        </is>
      </c>
      <c r="B254" s="260" t="n"/>
      <c r="C254" s="272" t="n">
        <v>7</v>
      </c>
      <c r="D254" s="273" t="inlineStr">
        <is>
          <t>ROD &amp; CLEAN CONDUIT (TRUCK)</t>
        </is>
      </c>
      <c r="E254" s="274" t="n">
        <v>2.25</v>
      </c>
      <c r="F254" s="264">
        <f>E254*B254</f>
        <v/>
      </c>
    </row>
    <row r="255" outlineLevel="1" ht="15" customHeight="1">
      <c r="A255" s="259" t="inlineStr">
        <is>
          <t>O.FBR.BURD</t>
        </is>
      </c>
      <c r="B255" s="260" t="n"/>
      <c r="C255" s="272" t="n">
        <v>8</v>
      </c>
      <c r="D255" s="273" t="inlineStr">
        <is>
          <t>ROD &amp; CLEAN CONDUIT (MANUAL)</t>
        </is>
      </c>
      <c r="E255" s="274" t="n">
        <v>0.95</v>
      </c>
      <c r="F255" s="264">
        <f>E255*B255</f>
        <v/>
      </c>
    </row>
    <row r="256" outlineLevel="1" ht="15" customHeight="1">
      <c r="A256" s="259" t="inlineStr">
        <is>
          <t>O.FBR.BURD</t>
        </is>
      </c>
      <c r="B256" s="260" t="n"/>
      <c r="C256" s="272" t="n">
        <v>9</v>
      </c>
      <c r="D256" s="273" t="inlineStr">
        <is>
          <t>REMOVE UNDERGROUND CABLE from Conduit</t>
        </is>
      </c>
      <c r="E256" s="274" t="n">
        <v>0.95</v>
      </c>
      <c r="F256" s="264">
        <f>E256*B256</f>
        <v/>
      </c>
    </row>
    <row r="257" outlineLevel="1" ht="15" customHeight="1">
      <c r="A257" s="259" t="inlineStr">
        <is>
          <t>O.FBR.BURD</t>
        </is>
      </c>
      <c r="B257" s="260" t="n"/>
      <c r="C257" s="272" t="n">
        <v>11</v>
      </c>
      <c r="D257" s="523" t="inlineStr">
        <is>
          <t>Building Entrance</t>
        </is>
      </c>
      <c r="E257" s="274" t="n">
        <v>425</v>
      </c>
      <c r="F257" s="264">
        <f>E257*B257</f>
        <v/>
      </c>
    </row>
    <row r="258" outlineLevel="1" ht="15" customHeight="1">
      <c r="A258" s="267" t="inlineStr">
        <is>
          <t>O.FBR.BURD</t>
        </is>
      </c>
      <c r="B258" s="265" t="n"/>
      <c r="C258" s="275" t="n">
        <v>153</v>
      </c>
      <c r="D258" s="524" t="inlineStr">
        <is>
          <t>PLACE ADDITIONAL MULTIPORTS IN DUCT (AFTER FIRST CABLE)</t>
        </is>
      </c>
      <c r="E258" s="274" t="n">
        <v>0.29</v>
      </c>
      <c r="F258" s="268">
        <f>E258*B258</f>
        <v/>
      </c>
    </row>
    <row r="259" outlineLevel="1" ht="15" customHeight="1">
      <c r="A259" s="259" t="n"/>
      <c r="B259" s="260" t="n"/>
      <c r="C259" s="272" t="n"/>
      <c r="D259" s="276" t="inlineStr">
        <is>
          <t>MISC</t>
        </is>
      </c>
      <c r="E259" s="277" t="n"/>
      <c r="F259" s="278" t="n"/>
    </row>
    <row r="260" outlineLevel="1" ht="15" customHeight="1">
      <c r="A260" s="259" t="n"/>
      <c r="B260" s="260" t="n"/>
      <c r="C260" s="261" t="n"/>
      <c r="D260" s="276" t="inlineStr">
        <is>
          <t>MISC</t>
        </is>
      </c>
      <c r="E260" s="263" t="n"/>
      <c r="F260" s="278" t="n"/>
    </row>
    <row r="261" outlineLevel="1" ht="15" customHeight="1" thickBot="1">
      <c r="A261" s="259" t="n"/>
      <c r="B261" s="260" t="n"/>
      <c r="C261" s="272" t="n"/>
      <c r="D261" s="276" t="inlineStr">
        <is>
          <t>MISC</t>
        </is>
      </c>
      <c r="E261" s="279" t="n"/>
      <c r="F261" s="278" t="n"/>
    </row>
    <row r="262" outlineLevel="1" ht="15" customHeight="1" thickBot="1">
      <c r="A262" s="90" t="n"/>
      <c r="B262" s="185" t="n"/>
      <c r="C262" s="91" t="n"/>
      <c r="D262" s="269" t="inlineStr">
        <is>
          <t>TOTAL - PLACE UNDERGROUND FIBER</t>
        </is>
      </c>
      <c r="E262" s="280" t="n"/>
      <c r="F262" s="131">
        <f>SUM(F246:F261)</f>
        <v/>
      </c>
    </row>
    <row r="263" ht="15" customHeight="1" thickBot="1">
      <c r="A263" s="573" t="inlineStr">
        <is>
          <t>&lt;----Click the + to Expand or Collapse the "UNDERGROUND FIBER" Section</t>
        </is>
      </c>
      <c r="B263" s="578" t="n"/>
      <c r="C263" s="579" t="n"/>
      <c r="D263" s="579" t="n"/>
      <c r="E263" s="580" t="n"/>
      <c r="F263" s="581" t="n"/>
    </row>
    <row r="264" ht="15" customHeight="1" thickBot="1">
      <c r="A264" s="126" t="n"/>
      <c r="B264" s="98">
        <f>IF(SUM(F307)&gt;0,"-","")</f>
        <v/>
      </c>
      <c r="C264" s="100" t="n"/>
      <c r="D264" s="136" t="inlineStr">
        <is>
          <t>BURIED FIBER</t>
        </is>
      </c>
      <c r="E264" s="1091" t="n"/>
      <c r="F264" s="83" t="n"/>
    </row>
    <row r="265" outlineLevel="1" ht="15" customHeight="1">
      <c r="A265" s="14" t="inlineStr">
        <is>
          <t>O.FBR.UNDG</t>
        </is>
      </c>
      <c r="B265" s="4" t="n"/>
      <c r="C265" s="24" t="n">
        <v>525</v>
      </c>
      <c r="D265" s="38" t="inlineStr">
        <is>
          <t>Place Pedestal (Any Size)</t>
        </is>
      </c>
      <c r="E265" s="39" t="n">
        <v>42</v>
      </c>
      <c r="F265" s="59">
        <f>E265*B265</f>
        <v/>
      </c>
    </row>
    <row r="266" outlineLevel="1" ht="15" customHeight="1">
      <c r="A266" s="14" t="inlineStr">
        <is>
          <t>O.FBR.UNDG</t>
        </is>
      </c>
      <c r="B266" s="4" t="n"/>
      <c r="C266" s="24" t="n">
        <v>526</v>
      </c>
      <c r="D266" s="38" t="inlineStr">
        <is>
          <t>Place Ground Rod</t>
        </is>
      </c>
      <c r="E266" s="39" t="n">
        <v>23</v>
      </c>
      <c r="F266" s="59">
        <f>E266*B266</f>
        <v/>
      </c>
    </row>
    <row r="267" outlineLevel="1" ht="15" customHeight="1">
      <c r="A267" s="3" t="inlineStr">
        <is>
          <t>O.FBR.BURD</t>
        </is>
      </c>
      <c r="B267" s="54" t="n"/>
      <c r="C267" s="22" t="n">
        <v>527</v>
      </c>
      <c r="D267" s="141" t="inlineStr">
        <is>
          <t>Trench 12" to 18" Depth (1st cable or empty conduit included)</t>
        </is>
      </c>
      <c r="E267" s="39" t="n">
        <v>5.46</v>
      </c>
      <c r="F267" s="64">
        <f>E267*B267</f>
        <v/>
      </c>
    </row>
    <row r="268" outlineLevel="1" ht="15" customHeight="1">
      <c r="A268" s="14" t="inlineStr">
        <is>
          <t>O.FBR.BURD</t>
        </is>
      </c>
      <c r="B268" s="4" t="n"/>
      <c r="C268" s="24" t="n">
        <v>528</v>
      </c>
      <c r="D268" s="25" t="inlineStr">
        <is>
          <t>Trench 18" to 24" Depth (1st cable or empty conduit included)</t>
        </is>
      </c>
      <c r="E268" s="39" t="n">
        <v>6.06</v>
      </c>
      <c r="F268" s="59">
        <f>E268*B268</f>
        <v/>
      </c>
    </row>
    <row r="269" outlineLevel="1" ht="15" customHeight="1">
      <c r="A269" s="14" t="inlineStr">
        <is>
          <t>O.FBR.BURD</t>
        </is>
      </c>
      <c r="B269" s="4" t="n"/>
      <c r="C269" s="24" t="n">
        <v>530</v>
      </c>
      <c r="D269" s="25" t="inlineStr">
        <is>
          <t>Trench 24" to 36"  Depth (1st cable or empty conduit included)</t>
        </is>
      </c>
      <c r="E269" s="39" t="n">
        <v>6.26</v>
      </c>
      <c r="F269" s="59">
        <f>E269*B269</f>
        <v/>
      </c>
    </row>
    <row r="270" outlineLevel="1" ht="15" customHeight="1">
      <c r="A270" s="14" t="inlineStr">
        <is>
          <t>O.FBR.BURD</t>
        </is>
      </c>
      <c r="B270" s="4" t="n"/>
      <c r="C270" s="24" t="n">
        <v>534</v>
      </c>
      <c r="D270" s="25" t="inlineStr">
        <is>
          <t>Backhoe 24" to 36" Depth (1st cable or empty conduit included)</t>
        </is>
      </c>
      <c r="E270" s="39" t="n">
        <v>6.46</v>
      </c>
      <c r="F270" s="59">
        <f>E270*B270</f>
        <v/>
      </c>
    </row>
    <row r="271" outlineLevel="1" ht="15" customHeight="1">
      <c r="A271" s="14" t="inlineStr">
        <is>
          <t>O.FBR.BURD</t>
        </is>
      </c>
      <c r="B271" s="4" t="n"/>
      <c r="C271" s="24" t="n">
        <v>535</v>
      </c>
      <c r="D271" s="38" t="inlineStr">
        <is>
          <t>Backhoe 42" to 60" Depth (1st cable of empty conduit included)</t>
        </is>
      </c>
      <c r="E271" s="39" t="n">
        <v>6.7</v>
      </c>
      <c r="F271" s="59">
        <f>E271*B271</f>
        <v/>
      </c>
    </row>
    <row r="272" outlineLevel="1" ht="15" customHeight="1">
      <c r="A272" s="14" t="inlineStr">
        <is>
          <t>O.FBR.BURD</t>
        </is>
      </c>
      <c r="B272" s="4" t="n"/>
      <c r="C272" s="24" t="n">
        <v>540</v>
      </c>
      <c r="D272" s="38" t="inlineStr">
        <is>
          <t>Place Cond. in Trench (All Size PVC and 4" HDPE)</t>
        </is>
      </c>
      <c r="E272" s="39" t="n">
        <v>1</v>
      </c>
      <c r="F272" s="59">
        <f>E272*B272</f>
        <v/>
      </c>
    </row>
    <row r="273" outlineLevel="1" ht="15" customHeight="1">
      <c r="A273" s="14" t="inlineStr">
        <is>
          <t>O.FBR.BURD</t>
        </is>
      </c>
      <c r="B273" s="4" t="n"/>
      <c r="C273" s="24" t="n">
        <v>541</v>
      </c>
      <c r="D273" s="38" t="inlineStr">
        <is>
          <t>Place Cond. In Trench (HDPE 1" to 2")</t>
        </is>
      </c>
      <c r="E273" s="39" t="n">
        <v>1</v>
      </c>
      <c r="F273" s="59">
        <f>E273*B273</f>
        <v/>
      </c>
    </row>
    <row r="274" outlineLevel="1" ht="15" customHeight="1">
      <c r="A274" s="14" t="inlineStr">
        <is>
          <t>O.FBR.BURD</t>
        </is>
      </c>
      <c r="B274" s="4" t="n"/>
      <c r="C274" s="24" t="n">
        <v>545</v>
      </c>
      <c r="D274" s="38" t="inlineStr">
        <is>
          <t>Place Cond. in Trench (All Size Split)</t>
        </is>
      </c>
      <c r="E274" s="39" t="n">
        <v>1.1</v>
      </c>
      <c r="F274" s="59">
        <f>E274*B274</f>
        <v/>
      </c>
    </row>
    <row r="275" outlineLevel="1" ht="15" customHeight="1">
      <c r="A275" s="14" t="inlineStr">
        <is>
          <t>O.FBR.BURD</t>
        </is>
      </c>
      <c r="B275" s="4" t="n"/>
      <c r="C275" s="24" t="n">
        <v>550</v>
      </c>
      <c r="D275" s="38" t="inlineStr">
        <is>
          <t>Place Cond. in Trench ( All size GIP)</t>
        </is>
      </c>
      <c r="E275" s="39" t="n">
        <v>2.4</v>
      </c>
      <c r="F275" s="59">
        <f>E275*B275</f>
        <v/>
      </c>
    </row>
    <row r="276" outlineLevel="1" ht="15" customHeight="1">
      <c r="A276" s="14" t="inlineStr">
        <is>
          <t>O.FBR.BURD</t>
        </is>
      </c>
      <c r="B276" s="4" t="n"/>
      <c r="C276" s="24" t="n">
        <v>555</v>
      </c>
      <c r="D276" s="38" t="inlineStr">
        <is>
          <t>Concrete Encase Cond. (Exhibit I)</t>
        </is>
      </c>
      <c r="E276" s="39" t="n">
        <v>13.98</v>
      </c>
      <c r="F276" s="59">
        <f>E276*B276</f>
        <v/>
      </c>
    </row>
    <row r="277" outlineLevel="1" ht="15" customHeight="1">
      <c r="A277" s="14" t="inlineStr">
        <is>
          <t>O.FBR.BURD</t>
        </is>
      </c>
      <c r="B277" s="4" t="n"/>
      <c r="C277" s="24" t="n">
        <v>558</v>
      </c>
      <c r="D277" s="38" t="inlineStr">
        <is>
          <t>Plow Drop, Cable 12-18" Depth</t>
        </is>
      </c>
      <c r="E277" s="39" t="n">
        <v>2.25</v>
      </c>
      <c r="F277" s="59">
        <f>E277*B277</f>
        <v/>
      </c>
    </row>
    <row r="278" outlineLevel="1" ht="15" customHeight="1">
      <c r="A278" s="14" t="inlineStr">
        <is>
          <t>O.FBR.BURD</t>
        </is>
      </c>
      <c r="B278" s="4" t="n"/>
      <c r="C278" s="24" t="n">
        <v>562</v>
      </c>
      <c r="D278" s="38" t="inlineStr">
        <is>
          <t>Plow 3/4" Conduit 18" Depth</t>
        </is>
      </c>
      <c r="E278" s="39" t="n">
        <v>2.75</v>
      </c>
      <c r="F278" s="59">
        <f>E278*B278</f>
        <v/>
      </c>
    </row>
    <row r="279" outlineLevel="1" ht="15" customHeight="1">
      <c r="A279" s="14" t="inlineStr">
        <is>
          <t>O.FBR.BURD</t>
        </is>
      </c>
      <c r="B279" s="4" t="n"/>
      <c r="C279" s="24" t="n">
        <v>570</v>
      </c>
      <c r="D279" s="38" t="inlineStr">
        <is>
          <t>Cut &amp; Remove Asphalt     SQ FT</t>
        </is>
      </c>
      <c r="E279" s="39" t="inlineStr">
        <is>
          <t>Lab./Mat.</t>
        </is>
      </c>
      <c r="F279" s="59" t="n"/>
    </row>
    <row r="280" outlineLevel="1" ht="15" customHeight="1">
      <c r="A280" s="14" t="inlineStr">
        <is>
          <t>O.FBR.BURD</t>
        </is>
      </c>
      <c r="B280" s="4" t="n"/>
      <c r="C280" s="24" t="n">
        <v>575</v>
      </c>
      <c r="D280" s="38" t="inlineStr">
        <is>
          <t>Replace Asphalt         SQ FT</t>
        </is>
      </c>
      <c r="E280" s="39" t="inlineStr">
        <is>
          <t>Lab./Mat.</t>
        </is>
      </c>
      <c r="F280" s="59" t="n"/>
    </row>
    <row r="281" outlineLevel="1" ht="15" customHeight="1">
      <c r="A281" s="14" t="inlineStr">
        <is>
          <t>O.FBR.BURD</t>
        </is>
      </c>
      <c r="B281" s="4" t="n"/>
      <c r="C281" s="24" t="n">
        <v>590</v>
      </c>
      <c r="D281" s="38" t="inlineStr">
        <is>
          <t>Non- Directional Bore 4" (40' Maximum Distance) (includes conduit placement in bore)</t>
        </is>
      </c>
      <c r="E281" s="39" t="n">
        <v>17</v>
      </c>
      <c r="F281" s="59">
        <f>E281*B281</f>
        <v/>
      </c>
    </row>
    <row r="282" outlineLevel="1" ht="15" customHeight="1">
      <c r="A282" s="14" t="inlineStr">
        <is>
          <t>O.FBR.BURD</t>
        </is>
      </c>
      <c r="B282" s="4" t="n"/>
      <c r="C282" s="24" t="n">
        <v>595</v>
      </c>
      <c r="D282" s="38" t="inlineStr">
        <is>
          <t>Cut &amp; Remove Concrete          CU FT</t>
        </is>
      </c>
      <c r="E282" s="39" t="inlineStr">
        <is>
          <t>Lab./Mat.</t>
        </is>
      </c>
      <c r="F282" s="59" t="n"/>
    </row>
    <row r="283" outlineLevel="1" ht="15" customHeight="1">
      <c r="A283" s="14" t="inlineStr">
        <is>
          <t>O.FBR.BURD</t>
        </is>
      </c>
      <c r="B283" s="4" t="n"/>
      <c r="C283" s="24" t="n">
        <v>600</v>
      </c>
      <c r="D283" s="38" t="inlineStr">
        <is>
          <t>Replace Concrete Street (includes doweling, expansion joints and caulking if required)  SQ FT</t>
        </is>
      </c>
      <c r="E283" s="39" t="inlineStr">
        <is>
          <t>Lab./Mat.</t>
        </is>
      </c>
      <c r="F283" s="59" t="n"/>
    </row>
    <row r="284" outlineLevel="1" ht="15" customHeight="1">
      <c r="A284" s="14" t="inlineStr">
        <is>
          <t>O.FBR.BURD</t>
        </is>
      </c>
      <c r="B284" s="4" t="n"/>
      <c r="C284" s="24" t="n">
        <v>601</v>
      </c>
      <c r="D284" s="38" t="inlineStr">
        <is>
          <t>Replace Sidewalk                        BID</t>
        </is>
      </c>
      <c r="E284" s="39" t="inlineStr">
        <is>
          <t>LABOR /MAT.</t>
        </is>
      </c>
      <c r="F284" s="59" t="n"/>
    </row>
    <row r="285" outlineLevel="1" ht="15" customHeight="1">
      <c r="A285" s="14" t="inlineStr">
        <is>
          <t>O.FBR.BURD</t>
        </is>
      </c>
      <c r="B285" s="4" t="n"/>
      <c r="C285" s="24" t="n">
        <v>602</v>
      </c>
      <c r="D285" s="38" t="inlineStr">
        <is>
          <t>Replace Driveway Apron           BID</t>
        </is>
      </c>
      <c r="E285" s="39" t="inlineStr">
        <is>
          <t>LABOR/MAT.</t>
        </is>
      </c>
      <c r="F285" s="59" t="n"/>
    </row>
    <row r="286" outlineLevel="1" ht="15" customHeight="1">
      <c r="A286" s="14" t="inlineStr">
        <is>
          <t>O.FBR.BURD</t>
        </is>
      </c>
      <c r="B286" s="4" t="n"/>
      <c r="C286" s="24" t="n">
        <v>605</v>
      </c>
      <c r="D286" s="38" t="inlineStr">
        <is>
          <t xml:space="preserve">Place Hand Hole (30" X 48" X 24")  ( gravel included) </t>
        </is>
      </c>
      <c r="E286" s="39" t="n">
        <v>280</v>
      </c>
      <c r="F286" s="59">
        <f>E286*B286</f>
        <v/>
      </c>
    </row>
    <row r="287" outlineLevel="1" ht="15" customHeight="1">
      <c r="A287" s="14" t="inlineStr">
        <is>
          <t>O.FBR.BURD</t>
        </is>
      </c>
      <c r="B287" s="4" t="n"/>
      <c r="C287" s="24" t="n">
        <v>606</v>
      </c>
      <c r="D287" s="38" t="inlineStr">
        <is>
          <t xml:space="preserve">Place Hand Hole (17" X 30") (gravel included) </t>
        </is>
      </c>
      <c r="E287" s="39" t="n">
        <v>260</v>
      </c>
      <c r="F287" s="59">
        <f>E287*B287</f>
        <v/>
      </c>
    </row>
    <row r="288" outlineLevel="1" ht="15" customHeight="1">
      <c r="A288" s="14" t="inlineStr">
        <is>
          <t>O.FBR.BURD</t>
        </is>
      </c>
      <c r="B288" s="4" t="n"/>
      <c r="C288" s="24" t="n">
        <v>607</v>
      </c>
      <c r="D288" s="25" t="inlineStr">
        <is>
          <t>Place Hand Hole "Flower Pot"  (12" X 17")  (gravel included)</t>
        </is>
      </c>
      <c r="E288" s="39" t="n">
        <v>60</v>
      </c>
      <c r="F288" s="59">
        <f>E288*B288</f>
        <v/>
      </c>
    </row>
    <row r="289" outlineLevel="1" ht="15" customHeight="1">
      <c r="A289" s="14" t="inlineStr">
        <is>
          <t>O.FBR.BURD</t>
        </is>
      </c>
      <c r="B289" s="4" t="n"/>
      <c r="C289" s="24" t="n">
        <v>608</v>
      </c>
      <c r="D289" s="25" t="inlineStr">
        <is>
          <t>Place Wall Mount Terminal / MP Box</t>
        </is>
      </c>
      <c r="E289" s="39" t="n">
        <v>60</v>
      </c>
      <c r="F289" s="59">
        <f>E289*B289</f>
        <v/>
      </c>
    </row>
    <row r="290" outlineLevel="1" ht="15" customHeight="1">
      <c r="A290" s="14" t="inlineStr">
        <is>
          <t>O.FBR.BURD</t>
        </is>
      </c>
      <c r="B290" s="4" t="n"/>
      <c r="C290" s="24" t="n">
        <v>610</v>
      </c>
      <c r="D290" s="25" t="inlineStr">
        <is>
          <t>Rod &amp; Clean Conduit (Truck)</t>
        </is>
      </c>
      <c r="E290" s="39" t="n">
        <v>1.9</v>
      </c>
      <c r="F290" s="59">
        <f>E290*B290</f>
        <v/>
      </c>
    </row>
    <row r="291" outlineLevel="1" ht="15" customHeight="1">
      <c r="A291" s="14" t="inlineStr">
        <is>
          <t>O.FBR.BURD</t>
        </is>
      </c>
      <c r="B291" s="4" t="n"/>
      <c r="C291" s="24" t="n">
        <v>611</v>
      </c>
      <c r="D291" s="25" t="inlineStr">
        <is>
          <t>Rod &amp; Clean Conduit (Manual)</t>
        </is>
      </c>
      <c r="E291" s="39" t="n">
        <v>1.2</v>
      </c>
      <c r="F291" s="59">
        <f>E291*B291</f>
        <v/>
      </c>
    </row>
    <row r="292" outlineLevel="1" ht="15" customHeight="1">
      <c r="A292" s="14" t="inlineStr">
        <is>
          <t>O.FBR.BURD</t>
        </is>
      </c>
      <c r="B292" s="4" t="n"/>
      <c r="C292" s="24" t="n">
        <v>615</v>
      </c>
      <c r="D292" s="25" t="inlineStr">
        <is>
          <t>Remove Cable From Conduit</t>
        </is>
      </c>
      <c r="E292" s="39" t="n">
        <v>0.9</v>
      </c>
      <c r="F292" s="59">
        <f>E292*B292</f>
        <v/>
      </c>
    </row>
    <row r="293" outlineLevel="1" ht="15" customHeight="1">
      <c r="A293" s="14" t="inlineStr">
        <is>
          <t>O.FBR.BURD</t>
        </is>
      </c>
      <c r="B293" s="4" t="n"/>
      <c r="C293" s="24" t="n">
        <v>635</v>
      </c>
      <c r="D293" s="25" t="inlineStr">
        <is>
          <t>Place Ground Wire</t>
        </is>
      </c>
      <c r="E293" s="39" t="n">
        <v>1.8</v>
      </c>
      <c r="F293" s="59">
        <f>E293*B293</f>
        <v/>
      </c>
    </row>
    <row r="294" outlineLevel="1" ht="15" customHeight="1">
      <c r="A294" s="14" t="inlineStr">
        <is>
          <t>O.FBR.BURD</t>
        </is>
      </c>
      <c r="B294" s="4" t="n"/>
      <c r="C294" s="24" t="n">
        <v>636</v>
      </c>
      <c r="D294" s="25" t="inlineStr">
        <is>
          <t>Place Tracer Wire</t>
        </is>
      </c>
      <c r="E294" s="39" t="n">
        <v>0.45</v>
      </c>
      <c r="F294" s="59">
        <f>E294*B294</f>
        <v/>
      </c>
    </row>
    <row r="295" outlineLevel="1" ht="15" customHeight="1">
      <c r="A295" s="14" t="inlineStr">
        <is>
          <t>O.FBR.BURD</t>
        </is>
      </c>
      <c r="B295" s="4" t="n"/>
      <c r="C295" s="24" t="n">
        <v>645</v>
      </c>
      <c r="D295" s="25" t="inlineStr">
        <is>
          <t>*Rock Removal*                       CU FT</t>
        </is>
      </c>
      <c r="E295" s="39" t="n">
        <v>15</v>
      </c>
      <c r="F295" s="59">
        <f>E295*B295</f>
        <v/>
      </c>
    </row>
    <row r="296" outlineLevel="1" ht="15" customHeight="1">
      <c r="A296" s="14" t="inlineStr">
        <is>
          <t>O.FBR.BURD</t>
        </is>
      </c>
      <c r="B296" s="4" t="n"/>
      <c r="C296" s="24" t="n">
        <v>660</v>
      </c>
      <c r="D296" s="25" t="inlineStr">
        <is>
          <t>Place 21A Stone                  TON</t>
        </is>
      </c>
      <c r="E296" s="39" t="n">
        <v>45</v>
      </c>
      <c r="F296" s="59">
        <f>E296*B296</f>
        <v/>
      </c>
    </row>
    <row r="297" outlineLevel="1" ht="15" customHeight="1">
      <c r="A297" s="14" t="inlineStr">
        <is>
          <t>O.FBR.BURD</t>
        </is>
      </c>
      <c r="B297" s="4" t="n"/>
      <c r="C297" s="24" t="n">
        <v>665</v>
      </c>
      <c r="D297" s="25" t="inlineStr">
        <is>
          <t xml:space="preserve">Place Splice Box </t>
        </is>
      </c>
      <c r="E297" s="39" t="n">
        <v>125</v>
      </c>
      <c r="F297" s="59">
        <f>E297*B297</f>
        <v/>
      </c>
    </row>
    <row r="298" outlineLevel="1" ht="15" customHeight="1">
      <c r="A298" s="14" t="inlineStr">
        <is>
          <t>O.FBR.BURD</t>
        </is>
      </c>
      <c r="B298" s="4" t="n"/>
      <c r="C298" s="24" t="n">
        <v>675</v>
      </c>
      <c r="D298" s="25" t="inlineStr">
        <is>
          <t>Place Manhole (Pre-Cast Concrete)</t>
        </is>
      </c>
      <c r="E298" s="39" t="n">
        <v>1900</v>
      </c>
      <c r="F298" s="59">
        <f>E298*B298</f>
        <v/>
      </c>
    </row>
    <row r="299" outlineLevel="1" ht="15" customHeight="1">
      <c r="A299" s="14" t="inlineStr">
        <is>
          <t>O.FBR.BURD</t>
        </is>
      </c>
      <c r="B299" s="4" t="n"/>
      <c r="C299" s="28" t="n">
        <v>676</v>
      </c>
      <c r="D299" s="27" t="inlineStr">
        <is>
          <t>Build Manhole (Pour in Place)             BID</t>
        </is>
      </c>
      <c r="E299" s="39" t="inlineStr">
        <is>
          <t>BID</t>
        </is>
      </c>
      <c r="F299" s="59" t="n"/>
    </row>
    <row r="300" outlineLevel="1" ht="15" customHeight="1">
      <c r="A300" s="14" t="inlineStr">
        <is>
          <t>O.FBR.BURD</t>
        </is>
      </c>
      <c r="B300" s="107" t="n"/>
      <c r="C300" s="28" t="n">
        <v>680</v>
      </c>
      <c r="D300" s="27" t="inlineStr">
        <is>
          <t xml:space="preserve">Make Conduit Entrance in Manhole </t>
        </is>
      </c>
      <c r="E300" s="39" t="n">
        <v>320</v>
      </c>
      <c r="F300" s="59">
        <f>E300*B300</f>
        <v/>
      </c>
    </row>
    <row r="301" outlineLevel="1" ht="15" customHeight="1">
      <c r="A301" s="14" t="inlineStr">
        <is>
          <t>O.FBR.BURD</t>
        </is>
      </c>
      <c r="B301" s="107" t="n"/>
      <c r="C301" s="28" t="n">
        <v>710</v>
      </c>
      <c r="D301" s="27" t="inlineStr">
        <is>
          <t>Place Rigid 4" Cond. in/on Bldg.</t>
        </is>
      </c>
      <c r="E301" s="39" t="n">
        <v>14</v>
      </c>
      <c r="F301" s="59">
        <f>E301*B301</f>
        <v/>
      </c>
    </row>
    <row r="302" outlineLevel="1" ht="15" customHeight="1">
      <c r="A302" s="14" t="inlineStr">
        <is>
          <t>O.FBR.BURD</t>
        </is>
      </c>
      <c r="B302" s="107" t="n"/>
      <c r="C302" s="28" t="n">
        <v>715</v>
      </c>
      <c r="D302" s="27" t="inlineStr">
        <is>
          <t>Bldg. Entrance</t>
        </is>
      </c>
      <c r="E302" s="39" t="n">
        <v>315</v>
      </c>
      <c r="F302" s="59">
        <f>E302*B302</f>
        <v/>
      </c>
    </row>
    <row r="303" outlineLevel="1" ht="15" customHeight="1">
      <c r="A303" s="14" t="inlineStr">
        <is>
          <t>O.FBR.BURD</t>
        </is>
      </c>
      <c r="B303" s="107" t="n"/>
      <c r="C303" s="28" t="n">
        <v>730</v>
      </c>
      <c r="D303" s="27" t="inlineStr">
        <is>
          <t>Cut over buried drop</t>
        </is>
      </c>
      <c r="E303" s="39" t="n">
        <v>15</v>
      </c>
      <c r="F303" s="59">
        <f>E303*B303</f>
        <v/>
      </c>
    </row>
    <row r="304" outlineLevel="1" ht="15" customFormat="1" customHeight="1" s="157">
      <c r="A304" s="14" t="inlineStr">
        <is>
          <t>O.FBR.BURD</t>
        </is>
      </c>
      <c r="B304" s="4" t="n"/>
      <c r="C304" s="28" t="n">
        <v>735</v>
      </c>
      <c r="D304" s="27" t="inlineStr">
        <is>
          <t>Hand trench buried fiber or copper drop</t>
        </is>
      </c>
      <c r="E304" s="39" t="n">
        <v>5.51</v>
      </c>
      <c r="F304" s="59">
        <f>E304*B304</f>
        <v/>
      </c>
      <c r="H304" s="542" t="n"/>
      <c r="I304" s="562" t="n"/>
      <c r="J304" s="48" t="n"/>
      <c r="K304" s="48" t="n"/>
      <c r="L304" s="158" t="n"/>
      <c r="M304" s="48" t="n"/>
      <c r="N304" s="48" t="n"/>
      <c r="O304" s="48" t="n"/>
      <c r="P304" s="48" t="n"/>
      <c r="Q304" s="48" t="n"/>
      <c r="R304" s="48" t="n"/>
      <c r="S304" s="48" t="n"/>
      <c r="T304" s="48" t="n"/>
      <c r="U304" s="48" t="n"/>
      <c r="V304" s="48" t="n"/>
      <c r="W304" s="48" t="n"/>
      <c r="X304" s="48" t="n"/>
      <c r="Y304" s="47" t="n"/>
      <c r="Z304" s="48" t="n"/>
      <c r="AA304" s="48" t="n"/>
      <c r="AB304" s="48" t="n"/>
    </row>
    <row r="305" outlineLevel="1" ht="15" customHeight="1">
      <c r="A305" s="14" t="inlineStr">
        <is>
          <t>O.FBR.BURD</t>
        </is>
      </c>
      <c r="B305" s="4" t="n"/>
      <c r="C305" s="28" t="n">
        <v>740</v>
      </c>
      <c r="D305" s="27" t="inlineStr">
        <is>
          <t>Place nid ( buried drop )</t>
        </is>
      </c>
      <c r="E305" s="39" t="n">
        <v>35</v>
      </c>
      <c r="F305" s="59">
        <f>E305*B305</f>
        <v/>
      </c>
    </row>
    <row r="306" outlineLevel="1" ht="15" customHeight="1" thickBot="1">
      <c r="A306" s="14" t="inlineStr">
        <is>
          <t>O.FBR.BURD</t>
        </is>
      </c>
      <c r="B306" s="107" t="n"/>
      <c r="C306" s="28" t="n"/>
      <c r="D306" s="27" t="n"/>
      <c r="E306" s="29" t="n"/>
      <c r="F306" s="59" t="n"/>
    </row>
    <row r="307" outlineLevel="1" ht="15" customHeight="1" thickBot="1">
      <c r="A307" s="43" t="n"/>
      <c r="B307" s="130" t="n"/>
      <c r="C307" s="7" t="n"/>
      <c r="D307" s="281" t="inlineStr">
        <is>
          <t>TOTAL - PLACE BURIED FIBER</t>
        </is>
      </c>
      <c r="E307" s="44" t="n"/>
      <c r="F307" s="58">
        <f>SUM(F265:F305)</f>
        <v/>
      </c>
    </row>
    <row r="308" ht="15" customHeight="1" thickBot="1">
      <c r="A308" s="92" t="inlineStr">
        <is>
          <t>&lt;----Click the + to Expand or Collapse the "BURIED FIBER" Section</t>
        </is>
      </c>
      <c r="B308" s="185" t="n"/>
      <c r="C308" s="91" t="n"/>
      <c r="D308" s="137" t="n"/>
      <c r="E308" s="119" t="n"/>
      <c r="F308" s="95" t="n"/>
    </row>
    <row r="309" ht="15" customHeight="1" thickBot="1">
      <c r="A309" s="123" t="n"/>
      <c r="B309" s="185">
        <f>IF(SUM(F339)&gt;0,"-","")</f>
        <v/>
      </c>
      <c r="C309" s="124" t="n"/>
      <c r="D309" s="140" t="inlineStr">
        <is>
          <t>BURIED FIBER</t>
        </is>
      </c>
      <c r="E309" s="119" t="n"/>
      <c r="F309" s="95" t="n"/>
    </row>
    <row r="310" outlineLevel="1" ht="15" customHeight="1">
      <c r="A310" s="8" t="n"/>
      <c r="B310" s="79">
        <f>'LABOR SPAN SHEET'!AD2</f>
        <v/>
      </c>
      <c r="C310" s="199" t="n">
        <v>200</v>
      </c>
      <c r="D310" s="525" t="inlineStr">
        <is>
          <t>BURIED COMPOSITE (UP TO 2 - 1.5" CONDUITS)                                                                                                                 Buried method for fiber  to include directional boring, including the placement of up to (2) 1.25"or 1.5" conduits, hand holes, pedestals, ground rods, gravel, fiber cable, tracer wire, traffic control, marker post, and pull string if required. Price does not include pulling of fiber in an existing conduit.  Note: This unit includes the restoration of concrete or asphalt potholes up to 36" x 36". Ant restoration requirments in addition to these parameters required by the Lumos representative or jurisdiction authorities will be approved as pass through of cost + 5%</t>
        </is>
      </c>
      <c r="E310" s="274" t="n">
        <v>9.5</v>
      </c>
      <c r="F310" s="63">
        <f>E310*B310</f>
        <v/>
      </c>
    </row>
    <row r="311" outlineLevel="1" ht="15" customHeight="1">
      <c r="A311" s="8" t="n"/>
      <c r="B311" s="79">
        <f>'LABOR SPAN SHEET'!AE2+'LABOR SPAN SHEET'!AF2</f>
        <v/>
      </c>
      <c r="C311" s="199" t="n">
        <v>5</v>
      </c>
      <c r="D311" s="776" t="inlineStr">
        <is>
          <t>PLACE ADDITIONAL DUCTS (SAME OPERATION) PER DUCT</t>
        </is>
      </c>
      <c r="E311" s="274" t="n">
        <v>1.2</v>
      </c>
      <c r="F311" s="63">
        <f>E311*B311</f>
        <v/>
      </c>
    </row>
    <row r="312" outlineLevel="1" ht="15" customHeight="1">
      <c r="A312" s="8" t="n"/>
      <c r="B312" s="55" t="n"/>
      <c r="C312" s="40" t="n">
        <v>201</v>
      </c>
      <c r="D312" s="526" t="inlineStr">
        <is>
          <t>Open Cut in Asphalt / Concrete</t>
        </is>
      </c>
      <c r="E312" s="274" t="n">
        <v>52</v>
      </c>
      <c r="F312" s="63">
        <f>E312*B312</f>
        <v/>
      </c>
    </row>
    <row r="313" outlineLevel="1" ht="15" customHeight="1">
      <c r="A313" s="8" t="n"/>
      <c r="B313" s="55" t="n"/>
      <c r="C313" s="40" t="n">
        <v>202</v>
      </c>
      <c r="D313" s="41" t="inlineStr">
        <is>
          <t>Special Handling of Fiber</t>
        </is>
      </c>
      <c r="E313" s="274" t="n">
        <v>0.75</v>
      </c>
      <c r="F313" s="63">
        <f>E313*B313</f>
        <v/>
      </c>
    </row>
    <row r="314" outlineLevel="1" ht="15" customHeight="1">
      <c r="A314" s="8" t="n"/>
      <c r="B314" s="55" t="n"/>
      <c r="C314" s="40" t="n">
        <v>203</v>
      </c>
      <c r="D314" s="41" t="inlineStr">
        <is>
          <t>Open Trench or Plow</t>
        </is>
      </c>
      <c r="E314" s="274" t="n">
        <v>7.5</v>
      </c>
      <c r="F314" s="63">
        <f>E314*B314</f>
        <v/>
      </c>
    </row>
    <row r="315" outlineLevel="1" ht="15" customHeight="1">
      <c r="A315" s="8" t="n"/>
      <c r="B315" s="55" t="n"/>
      <c r="C315" s="527" t="n">
        <v>210</v>
      </c>
      <c r="D315" s="528" t="inlineStr">
        <is>
          <t>PULL FIBER IN EXISTING CONDUIT</t>
        </is>
      </c>
      <c r="E315" s="529" t="n">
        <v>1.2</v>
      </c>
      <c r="F315" s="530">
        <f>E315*B315</f>
        <v/>
      </c>
    </row>
    <row r="316" outlineLevel="1" ht="15" customHeight="1">
      <c r="A316" s="8" t="n"/>
      <c r="B316" s="55" t="n"/>
      <c r="C316" s="531" t="n">
        <v>220</v>
      </c>
      <c r="D316" s="528" t="inlineStr">
        <is>
          <t>PULL ADDITIONAL FIBER IN EXISTING CONDUIT</t>
        </is>
      </c>
      <c r="E316" s="529" t="n">
        <v>0.5</v>
      </c>
      <c r="F316" s="530">
        <f>E316*B316</f>
        <v/>
      </c>
    </row>
    <row r="317" outlineLevel="1" ht="15" customHeight="1">
      <c r="A317" s="8" t="n"/>
      <c r="B317" s="55" t="n"/>
      <c r="C317" s="40" t="n">
        <v>225</v>
      </c>
      <c r="D317" s="41" t="inlineStr">
        <is>
          <t>Chunk / Semi Rock Adder must be pre-approved  (only for required footage)</t>
        </is>
      </c>
      <c r="E317" s="274" t="n">
        <v>35</v>
      </c>
      <c r="F317" s="63">
        <f>E317*B317</f>
        <v/>
      </c>
    </row>
    <row r="318" outlineLevel="1" ht="15" customHeight="1">
      <c r="A318" s="8" t="n"/>
      <c r="B318" s="55" t="n"/>
      <c r="C318" s="40" t="n">
        <v>226</v>
      </c>
      <c r="D318" s="41" t="inlineStr">
        <is>
          <t>Hard / Solid Rock Adder must be pre-approved  (requires use of hammer or rock bit)</t>
        </is>
      </c>
      <c r="E318" s="274" t="n">
        <v>50</v>
      </c>
      <c r="F318" s="63">
        <f>E318*B318</f>
        <v/>
      </c>
    </row>
    <row r="319" outlineLevel="1" ht="15" customHeight="1">
      <c r="A319" s="8" t="n"/>
      <c r="B319" s="79" t="n"/>
      <c r="C319" s="531" t="n">
        <v>153</v>
      </c>
      <c r="D319" s="528" t="inlineStr">
        <is>
          <t>PLACE ADDITIONAL MULTIPORTS IN DUCT (AFTER FIRST CABLE)</t>
        </is>
      </c>
      <c r="E319" s="529" t="n">
        <v>0.29</v>
      </c>
      <c r="F319" s="530">
        <f>E319*B319</f>
        <v/>
      </c>
    </row>
    <row r="320" outlineLevel="1" ht="15" customHeight="1">
      <c r="A320" s="8" t="n"/>
      <c r="B320" s="55" t="n"/>
      <c r="C320" s="531" t="n">
        <v>1</v>
      </c>
      <c r="D320" s="528" t="inlineStr">
        <is>
          <t>Place Hand Hole when not in conjuction with unit 200 (Urban)</t>
        </is>
      </c>
      <c r="E320" s="529" t="n">
        <v>550</v>
      </c>
      <c r="F320" s="530">
        <f>E320*B320</f>
        <v/>
      </c>
    </row>
    <row r="321" outlineLevel="1" ht="15" customHeight="1">
      <c r="A321" s="8" t="n"/>
      <c r="B321" s="55" t="n"/>
      <c r="C321" s="531" t="n">
        <v>2</v>
      </c>
      <c r="D321" s="528" t="inlineStr">
        <is>
          <t>Place Hand Hole when not in conjuction with unit 200 (Rural)</t>
        </is>
      </c>
      <c r="E321" s="529" t="n">
        <v>550</v>
      </c>
      <c r="F321" s="530">
        <f>E321*B321</f>
        <v/>
      </c>
    </row>
    <row r="322" outlineLevel="1" ht="15" customHeight="1">
      <c r="A322" s="8" t="n"/>
      <c r="B322" s="55" t="n"/>
      <c r="C322" s="531" t="n">
        <v>3</v>
      </c>
      <c r="D322" s="528" t="inlineStr">
        <is>
          <t>Place 1 Inner-Duct in Existing Conduit</t>
        </is>
      </c>
      <c r="E322" s="529" t="n">
        <v>1.09</v>
      </c>
      <c r="F322" s="530">
        <f>E322*B322</f>
        <v/>
      </c>
    </row>
    <row r="323" outlineLevel="1" ht="15" customHeight="1">
      <c r="A323" s="8" t="n"/>
      <c r="B323" s="55" t="n"/>
      <c r="C323" s="531" t="n">
        <v>4</v>
      </c>
      <c r="D323" s="528" t="inlineStr">
        <is>
          <t>PLACE 2 INNER-DUCTS IN EXISTING CONDUIT</t>
        </is>
      </c>
      <c r="E323" s="529" t="n">
        <v>1.66</v>
      </c>
      <c r="F323" s="530">
        <f>E323*B323</f>
        <v/>
      </c>
    </row>
    <row r="324" outlineLevel="1" ht="15" customHeight="1">
      <c r="A324" s="8" t="n"/>
      <c r="B324" s="55" t="n"/>
      <c r="C324" s="531" t="n">
        <v>5</v>
      </c>
      <c r="D324" s="528" t="inlineStr">
        <is>
          <t>PLACE ADDITIONAL INNER-DUCTS ( SAME OPEARATION ) up to 2 ducts.</t>
        </is>
      </c>
      <c r="E324" s="529" t="n">
        <v>2.32</v>
      </c>
      <c r="F324" s="530">
        <f>E324*B324</f>
        <v/>
      </c>
    </row>
    <row r="325" outlineLevel="1" ht="15" customHeight="1">
      <c r="A325" s="8" t="n"/>
      <c r="B325" s="55" t="n"/>
      <c r="C325" s="531" t="n">
        <v>6</v>
      </c>
      <c r="D325" s="528" t="inlineStr">
        <is>
          <t>Concrete Encase conduit  (Per ft)</t>
        </is>
      </c>
      <c r="E325" s="529" t="n">
        <v>16</v>
      </c>
      <c r="F325" s="530">
        <f>E325*B325</f>
        <v/>
      </c>
    </row>
    <row r="326" outlineLevel="1" ht="15" customHeight="1">
      <c r="A326" s="8" t="n"/>
      <c r="B326" s="55" t="n"/>
      <c r="C326" s="531" t="n">
        <v>7</v>
      </c>
      <c r="D326" s="528" t="inlineStr">
        <is>
          <t>ROD &amp; CLEAN CONDUIT (TRUCK)</t>
        </is>
      </c>
      <c r="E326" s="529" t="n">
        <v>2.25</v>
      </c>
      <c r="F326" s="530">
        <f>E326*B326</f>
        <v/>
      </c>
    </row>
    <row r="327" outlineLevel="1" ht="15" customHeight="1">
      <c r="A327" s="8" t="n"/>
      <c r="B327" s="55" t="n"/>
      <c r="C327" s="531" t="n">
        <v>8</v>
      </c>
      <c r="D327" s="528" t="inlineStr">
        <is>
          <t>ROD &amp; CLEAN CONDUIT (MANUAL)</t>
        </is>
      </c>
      <c r="E327" s="529" t="n">
        <v>0.95</v>
      </c>
      <c r="F327" s="530">
        <f>E327*B327</f>
        <v/>
      </c>
    </row>
    <row r="328" outlineLevel="1" ht="15" customHeight="1">
      <c r="A328" s="8" t="n"/>
      <c r="B328" s="55" t="n"/>
      <c r="C328" s="531" t="n">
        <v>9</v>
      </c>
      <c r="D328" s="528" t="inlineStr">
        <is>
          <t>REMOVE UNDERGROUND CABLE from Conduit</t>
        </is>
      </c>
      <c r="E328" s="529" t="n">
        <v>0.95</v>
      </c>
      <c r="F328" s="530">
        <f>E328*B328</f>
        <v/>
      </c>
    </row>
    <row r="329" outlineLevel="1" ht="15" customHeight="1">
      <c r="A329" s="8" t="n"/>
      <c r="B329" s="55" t="n"/>
      <c r="C329" s="531" t="n">
        <v>11</v>
      </c>
      <c r="D329" s="528" t="inlineStr">
        <is>
          <t>Building Entrance</t>
        </is>
      </c>
      <c r="E329" s="529" t="n">
        <v>425</v>
      </c>
      <c r="F329" s="530">
        <f>E329*B329</f>
        <v/>
      </c>
    </row>
    <row r="330" outlineLevel="1" ht="15" customHeight="1">
      <c r="A330" s="8" t="n"/>
      <c r="B330" s="55" t="n"/>
      <c r="C330" s="531" t="n">
        <v>153</v>
      </c>
      <c r="D330" s="528" t="inlineStr">
        <is>
          <t>PLACE ADDITIONAL MULTIPORTS IN DUCT (AFTER FIRST CABLE)</t>
        </is>
      </c>
      <c r="E330" s="529" t="n">
        <v>0.29</v>
      </c>
      <c r="F330" s="530">
        <f>E330*B330</f>
        <v/>
      </c>
    </row>
    <row r="331" outlineLevel="1" ht="15" customHeight="1">
      <c r="A331" s="8" t="n"/>
      <c r="B331" s="55" t="n"/>
      <c r="C331" s="34" t="n">
        <v>149</v>
      </c>
      <c r="D331" s="523" t="inlineStr">
        <is>
          <t>Place Pedestal (Any Size)</t>
        </is>
      </c>
      <c r="E331" s="274" t="n">
        <v>100</v>
      </c>
      <c r="F331" s="63">
        <f>E331*B331</f>
        <v/>
      </c>
    </row>
    <row r="332" outlineLevel="1" ht="15" customHeight="1">
      <c r="A332" s="8" t="n"/>
      <c r="B332" s="55" t="n"/>
      <c r="C332" s="34" t="n">
        <v>412</v>
      </c>
      <c r="D332" s="42" t="inlineStr">
        <is>
          <t>PLACE 21A STONE  (Per Ton)</t>
        </is>
      </c>
      <c r="E332" s="274" t="n">
        <v>22.54</v>
      </c>
      <c r="F332" s="63">
        <f>E332*B332</f>
        <v/>
      </c>
    </row>
    <row r="333" outlineLevel="1" ht="15" customHeight="1">
      <c r="A333" s="8" t="n"/>
      <c r="B333" s="55" t="n"/>
      <c r="C333" s="532" t="n">
        <v>152</v>
      </c>
      <c r="D333" s="533" t="inlineStr">
        <is>
          <t>Place LCP OR MDU BOX  Pole or Ground</t>
        </is>
      </c>
      <c r="E333" s="529" t="n">
        <v>202</v>
      </c>
      <c r="F333" s="530">
        <f>E333*B333</f>
        <v/>
      </c>
    </row>
    <row r="334" outlineLevel="1" ht="15" customHeight="1">
      <c r="A334" s="8" t="n"/>
      <c r="B334" s="55" t="n"/>
      <c r="C334" s="30" t="n">
        <v>998</v>
      </c>
      <c r="D334" s="35" t="inlineStr">
        <is>
          <t>LABEL NEW PED</t>
        </is>
      </c>
      <c r="E334" s="274" t="n">
        <v>7</v>
      </c>
      <c r="F334" s="63">
        <f>E334*B334</f>
        <v/>
      </c>
    </row>
    <row r="335" outlineLevel="1" ht="15" customHeight="1">
      <c r="A335" s="8" t="n"/>
      <c r="B335" s="55" t="n"/>
      <c r="C335" s="36" t="n">
        <v>154</v>
      </c>
      <c r="D335" s="35" t="inlineStr">
        <is>
          <t>Place HH (12" x 17" Flower Pot) when not in conjuction with unit 200</t>
        </is>
      </c>
      <c r="E335" s="274" t="n">
        <v>55</v>
      </c>
      <c r="F335" s="63">
        <f>E335*B335</f>
        <v/>
      </c>
    </row>
    <row r="336" outlineLevel="1" ht="15" customHeight="1">
      <c r="A336" s="8" t="n"/>
      <c r="B336" s="55" t="n"/>
      <c r="C336" s="36" t="n"/>
      <c r="D336" s="35" t="inlineStr">
        <is>
          <t>MISC</t>
        </is>
      </c>
      <c r="E336" s="215" t="n"/>
      <c r="F336" s="63" t="n"/>
    </row>
    <row r="337" outlineLevel="1" ht="15" customHeight="1">
      <c r="A337" s="8" t="n"/>
      <c r="B337" s="55" t="n"/>
      <c r="C337" s="36" t="n"/>
      <c r="D337" s="35" t="inlineStr">
        <is>
          <t>MISC</t>
        </is>
      </c>
      <c r="E337" s="215" t="n"/>
      <c r="F337" s="63" t="n"/>
    </row>
    <row r="338" outlineLevel="1" ht="15" customHeight="1" thickBot="1">
      <c r="A338" s="8" t="n"/>
      <c r="B338" s="55" t="n"/>
      <c r="C338" s="36" t="n"/>
      <c r="D338" s="35" t="inlineStr">
        <is>
          <t>MISC</t>
        </is>
      </c>
      <c r="E338" s="37" t="n"/>
      <c r="F338" s="63" t="n"/>
    </row>
    <row r="339" outlineLevel="1" ht="15" customHeight="1" thickBot="1">
      <c r="A339" s="210" t="n"/>
      <c r="B339" s="211" t="n"/>
      <c r="C339" s="212" t="n"/>
      <c r="D339" s="134" t="inlineStr">
        <is>
          <t>TOTAL - PLACE BURIED FIBER</t>
        </is>
      </c>
      <c r="E339" s="135" t="n"/>
      <c r="F339" s="62">
        <f>SUM(F310:F338)</f>
        <v/>
      </c>
    </row>
    <row r="340" ht="15" customHeight="1" thickBot="1">
      <c r="A340" s="582" t="inlineStr">
        <is>
          <t>&lt;----Click the + to Expand or Collapse the "BURIED FIBER" Section</t>
        </is>
      </c>
      <c r="B340" s="583" t="n"/>
      <c r="C340" s="584" t="n"/>
      <c r="D340" s="585" t="n"/>
      <c r="E340" s="586" t="n"/>
      <c r="F340" s="587" t="n"/>
    </row>
    <row r="341" ht="15" customHeight="1" thickBot="1">
      <c r="A341" s="93" t="n"/>
      <c r="B341" s="97">
        <f>IF(SUM(F386)&gt;0,"-","")</f>
        <v/>
      </c>
      <c r="C341" s="1076" t="n"/>
      <c r="D341" s="136" t="inlineStr">
        <is>
          <t>AERIAL SPLCING UNITS</t>
        </is>
      </c>
      <c r="E341" s="118" t="n"/>
      <c r="F341" s="102" t="n"/>
    </row>
    <row r="342" outlineLevel="1" ht="15" customHeight="1">
      <c r="A342" s="3" t="inlineStr">
        <is>
          <t>O.FBR.AERL</t>
        </is>
      </c>
      <c r="B342" s="54" t="n"/>
      <c r="C342" s="85" t="n">
        <v>100</v>
      </c>
      <c r="D342" s="86" t="inlineStr">
        <is>
          <t>In Room Set-up @ Panel 1-48 Fibers</t>
        </is>
      </c>
      <c r="E342" s="87" t="n">
        <v>250</v>
      </c>
      <c r="F342" s="64">
        <f>E342*B342</f>
        <v/>
      </c>
    </row>
    <row r="343" outlineLevel="1" ht="15" customHeight="1">
      <c r="A343" s="14" t="inlineStr">
        <is>
          <t>O.FBR.AERL</t>
        </is>
      </c>
      <c r="B343" s="4" t="n"/>
      <c r="C343" s="5" t="n">
        <v>101</v>
      </c>
      <c r="D343" s="46" t="inlineStr">
        <is>
          <t>In Room Set-up @ Panel 49 - ≥ Fibers</t>
        </is>
      </c>
      <c r="E343" s="16" t="n">
        <v>300</v>
      </c>
      <c r="F343" s="59">
        <f>E343*B343</f>
        <v/>
      </c>
    </row>
    <row r="344" outlineLevel="1" ht="15" customHeight="1">
      <c r="A344" s="14" t="inlineStr">
        <is>
          <t>O.FBR.AERL</t>
        </is>
      </c>
      <c r="B344" s="4" t="n"/>
      <c r="C344" s="5" t="n">
        <v>102</v>
      </c>
      <c r="D344" s="46" t="inlineStr">
        <is>
          <t>Mount/Label FDP with Coupling Panels (Rack/Wall/WIC)</t>
        </is>
      </c>
      <c r="E344" s="16" t="n">
        <v>200</v>
      </c>
      <c r="F344" s="59">
        <f>E344*B344</f>
        <v/>
      </c>
    </row>
    <row r="345" outlineLevel="1" ht="15" customHeight="1">
      <c r="A345" s="14" t="inlineStr">
        <is>
          <t>O.FBR.AERL</t>
        </is>
      </c>
      <c r="B345" s="4" t="n"/>
      <c r="C345" s="5" t="n">
        <v>103</v>
      </c>
      <c r="D345" s="46" t="inlineStr">
        <is>
          <t>Install Grounding Closure</t>
        </is>
      </c>
      <c r="E345" s="16" t="n">
        <v>125</v>
      </c>
      <c r="F345" s="59">
        <f>E345*B345</f>
        <v/>
      </c>
    </row>
    <row r="346" outlineLevel="1" ht="15" customHeight="1">
      <c r="A346" s="14" t="inlineStr">
        <is>
          <t>O.FBR.AERL</t>
        </is>
      </c>
      <c r="B346" s="4" t="n"/>
      <c r="C346" s="5" t="n">
        <v>104</v>
      </c>
      <c r="D346" s="46" t="inlineStr">
        <is>
          <t>Install Fan Out Kit (6 Fiber)</t>
        </is>
      </c>
      <c r="E346" s="16" t="n">
        <v>35</v>
      </c>
      <c r="F346" s="59">
        <f>E346*B346</f>
        <v/>
      </c>
    </row>
    <row r="347" outlineLevel="1" ht="15" customHeight="1">
      <c r="A347" s="14" t="inlineStr">
        <is>
          <t>O.FBR.AERL</t>
        </is>
      </c>
      <c r="B347" s="4" t="n"/>
      <c r="C347" s="5" t="n">
        <v>105</v>
      </c>
      <c r="D347" s="46" t="inlineStr">
        <is>
          <t>Install Fan Out Kit (12 Fiber)</t>
        </is>
      </c>
      <c r="E347" s="16" t="n">
        <v>45</v>
      </c>
      <c r="F347" s="59">
        <f>E347*B347</f>
        <v/>
      </c>
    </row>
    <row r="348" outlineLevel="1" ht="15" customHeight="1">
      <c r="A348" s="14" t="inlineStr">
        <is>
          <t>O.FBR.AERL</t>
        </is>
      </c>
      <c r="B348" s="4" t="n"/>
      <c r="C348" s="5" t="n">
        <v>106</v>
      </c>
      <c r="D348" s="46" t="inlineStr">
        <is>
          <t>Install Unicam Connector (900um Cabling)</t>
        </is>
      </c>
      <c r="E348" s="16" t="n">
        <v>15</v>
      </c>
      <c r="F348" s="59">
        <f>E348*B348</f>
        <v/>
      </c>
    </row>
    <row r="349" outlineLevel="1" ht="15" customHeight="1">
      <c r="A349" s="14" t="inlineStr">
        <is>
          <t>O.FBR.AERL</t>
        </is>
      </c>
      <c r="B349" s="4" t="n"/>
      <c r="C349" s="5" t="n">
        <v>107</v>
      </c>
      <c r="D349" s="46" t="inlineStr">
        <is>
          <t>Install Unicam Connector (2mm - 3mm Cabling)</t>
        </is>
      </c>
      <c r="E349" s="16" t="n">
        <v>20</v>
      </c>
      <c r="F349" s="59">
        <f>E349*B349</f>
        <v/>
      </c>
    </row>
    <row r="350" outlineLevel="1" ht="15" customHeight="1">
      <c r="A350" s="14" t="inlineStr">
        <is>
          <t>O.FBR.AERL</t>
        </is>
      </c>
      <c r="B350" s="4" t="n"/>
      <c r="C350" s="5" t="n">
        <v>108</v>
      </c>
      <c r="D350" s="46" t="inlineStr">
        <is>
          <t>Hard Splice Termination</t>
        </is>
      </c>
      <c r="E350" s="16" t="n">
        <v>30</v>
      </c>
      <c r="F350" s="59">
        <f>E350*B350</f>
        <v/>
      </c>
    </row>
    <row r="351" outlineLevel="1" ht="15" customHeight="1">
      <c r="A351" s="14" t="inlineStr">
        <is>
          <t>O.FBR.AERL</t>
        </is>
      </c>
      <c r="B351" s="4" t="n"/>
      <c r="C351" s="5" t="n">
        <v>111</v>
      </c>
      <c r="D351" s="46" t="inlineStr">
        <is>
          <t>Install Closure - One (1) Cable</t>
        </is>
      </c>
      <c r="E351" s="16" t="n">
        <v>125</v>
      </c>
      <c r="F351" s="59">
        <f>E351*B351</f>
        <v/>
      </c>
    </row>
    <row r="352" outlineLevel="1" ht="15" customHeight="1">
      <c r="A352" s="14" t="inlineStr">
        <is>
          <t>O.FBR.AERL</t>
        </is>
      </c>
      <c r="B352" s="4" t="n"/>
      <c r="C352" s="5" t="n">
        <v>112</v>
      </c>
      <c r="D352" s="46" t="inlineStr">
        <is>
          <t>Install Closure  - Two (2) Cables</t>
        </is>
      </c>
      <c r="E352" s="16" t="n">
        <v>150</v>
      </c>
      <c r="F352" s="59">
        <f>E352*B352</f>
        <v/>
      </c>
    </row>
    <row r="353" outlineLevel="1" ht="15" customHeight="1">
      <c r="A353" s="14" t="inlineStr">
        <is>
          <t>O.FBR.AERL</t>
        </is>
      </c>
      <c r="B353" s="4" t="n"/>
      <c r="C353" s="5" t="n">
        <v>113</v>
      </c>
      <c r="D353" s="46" t="inlineStr">
        <is>
          <t>Cut In Loop/Ring Cut (Closure Install Included)</t>
        </is>
      </c>
      <c r="E353" s="16" t="n">
        <v>200</v>
      </c>
      <c r="F353" s="59">
        <f>E353*B353</f>
        <v/>
      </c>
    </row>
    <row r="354" outlineLevel="1" ht="15" customHeight="1">
      <c r="A354" s="14" t="inlineStr">
        <is>
          <t>O.FBR.AERL</t>
        </is>
      </c>
      <c r="B354" s="4" t="n"/>
      <c r="C354" s="5" t="n">
        <v>114</v>
      </c>
      <c r="D354" s="46" t="inlineStr">
        <is>
          <t>Add/Prep One (1) Additional Cable to Closure</t>
        </is>
      </c>
      <c r="E354" s="16" t="n">
        <v>100</v>
      </c>
      <c r="F354" s="59">
        <f>E354*B354</f>
        <v/>
      </c>
    </row>
    <row r="355" outlineLevel="1" ht="15" customHeight="1">
      <c r="A355" s="14" t="inlineStr">
        <is>
          <t>O.FBR.AERL</t>
        </is>
      </c>
      <c r="B355" s="4" t="n"/>
      <c r="C355" s="5" t="n">
        <v>115</v>
      </c>
      <c r="D355" s="46" t="inlineStr">
        <is>
          <t>Remove One (1) Cable from Closure</t>
        </is>
      </c>
      <c r="E355" s="16" t="n">
        <v>75</v>
      </c>
      <c r="F355" s="59">
        <f>E355*B355</f>
        <v/>
      </c>
    </row>
    <row r="356" outlineLevel="1" ht="15" customHeight="1">
      <c r="A356" s="14" t="inlineStr">
        <is>
          <t>O.FBR.AERL</t>
        </is>
      </c>
      <c r="B356" s="4" t="n"/>
      <c r="C356" s="5" t="n">
        <v>116</v>
      </c>
      <c r="D356" s="46" t="inlineStr">
        <is>
          <t>Install One (1) Multiport to Closure</t>
        </is>
      </c>
      <c r="E356" s="16" t="n">
        <v>75</v>
      </c>
      <c r="F356" s="59">
        <f>E356*B356</f>
        <v/>
      </c>
    </row>
    <row r="357" outlineLevel="1" ht="15" customHeight="1">
      <c r="A357" s="14" t="inlineStr">
        <is>
          <t>O.FBR.AERL</t>
        </is>
      </c>
      <c r="B357" s="4" t="n"/>
      <c r="C357" s="5" t="n">
        <v>117</v>
      </c>
      <c r="D357" s="46" t="inlineStr">
        <is>
          <t>Remove One (1) Multiport from Closure</t>
        </is>
      </c>
      <c r="E357" s="16" t="n">
        <v>75</v>
      </c>
      <c r="F357" s="59">
        <f>E357*B357</f>
        <v/>
      </c>
    </row>
    <row r="358" outlineLevel="1" ht="15" customHeight="1">
      <c r="A358" s="14" t="inlineStr">
        <is>
          <t>O.FBR.AERL</t>
        </is>
      </c>
      <c r="B358" s="4" t="n"/>
      <c r="C358" s="5" t="n">
        <v>118</v>
      </c>
      <c r="D358" s="46" t="inlineStr">
        <is>
          <t>Change Out Existing Closure (Non-Preform)</t>
        </is>
      </c>
      <c r="E358" s="16" t="n">
        <v>900</v>
      </c>
      <c r="F358" s="59">
        <f>E358*B358</f>
        <v/>
      </c>
    </row>
    <row r="359" outlineLevel="1" ht="15" customHeight="1">
      <c r="A359" s="14" t="inlineStr">
        <is>
          <t>O.FBR.AERL</t>
        </is>
      </c>
      <c r="B359" s="4" t="n"/>
      <c r="C359" s="5" t="n">
        <v>119</v>
      </c>
      <c r="D359" s="46" t="inlineStr">
        <is>
          <t>Change Out Existing Closure (Preform: End Plate Setup Included)</t>
        </is>
      </c>
      <c r="E359" s="16" t="n">
        <v>600</v>
      </c>
      <c r="F359" s="59">
        <f>E359*B359</f>
        <v/>
      </c>
    </row>
    <row r="360" outlineLevel="1" ht="15" customHeight="1">
      <c r="A360" s="14" t="inlineStr">
        <is>
          <t>O.FBR.AERL</t>
        </is>
      </c>
      <c r="B360" s="4" t="n"/>
      <c r="C360" s="5" t="n">
        <v>120</v>
      </c>
      <c r="D360" s="46" t="inlineStr">
        <is>
          <t>Replace/Re-Cut End Plate for Existing Preform Closure</t>
        </is>
      </c>
      <c r="E360" s="16" t="n">
        <v>250</v>
      </c>
      <c r="F360" s="59">
        <f>E360*B360</f>
        <v/>
      </c>
    </row>
    <row r="361" outlineLevel="1" ht="15" customHeight="1">
      <c r="A361" s="14" t="inlineStr">
        <is>
          <t>O.FBR.AERL</t>
        </is>
      </c>
      <c r="B361" s="4" t="n"/>
      <c r="C361" s="5" t="n">
        <v>121</v>
      </c>
      <c r="D361" s="46" t="inlineStr">
        <is>
          <t>Minimum Trip Charge (one per job; adder when units are below this amount)</t>
        </is>
      </c>
      <c r="E361" s="16" t="n">
        <v>250</v>
      </c>
      <c r="F361" s="59">
        <f>E361*B361</f>
        <v/>
      </c>
    </row>
    <row r="362" outlineLevel="1" ht="15" customHeight="1">
      <c r="A362" s="14" t="inlineStr">
        <is>
          <t>O.FBR.AERL</t>
        </is>
      </c>
      <c r="B362" s="4" t="n"/>
      <c r="C362" s="5" t="n">
        <v>122</v>
      </c>
      <c r="D362" s="46" t="inlineStr">
        <is>
          <t>Fusion Splice (Testing Included): 1 - 36 Fibers</t>
        </is>
      </c>
      <c r="E362" s="16" t="n">
        <v>32</v>
      </c>
      <c r="F362" s="59">
        <f>E362*B362</f>
        <v/>
      </c>
    </row>
    <row r="363" outlineLevel="1" ht="15" customHeight="1">
      <c r="A363" s="14" t="inlineStr">
        <is>
          <t>O.FBR.AERL</t>
        </is>
      </c>
      <c r="B363" s="4" t="n"/>
      <c r="C363" s="5" t="n">
        <v>123</v>
      </c>
      <c r="D363" s="46" t="inlineStr">
        <is>
          <t>Fusion Splice (Testing Included): 37 - 96 Fibers</t>
        </is>
      </c>
      <c r="E363" s="16" t="n">
        <v>30</v>
      </c>
      <c r="F363" s="59">
        <f>E363*B363</f>
        <v/>
      </c>
    </row>
    <row r="364" outlineLevel="1" ht="15" customHeight="1">
      <c r="A364" s="14" t="inlineStr">
        <is>
          <t>O.FBR.AERL</t>
        </is>
      </c>
      <c r="B364" s="4" t="n"/>
      <c r="C364" s="5" t="n">
        <v>124</v>
      </c>
      <c r="D364" s="46" t="inlineStr">
        <is>
          <t>Fusion Splice (Testing Included): 97 - ≥ Fibers</t>
        </is>
      </c>
      <c r="E364" s="16" t="n">
        <v>28</v>
      </c>
      <c r="F364" s="59">
        <f>E364*B364</f>
        <v/>
      </c>
    </row>
    <row r="365" outlineLevel="1" ht="15" customHeight="1">
      <c r="A365" s="14" t="inlineStr">
        <is>
          <t>O.FBR.AERL</t>
        </is>
      </c>
      <c r="B365" s="4" t="n"/>
      <c r="C365" s="5" t="n">
        <v>127</v>
      </c>
      <c r="D365" s="46" t="inlineStr">
        <is>
          <t>FTTP Fusion Splice (Testing Included)</t>
        </is>
      </c>
      <c r="E365" s="16" t="n">
        <v>30</v>
      </c>
      <c r="F365" s="59">
        <f>E365*B365</f>
        <v/>
      </c>
    </row>
    <row r="366" outlineLevel="1" ht="15" customHeight="1">
      <c r="A366" s="14" t="inlineStr">
        <is>
          <t>O.FBR.AERL</t>
        </is>
      </c>
      <c r="B366" s="4" t="n"/>
      <c r="C366" s="5" t="n">
        <v>128</v>
      </c>
      <c r="D366" s="46" t="inlineStr">
        <is>
          <t>Install Mechanical Splice</t>
        </is>
      </c>
      <c r="E366" s="16" t="n">
        <v>35</v>
      </c>
      <c r="F366" s="59">
        <f>E366*B366</f>
        <v/>
      </c>
    </row>
    <row r="367" outlineLevel="1" ht="15" customHeight="1">
      <c r="A367" s="14" t="inlineStr">
        <is>
          <t>O.FBR.AERL</t>
        </is>
      </c>
      <c r="B367" s="4" t="n"/>
      <c r="C367" s="5" t="n">
        <v>129</v>
      </c>
      <c r="D367" s="46" t="inlineStr">
        <is>
          <t>Lower Aerial Cable/Closure/Loop from Strand (Bucket Truck)</t>
        </is>
      </c>
      <c r="E367" s="16" t="n">
        <v>75</v>
      </c>
      <c r="F367" s="59">
        <f>E367*B367</f>
        <v/>
      </c>
    </row>
    <row r="368" outlineLevel="1" ht="15" customHeight="1">
      <c r="A368" s="14" t="inlineStr">
        <is>
          <t>O.FBR.AERL</t>
        </is>
      </c>
      <c r="B368" s="4" t="n"/>
      <c r="C368" s="5" t="n">
        <v>130</v>
      </c>
      <c r="D368" s="46" t="inlineStr">
        <is>
          <t>Raise Aerial Cable/Closure/Loop on Strand (Bucket Truck)</t>
        </is>
      </c>
      <c r="E368" s="16" t="n">
        <v>75</v>
      </c>
      <c r="F368" s="59">
        <f>E368*B368</f>
        <v/>
      </c>
    </row>
    <row r="369" outlineLevel="1" ht="15" customHeight="1">
      <c r="A369" s="14" t="inlineStr">
        <is>
          <t>O.FBR.AERL</t>
        </is>
      </c>
      <c r="B369" s="4" t="n"/>
      <c r="C369" s="5" t="n">
        <v>131</v>
      </c>
      <c r="D369" s="46" t="inlineStr">
        <is>
          <t>OTDR: Per Trace (Hard-Copy Printout on Request)</t>
        </is>
      </c>
      <c r="E369" s="16" t="n">
        <v>6</v>
      </c>
      <c r="F369" s="59">
        <f>E369*B369</f>
        <v/>
      </c>
    </row>
    <row r="370" outlineLevel="1" ht="15" customHeight="1">
      <c r="A370" s="14" t="inlineStr">
        <is>
          <t>O.FBR.AERL</t>
        </is>
      </c>
      <c r="B370" s="4" t="n"/>
      <c r="C370" s="5" t="n">
        <v>132</v>
      </c>
      <c r="D370" s="46" t="inlineStr">
        <is>
          <t>OTDR: Non-Fusion Event  (Hard-Copy Printout on Request)</t>
        </is>
      </c>
      <c r="E370" s="16" t="n">
        <v>6</v>
      </c>
      <c r="F370" s="59">
        <f>E370*B370</f>
        <v/>
      </c>
    </row>
    <row r="371" outlineLevel="1" ht="15" customHeight="1">
      <c r="A371" s="14" t="inlineStr">
        <is>
          <t>O.FBR.AERL</t>
        </is>
      </c>
      <c r="B371" s="4" t="n"/>
      <c r="C371" s="5" t="n">
        <v>133</v>
      </c>
      <c r="D371" s="46" t="inlineStr">
        <is>
          <t>Test Reel Cable - Per Fiber (Hardcopy Printout upon Request)</t>
        </is>
      </c>
      <c r="E371" s="16" t="n">
        <v>8</v>
      </c>
      <c r="F371" s="59">
        <f>E371*B371</f>
        <v/>
      </c>
    </row>
    <row r="372" outlineLevel="1" ht="15" customHeight="1">
      <c r="A372" s="14" t="inlineStr">
        <is>
          <t>O.FBR.AERL</t>
        </is>
      </c>
      <c r="B372" s="4" t="n"/>
      <c r="C372" s="5" t="n">
        <v>134</v>
      </c>
      <c r="D372" s="46" t="inlineStr">
        <is>
          <t>Return Trip Fee - CLEC (Per Incidence)</t>
        </is>
      </c>
      <c r="E372" s="16" t="n">
        <v>250</v>
      </c>
      <c r="F372" s="59">
        <f>E372*B372</f>
        <v/>
      </c>
    </row>
    <row r="373" outlineLevel="1" ht="15" customHeight="1">
      <c r="A373" s="14" t="inlineStr">
        <is>
          <t>O.FBR.AERL</t>
        </is>
      </c>
      <c r="B373" s="4" t="n"/>
      <c r="C373" s="5" t="n">
        <v>135</v>
      </c>
      <c r="D373" s="46" t="inlineStr">
        <is>
          <t>Return Trip Fee - FTTP (Per Incidence)</t>
        </is>
      </c>
      <c r="E373" s="16" t="n">
        <v>250</v>
      </c>
      <c r="F373" s="59">
        <f>E373*B373</f>
        <v/>
      </c>
    </row>
    <row r="374" outlineLevel="1" ht="15" customHeight="1">
      <c r="A374" s="14" t="inlineStr">
        <is>
          <t>O.FBR.AERL</t>
        </is>
      </c>
      <c r="B374" s="4" t="n"/>
      <c r="C374" s="5" t="n">
        <v>136</v>
      </c>
      <c r="D374" s="46" t="inlineStr">
        <is>
          <t>Manhole Set-Up</t>
        </is>
      </c>
      <c r="E374" s="16" t="n">
        <v>125</v>
      </c>
      <c r="F374" s="59">
        <f>E374*B374</f>
        <v/>
      </c>
    </row>
    <row r="375" outlineLevel="1" ht="15" customHeight="1">
      <c r="A375" s="14" t="inlineStr">
        <is>
          <t>O.FBR.AERL</t>
        </is>
      </c>
      <c r="B375" s="4" t="n"/>
      <c r="C375" s="5" t="n">
        <v>141</v>
      </c>
      <c r="D375" s="46" t="inlineStr">
        <is>
          <t>Hourly Rate Per Fiber Splicer: Daily</t>
        </is>
      </c>
      <c r="E375" s="16" t="n">
        <v>125</v>
      </c>
      <c r="F375" s="59">
        <f>E375*B375</f>
        <v/>
      </c>
    </row>
    <row r="376" outlineLevel="1" ht="15" customHeight="1">
      <c r="A376" s="14" t="inlineStr">
        <is>
          <t>O.FBR.AERL</t>
        </is>
      </c>
      <c r="B376" s="4" t="n"/>
      <c r="C376" s="5" t="n">
        <v>142</v>
      </c>
      <c r="D376" s="46" t="inlineStr">
        <is>
          <t>Hourly Rate Per Fiber Splicer: Premium (MOP Window)</t>
        </is>
      </c>
      <c r="E376" s="16" t="n">
        <v>187.5</v>
      </c>
      <c r="F376" s="59">
        <f>E376*B376</f>
        <v/>
      </c>
    </row>
    <row r="377" outlineLevel="1" ht="15" customHeight="1">
      <c r="A377" s="14" t="inlineStr">
        <is>
          <t>O.FBR.AERL</t>
        </is>
      </c>
      <c r="B377" s="4" t="n"/>
      <c r="C377" s="5" t="n">
        <v>143</v>
      </c>
      <c r="D377" s="46" t="inlineStr">
        <is>
          <t>Emergency Call Out: Splicer with Truck/Tools</t>
        </is>
      </c>
      <c r="E377" s="16" t="n">
        <v>187.5</v>
      </c>
      <c r="F377" s="59">
        <f>E377*B377</f>
        <v/>
      </c>
    </row>
    <row r="378" outlineLevel="1" ht="15" customHeight="1">
      <c r="A378" s="14" t="inlineStr">
        <is>
          <t>O.FBR.AERL</t>
        </is>
      </c>
      <c r="B378" s="4" t="n"/>
      <c r="C378" s="5" t="n">
        <v>144</v>
      </c>
      <c r="D378" s="46" t="inlineStr">
        <is>
          <t>Traffic Control Laborer</t>
        </is>
      </c>
      <c r="E378" s="16" t="n">
        <v>75</v>
      </c>
      <c r="F378" s="59">
        <f>E378*B378</f>
        <v/>
      </c>
    </row>
    <row r="379" outlineLevel="1" ht="15" customHeight="1">
      <c r="A379" s="14" t="inlineStr">
        <is>
          <t>O.FBR.AERL</t>
        </is>
      </c>
      <c r="B379" s="4" t="n"/>
      <c r="C379" s="5" t="n">
        <v>148</v>
      </c>
      <c r="D379" s="46" t="inlineStr">
        <is>
          <t>Place Aerial Fiber SLIC Closure Accessible (Bucket Truck)</t>
        </is>
      </c>
      <c r="E379" s="16" t="n">
        <v>250</v>
      </c>
      <c r="F379" s="59">
        <f>E379*B379</f>
        <v/>
      </c>
    </row>
    <row r="380" outlineLevel="1" ht="15" customHeight="1">
      <c r="A380" s="14" t="inlineStr">
        <is>
          <t>O.FBR.AERL</t>
        </is>
      </c>
      <c r="B380" s="4" t="n"/>
      <c r="C380" s="5" t="n">
        <v>149</v>
      </c>
      <c r="D380" s="46" t="inlineStr">
        <is>
          <t>Place Aerial Fiber SLIC Closure Non Accessible (Ladder)</t>
        </is>
      </c>
      <c r="E380" s="16" t="n">
        <v>300</v>
      </c>
      <c r="F380" s="59">
        <f>E380*B380</f>
        <v/>
      </c>
    </row>
    <row r="381" outlineLevel="1" ht="15" customHeight="1">
      <c r="A381" s="14" t="inlineStr">
        <is>
          <t>O.FBR.AERL</t>
        </is>
      </c>
      <c r="B381" s="4" t="n"/>
      <c r="C381" s="6" t="n">
        <v>150</v>
      </c>
      <c r="D381" s="66" t="inlineStr">
        <is>
          <t>Place Fiber Closure (For RDF)</t>
        </is>
      </c>
      <c r="E381" s="108" t="n">
        <v>200</v>
      </c>
      <c r="F381" s="59">
        <f>E381*B381</f>
        <v/>
      </c>
    </row>
    <row r="382" outlineLevel="1" ht="15" customHeight="1">
      <c r="A382" s="14" t="inlineStr">
        <is>
          <t>O.FBR.AERL</t>
        </is>
      </c>
      <c r="B382" s="4" t="n"/>
      <c r="C382" s="5" t="n"/>
      <c r="D382" s="46" t="n"/>
      <c r="E382" s="16" t="n"/>
      <c r="F382" s="59">
        <f>E382*B382</f>
        <v/>
      </c>
    </row>
    <row r="383" outlineLevel="1" ht="15" customHeight="1" thickBot="1">
      <c r="A383" s="65" t="inlineStr">
        <is>
          <t>O.FBR.AERL</t>
        </is>
      </c>
      <c r="B383" s="107" t="n"/>
      <c r="C383" s="6" t="n"/>
      <c r="D383" s="66" t="n"/>
      <c r="E383" s="108" t="n"/>
      <c r="F383" s="60">
        <f>E383*B383</f>
        <v/>
      </c>
    </row>
    <row r="384" outlineLevel="1" ht="15" customHeight="1" thickBot="1">
      <c r="A384" s="93" t="n"/>
      <c r="B384" s="97" t="n"/>
      <c r="C384" s="97" t="n"/>
      <c r="D384" s="1076" t="inlineStr">
        <is>
          <t>AERIAL COPPER SPLICING LABOR</t>
        </is>
      </c>
      <c r="E384" s="1091" t="n"/>
      <c r="F384" s="83" t="n"/>
    </row>
    <row r="385" outlineLevel="1" ht="15" customHeight="1" thickBot="1">
      <c r="A385" s="67" t="inlineStr">
        <is>
          <t>O.CBL.AERL</t>
        </is>
      </c>
      <c r="B385" s="103" t="n"/>
      <c r="C385" s="103" t="n">
        <v>100</v>
      </c>
      <c r="D385" s="106" t="inlineStr">
        <is>
          <t>MISC. COPPER SPLICING LABOR</t>
        </is>
      </c>
      <c r="E385" s="200" t="n">
        <v>100</v>
      </c>
      <c r="F385" s="96">
        <f>B385*E385</f>
        <v/>
      </c>
    </row>
    <row r="386" outlineLevel="1" ht="15" customHeight="1" thickBot="1">
      <c r="A386" s="1075" t="n"/>
      <c r="B386" s="97" t="n"/>
      <c r="C386" s="1076" t="n"/>
      <c r="D386" s="1077" t="inlineStr">
        <is>
          <t>TOTAL - SPLICING AERIAL - LUMOS</t>
        </is>
      </c>
      <c r="E386" s="133" t="n"/>
      <c r="F386" s="61">
        <f>SUM(F342:F383)</f>
        <v/>
      </c>
    </row>
    <row r="387" ht="15" customHeight="1" thickBot="1">
      <c r="A387" s="94" t="inlineStr">
        <is>
          <t>&lt;----Click the + to Expand or Collapse the "SPLCING UNITS" Section</t>
        </is>
      </c>
      <c r="B387" s="98" t="n"/>
      <c r="C387" s="98" t="n"/>
      <c r="D387" s="100" t="n"/>
      <c r="E387" s="1091" t="n"/>
      <c r="F387" s="83" t="n"/>
    </row>
    <row r="388" ht="15" customHeight="1" thickBot="1">
      <c r="A388" s="252" t="n"/>
      <c r="B388" s="185">
        <f>IF(SUM(F426)&gt;0,"-","")</f>
        <v/>
      </c>
      <c r="C388" s="91" t="n"/>
      <c r="D388" s="137" t="inlineStr">
        <is>
          <t>AERIAL SPLCING UNITS</t>
        </is>
      </c>
      <c r="E388" s="119" t="n"/>
      <c r="F388" s="95" t="n"/>
    </row>
    <row r="389" outlineLevel="1" ht="15" customHeight="1">
      <c r="A389" s="253" t="inlineStr">
        <is>
          <t>O.FBR.AERL</t>
        </is>
      </c>
      <c r="B389" s="254" t="n"/>
      <c r="C389" s="255" t="n">
        <v>820</v>
      </c>
      <c r="D389" s="256" t="inlineStr">
        <is>
          <t>Hard Splice Termination</t>
        </is>
      </c>
      <c r="E389" s="257" t="n">
        <v>36</v>
      </c>
      <c r="F389" s="258">
        <f>E389*B389</f>
        <v/>
      </c>
    </row>
    <row r="390" outlineLevel="1" ht="15" customHeight="1">
      <c r="A390" s="259" t="inlineStr">
        <is>
          <t>O.FBR.AERL</t>
        </is>
      </c>
      <c r="B390" s="260" t="n"/>
      <c r="C390" s="261" t="n">
        <v>803</v>
      </c>
      <c r="D390" s="262" t="inlineStr">
        <is>
          <t>Place Simplex Jumper</t>
        </is>
      </c>
      <c r="E390" s="263" t="n">
        <v>7.25</v>
      </c>
      <c r="F390" s="264">
        <f>E390*B390</f>
        <v/>
      </c>
    </row>
    <row r="391" outlineLevel="1" ht="15" customHeight="1">
      <c r="A391" s="259" t="inlineStr">
        <is>
          <t>O.FBR.AERL</t>
        </is>
      </c>
      <c r="B391" s="260" t="n"/>
      <c r="C391" s="261" t="n">
        <v>804</v>
      </c>
      <c r="D391" s="262" t="inlineStr">
        <is>
          <t>Place Duplex Jumper</t>
        </is>
      </c>
      <c r="E391" s="263" t="n">
        <v>7.25</v>
      </c>
      <c r="F391" s="264">
        <f>E391*B391</f>
        <v/>
      </c>
    </row>
    <row r="392" outlineLevel="1" ht="15" customHeight="1">
      <c r="A392" s="259" t="inlineStr">
        <is>
          <t>O.FBR.AERL</t>
        </is>
      </c>
      <c r="B392" s="260" t="n"/>
      <c r="C392" s="261" t="n">
        <v>805</v>
      </c>
      <c r="D392" s="534" t="inlineStr">
        <is>
          <t>Install Closure - One (1) Cable</t>
        </is>
      </c>
      <c r="E392" s="263" t="n">
        <v>135</v>
      </c>
      <c r="F392" s="63">
        <f>E392*B392</f>
        <v/>
      </c>
      <c r="H392" s="500" t="inlineStr">
        <is>
          <t>CLOSURE - 1 CABLE</t>
        </is>
      </c>
      <c r="I392" s="554">
        <f>SUM(J392:AF392)</f>
        <v/>
      </c>
    </row>
    <row r="393" outlineLevel="1" ht="15" customHeight="1">
      <c r="A393" s="259" t="inlineStr">
        <is>
          <t>O.FBR.AERL</t>
        </is>
      </c>
      <c r="B393" s="260" t="n"/>
      <c r="C393" s="261" t="n">
        <v>806</v>
      </c>
      <c r="D393" s="534" t="inlineStr">
        <is>
          <t>Install Closure  - Two (2) Cables</t>
        </is>
      </c>
      <c r="E393" s="263" t="n">
        <v>155</v>
      </c>
      <c r="F393" s="264">
        <f>E393*B393</f>
        <v/>
      </c>
      <c r="H393" s="500" t="inlineStr">
        <is>
          <t>CLOSURE - 2 CABLE</t>
        </is>
      </c>
      <c r="I393" s="554">
        <f>SUM(J393:AF393)</f>
        <v/>
      </c>
    </row>
    <row r="394" outlineLevel="1" ht="15" customHeight="1">
      <c r="A394" s="259" t="inlineStr">
        <is>
          <t>O.FBR.AERL</t>
        </is>
      </c>
      <c r="B394" s="260" t="n"/>
      <c r="C394" s="261" t="n">
        <v>807</v>
      </c>
      <c r="D394" s="534" t="inlineStr">
        <is>
          <t>Cut In Loop/Ring Cut (Closure Install Included)</t>
        </is>
      </c>
      <c r="E394" s="263" t="n">
        <v>190</v>
      </c>
      <c r="F394" s="264">
        <f>E394*B394</f>
        <v/>
      </c>
      <c r="H394" s="500" t="inlineStr">
        <is>
          <t>CLOSURE - RING CUT</t>
        </is>
      </c>
      <c r="I394" s="554">
        <f>SUM(J394:AF394)</f>
        <v/>
      </c>
    </row>
    <row r="395" outlineLevel="1" ht="15" customHeight="1">
      <c r="A395" s="259" t="inlineStr">
        <is>
          <t>O.FBR.AERL</t>
        </is>
      </c>
      <c r="B395" s="260" t="n"/>
      <c r="C395" s="261" t="n">
        <v>808</v>
      </c>
      <c r="D395" s="534" t="inlineStr">
        <is>
          <t>Add/Prep One (1) Additional Cable or Multi-Port to Closure</t>
        </is>
      </c>
      <c r="E395" s="263" t="n">
        <v>80</v>
      </c>
      <c r="F395" s="264">
        <f>E395*B395</f>
        <v/>
      </c>
      <c r="H395" s="500" t="inlineStr">
        <is>
          <t>ADD FOC 3+/MP</t>
        </is>
      </c>
      <c r="I395" s="554">
        <f>SUM(J395:AF395)</f>
        <v/>
      </c>
    </row>
    <row r="396" outlineLevel="1" ht="15" customHeight="1">
      <c r="A396" s="259" t="inlineStr">
        <is>
          <t>O.FBR.AERL</t>
        </is>
      </c>
      <c r="B396" s="260" t="n"/>
      <c r="C396" s="261" t="n">
        <v>809</v>
      </c>
      <c r="D396" s="262" t="inlineStr">
        <is>
          <t>Remove One (1) Cable from Closure</t>
        </is>
      </c>
      <c r="E396" s="263" t="n">
        <v>78</v>
      </c>
      <c r="F396" s="264">
        <f>E396*B396</f>
        <v/>
      </c>
    </row>
    <row r="397" outlineLevel="1" ht="15" customHeight="1">
      <c r="A397" s="259" t="inlineStr">
        <is>
          <t>O.FBR.AERL</t>
        </is>
      </c>
      <c r="B397" s="260" t="n"/>
      <c r="C397" s="261" t="n">
        <v>812</v>
      </c>
      <c r="D397" s="262" t="inlineStr">
        <is>
          <t>Change Out Existing Closure (Non-Preform)</t>
        </is>
      </c>
      <c r="E397" s="263" t="n">
        <v>185</v>
      </c>
      <c r="F397" s="264">
        <f>E397*B397</f>
        <v/>
      </c>
      <c r="H397" s="500" t="inlineStr">
        <is>
          <t>1X4</t>
        </is>
      </c>
      <c r="I397" s="554">
        <f>SUM(J397:AF397)</f>
        <v/>
      </c>
      <c r="J397" s="941" t="n"/>
      <c r="K397" s="941" t="n"/>
      <c r="L397" s="941" t="n"/>
      <c r="M397" s="941" t="n"/>
      <c r="N397" s="941" t="n"/>
      <c r="O397" s="941" t="n"/>
      <c r="P397" s="941" t="n"/>
      <c r="Q397" s="941" t="n"/>
      <c r="R397" s="941" t="n"/>
      <c r="S397" s="941" t="n"/>
      <c r="T397" s="941" t="n"/>
      <c r="U397" s="941" t="n"/>
      <c r="V397" s="941" t="n"/>
      <c r="W397" s="941" t="n"/>
      <c r="X397" s="941" t="n"/>
      <c r="Y397" s="941" t="n"/>
      <c r="Z397" s="941" t="n"/>
      <c r="AA397" s="941" t="n"/>
      <c r="AB397" s="941" t="n"/>
      <c r="AC397" s="941" t="n"/>
      <c r="AD397" s="941" t="n"/>
      <c r="AE397" s="941" t="n"/>
      <c r="AF397" s="941" t="n"/>
      <c r="AG397" s="941" t="n"/>
      <c r="AH397" s="941" t="n"/>
      <c r="AI397" s="941" t="n"/>
      <c r="AJ397" s="941" t="n"/>
      <c r="AK397" s="941" t="n"/>
      <c r="AL397" s="941" t="n"/>
      <c r="AM397" s="941" t="n"/>
      <c r="AN397" s="941" t="n"/>
      <c r="AO397" s="941" t="n"/>
      <c r="AP397" s="941" t="n"/>
      <c r="AQ397" s="941" t="n"/>
      <c r="AR397" s="941" t="n"/>
    </row>
    <row r="398" outlineLevel="1" ht="15" customHeight="1">
      <c r="A398" s="259" t="inlineStr">
        <is>
          <t>O.FBR.AERL</t>
        </is>
      </c>
      <c r="B398" s="260" t="n"/>
      <c r="C398" s="261" t="n">
        <v>813</v>
      </c>
      <c r="D398" s="534" t="inlineStr">
        <is>
          <t>Loose Tube Fusion Splice (Testing Included): 1 - 24 Fibers</t>
        </is>
      </c>
      <c r="E398" s="263" t="n">
        <v>31</v>
      </c>
      <c r="F398" s="264">
        <f>E398*B398</f>
        <v/>
      </c>
      <c r="H398" s="500" t="inlineStr">
        <is>
          <t xml:space="preserve">Loose Tube Fusion Splice </t>
        </is>
      </c>
      <c r="I398" s="554" t="n"/>
      <c r="J398" s="941" t="n"/>
      <c r="K398" s="941" t="n"/>
      <c r="L398" s="941" t="n"/>
      <c r="M398" s="941" t="n"/>
      <c r="N398" s="941" t="n"/>
      <c r="O398" s="941" t="n"/>
      <c r="P398" s="941" t="n"/>
      <c r="Q398" s="941" t="n"/>
      <c r="R398" s="941" t="n"/>
      <c r="S398" s="941" t="n"/>
      <c r="T398" s="941" t="n"/>
      <c r="U398" s="941" t="n"/>
      <c r="V398" s="941" t="n"/>
      <c r="W398" s="941" t="n"/>
      <c r="X398" s="941" t="n"/>
      <c r="Y398" s="941" t="n"/>
      <c r="Z398" s="941" t="n"/>
      <c r="AA398" s="941" t="n"/>
      <c r="AB398" s="941" t="n"/>
      <c r="AC398" s="941" t="n"/>
      <c r="AD398" s="941" t="n"/>
      <c r="AE398" s="941" t="n"/>
      <c r="AF398" s="941" t="n"/>
      <c r="AG398" s="941" t="n"/>
      <c r="AH398" s="941" t="n"/>
      <c r="AI398" s="941" t="n"/>
      <c r="AJ398" s="941" t="n"/>
      <c r="AK398" s="941" t="n"/>
      <c r="AL398" s="941" t="n"/>
      <c r="AM398" s="941" t="n"/>
      <c r="AN398" s="941" t="n"/>
      <c r="AO398" s="941" t="n"/>
      <c r="AP398" s="941" t="n"/>
      <c r="AQ398" s="941" t="n"/>
      <c r="AR398" s="941" t="n"/>
    </row>
    <row r="399" outlineLevel="1" ht="15" customHeight="1">
      <c r="A399" s="259" t="inlineStr">
        <is>
          <t>O.FBR.AERL</t>
        </is>
      </c>
      <c r="B399" s="260" t="n"/>
      <c r="C399" s="261" t="n">
        <v>814</v>
      </c>
      <c r="D399" s="534" t="inlineStr">
        <is>
          <t>Loose Tube Fusion Splice (Testing Included): 25 - 72 Fibers</t>
        </is>
      </c>
      <c r="E399" s="263" t="n">
        <v>29</v>
      </c>
      <c r="F399" s="264">
        <f>E399*B399</f>
        <v/>
      </c>
      <c r="H399" s="500" t="inlineStr">
        <is>
          <t>Ribbon Splice</t>
        </is>
      </c>
      <c r="I399" s="554" t="n"/>
      <c r="J399" s="941" t="n"/>
      <c r="K399" s="941" t="n"/>
      <c r="L399" s="941" t="n"/>
      <c r="M399" s="941" t="n"/>
      <c r="N399" s="941" t="n"/>
      <c r="O399" s="941" t="n"/>
      <c r="P399" s="941" t="n"/>
      <c r="Q399" s="941" t="n"/>
      <c r="R399" s="941" t="n"/>
      <c r="S399" s="941" t="n"/>
      <c r="T399" s="941" t="n"/>
      <c r="U399" s="941" t="n"/>
      <c r="V399" s="941" t="n"/>
      <c r="W399" s="941" t="n"/>
      <c r="X399" s="941" t="n"/>
      <c r="Y399" s="941" t="n"/>
      <c r="Z399" s="941" t="n"/>
      <c r="AA399" s="941" t="n"/>
      <c r="AB399" s="941" t="n"/>
      <c r="AC399" s="941" t="n"/>
      <c r="AD399" s="941" t="n"/>
      <c r="AE399" s="941" t="n"/>
      <c r="AF399" s="941" t="n"/>
      <c r="AG399" s="941" t="n"/>
      <c r="AH399" s="941" t="n"/>
      <c r="AI399" s="941" t="n"/>
      <c r="AJ399" s="941" t="n"/>
      <c r="AK399" s="941" t="n"/>
      <c r="AL399" s="941" t="n"/>
      <c r="AM399" s="941" t="n"/>
      <c r="AN399" s="941" t="n"/>
      <c r="AO399" s="941" t="n"/>
      <c r="AP399" s="941" t="n"/>
      <c r="AQ399" s="941" t="n"/>
      <c r="AR399" s="941" t="n"/>
    </row>
    <row r="400" outlineLevel="1" ht="15" customHeight="1">
      <c r="A400" s="259" t="inlineStr">
        <is>
          <t>O.FBR.AERL</t>
        </is>
      </c>
      <c r="B400" s="260" t="n"/>
      <c r="C400" s="261" t="n">
        <v>815</v>
      </c>
      <c r="D400" s="534" t="inlineStr">
        <is>
          <t>Loose Tube Fusion Splice (Testing Included): 73 - 144 Fibers</t>
        </is>
      </c>
      <c r="E400" s="263" t="n">
        <v>28</v>
      </c>
      <c r="F400" s="264">
        <f>E400*B400</f>
        <v/>
      </c>
      <c r="H400" s="500" t="inlineStr">
        <is>
          <t>Splice_Number</t>
        </is>
      </c>
      <c r="I400" s="554" t="n"/>
      <c r="J400" s="1132" t="n">
        <v>1</v>
      </c>
      <c r="K400" s="1132">
        <f>J400+1</f>
        <v/>
      </c>
      <c r="L400" s="1132">
        <f>K400+1</f>
        <v/>
      </c>
      <c r="M400" s="1132">
        <f>L400+1</f>
        <v/>
      </c>
      <c r="N400" s="1132">
        <f>M400+1</f>
        <v/>
      </c>
      <c r="O400" s="1132">
        <f>N400+1</f>
        <v/>
      </c>
      <c r="P400" s="1132">
        <f>O400+1</f>
        <v/>
      </c>
      <c r="Q400" s="1132">
        <f>P400+1</f>
        <v/>
      </c>
      <c r="R400" s="1132">
        <f>Q400+1</f>
        <v/>
      </c>
      <c r="S400" s="1132">
        <f>R400+1</f>
        <v/>
      </c>
      <c r="T400" s="1132">
        <f>S400+1</f>
        <v/>
      </c>
      <c r="U400" s="1132">
        <f>T400+1</f>
        <v/>
      </c>
      <c r="V400" s="1132">
        <f>U400+1</f>
        <v/>
      </c>
      <c r="W400" s="1132">
        <f>V400+1</f>
        <v/>
      </c>
      <c r="X400" s="1132">
        <f>W400+1</f>
        <v/>
      </c>
      <c r="Y400" s="1132">
        <f>X400+1</f>
        <v/>
      </c>
      <c r="Z400" s="1132">
        <f>Y400+1</f>
        <v/>
      </c>
      <c r="AA400" s="1132">
        <f>Z400+1</f>
        <v/>
      </c>
      <c r="AB400" s="1132">
        <f>AA400+1</f>
        <v/>
      </c>
      <c r="AC400" s="1132">
        <f>AB400+1</f>
        <v/>
      </c>
      <c r="AD400" s="1132">
        <f>AC400+1</f>
        <v/>
      </c>
      <c r="AE400" s="1132">
        <f>AD400+1</f>
        <v/>
      </c>
      <c r="AF400" s="1132">
        <f>AE400+1</f>
        <v/>
      </c>
      <c r="AG400" s="1132">
        <f>AF400+1</f>
        <v/>
      </c>
      <c r="AH400" s="1132">
        <f>AG400+1</f>
        <v/>
      </c>
      <c r="AI400" s="1132">
        <f>AH400+1</f>
        <v/>
      </c>
      <c r="AJ400" s="1132">
        <f>AI400+1</f>
        <v/>
      </c>
      <c r="AK400" s="1132">
        <f>AJ400+1</f>
        <v/>
      </c>
      <c r="AL400" s="1132">
        <f>AK400+1</f>
        <v/>
      </c>
      <c r="AM400" s="1132">
        <f>AL400+1</f>
        <v/>
      </c>
      <c r="AN400" s="1132">
        <f>AM400+1</f>
        <v/>
      </c>
      <c r="AO400" s="1132">
        <f>AN400+1</f>
        <v/>
      </c>
      <c r="AP400" s="1132">
        <f>AO400+1</f>
        <v/>
      </c>
      <c r="AQ400" s="1132">
        <f>AP400+1</f>
        <v/>
      </c>
      <c r="AR400" s="1132">
        <f>AQ400+1</f>
        <v/>
      </c>
    </row>
    <row r="401" outlineLevel="1" ht="15" customHeight="1">
      <c r="A401" s="259" t="inlineStr">
        <is>
          <t>O.FBR.AERL</t>
        </is>
      </c>
      <c r="B401" s="260" t="n"/>
      <c r="C401" s="261" t="n">
        <v>816</v>
      </c>
      <c r="D401" s="534" t="inlineStr">
        <is>
          <t>Loose Tube Fusion Splice (Testing Included): 145 + Fibers</t>
        </is>
      </c>
      <c r="E401" s="263" t="n">
        <v>25</v>
      </c>
      <c r="F401" s="264">
        <f>E401*B401</f>
        <v/>
      </c>
      <c r="H401" s="500" t="n"/>
      <c r="I401" s="554" t="n"/>
    </row>
    <row r="402" outlineLevel="1" ht="15" customHeight="1">
      <c r="A402" s="259" t="inlineStr">
        <is>
          <t>O.FBR.AERL</t>
        </is>
      </c>
      <c r="B402" s="260" t="n"/>
      <c r="C402" s="261" t="n">
        <v>817</v>
      </c>
      <c r="D402" s="262" t="inlineStr">
        <is>
          <t>Fiber Termination &amp; Splcing in FDP (Loose Tube): 1 - 24 Fibers</t>
        </is>
      </c>
      <c r="E402" s="263" t="n">
        <v>36</v>
      </c>
      <c r="F402" s="264">
        <f>E402*B402</f>
        <v/>
      </c>
    </row>
    <row r="403" outlineLevel="1" ht="15" customHeight="1">
      <c r="A403" s="259" t="inlineStr">
        <is>
          <t>O.FBR.AERL</t>
        </is>
      </c>
      <c r="B403" s="260" t="n"/>
      <c r="C403" s="261" t="n">
        <v>818</v>
      </c>
      <c r="D403" s="262" t="inlineStr">
        <is>
          <t>Fiber Termination &amp; Splcing in FDP (Loose Tube): 25-72 Fibers</t>
        </is>
      </c>
      <c r="E403" s="263" t="n">
        <v>24</v>
      </c>
      <c r="F403" s="264">
        <f>E403*B403</f>
        <v/>
      </c>
    </row>
    <row r="404" outlineLevel="1" ht="15" customHeight="1">
      <c r="A404" s="259" t="inlineStr">
        <is>
          <t>O.FBR.AERL</t>
        </is>
      </c>
      <c r="B404" s="260" t="n"/>
      <c r="C404" s="261" t="n">
        <v>819</v>
      </c>
      <c r="D404" s="262" t="inlineStr">
        <is>
          <t>Fiber Termination &amp; Splcing in FDP (Loose Tube): 73-144 Fibers</t>
        </is>
      </c>
      <c r="E404" s="263" t="n">
        <v>33</v>
      </c>
      <c r="F404" s="264">
        <f>E404*B404</f>
        <v/>
      </c>
    </row>
    <row r="405" outlineLevel="1" ht="15" customHeight="1">
      <c r="A405" s="259" t="inlineStr">
        <is>
          <t>O.FBR.AERL</t>
        </is>
      </c>
      <c r="B405" s="260" t="n"/>
      <c r="C405" s="261" t="n">
        <v>820</v>
      </c>
      <c r="D405" s="262" t="inlineStr">
        <is>
          <t>Fiber Termination &amp; Splcing in FDP (Loose Tube): 145 + Fibers</t>
        </is>
      </c>
      <c r="E405" s="263" t="n">
        <v>30</v>
      </c>
      <c r="F405" s="264">
        <f>E405*B405</f>
        <v/>
      </c>
    </row>
    <row r="406" outlineLevel="1" ht="15" customHeight="1">
      <c r="A406" s="259" t="inlineStr">
        <is>
          <t>O.FBR.AERL</t>
        </is>
      </c>
      <c r="B406" s="260" t="n"/>
      <c r="C406" s="261" t="n">
        <v>822</v>
      </c>
      <c r="D406" s="262" t="inlineStr">
        <is>
          <t>OTDR: Per Trace (Hard-Copy Printout on Request)</t>
        </is>
      </c>
      <c r="E406" s="263" t="n">
        <v>16</v>
      </c>
      <c r="F406" s="264">
        <f>E406*B406</f>
        <v/>
      </c>
    </row>
    <row r="407" outlineLevel="1" ht="15" customHeight="1">
      <c r="A407" s="259" t="inlineStr">
        <is>
          <t>O.FBR.AERL</t>
        </is>
      </c>
      <c r="B407" s="260" t="n"/>
      <c r="C407" s="261" t="n">
        <v>823</v>
      </c>
      <c r="D407" s="262" t="inlineStr">
        <is>
          <t>OTDR: Non-Fusion Event  (Hard-Copy Printout on Request)</t>
        </is>
      </c>
      <c r="E407" s="263" t="n">
        <v>12</v>
      </c>
      <c r="F407" s="264">
        <f>E407*B407</f>
        <v/>
      </c>
    </row>
    <row r="408" outlineLevel="1" ht="15" customHeight="1">
      <c r="A408" s="259" t="inlineStr">
        <is>
          <t>O.FBR.AERL</t>
        </is>
      </c>
      <c r="B408" s="260" t="n"/>
      <c r="C408" s="261" t="n">
        <v>824</v>
      </c>
      <c r="D408" s="262" t="inlineStr">
        <is>
          <t>Test Reel Cable - Per Fiber (Hardcopy Printout upon Request)</t>
        </is>
      </c>
      <c r="E408" s="263" t="n">
        <v>9</v>
      </c>
      <c r="F408" s="264">
        <f>E408*B408</f>
        <v/>
      </c>
    </row>
    <row r="409" outlineLevel="1" ht="15" customHeight="1">
      <c r="A409" s="259" t="inlineStr">
        <is>
          <t>O.FBR.AERL</t>
        </is>
      </c>
      <c r="B409" s="260" t="n"/>
      <c r="C409" s="261" t="n">
        <v>827</v>
      </c>
      <c r="D409" s="262" t="inlineStr">
        <is>
          <t>Manhole Set-Up</t>
        </is>
      </c>
      <c r="E409" s="263" t="n">
        <v>165</v>
      </c>
      <c r="F409" s="264">
        <f>E409*B409</f>
        <v/>
      </c>
    </row>
    <row r="410" outlineLevel="1" ht="15" customHeight="1">
      <c r="A410" s="259" t="inlineStr">
        <is>
          <t>O.FBR.AERL</t>
        </is>
      </c>
      <c r="B410" s="260" t="n"/>
      <c r="C410" s="261" t="n">
        <v>828</v>
      </c>
      <c r="D410" s="262" t="inlineStr">
        <is>
          <t>Special Handling of Fiber</t>
        </is>
      </c>
      <c r="E410" s="263" t="n">
        <v>100</v>
      </c>
      <c r="F410" s="264">
        <f>E410*B410</f>
        <v/>
      </c>
    </row>
    <row r="411" outlineLevel="1" ht="15" customHeight="1">
      <c r="A411" s="259" t="inlineStr">
        <is>
          <t>O.FBR.AERL</t>
        </is>
      </c>
      <c r="B411" s="260" t="n"/>
      <c r="C411" s="261" t="n">
        <v>830</v>
      </c>
      <c r="D411" s="262" t="inlineStr">
        <is>
          <t>Hourly Rate Per Fiber Splicer: Daily</t>
        </is>
      </c>
      <c r="E411" s="263" t="n">
        <v>100</v>
      </c>
      <c r="F411" s="264">
        <f>E411*B411</f>
        <v/>
      </c>
    </row>
    <row r="412" outlineLevel="1" ht="15" customHeight="1">
      <c r="A412" s="259" t="inlineStr">
        <is>
          <t>O.FBR.AERL</t>
        </is>
      </c>
      <c r="B412" s="260" t="n"/>
      <c r="C412" s="261" t="n">
        <v>833</v>
      </c>
      <c r="D412" s="262" t="inlineStr">
        <is>
          <t>Traffic Control Laborer</t>
        </is>
      </c>
      <c r="E412" s="263" t="n">
        <v>55</v>
      </c>
      <c r="F412" s="264">
        <f>E412*B412</f>
        <v/>
      </c>
    </row>
    <row r="413" outlineLevel="1" ht="15" customHeight="1">
      <c r="A413" s="259" t="inlineStr">
        <is>
          <t>O.FBR.AERL</t>
        </is>
      </c>
      <c r="B413" s="260" t="n"/>
      <c r="C413" s="261" t="n">
        <v>836</v>
      </c>
      <c r="D413" s="262" t="inlineStr">
        <is>
          <t>Place Aerial Fiber SLIC Closure Accessible (Bucket Truck)</t>
        </is>
      </c>
      <c r="E413" s="263" t="n">
        <v>250</v>
      </c>
      <c r="F413" s="264">
        <f>E413*B413</f>
        <v/>
      </c>
    </row>
    <row r="414" outlineLevel="1" ht="15" customHeight="1">
      <c r="A414" s="259" t="inlineStr">
        <is>
          <t>O.FBR.AERL</t>
        </is>
      </c>
      <c r="B414" s="260" t="n"/>
      <c r="C414" s="261" t="n">
        <v>837</v>
      </c>
      <c r="D414" s="262" t="inlineStr">
        <is>
          <t>Place Aerial Fiber SLIC Closure Non Accessible (Ladder)</t>
        </is>
      </c>
      <c r="E414" s="263" t="n">
        <v>285</v>
      </c>
      <c r="F414" s="264">
        <f>E414*B414</f>
        <v/>
      </c>
    </row>
    <row r="415" outlineLevel="1" ht="15" customHeight="1">
      <c r="A415" s="259" t="inlineStr">
        <is>
          <t>O.FBR.AERL</t>
        </is>
      </c>
      <c r="B415" s="260" t="n"/>
      <c r="C415" s="261" t="n">
        <v>838</v>
      </c>
      <c r="D415" s="534" t="inlineStr">
        <is>
          <t>Splice Ribbon Fiber 1-288</t>
        </is>
      </c>
      <c r="E415" s="263" t="n">
        <v>125</v>
      </c>
      <c r="F415" s="264">
        <f>E415*B415</f>
        <v/>
      </c>
    </row>
    <row r="416" outlineLevel="1" ht="15" customHeight="1">
      <c r="A416" s="259" t="inlineStr">
        <is>
          <t>O.FBR.AERL</t>
        </is>
      </c>
      <c r="B416" s="260" t="n"/>
      <c r="C416" s="1" t="n">
        <v>839</v>
      </c>
      <c r="D416" s="534" t="inlineStr">
        <is>
          <t>Splice Ribbon Fiber 289-432</t>
        </is>
      </c>
      <c r="E416" s="263" t="n">
        <v>120</v>
      </c>
      <c r="F416" s="264">
        <f>E406*B416</f>
        <v/>
      </c>
    </row>
    <row r="417" outlineLevel="1" ht="15" customHeight="1">
      <c r="A417" s="259" t="inlineStr">
        <is>
          <t>O.FBR.AERL</t>
        </is>
      </c>
      <c r="B417" s="260" t="n"/>
      <c r="C417" s="1" t="n">
        <v>840</v>
      </c>
      <c r="D417" s="534" t="inlineStr">
        <is>
          <t>Splice Ribbon Fiber 432 +</t>
        </is>
      </c>
      <c r="E417" s="263" t="n">
        <v>115</v>
      </c>
      <c r="F417" s="264">
        <f>E407*B417</f>
        <v/>
      </c>
    </row>
    <row r="418" outlineLevel="1" ht="15" customHeight="1">
      <c r="A418" s="259" t="inlineStr">
        <is>
          <t>O.FBR.AERL</t>
        </is>
      </c>
      <c r="B418" s="261" t="n"/>
      <c r="C418" s="1" t="n">
        <v>850</v>
      </c>
      <c r="D418" s="534" t="inlineStr">
        <is>
          <t>Install and Test Splitter</t>
        </is>
      </c>
      <c r="E418" s="263" t="n">
        <v>125</v>
      </c>
      <c r="F418" s="264">
        <f>E418*B418</f>
        <v/>
      </c>
    </row>
    <row r="419" outlineLevel="1" ht="15" customHeight="1">
      <c r="A419" s="259" t="inlineStr">
        <is>
          <t>O.FBR.AERL</t>
        </is>
      </c>
      <c r="B419" s="260" t="n"/>
      <c r="C419" s="261" t="n"/>
      <c r="D419" s="262" t="n"/>
      <c r="E419" s="263" t="n"/>
      <c r="F419" s="264" t="n"/>
    </row>
    <row r="420" outlineLevel="1" ht="15" customHeight="1">
      <c r="A420" s="259" t="inlineStr">
        <is>
          <t>O.FBR.AERL</t>
        </is>
      </c>
      <c r="B420" s="260" t="n"/>
      <c r="C420" s="261" t="n">
        <v>999</v>
      </c>
      <c r="D420" s="262" t="inlineStr">
        <is>
          <t>Misc. Material Cost +12%</t>
        </is>
      </c>
      <c r="E420" s="263" t="n"/>
      <c r="F420" s="264">
        <f>E420*B420</f>
        <v/>
      </c>
    </row>
    <row r="421" outlineLevel="1" ht="15" customHeight="1">
      <c r="A421" s="259" t="inlineStr">
        <is>
          <t>O.FBR.AERL</t>
        </is>
      </c>
      <c r="B421" s="260" t="n"/>
      <c r="C421" s="1" t="n"/>
      <c r="D421" s="534" t="inlineStr">
        <is>
          <t>Raise Install and Ground Closure</t>
        </is>
      </c>
      <c r="E421" s="263" t="n">
        <v>100</v>
      </c>
      <c r="F421" s="264">
        <f>E410*B421</f>
        <v/>
      </c>
    </row>
    <row r="422" outlineLevel="1" ht="15" customHeight="1">
      <c r="A422" s="259" t="inlineStr">
        <is>
          <t>O.FBR.AERL</t>
        </is>
      </c>
      <c r="B422" s="260" t="n"/>
      <c r="C422" s="1" t="n"/>
      <c r="D422" s="287" t="inlineStr">
        <is>
          <t>Prep FDP 1-72</t>
        </is>
      </c>
      <c r="E422" s="263" t="n">
        <v>85</v>
      </c>
      <c r="F422" s="264">
        <f>E411*B422</f>
        <v/>
      </c>
    </row>
    <row r="423" outlineLevel="1" ht="15" customHeight="1">
      <c r="A423" s="259" t="inlineStr">
        <is>
          <t>O.FBR.AERL</t>
        </is>
      </c>
      <c r="B423" s="260" t="n"/>
      <c r="C423" s="261" t="n"/>
      <c r="D423" s="287" t="inlineStr">
        <is>
          <t>Prep FDP 72-288</t>
        </is>
      </c>
      <c r="E423" s="263" t="n">
        <v>135</v>
      </c>
      <c r="F423" s="264">
        <f>E423*B423</f>
        <v/>
      </c>
    </row>
    <row r="424" outlineLevel="1" ht="15" customHeight="1">
      <c r="A424" s="259" t="inlineStr">
        <is>
          <t>O.FBR.AERL</t>
        </is>
      </c>
      <c r="B424" s="260" t="n"/>
      <c r="C424" s="261" t="n"/>
      <c r="D424" s="262" t="inlineStr">
        <is>
          <t>Mount, Label, Install adapter panels in FDP</t>
        </is>
      </c>
      <c r="E424" s="263" t="n">
        <v>45</v>
      </c>
      <c r="F424" s="264">
        <f>E424*B424</f>
        <v/>
      </c>
    </row>
    <row r="425" outlineLevel="1" ht="15" customHeight="1" thickBot="1">
      <c r="A425" s="259" t="inlineStr">
        <is>
          <t>O.FBR.AERL</t>
        </is>
      </c>
      <c r="B425" s="260" t="n"/>
      <c r="C425" s="265" t="n"/>
      <c r="D425" s="266" t="n"/>
      <c r="E425" s="263" t="n"/>
      <c r="F425" s="264">
        <f>E425*B425</f>
        <v/>
      </c>
    </row>
    <row r="426" outlineLevel="1" ht="15" customHeight="1" thickBot="1">
      <c r="A426" s="90" t="n"/>
      <c r="B426" s="185" t="n"/>
      <c r="C426" s="91" t="n"/>
      <c r="D426" s="269" t="inlineStr">
        <is>
          <t>TOTAL - SPLICING AERIAL - LUMOS</t>
        </is>
      </c>
      <c r="E426" s="270" t="n"/>
      <c r="F426" s="271">
        <f>SUM(F389:F425)</f>
        <v/>
      </c>
    </row>
    <row r="427" ht="15" customHeight="1" thickBot="1">
      <c r="A427" s="573" t="inlineStr">
        <is>
          <t>&lt;----Click the + to Expand or Collapse the "AERIAL SPLCING UNITS" Section</t>
        </is>
      </c>
      <c r="B427" s="588" t="n"/>
      <c r="C427" s="588" t="n"/>
      <c r="D427" s="589" t="n"/>
      <c r="E427" s="580" t="n"/>
      <c r="F427" s="581" t="n"/>
    </row>
    <row r="428" ht="15" customHeight="1" thickBot="1">
      <c r="A428" s="126" t="n"/>
      <c r="B428" s="98">
        <f>IF(SUM(F439)&gt;0,"-","")</f>
        <v/>
      </c>
      <c r="C428" s="100" t="n"/>
      <c r="D428" s="100" t="inlineStr">
        <is>
          <t>FTTP UNIT PRICING</t>
        </is>
      </c>
      <c r="E428" s="118" t="n"/>
      <c r="F428" s="102" t="n"/>
    </row>
    <row r="429" outlineLevel="1" ht="15" customHeight="1">
      <c r="A429" s="3" t="inlineStr">
        <is>
          <t>O.FBR.BURD</t>
        </is>
      </c>
      <c r="B429" s="54" t="n"/>
      <c r="C429" s="143" t="n">
        <v>800</v>
      </c>
      <c r="D429" s="240" t="inlineStr">
        <is>
          <t xml:space="preserve">Composite any method Buried FTTP @ 24" depth 1 duct - includes cable, multiport, conduit, pedestals, handhole and flower pot placement </t>
        </is>
      </c>
      <c r="E429" s="87" t="n">
        <v>6.8</v>
      </c>
      <c r="F429" s="64">
        <f>E429*B429</f>
        <v/>
      </c>
    </row>
    <row r="430" outlineLevel="1" ht="15" customHeight="1">
      <c r="A430" s="3" t="inlineStr">
        <is>
          <t>O.FBR.BURD</t>
        </is>
      </c>
      <c r="B430" s="54" t="n"/>
      <c r="C430" s="143" t="inlineStr">
        <is>
          <t>800A</t>
        </is>
      </c>
      <c r="D430" s="240" t="inlineStr">
        <is>
          <t>Composite any method Buried FTTP @ 24" depth 2 ducts - includes cable, multiports, conduit, pedestals, handhole and flower pots placement</t>
        </is>
      </c>
      <c r="E430" s="87" t="n">
        <v>7.8</v>
      </c>
      <c r="F430" s="64">
        <f>E430*B430</f>
        <v/>
      </c>
    </row>
    <row r="431" outlineLevel="1" ht="15" customHeight="1">
      <c r="A431" s="3" t="inlineStr">
        <is>
          <t>O.FBR.BURD</t>
        </is>
      </c>
      <c r="B431" s="54" t="n"/>
      <c r="C431" s="143" t="inlineStr">
        <is>
          <t>800B</t>
        </is>
      </c>
      <c r="D431" s="240" t="inlineStr">
        <is>
          <t>Composite any method Buried FTTP @ 24" depth 3 ducts - includes cable, multiports, conduit, pedestals, handhole and flower pots placement</t>
        </is>
      </c>
      <c r="E431" s="87" t="n">
        <v>8.800000000000001</v>
      </c>
      <c r="F431" s="64">
        <f>E431*B431</f>
        <v/>
      </c>
    </row>
    <row r="432" outlineLevel="1" ht="15" customHeight="1">
      <c r="A432" s="3" t="inlineStr">
        <is>
          <t>O.FBR.BURD</t>
        </is>
      </c>
      <c r="B432" s="54" t="n"/>
      <c r="C432" s="143" t="inlineStr">
        <is>
          <t>800C</t>
        </is>
      </c>
      <c r="D432" s="240" t="inlineStr">
        <is>
          <t>Composite any method Buried FTTP @ 24" depth 4 ducts - includes cable, multiports, conduit, pedestals, handhole and flower pots placement</t>
        </is>
      </c>
      <c r="E432" s="87" t="n">
        <v>9.800000000000001</v>
      </c>
      <c r="F432" s="64">
        <f>E432*B432</f>
        <v/>
      </c>
    </row>
    <row r="433" outlineLevel="1" ht="15" customHeight="1">
      <c r="A433" s="3" t="inlineStr">
        <is>
          <t>O.FBR.BURD</t>
        </is>
      </c>
      <c r="B433" s="54" t="n"/>
      <c r="C433" s="143" t="inlineStr">
        <is>
          <t>800D</t>
        </is>
      </c>
      <c r="D433" s="240" t="inlineStr">
        <is>
          <t>Composite any method Buried FTTP @ 24" depth 5 ducts -  includes cable, multiports, conduit, pedestals, handhole and flower pots placement</t>
        </is>
      </c>
      <c r="E433" s="87" t="n">
        <v>10.8</v>
      </c>
      <c r="F433" s="64">
        <f>E433*B433</f>
        <v/>
      </c>
    </row>
    <row r="434" outlineLevel="1" ht="15" customHeight="1">
      <c r="A434" s="3" t="inlineStr">
        <is>
          <t>O.FBR.BURD</t>
        </is>
      </c>
      <c r="B434" s="54" t="n"/>
      <c r="C434" s="143" t="n">
        <v>801</v>
      </c>
      <c r="D434" s="240" t="inlineStr">
        <is>
          <t>Rock Adder</t>
        </is>
      </c>
      <c r="E434" s="87" t="n">
        <v>7.95</v>
      </c>
      <c r="F434" s="64">
        <f>E434*B434</f>
        <v/>
      </c>
    </row>
    <row r="435" outlineLevel="1" ht="15" customHeight="1">
      <c r="A435" s="71" t="inlineStr">
        <is>
          <t>O.FBR.BURD</t>
        </is>
      </c>
      <c r="B435" s="72" t="n"/>
      <c r="C435" s="201" t="n">
        <v>802</v>
      </c>
      <c r="D435" s="241" t="inlineStr">
        <is>
          <t>Additional Fiber Aerial Multiport (This is an adder for 420, 425 and 430) First multiport or cable will be one of those units then this unit will be used per each additional multiport placed.</t>
        </is>
      </c>
      <c r="E435" s="73" t="n">
        <v>0.42</v>
      </c>
      <c r="F435" s="75">
        <f>E435*B435</f>
        <v/>
      </c>
    </row>
    <row r="436" outlineLevel="1" ht="15" customHeight="1">
      <c r="A436" s="14" t="inlineStr">
        <is>
          <t>O.FBR.AERL</t>
        </is>
      </c>
      <c r="B436" s="4" t="n"/>
      <c r="C436" s="15" t="n">
        <v>803</v>
      </c>
      <c r="D436" s="241" t="inlineStr">
        <is>
          <t>Mount Multi Port Tap to Strand</t>
        </is>
      </c>
      <c r="E436" s="16" t="n">
        <v>16.5</v>
      </c>
      <c r="F436" s="59">
        <f>E436*B436</f>
        <v/>
      </c>
    </row>
    <row r="437" outlineLevel="1" ht="15" customHeight="1">
      <c r="A437" s="14" t="inlineStr">
        <is>
          <t>O.FBR.BURD</t>
        </is>
      </c>
      <c r="B437" s="4" t="n"/>
      <c r="C437" s="15" t="inlineStr">
        <is>
          <t>804A</t>
        </is>
      </c>
      <c r="D437" s="241" t="inlineStr">
        <is>
          <t>Pull Additional Fibers in Conduit (Same Operation) ea.</t>
        </is>
      </c>
      <c r="E437" s="108" t="n">
        <v>0.35</v>
      </c>
      <c r="F437" s="59">
        <f>E437*B437</f>
        <v/>
      </c>
    </row>
    <row r="438" outlineLevel="1" ht="15" customHeight="1" thickBot="1">
      <c r="A438" s="14" t="inlineStr">
        <is>
          <t>O.FBR.BURD</t>
        </is>
      </c>
      <c r="B438" s="4" t="n"/>
      <c r="C438" s="15" t="n">
        <v>815</v>
      </c>
      <c r="D438" s="241" t="inlineStr">
        <is>
          <t>Place/Remove or Transfer Fiber Term/LCP (Pole or Handhole installation)</t>
        </is>
      </c>
      <c r="E438" s="16" t="n">
        <v>202</v>
      </c>
      <c r="F438" s="59">
        <f>E438*B438</f>
        <v/>
      </c>
    </row>
    <row r="439" outlineLevel="1" ht="15" customHeight="1" thickBot="1">
      <c r="A439" s="117" t="n"/>
      <c r="B439" s="186" t="n"/>
      <c r="C439" s="99" t="n"/>
      <c r="D439" s="127" t="inlineStr">
        <is>
          <t>TOTAL - FTTH UNIT PRICING</t>
        </is>
      </c>
      <c r="E439" s="125" t="n"/>
      <c r="F439" s="58">
        <f>SUM(F429:F438)</f>
        <v/>
      </c>
    </row>
    <row r="440" ht="15" customHeight="1" thickBot="1">
      <c r="A440" s="94" t="inlineStr">
        <is>
          <t>&lt;----Click the + to Expand or Collapse the "FTTP UNIT PRICING" Section</t>
        </is>
      </c>
      <c r="B440" s="97" t="n"/>
      <c r="C440" s="1076" t="n"/>
      <c r="D440" s="1076" t="n"/>
      <c r="E440" s="1091" t="n"/>
      <c r="F440" s="83" t="n"/>
    </row>
    <row r="441" ht="15" customHeight="1" thickBot="1">
      <c r="A441" s="123" t="n"/>
      <c r="B441" s="142">
        <f>IF(SUM(F466)&gt;0,"-","")</f>
        <v/>
      </c>
      <c r="C441" s="124" t="n"/>
      <c r="D441" s="124" t="inlineStr">
        <is>
          <t>MISCELLANEOUS LABOR</t>
        </is>
      </c>
      <c r="E441" s="128" t="n"/>
      <c r="F441" s="129" t="n"/>
    </row>
    <row r="442" outlineLevel="1" ht="15" customHeight="1">
      <c r="A442" s="10" t="inlineStr">
        <is>
          <t>MISC.</t>
        </is>
      </c>
      <c r="B442" s="52" t="n"/>
      <c r="C442" s="17" t="n">
        <v>756</v>
      </c>
      <c r="D442" s="18" t="inlineStr">
        <is>
          <t>Lineman Regular Time</t>
        </is>
      </c>
      <c r="E442" s="82" t="n">
        <v>40</v>
      </c>
      <c r="F442" s="74">
        <f>E442*B442</f>
        <v/>
      </c>
    </row>
    <row r="443" outlineLevel="1" ht="15" customHeight="1">
      <c r="A443" s="8" t="inlineStr">
        <is>
          <t>MISC.</t>
        </is>
      </c>
      <c r="B443" s="1073" t="n"/>
      <c r="C443" s="1" t="n">
        <v>757</v>
      </c>
      <c r="D443" s="20" t="inlineStr">
        <is>
          <t>Lineman Overtime</t>
        </is>
      </c>
      <c r="E443" s="82" t="n">
        <v>60</v>
      </c>
      <c r="F443" s="63">
        <f>E443*B443</f>
        <v/>
      </c>
    </row>
    <row r="444" outlineLevel="1" ht="15" customHeight="1">
      <c r="A444" s="8" t="inlineStr">
        <is>
          <t>MISC.</t>
        </is>
      </c>
      <c r="B444" s="1073" t="n"/>
      <c r="C444" s="1" t="n">
        <v>758</v>
      </c>
      <c r="D444" s="20" t="inlineStr">
        <is>
          <t>Equipment Operator Regular Time</t>
        </is>
      </c>
      <c r="E444" s="82" t="n">
        <v>35</v>
      </c>
      <c r="F444" s="63">
        <f>E444*B444</f>
        <v/>
      </c>
    </row>
    <row r="445" outlineLevel="1" ht="15" customHeight="1">
      <c r="A445" s="8" t="inlineStr">
        <is>
          <t>MISC.</t>
        </is>
      </c>
      <c r="B445" s="1073" t="n"/>
      <c r="C445" s="1" t="n">
        <v>759</v>
      </c>
      <c r="D445" s="20" t="inlineStr">
        <is>
          <t>Equipment Operator Overtime</t>
        </is>
      </c>
      <c r="E445" s="82" t="n">
        <v>52.5</v>
      </c>
      <c r="F445" s="63">
        <f>E445*B445</f>
        <v/>
      </c>
    </row>
    <row r="446" outlineLevel="1" ht="15" customHeight="1">
      <c r="A446" s="8" t="inlineStr">
        <is>
          <t>MISC.</t>
        </is>
      </c>
      <c r="B446" s="1073" t="n"/>
      <c r="C446" s="1" t="n">
        <v>760</v>
      </c>
      <c r="D446" s="20" t="inlineStr">
        <is>
          <t>Groundman / Laborer / Flagger Regular Time</t>
        </is>
      </c>
      <c r="E446" s="82" t="n">
        <v>30</v>
      </c>
      <c r="F446" s="63">
        <f>E446*B446</f>
        <v/>
      </c>
    </row>
    <row r="447" outlineLevel="1" ht="15" customHeight="1">
      <c r="A447" s="8" t="inlineStr">
        <is>
          <t>MISC.</t>
        </is>
      </c>
      <c r="B447" s="1073" t="n"/>
      <c r="C447" s="1" t="n">
        <v>761</v>
      </c>
      <c r="D447" s="20" t="inlineStr">
        <is>
          <t>Groundman / Laborer / Flagger Overtime</t>
        </is>
      </c>
      <c r="E447" s="82" t="n">
        <v>45</v>
      </c>
      <c r="F447" s="63">
        <f>E447*B447</f>
        <v/>
      </c>
    </row>
    <row r="448" outlineLevel="1" ht="15" customHeight="1">
      <c r="A448" s="8" t="inlineStr">
        <is>
          <t>MISC.</t>
        </is>
      </c>
      <c r="B448" s="1073" t="n"/>
      <c r="C448" s="1" t="n">
        <v>762</v>
      </c>
      <c r="D448" s="20" t="inlineStr">
        <is>
          <t>Line truck</t>
        </is>
      </c>
      <c r="E448" s="82" t="n">
        <v>60</v>
      </c>
      <c r="F448" s="63">
        <f>E448*B448</f>
        <v/>
      </c>
    </row>
    <row r="449" outlineLevel="1" ht="15" customHeight="1">
      <c r="A449" s="8" t="inlineStr">
        <is>
          <t>MISC.</t>
        </is>
      </c>
      <c r="B449" s="1073" t="n"/>
      <c r="C449" s="1" t="n">
        <v>763</v>
      </c>
      <c r="D449" s="20" t="inlineStr">
        <is>
          <t>Bucket truck</t>
        </is>
      </c>
      <c r="E449" s="82" t="n">
        <v>60</v>
      </c>
      <c r="F449" s="63">
        <f>E449*B449</f>
        <v/>
      </c>
    </row>
    <row r="450" outlineLevel="1" ht="15" customHeight="1">
      <c r="A450" s="8" t="inlineStr">
        <is>
          <t>MISC.</t>
        </is>
      </c>
      <c r="B450" s="1073" t="n"/>
      <c r="C450" s="1" t="n">
        <v>764</v>
      </c>
      <c r="D450" s="20" t="inlineStr">
        <is>
          <t>Pickup</t>
        </is>
      </c>
      <c r="E450" s="82" t="n">
        <v>35</v>
      </c>
      <c r="F450" s="63">
        <f>E450*B450</f>
        <v/>
      </c>
    </row>
    <row r="451" outlineLevel="1" ht="15" customHeight="1">
      <c r="A451" s="8" t="inlineStr">
        <is>
          <t>MISC.</t>
        </is>
      </c>
      <c r="B451" s="1073" t="n"/>
      <c r="C451" s="1" t="n">
        <v>765</v>
      </c>
      <c r="D451" s="20" t="inlineStr">
        <is>
          <t>Trailer; Cable /Pole / Equipment</t>
        </is>
      </c>
      <c r="E451" s="82" t="n">
        <v>12</v>
      </c>
      <c r="F451" s="63">
        <f>E451*B451</f>
        <v/>
      </c>
    </row>
    <row r="452" outlineLevel="1" ht="15" customHeight="1">
      <c r="A452" s="8" t="inlineStr">
        <is>
          <t>MISC.</t>
        </is>
      </c>
      <c r="B452" s="1073" t="n"/>
      <c r="C452" s="1" t="n">
        <v>767</v>
      </c>
      <c r="D452" s="20" t="inlineStr">
        <is>
          <t xml:space="preserve">Backhoe  </t>
        </is>
      </c>
      <c r="E452" s="82" t="n">
        <v>55</v>
      </c>
      <c r="F452" s="63">
        <f>E452*B452</f>
        <v/>
      </c>
    </row>
    <row r="453" outlineLevel="1" ht="15" customHeight="1">
      <c r="A453" s="8" t="inlineStr">
        <is>
          <t>MISC.</t>
        </is>
      </c>
      <c r="B453" s="1073" t="n"/>
      <c r="C453" s="1" t="n">
        <v>768</v>
      </c>
      <c r="D453" s="20" t="inlineStr">
        <is>
          <t>Cable Plow</t>
        </is>
      </c>
      <c r="E453" s="82" t="n">
        <v>40</v>
      </c>
      <c r="F453" s="63">
        <f>E453*B453</f>
        <v/>
      </c>
    </row>
    <row r="454" outlineLevel="1" ht="15" customHeight="1">
      <c r="A454" s="8" t="inlineStr">
        <is>
          <t>MISC.</t>
        </is>
      </c>
      <c r="B454" s="1073" t="n"/>
      <c r="C454" s="1" t="n">
        <v>769</v>
      </c>
      <c r="D454" s="20" t="inlineStr">
        <is>
          <t>Drop Plow</t>
        </is>
      </c>
      <c r="E454" s="82" t="n">
        <v>30</v>
      </c>
      <c r="F454" s="63">
        <f>E454*B454</f>
        <v/>
      </c>
    </row>
    <row r="455" outlineLevel="1" ht="15" customHeight="1">
      <c r="A455" s="8" t="inlineStr">
        <is>
          <t>MISC.</t>
        </is>
      </c>
      <c r="B455" s="1073" t="n"/>
      <c r="C455" s="1" t="n">
        <v>770</v>
      </c>
      <c r="D455" s="20" t="inlineStr">
        <is>
          <t>Utility Truck</t>
        </is>
      </c>
      <c r="E455" s="82" t="n">
        <v>35</v>
      </c>
      <c r="F455" s="63">
        <f>E455*B455</f>
        <v/>
      </c>
    </row>
    <row r="456" outlineLevel="1" ht="15" customHeight="1">
      <c r="A456" s="8" t="inlineStr">
        <is>
          <t>MISC.</t>
        </is>
      </c>
      <c r="B456" s="1073" t="n"/>
      <c r="C456" s="1" t="n">
        <v>771</v>
      </c>
      <c r="D456" s="20" t="inlineStr">
        <is>
          <t>Directional Boring Machine</t>
        </is>
      </c>
      <c r="E456" s="82" t="n">
        <v>85</v>
      </c>
      <c r="F456" s="63">
        <f>E456*B456</f>
        <v/>
      </c>
    </row>
    <row r="457" outlineLevel="1" ht="15" customHeight="1">
      <c r="A457" s="8" t="inlineStr">
        <is>
          <t>MISC.</t>
        </is>
      </c>
      <c r="B457" s="1073" t="n"/>
      <c r="C457" s="1" t="n">
        <v>772</v>
      </c>
      <c r="D457" s="20" t="inlineStr">
        <is>
          <t>Splicer w/ pick-up, ladder &amp; tools</t>
        </is>
      </c>
      <c r="E457" s="82" t="n">
        <v>76</v>
      </c>
      <c r="F457" s="63">
        <f>E457*B457</f>
        <v/>
      </c>
    </row>
    <row r="458" outlineLevel="1" ht="15" customHeight="1">
      <c r="A458" s="8" t="inlineStr">
        <is>
          <t>MISC.</t>
        </is>
      </c>
      <c r="B458" s="1073" t="n"/>
      <c r="C458" s="1" t="n">
        <v>773</v>
      </c>
      <c r="D458" s="20" t="inlineStr">
        <is>
          <t>Splicer w/ bucket truck &amp; tools</t>
        </is>
      </c>
      <c r="E458" s="82" t="n">
        <v>100</v>
      </c>
      <c r="F458" s="63">
        <f>E458*B458</f>
        <v/>
      </c>
    </row>
    <row r="459" outlineLevel="1" ht="15" customHeight="1">
      <c r="A459" s="8" t="inlineStr">
        <is>
          <t>MISC.</t>
        </is>
      </c>
      <c r="B459" s="1073" t="n"/>
      <c r="C459" s="1" t="n">
        <v>774</v>
      </c>
      <c r="D459" s="20" t="inlineStr">
        <is>
          <t>Chipper</t>
        </is>
      </c>
      <c r="E459" s="82" t="n">
        <v>35</v>
      </c>
      <c r="F459" s="63">
        <f>E459*B459</f>
        <v/>
      </c>
    </row>
    <row r="460" outlineLevel="1" ht="15" customHeight="1">
      <c r="A460" s="8" t="inlineStr">
        <is>
          <t>MISC.</t>
        </is>
      </c>
      <c r="B460" s="1073" t="n"/>
      <c r="C460" s="1" t="n">
        <v>775</v>
      </c>
      <c r="D460" s="20" t="inlineStr">
        <is>
          <t>Chainsaw</t>
        </is>
      </c>
      <c r="E460" s="82" t="n">
        <v>8</v>
      </c>
      <c r="F460" s="63">
        <f>E460*B460</f>
        <v/>
      </c>
    </row>
    <row r="461" outlineLevel="1" ht="15" customHeight="1">
      <c r="A461" s="88" t="inlineStr">
        <is>
          <t>MISC.</t>
        </is>
      </c>
      <c r="B461" s="55" t="n"/>
      <c r="C461" s="79" t="n">
        <v>776</v>
      </c>
      <c r="D461" s="80" t="inlineStr">
        <is>
          <t>Tractor</t>
        </is>
      </c>
      <c r="E461" s="82" t="n">
        <v>35</v>
      </c>
      <c r="F461" s="84">
        <f>E461*B461</f>
        <v/>
      </c>
    </row>
    <row r="462" outlineLevel="1" ht="15" customHeight="1">
      <c r="A462" s="88" t="n"/>
      <c r="B462" s="55" t="n"/>
      <c r="C462" s="79" t="n"/>
      <c r="D462" s="80" t="n"/>
      <c r="E462" s="81" t="n"/>
      <c r="F462" s="63" t="n"/>
    </row>
    <row r="463" outlineLevel="1" ht="15" customHeight="1">
      <c r="A463" s="88" t="n"/>
      <c r="B463" s="55" t="n"/>
      <c r="C463" s="79" t="n"/>
      <c r="D463" s="80" t="n"/>
      <c r="E463" s="81" t="n"/>
      <c r="F463" s="63" t="n"/>
    </row>
    <row r="464" outlineLevel="1" ht="15" customHeight="1">
      <c r="A464" s="88" t="n"/>
      <c r="B464" s="55" t="n"/>
      <c r="C464" s="79" t="n"/>
      <c r="D464" s="80" t="n"/>
      <c r="E464" s="81" t="n"/>
      <c r="F464" s="63" t="n"/>
    </row>
    <row r="465" outlineLevel="1" ht="15" customHeight="1" thickBot="1">
      <c r="A465" s="88" t="n"/>
      <c r="B465" s="55" t="n"/>
      <c r="C465" s="79" t="n"/>
      <c r="D465" s="80" t="n"/>
      <c r="E465" s="81" t="n"/>
      <c r="F465" s="63" t="n"/>
    </row>
    <row r="466" outlineLevel="1" ht="15" customHeight="1" thickBot="1">
      <c r="A466" s="110" t="n"/>
      <c r="B466" s="111" t="n"/>
      <c r="C466" s="112" t="n"/>
      <c r="D466" s="113" t="inlineStr">
        <is>
          <t>Total - MISCELLANEOUS LABOR</t>
        </is>
      </c>
      <c r="E466" s="114" t="n"/>
      <c r="F466" s="115">
        <f>SUM(F442:F465)</f>
        <v/>
      </c>
    </row>
    <row r="467" ht="15" customHeight="1" thickBot="1">
      <c r="A467" s="92" t="inlineStr">
        <is>
          <t>&lt;----Click the + to Expand or Collapse the "MISCELLANEOUS LABOR" Section</t>
        </is>
      </c>
      <c r="B467" s="247" t="n"/>
      <c r="C467" s="185" t="n"/>
      <c r="D467" s="248" t="n"/>
      <c r="E467" s="249" t="n"/>
      <c r="F467" s="116" t="n"/>
    </row>
    <row r="468" ht="15" customHeight="1" thickBot="1">
      <c r="A468" s="123" t="n"/>
      <c r="B468" s="142">
        <f>IF(SUM(F487)&gt;0,"-","")</f>
        <v/>
      </c>
      <c r="C468" s="124" t="n"/>
      <c r="D468" s="124" t="inlineStr">
        <is>
          <t>MISCELLANEOUS LABOR</t>
        </is>
      </c>
      <c r="E468" s="128" t="n"/>
      <c r="F468" s="129" t="n"/>
    </row>
    <row r="469" outlineLevel="1" ht="15" customHeight="1">
      <c r="A469" s="10" t="inlineStr">
        <is>
          <t>MISC.</t>
        </is>
      </c>
      <c r="B469" s="52" t="n"/>
      <c r="C469" s="17" t="n">
        <v>700</v>
      </c>
      <c r="D469" s="18" t="inlineStr">
        <is>
          <t>Lineman Regular Time</t>
        </is>
      </c>
      <c r="E469" s="274" t="n">
        <v>45.36</v>
      </c>
      <c r="F469" s="74">
        <f>E469*B469</f>
        <v/>
      </c>
    </row>
    <row r="470" outlineLevel="1" ht="15" customHeight="1">
      <c r="A470" s="8" t="inlineStr">
        <is>
          <t>MISC.</t>
        </is>
      </c>
      <c r="B470" s="1073" t="n"/>
      <c r="C470" s="1" t="n">
        <v>701</v>
      </c>
      <c r="D470" s="20" t="inlineStr">
        <is>
          <t>Lineman Overtime</t>
        </is>
      </c>
      <c r="E470" s="274" t="n">
        <v>68.04000000000001</v>
      </c>
      <c r="F470" s="63">
        <f>E470*B470</f>
        <v/>
      </c>
    </row>
    <row r="471" outlineLevel="1" ht="15" customHeight="1">
      <c r="A471" s="8" t="inlineStr">
        <is>
          <t>MISC.</t>
        </is>
      </c>
      <c r="B471" s="1073" t="n"/>
      <c r="C471" s="1" t="n">
        <v>702</v>
      </c>
      <c r="D471" s="20" t="inlineStr">
        <is>
          <t>Equipment Operator Regular Time</t>
        </is>
      </c>
      <c r="E471" s="274" t="n">
        <v>42.53</v>
      </c>
      <c r="F471" s="63">
        <f>E471*B471</f>
        <v/>
      </c>
    </row>
    <row r="472" outlineLevel="1" ht="15" customHeight="1">
      <c r="A472" s="8" t="inlineStr">
        <is>
          <t>MISC.</t>
        </is>
      </c>
      <c r="B472" s="1073" t="n"/>
      <c r="C472" s="1" t="n">
        <v>703</v>
      </c>
      <c r="D472" s="20" t="inlineStr">
        <is>
          <t>Equipment Operator Overtime</t>
        </is>
      </c>
      <c r="E472" s="274" t="n">
        <v>63.79</v>
      </c>
      <c r="F472" s="63">
        <f>E472*B472</f>
        <v/>
      </c>
    </row>
    <row r="473" outlineLevel="1" ht="15" customHeight="1">
      <c r="A473" s="8" t="inlineStr">
        <is>
          <t>MISC.</t>
        </is>
      </c>
      <c r="B473" s="1073" t="n"/>
      <c r="C473" s="1" t="n">
        <v>704</v>
      </c>
      <c r="D473" s="20" t="inlineStr">
        <is>
          <t>Groundman / Laborer / Flagger Regular Time</t>
        </is>
      </c>
      <c r="E473" s="274" t="n">
        <v>35.44</v>
      </c>
      <c r="F473" s="63">
        <f>E473*B473</f>
        <v/>
      </c>
    </row>
    <row r="474" outlineLevel="1" ht="15" customHeight="1">
      <c r="A474" s="8" t="inlineStr">
        <is>
          <t>MISC.</t>
        </is>
      </c>
      <c r="B474" s="1073" t="n"/>
      <c r="C474" s="1" t="n">
        <v>705</v>
      </c>
      <c r="D474" s="20" t="inlineStr">
        <is>
          <t>Groundman / Laborer / Flagger Overtime</t>
        </is>
      </c>
      <c r="E474" s="274" t="n">
        <v>53.16</v>
      </c>
      <c r="F474" s="63">
        <f>E474*B474</f>
        <v/>
      </c>
    </row>
    <row r="475" outlineLevel="1" ht="15" customHeight="1">
      <c r="A475" s="8" t="inlineStr">
        <is>
          <t>MISC.</t>
        </is>
      </c>
      <c r="B475" s="1073" t="n"/>
      <c r="C475" s="1" t="n">
        <v>706</v>
      </c>
      <c r="D475" s="20" t="inlineStr">
        <is>
          <t>Line truck</t>
        </is>
      </c>
      <c r="E475" s="274" t="n">
        <v>49.61</v>
      </c>
      <c r="F475" s="63">
        <f>E475*B475</f>
        <v/>
      </c>
    </row>
    <row r="476" outlineLevel="1" ht="15" customHeight="1">
      <c r="A476" s="8" t="inlineStr">
        <is>
          <t>MISC.</t>
        </is>
      </c>
      <c r="B476" s="1073" t="n"/>
      <c r="C476" s="1" t="n">
        <v>707</v>
      </c>
      <c r="D476" s="20" t="inlineStr">
        <is>
          <t>Bucket truck</t>
        </is>
      </c>
      <c r="E476" s="274" t="n">
        <v>49.61</v>
      </c>
      <c r="F476" s="63">
        <f>E476*B476</f>
        <v/>
      </c>
    </row>
    <row r="477" outlineLevel="1" ht="15" customHeight="1">
      <c r="A477" s="8" t="inlineStr">
        <is>
          <t>MISC.</t>
        </is>
      </c>
      <c r="B477" s="1073" t="n"/>
      <c r="C477" s="1" t="n">
        <v>708</v>
      </c>
      <c r="D477" s="20" t="inlineStr">
        <is>
          <t>Pickup</t>
        </is>
      </c>
      <c r="E477" s="274" t="n">
        <v>16.91</v>
      </c>
      <c r="F477" s="63">
        <f>E477*B477</f>
        <v/>
      </c>
    </row>
    <row r="478" outlineLevel="1" ht="15" customHeight="1">
      <c r="A478" s="8" t="inlineStr">
        <is>
          <t>MISC.</t>
        </is>
      </c>
      <c r="B478" s="1073" t="n"/>
      <c r="C478" s="1" t="n">
        <v>709</v>
      </c>
      <c r="D478" s="20" t="inlineStr">
        <is>
          <t>Trailer; Cable /Pole / Equipment</t>
        </is>
      </c>
      <c r="E478" s="274" t="n">
        <v>9.66</v>
      </c>
      <c r="F478" s="63">
        <f>E478*B478</f>
        <v/>
      </c>
    </row>
    <row r="479" outlineLevel="1" ht="15" customHeight="1">
      <c r="A479" s="8" t="inlineStr">
        <is>
          <t>MISC.</t>
        </is>
      </c>
      <c r="B479" s="1073" t="n"/>
      <c r="C479" s="1" t="n">
        <v>711</v>
      </c>
      <c r="D479" s="20" t="inlineStr">
        <is>
          <t xml:space="preserve">Backhoe  </t>
        </is>
      </c>
      <c r="E479" s="274" t="n">
        <v>39.24</v>
      </c>
      <c r="F479" s="63">
        <f>E479*B479</f>
        <v/>
      </c>
    </row>
    <row r="480" outlineLevel="1" ht="15" customHeight="1">
      <c r="A480" s="8" t="inlineStr">
        <is>
          <t>MISC.</t>
        </is>
      </c>
      <c r="B480" s="1073" t="n"/>
      <c r="C480" s="1" t="n">
        <v>712</v>
      </c>
      <c r="D480" s="20" t="inlineStr">
        <is>
          <t>Cable Plow</t>
        </is>
      </c>
      <c r="E480" s="274" t="n">
        <v>33.81</v>
      </c>
      <c r="F480" s="63">
        <f>E480*B480</f>
        <v/>
      </c>
    </row>
    <row r="481" outlineLevel="1" ht="15" customHeight="1">
      <c r="A481" s="8" t="inlineStr">
        <is>
          <t>MISC.</t>
        </is>
      </c>
      <c r="B481" s="1073" t="n"/>
      <c r="C481" s="1" t="n">
        <v>713</v>
      </c>
      <c r="D481" s="20" t="inlineStr">
        <is>
          <t>Drop Plow</t>
        </is>
      </c>
      <c r="E481" s="274" t="n">
        <v>21.73</v>
      </c>
      <c r="F481" s="63">
        <f>E481*B481</f>
        <v/>
      </c>
    </row>
    <row r="482" outlineLevel="1" ht="15" customHeight="1">
      <c r="A482" s="8" t="inlineStr">
        <is>
          <t>MISC.</t>
        </is>
      </c>
      <c r="B482" s="1073" t="n"/>
      <c r="C482" s="1" t="n">
        <v>714</v>
      </c>
      <c r="D482" s="20" t="inlineStr">
        <is>
          <t>Utility Truck</t>
        </is>
      </c>
      <c r="E482" s="274" t="n">
        <v>24.15</v>
      </c>
      <c r="F482" s="63">
        <f>E482*B482</f>
        <v/>
      </c>
    </row>
    <row r="483" outlineLevel="1" ht="15" customHeight="1">
      <c r="A483" s="8" t="inlineStr">
        <is>
          <t>MISC.</t>
        </is>
      </c>
      <c r="B483" s="1073" t="n"/>
      <c r="C483" s="1" t="n">
        <v>715</v>
      </c>
      <c r="D483" s="20" t="inlineStr">
        <is>
          <t>Directional Boring Machine</t>
        </is>
      </c>
      <c r="E483" s="274" t="n">
        <v>82.11</v>
      </c>
      <c r="F483" s="63">
        <f>E483*B483</f>
        <v/>
      </c>
    </row>
    <row r="484" outlineLevel="1" ht="15" customHeight="1">
      <c r="A484" s="8" t="inlineStr">
        <is>
          <t>MISC.</t>
        </is>
      </c>
      <c r="B484" s="1073" t="n"/>
      <c r="C484" s="1" t="n">
        <v>999</v>
      </c>
      <c r="D484" s="20" t="inlineStr">
        <is>
          <t>Miscellaneous Material Cost +% to inlcude taxes, is applicable, and applied in accordance with section 14 of the Agreement, and freight</t>
        </is>
      </c>
      <c r="E484" s="274" t="n">
        <v>0</v>
      </c>
      <c r="F484" s="63" t="n"/>
    </row>
    <row r="485" outlineLevel="1" ht="15" customHeight="1">
      <c r="A485" s="8" t="inlineStr">
        <is>
          <t>MISC.</t>
        </is>
      </c>
      <c r="B485" s="1073" t="n"/>
      <c r="C485" s="1" t="n"/>
      <c r="D485" s="20" t="inlineStr">
        <is>
          <t>In-House Copper Splicing</t>
        </is>
      </c>
      <c r="E485" s="274" t="n">
        <v>100</v>
      </c>
      <c r="F485" s="63">
        <f>B485*E485</f>
        <v/>
      </c>
    </row>
    <row r="486" outlineLevel="1" ht="15" customHeight="1" thickBot="1">
      <c r="A486" s="8" t="n"/>
      <c r="B486" s="1073" t="n"/>
      <c r="C486" s="1" t="n"/>
      <c r="D486" s="20" t="n"/>
      <c r="E486" s="82" t="n"/>
      <c r="F486" s="63" t="n"/>
    </row>
    <row r="487" outlineLevel="1" ht="15" customHeight="1" thickBot="1">
      <c r="A487" s="282" t="n"/>
      <c r="B487" s="283" t="n"/>
      <c r="C487" s="211" t="n"/>
      <c r="D487" s="284" t="inlineStr">
        <is>
          <t>Total - MISCELLANEOUS LABOR</t>
        </is>
      </c>
      <c r="E487" s="285" t="n"/>
      <c r="F487" s="286">
        <f>SUM(F469:F486)</f>
        <v/>
      </c>
    </row>
    <row r="488" ht="15" customHeight="1" thickBot="1">
      <c r="A488" s="214" t="inlineStr">
        <is>
          <t>&lt;----Click the + to Expand or Collapse the "MISCELLANEOUS LABOR" Section</t>
        </is>
      </c>
      <c r="B488" s="49" t="n"/>
      <c r="F488" s="251" t="n"/>
    </row>
    <row r="489" ht="15" customHeight="1" thickBot="1">
      <c r="A489" s="159" t="n"/>
      <c r="B489" s="97" t="inlineStr">
        <is>
          <t>TOTAL LABOR COST</t>
        </is>
      </c>
      <c r="C489" s="1076" t="n"/>
      <c r="D489" s="1076" t="n"/>
      <c r="E489" s="1076" t="n"/>
      <c r="F489" s="102">
        <f>SUM(F29,F35,F56,F139,F159,F185,F216,F243,F262,F307,F339,F386,F426,F439,F466,F487)</f>
        <v/>
      </c>
    </row>
    <row r="490" ht="15" customHeight="1">
      <c r="A490" s="48" t="n"/>
      <c r="B490" s="47" t="n"/>
      <c r="D490" s="56" t="n"/>
      <c r="E490" s="13" t="n"/>
      <c r="G490" s="12" t="n"/>
      <c r="H490" s="543" t="n"/>
    </row>
    <row r="491" ht="15" customHeight="1">
      <c r="C491" s="56" t="n"/>
      <c r="D491" s="56" t="n"/>
    </row>
  </sheetData>
  <autoFilter ref="B5:B490"/>
  <mergeCells count="3">
    <mergeCell ref="A3:B3"/>
    <mergeCell ref="A2:B2"/>
    <mergeCell ref="A1:B1"/>
  </mergeCells>
  <pageMargins left="0.7" right="0.7" top="0.75" bottom="0.75" header="0.3" footer="0.3"/>
  <pageSetup orientation="portrait"/>
  <legacyDrawing xmlns:r="http://schemas.openxmlformats.org/officeDocument/2006/relationships" r:id="anysvml"/>
</worksheet>
</file>

<file path=xl/worksheets/sheet5.xml><?xml version="1.0" encoding="utf-8"?>
<worksheet xmlns="http://schemas.openxmlformats.org/spreadsheetml/2006/main">
  <sheetPr codeName="Sheet6">
    <outlinePr summaryBelow="1" summaryRight="1"/>
    <pageSetUpPr/>
  </sheetPr>
  <dimension ref="A1:H71"/>
  <sheetViews>
    <sheetView workbookViewId="0">
      <selection activeCell="C37" sqref="C37"/>
    </sheetView>
  </sheetViews>
  <sheetFormatPr baseColWidth="8" defaultColWidth="9" defaultRowHeight="15"/>
  <cols>
    <col width="12.140625" customWidth="1" style="109" min="1" max="1"/>
    <col width="53.140625" customWidth="1" style="57" min="2" max="2"/>
    <col width="9.85546875" customWidth="1" style="693" min="3" max="3"/>
  </cols>
  <sheetData>
    <row r="1">
      <c r="A1" s="999" t="inlineStr">
        <is>
          <t>NAME</t>
        </is>
      </c>
      <c r="B1" s="665">
        <f>'COVER SHEET'!B2:D2</f>
        <v/>
      </c>
      <c r="C1" s="666" t="n"/>
    </row>
    <row r="2">
      <c r="A2" s="999" t="inlineStr">
        <is>
          <t>LOCATION</t>
        </is>
      </c>
      <c r="B2" s="665">
        <f>'COVER SHEET'!B3:D3</f>
        <v/>
      </c>
      <c r="C2" s="667" t="n"/>
    </row>
    <row r="3">
      <c r="A3" s="999" t="inlineStr">
        <is>
          <t>Project #</t>
        </is>
      </c>
      <c r="B3" s="665">
        <f>'COVER SHEET'!F4</f>
        <v/>
      </c>
      <c r="C3" s="667" t="n"/>
    </row>
    <row r="4">
      <c r="A4" s="999" t="inlineStr">
        <is>
          <t>MetaSolv #</t>
        </is>
      </c>
      <c r="B4" s="665">
        <f>'COVER SHEET'!B9</f>
        <v/>
      </c>
      <c r="C4" s="666" t="n"/>
    </row>
    <row r="5">
      <c r="A5" s="999" t="inlineStr">
        <is>
          <t>DDID #</t>
        </is>
      </c>
      <c r="B5" s="665">
        <f>RIGHT(B3,5)</f>
        <v/>
      </c>
      <c r="C5" s="666" t="n"/>
    </row>
    <row r="6" ht="15.75" customHeight="1" thickBot="1">
      <c r="A6" s="999" t="inlineStr">
        <is>
          <t>CODE</t>
        </is>
      </c>
      <c r="B6" s="665" t="inlineStr">
        <is>
          <t>DESCRIPTION</t>
        </is>
      </c>
      <c r="C6" s="667" t="inlineStr">
        <is>
          <t>AMOUNT</t>
        </is>
      </c>
    </row>
    <row r="7" ht="15.75" customHeight="1" thickBot="1">
      <c r="A7" s="121" t="n"/>
      <c r="B7" s="122" t="inlineStr">
        <is>
          <t>ENGINEERING</t>
        </is>
      </c>
      <c r="C7" s="668" t="n"/>
    </row>
    <row r="8">
      <c r="A8" s="669" t="n"/>
      <c r="B8" s="670" t="inlineStr">
        <is>
          <t>PROJECT PLANNING / DESIGN</t>
        </is>
      </c>
      <c r="C8" s="671" t="n"/>
    </row>
    <row r="9">
      <c r="A9" s="672" t="n"/>
      <c r="B9" s="49" t="inlineStr">
        <is>
          <t>Project Planning / Design - Contract Labor</t>
        </is>
      </c>
      <c r="C9" s="673">
        <f>SUM(LABOR!F8:F27)</f>
        <v/>
      </c>
    </row>
    <row r="10">
      <c r="A10" s="672" t="n"/>
      <c r="B10" s="49" t="inlineStr">
        <is>
          <t>Project Planning / Design - Company Labor</t>
        </is>
      </c>
      <c r="C10" s="673">
        <f>LABOR!F7</f>
        <v/>
      </c>
    </row>
    <row r="11">
      <c r="A11" s="672" t="n"/>
      <c r="B11" s="49" t="inlineStr">
        <is>
          <t>Misc. Copper Splicing Labor</t>
        </is>
      </c>
      <c r="C11" s="673">
        <f>LABOR!F385</f>
        <v/>
      </c>
    </row>
    <row r="12" ht="15.75" customHeight="1" thickBot="1">
      <c r="A12" s="674" t="n"/>
      <c r="B12" s="675" t="inlineStr">
        <is>
          <t>Job Coordination/Lumos Labor</t>
        </is>
      </c>
      <c r="C12" s="676">
        <f>LABOR!F28</f>
        <v/>
      </c>
    </row>
    <row r="13">
      <c r="A13" s="677" t="n"/>
      <c r="B13" s="678" t="inlineStr">
        <is>
          <t>JOB PRINTS / DRAFTING</t>
        </is>
      </c>
      <c r="C13" s="679" t="n"/>
    </row>
    <row r="14">
      <c r="A14" s="672" t="n"/>
      <c r="B14" s="49" t="inlineStr">
        <is>
          <t>Job Prints / Mapping - Contract Labor</t>
        </is>
      </c>
      <c r="C14" s="673">
        <f>SUM(LABOR!F32,LABOR!F34)</f>
        <v/>
      </c>
    </row>
    <row r="15" ht="15.75" customHeight="1" thickBot="1">
      <c r="A15" s="674" t="n"/>
      <c r="B15" s="675" t="inlineStr">
        <is>
          <t>Job Prints/ Mapping - Company Labor</t>
        </is>
      </c>
      <c r="C15" s="676">
        <f>LABOR!F33</f>
        <v/>
      </c>
    </row>
    <row r="16">
      <c r="A16" s="680" t="n"/>
      <c r="B16" s="678" t="inlineStr">
        <is>
          <t>PERMITS AND AUTHORIZATION</t>
        </is>
      </c>
      <c r="C16" s="679" t="n"/>
      <c r="H16" s="681" t="n"/>
    </row>
    <row r="17">
      <c r="A17" s="672" t="n"/>
      <c r="B17" s="49" t="inlineStr">
        <is>
          <t>Permits / Authorization - Contract Labor</t>
        </is>
      </c>
      <c r="C17" s="673">
        <f>LABOR!F44</f>
        <v/>
      </c>
    </row>
    <row r="18">
      <c r="A18" s="672" t="n"/>
      <c r="B18" s="49" t="inlineStr">
        <is>
          <t>Permits / Authorization - Company Labor</t>
        </is>
      </c>
      <c r="C18" s="673">
        <f>LABOR!F43</f>
        <v/>
      </c>
    </row>
    <row r="19">
      <c r="A19" s="669" t="n"/>
      <c r="B19" s="49" t="inlineStr">
        <is>
          <t>Easements / Acquisition - Contract Labor</t>
        </is>
      </c>
      <c r="C19" s="673">
        <f>LABOR!F39</f>
        <v/>
      </c>
    </row>
    <row r="20">
      <c r="A20" s="682" t="n"/>
      <c r="B20" s="49" t="inlineStr">
        <is>
          <t>Easements / Acquisition - Company Labor</t>
        </is>
      </c>
      <c r="C20" s="673">
        <f>LABOR!F38</f>
        <v/>
      </c>
    </row>
    <row r="21">
      <c r="A21" s="682" t="n"/>
      <c r="B21" s="49" t="inlineStr">
        <is>
          <t>CONTRACTOR - NEGOTIATION OF EASEMENT BEYOND FIRST ATTEMPT</t>
        </is>
      </c>
      <c r="C21" s="673">
        <f>LABOR!F40</f>
        <v/>
      </c>
    </row>
    <row r="22">
      <c r="A22" s="682" t="n"/>
      <c r="B22" s="49" t="inlineStr">
        <is>
          <t>CONTRACTOR - NEGOTIATION OF BUILDING LICENSE AGREEMENTS</t>
        </is>
      </c>
      <c r="C22" s="673">
        <f>LABOR!F41</f>
        <v/>
      </c>
    </row>
    <row r="23">
      <c r="A23" s="682" t="n"/>
      <c r="B23" s="49" t="inlineStr">
        <is>
          <t>CONTRACTOR - SPECIALIZED PERMITS</t>
        </is>
      </c>
      <c r="C23" s="673">
        <f>LABOR!F47</f>
        <v/>
      </c>
    </row>
    <row r="24">
      <c r="A24" s="682" t="n"/>
      <c r="B24" s="49" t="inlineStr">
        <is>
          <t>CONTRACTOR - PE STAMP - PLUS 15% OF COST</t>
        </is>
      </c>
      <c r="C24" s="673">
        <f>LABOR!F48</f>
        <v/>
      </c>
    </row>
    <row r="25">
      <c r="A25" s="682" t="n"/>
      <c r="B25" s="49" t="inlineStr">
        <is>
          <t>Administration Permitting Time - Company Labor</t>
        </is>
      </c>
      <c r="C25" s="673">
        <f>LABOR!F45</f>
        <v/>
      </c>
    </row>
    <row r="26">
      <c r="A26" s="682" t="n"/>
      <c r="B26" s="49" t="inlineStr">
        <is>
          <t>Administration Permitting Time - Contract Labor</t>
        </is>
      </c>
      <c r="C26" s="673">
        <f>LABOR!F46</f>
        <v/>
      </c>
      <c r="E26" s="681" t="n"/>
    </row>
    <row r="27">
      <c r="A27" s="672" t="n"/>
      <c r="B27" s="49" t="inlineStr">
        <is>
          <t>Easement Fees</t>
        </is>
      </c>
      <c r="C27" s="673">
        <f>LABOR!F42</f>
        <v/>
      </c>
    </row>
    <row r="28" ht="15.75" customHeight="1" thickBot="1">
      <c r="A28" s="674" t="n"/>
      <c r="B28" s="675" t="inlineStr">
        <is>
          <t>Permit Fees</t>
        </is>
      </c>
      <c r="C28" s="676">
        <f>SUM(LABOR!F49:F54)</f>
        <v/>
      </c>
    </row>
    <row r="29">
      <c r="A29" s="680" t="n"/>
      <c r="B29" s="678" t="inlineStr">
        <is>
          <t>PROJECT PLANNING / CONSTRUCTION / ADMIN</t>
        </is>
      </c>
      <c r="C29" s="683" t="n"/>
    </row>
    <row r="30" ht="15.75" customHeight="1" thickBot="1">
      <c r="A30" s="684" t="n"/>
      <c r="B30" s="685" t="inlineStr">
        <is>
          <t>TRAFFIC CONTROL</t>
        </is>
      </c>
      <c r="C30" s="676">
        <f>PERMITS!P88</f>
        <v/>
      </c>
    </row>
    <row r="31">
      <c r="A31" s="680" t="n"/>
      <c r="B31" s="678" t="inlineStr">
        <is>
          <t>PLACE POLE</t>
        </is>
      </c>
      <c r="C31" s="683" t="n"/>
      <c r="E31" s="681" t="n"/>
    </row>
    <row r="32">
      <c r="A32" s="672" t="inlineStr">
        <is>
          <t>O.POLES</t>
        </is>
      </c>
      <c r="B32" s="49" t="inlineStr">
        <is>
          <t>Contractor Labor</t>
        </is>
      </c>
      <c r="C32" s="673">
        <f>SUM(LABOR!F139,LABOR!F159)</f>
        <v/>
      </c>
    </row>
    <row r="33">
      <c r="A33" s="672" t="inlineStr">
        <is>
          <t>O.POLES</t>
        </is>
      </c>
      <c r="B33" s="49" t="inlineStr">
        <is>
          <t>Material - Pole</t>
        </is>
      </c>
      <c r="C33" s="673">
        <f>MATERIAL!H26</f>
        <v/>
      </c>
    </row>
    <row r="34">
      <c r="A34" s="672" t="inlineStr">
        <is>
          <t>O.POLES</t>
        </is>
      </c>
      <c r="B34" s="686" t="inlineStr">
        <is>
          <t>Provisioning - Pole Material</t>
        </is>
      </c>
      <c r="C34" s="673">
        <f>MATERIAL!H27</f>
        <v/>
      </c>
      <c r="G34" s="681" t="n"/>
    </row>
    <row r="35" ht="15.75" customHeight="1" thickBot="1">
      <c r="A35" s="674" t="inlineStr">
        <is>
          <t>O.POLES</t>
        </is>
      </c>
      <c r="B35" s="685" t="inlineStr">
        <is>
          <t>Total + Tax - Pole Material</t>
        </is>
      </c>
      <c r="C35" s="676">
        <f>MATERIAL!H28</f>
        <v/>
      </c>
    </row>
    <row r="36">
      <c r="A36" s="680" t="n"/>
      <c r="B36" s="687" t="inlineStr">
        <is>
          <t>PLACE CABLE</t>
        </is>
      </c>
      <c r="C36" s="683" t="n"/>
    </row>
    <row r="37">
      <c r="A37" s="672" t="inlineStr">
        <is>
          <t>O.FBR.AERL</t>
        </is>
      </c>
      <c r="B37" s="49" t="inlineStr">
        <is>
          <t>Contractor Labor - Aerial Fiber</t>
        </is>
      </c>
      <c r="C37" s="673">
        <f>SUM(LABOR!F185,LABOR!F216)</f>
        <v/>
      </c>
    </row>
    <row r="38">
      <c r="A38" s="672" t="inlineStr">
        <is>
          <t>O.FBR.AERL</t>
        </is>
      </c>
      <c r="B38" s="49" t="inlineStr">
        <is>
          <t>Material - Aerial Fiber</t>
        </is>
      </c>
      <c r="C38" s="673">
        <f>MATERIAL!H102</f>
        <v/>
      </c>
      <c r="G38" s="681" t="n"/>
    </row>
    <row r="39">
      <c r="A39" s="672" t="inlineStr">
        <is>
          <t>O.FBR.AERL</t>
        </is>
      </c>
      <c r="B39" s="686" t="inlineStr">
        <is>
          <t>Provisioning - Aerial Material</t>
        </is>
      </c>
      <c r="C39" s="673">
        <f>MATERIAL!H103</f>
        <v/>
      </c>
    </row>
    <row r="40">
      <c r="A40" s="688" t="inlineStr">
        <is>
          <t>O.FBR.AERL</t>
        </is>
      </c>
      <c r="B40" s="689" t="inlineStr">
        <is>
          <t>Total + Tax - Aerial Material</t>
        </is>
      </c>
      <c r="C40" s="690">
        <f>MATERIAL!H104</f>
        <v/>
      </c>
    </row>
    <row r="41">
      <c r="A41" s="672" t="inlineStr">
        <is>
          <t>O.FBR.UNDG</t>
        </is>
      </c>
      <c r="B41" s="49" t="inlineStr">
        <is>
          <t>Contractor Labor - Underground</t>
        </is>
      </c>
      <c r="C41" s="673">
        <f>SUM(LABOR!F243,LABOR!F262)</f>
        <v/>
      </c>
    </row>
    <row r="42">
      <c r="A42" s="672" t="inlineStr">
        <is>
          <t>O.FBR.UNDG</t>
        </is>
      </c>
      <c r="B42" s="49" t="inlineStr">
        <is>
          <t>Material - Underground</t>
        </is>
      </c>
      <c r="C42" s="673">
        <f>MATERIAL!H170</f>
        <v/>
      </c>
    </row>
    <row r="43">
      <c r="A43" s="672" t="inlineStr">
        <is>
          <t>O.FBR.UNDG</t>
        </is>
      </c>
      <c r="B43" s="686" t="inlineStr">
        <is>
          <t>Provisioning - Underground Material</t>
        </is>
      </c>
      <c r="C43" s="673">
        <f>MATERIAL!H171</f>
        <v/>
      </c>
    </row>
    <row r="44">
      <c r="A44" s="688" t="inlineStr">
        <is>
          <t>O.FBR.UNDG</t>
        </is>
      </c>
      <c r="B44" s="689" t="inlineStr">
        <is>
          <t>Total + Tax - Underground Material</t>
        </is>
      </c>
      <c r="C44" s="690">
        <f>MATERIAL!H172</f>
        <v/>
      </c>
      <c r="E44" s="681" t="n"/>
    </row>
    <row r="45">
      <c r="A45" s="672" t="inlineStr">
        <is>
          <t>O.FBR.BURD</t>
        </is>
      </c>
      <c r="B45" s="49" t="inlineStr">
        <is>
          <t>Contractor Labor - Buried</t>
        </is>
      </c>
      <c r="C45" s="673">
        <f>SUM(LABOR!F307,LABOR!F339)</f>
        <v/>
      </c>
      <c r="E45" s="681" t="n"/>
    </row>
    <row r="46">
      <c r="A46" s="672" t="inlineStr">
        <is>
          <t>O.FBR.BURD</t>
        </is>
      </c>
      <c r="B46" s="49" t="inlineStr">
        <is>
          <t>Material - Buried</t>
        </is>
      </c>
      <c r="C46" s="673">
        <f>MATERIAL!H238</f>
        <v/>
      </c>
    </row>
    <row r="47">
      <c r="A47" s="672" t="inlineStr">
        <is>
          <t>O.FBR.BURD</t>
        </is>
      </c>
      <c r="B47" s="686" t="inlineStr">
        <is>
          <t>Provisioning - Buried Material</t>
        </is>
      </c>
      <c r="C47" s="673">
        <f>MATERIAL!H239</f>
        <v/>
      </c>
    </row>
    <row r="48" ht="15.75" customHeight="1" thickBot="1">
      <c r="A48" s="674" t="inlineStr">
        <is>
          <t>O.FBR.BURD</t>
        </is>
      </c>
      <c r="B48" s="685" t="inlineStr">
        <is>
          <t>Total + Tax - Buried Material</t>
        </is>
      </c>
      <c r="C48" s="676">
        <f>MATERIAL!H240</f>
        <v/>
      </c>
    </row>
    <row r="49">
      <c r="A49" s="680" t="n"/>
      <c r="B49" s="678" t="inlineStr">
        <is>
          <t>PLACE CONDUIT</t>
        </is>
      </c>
      <c r="C49" s="683" t="n"/>
    </row>
    <row r="50">
      <c r="A50" s="672" t="inlineStr">
        <is>
          <t>O.CONDUIT</t>
        </is>
      </c>
      <c r="B50" s="49" t="inlineStr">
        <is>
          <t>Material - Buried Fiber</t>
        </is>
      </c>
      <c r="C50" s="673">
        <f>MATERIAL!H268</f>
        <v/>
      </c>
    </row>
    <row r="51">
      <c r="A51" s="672" t="inlineStr">
        <is>
          <t>O.CONDUIT</t>
        </is>
      </c>
      <c r="B51" s="686" t="inlineStr">
        <is>
          <t>Provisioning - Conduit Material</t>
        </is>
      </c>
      <c r="C51" s="673">
        <f>MATERIAL!H269</f>
        <v/>
      </c>
    </row>
    <row r="52" ht="15.75" customHeight="1" thickBot="1">
      <c r="A52" s="674" t="inlineStr">
        <is>
          <t>O.CONDUIT</t>
        </is>
      </c>
      <c r="B52" s="685" t="inlineStr">
        <is>
          <t>Total + Tax - Conduit Material</t>
        </is>
      </c>
      <c r="C52" s="676">
        <f>MATERIAL!H270</f>
        <v/>
      </c>
    </row>
    <row r="53">
      <c r="A53" s="680" t="n"/>
      <c r="B53" s="678" t="inlineStr">
        <is>
          <t>AFO SPLICE</t>
        </is>
      </c>
      <c r="C53" s="683" t="n"/>
    </row>
    <row r="54">
      <c r="A54" s="672" t="inlineStr">
        <is>
          <t>O.FBR.AERL</t>
        </is>
      </c>
      <c r="B54" s="49" t="inlineStr">
        <is>
          <t>Lumos Labor - Splice Aerial Fiber</t>
        </is>
      </c>
      <c r="C54" s="673">
        <f>LABOR!F386</f>
        <v/>
      </c>
    </row>
    <row r="55">
      <c r="A55" s="672" t="inlineStr">
        <is>
          <t>O.FBR.AERL</t>
        </is>
      </c>
      <c r="B55" s="49" t="inlineStr">
        <is>
          <t>Material - Aerial Fiber</t>
        </is>
      </c>
      <c r="C55" s="673">
        <f>MATERIAL!H292</f>
        <v/>
      </c>
    </row>
    <row r="56">
      <c r="A56" s="672" t="inlineStr">
        <is>
          <t>O.FBR.AERL</t>
        </is>
      </c>
      <c r="B56" s="686" t="inlineStr">
        <is>
          <t>Provisioning - Aerial Splicing Material</t>
        </is>
      </c>
      <c r="C56" s="673">
        <f>MATERIAL!H293</f>
        <v/>
      </c>
    </row>
    <row r="57" ht="15.75" customHeight="1" thickBot="1">
      <c r="A57" s="674" t="inlineStr">
        <is>
          <t>O.FBR.AERL</t>
        </is>
      </c>
      <c r="B57" s="685" t="inlineStr">
        <is>
          <t>Total + Tax - Aerial Splicing Material</t>
        </is>
      </c>
      <c r="C57" s="676">
        <f>MATERIAL!H294</f>
        <v/>
      </c>
    </row>
    <row r="58">
      <c r="A58" s="672" t="n"/>
      <c r="B58" s="678" t="inlineStr">
        <is>
          <t>ONE COMM SPLICE</t>
        </is>
      </c>
      <c r="C58" s="673" t="n"/>
    </row>
    <row r="59">
      <c r="A59" s="672" t="inlineStr">
        <is>
          <t>O.FBR.UNDG</t>
        </is>
      </c>
      <c r="B59" s="49" t="inlineStr">
        <is>
          <t>Lumos Labor - Splice Underground Fiber</t>
        </is>
      </c>
      <c r="C59" s="673">
        <f>LABOR!F426</f>
        <v/>
      </c>
    </row>
    <row r="60">
      <c r="A60" s="672" t="inlineStr">
        <is>
          <t>O.FBR.UNDG</t>
        </is>
      </c>
      <c r="B60" s="49" t="inlineStr">
        <is>
          <t>Material - Underground Fiber</t>
        </is>
      </c>
      <c r="C60" s="673">
        <f>MATERIAL!H319</f>
        <v/>
      </c>
    </row>
    <row r="61">
      <c r="A61" s="672" t="inlineStr">
        <is>
          <t>O.FBR.UNDG</t>
        </is>
      </c>
      <c r="B61" s="686" t="inlineStr">
        <is>
          <t>Provisioning - Underground Splicing  Material</t>
        </is>
      </c>
      <c r="C61" s="673">
        <f>MATERIAL!H320</f>
        <v/>
      </c>
    </row>
    <row r="62" ht="15.75" customHeight="1" thickBot="1">
      <c r="A62" s="674" t="inlineStr">
        <is>
          <t>O.FBR.UNDG</t>
        </is>
      </c>
      <c r="B62" s="685" t="inlineStr">
        <is>
          <t>Total + Tax - Underground Splicing Material</t>
        </is>
      </c>
      <c r="C62" s="673">
        <f>MATERIAL!H321</f>
        <v/>
      </c>
    </row>
    <row r="63">
      <c r="A63" s="677" t="n"/>
      <c r="B63" s="678" t="inlineStr">
        <is>
          <t>MISCELLANEOUS LABOR</t>
        </is>
      </c>
      <c r="C63" s="679" t="n"/>
    </row>
    <row r="64" ht="15.75" customHeight="1" thickBot="1">
      <c r="A64" s="674" t="inlineStr">
        <is>
          <t>MISC.</t>
        </is>
      </c>
      <c r="B64" s="685" t="inlineStr">
        <is>
          <t>Total - MISCELLANEOUS LABOR</t>
        </is>
      </c>
      <c r="C64" s="676">
        <f>LABOR!F466</f>
        <v/>
      </c>
    </row>
    <row r="65">
      <c r="A65" s="680" t="n"/>
      <c r="B65" s="678" t="inlineStr">
        <is>
          <t>ACCESS EQUIPMENT</t>
        </is>
      </c>
      <c r="C65" s="683" t="n"/>
    </row>
    <row r="66">
      <c r="A66" s="669" t="n"/>
      <c r="B66" s="686" t="inlineStr">
        <is>
          <t>PLACE FTTP EQUIP</t>
        </is>
      </c>
      <c r="C66" s="671">
        <f>LABOR!F438</f>
        <v/>
      </c>
    </row>
    <row r="67">
      <c r="A67" s="669" t="n"/>
      <c r="B67" s="686" t="inlineStr">
        <is>
          <t>HLE ACCESS EQUIP.</t>
        </is>
      </c>
      <c r="C67" s="671">
        <f>PERMITS!G70</f>
        <v/>
      </c>
    </row>
    <row r="68">
      <c r="A68" s="669" t="n"/>
      <c r="B68" s="686" t="inlineStr">
        <is>
          <t>DROPS</t>
        </is>
      </c>
      <c r="C68" s="671">
        <f>SUM(MATERIAL!H157:H158,MATERIAL!H84:H85,MATERIAL!H225:H226)</f>
        <v/>
      </c>
    </row>
    <row r="69" ht="15.75" customHeight="1" thickBot="1">
      <c r="A69" s="684" t="n"/>
      <c r="B69" s="685" t="inlineStr">
        <is>
          <t>ONT'S</t>
        </is>
      </c>
      <c r="C69" s="691">
        <f>SUM(MATERIAL!H338:H340)</f>
        <v/>
      </c>
      <c r="E69" s="681" t="n"/>
    </row>
    <row r="70" ht="15.75" customHeight="1" thickBot="1">
      <c r="A70" s="101" t="inlineStr">
        <is>
          <t>S.D.EQ</t>
        </is>
      </c>
      <c r="B70" s="692" t="inlineStr">
        <is>
          <t>TOTAL ACCESS EQUIPMENT</t>
        </is>
      </c>
      <c r="C70" s="668">
        <f>MATERIAL!H346</f>
        <v/>
      </c>
      <c r="E70" s="681" t="n"/>
    </row>
    <row r="71" ht="15.75" customHeight="1" thickBot="1">
      <c r="A71" s="121" t="n"/>
      <c r="B71" s="692" t="inlineStr">
        <is>
          <t>TOTAL JOB COST</t>
        </is>
      </c>
      <c r="C71" s="668">
        <f>SUM(C9:C28,C30:C32,C35,C37,C40,C41,C44,C45,C48,C52,C54,C57,C59,C62,C64,C66,C70)</f>
        <v/>
      </c>
    </row>
  </sheetData>
  <pageMargins left="0.7" right="0.7" top="0.75" bottom="0.75" header="0.3" footer="0.3"/>
</worksheet>
</file>

<file path=xl/worksheets/sheet6.xml><?xml version="1.0" encoding="utf-8"?>
<worksheet xmlns="http://schemas.openxmlformats.org/spreadsheetml/2006/main">
  <sheetPr codeName="Sheet7">
    <outlinePr summaryBelow="1" summaryRight="1"/>
    <pageSetUpPr/>
  </sheetPr>
  <dimension ref="A1:DV213"/>
  <sheetViews>
    <sheetView workbookViewId="0">
      <selection activeCell="Q4" sqref="Q4"/>
    </sheetView>
  </sheetViews>
  <sheetFormatPr baseColWidth="8" defaultColWidth="9.42578125" defaultRowHeight="15"/>
  <cols>
    <col width="2.7109375" customWidth="1" style="757" min="1" max="1"/>
    <col width="10.42578125" customWidth="1" style="757" min="2" max="2"/>
    <col width="12.5703125" customWidth="1" style="772" min="3" max="3"/>
    <col width="9.28515625" customWidth="1" style="772" min="4" max="4"/>
    <col width="5.85546875" customWidth="1" style="772" min="5" max="5"/>
    <col width="9.42578125" customWidth="1" style="757" min="6" max="6"/>
    <col width="10.42578125" customWidth="1" style="757" min="7" max="7"/>
    <col width="12.5703125" customWidth="1" style="764" min="8" max="8"/>
    <col width="9.28515625" customWidth="1" style="764" min="9" max="9"/>
    <col width="5.85546875" customWidth="1" style="764" min="10" max="10"/>
    <col width="9.42578125" customWidth="1" style="757" min="11" max="11"/>
    <col width="10.42578125" customWidth="1" style="757" min="12" max="12"/>
    <col width="13.5703125" customWidth="1" style="764" min="13" max="13"/>
    <col width="9.28515625" customWidth="1" style="764" min="14" max="14"/>
    <col width="5.85546875" customWidth="1" style="764" min="15" max="15"/>
    <col width="8.140625" customWidth="1" style="764" min="16" max="16"/>
    <col width="10.7109375" customWidth="1" style="764" min="17" max="17"/>
    <col width="9" customWidth="1" style="764" min="18" max="18"/>
    <col width="8.5703125" customWidth="1" style="764" min="19" max="20"/>
    <col width="9.42578125" customWidth="1" style="763" min="21" max="21"/>
    <col width="10.42578125" customWidth="1" style="757" min="22" max="22"/>
    <col width="12.5703125" customWidth="1" style="764" min="23" max="23"/>
    <col width="9.28515625" customWidth="1" style="764" min="24" max="24"/>
    <col width="5.85546875" customWidth="1" style="764" min="25" max="25"/>
    <col width="9.42578125" customWidth="1" style="757" min="26" max="26"/>
    <col width="10.42578125" customWidth="1" style="757" min="27" max="27"/>
    <col width="12.5703125" customWidth="1" style="764" min="28" max="28"/>
    <col width="9.28515625" customWidth="1" style="764" min="29" max="29"/>
    <col width="5.85546875" customWidth="1" style="764" min="30" max="30"/>
    <col width="9.42578125" customWidth="1" style="757" min="31" max="31"/>
    <col width="10.42578125" customWidth="1" style="757" min="32" max="32"/>
    <col width="12.5703125" customWidth="1" style="764" min="33" max="33"/>
    <col width="9.28515625" customWidth="1" style="764" min="34" max="34"/>
    <col width="5.85546875" customWidth="1" style="764" min="35" max="35"/>
    <col width="9.42578125" customWidth="1" style="757" min="36" max="36"/>
    <col width="10.42578125" customWidth="1" style="757" min="37" max="37"/>
    <col width="12.5703125" customWidth="1" style="764" min="38" max="38"/>
    <col width="9.28515625" customWidth="1" style="764" min="39" max="39"/>
    <col width="5.85546875" customWidth="1" style="764" min="40" max="40"/>
    <col width="9.42578125" customWidth="1" style="757" min="41" max="41"/>
    <col width="10.42578125" customWidth="1" style="757" min="42" max="42"/>
    <col width="12.5703125" customWidth="1" style="764" min="43" max="43"/>
    <col width="9.28515625" customWidth="1" style="764" min="44" max="44"/>
    <col width="5.85546875" customWidth="1" style="764" min="45" max="45"/>
    <col width="9.42578125" customWidth="1" style="757" min="46" max="46"/>
    <col width="10.42578125" customWidth="1" style="757" min="47" max="47"/>
    <col width="12.5703125" customWidth="1" style="764" min="48" max="48"/>
    <col width="9.28515625" customWidth="1" style="764" min="49" max="49"/>
    <col width="5.85546875" customWidth="1" style="764" min="50" max="50"/>
    <col width="9.42578125" customWidth="1" style="757" min="51" max="51"/>
    <col width="10.42578125" customWidth="1" style="757" min="52" max="52"/>
    <col width="12.5703125" customWidth="1" style="764" min="53" max="53"/>
    <col width="9.28515625" customWidth="1" style="764" min="54" max="54"/>
    <col width="5.85546875" customWidth="1" style="764" min="55" max="55"/>
    <col width="9.42578125" customWidth="1" style="757" min="56" max="56"/>
    <col width="10.42578125" customWidth="1" style="757" min="57" max="57"/>
    <col width="12.5703125" customWidth="1" style="764" min="58" max="58"/>
    <col width="9.28515625" customWidth="1" style="764" min="59" max="59"/>
    <col width="5.85546875" customWidth="1" style="764" min="60" max="60"/>
    <col width="10.85546875" customWidth="1" style="764" min="61" max="64"/>
    <col width="9" customWidth="1" style="764" min="65" max="65"/>
    <col width="10.85546875" customWidth="1" style="764" min="66" max="66"/>
    <col width="10.42578125" customWidth="1" style="757" min="67" max="67"/>
    <col width="12.5703125" customWidth="1" style="764" min="68" max="68"/>
    <col width="9.28515625" customWidth="1" style="764" min="69" max="69"/>
    <col width="5.85546875" customWidth="1" style="764" min="70" max="70"/>
    <col width="9.42578125" customWidth="1" style="757" min="71" max="71"/>
    <col width="10.42578125" customWidth="1" style="757" min="72" max="72"/>
    <col width="12.5703125" customWidth="1" style="764" min="73" max="73"/>
    <col width="9.28515625" customWidth="1" style="764" min="74" max="74"/>
    <col width="5.85546875" customWidth="1" style="764" min="75" max="75"/>
    <col width="9.42578125" customWidth="1" style="757" min="76" max="76"/>
    <col width="10.42578125" customWidth="1" style="757" min="77" max="77"/>
    <col width="12.5703125" customWidth="1" style="764" min="78" max="78"/>
    <col width="9.28515625" customWidth="1" style="764" min="79" max="79"/>
    <col width="5.85546875" customWidth="1" style="764" min="80" max="80"/>
    <col width="9.42578125" customWidth="1" style="757" min="81" max="81"/>
    <col width="10.42578125" customWidth="1" style="757" min="82" max="82"/>
    <col width="12.5703125" customWidth="1" style="764" min="83" max="83"/>
    <col width="9.28515625" customWidth="1" style="764" min="84" max="84"/>
    <col width="5.85546875" customWidth="1" style="764" min="85" max="85"/>
    <col width="9.42578125" customWidth="1" style="757" min="86" max="86"/>
    <col width="10.42578125" customWidth="1" style="757" min="87" max="87"/>
    <col width="12.5703125" customWidth="1" style="764" min="88" max="88"/>
    <col width="9.28515625" customWidth="1" style="764" min="89" max="89"/>
    <col width="5.85546875" customWidth="1" style="764" min="90" max="90"/>
    <col width="9.42578125" customWidth="1" style="757" min="91" max="91"/>
    <col width="10.42578125" customWidth="1" style="764" min="92" max="92"/>
    <col width="9.42578125" customWidth="1" style="764" min="93" max="95"/>
    <col width="9.42578125" customWidth="1" style="757" min="96" max="96"/>
    <col width="10.42578125" customWidth="1" style="764" min="97" max="97"/>
    <col width="9.42578125" customWidth="1" style="764" min="98" max="100"/>
    <col width="9.42578125" customWidth="1" style="757" min="101" max="101"/>
    <col width="10.42578125" customWidth="1" style="764" min="102" max="102"/>
    <col width="9.42578125" customWidth="1" style="764" min="103" max="104"/>
    <col width="9.42578125" customWidth="1" style="764" min="105" max="105"/>
    <col width="9.42578125" customWidth="1" style="757" min="106" max="106"/>
    <col width="10.42578125" customWidth="1" style="764" min="107" max="107"/>
    <col width="9.42578125" customWidth="1" style="764" min="108" max="110"/>
    <col width="9.42578125" customWidth="1" style="757" min="111" max="111"/>
    <col width="10.42578125" customWidth="1" style="764" min="112" max="112"/>
    <col width="9.42578125" customWidth="1" style="764" min="113" max="115"/>
    <col width="9.42578125" customWidth="1" style="757" min="116" max="116"/>
    <col width="10.42578125" customWidth="1" style="764" min="117" max="117"/>
    <col width="9.42578125" customWidth="1" style="764" min="118" max="120"/>
    <col width="9.42578125" customWidth="1" style="757" min="121" max="121"/>
    <col width="10.42578125" customWidth="1" style="764" min="122" max="122"/>
    <col width="9.42578125" customWidth="1" style="764" min="123" max="125"/>
    <col width="9.42578125" customWidth="1" style="757" min="126" max="126"/>
    <col width="9.42578125" customWidth="1" style="764" min="127" max="16384"/>
  </cols>
  <sheetData>
    <row r="1" ht="12.6" customFormat="1" customHeight="1" s="550">
      <c r="A1" s="553" t="n"/>
      <c r="B1" s="780" t="inlineStr">
        <is>
          <t>Method</t>
        </is>
      </c>
      <c r="C1" s="781" t="inlineStr">
        <is>
          <t>New Conduit</t>
        </is>
      </c>
      <c r="D1" s="782" t="n"/>
      <c r="E1" s="783" t="n"/>
      <c r="F1" s="784" t="n"/>
      <c r="G1" s="785" t="inlineStr">
        <is>
          <t>Method</t>
        </is>
      </c>
      <c r="H1" s="781" t="inlineStr">
        <is>
          <t>Aerial</t>
        </is>
      </c>
      <c r="I1" s="782" t="n"/>
      <c r="J1" s="783" t="n"/>
      <c r="K1" s="786" t="n"/>
      <c r="L1" s="787" t="inlineStr">
        <is>
          <t>Method</t>
        </is>
      </c>
      <c r="M1" s="781" t="inlineStr">
        <is>
          <t>Existing Conduit</t>
        </is>
      </c>
      <c r="N1" s="788" t="n"/>
      <c r="U1" s="752" t="n"/>
    </row>
    <row r="2" ht="12.6" customFormat="1" customHeight="1" s="550">
      <c r="B2" s="1133" t="inlineStr">
        <is>
          <t>Cable Size</t>
        </is>
      </c>
      <c r="C2" s="789" t="n">
        <v>24</v>
      </c>
      <c r="D2" s="790">
        <f>SUMIFS($C$13:$DV$13,$C$9:$DV$9,C1,$C$12:$DV$12,C2)</f>
        <v/>
      </c>
      <c r="E2" s="783" t="n"/>
      <c r="F2" s="784" t="n"/>
      <c r="G2" s="1133" t="inlineStr">
        <is>
          <t>Cable Size</t>
        </is>
      </c>
      <c r="H2" s="789" t="n">
        <v>24</v>
      </c>
      <c r="I2" s="791">
        <f>SUMIFS($C$13:$BD$13,$C$9:$BD$9,H1,$C$12:$BD$12,H2)</f>
        <v/>
      </c>
      <c r="J2" s="784" t="n"/>
      <c r="K2" s="784" t="n"/>
      <c r="L2" s="1133" t="inlineStr">
        <is>
          <t>Cable Size</t>
        </is>
      </c>
      <c r="M2" s="792" t="n">
        <v>24</v>
      </c>
      <c r="N2" s="790">
        <f>SUMIFS($C$13:$BD$13,$C$9:$BD$9,M1,$C$12:$BD$12,M2)</f>
        <v/>
      </c>
      <c r="Q2" s="947" t="inlineStr">
        <is>
          <t>15 FOR SPLT</t>
        </is>
      </c>
      <c r="U2" s="752" t="n"/>
    </row>
    <row r="3" ht="12.6" customFormat="1" customHeight="1" s="550">
      <c r="B3" s="513" t="n"/>
      <c r="C3" s="793" t="n">
        <v>48</v>
      </c>
      <c r="D3" s="794">
        <f>SUMIFS($C$13:$DV$13,$C$9:$DV$9,C1,$C$12:$DV$12,C3)</f>
        <v/>
      </c>
      <c r="E3" s="784" t="n"/>
      <c r="F3" s="784" t="n"/>
      <c r="G3" s="513" t="n"/>
      <c r="H3" s="793" t="n">
        <v>48</v>
      </c>
      <c r="I3" s="795">
        <f>SUMIFS($C$13:$BD$13,$C$9:$BD$9,H1,$C$12:$BD$12,H3)</f>
        <v/>
      </c>
      <c r="J3" s="784" t="n"/>
      <c r="K3" s="784" t="n"/>
      <c r="L3" s="513" t="n"/>
      <c r="M3" s="793" t="n">
        <v>48</v>
      </c>
      <c r="N3" s="796">
        <f>SUMIFS($C$13:$BD$13,$C$9:$BD$9,M1,$C$12:$BD$12,M3)</f>
        <v/>
      </c>
      <c r="Q3" s="947" t="inlineStr">
        <is>
          <t>50 FOR ALL ELSE</t>
        </is>
      </c>
      <c r="U3" s="752" t="n"/>
    </row>
    <row r="4" ht="12.6" customFormat="1" customHeight="1" s="550">
      <c r="B4" s="513" t="n"/>
      <c r="C4" s="793" t="n">
        <v>96</v>
      </c>
      <c r="D4" s="794">
        <f>SUMIFS($C$13:$DV$13,$C$9:$DV$9,C1,$C$12:$DV$12,C4)</f>
        <v/>
      </c>
      <c r="E4" s="784" t="n"/>
      <c r="F4" s="784" t="n"/>
      <c r="G4" s="513" t="n"/>
      <c r="H4" s="793" t="n">
        <v>96</v>
      </c>
      <c r="I4" s="794">
        <f>SUMIFS($C$13:$BD$13,$C$9:$BD$9,H1,$C$12:$BD$12,H4)</f>
        <v/>
      </c>
      <c r="J4" s="784" t="n"/>
      <c r="K4" s="784" t="n"/>
      <c r="L4" s="513" t="n"/>
      <c r="M4" s="793" t="n">
        <v>96</v>
      </c>
      <c r="N4" s="794">
        <f>SUMIFS($C$13:$BD$13,$C$9:$BD$9,M1,$C$12:$BD$12,M4)</f>
        <v/>
      </c>
      <c r="Q4" s="947" t="inlineStr">
        <is>
          <t>FIRST ROW 0 AND THE HANDHOLE STORAGE OF HH IT STARTS FROM</t>
        </is>
      </c>
      <c r="U4" s="752" t="n"/>
    </row>
    <row r="5" ht="12.6" customFormat="1" customHeight="1" s="550">
      <c r="B5" s="513" t="n"/>
      <c r="C5" s="793" t="n">
        <v>144</v>
      </c>
      <c r="D5" s="794">
        <f>SUMIFS($C$13:$DV$13,$C$9:$DV$9,C1,$C$12:$DV$12,C5)</f>
        <v/>
      </c>
      <c r="E5" s="784" t="n"/>
      <c r="F5" s="784" t="n"/>
      <c r="G5" s="513" t="n"/>
      <c r="H5" s="793" t="n">
        <v>144</v>
      </c>
      <c r="I5" s="794">
        <f>SUMIFS($C$13:$BD$13,$C$9:$BD$9,H1,$C$12:$BD$12,H5)</f>
        <v/>
      </c>
      <c r="J5" s="784" t="n"/>
      <c r="K5" s="784" t="n"/>
      <c r="L5" s="513" t="n"/>
      <c r="M5" s="793" t="n">
        <v>144</v>
      </c>
      <c r="N5" s="794">
        <f>SUMIFS($C$13:$BD$13,$C$9:$BD$9,M1,$C$12:$BD$12,M5)</f>
        <v/>
      </c>
      <c r="U5" s="752" t="n"/>
    </row>
    <row r="6" ht="12.6" customFormat="1" customHeight="1" s="550">
      <c r="B6" s="513" t="n"/>
      <c r="C6" s="793" t="n">
        <v>288</v>
      </c>
      <c r="D6" s="794">
        <f>SUMIFS($C$13:$DV$13,$C$9:$DV$9,C1,$C$12:$DV$12,C6)</f>
        <v/>
      </c>
      <c r="E6" s="784" t="n"/>
      <c r="F6" s="784" t="n"/>
      <c r="G6" s="513" t="n"/>
      <c r="H6" s="793" t="n">
        <v>288</v>
      </c>
      <c r="I6" s="794">
        <f>SUMIFS($C$13:$BD$13,$C$9:$BD$9,H1,$C$12:$BD$12,H6)</f>
        <v/>
      </c>
      <c r="J6" s="784" t="n"/>
      <c r="K6" s="784" t="n"/>
      <c r="L6" s="513" t="n"/>
      <c r="M6" s="793" t="n">
        <v>288</v>
      </c>
      <c r="N6" s="794">
        <f>SUMIFS($C$13:$BD$13,$C$9:$BD$9,M1,$C$12:$BD$12,M6)</f>
        <v/>
      </c>
      <c r="U6" s="752" t="n"/>
    </row>
    <row r="7" ht="12.6" customFormat="1" customHeight="1" s="550">
      <c r="B7" s="1134" t="n"/>
      <c r="C7" s="926" t="n">
        <v>432</v>
      </c>
      <c r="D7" s="927">
        <f>SUMIFS($C$13:$DF$13,$C$9:$DF$9,C1,$C$12:$DF$12,C7)</f>
        <v/>
      </c>
      <c r="E7" s="784" t="n"/>
      <c r="F7" s="784" t="n"/>
      <c r="G7" s="1134" t="n"/>
      <c r="H7" s="926" t="n">
        <v>432</v>
      </c>
      <c r="I7" s="927">
        <f>SUMIFS($C$13:$DF$13,$C$9:$DF$9,H1,$C$12:$DF$12,H7)</f>
        <v/>
      </c>
      <c r="J7" s="784" t="n"/>
      <c r="K7" s="784" t="n"/>
      <c r="L7" s="1134" t="n"/>
      <c r="M7" s="926" t="n">
        <v>432</v>
      </c>
      <c r="N7" s="927">
        <f>SUMIFS($C$13:$DF$13,$C$9:$DF$9,M1,$C$12:$DF$12,M7)</f>
        <v/>
      </c>
      <c r="U7" s="752" t="n"/>
    </row>
    <row r="8" customFormat="1" s="550">
      <c r="C8" s="551" t="n"/>
      <c r="D8" s="549" t="n"/>
      <c r="E8" s="551" t="n"/>
      <c r="U8" s="752" t="n"/>
      <c r="BU8" s="797" t="n"/>
      <c r="BV8" s="798" t="n"/>
      <c r="BW8" s="798" t="n"/>
    </row>
    <row r="9" ht="15" customHeight="1">
      <c r="A9" s="550" t="n"/>
      <c r="B9" s="799" t="inlineStr">
        <is>
          <t>SEG 1</t>
        </is>
      </c>
      <c r="C9" s="753" t="inlineStr">
        <is>
          <t>New Conduit</t>
        </is>
      </c>
      <c r="D9" s="754" t="n"/>
      <c r="E9" s="755" t="n"/>
      <c r="F9" s="550" t="n"/>
      <c r="G9" s="800" t="inlineStr">
        <is>
          <t>SEG 2</t>
        </is>
      </c>
      <c r="H9" s="756" t="inlineStr">
        <is>
          <t>New Conduit</t>
        </is>
      </c>
      <c r="I9" s="754" t="n"/>
      <c r="J9" s="755" t="n"/>
      <c r="K9" s="550" t="n"/>
      <c r="L9" s="800" t="inlineStr">
        <is>
          <t>SEG 3</t>
        </is>
      </c>
      <c r="M9" s="756" t="inlineStr">
        <is>
          <t>New Conduit</t>
        </is>
      </c>
      <c r="N9" s="754" t="n"/>
      <c r="O9" s="755" t="n"/>
      <c r="P9" s="550" t="n"/>
      <c r="Q9" s="800" t="inlineStr">
        <is>
          <t>SEG 4</t>
        </is>
      </c>
      <c r="R9" s="756" t="inlineStr">
        <is>
          <t>New Conduit</t>
        </is>
      </c>
      <c r="S9" s="754" t="n"/>
      <c r="T9" s="755" t="n"/>
      <c r="U9" s="752" t="n"/>
      <c r="V9" s="800" t="inlineStr">
        <is>
          <t>SEG 5</t>
        </is>
      </c>
      <c r="W9" s="756" t="inlineStr">
        <is>
          <t>New Conduit</t>
        </is>
      </c>
      <c r="X9" s="754" t="n"/>
      <c r="Y9" s="755" t="n"/>
      <c r="Z9" s="550" t="n"/>
      <c r="AA9" s="800" t="inlineStr">
        <is>
          <t>SEG 6</t>
        </is>
      </c>
      <c r="AB9" s="756" t="inlineStr">
        <is>
          <t>New Conduit</t>
        </is>
      </c>
      <c r="AC9" s="754" t="n"/>
      <c r="AD9" s="755" t="n"/>
      <c r="AE9" s="550" t="n"/>
      <c r="AF9" s="800" t="inlineStr">
        <is>
          <t>SEG 7</t>
        </is>
      </c>
      <c r="AG9" s="756" t="inlineStr">
        <is>
          <t>New Conduit</t>
        </is>
      </c>
      <c r="AH9" s="754" t="n"/>
      <c r="AI9" s="755" t="n"/>
      <c r="AJ9" s="550" t="n"/>
      <c r="AK9" s="800" t="inlineStr">
        <is>
          <t>SEG 8</t>
        </is>
      </c>
      <c r="AL9" s="756" t="inlineStr">
        <is>
          <t>New Conduit</t>
        </is>
      </c>
      <c r="AM9" s="754" t="n"/>
      <c r="AN9" s="755" t="n"/>
      <c r="AO9" s="550" t="n"/>
      <c r="AP9" s="800" t="inlineStr">
        <is>
          <t>SEG 9</t>
        </is>
      </c>
      <c r="AQ9" s="756" t="inlineStr">
        <is>
          <t>New Conduit</t>
        </is>
      </c>
      <c r="AR9" s="754" t="n"/>
      <c r="AS9" s="755" t="n"/>
      <c r="AT9" s="550" t="n"/>
      <c r="AU9" s="800" t="inlineStr">
        <is>
          <t>SEG 10</t>
        </is>
      </c>
      <c r="AV9" s="756" t="inlineStr">
        <is>
          <t>New Conduit</t>
        </is>
      </c>
      <c r="AW9" s="754" t="n"/>
      <c r="AX9" s="755" t="n"/>
      <c r="AY9" s="550" t="n"/>
      <c r="AZ9" s="800" t="inlineStr">
        <is>
          <t>SEG 11</t>
        </is>
      </c>
      <c r="BA9" s="756" t="inlineStr">
        <is>
          <t>New Conduit</t>
        </is>
      </c>
      <c r="BB9" s="754" t="n"/>
      <c r="BC9" s="755" t="n"/>
      <c r="BD9" s="550" t="n"/>
      <c r="BE9" s="800" t="inlineStr">
        <is>
          <t>SEG 12</t>
        </is>
      </c>
      <c r="BF9" s="756" t="inlineStr">
        <is>
          <t>New Conduit</t>
        </is>
      </c>
      <c r="BG9" s="754" t="n"/>
      <c r="BH9" s="755" t="n"/>
      <c r="BI9" s="550" t="n"/>
      <c r="BJ9" s="800" t="inlineStr">
        <is>
          <t>SEG 13</t>
        </is>
      </c>
      <c r="BK9" s="756" t="inlineStr">
        <is>
          <t>New Conduit</t>
        </is>
      </c>
      <c r="BL9" s="754" t="n"/>
      <c r="BM9" s="755" t="n"/>
      <c r="BN9" s="550" t="n"/>
      <c r="BO9" s="800" t="inlineStr">
        <is>
          <t>SEG 14</t>
        </is>
      </c>
      <c r="BP9" s="756" t="inlineStr">
        <is>
          <t>New Conduit</t>
        </is>
      </c>
      <c r="BQ9" s="754" t="n"/>
      <c r="BR9" s="755" t="n"/>
      <c r="BS9" s="550" t="n"/>
      <c r="BT9" s="800" t="inlineStr">
        <is>
          <t>SEG 15</t>
        </is>
      </c>
      <c r="BU9" s="756" t="inlineStr">
        <is>
          <t>New Conduit</t>
        </is>
      </c>
      <c r="BV9" s="754" t="n"/>
      <c r="BW9" s="755" t="n"/>
      <c r="BX9" s="550" t="n"/>
      <c r="BY9" s="800" t="inlineStr">
        <is>
          <t>SEG 16</t>
        </is>
      </c>
      <c r="BZ9" s="756" t="inlineStr">
        <is>
          <t>New Conduit</t>
        </is>
      </c>
      <c r="CA9" s="754" t="n"/>
      <c r="CB9" s="755" t="n"/>
      <c r="CC9" s="550" t="n"/>
      <c r="CD9" s="800" t="inlineStr">
        <is>
          <t>SEG 17</t>
        </is>
      </c>
      <c r="CE9" s="756" t="inlineStr">
        <is>
          <t>New Conduit</t>
        </is>
      </c>
      <c r="CF9" s="754" t="n"/>
      <c r="CG9" s="755" t="n"/>
      <c r="CH9" s="550" t="n"/>
      <c r="CI9" s="800" t="inlineStr">
        <is>
          <t>SEG 18</t>
        </is>
      </c>
      <c r="CJ9" s="756" t="inlineStr">
        <is>
          <t>New Conduit</t>
        </is>
      </c>
      <c r="CK9" s="754" t="n"/>
      <c r="CL9" s="755" t="n"/>
      <c r="CM9" s="550" t="n"/>
      <c r="CN9" s="800" t="inlineStr">
        <is>
          <t>SEG 19</t>
        </is>
      </c>
      <c r="CO9" s="756" t="inlineStr">
        <is>
          <t>New Conduit</t>
        </is>
      </c>
      <c r="CP9" s="754" t="n"/>
      <c r="CQ9" s="755" t="n"/>
      <c r="CR9" s="550" t="n"/>
      <c r="CS9" s="800" t="inlineStr">
        <is>
          <t>SEG 20</t>
        </is>
      </c>
      <c r="CT9" s="756" t="inlineStr">
        <is>
          <t>New Conduit</t>
        </is>
      </c>
      <c r="CU9" s="754" t="n"/>
      <c r="CV9" s="755" t="n"/>
      <c r="CW9" s="550" t="n"/>
      <c r="CX9" s="800" t="inlineStr">
        <is>
          <t>SEG 21</t>
        </is>
      </c>
      <c r="CY9" s="756" t="inlineStr">
        <is>
          <t>New Conduit</t>
        </is>
      </c>
      <c r="CZ9" s="754" t="n"/>
      <c r="DA9" s="755" t="n"/>
      <c r="DB9" s="550" t="n"/>
      <c r="DC9" s="800" t="inlineStr">
        <is>
          <t>SEG 22</t>
        </is>
      </c>
      <c r="DD9" s="756" t="inlineStr">
        <is>
          <t>New Conduit</t>
        </is>
      </c>
      <c r="DE9" s="754" t="n"/>
      <c r="DF9" s="755" t="n"/>
      <c r="DG9" s="550" t="n"/>
      <c r="DH9" s="800" t="inlineStr">
        <is>
          <t>SEG 23</t>
        </is>
      </c>
      <c r="DI9" s="756" t="inlineStr">
        <is>
          <t>New Conduit</t>
        </is>
      </c>
      <c r="DJ9" s="754" t="n"/>
      <c r="DK9" s="755" t="n"/>
      <c r="DL9" s="550" t="n"/>
      <c r="DM9" s="800" t="inlineStr">
        <is>
          <t>SEG 24</t>
        </is>
      </c>
      <c r="DN9" s="756" t="n"/>
      <c r="DO9" s="754" t="n"/>
      <c r="DP9" s="755" t="n"/>
      <c r="DQ9" s="550" t="n"/>
      <c r="DR9" s="800" t="inlineStr">
        <is>
          <t>SEG 25</t>
        </is>
      </c>
      <c r="DS9" s="756" t="n"/>
      <c r="DT9" s="754" t="n"/>
      <c r="DU9" s="755" t="n"/>
      <c r="DV9" s="550" t="n"/>
    </row>
    <row r="10" ht="15" customHeight="1">
      <c r="A10" s="550" t="n"/>
      <c r="B10" s="801" t="inlineStr">
        <is>
          <t>START</t>
        </is>
      </c>
      <c r="C10" s="1135" t="n"/>
      <c r="D10" s="1136" t="n"/>
      <c r="E10" s="1137" t="n"/>
      <c r="F10" s="550" t="n"/>
      <c r="G10" s="801" t="inlineStr">
        <is>
          <t>START</t>
        </is>
      </c>
      <c r="H10" s="1135" t="n"/>
      <c r="I10" s="1136" t="n"/>
      <c r="J10" s="1137" t="n"/>
      <c r="K10" s="550" t="n"/>
      <c r="L10" s="801" t="inlineStr">
        <is>
          <t>START</t>
        </is>
      </c>
      <c r="M10" s="1135" t="n"/>
      <c r="N10" s="1136" t="n"/>
      <c r="O10" s="1137" t="n"/>
      <c r="P10" s="550" t="n"/>
      <c r="Q10" s="801" t="inlineStr">
        <is>
          <t>START</t>
        </is>
      </c>
      <c r="R10" s="1138" t="n"/>
      <c r="S10" s="1139" t="n"/>
      <c r="T10" s="1140" t="n"/>
      <c r="U10" s="802" t="n"/>
      <c r="V10" s="801" t="inlineStr">
        <is>
          <t>START</t>
        </is>
      </c>
      <c r="W10" s="1141" t="n"/>
      <c r="X10" s="1117" t="n"/>
      <c r="Y10" s="1118" t="n"/>
      <c r="Z10" s="550" t="n"/>
      <c r="AA10" s="801" t="inlineStr">
        <is>
          <t>START</t>
        </is>
      </c>
      <c r="AB10" s="1138" t="n"/>
      <c r="AC10" s="1139" t="n"/>
      <c r="AD10" s="1140" t="n"/>
      <c r="AE10" s="550" t="n"/>
      <c r="AF10" s="801" t="inlineStr">
        <is>
          <t>START</t>
        </is>
      </c>
      <c r="AG10" s="1141" t="n"/>
      <c r="AH10" s="1117" t="n"/>
      <c r="AI10" s="1118" t="n"/>
      <c r="AJ10" s="550" t="n"/>
      <c r="AK10" s="801" t="inlineStr">
        <is>
          <t>START</t>
        </is>
      </c>
      <c r="AL10" s="1138" t="n"/>
      <c r="AM10" s="1139" t="n"/>
      <c r="AN10" s="1140" t="n"/>
      <c r="AO10" s="550" t="n"/>
      <c r="AP10" s="801" t="inlineStr">
        <is>
          <t>START</t>
        </is>
      </c>
      <c r="AQ10" s="1141" t="n"/>
      <c r="AR10" s="1117" t="n"/>
      <c r="AS10" s="1118" t="n"/>
      <c r="AT10" s="550" t="n"/>
      <c r="AU10" s="801" t="inlineStr">
        <is>
          <t>START</t>
        </is>
      </c>
      <c r="AV10" s="1141" t="n"/>
      <c r="AW10" s="1117" t="n"/>
      <c r="AX10" s="1118" t="n"/>
      <c r="AY10" s="550" t="n"/>
      <c r="AZ10" s="801" t="inlineStr">
        <is>
          <t>START</t>
        </is>
      </c>
      <c r="BA10" s="1138" t="n"/>
      <c r="BB10" s="1139" t="n"/>
      <c r="BC10" s="1140" t="n"/>
      <c r="BD10" s="550" t="n"/>
      <c r="BE10" s="801" t="inlineStr">
        <is>
          <t>START</t>
        </is>
      </c>
      <c r="BF10" s="1141" t="n"/>
      <c r="BG10" s="1117" t="n"/>
      <c r="BH10" s="1118" t="n"/>
      <c r="BI10" s="550" t="n"/>
      <c r="BJ10" s="801" t="inlineStr">
        <is>
          <t>START</t>
        </is>
      </c>
      <c r="BK10" s="1138" t="n"/>
      <c r="BL10" s="1139" t="n"/>
      <c r="BM10" s="1140" t="n"/>
      <c r="BN10" s="550" t="n"/>
      <c r="BO10" s="801" t="inlineStr">
        <is>
          <t>START</t>
        </is>
      </c>
      <c r="BP10" s="1141" t="n"/>
      <c r="BQ10" s="1117" t="n"/>
      <c r="BR10" s="1118" t="n"/>
      <c r="BS10" s="550" t="n"/>
      <c r="BT10" s="801" t="inlineStr">
        <is>
          <t>START</t>
        </is>
      </c>
      <c r="BU10" s="1141" t="n"/>
      <c r="BV10" s="1117" t="n"/>
      <c r="BW10" s="1118" t="n"/>
      <c r="BX10" s="550" t="n"/>
      <c r="BY10" s="801" t="inlineStr">
        <is>
          <t>START</t>
        </is>
      </c>
      <c r="BZ10" s="1141" t="n"/>
      <c r="CA10" s="1117" t="n"/>
      <c r="CB10" s="1118" t="n"/>
      <c r="CC10" s="550" t="n"/>
      <c r="CD10" s="801" t="inlineStr">
        <is>
          <t>START</t>
        </is>
      </c>
      <c r="CE10" s="1141" t="n"/>
      <c r="CF10" s="1117" t="n"/>
      <c r="CG10" s="1118" t="n"/>
      <c r="CH10" s="550" t="n"/>
      <c r="CI10" s="801" t="inlineStr">
        <is>
          <t>START</t>
        </is>
      </c>
      <c r="CJ10" s="1142" t="n"/>
      <c r="CK10" s="1117" t="n"/>
      <c r="CL10" s="1118" t="n"/>
      <c r="CM10" s="550" t="n"/>
      <c r="CN10" s="801" t="inlineStr">
        <is>
          <t>START</t>
        </is>
      </c>
      <c r="CO10" s="1142" t="n"/>
      <c r="CP10" s="1117" t="n"/>
      <c r="CQ10" s="1118" t="n"/>
      <c r="CR10" s="550" t="n"/>
      <c r="CS10" s="801" t="inlineStr">
        <is>
          <t>START</t>
        </is>
      </c>
      <c r="CT10" s="1142" t="n"/>
      <c r="CU10" s="1117" t="n"/>
      <c r="CV10" s="1118" t="n"/>
      <c r="CW10" s="550" t="n"/>
      <c r="CX10" s="801" t="inlineStr">
        <is>
          <t>START</t>
        </is>
      </c>
      <c r="CY10" s="1142" t="n"/>
      <c r="CZ10" s="1117" t="n"/>
      <c r="DA10" s="1118" t="n"/>
      <c r="DB10" s="550" t="n"/>
      <c r="DC10" s="801" t="inlineStr">
        <is>
          <t>START</t>
        </is>
      </c>
      <c r="DD10" s="1143" t="n"/>
      <c r="DE10" s="1139" t="n"/>
      <c r="DF10" s="1140" t="n"/>
      <c r="DG10" s="550" t="n"/>
      <c r="DH10" s="801" t="inlineStr">
        <is>
          <t>START</t>
        </is>
      </c>
      <c r="DI10" s="1142" t="n"/>
      <c r="DJ10" s="1117" t="n"/>
      <c r="DK10" s="1118" t="n"/>
      <c r="DL10" s="550" t="n"/>
      <c r="DM10" s="801" t="inlineStr">
        <is>
          <t>START</t>
        </is>
      </c>
      <c r="DN10" s="1143" t="n"/>
      <c r="DO10" s="1139" t="n"/>
      <c r="DP10" s="1140" t="n"/>
      <c r="DQ10" s="550" t="n"/>
      <c r="DR10" s="801" t="inlineStr">
        <is>
          <t>START</t>
        </is>
      </c>
      <c r="DS10" s="1143" t="n"/>
      <c r="DT10" s="1139" t="n"/>
      <c r="DU10" s="1140" t="n"/>
      <c r="DV10" s="550" t="n"/>
    </row>
    <row r="11" ht="15" customHeight="1">
      <c r="A11" s="550" t="n"/>
      <c r="B11" s="801" t="inlineStr">
        <is>
          <t>END</t>
        </is>
      </c>
      <c r="C11" s="1144" t="n"/>
      <c r="D11" s="1139" t="n"/>
      <c r="E11" s="1140" t="n"/>
      <c r="F11" s="550" t="n"/>
      <c r="G11" s="801" t="inlineStr">
        <is>
          <t>END</t>
        </is>
      </c>
      <c r="H11" s="1144" t="n"/>
      <c r="I11" s="1139" t="n"/>
      <c r="J11" s="1140" t="n"/>
      <c r="K11" s="550" t="n"/>
      <c r="L11" s="801" t="inlineStr">
        <is>
          <t>END</t>
        </is>
      </c>
      <c r="M11" s="1144" t="n"/>
      <c r="N11" s="1139" t="n"/>
      <c r="O11" s="1140" t="n"/>
      <c r="P11" s="550" t="n"/>
      <c r="Q11" s="801" t="inlineStr">
        <is>
          <t>END</t>
        </is>
      </c>
      <c r="R11" s="1145" t="n"/>
      <c r="S11" s="1136" t="n"/>
      <c r="T11" s="1137" t="n"/>
      <c r="U11" s="802" t="n"/>
      <c r="V11" s="801" t="inlineStr">
        <is>
          <t>END</t>
        </is>
      </c>
      <c r="W11" s="1143" t="n"/>
      <c r="X11" s="1139" t="n"/>
      <c r="Y11" s="1140" t="n"/>
      <c r="Z11" s="550" t="n"/>
      <c r="AA11" s="801" t="inlineStr">
        <is>
          <t>END</t>
        </is>
      </c>
      <c r="AB11" s="1145" t="n"/>
      <c r="AC11" s="1136" t="n"/>
      <c r="AD11" s="1137" t="n"/>
      <c r="AE11" s="550" t="n"/>
      <c r="AF11" s="801" t="inlineStr">
        <is>
          <t>END</t>
        </is>
      </c>
      <c r="AG11" s="1143" t="n"/>
      <c r="AH11" s="1139" t="n"/>
      <c r="AI11" s="1140" t="n"/>
      <c r="AJ11" s="550" t="n"/>
      <c r="AK11" s="801" t="inlineStr">
        <is>
          <t>END</t>
        </is>
      </c>
      <c r="AL11" s="1145" t="n"/>
      <c r="AM11" s="1136" t="n"/>
      <c r="AN11" s="1137" t="n"/>
      <c r="AO11" s="550" t="n"/>
      <c r="AP11" s="801" t="inlineStr">
        <is>
          <t>END</t>
        </is>
      </c>
      <c r="AQ11" s="1143" t="n"/>
      <c r="AR11" s="1139" t="n"/>
      <c r="AS11" s="1140" t="n"/>
      <c r="AT11" s="550" t="n"/>
      <c r="AU11" s="801" t="inlineStr">
        <is>
          <t>END</t>
        </is>
      </c>
      <c r="AV11" s="1143" t="n"/>
      <c r="AW11" s="1139" t="n"/>
      <c r="AX11" s="1140" t="n"/>
      <c r="AY11" s="550" t="n"/>
      <c r="AZ11" s="801" t="inlineStr">
        <is>
          <t>END</t>
        </is>
      </c>
      <c r="BA11" s="1145" t="n"/>
      <c r="BB11" s="1136" t="n"/>
      <c r="BC11" s="1137" t="n"/>
      <c r="BD11" s="550" t="n"/>
      <c r="BE11" s="801" t="inlineStr">
        <is>
          <t>END</t>
        </is>
      </c>
      <c r="BF11" s="1143" t="n"/>
      <c r="BG11" s="1139" t="n"/>
      <c r="BH11" s="1140" t="n"/>
      <c r="BI11" s="550" t="n"/>
      <c r="BJ11" s="801" t="inlineStr">
        <is>
          <t>END</t>
        </is>
      </c>
      <c r="BK11" s="1145" t="n"/>
      <c r="BL11" s="1136" t="n"/>
      <c r="BM11" s="1137" t="n"/>
      <c r="BN11" s="550" t="n"/>
      <c r="BO11" s="801" t="inlineStr">
        <is>
          <t>END</t>
        </is>
      </c>
      <c r="BP11" s="1143" t="n"/>
      <c r="BQ11" s="1139" t="n"/>
      <c r="BR11" s="1140" t="n"/>
      <c r="BS11" s="550" t="n"/>
      <c r="BT11" s="801" t="inlineStr">
        <is>
          <t>END</t>
        </is>
      </c>
      <c r="BU11" s="1143" t="n"/>
      <c r="BV11" s="1139" t="n"/>
      <c r="BW11" s="1140" t="n"/>
      <c r="BX11" s="550" t="n"/>
      <c r="BY11" s="801" t="inlineStr">
        <is>
          <t>END</t>
        </is>
      </c>
      <c r="BZ11" s="1143" t="n"/>
      <c r="CA11" s="1139" t="n"/>
      <c r="CB11" s="1140" t="n"/>
      <c r="CC11" s="550" t="n"/>
      <c r="CD11" s="801" t="inlineStr">
        <is>
          <t>END</t>
        </is>
      </c>
      <c r="CE11" s="1141" t="n"/>
      <c r="CF11" s="1117" t="n"/>
      <c r="CG11" s="1118" t="n"/>
      <c r="CH11" s="550" t="n"/>
      <c r="CI11" s="801" t="inlineStr">
        <is>
          <t>END</t>
        </is>
      </c>
      <c r="CJ11" s="1143" t="n"/>
      <c r="CK11" s="1139" t="n"/>
      <c r="CL11" s="1140" t="n"/>
      <c r="CM11" s="550" t="n"/>
      <c r="CN11" s="801" t="inlineStr">
        <is>
          <t>END</t>
        </is>
      </c>
      <c r="CO11" s="1143" t="n"/>
      <c r="CP11" s="1139" t="n"/>
      <c r="CQ11" s="1140" t="n"/>
      <c r="CR11" s="550" t="n"/>
      <c r="CS11" s="801" t="inlineStr">
        <is>
          <t>END</t>
        </is>
      </c>
      <c r="CT11" s="1142" t="n"/>
      <c r="CU11" s="1117" t="n"/>
      <c r="CV11" s="1118" t="n"/>
      <c r="CW11" s="550" t="n"/>
      <c r="CX11" s="801" t="inlineStr">
        <is>
          <t>END</t>
        </is>
      </c>
      <c r="CY11" s="1142" t="n"/>
      <c r="CZ11" s="1117" t="n"/>
      <c r="DA11" s="1118" t="n"/>
      <c r="DB11" s="550" t="n"/>
      <c r="DC11" s="801" t="inlineStr">
        <is>
          <t>END</t>
        </is>
      </c>
      <c r="DD11" s="1143" t="n"/>
      <c r="DE11" s="1139" t="n"/>
      <c r="DF11" s="1140" t="n"/>
      <c r="DG11" s="550" t="n"/>
      <c r="DH11" s="801" t="inlineStr">
        <is>
          <t>END</t>
        </is>
      </c>
      <c r="DI11" s="1142" t="n"/>
      <c r="DJ11" s="1117" t="n"/>
      <c r="DK11" s="1118" t="n"/>
      <c r="DL11" s="550" t="n"/>
      <c r="DM11" s="801" t="inlineStr">
        <is>
          <t>END</t>
        </is>
      </c>
      <c r="DN11" s="1143" t="n"/>
      <c r="DO11" s="1139" t="n"/>
      <c r="DP11" s="1140" t="n"/>
      <c r="DQ11" s="550" t="n"/>
      <c r="DR11" s="801" t="inlineStr">
        <is>
          <t>END</t>
        </is>
      </c>
      <c r="DS11" s="1143" t="n"/>
      <c r="DT11" s="1139" t="n"/>
      <c r="DU11" s="1140" t="n"/>
      <c r="DV11" s="550" t="n"/>
    </row>
    <row r="12">
      <c r="A12" s="803" t="n"/>
      <c r="B12" s="758" t="inlineStr">
        <is>
          <t>CABLE SIZE</t>
        </is>
      </c>
      <c r="C12" s="759" t="n"/>
      <c r="D12" s="760" t="n"/>
      <c r="E12" s="761" t="n"/>
      <c r="F12" s="762" t="n"/>
      <c r="G12" s="758" t="inlineStr">
        <is>
          <t>CABLE SIZE</t>
        </is>
      </c>
      <c r="H12" s="759" t="n"/>
      <c r="I12" s="760" t="n"/>
      <c r="J12" s="804" t="n"/>
      <c r="K12" s="803" t="n"/>
      <c r="L12" s="758" t="inlineStr">
        <is>
          <t>CABLE SIZE</t>
        </is>
      </c>
      <c r="M12" s="759" t="n"/>
      <c r="N12" s="760" t="n"/>
      <c r="O12" s="804" t="n"/>
      <c r="P12" s="803" t="n"/>
      <c r="Q12" s="758" t="inlineStr">
        <is>
          <t>CABLE SIZE</t>
        </is>
      </c>
      <c r="R12" s="759" t="n"/>
      <c r="S12" s="760" t="n"/>
      <c r="T12" s="805" t="n"/>
      <c r="U12" s="806" t="n"/>
      <c r="V12" s="758" t="inlineStr">
        <is>
          <t>CABLE SIZE</t>
        </is>
      </c>
      <c r="W12" s="759" t="n"/>
      <c r="X12" s="760" t="n"/>
      <c r="Y12" s="805" t="n"/>
      <c r="Z12" s="803" t="n"/>
      <c r="AA12" s="758" t="inlineStr">
        <is>
          <t>CABLE SIZE</t>
        </is>
      </c>
      <c r="AB12" s="759" t="n"/>
      <c r="AC12" s="760" t="n"/>
      <c r="AD12" s="805" t="n"/>
      <c r="AE12" s="803" t="n"/>
      <c r="AF12" s="758" t="inlineStr">
        <is>
          <t>CABLE SIZE</t>
        </is>
      </c>
      <c r="AG12" s="759" t="n"/>
      <c r="AH12" s="760" t="n"/>
      <c r="AI12" s="805" t="n"/>
      <c r="AJ12" s="803" t="n"/>
      <c r="AK12" s="758" t="inlineStr">
        <is>
          <t>CABLE SIZE</t>
        </is>
      </c>
      <c r="AL12" s="759" t="n"/>
      <c r="AM12" s="760" t="n"/>
      <c r="AN12" s="805" t="n"/>
      <c r="AO12" s="803" t="n"/>
      <c r="AP12" s="758" t="inlineStr">
        <is>
          <t>CABLE SIZE</t>
        </is>
      </c>
      <c r="AQ12" s="759" t="n"/>
      <c r="AR12" s="760" t="n"/>
      <c r="AS12" s="805" t="n"/>
      <c r="AT12" s="803" t="n"/>
      <c r="AU12" s="758" t="inlineStr">
        <is>
          <t>CABLE SIZE</t>
        </is>
      </c>
      <c r="AV12" s="759" t="n"/>
      <c r="AW12" s="760" t="n"/>
      <c r="AX12" s="805" t="n"/>
      <c r="AY12" s="803" t="n"/>
      <c r="AZ12" s="758" t="inlineStr">
        <is>
          <t>CABLE SIZE</t>
        </is>
      </c>
      <c r="BA12" s="759" t="n"/>
      <c r="BB12" s="760" t="n"/>
      <c r="BC12" s="805" t="n"/>
      <c r="BD12" s="803" t="n"/>
      <c r="BE12" s="758" t="inlineStr">
        <is>
          <t>CABLE SIZE</t>
        </is>
      </c>
      <c r="BF12" s="759" t="n"/>
      <c r="BG12" s="760" t="n"/>
      <c r="BH12" s="805" t="n"/>
      <c r="BI12" s="803" t="n"/>
      <c r="BJ12" s="758" t="inlineStr">
        <is>
          <t>CABLE SIZE</t>
        </is>
      </c>
      <c r="BK12" s="759" t="n"/>
      <c r="BL12" s="760" t="n"/>
      <c r="BM12" s="805" t="n"/>
      <c r="BN12" s="803" t="n"/>
      <c r="BO12" s="758" t="inlineStr">
        <is>
          <t>CABLE SIZE</t>
        </is>
      </c>
      <c r="BP12" s="759" t="n"/>
      <c r="BQ12" s="760" t="n"/>
      <c r="BR12" s="805" t="n"/>
      <c r="BS12" s="803" t="n"/>
      <c r="BT12" s="758" t="inlineStr">
        <is>
          <t>CABLE SIZE</t>
        </is>
      </c>
      <c r="BU12" s="759" t="n"/>
      <c r="BV12" s="760" t="n"/>
      <c r="BW12" s="805" t="n"/>
      <c r="BX12" s="803" t="n"/>
      <c r="BY12" s="758" t="inlineStr">
        <is>
          <t>CABLE SIZE</t>
        </is>
      </c>
      <c r="BZ12" s="759" t="n"/>
      <c r="CA12" s="760" t="n"/>
      <c r="CB12" s="805" t="n"/>
      <c r="CC12" s="803" t="n"/>
      <c r="CD12" s="758" t="inlineStr">
        <is>
          <t>CABLE SIZE</t>
        </is>
      </c>
      <c r="CE12" s="759" t="n"/>
      <c r="CF12" s="760" t="n"/>
      <c r="CG12" s="805" t="n"/>
      <c r="CH12" s="803" t="n"/>
      <c r="CI12" s="758" t="inlineStr">
        <is>
          <t>CABLE SIZE</t>
        </is>
      </c>
      <c r="CJ12" s="759" t="n"/>
      <c r="CK12" s="760" t="n"/>
      <c r="CL12" s="805" t="n"/>
      <c r="CM12" s="803" t="n"/>
      <c r="CN12" s="758" t="inlineStr">
        <is>
          <t>CABLE SIZE</t>
        </is>
      </c>
      <c r="CO12" s="759" t="n"/>
      <c r="CP12" s="760" t="n"/>
      <c r="CQ12" s="805" t="n"/>
      <c r="CR12" s="803" t="n"/>
      <c r="CS12" s="758" t="inlineStr">
        <is>
          <t>CABLE SIZE</t>
        </is>
      </c>
      <c r="CT12" s="759" t="n"/>
      <c r="CU12" s="760" t="n"/>
      <c r="CV12" s="805" t="n"/>
      <c r="CW12" s="803" t="n"/>
      <c r="CX12" s="758" t="inlineStr">
        <is>
          <t>CABLE SIZE</t>
        </is>
      </c>
      <c r="CY12" s="759" t="n"/>
      <c r="CZ12" s="760" t="n"/>
      <c r="DA12" s="805" t="n"/>
      <c r="DB12" s="803" t="n"/>
      <c r="DC12" s="758" t="inlineStr">
        <is>
          <t>CABLE SIZE</t>
        </is>
      </c>
      <c r="DD12" s="759" t="n"/>
      <c r="DE12" s="760" t="n"/>
      <c r="DF12" s="805" t="n"/>
      <c r="DG12" s="803" t="n"/>
      <c r="DH12" s="758" t="inlineStr">
        <is>
          <t>CABLE SIZE</t>
        </is>
      </c>
      <c r="DI12" s="759" t="n"/>
      <c r="DJ12" s="760" t="n"/>
      <c r="DK12" s="805" t="n"/>
      <c r="DL12" s="803" t="n"/>
      <c r="DM12" s="758" t="inlineStr">
        <is>
          <t>CABLE SIZE</t>
        </is>
      </c>
      <c r="DN12" s="759" t="n"/>
      <c r="DO12" s="760" t="n"/>
      <c r="DP12" s="805" t="n"/>
      <c r="DQ12" s="803" t="n"/>
      <c r="DR12" s="758" t="inlineStr">
        <is>
          <t>CABLE SIZE</t>
        </is>
      </c>
      <c r="DS12" s="759" t="n"/>
      <c r="DT12" s="760" t="n"/>
      <c r="DU12" s="805" t="n"/>
      <c r="DV12" s="803" t="n"/>
    </row>
    <row r="13">
      <c r="A13" s="550" t="n"/>
      <c r="B13" s="807" t="inlineStr">
        <is>
          <t>TOTAL</t>
        </is>
      </c>
      <c r="C13" s="808">
        <f>SUM(C15:E201)</f>
        <v/>
      </c>
      <c r="D13" s="809" t="n"/>
      <c r="E13" s="810" t="n"/>
      <c r="F13" s="798" t="n"/>
      <c r="G13" s="807" t="inlineStr">
        <is>
          <t>TOTAL</t>
        </is>
      </c>
      <c r="H13" s="808">
        <f>SUM(H15:J201)</f>
        <v/>
      </c>
      <c r="I13" s="811" t="n"/>
      <c r="J13" s="765" t="n"/>
      <c r="K13" s="550" t="n"/>
      <c r="L13" s="807" t="inlineStr">
        <is>
          <t>TOTAL</t>
        </is>
      </c>
      <c r="M13" s="808">
        <f>SUM(M15:O201)</f>
        <v/>
      </c>
      <c r="N13" s="811" t="n"/>
      <c r="O13" s="765" t="n"/>
      <c r="P13" s="550" t="n"/>
      <c r="Q13" s="807" t="inlineStr">
        <is>
          <t>TOTAL</t>
        </is>
      </c>
      <c r="R13" s="808">
        <f>SUM(R15:T201)</f>
        <v/>
      </c>
      <c r="S13" s="811" t="n"/>
      <c r="T13" s="765" t="n"/>
      <c r="U13" s="752" t="n"/>
      <c r="V13" s="807" t="inlineStr">
        <is>
          <t>TOTAL</t>
        </is>
      </c>
      <c r="W13" s="808">
        <f>SUM(W15:Y201)</f>
        <v/>
      </c>
      <c r="X13" s="811" t="n"/>
      <c r="Y13" s="765" t="n"/>
      <c r="Z13" s="550" t="n"/>
      <c r="AA13" s="807" t="inlineStr">
        <is>
          <t>TOTAL</t>
        </is>
      </c>
      <c r="AB13" s="808">
        <f>SUM(AB15:AD201)</f>
        <v/>
      </c>
      <c r="AC13" s="811" t="n"/>
      <c r="AD13" s="765" t="n"/>
      <c r="AE13" s="550" t="n"/>
      <c r="AF13" s="807" t="inlineStr">
        <is>
          <t>TOTAL</t>
        </is>
      </c>
      <c r="AG13" s="808">
        <f>SUM(AG15:AI201)</f>
        <v/>
      </c>
      <c r="AH13" s="811" t="n"/>
      <c r="AI13" s="765" t="n"/>
      <c r="AJ13" s="550" t="n"/>
      <c r="AK13" s="807" t="inlineStr">
        <is>
          <t>TOTAL</t>
        </is>
      </c>
      <c r="AL13" s="808">
        <f>SUM(AL15:AN201)</f>
        <v/>
      </c>
      <c r="AM13" s="811" t="n"/>
      <c r="AN13" s="765" t="n"/>
      <c r="AO13" s="550" t="n"/>
      <c r="AP13" s="807" t="inlineStr">
        <is>
          <t>TOTAL</t>
        </is>
      </c>
      <c r="AQ13" s="808">
        <f>SUM(AQ15:AS201)</f>
        <v/>
      </c>
      <c r="AR13" s="811" t="n"/>
      <c r="AS13" s="765" t="n"/>
      <c r="AT13" s="550" t="n"/>
      <c r="AU13" s="807" t="inlineStr">
        <is>
          <t>TOTAL</t>
        </is>
      </c>
      <c r="AV13" s="808">
        <f>SUM(AV15:AX201)</f>
        <v/>
      </c>
      <c r="AW13" s="811" t="n"/>
      <c r="AX13" s="765" t="n"/>
      <c r="AY13" s="550" t="n"/>
      <c r="AZ13" s="807" t="inlineStr">
        <is>
          <t>TOTAL</t>
        </is>
      </c>
      <c r="BA13" s="808">
        <f>SUM(BA15:BC201)</f>
        <v/>
      </c>
      <c r="BB13" s="811" t="n"/>
      <c r="BC13" s="765" t="n"/>
      <c r="BD13" s="550" t="n"/>
      <c r="BE13" s="807" t="inlineStr">
        <is>
          <t>TOTAL</t>
        </is>
      </c>
      <c r="BF13" s="808">
        <f>SUM(BF15:BH201)</f>
        <v/>
      </c>
      <c r="BG13" s="811" t="n"/>
      <c r="BH13" s="765" t="n"/>
      <c r="BI13" s="550" t="n"/>
      <c r="BJ13" s="807" t="inlineStr">
        <is>
          <t>TOTAL</t>
        </is>
      </c>
      <c r="BK13" s="808">
        <f>SUM(BK15:BM201)</f>
        <v/>
      </c>
      <c r="BL13" s="811" t="n"/>
      <c r="BM13" s="765" t="n"/>
      <c r="BN13" s="550" t="n"/>
      <c r="BO13" s="807" t="inlineStr">
        <is>
          <t>TOTAL</t>
        </is>
      </c>
      <c r="BP13" s="808">
        <f>SUM(BP15:BR201)</f>
        <v/>
      </c>
      <c r="BQ13" s="811" t="n"/>
      <c r="BR13" s="765" t="n"/>
      <c r="BS13" s="550" t="n"/>
      <c r="BT13" s="807" t="inlineStr">
        <is>
          <t>TOTAL</t>
        </is>
      </c>
      <c r="BU13" s="808">
        <f>SUM(BU15:BW201)</f>
        <v/>
      </c>
      <c r="BV13" s="811" t="n"/>
      <c r="BW13" s="765" t="n"/>
      <c r="BX13" s="550" t="n"/>
      <c r="BY13" s="807" t="inlineStr">
        <is>
          <t>TOTAL</t>
        </is>
      </c>
      <c r="BZ13" s="808">
        <f>SUM(BZ15:CB201)</f>
        <v/>
      </c>
      <c r="CA13" s="811" t="n"/>
      <c r="CB13" s="765" t="n"/>
      <c r="CC13" s="550" t="n"/>
      <c r="CD13" s="807" t="inlineStr">
        <is>
          <t>TOTAL</t>
        </is>
      </c>
      <c r="CE13" s="808">
        <f>SUM(CE15:CG201)</f>
        <v/>
      </c>
      <c r="CF13" s="811" t="n"/>
      <c r="CG13" s="765" t="n"/>
      <c r="CH13" s="550" t="n"/>
      <c r="CI13" s="807" t="inlineStr">
        <is>
          <t>TOTAL</t>
        </is>
      </c>
      <c r="CJ13" s="808">
        <f>SUM(CJ15:CL201)</f>
        <v/>
      </c>
      <c r="CK13" s="811" t="n"/>
      <c r="CL13" s="765" t="n"/>
      <c r="CM13" s="550" t="n"/>
      <c r="CN13" s="807" t="inlineStr">
        <is>
          <t>TOTAL</t>
        </is>
      </c>
      <c r="CO13" s="808">
        <f>SUM(CO15:CQ201)</f>
        <v/>
      </c>
      <c r="CP13" s="811" t="n"/>
      <c r="CQ13" s="765" t="n"/>
      <c r="CR13" s="550" t="n"/>
      <c r="CS13" s="807" t="inlineStr">
        <is>
          <t>TOTAL</t>
        </is>
      </c>
      <c r="CT13" s="808">
        <f>SUM(CT15:CV201)</f>
        <v/>
      </c>
      <c r="CU13" s="811" t="n"/>
      <c r="CV13" s="765" t="n"/>
      <c r="CW13" s="550" t="n"/>
      <c r="CX13" s="807" t="inlineStr">
        <is>
          <t>TOTAL</t>
        </is>
      </c>
      <c r="CY13" s="808">
        <f>SUM(CY15:DA201)</f>
        <v/>
      </c>
      <c r="CZ13" s="811" t="n"/>
      <c r="DA13" s="765" t="n"/>
      <c r="DB13" s="550" t="n"/>
      <c r="DC13" s="807" t="inlineStr">
        <is>
          <t>TOTAL</t>
        </is>
      </c>
      <c r="DD13" s="808">
        <f>SUM(DD15:DF201)</f>
        <v/>
      </c>
      <c r="DE13" s="811" t="n"/>
      <c r="DF13" s="765" t="n"/>
      <c r="DG13" s="550" t="n"/>
      <c r="DH13" s="807" t="inlineStr">
        <is>
          <t>TOTAL</t>
        </is>
      </c>
      <c r="DI13" s="808">
        <f>SUM(DI15:DK201)</f>
        <v/>
      </c>
      <c r="DJ13" s="811" t="n"/>
      <c r="DK13" s="765" t="n"/>
      <c r="DL13" s="550" t="n"/>
      <c r="DM13" s="807" t="inlineStr">
        <is>
          <t>TOTAL</t>
        </is>
      </c>
      <c r="DN13" s="808">
        <f>SUM(DN15:DP201)</f>
        <v/>
      </c>
      <c r="DO13" s="811" t="n"/>
      <c r="DP13" s="765" t="n"/>
      <c r="DQ13" s="550" t="n"/>
      <c r="DR13" s="807" t="inlineStr">
        <is>
          <t>TOTAL</t>
        </is>
      </c>
      <c r="DS13" s="808">
        <f>SUM(DS15:DU201)</f>
        <v/>
      </c>
      <c r="DT13" s="811" t="n"/>
      <c r="DU13" s="765" t="n"/>
      <c r="DV13" s="550" t="n"/>
    </row>
    <row r="14" customFormat="1" s="192">
      <c r="A14" s="551" t="n"/>
      <c r="B14" s="552" t="n"/>
      <c r="C14" s="812" t="inlineStr">
        <is>
          <t>SPAN</t>
        </is>
      </c>
      <c r="D14" s="812" t="inlineStr">
        <is>
          <t>STORAGE</t>
        </is>
      </c>
      <c r="E14" s="812" t="inlineStr">
        <is>
          <t>RISER</t>
        </is>
      </c>
      <c r="F14" s="813" t="n"/>
      <c r="G14" s="766" t="n"/>
      <c r="H14" s="814" t="inlineStr">
        <is>
          <t>SPAN</t>
        </is>
      </c>
      <c r="I14" s="815" t="inlineStr">
        <is>
          <t>STORAGE</t>
        </is>
      </c>
      <c r="J14" s="816" t="inlineStr">
        <is>
          <t>RISER</t>
        </is>
      </c>
      <c r="K14" s="551" t="n"/>
      <c r="L14" s="766" t="n"/>
      <c r="M14" s="814" t="inlineStr">
        <is>
          <t>SPAN</t>
        </is>
      </c>
      <c r="N14" s="815" t="inlineStr">
        <is>
          <t>STORAGE</t>
        </is>
      </c>
      <c r="O14" s="816" t="inlineStr">
        <is>
          <t>RISER</t>
        </is>
      </c>
      <c r="P14" s="551" t="n"/>
      <c r="Q14" s="767" t="n"/>
      <c r="R14" s="817" t="inlineStr">
        <is>
          <t>SPAN</t>
        </is>
      </c>
      <c r="S14" s="815" t="inlineStr">
        <is>
          <t>STORAGE</t>
        </is>
      </c>
      <c r="T14" s="816" t="inlineStr">
        <is>
          <t>RISER</t>
        </is>
      </c>
      <c r="U14" s="818" t="n"/>
      <c r="V14" s="767" t="n"/>
      <c r="W14" s="814" t="inlineStr">
        <is>
          <t>SPAN</t>
        </is>
      </c>
      <c r="X14" s="815" t="inlineStr">
        <is>
          <t>STORAGE</t>
        </is>
      </c>
      <c r="Y14" s="816" t="inlineStr">
        <is>
          <t>RISER</t>
        </is>
      </c>
      <c r="Z14" s="551" t="n"/>
      <c r="AA14" s="767" t="n"/>
      <c r="AB14" s="814" t="inlineStr">
        <is>
          <t>SPAN</t>
        </is>
      </c>
      <c r="AC14" s="815" t="inlineStr">
        <is>
          <t>STORAGE</t>
        </is>
      </c>
      <c r="AD14" s="816" t="inlineStr">
        <is>
          <t>RISER</t>
        </is>
      </c>
      <c r="AE14" s="551" t="n"/>
      <c r="AF14" s="767" t="n"/>
      <c r="AG14" s="814" t="inlineStr">
        <is>
          <t>SPAN</t>
        </is>
      </c>
      <c r="AH14" s="815" t="inlineStr">
        <is>
          <t>STORAGE</t>
        </is>
      </c>
      <c r="AI14" s="816" t="inlineStr">
        <is>
          <t>RISER</t>
        </is>
      </c>
      <c r="AJ14" s="551" t="n"/>
      <c r="AK14" s="767" t="n"/>
      <c r="AL14" s="814" t="inlineStr">
        <is>
          <t>SPAN</t>
        </is>
      </c>
      <c r="AM14" s="815" t="inlineStr">
        <is>
          <t>STORAGE</t>
        </is>
      </c>
      <c r="AN14" s="816" t="inlineStr">
        <is>
          <t>RISER</t>
        </is>
      </c>
      <c r="AO14" s="551" t="n"/>
      <c r="AP14" s="767" t="n"/>
      <c r="AQ14" s="814" t="inlineStr">
        <is>
          <t>SPAN</t>
        </is>
      </c>
      <c r="AR14" s="815" t="inlineStr">
        <is>
          <t>STORAGE</t>
        </is>
      </c>
      <c r="AS14" s="816" t="inlineStr">
        <is>
          <t>RISER</t>
        </is>
      </c>
      <c r="AT14" s="551" t="n"/>
      <c r="AU14" s="767" t="n"/>
      <c r="AV14" s="814" t="inlineStr">
        <is>
          <t>SPAN</t>
        </is>
      </c>
      <c r="AW14" s="815" t="inlineStr">
        <is>
          <t>STORAGE</t>
        </is>
      </c>
      <c r="AX14" s="816" t="inlineStr">
        <is>
          <t>RISER</t>
        </is>
      </c>
      <c r="AY14" s="551" t="n"/>
      <c r="AZ14" s="767" t="n"/>
      <c r="BA14" s="814" t="inlineStr">
        <is>
          <t>SPAN</t>
        </is>
      </c>
      <c r="BB14" s="819" t="inlineStr">
        <is>
          <t>STORAGE</t>
        </is>
      </c>
      <c r="BC14" s="816" t="inlineStr">
        <is>
          <t>RISER</t>
        </is>
      </c>
      <c r="BD14" s="551" t="n"/>
      <c r="BE14" s="767" t="n"/>
      <c r="BF14" s="814" t="inlineStr">
        <is>
          <t>SPAN</t>
        </is>
      </c>
      <c r="BG14" s="815" t="inlineStr">
        <is>
          <t>STORAGE</t>
        </is>
      </c>
      <c r="BH14" s="816" t="inlineStr">
        <is>
          <t>RISER</t>
        </is>
      </c>
      <c r="BI14" s="551" t="n"/>
      <c r="BJ14" s="767" t="n"/>
      <c r="BK14" s="814" t="inlineStr">
        <is>
          <t>SPAN</t>
        </is>
      </c>
      <c r="BL14" s="815" t="inlineStr">
        <is>
          <t>STORAGE</t>
        </is>
      </c>
      <c r="BM14" s="816" t="inlineStr">
        <is>
          <t>RISER</t>
        </is>
      </c>
      <c r="BN14" s="551" t="n"/>
      <c r="BO14" s="767" t="n"/>
      <c r="BP14" s="814" t="inlineStr">
        <is>
          <t>SPAN</t>
        </is>
      </c>
      <c r="BQ14" s="815" t="inlineStr">
        <is>
          <t>STORAGE</t>
        </is>
      </c>
      <c r="BR14" s="816" t="inlineStr">
        <is>
          <t>RISER</t>
        </is>
      </c>
      <c r="BS14" s="551" t="n"/>
      <c r="BT14" s="767" t="n"/>
      <c r="BU14" s="814" t="inlineStr">
        <is>
          <t>SPAN</t>
        </is>
      </c>
      <c r="BV14" s="815" t="inlineStr">
        <is>
          <t>STORAGE</t>
        </is>
      </c>
      <c r="BW14" s="816" t="inlineStr">
        <is>
          <t>RISER</t>
        </is>
      </c>
      <c r="BX14" s="551" t="n"/>
      <c r="BY14" s="767" t="n"/>
      <c r="BZ14" s="814" t="inlineStr">
        <is>
          <t>SPAN</t>
        </is>
      </c>
      <c r="CA14" s="815" t="inlineStr">
        <is>
          <t>STORAGE</t>
        </is>
      </c>
      <c r="CB14" s="816" t="inlineStr">
        <is>
          <t>RISER</t>
        </is>
      </c>
      <c r="CC14" s="551" t="n"/>
      <c r="CD14" s="767" t="n"/>
      <c r="CE14" s="814" t="inlineStr">
        <is>
          <t>SPAN</t>
        </is>
      </c>
      <c r="CF14" s="815" t="inlineStr">
        <is>
          <t>STORAGE</t>
        </is>
      </c>
      <c r="CG14" s="816" t="inlineStr">
        <is>
          <t>RISER</t>
        </is>
      </c>
      <c r="CH14" s="551" t="n"/>
      <c r="CI14" s="767" t="n"/>
      <c r="CJ14" s="814" t="inlineStr">
        <is>
          <t>SPAN</t>
        </is>
      </c>
      <c r="CK14" s="815" t="inlineStr">
        <is>
          <t>STORAGE</t>
        </is>
      </c>
      <c r="CL14" s="816" t="inlineStr">
        <is>
          <t>RISER</t>
        </is>
      </c>
      <c r="CM14" s="551" t="n"/>
      <c r="CN14" s="767" t="n"/>
      <c r="CO14" s="814" t="inlineStr">
        <is>
          <t>SPAN</t>
        </is>
      </c>
      <c r="CP14" s="815" t="inlineStr">
        <is>
          <t>STORAGE</t>
        </is>
      </c>
      <c r="CQ14" s="816" t="inlineStr">
        <is>
          <t>RISER</t>
        </is>
      </c>
      <c r="CR14" s="551" t="n"/>
      <c r="CS14" s="767" t="n"/>
      <c r="CT14" s="814" t="inlineStr">
        <is>
          <t>SPAN</t>
        </is>
      </c>
      <c r="CU14" s="815" t="inlineStr">
        <is>
          <t>STORAGE</t>
        </is>
      </c>
      <c r="CV14" s="816" t="inlineStr">
        <is>
          <t>RISER</t>
        </is>
      </c>
      <c r="CW14" s="551" t="n"/>
      <c r="CX14" s="767" t="n"/>
      <c r="CY14" s="814" t="inlineStr">
        <is>
          <t>SPAN</t>
        </is>
      </c>
      <c r="CZ14" s="815" t="inlineStr">
        <is>
          <t>STORAGE</t>
        </is>
      </c>
      <c r="DA14" s="816" t="inlineStr">
        <is>
          <t>RISER</t>
        </is>
      </c>
      <c r="DB14" s="551" t="n"/>
      <c r="DC14" s="767" t="n"/>
      <c r="DD14" s="814" t="inlineStr">
        <is>
          <t>SPAN</t>
        </is>
      </c>
      <c r="DE14" s="815" t="inlineStr">
        <is>
          <t>STORAGE</t>
        </is>
      </c>
      <c r="DF14" s="816" t="inlineStr">
        <is>
          <t>RISER</t>
        </is>
      </c>
      <c r="DG14" s="551" t="n"/>
      <c r="DH14" s="767" t="n"/>
      <c r="DI14" s="814" t="inlineStr">
        <is>
          <t>SPAN</t>
        </is>
      </c>
      <c r="DJ14" s="815" t="inlineStr">
        <is>
          <t>STORAGE</t>
        </is>
      </c>
      <c r="DK14" s="816" t="inlineStr">
        <is>
          <t>RISER</t>
        </is>
      </c>
      <c r="DL14" s="551" t="n"/>
      <c r="DM14" s="767" t="n"/>
      <c r="DN14" s="814" t="inlineStr">
        <is>
          <t>SPAN</t>
        </is>
      </c>
      <c r="DO14" s="815" t="inlineStr">
        <is>
          <t>STORAGE</t>
        </is>
      </c>
      <c r="DP14" s="816" t="inlineStr">
        <is>
          <t>RISER</t>
        </is>
      </c>
      <c r="DQ14" s="551" t="n"/>
      <c r="DR14" s="767" t="n"/>
      <c r="DS14" s="814" t="inlineStr">
        <is>
          <t>SPAN</t>
        </is>
      </c>
      <c r="DT14" s="815" t="inlineStr">
        <is>
          <t>STORAGE</t>
        </is>
      </c>
      <c r="DU14" s="816" t="inlineStr">
        <is>
          <t>RISER</t>
        </is>
      </c>
      <c r="DV14" s="551" t="n"/>
    </row>
    <row r="15">
      <c r="A15" s="803" t="n"/>
      <c r="B15" s="803" t="n"/>
      <c r="C15" s="820" t="n">
        <v>0</v>
      </c>
      <c r="D15" s="821" t="n">
        <v>50</v>
      </c>
      <c r="E15" s="822" t="n"/>
      <c r="F15" s="823" t="n"/>
      <c r="G15" s="824" t="n"/>
      <c r="H15" s="820" t="n"/>
      <c r="I15" s="825" t="n"/>
      <c r="J15" s="822" t="n"/>
      <c r="K15" s="823" t="n"/>
      <c r="L15" s="824" t="n"/>
      <c r="M15" s="820" t="n"/>
      <c r="N15" s="825" t="n"/>
      <c r="O15" s="822" t="n"/>
      <c r="P15" s="823" t="n"/>
      <c r="Q15" s="824" t="n"/>
      <c r="R15" s="820" t="n"/>
      <c r="S15" s="825" t="n"/>
      <c r="T15" s="826" t="n"/>
      <c r="U15" s="827" t="n"/>
      <c r="V15" s="824" t="n"/>
      <c r="W15" s="828" t="n"/>
      <c r="X15" s="821" t="n"/>
      <c r="Y15" s="822" t="n"/>
      <c r="Z15" s="823" t="n"/>
      <c r="AA15" s="824" t="n"/>
      <c r="AB15" s="828" t="n"/>
      <c r="AC15" s="821" t="n"/>
      <c r="AD15" s="822" t="n"/>
      <c r="AE15" s="803" t="n"/>
      <c r="AF15" s="824" t="n"/>
      <c r="AG15" s="820" t="n"/>
      <c r="AH15" s="821" t="n"/>
      <c r="AI15" s="822" t="n"/>
      <c r="AJ15" s="803" t="n"/>
      <c r="AK15" s="824" t="n"/>
      <c r="AL15" s="820" t="n"/>
      <c r="AM15" s="821" t="n"/>
      <c r="AN15" s="822" t="n"/>
      <c r="AO15" s="803" t="n"/>
      <c r="AP15" s="824" t="n"/>
      <c r="AQ15" s="820" t="n"/>
      <c r="AR15" s="821" t="n"/>
      <c r="AS15" s="822" t="n"/>
      <c r="AT15" s="803" t="n"/>
      <c r="AU15" s="824" t="n"/>
      <c r="AV15" s="820" t="n"/>
      <c r="AW15" s="821" t="n"/>
      <c r="AX15" s="822" t="n"/>
      <c r="AY15" s="803" t="n"/>
      <c r="AZ15" s="824" t="n"/>
      <c r="BA15" s="820" t="n"/>
      <c r="BB15" s="821" t="n"/>
      <c r="BC15" s="822" t="n"/>
      <c r="BD15" s="803" t="n"/>
      <c r="BE15" s="824" t="n"/>
      <c r="BF15" s="820" t="n"/>
      <c r="BG15" s="821" t="n"/>
      <c r="BH15" s="822" t="n"/>
      <c r="BI15" s="803" t="n"/>
      <c r="BJ15" s="824" t="n"/>
      <c r="BK15" s="820" t="n"/>
      <c r="BL15" s="821" t="n"/>
      <c r="BM15" s="822" t="n"/>
      <c r="BN15" s="803" t="n"/>
      <c r="BO15" s="824" t="n"/>
      <c r="BP15" s="820" t="n"/>
      <c r="BQ15" s="821" t="n"/>
      <c r="BR15" s="822" t="n"/>
      <c r="BS15" s="803" t="n"/>
      <c r="BT15" s="824" t="n"/>
      <c r="BU15" s="820" t="n"/>
      <c r="BV15" s="821" t="n"/>
      <c r="BW15" s="822" t="n"/>
      <c r="BX15" s="803" t="n"/>
      <c r="BY15" s="824" t="n"/>
      <c r="BZ15" s="820" t="n"/>
      <c r="CA15" s="821" t="n"/>
      <c r="CB15" s="822" t="n"/>
      <c r="CC15" s="803" t="n"/>
      <c r="CD15" s="824" t="n"/>
      <c r="CE15" s="820" t="n"/>
      <c r="CF15" s="821" t="n"/>
      <c r="CG15" s="822" t="n"/>
      <c r="CH15" s="803" t="n"/>
      <c r="CI15" s="824" t="n"/>
      <c r="CJ15" s="820" t="n"/>
      <c r="CK15" s="821" t="n"/>
      <c r="CL15" s="822" t="n"/>
      <c r="CM15" s="803" t="n"/>
      <c r="CN15" s="823" t="n"/>
      <c r="CO15" s="820" t="n"/>
      <c r="CP15" s="821" t="n"/>
      <c r="CQ15" s="822" t="n"/>
      <c r="CR15" s="803" t="n"/>
      <c r="CS15" s="823" t="n"/>
      <c r="CT15" s="820" t="n"/>
      <c r="CU15" s="821" t="n"/>
      <c r="CV15" s="822" t="n"/>
      <c r="CW15" s="803" t="n"/>
      <c r="CX15" s="823" t="n"/>
      <c r="CY15" s="820" t="n"/>
      <c r="CZ15" s="821" t="n"/>
      <c r="DA15" s="822" t="n"/>
      <c r="DB15" s="803" t="n"/>
      <c r="DC15" s="823" t="n"/>
      <c r="DD15" s="1001" t="n"/>
      <c r="DE15" s="821" t="n"/>
      <c r="DF15" s="822" t="n"/>
      <c r="DG15" s="803" t="n"/>
      <c r="DH15" s="823" t="n"/>
      <c r="DI15" s="1001" t="n"/>
      <c r="DJ15" s="821" t="n"/>
      <c r="DK15" s="822" t="n"/>
      <c r="DL15" s="803" t="n"/>
      <c r="DM15" s="823" t="n"/>
      <c r="DN15" s="1001" t="n"/>
      <c r="DO15" s="821" t="n"/>
      <c r="DP15" s="822" t="n"/>
      <c r="DQ15" s="803" t="n"/>
      <c r="DR15" s="823" t="n"/>
      <c r="DS15" s="1001" t="n"/>
      <c r="DT15" s="821" t="n"/>
      <c r="DU15" s="822" t="n"/>
      <c r="DV15" s="803" t="n"/>
    </row>
    <row r="16">
      <c r="A16" s="803" t="n"/>
      <c r="B16" s="803" t="n"/>
      <c r="C16" s="1001" t="n"/>
      <c r="D16" s="821" t="n"/>
      <c r="E16" s="822" t="n"/>
      <c r="F16" s="823" t="n"/>
      <c r="G16" s="824" t="n"/>
      <c r="H16" s="1001" t="n"/>
      <c r="I16" s="821" t="n"/>
      <c r="J16" s="822" t="n"/>
      <c r="K16" s="823" t="n"/>
      <c r="L16" s="824" t="n"/>
      <c r="M16" s="1001" t="n"/>
      <c r="N16" s="821" t="n"/>
      <c r="O16" s="822" t="n"/>
      <c r="P16" s="823" t="n"/>
      <c r="Q16" s="824" t="n"/>
      <c r="R16" s="1001" t="n"/>
      <c r="S16" s="821" t="n"/>
      <c r="T16" s="822" t="n"/>
      <c r="U16" s="827" t="n"/>
      <c r="V16" s="824" t="n"/>
      <c r="W16" s="828" t="n"/>
      <c r="X16" s="821" t="n"/>
      <c r="Y16" s="822" t="n"/>
      <c r="Z16" s="823" t="n"/>
      <c r="AA16" s="824" t="n"/>
      <c r="AB16" s="828" t="n"/>
      <c r="AC16" s="821" t="n"/>
      <c r="AD16" s="822" t="n"/>
      <c r="AE16" s="803" t="n"/>
      <c r="AF16" s="824" t="n"/>
      <c r="AG16" s="1001" t="n"/>
      <c r="AH16" s="821" t="n"/>
      <c r="AI16" s="822" t="n"/>
      <c r="AJ16" s="803" t="n"/>
      <c r="AK16" s="824" t="n"/>
      <c r="AL16" s="1001" t="n"/>
      <c r="AM16" s="821" t="n"/>
      <c r="AN16" s="822" t="n"/>
      <c r="AO16" s="803" t="n"/>
      <c r="AP16" s="824" t="n"/>
      <c r="AQ16" s="1001" t="n"/>
      <c r="AR16" s="821" t="n"/>
      <c r="AS16" s="822" t="n"/>
      <c r="AT16" s="803" t="n"/>
      <c r="AU16" s="824" t="n"/>
      <c r="AV16" s="1001" t="n"/>
      <c r="AW16" s="821" t="n"/>
      <c r="AX16" s="822" t="n"/>
      <c r="AY16" s="803" t="n"/>
      <c r="AZ16" s="824" t="n"/>
      <c r="BA16" s="1001" t="n"/>
      <c r="BB16" s="821" t="n"/>
      <c r="BC16" s="822" t="n"/>
      <c r="BD16" s="830" t="n"/>
      <c r="BE16" s="824" t="n"/>
      <c r="BF16" s="1001" t="n"/>
      <c r="BG16" s="821" t="n"/>
      <c r="BH16" s="822" t="n"/>
      <c r="BI16" s="803" t="n"/>
      <c r="BJ16" s="824" t="n"/>
      <c r="BK16" s="1001" t="n"/>
      <c r="BL16" s="821" t="n"/>
      <c r="BM16" s="822" t="n"/>
      <c r="BN16" s="803" t="n"/>
      <c r="BO16" s="824" t="n"/>
      <c r="BP16" s="1001" t="n"/>
      <c r="BQ16" s="821" t="n"/>
      <c r="BR16" s="822" t="n"/>
      <c r="BS16" s="803" t="n"/>
      <c r="BT16" s="824" t="n"/>
      <c r="BU16" s="1001" t="n"/>
      <c r="BV16" s="821" t="n"/>
      <c r="BW16" s="822" t="n"/>
      <c r="BX16" s="803" t="n"/>
      <c r="BY16" s="824" t="n"/>
      <c r="BZ16" s="1001" t="n"/>
      <c r="CA16" s="821" t="n"/>
      <c r="CB16" s="822" t="n"/>
      <c r="CC16" s="803" t="n"/>
      <c r="CD16" s="824" t="n"/>
      <c r="CE16" s="1001" t="n"/>
      <c r="CF16" s="821" t="n"/>
      <c r="CG16" s="822" t="n"/>
      <c r="CH16" s="803" t="n"/>
      <c r="CI16" s="824" t="n"/>
      <c r="CJ16" s="1001" t="n"/>
      <c r="CK16" s="821" t="n"/>
      <c r="CL16" s="822" t="n"/>
      <c r="CM16" s="803" t="n"/>
      <c r="CN16" s="823" t="n"/>
      <c r="CO16" s="1001" t="n"/>
      <c r="CP16" s="821" t="n"/>
      <c r="CQ16" s="822" t="n"/>
      <c r="CR16" s="803" t="n"/>
      <c r="CS16" s="823" t="n"/>
      <c r="CT16" s="1001" t="n"/>
      <c r="CU16" s="821" t="n"/>
      <c r="CV16" s="822" t="n"/>
      <c r="CW16" s="803" t="n"/>
      <c r="CX16" s="823" t="n"/>
      <c r="CY16" s="1001" t="n"/>
      <c r="CZ16" s="821" t="n"/>
      <c r="DA16" s="822" t="n"/>
      <c r="DB16" s="803" t="n"/>
      <c r="DC16" s="823" t="n"/>
      <c r="DD16" s="1001" t="n"/>
      <c r="DE16" s="821" t="n"/>
      <c r="DF16" s="822" t="n"/>
      <c r="DG16" s="803" t="n"/>
      <c r="DH16" s="823" t="n"/>
      <c r="DI16" s="1001" t="n"/>
      <c r="DJ16" s="821" t="n"/>
      <c r="DK16" s="822" t="n"/>
      <c r="DL16" s="803" t="n"/>
      <c r="DM16" s="823" t="n"/>
      <c r="DN16" s="1146" t="n"/>
      <c r="DO16" s="821" t="n"/>
      <c r="DP16" s="822" t="n"/>
      <c r="DQ16" s="803" t="n"/>
      <c r="DR16" s="823" t="n"/>
      <c r="DS16" s="1146" t="n"/>
      <c r="DT16" s="821" t="n"/>
      <c r="DU16" s="822" t="n"/>
      <c r="DV16" s="803" t="n"/>
    </row>
    <row r="17">
      <c r="A17" s="803" t="n"/>
      <c r="B17" s="803" t="n"/>
      <c r="C17" s="828" t="n"/>
      <c r="D17" s="821" t="n"/>
      <c r="E17" s="822" t="n"/>
      <c r="F17" s="823" t="n"/>
      <c r="G17" s="824" t="n"/>
      <c r="H17" s="828" t="n"/>
      <c r="I17" s="821" t="n"/>
      <c r="J17" s="822" t="n"/>
      <c r="K17" s="823" t="n"/>
      <c r="L17" s="824" t="n"/>
      <c r="M17" s="828" t="n"/>
      <c r="N17" s="821" t="n"/>
      <c r="O17" s="822" t="n"/>
      <c r="P17" s="823" t="n"/>
      <c r="Q17" s="824" t="n"/>
      <c r="R17" s="828" t="n"/>
      <c r="S17" s="821" t="n"/>
      <c r="T17" s="822" t="n"/>
      <c r="U17" s="827" t="n"/>
      <c r="V17" s="824" t="n"/>
      <c r="W17" s="828" t="n"/>
      <c r="X17" s="821" t="n"/>
      <c r="Y17" s="822" t="n"/>
      <c r="Z17" s="823" t="n"/>
      <c r="AA17" s="824" t="n"/>
      <c r="AB17" s="828" t="n"/>
      <c r="AC17" s="821" t="n"/>
      <c r="AD17" s="822" t="n"/>
      <c r="AE17" s="803" t="n"/>
      <c r="AF17" s="824" t="n"/>
      <c r="AG17" s="828" t="n"/>
      <c r="AH17" s="821" t="n"/>
      <c r="AI17" s="822" t="n"/>
      <c r="AJ17" s="803" t="n"/>
      <c r="AK17" s="824" t="n"/>
      <c r="AL17" s="828" t="n"/>
      <c r="AM17" s="821" t="n"/>
      <c r="AN17" s="822" t="n"/>
      <c r="AO17" s="803" t="n"/>
      <c r="AP17" s="824" t="n"/>
      <c r="AQ17" s="828" t="n"/>
      <c r="AR17" s="821" t="n"/>
      <c r="AS17" s="822" t="n"/>
      <c r="AT17" s="803" t="n"/>
      <c r="AU17" s="824" t="n"/>
      <c r="AV17" s="828" t="n"/>
      <c r="AW17" s="821" t="n"/>
      <c r="AX17" s="822" t="n"/>
      <c r="AY17" s="803" t="n"/>
      <c r="AZ17" s="824" t="n"/>
      <c r="BA17" s="828" t="n"/>
      <c r="BB17" s="821" t="n"/>
      <c r="BC17" s="822" t="n"/>
      <c r="BD17" s="803" t="n"/>
      <c r="BE17" s="824" t="n"/>
      <c r="BF17" s="828" t="n"/>
      <c r="BG17" s="821" t="n"/>
      <c r="BH17" s="822" t="n"/>
      <c r="BI17" s="803" t="n"/>
      <c r="BJ17" s="824" t="n"/>
      <c r="BK17" s="1001" t="n"/>
      <c r="BL17" s="821" t="n"/>
      <c r="BM17" s="822" t="n"/>
      <c r="BN17" s="803" t="n"/>
      <c r="BO17" s="824" t="n"/>
      <c r="BP17" s="828" t="n"/>
      <c r="BQ17" s="821" t="n"/>
      <c r="BR17" s="822" t="n"/>
      <c r="BS17" s="803" t="n"/>
      <c r="BT17" s="824" t="n"/>
      <c r="BU17" s="828" t="n"/>
      <c r="BV17" s="821" t="n"/>
      <c r="BW17" s="822" t="n"/>
      <c r="BX17" s="803" t="n"/>
      <c r="BY17" s="824" t="n"/>
      <c r="BZ17" s="828" t="n"/>
      <c r="CA17" s="821" t="n"/>
      <c r="CB17" s="822" t="n"/>
      <c r="CC17" s="803" t="n"/>
      <c r="CD17" s="824" t="n"/>
      <c r="CE17" s="828" t="n"/>
      <c r="CF17" s="821" t="n"/>
      <c r="CG17" s="822" t="n"/>
      <c r="CH17" s="803" t="n"/>
      <c r="CI17" s="824" t="n"/>
      <c r="CJ17" s="828" t="n"/>
      <c r="CK17" s="821" t="n"/>
      <c r="CL17" s="822" t="n"/>
      <c r="CM17" s="803" t="n"/>
      <c r="CN17" s="823" t="n"/>
      <c r="CO17" s="828" t="n"/>
      <c r="CP17" s="821" t="n"/>
      <c r="CQ17" s="822" t="n"/>
      <c r="CR17" s="803" t="n"/>
      <c r="CS17" s="823" t="n"/>
      <c r="CT17" s="828" t="n"/>
      <c r="CU17" s="821" t="n"/>
      <c r="CV17" s="822" t="n"/>
      <c r="CW17" s="803" t="n"/>
      <c r="CX17" s="823" t="n"/>
      <c r="CY17" s="828" t="n"/>
      <c r="CZ17" s="821" t="n"/>
      <c r="DA17" s="822" t="n"/>
      <c r="DB17" s="803" t="n"/>
      <c r="DC17" s="823" t="n"/>
      <c r="DD17" s="828" t="n"/>
      <c r="DE17" s="821" t="n"/>
      <c r="DF17" s="822" t="n"/>
      <c r="DG17" s="803" t="n"/>
      <c r="DH17" s="823" t="n"/>
      <c r="DI17" s="1001" t="n"/>
      <c r="DJ17" s="821" t="n"/>
      <c r="DK17" s="822" t="n"/>
      <c r="DL17" s="803" t="n"/>
      <c r="DM17" s="823" t="n"/>
      <c r="DN17" s="828" t="n"/>
      <c r="DO17" s="821" t="n"/>
      <c r="DP17" s="822" t="n"/>
      <c r="DQ17" s="803" t="n"/>
      <c r="DR17" s="823" t="n"/>
      <c r="DS17" s="1001" t="n"/>
      <c r="DT17" s="821" t="n"/>
      <c r="DU17" s="822" t="n"/>
      <c r="DV17" s="803" t="n"/>
    </row>
    <row r="18" ht="15" customHeight="1">
      <c r="C18" s="828" t="n"/>
      <c r="D18" s="821" t="n"/>
      <c r="E18" s="822" t="n"/>
      <c r="F18" s="823" t="n"/>
      <c r="G18" s="824" t="n"/>
      <c r="H18" s="828" t="n"/>
      <c r="I18" s="821" t="n"/>
      <c r="J18" s="822" t="n"/>
      <c r="K18" s="823" t="n"/>
      <c r="L18" s="824" t="n"/>
      <c r="M18" s="828" t="n"/>
      <c r="N18" s="821" t="n"/>
      <c r="O18" s="822" t="n"/>
      <c r="P18" s="823" t="n"/>
      <c r="Q18" s="824" t="n"/>
      <c r="R18" s="828" t="n"/>
      <c r="S18" s="821" t="n"/>
      <c r="T18" s="822" t="n"/>
      <c r="U18" s="827" t="n"/>
      <c r="V18" s="824" t="n"/>
      <c r="W18" s="828" t="n"/>
      <c r="X18" s="821" t="n"/>
      <c r="Y18" s="822" t="n"/>
      <c r="Z18" s="823" t="n"/>
      <c r="AA18" s="824" t="n"/>
      <c r="AB18" s="828" t="n"/>
      <c r="AC18" s="821" t="n"/>
      <c r="AD18" s="822" t="n"/>
      <c r="AE18" s="803" t="n"/>
      <c r="AF18" s="824" t="n"/>
      <c r="AG18" s="828" t="n"/>
      <c r="AH18" s="821" t="n"/>
      <c r="AI18" s="822" t="n"/>
      <c r="AJ18" s="803" t="n"/>
      <c r="AK18" s="824" t="n"/>
      <c r="AL18" s="1001" t="n"/>
      <c r="AM18" s="821" t="n"/>
      <c r="AN18" s="822" t="n"/>
      <c r="AO18" s="803" t="n"/>
      <c r="AP18" s="824" t="n"/>
      <c r="AQ18" s="828" t="n"/>
      <c r="AR18" s="821" t="n"/>
      <c r="AS18" s="822" t="n"/>
      <c r="AT18" s="803" t="n"/>
      <c r="AU18" s="824" t="n"/>
      <c r="AV18" s="828" t="n"/>
      <c r="AW18" s="821" t="n"/>
      <c r="AX18" s="822" t="n"/>
      <c r="AY18" s="803" t="n"/>
      <c r="AZ18" s="824" t="n"/>
      <c r="BA18" s="828" t="n"/>
      <c r="BB18" s="821" t="n"/>
      <c r="BC18" s="822" t="n"/>
      <c r="BD18" s="803" t="n"/>
      <c r="BE18" s="823" t="n"/>
      <c r="BF18" s="828" t="n"/>
      <c r="BG18" s="821" t="n"/>
      <c r="BH18" s="822" t="n"/>
      <c r="BI18" s="803" t="n"/>
      <c r="BJ18" s="824" t="n"/>
      <c r="BK18" s="1001" t="n"/>
      <c r="BL18" s="821" t="n"/>
      <c r="BM18" s="822" t="n"/>
      <c r="BN18" s="803" t="n"/>
      <c r="BO18" s="824" t="n"/>
      <c r="BP18" s="828" t="n"/>
      <c r="BQ18" s="821" t="n"/>
      <c r="BR18" s="822" t="n"/>
      <c r="BS18" s="803" t="n"/>
      <c r="BT18" s="824" t="n"/>
      <c r="BU18" s="828" t="n"/>
      <c r="BV18" s="821" t="n"/>
      <c r="BW18" s="822" t="n"/>
      <c r="BX18" s="803" t="n"/>
      <c r="BY18" s="824" t="n"/>
      <c r="BZ18" s="828" t="n"/>
      <c r="CA18" s="821" t="n"/>
      <c r="CB18" s="822" t="n"/>
      <c r="CC18" s="803" t="n"/>
      <c r="CD18" s="824" t="n"/>
      <c r="CE18" s="828" t="n"/>
      <c r="CF18" s="821" t="n"/>
      <c r="CG18" s="822" t="n"/>
      <c r="CH18" s="803" t="n"/>
      <c r="CI18" s="824" t="n"/>
      <c r="CJ18" s="1001" t="n"/>
      <c r="CK18" s="821" t="n"/>
      <c r="CL18" s="822" t="n"/>
      <c r="CM18" s="803" t="n"/>
      <c r="CN18" s="823" t="n"/>
      <c r="CO18" s="828" t="n"/>
      <c r="CP18" s="821" t="n"/>
      <c r="CQ18" s="822" t="n"/>
      <c r="CR18" s="803" t="n"/>
      <c r="CS18" s="823" t="n"/>
      <c r="CT18" s="828" t="n"/>
      <c r="CU18" s="821" t="n"/>
      <c r="CV18" s="822" t="n"/>
      <c r="CW18" s="803" t="n"/>
      <c r="CX18" s="823" t="n"/>
      <c r="CY18" s="828" t="n"/>
      <c r="CZ18" s="821" t="n"/>
      <c r="DA18" s="822" t="n"/>
      <c r="DB18" s="803" t="n"/>
      <c r="DC18" s="823" t="n"/>
      <c r="DD18" s="828" t="n"/>
      <c r="DE18" s="821" t="n"/>
      <c r="DF18" s="822" t="n"/>
      <c r="DG18" s="803" t="n"/>
      <c r="DH18" s="823" t="n"/>
      <c r="DI18" s="1146" t="n"/>
      <c r="DJ18" s="821" t="n"/>
      <c r="DK18" s="822" t="n"/>
      <c r="DL18" s="803" t="n"/>
      <c r="DM18" s="823" t="n"/>
      <c r="DN18" s="828" t="n"/>
      <c r="DO18" s="821" t="n"/>
      <c r="DP18" s="822" t="n"/>
      <c r="DQ18" s="803" t="n"/>
      <c r="DR18" s="823" t="n"/>
      <c r="DS18" s="1146" t="n"/>
      <c r="DT18" s="821" t="n"/>
      <c r="DU18" s="822" t="n"/>
    </row>
    <row r="19">
      <c r="C19" s="828" t="n"/>
      <c r="D19" s="821" t="n"/>
      <c r="E19" s="822" t="n"/>
      <c r="F19" s="823" t="n"/>
      <c r="G19" s="824" t="n"/>
      <c r="H19" s="828" t="n"/>
      <c r="I19" s="821" t="n"/>
      <c r="J19" s="822" t="n"/>
      <c r="K19" s="823" t="n"/>
      <c r="L19" s="824" t="n"/>
      <c r="M19" s="828" t="n"/>
      <c r="N19" s="821" t="n"/>
      <c r="O19" s="822" t="n"/>
      <c r="P19" s="823" t="n"/>
      <c r="Q19" s="824" t="n"/>
      <c r="R19" s="828" t="n"/>
      <c r="S19" s="821" t="n"/>
      <c r="T19" s="822" t="n"/>
      <c r="U19" s="827" t="n"/>
      <c r="V19" s="824" t="n"/>
      <c r="W19" s="1001" t="n"/>
      <c r="X19" s="821" t="n"/>
      <c r="Y19" s="822" t="n"/>
      <c r="Z19" s="823" t="n"/>
      <c r="AA19" s="824" t="n"/>
      <c r="AB19" s="828" t="n"/>
      <c r="AC19" s="821" t="n"/>
      <c r="AD19" s="822" t="n"/>
      <c r="AE19" s="803" t="n"/>
      <c r="AF19" s="824" t="n"/>
      <c r="AG19" s="828" t="n"/>
      <c r="AH19" s="821" t="n"/>
      <c r="AI19" s="822" t="n"/>
      <c r="AJ19" s="803" t="n"/>
      <c r="AK19" s="824" t="n"/>
      <c r="AL19" s="1001" t="n"/>
      <c r="AM19" s="821" t="n"/>
      <c r="AN19" s="822" t="n"/>
      <c r="AO19" s="803" t="n"/>
      <c r="AP19" s="824" t="n"/>
      <c r="AQ19" s="828" t="n"/>
      <c r="AR19" s="821" t="n"/>
      <c r="AS19" s="822" t="n"/>
      <c r="AT19" s="803" t="n"/>
      <c r="AU19" s="824" t="n"/>
      <c r="AV19" s="828" t="n"/>
      <c r="AW19" s="821" t="n"/>
      <c r="AX19" s="822" t="n"/>
      <c r="AY19" s="803" t="n"/>
      <c r="AZ19" s="824" t="n"/>
      <c r="BA19" s="828" t="n"/>
      <c r="BB19" s="821" t="n"/>
      <c r="BC19" s="822" t="n"/>
      <c r="BD19" s="803" t="n"/>
      <c r="BE19" s="823" t="n"/>
      <c r="BF19" s="828" t="n"/>
      <c r="BG19" s="821" t="n"/>
      <c r="BH19" s="822" t="n"/>
      <c r="BI19" s="803" t="n"/>
      <c r="BJ19" s="824" t="n"/>
      <c r="BK19" s="828" t="n"/>
      <c r="BL19" s="821" t="n"/>
      <c r="BM19" s="822" t="n"/>
      <c r="BN19" s="803" t="n"/>
      <c r="BO19" s="824" t="n"/>
      <c r="BP19" s="828" t="n"/>
      <c r="BQ19" s="821" t="n"/>
      <c r="BR19" s="822" t="n"/>
      <c r="BS19" s="803" t="n"/>
      <c r="BT19" s="824" t="n"/>
      <c r="BU19" s="828" t="n"/>
      <c r="BV19" s="821" t="n"/>
      <c r="BW19" s="822" t="n"/>
      <c r="BX19" s="803" t="n"/>
      <c r="BY19" s="824" t="n"/>
      <c r="BZ19" s="828" t="n"/>
      <c r="CA19" s="821" t="n"/>
      <c r="CB19" s="822" t="n"/>
      <c r="CC19" s="803" t="n"/>
      <c r="CD19" s="824" t="n"/>
      <c r="CE19" s="828" t="n"/>
      <c r="CF19" s="821" t="n"/>
      <c r="CG19" s="822" t="n"/>
      <c r="CH19" s="803" t="n"/>
      <c r="CI19" s="824" t="n"/>
      <c r="CJ19" s="1001" t="n"/>
      <c r="CK19" s="821" t="n"/>
      <c r="CL19" s="822" t="n"/>
      <c r="CM19" s="803" t="n"/>
      <c r="CN19" s="823" t="n"/>
      <c r="CO19" s="1001" t="n"/>
      <c r="CP19" s="821" t="n"/>
      <c r="CQ19" s="822" t="n"/>
      <c r="CR19" s="803" t="n"/>
      <c r="CS19" s="823" t="n"/>
      <c r="CT19" s="1001" t="n"/>
      <c r="CU19" s="821" t="n"/>
      <c r="CV19" s="822" t="n"/>
      <c r="CW19" s="803" t="n"/>
      <c r="CX19" s="823" t="n"/>
      <c r="CY19" s="828" t="n"/>
      <c r="CZ19" s="821" t="n"/>
      <c r="DA19" s="822" t="n"/>
      <c r="DB19" s="803" t="n"/>
      <c r="DC19" s="823" t="n"/>
      <c r="DD19" s="828" t="n"/>
      <c r="DE19" s="821" t="n"/>
      <c r="DF19" s="822" t="n"/>
      <c r="DG19" s="803" t="n"/>
      <c r="DH19" s="823" t="n"/>
      <c r="DI19" s="828" t="n"/>
      <c r="DJ19" s="821" t="n"/>
      <c r="DK19" s="822" t="n"/>
      <c r="DL19" s="803" t="n"/>
      <c r="DM19" s="823" t="n"/>
      <c r="DN19" s="828" t="n"/>
      <c r="DO19" s="821" t="n"/>
      <c r="DP19" s="822" t="n"/>
      <c r="DQ19" s="803" t="n"/>
      <c r="DR19" s="823" t="n"/>
      <c r="DS19" s="828" t="n"/>
      <c r="DT19" s="821" t="n"/>
      <c r="DU19" s="822" t="n"/>
    </row>
    <row r="20">
      <c r="C20" s="828" t="n"/>
      <c r="D20" s="821" t="n"/>
      <c r="E20" s="822" t="n"/>
      <c r="F20" s="823" t="n"/>
      <c r="G20" s="824" t="n"/>
      <c r="H20" s="828" t="n"/>
      <c r="I20" s="821" t="n"/>
      <c r="J20" s="822" t="n"/>
      <c r="K20" s="823" t="n"/>
      <c r="L20" s="824" t="n"/>
      <c r="M20" s="828" t="n"/>
      <c r="N20" s="821" t="n"/>
      <c r="O20" s="822" t="n"/>
      <c r="P20" s="823" t="n"/>
      <c r="Q20" s="824" t="n"/>
      <c r="R20" s="828" t="n"/>
      <c r="S20" s="821" t="n"/>
      <c r="T20" s="822" t="n"/>
      <c r="U20" s="827" t="n"/>
      <c r="V20" s="824" t="n"/>
      <c r="W20" s="1001" t="n"/>
      <c r="X20" s="821" t="n"/>
      <c r="Y20" s="822" t="n"/>
      <c r="Z20" s="823" t="n"/>
      <c r="AA20" s="824" t="n"/>
      <c r="AB20" s="828" t="n"/>
      <c r="AC20" s="821" t="n"/>
      <c r="AD20" s="822" t="n"/>
      <c r="AE20" s="803" t="n"/>
      <c r="AF20" s="824" t="n"/>
      <c r="AG20" s="828" t="n"/>
      <c r="AH20" s="821" t="n"/>
      <c r="AI20" s="822" t="n"/>
      <c r="AJ20" s="803" t="n"/>
      <c r="AK20" s="824" t="n"/>
      <c r="AL20" s="828" t="n"/>
      <c r="AM20" s="821" t="n"/>
      <c r="AN20" s="822" t="n"/>
      <c r="AO20" s="803" t="n"/>
      <c r="AP20" s="824" t="n"/>
      <c r="AQ20" s="828" t="n"/>
      <c r="AR20" s="821" t="n"/>
      <c r="AS20" s="822" t="n"/>
      <c r="AT20" s="803" t="n"/>
      <c r="AU20" s="824" t="n"/>
      <c r="AV20" s="828" t="n"/>
      <c r="AW20" s="821" t="n"/>
      <c r="AX20" s="822" t="n"/>
      <c r="AY20" s="803" t="n"/>
      <c r="AZ20" s="824" t="n"/>
      <c r="BA20" s="828" t="n"/>
      <c r="BB20" s="821" t="n"/>
      <c r="BC20" s="822" t="n"/>
      <c r="BD20" s="803" t="n"/>
      <c r="BE20" s="830" t="n"/>
      <c r="BF20" s="828" t="n"/>
      <c r="BG20" s="821" t="n"/>
      <c r="BH20" s="822" t="n"/>
      <c r="BI20" s="803" t="n"/>
      <c r="BJ20" s="831" t="n"/>
      <c r="BK20" s="1001" t="n"/>
      <c r="BL20" s="821" t="n"/>
      <c r="BM20" s="822" t="n"/>
      <c r="BN20" s="803" t="n"/>
      <c r="BO20" s="831" t="n"/>
      <c r="BP20" s="828" t="n"/>
      <c r="BQ20" s="821" t="n"/>
      <c r="BR20" s="822" t="n"/>
      <c r="BS20" s="803" t="n"/>
      <c r="BT20" s="831" t="n"/>
      <c r="BU20" s="828" t="n"/>
      <c r="BV20" s="821" t="n"/>
      <c r="BW20" s="822" t="n"/>
      <c r="BX20" s="803" t="n"/>
      <c r="BY20" s="831" t="n"/>
      <c r="BZ20" s="828" t="n"/>
      <c r="CA20" s="821" t="n"/>
      <c r="CB20" s="822" t="n"/>
      <c r="CC20" s="803" t="n"/>
      <c r="CD20" s="831" t="n"/>
      <c r="CE20" s="828" t="n"/>
      <c r="CF20" s="821" t="n"/>
      <c r="CG20" s="822" t="n"/>
      <c r="CH20" s="803" t="n"/>
      <c r="CI20" s="831" t="n"/>
      <c r="CJ20" s="828" t="n"/>
      <c r="CK20" s="821" t="n"/>
      <c r="CL20" s="822" t="n"/>
      <c r="CM20" s="803" t="n"/>
      <c r="CN20" s="830" t="n"/>
      <c r="CO20" s="1001" t="n"/>
      <c r="CP20" s="821" t="n"/>
      <c r="CQ20" s="822" t="n"/>
      <c r="CR20" s="803" t="n"/>
      <c r="CS20" s="830" t="n"/>
      <c r="CT20" s="1146" t="n"/>
      <c r="CU20" s="821" t="n"/>
      <c r="CV20" s="822" t="n"/>
      <c r="CW20" s="803" t="n"/>
      <c r="CX20" s="830" t="n"/>
      <c r="CY20" s="828" t="n"/>
      <c r="CZ20" s="821" t="n"/>
      <c r="DA20" s="822" t="n"/>
      <c r="DB20" s="803" t="n"/>
      <c r="DC20" s="830" t="n"/>
      <c r="DD20" s="828" t="n"/>
      <c r="DE20" s="821" t="n"/>
      <c r="DF20" s="822" t="n"/>
      <c r="DG20" s="803" t="n"/>
      <c r="DH20" s="830" t="n"/>
      <c r="DI20" s="828" t="n"/>
      <c r="DJ20" s="821" t="n"/>
      <c r="DK20" s="822" t="n"/>
      <c r="DL20" s="803" t="n"/>
      <c r="DM20" s="830" t="n"/>
      <c r="DN20" s="828" t="n"/>
      <c r="DO20" s="821" t="n"/>
      <c r="DP20" s="822" t="n"/>
      <c r="DQ20" s="803" t="n"/>
      <c r="DR20" s="830" t="n"/>
      <c r="DS20" s="828" t="n"/>
      <c r="DT20" s="821" t="n"/>
      <c r="DU20" s="822" t="n"/>
    </row>
    <row r="21">
      <c r="C21" s="828" t="n"/>
      <c r="D21" s="821" t="n"/>
      <c r="E21" s="822" t="n"/>
      <c r="F21" s="823" t="n"/>
      <c r="G21" s="824" t="n"/>
      <c r="H21" s="828" t="n"/>
      <c r="I21" s="821" t="n"/>
      <c r="J21" s="822" t="n"/>
      <c r="K21" s="823" t="n"/>
      <c r="L21" s="824" t="n"/>
      <c r="M21" s="828" t="n"/>
      <c r="N21" s="821" t="n"/>
      <c r="O21" s="822" t="n"/>
      <c r="P21" s="823" t="n"/>
      <c r="Q21" s="824" t="n"/>
      <c r="R21" s="828" t="n"/>
      <c r="S21" s="821" t="n"/>
      <c r="T21" s="822" t="n"/>
      <c r="U21" s="827" t="n"/>
      <c r="V21" s="824" t="n"/>
      <c r="W21" s="828" t="n"/>
      <c r="X21" s="821" t="n"/>
      <c r="Y21" s="822" t="n"/>
      <c r="Z21" s="823" t="n"/>
      <c r="AA21" s="824" t="n"/>
      <c r="AB21" s="828" t="n"/>
      <c r="AC21" s="821" t="n"/>
      <c r="AD21" s="822" t="n"/>
      <c r="AE21" s="803" t="n"/>
      <c r="AF21" s="824" t="n"/>
      <c r="AG21" s="832" t="n"/>
      <c r="AH21" s="821" t="n"/>
      <c r="AI21" s="822" t="n"/>
      <c r="AJ21" s="803" t="n"/>
      <c r="AK21" s="824" t="n"/>
      <c r="AL21" s="828" t="n"/>
      <c r="AM21" s="821" t="n"/>
      <c r="AN21" s="822" t="n"/>
      <c r="AO21" s="803" t="n"/>
      <c r="AP21" s="824" t="n"/>
      <c r="AQ21" s="1001" t="n"/>
      <c r="AR21" s="821" t="n"/>
      <c r="AS21" s="822" t="n"/>
      <c r="AT21" s="803" t="n"/>
      <c r="AU21" s="824" t="n"/>
      <c r="AV21" s="828" t="n"/>
      <c r="AW21" s="821" t="n"/>
      <c r="AX21" s="822" t="n"/>
      <c r="AY21" s="803" t="n"/>
      <c r="AZ21" s="824" t="n"/>
      <c r="BA21" s="828" t="n"/>
      <c r="BB21" s="821" t="n"/>
      <c r="BC21" s="822" t="n"/>
      <c r="BD21" s="803" t="n"/>
      <c r="BE21" s="830" t="n"/>
      <c r="BF21" s="828" t="n"/>
      <c r="BG21" s="821" t="n"/>
      <c r="BH21" s="822" t="n"/>
      <c r="BI21" s="803" t="n"/>
      <c r="BJ21" s="830" t="n"/>
      <c r="BK21" s="1001" t="n"/>
      <c r="BL21" s="821" t="n"/>
      <c r="BM21" s="822" t="n"/>
      <c r="BN21" s="803" t="n"/>
      <c r="BO21" s="830" t="n"/>
      <c r="BP21" s="828" t="n"/>
      <c r="BQ21" s="821" t="n"/>
      <c r="BR21" s="822" t="n"/>
      <c r="BS21" s="803" t="n"/>
      <c r="BT21" s="830" t="n"/>
      <c r="BU21" s="828" t="n"/>
      <c r="BV21" s="821" t="n"/>
      <c r="BW21" s="833" t="n"/>
      <c r="BX21" s="803" t="n"/>
      <c r="BY21" s="830" t="n"/>
      <c r="BZ21" s="828" t="n"/>
      <c r="CA21" s="821" t="n"/>
      <c r="CB21" s="822" t="n"/>
      <c r="CC21" s="803" t="n"/>
      <c r="CD21" s="830" t="n"/>
      <c r="CE21" s="828" t="n"/>
      <c r="CF21" s="821" t="n"/>
      <c r="CG21" s="822" t="n"/>
      <c r="CH21" s="803" t="n"/>
      <c r="CI21" s="830" t="n"/>
      <c r="CJ21" s="828" t="n"/>
      <c r="CK21" s="821" t="n"/>
      <c r="CL21" s="822" t="n"/>
      <c r="CM21" s="803" t="n"/>
      <c r="CN21" s="830" t="n"/>
      <c r="CO21" s="828" t="n"/>
      <c r="CP21" s="821" t="n"/>
      <c r="CQ21" s="822" t="n"/>
      <c r="CR21" s="803" t="n"/>
      <c r="CS21" s="830" t="n"/>
      <c r="CT21" s="828" t="n"/>
      <c r="CU21" s="821" t="n"/>
      <c r="CV21" s="822" t="n"/>
      <c r="CW21" s="803" t="n"/>
      <c r="CX21" s="830" t="n"/>
      <c r="CY21" s="828" t="n"/>
      <c r="CZ21" s="821" t="n"/>
      <c r="DA21" s="822" t="n"/>
      <c r="DB21" s="803" t="n"/>
      <c r="DC21" s="830" t="n"/>
      <c r="DD21" s="828" t="n"/>
      <c r="DE21" s="821" t="n"/>
      <c r="DF21" s="822" t="n"/>
      <c r="DG21" s="803" t="n"/>
      <c r="DH21" s="830" t="n"/>
      <c r="DI21" s="828" t="n"/>
      <c r="DJ21" s="821" t="n"/>
      <c r="DK21" s="822" t="n"/>
      <c r="DL21" s="803" t="n"/>
      <c r="DM21" s="830" t="n"/>
      <c r="DN21" s="828" t="n"/>
      <c r="DO21" s="821" t="n"/>
      <c r="DP21" s="822" t="n"/>
      <c r="DQ21" s="803" t="n"/>
      <c r="DR21" s="830" t="n"/>
      <c r="DS21" s="1001" t="n"/>
      <c r="DT21" s="821" t="n"/>
      <c r="DU21" s="822" t="n"/>
    </row>
    <row r="22">
      <c r="C22" s="828" t="n"/>
      <c r="D22" s="821" t="n"/>
      <c r="E22" s="822" t="n"/>
      <c r="F22" s="768" t="n"/>
      <c r="G22" s="769" t="n"/>
      <c r="H22" s="828" t="n"/>
      <c r="I22" s="821" t="n"/>
      <c r="J22" s="822" t="n"/>
      <c r="K22" s="768" t="n"/>
      <c r="L22" s="769" t="n"/>
      <c r="M22" s="828" t="n"/>
      <c r="N22" s="821" t="n"/>
      <c r="O22" s="822" t="n"/>
      <c r="P22" s="768" t="n"/>
      <c r="Q22" s="769" t="n"/>
      <c r="R22" s="828" t="n"/>
      <c r="S22" s="821" t="n"/>
      <c r="T22" s="822" t="n"/>
      <c r="U22" s="827" t="n"/>
      <c r="V22" s="824" t="n"/>
      <c r="W22" s="828" t="n"/>
      <c r="X22" s="821" t="n"/>
      <c r="Y22" s="822" t="n"/>
      <c r="Z22" s="770" t="n"/>
      <c r="AA22" s="771" t="n"/>
      <c r="AB22" s="828" t="n"/>
      <c r="AC22" s="821" t="n"/>
      <c r="AD22" s="822" t="n"/>
      <c r="AE22" s="803" t="n"/>
      <c r="AF22" s="824" t="n"/>
      <c r="AG22" s="832" t="n"/>
      <c r="AH22" s="821" t="n"/>
      <c r="AI22" s="822" t="n"/>
      <c r="AJ22" s="803" t="n"/>
      <c r="AK22" s="824" t="n"/>
      <c r="AL22" s="1001" t="n"/>
      <c r="AM22" s="821" t="n"/>
      <c r="AN22" s="822" t="n"/>
      <c r="AO22" s="803" t="n"/>
      <c r="AP22" s="824" t="n"/>
      <c r="AQ22" s="1146" t="n"/>
      <c r="AR22" s="821" t="n"/>
      <c r="AS22" s="822" t="n"/>
      <c r="AT22" s="803" t="n"/>
      <c r="AU22" s="824" t="n"/>
      <c r="AV22" s="828" t="n"/>
      <c r="AW22" s="821" t="n"/>
      <c r="AX22" s="822" t="n"/>
      <c r="AY22" s="803" t="n"/>
      <c r="AZ22" s="824" t="n"/>
      <c r="BA22" s="828" t="n"/>
      <c r="BB22" s="821" t="n"/>
      <c r="BC22" s="822" t="n"/>
      <c r="BD22" s="803" t="n"/>
      <c r="BE22" s="830" t="n"/>
      <c r="BF22" s="828" t="n"/>
      <c r="BG22" s="821" t="n"/>
      <c r="BH22" s="822" t="n"/>
      <c r="BI22" s="803" t="n"/>
      <c r="BJ22" s="834" t="n"/>
      <c r="BK22" s="828" t="n"/>
      <c r="BL22" s="821" t="n"/>
      <c r="BM22" s="822" t="n"/>
      <c r="BN22" s="803" t="n"/>
      <c r="BO22" s="834" t="n"/>
      <c r="BP22" s="828" t="n"/>
      <c r="BQ22" s="821" t="n"/>
      <c r="BR22" s="822" t="n"/>
      <c r="BS22" s="803" t="n"/>
      <c r="BT22" s="834" t="n"/>
      <c r="BU22" s="828" t="n"/>
      <c r="BV22" s="821" t="n"/>
      <c r="BW22" s="833" t="n"/>
      <c r="BX22" s="803" t="n"/>
      <c r="BY22" s="834" t="n"/>
      <c r="BZ22" s="828" t="n"/>
      <c r="CA22" s="821" t="n"/>
      <c r="CB22" s="822" t="n"/>
      <c r="CC22" s="803" t="n"/>
      <c r="CD22" s="834" t="n"/>
      <c r="CE22" s="828" t="n"/>
      <c r="CF22" s="821" t="n"/>
      <c r="CG22" s="833" t="n"/>
      <c r="CH22" s="803" t="n"/>
      <c r="CI22" s="835" t="n"/>
      <c r="CJ22" s="1001" t="n"/>
      <c r="CK22" s="821" t="n"/>
      <c r="CL22" s="822" t="n"/>
      <c r="CM22" s="803" t="n"/>
      <c r="CN22" s="830" t="n"/>
      <c r="CO22" s="828" t="n"/>
      <c r="CP22" s="821" t="n"/>
      <c r="CQ22" s="822" t="n"/>
      <c r="CR22" s="803" t="n"/>
      <c r="CS22" s="830" t="n"/>
      <c r="CT22" s="1001" t="n"/>
      <c r="CU22" s="821" t="n"/>
      <c r="CV22" s="822" t="n"/>
      <c r="CW22" s="803" t="n"/>
      <c r="CX22" s="830" t="n"/>
      <c r="CY22" s="828" t="n"/>
      <c r="CZ22" s="821" t="n"/>
      <c r="DA22" s="822" t="n"/>
      <c r="DB22" s="803" t="n"/>
      <c r="DC22" s="830" t="n"/>
      <c r="DD22" s="828" t="n"/>
      <c r="DE22" s="821" t="n"/>
      <c r="DF22" s="822" t="n"/>
      <c r="DG22" s="803" t="n"/>
      <c r="DH22" s="830" t="n"/>
      <c r="DI22" s="828" t="n"/>
      <c r="DJ22" s="821" t="n"/>
      <c r="DK22" s="822" t="n"/>
      <c r="DL22" s="803" t="n"/>
      <c r="DM22" s="830" t="n"/>
      <c r="DN22" s="828" t="n"/>
      <c r="DO22" s="821" t="n"/>
      <c r="DP22" s="822" t="n"/>
      <c r="DQ22" s="803" t="n"/>
      <c r="DR22" s="830" t="n"/>
      <c r="DS22" s="1146" t="n"/>
      <c r="DT22" s="821" t="n"/>
      <c r="DU22" s="822" t="n"/>
    </row>
    <row r="23">
      <c r="C23" s="828" t="n"/>
      <c r="D23" s="821" t="n"/>
      <c r="E23" s="822" t="n"/>
      <c r="F23" s="823" t="n"/>
      <c r="G23" s="824" t="n"/>
      <c r="H23" s="828" t="n"/>
      <c r="I23" s="821" t="n"/>
      <c r="J23" s="822" t="n"/>
      <c r="K23" s="823" t="n"/>
      <c r="L23" s="824" t="n"/>
      <c r="M23" s="828" t="n"/>
      <c r="N23" s="821" t="n"/>
      <c r="O23" s="822" t="n"/>
      <c r="P23" s="823" t="n"/>
      <c r="Q23" s="824" t="n"/>
      <c r="R23" s="828" t="n"/>
      <c r="S23" s="821" t="n"/>
      <c r="T23" s="822" t="n"/>
      <c r="U23" s="827" t="n"/>
      <c r="V23" s="824" t="n"/>
      <c r="W23" s="828" t="n"/>
      <c r="X23" s="821" t="n"/>
      <c r="Y23" s="822" t="n"/>
      <c r="Z23" s="823" t="n"/>
      <c r="AA23" s="824" t="n"/>
      <c r="AB23" s="828" t="n"/>
      <c r="AC23" s="821" t="n"/>
      <c r="AD23" s="822" t="n"/>
      <c r="AE23" s="803" t="n"/>
      <c r="AF23" s="824" t="n"/>
      <c r="AG23" s="828" t="n"/>
      <c r="AH23" s="821" t="n"/>
      <c r="AI23" s="822" t="n"/>
      <c r="AJ23" s="803" t="n"/>
      <c r="AK23" s="824" t="n"/>
      <c r="AL23" s="1001" t="n"/>
      <c r="AM23" s="821" t="n"/>
      <c r="AN23" s="822" t="n"/>
      <c r="AO23" s="803" t="n"/>
      <c r="AP23" s="824" t="n"/>
      <c r="AQ23" s="828" t="n"/>
      <c r="AR23" s="821" t="n"/>
      <c r="AS23" s="822" t="n"/>
      <c r="AT23" s="803" t="n"/>
      <c r="AU23" s="824" t="n"/>
      <c r="AV23" s="828" t="n"/>
      <c r="AW23" s="821" t="n"/>
      <c r="AX23" s="822" t="n"/>
      <c r="AY23" s="803" t="n"/>
      <c r="AZ23" s="824" t="n"/>
      <c r="BA23" s="828" t="n"/>
      <c r="BB23" s="821" t="n"/>
      <c r="BC23" s="822" t="n"/>
      <c r="BD23" s="803" t="n"/>
      <c r="BE23" s="830" t="n"/>
      <c r="BF23" s="828" t="n"/>
      <c r="BG23" s="821" t="n"/>
      <c r="BH23" s="822" t="n"/>
      <c r="BI23" s="803" t="n"/>
      <c r="BJ23" s="830" t="n"/>
      <c r="BK23" s="832" t="n"/>
      <c r="BL23" s="821" t="n"/>
      <c r="BM23" s="822" t="n"/>
      <c r="BN23" s="803" t="n"/>
      <c r="BO23" s="830" t="n"/>
      <c r="BP23" s="828" t="n"/>
      <c r="BQ23" s="821" t="n"/>
      <c r="BR23" s="822" t="n"/>
      <c r="BS23" s="803" t="n"/>
      <c r="BT23" s="830" t="n"/>
      <c r="BU23" s="828" t="n"/>
      <c r="BV23" s="821" t="n"/>
      <c r="BW23" s="833" t="n"/>
      <c r="BX23" s="803" t="n"/>
      <c r="BY23" s="830" t="n"/>
      <c r="BZ23" s="828" t="n"/>
      <c r="CA23" s="821" t="n"/>
      <c r="CB23" s="822" t="n"/>
      <c r="CC23" s="803" t="n"/>
      <c r="CD23" s="830" t="n"/>
      <c r="CE23" s="828" t="n"/>
      <c r="CF23" s="821" t="n"/>
      <c r="CG23" s="833" t="n"/>
      <c r="CH23" s="803" t="n"/>
      <c r="CI23" s="830" t="n"/>
      <c r="CJ23" s="1001" t="n"/>
      <c r="CK23" s="821" t="n"/>
      <c r="CL23" s="822" t="n"/>
      <c r="CM23" s="803" t="n"/>
      <c r="CN23" s="830" t="n"/>
      <c r="CO23" s="828" t="n"/>
      <c r="CP23" s="821" t="n"/>
      <c r="CQ23" s="822" t="n"/>
      <c r="CR23" s="803" t="n"/>
      <c r="CS23" s="830" t="n"/>
      <c r="CT23" s="1146" t="n"/>
      <c r="CU23" s="821" t="n"/>
      <c r="CV23" s="822" t="n"/>
      <c r="CW23" s="803" t="n"/>
      <c r="CX23" s="830" t="n"/>
      <c r="CY23" s="828" t="n"/>
      <c r="CZ23" s="821" t="n"/>
      <c r="DA23" s="822" t="n"/>
      <c r="DB23" s="803" t="n"/>
      <c r="DC23" s="830" t="n"/>
      <c r="DD23" s="828" t="n"/>
      <c r="DE23" s="821" t="n"/>
      <c r="DF23" s="822" t="n"/>
      <c r="DG23" s="803" t="n"/>
      <c r="DH23" s="830" t="n"/>
      <c r="DI23" s="828" t="n"/>
      <c r="DJ23" s="821" t="n"/>
      <c r="DK23" s="822" t="n"/>
      <c r="DL23" s="803" t="n"/>
      <c r="DM23" s="830" t="n"/>
      <c r="DN23" s="828" t="n"/>
      <c r="DO23" s="821" t="n"/>
      <c r="DP23" s="822" t="n"/>
      <c r="DQ23" s="803" t="n"/>
      <c r="DR23" s="830" t="n"/>
      <c r="DS23" s="828" t="n"/>
      <c r="DT23" s="821" t="n"/>
      <c r="DU23" s="822" t="n"/>
    </row>
    <row r="24">
      <c r="C24" s="828" t="n"/>
      <c r="D24" s="821" t="n"/>
      <c r="E24" s="822" t="n"/>
      <c r="F24" s="768" t="n"/>
      <c r="G24" s="769" t="n"/>
      <c r="H24" s="828" t="n"/>
      <c r="I24" s="821" t="n"/>
      <c r="J24" s="822" t="n"/>
      <c r="K24" s="823" t="n"/>
      <c r="L24" s="769" t="n"/>
      <c r="M24" s="828" t="n"/>
      <c r="N24" s="821" t="n"/>
      <c r="O24" s="822" t="n"/>
      <c r="P24" s="823" t="n"/>
      <c r="Q24" s="824" t="n"/>
      <c r="R24" s="828" t="n"/>
      <c r="S24" s="821" t="n"/>
      <c r="T24" s="822" t="n"/>
      <c r="U24" s="827" t="n"/>
      <c r="V24" s="824" t="n"/>
      <c r="W24" s="828" t="n"/>
      <c r="X24" s="821" t="n"/>
      <c r="Y24" s="822" t="n"/>
      <c r="Z24" s="823" t="n"/>
      <c r="AA24" s="824" t="n"/>
      <c r="AB24" s="828" t="n"/>
      <c r="AC24" s="821" t="n"/>
      <c r="AD24" s="822" t="n"/>
      <c r="AE24" s="803" t="n"/>
      <c r="AF24" s="824" t="n"/>
      <c r="AG24" s="828" t="n"/>
      <c r="AH24" s="821" t="n"/>
      <c r="AI24" s="822" t="n"/>
      <c r="AJ24" s="803" t="n"/>
      <c r="AK24" s="824" t="n"/>
      <c r="AL24" s="828" t="n"/>
      <c r="AM24" s="821" t="n"/>
      <c r="AN24" s="822" t="n"/>
      <c r="AO24" s="803" t="n"/>
      <c r="AP24" s="824" t="n"/>
      <c r="AQ24" s="828" t="n"/>
      <c r="AR24" s="821" t="n"/>
      <c r="AS24" s="822" t="n"/>
      <c r="AT24" s="803" t="n"/>
      <c r="AU24" s="824" t="n"/>
      <c r="AV24" s="828" t="n"/>
      <c r="AW24" s="821" t="n"/>
      <c r="AX24" s="822" t="n"/>
      <c r="AY24" s="803" t="n"/>
      <c r="AZ24" s="824" t="n"/>
      <c r="BA24" s="828" t="n"/>
      <c r="BB24" s="821" t="n"/>
      <c r="BC24" s="822" t="n"/>
      <c r="BD24" s="803" t="n"/>
      <c r="BE24" s="823" t="n"/>
      <c r="BF24" s="828" t="n"/>
      <c r="BG24" s="821" t="n"/>
      <c r="BH24" s="822" t="n"/>
      <c r="BI24" s="803" t="n"/>
      <c r="BJ24" s="824" t="n"/>
      <c r="BK24" s="832" t="n"/>
      <c r="BL24" s="821" t="n"/>
      <c r="BM24" s="822" t="n"/>
      <c r="BN24" s="803" t="n"/>
      <c r="BO24" s="824" t="n"/>
      <c r="BP24" s="828" t="n"/>
      <c r="BQ24" s="821" t="n"/>
      <c r="BR24" s="822" t="n"/>
      <c r="BS24" s="803" t="n"/>
      <c r="BT24" s="824" t="n"/>
      <c r="BU24" s="1001" t="n"/>
      <c r="BV24" s="821" t="n"/>
      <c r="BW24" s="822" t="n"/>
      <c r="BX24" s="803" t="n"/>
      <c r="BY24" s="824" t="n"/>
      <c r="BZ24" s="828" t="n"/>
      <c r="CA24" s="821" t="n"/>
      <c r="CB24" s="822" t="n"/>
      <c r="CC24" s="803" t="n"/>
      <c r="CD24" s="824" t="n"/>
      <c r="CE24" s="828" t="n"/>
      <c r="CF24" s="821" t="n"/>
      <c r="CG24" s="822" t="n"/>
      <c r="CH24" s="803" t="n"/>
      <c r="CI24" s="824" t="n"/>
      <c r="CJ24" s="828" t="n"/>
      <c r="CK24" s="821" t="n"/>
      <c r="CL24" s="822" t="n"/>
      <c r="CM24" s="803" t="n"/>
      <c r="CN24" s="823" t="n"/>
      <c r="CO24" s="828" t="n"/>
      <c r="CP24" s="821" t="n"/>
      <c r="CQ24" s="822" t="n"/>
      <c r="CR24" s="803" t="n"/>
      <c r="CS24" s="823" t="n"/>
      <c r="CT24" s="828" t="n"/>
      <c r="CU24" s="821" t="n"/>
      <c r="CV24" s="822" t="n"/>
      <c r="CW24" s="803" t="n"/>
      <c r="CX24" s="823" t="n"/>
      <c r="CY24" s="828" t="n"/>
      <c r="CZ24" s="821" t="n"/>
      <c r="DA24" s="822" t="n"/>
      <c r="DB24" s="803" t="n"/>
      <c r="DC24" s="823" t="n"/>
      <c r="DD24" s="828" t="n"/>
      <c r="DE24" s="821" t="n"/>
      <c r="DF24" s="822" t="n"/>
      <c r="DG24" s="803" t="n"/>
      <c r="DH24" s="823" t="n"/>
      <c r="DI24" s="828" t="n"/>
      <c r="DJ24" s="821" t="n"/>
      <c r="DK24" s="822" t="n"/>
      <c r="DL24" s="803" t="n"/>
      <c r="DM24" s="823" t="n"/>
      <c r="DN24" s="828" t="n"/>
      <c r="DO24" s="821" t="n"/>
      <c r="DP24" s="822" t="n"/>
      <c r="DQ24" s="803" t="n"/>
      <c r="DR24" s="823" t="n"/>
      <c r="DS24" s="1001" t="n"/>
      <c r="DT24" s="821" t="n"/>
      <c r="DU24" s="822" t="n"/>
    </row>
    <row r="25">
      <c r="C25" s="828" t="n"/>
      <c r="D25" s="821" t="n"/>
      <c r="E25" s="822" t="n"/>
      <c r="F25" s="768" t="n"/>
      <c r="G25" s="769" t="n"/>
      <c r="H25" s="828" t="n"/>
      <c r="I25" s="821" t="n"/>
      <c r="J25" s="822" t="n"/>
      <c r="K25" s="823" t="n"/>
      <c r="L25" s="769" t="n"/>
      <c r="M25" s="828" t="n"/>
      <c r="N25" s="821" t="n"/>
      <c r="O25" s="822" t="n"/>
      <c r="P25" s="823" t="n"/>
      <c r="Q25" s="824" t="n"/>
      <c r="R25" s="828" t="n"/>
      <c r="S25" s="821" t="n"/>
      <c r="T25" s="822" t="n"/>
      <c r="U25" s="827" t="n"/>
      <c r="V25" s="824" t="n"/>
      <c r="W25" s="828" t="n"/>
      <c r="X25" s="821" t="n"/>
      <c r="Y25" s="822" t="n"/>
      <c r="Z25" s="823" t="n"/>
      <c r="AA25" s="824" t="n"/>
      <c r="AB25" s="828" t="n"/>
      <c r="AC25" s="821" t="n"/>
      <c r="AD25" s="822" t="n"/>
      <c r="AE25" s="803" t="n"/>
      <c r="AF25" s="824" t="n"/>
      <c r="AG25" s="828" t="n"/>
      <c r="AH25" s="821" t="n"/>
      <c r="AI25" s="822" t="n"/>
      <c r="AJ25" s="803" t="n"/>
      <c r="AK25" s="824" t="n"/>
      <c r="AL25" s="828" t="n"/>
      <c r="AM25" s="821" t="n"/>
      <c r="AN25" s="822" t="n"/>
      <c r="AO25" s="803" t="n"/>
      <c r="AP25" s="824" t="n"/>
      <c r="AQ25" s="828" t="n"/>
      <c r="AR25" s="821" t="n"/>
      <c r="AS25" s="822" t="n"/>
      <c r="AT25" s="803" t="n"/>
      <c r="AU25" s="824" t="n"/>
      <c r="AV25" s="828" t="n"/>
      <c r="AW25" s="821" t="n"/>
      <c r="AX25" s="822" t="n"/>
      <c r="AY25" s="803" t="n"/>
      <c r="AZ25" s="824" t="n"/>
      <c r="BA25" s="828" t="n"/>
      <c r="BB25" s="821" t="n"/>
      <c r="BC25" s="822" t="n"/>
      <c r="BD25" s="803" t="n"/>
      <c r="BE25" s="823" t="n"/>
      <c r="BF25" s="828" t="n"/>
      <c r="BG25" s="821" t="n"/>
      <c r="BH25" s="822" t="n"/>
      <c r="BI25" s="803" t="n"/>
      <c r="BJ25" s="824" t="n"/>
      <c r="BK25" s="1001" t="n"/>
      <c r="BL25" s="821" t="n"/>
      <c r="BM25" s="822" t="n"/>
      <c r="BN25" s="803" t="n"/>
      <c r="BO25" s="824" t="n"/>
      <c r="BP25" s="828" t="n"/>
      <c r="BQ25" s="821" t="n"/>
      <c r="BR25" s="822" t="n"/>
      <c r="BS25" s="803" t="n"/>
      <c r="BT25" s="824" t="n"/>
      <c r="BU25" s="1146" t="n"/>
      <c r="BV25" s="821" t="n"/>
      <c r="BW25" s="822" t="n"/>
      <c r="BX25" s="803" t="n"/>
      <c r="BY25" s="824" t="n"/>
      <c r="BZ25" s="828" t="n"/>
      <c r="CA25" s="821" t="n"/>
      <c r="CB25" s="822" t="n"/>
      <c r="CC25" s="803" t="n"/>
      <c r="CD25" s="824" t="n"/>
      <c r="CE25" s="828" t="n"/>
      <c r="CF25" s="821" t="n"/>
      <c r="CG25" s="822" t="n"/>
      <c r="CH25" s="803" t="n"/>
      <c r="CI25" s="824" t="n"/>
      <c r="CJ25" s="1001" t="n"/>
      <c r="CK25" s="821" t="n"/>
      <c r="CL25" s="822" t="n"/>
      <c r="CM25" s="803" t="n"/>
      <c r="CN25" s="823" t="n"/>
      <c r="CO25" s="828" t="n"/>
      <c r="CP25" s="821" t="n"/>
      <c r="CQ25" s="822" t="n"/>
      <c r="CR25" s="803" t="n"/>
      <c r="CS25" s="823" t="n"/>
      <c r="CT25" s="1001" t="n"/>
      <c r="CU25" s="821" t="n"/>
      <c r="CV25" s="822" t="n"/>
      <c r="CW25" s="803" t="n"/>
      <c r="CX25" s="823" t="n"/>
      <c r="CY25" s="828" t="n"/>
      <c r="CZ25" s="821" t="n"/>
      <c r="DA25" s="822" t="n"/>
      <c r="DB25" s="803" t="n"/>
      <c r="DC25" s="823" t="n"/>
      <c r="DD25" s="828" t="n"/>
      <c r="DE25" s="821" t="n"/>
      <c r="DF25" s="822" t="n"/>
      <c r="DG25" s="803" t="n"/>
      <c r="DH25" s="823" t="n"/>
      <c r="DI25" s="828" t="n"/>
      <c r="DJ25" s="821" t="n"/>
      <c r="DK25" s="822" t="n"/>
      <c r="DL25" s="803" t="n"/>
      <c r="DM25" s="823" t="n"/>
      <c r="DN25" s="828" t="n"/>
      <c r="DO25" s="821" t="n"/>
      <c r="DP25" s="822" t="n"/>
      <c r="DQ25" s="803" t="n"/>
      <c r="DR25" s="823" t="n"/>
      <c r="DS25" s="1146" t="n"/>
      <c r="DT25" s="821" t="n"/>
      <c r="DU25" s="822" t="n"/>
    </row>
    <row r="26">
      <c r="C26" s="828" t="n"/>
      <c r="D26" s="821" t="n"/>
      <c r="E26" s="822" t="n"/>
      <c r="F26" s="768" t="n"/>
      <c r="G26" s="769" t="n"/>
      <c r="H26" s="828" t="n"/>
      <c r="I26" s="821" t="n"/>
      <c r="J26" s="822" t="n"/>
      <c r="K26" s="823" t="n"/>
      <c r="L26" s="769" t="n"/>
      <c r="M26" s="828" t="n"/>
      <c r="N26" s="821" t="n"/>
      <c r="O26" s="822" t="n"/>
      <c r="P26" s="823" t="n"/>
      <c r="Q26" s="824" t="n"/>
      <c r="R26" s="828" t="n"/>
      <c r="S26" s="821" t="n"/>
      <c r="T26" s="822" t="n"/>
      <c r="U26" s="827" t="n"/>
      <c r="V26" s="824" t="n"/>
      <c r="W26" s="828" t="n"/>
      <c r="X26" s="821" t="n"/>
      <c r="Y26" s="822" t="n"/>
      <c r="Z26" s="823" t="n"/>
      <c r="AA26" s="824" t="n"/>
      <c r="AB26" s="828" t="n"/>
      <c r="AC26" s="821" t="n"/>
      <c r="AD26" s="822" t="n"/>
      <c r="AE26" s="803" t="n"/>
      <c r="AF26" s="824" t="n"/>
      <c r="AG26" s="828" t="n"/>
      <c r="AH26" s="821" t="n"/>
      <c r="AI26" s="822" t="n"/>
      <c r="AJ26" s="803" t="n"/>
      <c r="AK26" s="824" t="n"/>
      <c r="AL26" s="1001" t="n"/>
      <c r="AM26" s="821" t="n"/>
      <c r="AN26" s="822" t="n"/>
      <c r="AO26" s="803" t="n"/>
      <c r="AP26" s="824" t="n"/>
      <c r="AQ26" s="828" t="n"/>
      <c r="AR26" s="821" t="n"/>
      <c r="AS26" s="822" t="n"/>
      <c r="AT26" s="803" t="n"/>
      <c r="AU26" s="824" t="n"/>
      <c r="AV26" s="828" t="n"/>
      <c r="AW26" s="821" t="n"/>
      <c r="AX26" s="822" t="n"/>
      <c r="AY26" s="803" t="n"/>
      <c r="AZ26" s="824" t="n"/>
      <c r="BA26" s="828" t="n"/>
      <c r="BB26" s="821" t="n"/>
      <c r="BC26" s="822" t="n"/>
      <c r="BD26" s="803" t="n"/>
      <c r="BE26" s="830" t="n"/>
      <c r="BF26" s="828" t="n"/>
      <c r="BG26" s="821" t="n"/>
      <c r="BH26" s="822" t="n"/>
      <c r="BI26" s="803" t="n"/>
      <c r="BJ26" s="831" t="n"/>
      <c r="BK26" s="1001" t="n"/>
      <c r="BL26" s="821" t="n"/>
      <c r="BM26" s="822" t="n"/>
      <c r="BN26" s="803" t="n"/>
      <c r="BO26" s="831" t="n"/>
      <c r="BP26" s="828" t="n"/>
      <c r="BQ26" s="821" t="n"/>
      <c r="BR26" s="822" t="n"/>
      <c r="BS26" s="803" t="n"/>
      <c r="BT26" s="831" t="n"/>
      <c r="BU26" s="828" t="n"/>
      <c r="BV26" s="821" t="n"/>
      <c r="BW26" s="822" t="n"/>
      <c r="BX26" s="803" t="n"/>
      <c r="BY26" s="831" t="n"/>
      <c r="BZ26" s="828" t="n"/>
      <c r="CA26" s="821" t="n"/>
      <c r="CB26" s="822" t="n"/>
      <c r="CC26" s="803" t="n"/>
      <c r="CD26" s="831" t="n"/>
      <c r="CE26" s="828" t="n"/>
      <c r="CF26" s="821" t="n"/>
      <c r="CG26" s="822" t="n"/>
      <c r="CH26" s="803" t="n"/>
      <c r="CI26" s="831" t="n"/>
      <c r="CJ26" s="1001" t="n"/>
      <c r="CK26" s="821" t="n"/>
      <c r="CL26" s="822" t="n"/>
      <c r="CM26" s="803" t="n"/>
      <c r="CN26" s="830" t="n"/>
      <c r="CO26" s="828" t="n"/>
      <c r="CP26" s="821" t="n"/>
      <c r="CQ26" s="822" t="n"/>
      <c r="CR26" s="803" t="n"/>
      <c r="CS26" s="830" t="n"/>
      <c r="CT26" s="1146" t="n"/>
      <c r="CU26" s="821" t="n"/>
      <c r="CV26" s="822" t="n"/>
      <c r="CW26" s="803" t="n"/>
      <c r="CX26" s="830" t="n"/>
      <c r="CY26" s="828" t="n"/>
      <c r="CZ26" s="821" t="n"/>
      <c r="DA26" s="822" t="n"/>
      <c r="DB26" s="803" t="n"/>
      <c r="DC26" s="830" t="n"/>
      <c r="DD26" s="828" t="n"/>
      <c r="DE26" s="821" t="n"/>
      <c r="DF26" s="822" t="n"/>
      <c r="DG26" s="803" t="n"/>
      <c r="DH26" s="830" t="n"/>
      <c r="DI26" s="828" t="n"/>
      <c r="DJ26" s="821" t="n"/>
      <c r="DK26" s="822" t="n"/>
      <c r="DL26" s="803" t="n"/>
      <c r="DM26" s="830" t="n"/>
      <c r="DN26" s="828" t="n"/>
      <c r="DO26" s="821" t="n"/>
      <c r="DP26" s="822" t="n"/>
      <c r="DQ26" s="803" t="n"/>
      <c r="DR26" s="830" t="n"/>
      <c r="DS26" s="828" t="n"/>
      <c r="DT26" s="821" t="n"/>
      <c r="DU26" s="822" t="n"/>
    </row>
    <row r="27">
      <c r="C27" s="828" t="n"/>
      <c r="D27" s="821" t="n"/>
      <c r="E27" s="822" t="n"/>
      <c r="F27" s="768" t="n"/>
      <c r="G27" s="769" t="n"/>
      <c r="H27" s="828" t="n"/>
      <c r="I27" s="821" t="n"/>
      <c r="J27" s="822" t="n"/>
      <c r="K27" s="823" t="n"/>
      <c r="L27" s="769" t="n"/>
      <c r="M27" s="828" t="n"/>
      <c r="N27" s="821" t="n"/>
      <c r="O27" s="822" t="n"/>
      <c r="P27" s="823" t="n"/>
      <c r="Q27" s="824" t="n"/>
      <c r="R27" s="828" t="n"/>
      <c r="S27" s="821" t="n"/>
      <c r="T27" s="822" t="n"/>
      <c r="U27" s="827" t="n"/>
      <c r="V27" s="824" t="n"/>
      <c r="W27" s="828" t="n"/>
      <c r="X27" s="821" t="n"/>
      <c r="Y27" s="822" t="n"/>
      <c r="Z27" s="823" t="n"/>
      <c r="AA27" s="824" t="n"/>
      <c r="AB27" s="828" t="n"/>
      <c r="AC27" s="821" t="n"/>
      <c r="AD27" s="822" t="n"/>
      <c r="AE27" s="803" t="n"/>
      <c r="AF27" s="824" t="n"/>
      <c r="AG27" s="828" t="n"/>
      <c r="AH27" s="821" t="n"/>
      <c r="AI27" s="822" t="n"/>
      <c r="AJ27" s="803" t="n"/>
      <c r="AK27" s="824" t="n"/>
      <c r="AL27" s="1001" t="n"/>
      <c r="AM27" s="821" t="n"/>
      <c r="AN27" s="822" t="n"/>
      <c r="AO27" s="803" t="n"/>
      <c r="AP27" s="824" t="n"/>
      <c r="AQ27" s="828" t="n"/>
      <c r="AR27" s="821" t="n"/>
      <c r="AS27" s="822" t="n"/>
      <c r="AT27" s="803" t="n"/>
      <c r="AU27" s="824" t="n"/>
      <c r="AV27" s="828" t="n"/>
      <c r="AW27" s="821" t="n"/>
      <c r="AX27" s="822" t="n"/>
      <c r="AY27" s="803" t="n"/>
      <c r="AZ27" s="824" t="n"/>
      <c r="BA27" s="828" t="n"/>
      <c r="BB27" s="821" t="n"/>
      <c r="BC27" s="822" t="n"/>
      <c r="BD27" s="803" t="n"/>
      <c r="BE27" s="824" t="n"/>
      <c r="BF27" s="828" t="n"/>
      <c r="BG27" s="821" t="n"/>
      <c r="BH27" s="822" t="n"/>
      <c r="BI27" s="830" t="n"/>
      <c r="BJ27" s="824" t="n"/>
      <c r="BK27" s="828" t="n"/>
      <c r="BL27" s="821" t="n"/>
      <c r="BM27" s="822" t="n"/>
      <c r="BN27" s="830" t="n"/>
      <c r="BO27" s="824" t="n"/>
      <c r="BP27" s="828" t="n"/>
      <c r="BQ27" s="821" t="n"/>
      <c r="BR27" s="822" t="n"/>
      <c r="BS27" s="803" t="n"/>
      <c r="BT27" s="824" t="n"/>
      <c r="BU27" s="828" t="n"/>
      <c r="BV27" s="821" t="n"/>
      <c r="BW27" s="822" t="n"/>
      <c r="BX27" s="803" t="n"/>
      <c r="BY27" s="824" t="n"/>
      <c r="BZ27" s="828" t="n"/>
      <c r="CA27" s="821" t="n"/>
      <c r="CB27" s="822" t="n"/>
      <c r="CC27" s="803" t="n"/>
      <c r="CD27" s="824" t="n"/>
      <c r="CE27" s="828" t="n"/>
      <c r="CF27" s="821" t="n"/>
      <c r="CG27" s="822" t="n"/>
      <c r="CH27" s="803" t="n"/>
      <c r="CI27" s="824" t="n"/>
      <c r="CJ27" s="836" t="n"/>
      <c r="CK27" s="821" t="n"/>
      <c r="CL27" s="822" t="n"/>
      <c r="CM27" s="803" t="n"/>
      <c r="CN27" s="823" t="n"/>
      <c r="CO27" s="836" t="n"/>
      <c r="CP27" s="821" t="n"/>
      <c r="CQ27" s="822" t="n"/>
      <c r="CR27" s="803" t="n"/>
      <c r="CS27" s="823" t="n"/>
      <c r="CT27" s="836" t="n"/>
      <c r="CU27" s="821" t="n"/>
      <c r="CV27" s="822" t="n"/>
      <c r="CW27" s="803" t="n"/>
      <c r="CX27" s="823" t="n"/>
      <c r="CY27" s="836" t="n"/>
      <c r="CZ27" s="821" t="n"/>
      <c r="DA27" s="822" t="n"/>
      <c r="DB27" s="803" t="n"/>
      <c r="DC27" s="823" t="n"/>
      <c r="DD27" s="836" t="n"/>
      <c r="DE27" s="821" t="n"/>
      <c r="DF27" s="822" t="n"/>
      <c r="DG27" s="803" t="n"/>
      <c r="DH27" s="823" t="n"/>
      <c r="DI27" s="836" t="n"/>
      <c r="DJ27" s="821" t="n"/>
      <c r="DK27" s="822" t="n"/>
      <c r="DL27" s="803" t="n"/>
      <c r="DM27" s="823" t="n"/>
      <c r="DN27" s="836" t="n"/>
      <c r="DO27" s="821" t="n"/>
      <c r="DP27" s="822" t="n"/>
      <c r="DQ27" s="803" t="n"/>
      <c r="DR27" s="823" t="n"/>
      <c r="DS27" s="836" t="n"/>
      <c r="DT27" s="821" t="n"/>
      <c r="DU27" s="822" t="n"/>
    </row>
    <row r="28">
      <c r="C28" s="828" t="n"/>
      <c r="D28" s="821" t="n"/>
      <c r="E28" s="822" t="n"/>
      <c r="F28" s="768" t="n"/>
      <c r="G28" s="769" t="n"/>
      <c r="H28" s="828" t="n"/>
      <c r="I28" s="821" t="n"/>
      <c r="J28" s="822" t="n"/>
      <c r="K28" s="823" t="n"/>
      <c r="L28" s="769" t="n"/>
      <c r="M28" s="828" t="n"/>
      <c r="N28" s="821" t="n"/>
      <c r="O28" s="822" t="n"/>
      <c r="P28" s="823" t="n"/>
      <c r="Q28" s="824" t="n"/>
      <c r="R28" s="828" t="n"/>
      <c r="S28" s="821" t="n"/>
      <c r="T28" s="822" t="n"/>
      <c r="U28" s="827" t="n"/>
      <c r="V28" s="824" t="n"/>
      <c r="W28" s="828" t="n"/>
      <c r="X28" s="821" t="n"/>
      <c r="Y28" s="822" t="n"/>
      <c r="Z28" s="823" t="n"/>
      <c r="AA28" s="824" t="n"/>
      <c r="AB28" s="828" t="n"/>
      <c r="AC28" s="821" t="n"/>
      <c r="AD28" s="822" t="n"/>
      <c r="AE28" s="803" t="n"/>
      <c r="AF28" s="824" t="n"/>
      <c r="AG28" s="828" t="n"/>
      <c r="AH28" s="821" t="n"/>
      <c r="AI28" s="822" t="n"/>
      <c r="AJ28" s="803" t="n"/>
      <c r="AK28" s="824" t="n"/>
      <c r="AL28" s="828" t="n"/>
      <c r="AM28" s="821" t="n"/>
      <c r="AN28" s="822" t="n"/>
      <c r="AO28" s="803" t="n"/>
      <c r="AP28" s="824" t="n"/>
      <c r="AQ28" s="828" t="n"/>
      <c r="AR28" s="821" t="n"/>
      <c r="AS28" s="822" t="n"/>
      <c r="AT28" s="803" t="n"/>
      <c r="AU28" s="824" t="n"/>
      <c r="AV28" s="828" t="n"/>
      <c r="AW28" s="821" t="n"/>
      <c r="AX28" s="822" t="n"/>
      <c r="AY28" s="803" t="n"/>
      <c r="AZ28" s="824" t="n"/>
      <c r="BA28" s="828" t="n"/>
      <c r="BB28" s="821" t="n"/>
      <c r="BC28" s="822" t="n"/>
      <c r="BD28" s="803" t="n"/>
      <c r="BE28" s="824" t="n"/>
      <c r="BF28" s="828" t="n"/>
      <c r="BG28" s="821" t="n"/>
      <c r="BH28" s="822" t="n"/>
      <c r="BI28" s="803" t="n"/>
      <c r="BJ28" s="824" t="n"/>
      <c r="BK28" s="828" t="n"/>
      <c r="BL28" s="821" t="n"/>
      <c r="BM28" s="822" t="n"/>
      <c r="BN28" s="803" t="n"/>
      <c r="BO28" s="824" t="n"/>
      <c r="BP28" s="828" t="n"/>
      <c r="BQ28" s="821" t="n"/>
      <c r="BR28" s="822" t="n"/>
      <c r="BS28" s="803" t="n"/>
      <c r="BT28" s="824" t="n"/>
      <c r="BU28" s="828" t="n"/>
      <c r="BV28" s="821" t="n"/>
      <c r="BW28" s="822" t="n"/>
      <c r="BX28" s="803" t="n"/>
      <c r="BY28" s="824" t="n"/>
      <c r="BZ28" s="828" t="n"/>
      <c r="CA28" s="821" t="n"/>
      <c r="CB28" s="822" t="n"/>
      <c r="CC28" s="803" t="n"/>
      <c r="CD28" s="824" t="n"/>
      <c r="CE28" s="828" t="n"/>
      <c r="CF28" s="821" t="n"/>
      <c r="CG28" s="822" t="n"/>
      <c r="CH28" s="803" t="n"/>
      <c r="CI28" s="824" t="n"/>
      <c r="CJ28" s="836" t="n"/>
      <c r="CK28" s="821" t="n"/>
      <c r="CL28" s="822" t="n"/>
      <c r="CM28" s="803" t="n"/>
      <c r="CN28" s="823" t="n"/>
      <c r="CO28" s="836" t="n"/>
      <c r="CP28" s="821" t="n"/>
      <c r="CQ28" s="822" t="n"/>
      <c r="CR28" s="803" t="n"/>
      <c r="CS28" s="823" t="n"/>
      <c r="CT28" s="836" t="n"/>
      <c r="CU28" s="821" t="n"/>
      <c r="CV28" s="822" t="n"/>
      <c r="CW28" s="803" t="n"/>
      <c r="CX28" s="823" t="n"/>
      <c r="CY28" s="836" t="n"/>
      <c r="CZ28" s="821" t="n"/>
      <c r="DA28" s="822" t="n"/>
      <c r="DB28" s="803" t="n"/>
      <c r="DC28" s="823" t="n"/>
      <c r="DD28" s="836" t="n"/>
      <c r="DE28" s="821" t="n"/>
      <c r="DF28" s="822" t="n"/>
      <c r="DG28" s="803" t="n"/>
      <c r="DH28" s="823" t="n"/>
      <c r="DI28" s="836" t="n"/>
      <c r="DJ28" s="821" t="n"/>
      <c r="DK28" s="822" t="n"/>
      <c r="DL28" s="803" t="n"/>
      <c r="DM28" s="823" t="n"/>
      <c r="DN28" s="836" t="n"/>
      <c r="DO28" s="821" t="n"/>
      <c r="DP28" s="822" t="n"/>
      <c r="DQ28" s="803" t="n"/>
      <c r="DR28" s="823" t="n"/>
      <c r="DS28" s="836" t="n"/>
      <c r="DT28" s="821" t="n"/>
      <c r="DU28" s="822" t="n"/>
    </row>
    <row r="29">
      <c r="C29" s="828" t="n"/>
      <c r="D29" s="821" t="n"/>
      <c r="E29" s="822" t="n"/>
      <c r="F29" s="768" t="n"/>
      <c r="G29" s="769" t="n"/>
      <c r="H29" s="828" t="n"/>
      <c r="I29" s="821" t="n"/>
      <c r="J29" s="822" t="n"/>
      <c r="K29" s="823" t="n"/>
      <c r="L29" s="769" t="n"/>
      <c r="M29" s="828" t="n"/>
      <c r="N29" s="821" t="n"/>
      <c r="O29" s="822" t="n"/>
      <c r="P29" s="823" t="n"/>
      <c r="Q29" s="824" t="n"/>
      <c r="R29" s="828" t="n"/>
      <c r="S29" s="821" t="n"/>
      <c r="T29" s="822" t="n"/>
      <c r="U29" s="827" t="n"/>
      <c r="V29" s="824" t="n"/>
      <c r="W29" s="828" t="n"/>
      <c r="X29" s="821" t="n"/>
      <c r="Y29" s="822" t="n"/>
      <c r="Z29" s="823" t="n"/>
      <c r="AA29" s="824" t="n"/>
      <c r="AB29" s="828" t="n"/>
      <c r="AC29" s="821" t="n"/>
      <c r="AD29" s="822" t="n"/>
      <c r="AE29" s="803" t="n"/>
      <c r="AF29" s="824" t="n"/>
      <c r="AG29" s="828" t="n"/>
      <c r="AH29" s="821" t="n"/>
      <c r="AI29" s="822" t="n"/>
      <c r="AJ29" s="803" t="n"/>
      <c r="AK29" s="824" t="n"/>
      <c r="AL29" s="828" t="n"/>
      <c r="AM29" s="821" t="n"/>
      <c r="AN29" s="822" t="n"/>
      <c r="AO29" s="803" t="n"/>
      <c r="AP29" s="824" t="n"/>
      <c r="AQ29" s="828" t="n"/>
      <c r="AR29" s="821" t="n"/>
      <c r="AS29" s="822" t="n"/>
      <c r="AT29" s="803" t="n"/>
      <c r="AU29" s="824" t="n"/>
      <c r="AV29" s="828" t="n"/>
      <c r="AW29" s="821" t="n"/>
      <c r="AX29" s="822" t="n"/>
      <c r="AY29" s="803" t="n"/>
      <c r="AZ29" s="824" t="n"/>
      <c r="BA29" s="828" t="n"/>
      <c r="BB29" s="821" t="n"/>
      <c r="BC29" s="822" t="n"/>
      <c r="BD29" s="803" t="n"/>
      <c r="BE29" s="824" t="n"/>
      <c r="BF29" s="828" t="n"/>
      <c r="BG29" s="821" t="n"/>
      <c r="BH29" s="822" t="n"/>
      <c r="BI29" s="803" t="n"/>
      <c r="BJ29" s="824" t="n"/>
      <c r="BK29" s="1001" t="n"/>
      <c r="BL29" s="821" t="n"/>
      <c r="BM29" s="822" t="n"/>
      <c r="BN29" s="803" t="n"/>
      <c r="BO29" s="824" t="n"/>
      <c r="BP29" s="828" t="n"/>
      <c r="BQ29" s="821" t="n"/>
      <c r="BR29" s="822" t="n"/>
      <c r="BS29" s="803" t="n"/>
      <c r="BT29" s="824" t="n"/>
      <c r="BU29" s="828" t="n"/>
      <c r="BV29" s="821" t="n"/>
      <c r="BW29" s="822" t="n"/>
      <c r="BX29" s="803" t="n"/>
      <c r="BY29" s="824" t="n"/>
      <c r="BZ29" s="828" t="n"/>
      <c r="CA29" s="821" t="n"/>
      <c r="CB29" s="822" t="n"/>
      <c r="CC29" s="803" t="n"/>
      <c r="CD29" s="824" t="n"/>
      <c r="CE29" s="828" t="n"/>
      <c r="CF29" s="821" t="n"/>
      <c r="CG29" s="822" t="n"/>
      <c r="CH29" s="803" t="n"/>
      <c r="CI29" s="824" t="n"/>
      <c r="CJ29" s="836" t="n"/>
      <c r="CK29" s="821" t="n"/>
      <c r="CL29" s="822" t="n"/>
      <c r="CM29" s="803" t="n"/>
      <c r="CN29" s="823" t="n"/>
      <c r="CO29" s="836" t="n"/>
      <c r="CP29" s="821" t="n"/>
      <c r="CQ29" s="822" t="n"/>
      <c r="CR29" s="803" t="n"/>
      <c r="CS29" s="823" t="n"/>
      <c r="CT29" s="836" t="n"/>
      <c r="CU29" s="821" t="n"/>
      <c r="CV29" s="822" t="n"/>
      <c r="CW29" s="803" t="n"/>
      <c r="CX29" s="823" t="n"/>
      <c r="CY29" s="836" t="n"/>
      <c r="CZ29" s="821" t="n"/>
      <c r="DA29" s="822" t="n"/>
      <c r="DB29" s="803" t="n"/>
      <c r="DC29" s="823" t="n"/>
      <c r="DD29" s="836" t="n"/>
      <c r="DE29" s="821" t="n"/>
      <c r="DF29" s="822" t="n"/>
      <c r="DG29" s="803" t="n"/>
      <c r="DH29" s="823" t="n"/>
      <c r="DI29" s="836" t="n"/>
      <c r="DJ29" s="821" t="n"/>
      <c r="DK29" s="822" t="n"/>
      <c r="DL29" s="803" t="n"/>
      <c r="DM29" s="823" t="n"/>
      <c r="DN29" s="836" t="n"/>
      <c r="DO29" s="821" t="n"/>
      <c r="DP29" s="822" t="n"/>
      <c r="DQ29" s="803" t="n"/>
      <c r="DR29" s="823" t="n"/>
      <c r="DS29" s="836" t="n"/>
      <c r="DT29" s="821" t="n"/>
      <c r="DU29" s="822" t="n"/>
    </row>
    <row r="30">
      <c r="C30" s="828" t="n"/>
      <c r="D30" s="821" t="n"/>
      <c r="E30" s="822" t="n"/>
      <c r="F30" s="768" t="n"/>
      <c r="G30" s="769" t="n"/>
      <c r="H30" s="828" t="n"/>
      <c r="I30" s="821" t="n"/>
      <c r="J30" s="822" t="n"/>
      <c r="K30" s="823" t="n"/>
      <c r="L30" s="769" t="n"/>
      <c r="M30" s="828" t="n"/>
      <c r="N30" s="821" t="n"/>
      <c r="O30" s="822" t="n"/>
      <c r="P30" s="823" t="n"/>
      <c r="Q30" s="824" t="n"/>
      <c r="R30" s="1001" t="n"/>
      <c r="S30" s="821" t="n"/>
      <c r="T30" s="822" t="n"/>
      <c r="U30" s="827" t="n"/>
      <c r="V30" s="824" t="n"/>
      <c r="W30" s="828" t="n"/>
      <c r="X30" s="821" t="n"/>
      <c r="Y30" s="822" t="n"/>
      <c r="Z30" s="823" t="n"/>
      <c r="AA30" s="824" t="n"/>
      <c r="AB30" s="828" t="n"/>
      <c r="AC30" s="821" t="n"/>
      <c r="AD30" s="822" t="n"/>
      <c r="AE30" s="803" t="n"/>
      <c r="AF30" s="824" t="n"/>
      <c r="AG30" s="828" t="n"/>
      <c r="AH30" s="821" t="n"/>
      <c r="AI30" s="822" t="n"/>
      <c r="AJ30" s="803" t="n"/>
      <c r="AK30" s="824" t="n"/>
      <c r="AL30" s="828" t="n"/>
      <c r="AM30" s="821" t="n"/>
      <c r="AN30" s="822" t="n"/>
      <c r="AO30" s="803" t="n"/>
      <c r="AP30" s="824" t="n"/>
      <c r="AQ30" s="828" t="n"/>
      <c r="AR30" s="821" t="n"/>
      <c r="AS30" s="822" t="n"/>
      <c r="AT30" s="803" t="n"/>
      <c r="AU30" s="824" t="n"/>
      <c r="AV30" s="828" t="n"/>
      <c r="AW30" s="821" t="n"/>
      <c r="AX30" s="822" t="n"/>
      <c r="AY30" s="803" t="n"/>
      <c r="AZ30" s="824" t="n"/>
      <c r="BA30" s="828" t="n"/>
      <c r="BB30" s="821" t="n"/>
      <c r="BC30" s="822" t="n"/>
      <c r="BD30" s="803" t="n"/>
      <c r="BE30" s="824" t="n"/>
      <c r="BF30" s="828" t="n"/>
      <c r="BG30" s="821" t="n"/>
      <c r="BH30" s="822" t="n"/>
      <c r="BI30" s="803" t="n"/>
      <c r="BJ30" s="824" t="n"/>
      <c r="BK30" s="1001" t="n"/>
      <c r="BL30" s="821" t="n"/>
      <c r="BM30" s="822" t="n"/>
      <c r="BN30" s="803" t="n"/>
      <c r="BO30" s="824" t="n"/>
      <c r="BP30" s="828" t="n"/>
      <c r="BQ30" s="821" t="n"/>
      <c r="BR30" s="822" t="n"/>
      <c r="BS30" s="803" t="n"/>
      <c r="BT30" s="824" t="n"/>
      <c r="BU30" s="828" t="n"/>
      <c r="BV30" s="821" t="n"/>
      <c r="BW30" s="822" t="n"/>
      <c r="BX30" s="803" t="n"/>
      <c r="BY30" s="824" t="n"/>
      <c r="BZ30" s="828" t="n"/>
      <c r="CA30" s="821" t="n"/>
      <c r="CB30" s="822" t="n"/>
      <c r="CC30" s="803" t="n"/>
      <c r="CD30" s="824" t="n"/>
      <c r="CE30" s="828" t="n"/>
      <c r="CF30" s="821" t="n"/>
      <c r="CG30" s="822" t="n"/>
      <c r="CH30" s="803" t="n"/>
      <c r="CI30" s="824" t="n"/>
      <c r="CJ30" s="836" t="n"/>
      <c r="CK30" s="821" t="n"/>
      <c r="CL30" s="822" t="n"/>
      <c r="CM30" s="803" t="n"/>
      <c r="CN30" s="823" t="n"/>
      <c r="CO30" s="836" t="n"/>
      <c r="CP30" s="821" t="n"/>
      <c r="CQ30" s="822" t="n"/>
      <c r="CR30" s="803" t="n"/>
      <c r="CS30" s="823" t="n"/>
      <c r="CT30" s="836" t="n"/>
      <c r="CU30" s="821" t="n"/>
      <c r="CV30" s="822" t="n"/>
      <c r="CW30" s="803" t="n"/>
      <c r="CX30" s="823" t="n"/>
      <c r="CY30" s="836" t="n"/>
      <c r="CZ30" s="821" t="n"/>
      <c r="DA30" s="822" t="n"/>
      <c r="DB30" s="803" t="n"/>
      <c r="DC30" s="823" t="n"/>
      <c r="DD30" s="836" t="n"/>
      <c r="DE30" s="821" t="n"/>
      <c r="DF30" s="822" t="n"/>
      <c r="DG30" s="803" t="n"/>
      <c r="DH30" s="823" t="n"/>
      <c r="DI30" s="836" t="n"/>
      <c r="DJ30" s="821" t="n"/>
      <c r="DK30" s="822" t="n"/>
      <c r="DL30" s="803" t="n"/>
      <c r="DM30" s="823" t="n"/>
      <c r="DN30" s="836" t="n"/>
      <c r="DO30" s="821" t="n"/>
      <c r="DP30" s="822" t="n"/>
      <c r="DQ30" s="803" t="n"/>
      <c r="DR30" s="823" t="n"/>
      <c r="DS30" s="836" t="n"/>
      <c r="DT30" s="821" t="n"/>
      <c r="DU30" s="822" t="n"/>
    </row>
    <row r="31">
      <c r="C31" s="1001" t="n"/>
      <c r="D31" s="821" t="n"/>
      <c r="E31" s="822" t="n"/>
      <c r="F31" s="768" t="n"/>
      <c r="G31" s="769" t="n"/>
      <c r="H31" s="828" t="n"/>
      <c r="I31" s="821" t="n"/>
      <c r="J31" s="822" t="n"/>
      <c r="K31" s="823" t="n"/>
      <c r="L31" s="769" t="n"/>
      <c r="M31" s="828" t="n"/>
      <c r="N31" s="821" t="n"/>
      <c r="O31" s="822" t="n"/>
      <c r="P31" s="823" t="n"/>
      <c r="Q31" s="824" t="n"/>
      <c r="R31" s="1001" t="n"/>
      <c r="S31" s="821" t="n"/>
      <c r="T31" s="822" t="n"/>
      <c r="U31" s="827" t="n"/>
      <c r="V31" s="824" t="n"/>
      <c r="W31" s="828" t="n"/>
      <c r="X31" s="821" t="n"/>
      <c r="Y31" s="822" t="n"/>
      <c r="Z31" s="823" t="n"/>
      <c r="AA31" s="824" t="n"/>
      <c r="AB31" s="828" t="n"/>
      <c r="AC31" s="821" t="n"/>
      <c r="AD31" s="822" t="n"/>
      <c r="AE31" s="803" t="n"/>
      <c r="AF31" s="824" t="n"/>
      <c r="AG31" s="828" t="n"/>
      <c r="AH31" s="821" t="n"/>
      <c r="AI31" s="822" t="n"/>
      <c r="AJ31" s="803" t="n"/>
      <c r="AK31" s="824" t="n"/>
      <c r="AL31" s="828" t="n"/>
      <c r="AM31" s="821" t="n"/>
      <c r="AN31" s="822" t="n"/>
      <c r="AO31" s="803" t="n"/>
      <c r="AP31" s="824" t="n"/>
      <c r="AQ31" s="828" t="n"/>
      <c r="AR31" s="821" t="n"/>
      <c r="AS31" s="822" t="n"/>
      <c r="AT31" s="803" t="n"/>
      <c r="AU31" s="824" t="n"/>
      <c r="AV31" s="828" t="n"/>
      <c r="AW31" s="821" t="n"/>
      <c r="AX31" s="822" t="n"/>
      <c r="AY31" s="803" t="n"/>
      <c r="AZ31" s="824" t="n"/>
      <c r="BA31" s="828" t="n"/>
      <c r="BB31" s="821" t="n"/>
      <c r="BC31" s="822" t="n"/>
      <c r="BD31" s="803" t="n"/>
      <c r="BE31" s="824" t="n"/>
      <c r="BF31" s="828" t="n"/>
      <c r="BG31" s="821" t="n"/>
      <c r="BH31" s="822" t="n"/>
      <c r="BI31" s="803" t="n"/>
      <c r="BJ31" s="824" t="n"/>
      <c r="BK31" s="828" t="n"/>
      <c r="BL31" s="821" t="n"/>
      <c r="BM31" s="822" t="n"/>
      <c r="BN31" s="803" t="n"/>
      <c r="BO31" s="824" t="n"/>
      <c r="BP31" s="828" t="n"/>
      <c r="BQ31" s="821" t="n"/>
      <c r="BR31" s="822" t="n"/>
      <c r="BS31" s="803" t="n"/>
      <c r="BT31" s="824" t="n"/>
      <c r="BU31" s="828" t="n"/>
      <c r="BV31" s="821" t="n"/>
      <c r="BW31" s="822" t="n"/>
      <c r="BX31" s="803" t="n"/>
      <c r="BY31" s="824" t="n"/>
      <c r="BZ31" s="828" t="n"/>
      <c r="CA31" s="821" t="n"/>
      <c r="CB31" s="822" t="n"/>
      <c r="CC31" s="803" t="n"/>
      <c r="CD31" s="824" t="n"/>
      <c r="CE31" s="828" t="n"/>
      <c r="CF31" s="821" t="n"/>
      <c r="CG31" s="822" t="n"/>
      <c r="CH31" s="803" t="n"/>
      <c r="CI31" s="824" t="n"/>
      <c r="CJ31" s="828" t="n"/>
      <c r="CK31" s="821" t="n"/>
      <c r="CL31" s="822" t="n"/>
      <c r="CM31" s="803" t="n"/>
      <c r="CN31" s="823" t="n"/>
      <c r="CO31" s="836" t="n"/>
      <c r="CP31" s="821" t="n"/>
      <c r="CQ31" s="822" t="n"/>
      <c r="CR31" s="803" t="n"/>
      <c r="CS31" s="823" t="n"/>
      <c r="CT31" s="828" t="n"/>
      <c r="CU31" s="821" t="n"/>
      <c r="CV31" s="822" t="n"/>
      <c r="CW31" s="803" t="n"/>
      <c r="CX31" s="823" t="n"/>
      <c r="CY31" s="836" t="n"/>
      <c r="CZ31" s="821" t="n"/>
      <c r="DA31" s="822" t="n"/>
      <c r="DB31" s="803" t="n"/>
      <c r="DC31" s="823" t="n"/>
      <c r="DD31" s="836" t="n"/>
      <c r="DE31" s="821" t="n"/>
      <c r="DF31" s="822" t="n"/>
      <c r="DG31" s="803" t="n"/>
      <c r="DH31" s="823" t="n"/>
      <c r="DI31" s="836" t="n"/>
      <c r="DJ31" s="821" t="n"/>
      <c r="DK31" s="822" t="n"/>
      <c r="DL31" s="803" t="n"/>
      <c r="DM31" s="823" t="n"/>
      <c r="DN31" s="836" t="n"/>
      <c r="DO31" s="821" t="n"/>
      <c r="DP31" s="822" t="n"/>
      <c r="DQ31" s="803" t="n"/>
      <c r="DR31" s="823" t="n"/>
      <c r="DS31" s="836" t="n"/>
      <c r="DT31" s="821" t="n"/>
      <c r="DU31" s="822" t="n"/>
    </row>
    <row r="32">
      <c r="C32" s="1001" t="n"/>
      <c r="D32" s="821" t="n"/>
      <c r="E32" s="822" t="n"/>
      <c r="F32" s="768" t="n"/>
      <c r="G32" s="769" t="n"/>
      <c r="H32" s="828" t="n"/>
      <c r="I32" s="821" t="n"/>
      <c r="J32" s="822" t="n"/>
      <c r="K32" s="823" t="n"/>
      <c r="L32" s="769" t="n"/>
      <c r="M32" s="828" t="n"/>
      <c r="N32" s="821" t="n"/>
      <c r="O32" s="822" t="n"/>
      <c r="P32" s="823" t="n"/>
      <c r="Q32" s="824" t="n"/>
      <c r="R32" s="828" t="n"/>
      <c r="S32" s="821" t="n"/>
      <c r="T32" s="822" t="n"/>
      <c r="U32" s="827" t="n"/>
      <c r="V32" s="824" t="n"/>
      <c r="W32" s="828" t="n"/>
      <c r="X32" s="821" t="n"/>
      <c r="Y32" s="822" t="n"/>
      <c r="Z32" s="823" t="n"/>
      <c r="AA32" s="824" t="n"/>
      <c r="AB32" s="828" t="n"/>
      <c r="AC32" s="821" t="n"/>
      <c r="AD32" s="822" t="n"/>
      <c r="AE32" s="803" t="n"/>
      <c r="AF32" s="824" t="n"/>
      <c r="AG32" s="828" t="n"/>
      <c r="AH32" s="821" t="n"/>
      <c r="AI32" s="822" t="n"/>
      <c r="AJ32" s="803" t="n"/>
      <c r="AK32" s="824" t="n"/>
      <c r="AL32" s="828" t="n"/>
      <c r="AM32" s="821" t="n"/>
      <c r="AN32" s="822" t="n"/>
      <c r="AO32" s="803" t="n"/>
      <c r="AP32" s="824" t="n"/>
      <c r="AQ32" s="828" t="n"/>
      <c r="AR32" s="821" t="n"/>
      <c r="AS32" s="822" t="n"/>
      <c r="AT32" s="803" t="n"/>
      <c r="AU32" s="824" t="n"/>
      <c r="AV32" s="828" t="n"/>
      <c r="AW32" s="821" t="n"/>
      <c r="AX32" s="822" t="n"/>
      <c r="AY32" s="803" t="n"/>
      <c r="AZ32" s="824" t="n"/>
      <c r="BA32" s="828" t="n"/>
      <c r="BB32" s="821" t="n"/>
      <c r="BC32" s="822" t="n"/>
      <c r="BD32" s="803" t="n"/>
      <c r="BE32" s="824" t="n"/>
      <c r="BF32" s="828" t="n"/>
      <c r="BG32" s="821" t="n"/>
      <c r="BH32" s="822" t="n"/>
      <c r="BI32" s="803" t="n"/>
      <c r="BJ32" s="824" t="n"/>
      <c r="BK32" s="828" t="n"/>
      <c r="BL32" s="821" t="n"/>
      <c r="BM32" s="822" t="n"/>
      <c r="BN32" s="803" t="n"/>
      <c r="BO32" s="824" t="n"/>
      <c r="BP32" s="828" t="n"/>
      <c r="BQ32" s="821" t="n"/>
      <c r="BR32" s="822" t="n"/>
      <c r="BS32" s="803" t="n"/>
      <c r="BT32" s="824" t="n"/>
      <c r="BU32" s="828" t="n"/>
      <c r="BV32" s="821" t="n"/>
      <c r="BW32" s="822" t="n"/>
      <c r="BX32" s="803" t="n"/>
      <c r="BY32" s="824" t="n"/>
      <c r="BZ32" s="828" t="n"/>
      <c r="CA32" s="821" t="n"/>
      <c r="CB32" s="822" t="n"/>
      <c r="CC32" s="803" t="n"/>
      <c r="CD32" s="824" t="n"/>
      <c r="CE32" s="828" t="n"/>
      <c r="CF32" s="821" t="n"/>
      <c r="CG32" s="822" t="n"/>
      <c r="CH32" s="803" t="n"/>
      <c r="CI32" s="824" t="n"/>
      <c r="CJ32" s="828" t="n"/>
      <c r="CK32" s="821" t="n"/>
      <c r="CL32" s="822" t="n"/>
      <c r="CM32" s="803" t="n"/>
      <c r="CN32" s="823" t="n"/>
      <c r="CO32" s="836" t="n"/>
      <c r="CP32" s="821" t="n"/>
      <c r="CQ32" s="822" t="n"/>
      <c r="CR32" s="803" t="n"/>
      <c r="CS32" s="823" t="n"/>
      <c r="CT32" s="828" t="n"/>
      <c r="CU32" s="821" t="n"/>
      <c r="CV32" s="822" t="n"/>
      <c r="CW32" s="803" t="n"/>
      <c r="CX32" s="823" t="n"/>
      <c r="CY32" s="836" t="n"/>
      <c r="CZ32" s="821" t="n"/>
      <c r="DA32" s="822" t="n"/>
      <c r="DB32" s="803" t="n"/>
      <c r="DC32" s="823" t="n"/>
      <c r="DD32" s="836" t="n"/>
      <c r="DE32" s="821" t="n"/>
      <c r="DF32" s="822" t="n"/>
      <c r="DG32" s="803" t="n"/>
      <c r="DH32" s="823" t="n"/>
      <c r="DI32" s="836" t="n"/>
      <c r="DJ32" s="821" t="n"/>
      <c r="DK32" s="822" t="n"/>
      <c r="DL32" s="803" t="n"/>
      <c r="DM32" s="823" t="n"/>
      <c r="DN32" s="836" t="n"/>
      <c r="DO32" s="821" t="n"/>
      <c r="DP32" s="822" t="n"/>
      <c r="DQ32" s="803" t="n"/>
      <c r="DR32" s="823" t="n"/>
      <c r="DS32" s="836" t="n"/>
      <c r="DT32" s="821" t="n"/>
      <c r="DU32" s="822" t="n"/>
    </row>
    <row r="33">
      <c r="C33" s="828" t="n"/>
      <c r="D33" s="821" t="n"/>
      <c r="E33" s="822" t="n"/>
      <c r="F33" s="768" t="n"/>
      <c r="G33" s="769" t="n"/>
      <c r="H33" s="828" t="n"/>
      <c r="I33" s="821" t="n"/>
      <c r="J33" s="822" t="n"/>
      <c r="K33" s="823" t="n"/>
      <c r="L33" s="769" t="n"/>
      <c r="M33" s="828" t="n"/>
      <c r="N33" s="821" t="n"/>
      <c r="O33" s="822" t="n"/>
      <c r="P33" s="823" t="n"/>
      <c r="Q33" s="824" t="n"/>
      <c r="R33" s="828" t="n"/>
      <c r="S33" s="821" t="n"/>
      <c r="T33" s="822" t="n"/>
      <c r="U33" s="827" t="n"/>
      <c r="V33" s="824" t="n"/>
      <c r="W33" s="828" t="n"/>
      <c r="X33" s="821" t="n"/>
      <c r="Y33" s="822" t="n"/>
      <c r="Z33" s="823" t="n"/>
      <c r="AA33" s="824" t="n"/>
      <c r="AB33" s="828" t="n"/>
      <c r="AC33" s="821" t="n"/>
      <c r="AD33" s="822" t="n"/>
      <c r="AE33" s="803" t="n"/>
      <c r="AF33" s="824" t="n"/>
      <c r="AG33" s="828" t="n"/>
      <c r="AH33" s="821" t="n"/>
      <c r="AI33" s="822" t="n"/>
      <c r="AJ33" s="803" t="n"/>
      <c r="AK33" s="824" t="n"/>
      <c r="AL33" s="828" t="n"/>
      <c r="AM33" s="821" t="n"/>
      <c r="AN33" s="822" t="n"/>
      <c r="AO33" s="803" t="n"/>
      <c r="AP33" s="824" t="n"/>
      <c r="AQ33" s="828" t="n"/>
      <c r="AR33" s="821" t="n"/>
      <c r="AS33" s="822" t="n"/>
      <c r="AT33" s="803" t="n"/>
      <c r="AU33" s="824" t="n"/>
      <c r="AV33" s="828" t="n"/>
      <c r="AW33" s="821" t="n"/>
      <c r="AX33" s="822" t="n"/>
      <c r="AY33" s="803" t="n"/>
      <c r="AZ33" s="824" t="n"/>
      <c r="BA33" s="828" t="n"/>
      <c r="BB33" s="821" t="n"/>
      <c r="BC33" s="822" t="n"/>
      <c r="BD33" s="803" t="n"/>
      <c r="BE33" s="824" t="n"/>
      <c r="BF33" s="828" t="n"/>
      <c r="BG33" s="821" t="n"/>
      <c r="BH33" s="822" t="n"/>
      <c r="BI33" s="803" t="n"/>
      <c r="BJ33" s="824" t="n"/>
      <c r="BK33" s="828" t="n"/>
      <c r="BL33" s="821" t="n"/>
      <c r="BM33" s="822" t="n"/>
      <c r="BN33" s="803" t="n"/>
      <c r="BO33" s="824" t="n"/>
      <c r="BP33" s="828" t="n"/>
      <c r="BQ33" s="821" t="n"/>
      <c r="BR33" s="822" t="n"/>
      <c r="BS33" s="803" t="n"/>
      <c r="BT33" s="824" t="n"/>
      <c r="BU33" s="828" t="n"/>
      <c r="BV33" s="821" t="n"/>
      <c r="BW33" s="822" t="n"/>
      <c r="BX33" s="803" t="n"/>
      <c r="BY33" s="824" t="n"/>
      <c r="BZ33" s="828" t="n"/>
      <c r="CA33" s="821" t="n"/>
      <c r="CB33" s="822" t="n"/>
      <c r="CC33" s="803" t="n"/>
      <c r="CD33" s="824" t="n"/>
      <c r="CE33" s="828" t="n"/>
      <c r="CF33" s="821" t="n"/>
      <c r="CG33" s="822" t="n"/>
      <c r="CH33" s="803" t="n"/>
      <c r="CI33" s="824" t="n"/>
      <c r="CJ33" s="836" t="n"/>
      <c r="CK33" s="821" t="n"/>
      <c r="CL33" s="822" t="n"/>
      <c r="CM33" s="803" t="n"/>
      <c r="CN33" s="823" t="n"/>
      <c r="CO33" s="836" t="n"/>
      <c r="CP33" s="821" t="n"/>
      <c r="CQ33" s="822" t="n"/>
      <c r="CR33" s="803" t="n"/>
      <c r="CS33" s="823" t="n"/>
      <c r="CT33" s="836" t="n"/>
      <c r="CU33" s="821" t="n"/>
      <c r="CV33" s="822" t="n"/>
      <c r="CW33" s="803" t="n"/>
      <c r="CX33" s="823" t="n"/>
      <c r="CY33" s="836" t="n"/>
      <c r="CZ33" s="821" t="n"/>
      <c r="DA33" s="822" t="n"/>
      <c r="DB33" s="803" t="n"/>
      <c r="DC33" s="823" t="n"/>
      <c r="DD33" s="836" t="n"/>
      <c r="DE33" s="821" t="n"/>
      <c r="DF33" s="822" t="n"/>
      <c r="DG33" s="803" t="n"/>
      <c r="DH33" s="823" t="n"/>
      <c r="DI33" s="836" t="n"/>
      <c r="DJ33" s="821" t="n"/>
      <c r="DK33" s="822" t="n"/>
      <c r="DL33" s="803" t="n"/>
      <c r="DM33" s="823" t="n"/>
      <c r="DN33" s="836" t="n"/>
      <c r="DO33" s="821" t="n"/>
      <c r="DP33" s="822" t="n"/>
      <c r="DQ33" s="803" t="n"/>
      <c r="DR33" s="823" t="n"/>
      <c r="DS33" s="836" t="n"/>
      <c r="DT33" s="821" t="n"/>
      <c r="DU33" s="822" t="n"/>
    </row>
    <row r="34">
      <c r="B34" s="803" t="n"/>
      <c r="C34" s="828" t="n"/>
      <c r="D34" s="821" t="n"/>
      <c r="E34" s="822" t="n"/>
      <c r="F34" s="768" t="n"/>
      <c r="G34" s="769" t="n"/>
      <c r="H34" s="828" t="n"/>
      <c r="I34" s="821" t="n"/>
      <c r="J34" s="822" t="n"/>
      <c r="K34" s="823" t="n"/>
      <c r="L34" s="769" t="n"/>
      <c r="M34" s="828" t="n"/>
      <c r="N34" s="821" t="n"/>
      <c r="O34" s="822" t="n"/>
      <c r="P34" s="823" t="n"/>
      <c r="Q34" s="824" t="n"/>
      <c r="R34" s="828" t="n"/>
      <c r="S34" s="821" t="n"/>
      <c r="T34" s="822" t="n"/>
      <c r="U34" s="827" t="n"/>
      <c r="V34" s="824" t="n"/>
      <c r="W34" s="828" t="n"/>
      <c r="X34" s="821" t="n"/>
      <c r="Y34" s="822" t="n"/>
      <c r="Z34" s="823" t="n"/>
      <c r="AA34" s="824" t="n"/>
      <c r="AB34" s="828" t="n"/>
      <c r="AC34" s="821" t="n"/>
      <c r="AD34" s="822" t="n"/>
      <c r="AE34" s="803" t="n"/>
      <c r="AF34" s="824" t="n"/>
      <c r="AG34" s="828" t="n"/>
      <c r="AH34" s="821" t="n"/>
      <c r="AI34" s="822" t="n"/>
      <c r="AJ34" s="803" t="n"/>
      <c r="AK34" s="824" t="n"/>
      <c r="AL34" s="828" t="n"/>
      <c r="AM34" s="821" t="n"/>
      <c r="AN34" s="822" t="n"/>
      <c r="AO34" s="803" t="n"/>
      <c r="AP34" s="824" t="n"/>
      <c r="AQ34" s="828" t="n"/>
      <c r="AR34" s="821" t="n"/>
      <c r="AS34" s="822" t="n"/>
      <c r="AT34" s="803" t="n"/>
      <c r="AU34" s="824" t="n"/>
      <c r="AV34" s="828" t="n"/>
      <c r="AW34" s="821" t="n"/>
      <c r="AX34" s="822" t="n"/>
      <c r="AY34" s="803" t="n"/>
      <c r="AZ34" s="824" t="n"/>
      <c r="BA34" s="828" t="n"/>
      <c r="BB34" s="821" t="n"/>
      <c r="BC34" s="822" t="n"/>
      <c r="BD34" s="803" t="n"/>
      <c r="BE34" s="824" t="n"/>
      <c r="BF34" s="828" t="n"/>
      <c r="BG34" s="821" t="n"/>
      <c r="BH34" s="822" t="n"/>
      <c r="BI34" s="803" t="n"/>
      <c r="BJ34" s="824" t="n"/>
      <c r="BK34" s="828" t="n"/>
      <c r="BL34" s="821" t="n"/>
      <c r="BM34" s="822" t="n"/>
      <c r="BN34" s="803" t="n"/>
      <c r="BO34" s="824" t="n"/>
      <c r="BP34" s="828" t="n"/>
      <c r="BQ34" s="821" t="n"/>
      <c r="BR34" s="822" t="n"/>
      <c r="BS34" s="803" t="n"/>
      <c r="BT34" s="823" t="n"/>
      <c r="BU34" s="828" t="n"/>
      <c r="BV34" s="821" t="n"/>
      <c r="BW34" s="822" t="n"/>
      <c r="BX34" s="803" t="n"/>
      <c r="BY34" s="824" t="n"/>
      <c r="BZ34" s="828" t="n"/>
      <c r="CA34" s="821" t="n"/>
      <c r="CB34" s="822" t="n"/>
      <c r="CC34" s="803" t="n"/>
      <c r="CD34" s="824" t="n"/>
      <c r="CE34" s="828" t="n"/>
      <c r="CF34" s="821" t="n"/>
      <c r="CG34" s="822" t="n"/>
      <c r="CH34" s="803" t="n"/>
      <c r="CI34" s="824" t="n"/>
      <c r="CJ34" s="836" t="n"/>
      <c r="CK34" s="821" t="n"/>
      <c r="CL34" s="822" t="n"/>
      <c r="CM34" s="803" t="n"/>
      <c r="CN34" s="835" t="n"/>
      <c r="CO34" s="836" t="n"/>
      <c r="CP34" s="821" t="n"/>
      <c r="CQ34" s="822" t="n"/>
      <c r="CR34" s="803" t="n"/>
      <c r="CS34" s="835" t="n"/>
      <c r="CT34" s="836" t="n"/>
      <c r="CU34" s="821" t="n"/>
      <c r="CV34" s="822" t="n"/>
      <c r="CW34" s="803" t="n"/>
      <c r="CX34" s="835" t="n"/>
      <c r="CY34" s="836" t="n"/>
      <c r="CZ34" s="821" t="n"/>
      <c r="DA34" s="822" t="n"/>
      <c r="DB34" s="803" t="n"/>
      <c r="DC34" s="835" t="n"/>
      <c r="DD34" s="836" t="n"/>
      <c r="DE34" s="821" t="n"/>
      <c r="DF34" s="822" t="n"/>
      <c r="DG34" s="803" t="n"/>
      <c r="DH34" s="835" t="n"/>
      <c r="DI34" s="836" t="n"/>
      <c r="DJ34" s="821" t="n"/>
      <c r="DK34" s="822" t="n"/>
      <c r="DL34" s="803" t="n"/>
      <c r="DM34" s="835" t="n"/>
      <c r="DN34" s="836" t="n"/>
      <c r="DO34" s="821" t="n"/>
      <c r="DP34" s="822" t="n"/>
      <c r="DQ34" s="803" t="n"/>
      <c r="DR34" s="835" t="n"/>
      <c r="DS34" s="836" t="n"/>
      <c r="DT34" s="821" t="n"/>
      <c r="DU34" s="822" t="n"/>
    </row>
    <row r="35">
      <c r="B35" s="803" t="n"/>
      <c r="C35" s="828" t="n"/>
      <c r="D35" s="821" t="n"/>
      <c r="E35" s="822" t="n"/>
      <c r="F35" s="768" t="n"/>
      <c r="G35" s="769" t="n"/>
      <c r="H35" s="828" t="n"/>
      <c r="I35" s="821" t="n"/>
      <c r="J35" s="822" t="n"/>
      <c r="K35" s="823" t="n"/>
      <c r="L35" s="769" t="n"/>
      <c r="M35" s="828" t="n"/>
      <c r="N35" s="821" t="n"/>
      <c r="O35" s="822" t="n"/>
      <c r="P35" s="823" t="n"/>
      <c r="Q35" s="824" t="n"/>
      <c r="R35" s="828" t="n"/>
      <c r="S35" s="821" t="n"/>
      <c r="T35" s="822" t="n"/>
      <c r="U35" s="827" t="n"/>
      <c r="V35" s="824" t="n"/>
      <c r="W35" s="828" t="n"/>
      <c r="X35" s="821" t="n"/>
      <c r="Y35" s="822" t="n"/>
      <c r="Z35" s="823" t="n"/>
      <c r="AA35" s="824" t="n"/>
      <c r="AB35" s="828" t="n"/>
      <c r="AC35" s="821" t="n"/>
      <c r="AD35" s="822" t="n"/>
      <c r="AE35" s="803" t="n"/>
      <c r="AF35" s="824" t="n"/>
      <c r="AG35" s="828" t="n"/>
      <c r="AH35" s="821" t="n"/>
      <c r="AI35" s="822" t="n"/>
      <c r="AJ35" s="803" t="n"/>
      <c r="AK35" s="824" t="n"/>
      <c r="AL35" s="828" t="n"/>
      <c r="AM35" s="821" t="n"/>
      <c r="AN35" s="822" t="n"/>
      <c r="AO35" s="803" t="n"/>
      <c r="AP35" s="824" t="n"/>
      <c r="AQ35" s="828" t="n"/>
      <c r="AR35" s="821" t="n"/>
      <c r="AS35" s="822" t="n"/>
      <c r="AT35" s="803" t="n"/>
      <c r="AU35" s="824" t="n"/>
      <c r="AV35" s="828" t="n"/>
      <c r="AW35" s="821" t="n"/>
      <c r="AX35" s="822" t="n"/>
      <c r="AY35" s="803" t="n"/>
      <c r="AZ35" s="824" t="n"/>
      <c r="BA35" s="828" t="n"/>
      <c r="BB35" s="821" t="n"/>
      <c r="BC35" s="822" t="n"/>
      <c r="BD35" s="803" t="n"/>
      <c r="BE35" s="824" t="n"/>
      <c r="BF35" s="828" t="n"/>
      <c r="BG35" s="821" t="n"/>
      <c r="BH35" s="822" t="n"/>
      <c r="BI35" s="803" t="n"/>
      <c r="BJ35" s="824" t="n"/>
      <c r="BK35" s="828" t="n"/>
      <c r="BL35" s="821" t="n"/>
      <c r="BM35" s="822" t="n"/>
      <c r="BN35" s="803" t="n"/>
      <c r="BO35" s="824" t="n"/>
      <c r="BP35" s="828" t="n"/>
      <c r="BQ35" s="821" t="n"/>
      <c r="BR35" s="822" t="n"/>
      <c r="BS35" s="803" t="n"/>
      <c r="BT35" s="823" t="n"/>
      <c r="BU35" s="828" t="n"/>
      <c r="BV35" s="821" t="n"/>
      <c r="BW35" s="822" t="n"/>
      <c r="BX35" s="803" t="n"/>
      <c r="BY35" s="824" t="n"/>
      <c r="BZ35" s="828" t="n"/>
      <c r="CA35" s="821" t="n"/>
      <c r="CB35" s="822" t="n"/>
      <c r="CC35" s="803" t="n"/>
      <c r="CD35" s="824" t="n"/>
      <c r="CE35" s="828" t="n"/>
      <c r="CF35" s="821" t="n"/>
      <c r="CG35" s="822" t="n"/>
      <c r="CH35" s="803" t="n"/>
      <c r="CI35" s="824" t="n"/>
      <c r="CJ35" s="828" t="n"/>
      <c r="CK35" s="821" t="n"/>
      <c r="CL35" s="833" t="n"/>
      <c r="CM35" s="803" t="n"/>
      <c r="CN35" s="823" t="n"/>
      <c r="CO35" s="836" t="n"/>
      <c r="CP35" s="821" t="n"/>
      <c r="CQ35" s="822" t="n"/>
      <c r="CR35" s="803" t="n"/>
      <c r="CS35" s="823" t="n"/>
      <c r="CT35" s="836" t="n"/>
      <c r="CU35" s="821" t="n"/>
      <c r="CV35" s="822" t="n"/>
      <c r="CW35" s="803" t="n"/>
      <c r="CX35" s="823" t="n"/>
      <c r="CY35" s="836" t="n"/>
      <c r="CZ35" s="821" t="n"/>
      <c r="DA35" s="822" t="n"/>
      <c r="DB35" s="803" t="n"/>
      <c r="DC35" s="823" t="n"/>
      <c r="DD35" s="836" t="n"/>
      <c r="DE35" s="821" t="n"/>
      <c r="DF35" s="822" t="n"/>
      <c r="DG35" s="803" t="n"/>
      <c r="DH35" s="823" t="n"/>
      <c r="DI35" s="836" t="n"/>
      <c r="DJ35" s="821" t="n"/>
      <c r="DK35" s="822" t="n"/>
      <c r="DL35" s="803" t="n"/>
      <c r="DM35" s="823" t="n"/>
      <c r="DN35" s="836" t="n"/>
      <c r="DO35" s="821" t="n"/>
      <c r="DP35" s="822" t="n"/>
      <c r="DQ35" s="803" t="n"/>
      <c r="DR35" s="823" t="n"/>
      <c r="DS35" s="836" t="n"/>
      <c r="DT35" s="821" t="n"/>
      <c r="DU35" s="822" t="n"/>
    </row>
    <row r="36">
      <c r="B36" s="803" t="n"/>
      <c r="C36" s="828" t="n"/>
      <c r="D36" s="821" t="n"/>
      <c r="E36" s="822" t="n"/>
      <c r="F36" s="823" t="n"/>
      <c r="G36" s="824" t="n"/>
      <c r="H36" s="828" t="n"/>
      <c r="I36" s="821" t="n"/>
      <c r="J36" s="822" t="n"/>
      <c r="K36" s="823" t="n"/>
      <c r="L36" s="824" t="n"/>
      <c r="M36" s="828" t="n"/>
      <c r="N36" s="821" t="n"/>
      <c r="O36" s="822" t="n"/>
      <c r="P36" s="823" t="n"/>
      <c r="Q36" s="824" t="n"/>
      <c r="R36" s="828" t="n"/>
      <c r="S36" s="821" t="n"/>
      <c r="T36" s="822" t="n"/>
      <c r="U36" s="827" t="n"/>
      <c r="V36" s="824" t="n"/>
      <c r="W36" s="828" t="n"/>
      <c r="X36" s="821" t="n"/>
      <c r="Y36" s="822" t="n"/>
      <c r="Z36" s="823" t="n"/>
      <c r="AA36" s="824" t="n"/>
      <c r="AB36" s="828" t="n"/>
      <c r="AC36" s="821" t="n"/>
      <c r="AD36" s="822" t="n"/>
      <c r="AE36" s="803" t="n"/>
      <c r="AF36" s="824" t="n"/>
      <c r="AG36" s="828" t="n"/>
      <c r="AH36" s="821" t="n"/>
      <c r="AI36" s="822" t="n"/>
      <c r="AJ36" s="803" t="n"/>
      <c r="AK36" s="824" t="n"/>
      <c r="AL36" s="828" t="n"/>
      <c r="AM36" s="821" t="n"/>
      <c r="AN36" s="822" t="n"/>
      <c r="AO36" s="803" t="n"/>
      <c r="AP36" s="824" t="n"/>
      <c r="AQ36" s="828" t="n"/>
      <c r="AR36" s="821" t="n"/>
      <c r="AS36" s="822" t="n"/>
      <c r="AT36" s="803" t="n"/>
      <c r="AU36" s="824" t="n"/>
      <c r="AV36" s="828" t="n"/>
      <c r="AW36" s="821" t="n"/>
      <c r="AX36" s="822" t="n"/>
      <c r="AY36" s="803" t="n"/>
      <c r="AZ36" s="824" t="n"/>
      <c r="BA36" s="828" t="n"/>
      <c r="BB36" s="821" t="n"/>
      <c r="BC36" s="822" t="n"/>
      <c r="BD36" s="803" t="n"/>
      <c r="BE36" s="824" t="n"/>
      <c r="BF36" s="828" t="n"/>
      <c r="BG36" s="821" t="n"/>
      <c r="BH36" s="822" t="n"/>
      <c r="BI36" s="803" t="n"/>
      <c r="BJ36" s="824" t="n"/>
      <c r="BK36" s="828" t="n"/>
      <c r="BL36" s="821" t="n"/>
      <c r="BM36" s="822" t="n"/>
      <c r="BN36" s="803" t="n"/>
      <c r="BO36" s="824" t="n"/>
      <c r="BP36" s="828" t="n"/>
      <c r="BQ36" s="821" t="n"/>
      <c r="BR36" s="822" t="n"/>
      <c r="BS36" s="803" t="n"/>
      <c r="BT36" s="823" t="n"/>
      <c r="BU36" s="828" t="n"/>
      <c r="BV36" s="821" t="n"/>
      <c r="BW36" s="822" t="n"/>
      <c r="BX36" s="803" t="n"/>
      <c r="BY36" s="824" t="n"/>
      <c r="BZ36" s="828" t="n"/>
      <c r="CA36" s="821" t="n"/>
      <c r="CB36" s="822" t="n"/>
      <c r="CC36" s="803" t="n"/>
      <c r="CD36" s="824" t="n"/>
      <c r="CE36" s="828" t="n"/>
      <c r="CF36" s="821" t="n"/>
      <c r="CG36" s="822" t="n"/>
      <c r="CH36" s="803" t="n"/>
      <c r="CI36" s="824" t="n"/>
      <c r="CJ36" s="828" t="n"/>
      <c r="CK36" s="821" t="n"/>
      <c r="CL36" s="822" t="n"/>
      <c r="CM36" s="803" t="n"/>
      <c r="CN36" s="823" t="n"/>
      <c r="CO36" s="836" t="n"/>
      <c r="CP36" s="821" t="n"/>
      <c r="CQ36" s="822" t="n"/>
      <c r="CR36" s="803" t="n"/>
      <c r="CS36" s="823" t="n"/>
      <c r="CT36" s="836" t="n"/>
      <c r="CU36" s="821" t="n"/>
      <c r="CV36" s="822" t="n"/>
      <c r="CW36" s="803" t="n"/>
      <c r="CX36" s="823" t="n"/>
      <c r="CY36" s="836" t="n"/>
      <c r="CZ36" s="821" t="n"/>
      <c r="DA36" s="822" t="n"/>
      <c r="DB36" s="803" t="n"/>
      <c r="DC36" s="823" t="n"/>
      <c r="DD36" s="836" t="n"/>
      <c r="DE36" s="821" t="n"/>
      <c r="DF36" s="822" t="n"/>
      <c r="DG36" s="803" t="n"/>
      <c r="DH36" s="823" t="n"/>
      <c r="DI36" s="836" t="n"/>
      <c r="DJ36" s="821" t="n"/>
      <c r="DK36" s="822" t="n"/>
      <c r="DL36" s="803" t="n"/>
      <c r="DM36" s="823" t="n"/>
      <c r="DN36" s="836" t="n"/>
      <c r="DO36" s="821" t="n"/>
      <c r="DP36" s="822" t="n"/>
      <c r="DQ36" s="803" t="n"/>
      <c r="DR36" s="823" t="n"/>
      <c r="DS36" s="836" t="n"/>
      <c r="DT36" s="821" t="n"/>
      <c r="DU36" s="822" t="n"/>
    </row>
    <row r="37">
      <c r="B37" s="803" t="n"/>
      <c r="C37" s="828" t="n"/>
      <c r="D37" s="821" t="n"/>
      <c r="E37" s="822" t="n"/>
      <c r="F37" s="823" t="n"/>
      <c r="G37" s="824" t="n"/>
      <c r="H37" s="828" t="n"/>
      <c r="I37" s="821" t="n"/>
      <c r="J37" s="822" t="n"/>
      <c r="K37" s="823" t="n"/>
      <c r="L37" s="824" t="n"/>
      <c r="M37" s="828" t="n"/>
      <c r="N37" s="821" t="n"/>
      <c r="O37" s="822" t="n"/>
      <c r="P37" s="823" t="n"/>
      <c r="Q37" s="824" t="n"/>
      <c r="R37" s="828" t="n"/>
      <c r="S37" s="821" t="n"/>
      <c r="T37" s="822" t="n"/>
      <c r="U37" s="827" t="n"/>
      <c r="V37" s="824" t="n"/>
      <c r="W37" s="828" t="n"/>
      <c r="X37" s="821" t="n"/>
      <c r="Y37" s="822" t="n"/>
      <c r="Z37" s="823" t="n"/>
      <c r="AA37" s="824" t="n"/>
      <c r="AB37" s="828" t="n"/>
      <c r="AC37" s="821" t="n"/>
      <c r="AD37" s="822" t="n"/>
      <c r="AE37" s="803" t="n"/>
      <c r="AF37" s="824" t="n"/>
      <c r="AG37" s="828" t="n"/>
      <c r="AH37" s="821" t="n"/>
      <c r="AI37" s="822" t="n"/>
      <c r="AJ37" s="803" t="n"/>
      <c r="AK37" s="824" t="n"/>
      <c r="AL37" s="828" t="n"/>
      <c r="AM37" s="821" t="n"/>
      <c r="AN37" s="822" t="n"/>
      <c r="AO37" s="803" t="n"/>
      <c r="AP37" s="824" t="n"/>
      <c r="AQ37" s="828" t="n"/>
      <c r="AR37" s="821" t="n"/>
      <c r="AS37" s="822" t="n"/>
      <c r="AT37" s="803" t="n"/>
      <c r="AU37" s="824" t="n"/>
      <c r="AV37" s="828" t="n"/>
      <c r="AW37" s="821" t="n"/>
      <c r="AX37" s="822" t="n"/>
      <c r="AY37" s="803" t="n"/>
      <c r="AZ37" s="824" t="n"/>
      <c r="BA37" s="828" t="n"/>
      <c r="BB37" s="821" t="n"/>
      <c r="BC37" s="822" t="n"/>
      <c r="BD37" s="803" t="n"/>
      <c r="BE37" s="824" t="n"/>
      <c r="BF37" s="828" t="n"/>
      <c r="BG37" s="821" t="n"/>
      <c r="BH37" s="822" t="n"/>
      <c r="BI37" s="803" t="n"/>
      <c r="BJ37" s="824" t="n"/>
      <c r="BK37" s="828" t="n"/>
      <c r="BL37" s="821" t="n"/>
      <c r="BM37" s="822" t="n"/>
      <c r="BN37" s="803" t="n"/>
      <c r="BO37" s="824" t="n"/>
      <c r="BP37" s="828" t="n"/>
      <c r="BQ37" s="821" t="n"/>
      <c r="BR37" s="822" t="n"/>
      <c r="BS37" s="803" t="n"/>
      <c r="BT37" s="803" t="n"/>
      <c r="BU37" s="828" t="n"/>
      <c r="BV37" s="821" t="n"/>
      <c r="BW37" s="822" t="n"/>
      <c r="BX37" s="803" t="n"/>
      <c r="BY37" s="824" t="n"/>
      <c r="BZ37" s="828" t="n"/>
      <c r="CA37" s="821" t="n"/>
      <c r="CB37" s="822" t="n"/>
      <c r="CC37" s="803" t="n"/>
      <c r="CD37" s="824" t="n"/>
      <c r="CE37" s="828" t="n"/>
      <c r="CF37" s="821" t="n"/>
      <c r="CG37" s="822" t="n"/>
      <c r="CH37" s="803" t="n"/>
      <c r="CI37" s="824" t="n"/>
      <c r="CJ37" s="828" t="n"/>
      <c r="CK37" s="821" t="n"/>
      <c r="CL37" s="822" t="n"/>
      <c r="CM37" s="803" t="n"/>
      <c r="CN37" s="823" t="n"/>
      <c r="CO37" s="836" t="n"/>
      <c r="CP37" s="821" t="n"/>
      <c r="CQ37" s="822" t="n"/>
      <c r="CR37" s="803" t="n"/>
      <c r="CS37" s="823" t="n"/>
      <c r="CT37" s="836" t="n"/>
      <c r="CU37" s="821" t="n"/>
      <c r="CV37" s="822" t="n"/>
      <c r="CW37" s="803" t="n"/>
      <c r="CX37" s="823" t="n"/>
      <c r="CY37" s="836" t="n"/>
      <c r="CZ37" s="821" t="n"/>
      <c r="DA37" s="822" t="n"/>
      <c r="DB37" s="803" t="n"/>
      <c r="DC37" s="823" t="n"/>
      <c r="DD37" s="836" t="n"/>
      <c r="DE37" s="821" t="n"/>
      <c r="DF37" s="822" t="n"/>
      <c r="DG37" s="803" t="n"/>
      <c r="DH37" s="823" t="n"/>
      <c r="DI37" s="836" t="n"/>
      <c r="DJ37" s="821" t="n"/>
      <c r="DK37" s="822" t="n"/>
      <c r="DL37" s="803" t="n"/>
      <c r="DM37" s="823" t="n"/>
      <c r="DN37" s="836" t="n"/>
      <c r="DO37" s="821" t="n"/>
      <c r="DP37" s="822" t="n"/>
      <c r="DQ37" s="803" t="n"/>
      <c r="DR37" s="823" t="n"/>
      <c r="DS37" s="836" t="n"/>
      <c r="DT37" s="821" t="n"/>
      <c r="DU37" s="822" t="n"/>
    </row>
    <row r="38">
      <c r="B38" s="803" t="n"/>
      <c r="C38" s="828" t="n"/>
      <c r="D38" s="821" t="n"/>
      <c r="E38" s="822" t="n"/>
      <c r="F38" s="823" t="n"/>
      <c r="G38" s="824" t="n"/>
      <c r="H38" s="828" t="n"/>
      <c r="I38" s="821" t="n"/>
      <c r="J38" s="822" t="n"/>
      <c r="K38" s="823" t="n"/>
      <c r="L38" s="824" t="n"/>
      <c r="M38" s="828" t="n"/>
      <c r="N38" s="821" t="n"/>
      <c r="O38" s="822" t="n"/>
      <c r="P38" s="823" t="n"/>
      <c r="Q38" s="824" t="n"/>
      <c r="R38" s="828" t="n"/>
      <c r="S38" s="821" t="n"/>
      <c r="T38" s="822" t="n"/>
      <c r="U38" s="827" t="n"/>
      <c r="V38" s="824" t="n"/>
      <c r="W38" s="828" t="n"/>
      <c r="X38" s="821" t="n"/>
      <c r="Y38" s="822" t="n"/>
      <c r="Z38" s="823" t="n"/>
      <c r="AA38" s="824" t="n"/>
      <c r="AB38" s="828" t="n"/>
      <c r="AC38" s="821" t="n"/>
      <c r="AD38" s="822" t="n"/>
      <c r="AE38" s="803" t="n"/>
      <c r="AF38" s="824" t="n"/>
      <c r="AG38" s="828" t="n"/>
      <c r="AH38" s="821" t="n"/>
      <c r="AI38" s="822" t="n"/>
      <c r="AJ38" s="803" t="n"/>
      <c r="AK38" s="824" t="n"/>
      <c r="AL38" s="828" t="n"/>
      <c r="AM38" s="821" t="n"/>
      <c r="AN38" s="822" t="n"/>
      <c r="AO38" s="803" t="n"/>
      <c r="AP38" s="824" t="n"/>
      <c r="AQ38" s="828" t="n"/>
      <c r="AR38" s="821" t="n"/>
      <c r="AS38" s="822" t="n"/>
      <c r="AT38" s="803" t="n"/>
      <c r="AU38" s="824" t="n"/>
      <c r="AV38" s="828" t="n"/>
      <c r="AW38" s="821" t="n"/>
      <c r="AX38" s="822" t="n"/>
      <c r="AY38" s="803" t="n"/>
      <c r="AZ38" s="824" t="n"/>
      <c r="BA38" s="828" t="n"/>
      <c r="BB38" s="821" t="n"/>
      <c r="BC38" s="822" t="n"/>
      <c r="BD38" s="803" t="n"/>
      <c r="BE38" s="824" t="n"/>
      <c r="BF38" s="828" t="n"/>
      <c r="BG38" s="821" t="n"/>
      <c r="BH38" s="822" t="n"/>
      <c r="BI38" s="803" t="n"/>
      <c r="BJ38" s="824" t="n"/>
      <c r="BK38" s="828" t="n"/>
      <c r="BL38" s="821" t="n"/>
      <c r="BM38" s="822" t="n"/>
      <c r="BN38" s="803" t="n"/>
      <c r="BO38" s="824" t="n"/>
      <c r="BP38" s="828" t="n"/>
      <c r="BQ38" s="821" t="n"/>
      <c r="BR38" s="822" t="n"/>
      <c r="BS38" s="803" t="n"/>
      <c r="BT38" s="803" t="n"/>
      <c r="BU38" s="828" t="n"/>
      <c r="BV38" s="821" t="n"/>
      <c r="BW38" s="822" t="n"/>
      <c r="BX38" s="803" t="n"/>
      <c r="BY38" s="824" t="n"/>
      <c r="BZ38" s="828" t="n"/>
      <c r="CA38" s="821" t="n"/>
      <c r="CB38" s="822" t="n"/>
      <c r="CC38" s="803" t="n"/>
      <c r="CD38" s="824" t="n"/>
      <c r="CE38" s="828" t="n"/>
      <c r="CF38" s="821" t="n"/>
      <c r="CG38" s="822" t="n"/>
      <c r="CH38" s="803" t="n"/>
      <c r="CI38" s="824" t="n"/>
      <c r="CJ38" s="828" t="n"/>
      <c r="CK38" s="821" t="n"/>
      <c r="CL38" s="822" t="n"/>
      <c r="CM38" s="803" t="n"/>
      <c r="CN38" s="823" t="n"/>
      <c r="CO38" s="828" t="n"/>
      <c r="CP38" s="821" t="n"/>
      <c r="CQ38" s="822" t="n"/>
      <c r="CR38" s="803" t="n"/>
      <c r="CS38" s="823" t="n"/>
      <c r="CT38" s="828" t="n"/>
      <c r="CU38" s="821" t="n"/>
      <c r="CV38" s="822" t="n"/>
      <c r="CW38" s="803" t="n"/>
      <c r="CX38" s="823" t="n"/>
      <c r="CY38" s="828" t="n"/>
      <c r="CZ38" s="821" t="n"/>
      <c r="DA38" s="822" t="n"/>
      <c r="DB38" s="803" t="n"/>
      <c r="DC38" s="823" t="n"/>
      <c r="DD38" s="828" t="n"/>
      <c r="DE38" s="821" t="n"/>
      <c r="DF38" s="822" t="n"/>
      <c r="DG38" s="803" t="n"/>
      <c r="DH38" s="823" t="n"/>
      <c r="DI38" s="828" t="n"/>
      <c r="DJ38" s="821" t="n"/>
      <c r="DK38" s="822" t="n"/>
      <c r="DL38" s="803" t="n"/>
      <c r="DM38" s="823" t="n"/>
      <c r="DN38" s="828" t="n"/>
      <c r="DO38" s="821" t="n"/>
      <c r="DP38" s="822" t="n"/>
      <c r="DQ38" s="803" t="n"/>
      <c r="DR38" s="823" t="n"/>
      <c r="DS38" s="828" t="n"/>
      <c r="DT38" s="821" t="n"/>
      <c r="DU38" s="822" t="n"/>
    </row>
    <row r="39">
      <c r="B39" s="803" t="n"/>
      <c r="C39" s="828" t="n"/>
      <c r="D39" s="821" t="n"/>
      <c r="E39" s="822" t="n"/>
      <c r="F39" s="823" t="n"/>
      <c r="G39" s="824" t="n"/>
      <c r="H39" s="828" t="n"/>
      <c r="I39" s="821" t="n"/>
      <c r="J39" s="822" t="n"/>
      <c r="K39" s="823" t="n"/>
      <c r="L39" s="824" t="n"/>
      <c r="M39" s="828" t="n"/>
      <c r="N39" s="821" t="n"/>
      <c r="O39" s="822" t="n"/>
      <c r="P39" s="823" t="n"/>
      <c r="Q39" s="824" t="n"/>
      <c r="R39" s="828" t="n"/>
      <c r="S39" s="821" t="n"/>
      <c r="T39" s="822" t="n"/>
      <c r="U39" s="827" t="n"/>
      <c r="V39" s="824" t="n"/>
      <c r="W39" s="828" t="n"/>
      <c r="X39" s="821" t="n"/>
      <c r="Y39" s="822" t="n"/>
      <c r="Z39" s="823" t="n"/>
      <c r="AA39" s="824" t="n"/>
      <c r="AB39" s="828" t="n"/>
      <c r="AC39" s="821" t="n"/>
      <c r="AD39" s="822" t="n"/>
      <c r="AE39" s="803" t="n"/>
      <c r="AF39" s="824" t="n"/>
      <c r="AG39" s="828" t="n"/>
      <c r="AH39" s="821" t="n"/>
      <c r="AI39" s="822" t="n"/>
      <c r="AJ39" s="803" t="n"/>
      <c r="AK39" s="824" t="n"/>
      <c r="AL39" s="828" t="n"/>
      <c r="AM39" s="821" t="n"/>
      <c r="AN39" s="822" t="n"/>
      <c r="AO39" s="803" t="n"/>
      <c r="AP39" s="824" t="n"/>
      <c r="AQ39" s="828" t="n"/>
      <c r="AR39" s="821" t="n"/>
      <c r="AS39" s="822" t="n"/>
      <c r="AT39" s="803" t="n"/>
      <c r="AU39" s="824" t="n"/>
      <c r="AV39" s="828" t="n"/>
      <c r="AW39" s="821" t="n"/>
      <c r="AX39" s="822" t="n"/>
      <c r="AY39" s="803" t="n"/>
      <c r="AZ39" s="824" t="n"/>
      <c r="BA39" s="828" t="n"/>
      <c r="BB39" s="821" t="n"/>
      <c r="BC39" s="822" t="n"/>
      <c r="BD39" s="803" t="n"/>
      <c r="BE39" s="824" t="n"/>
      <c r="BF39" s="828" t="n"/>
      <c r="BG39" s="821" t="n"/>
      <c r="BH39" s="822" t="n"/>
      <c r="BI39" s="803" t="n"/>
      <c r="BJ39" s="824" t="n"/>
      <c r="BK39" s="828" t="n"/>
      <c r="BL39" s="821" t="n"/>
      <c r="BM39" s="822" t="n"/>
      <c r="BN39" s="803" t="n"/>
      <c r="BO39" s="824" t="n"/>
      <c r="BP39" s="828" t="n"/>
      <c r="BQ39" s="821" t="n"/>
      <c r="BR39" s="822" t="n"/>
      <c r="BS39" s="803" t="n"/>
      <c r="BT39" s="803" t="n"/>
      <c r="BU39" s="828" t="n"/>
      <c r="BV39" s="821" t="n"/>
      <c r="BW39" s="822" t="n"/>
      <c r="BX39" s="803" t="n"/>
      <c r="BY39" s="824" t="n"/>
      <c r="BZ39" s="828" t="n"/>
      <c r="CA39" s="821" t="n"/>
      <c r="CB39" s="822" t="n"/>
      <c r="CC39" s="803" t="n"/>
      <c r="CD39" s="824" t="n"/>
      <c r="CE39" s="828" t="n"/>
      <c r="CF39" s="821" t="n"/>
      <c r="CG39" s="822" t="n"/>
      <c r="CH39" s="803" t="n"/>
      <c r="CI39" s="824" t="n"/>
      <c r="CJ39" s="828" t="n"/>
      <c r="CK39" s="821" t="n"/>
      <c r="CL39" s="822" t="n"/>
      <c r="CM39" s="803" t="n"/>
      <c r="CN39" s="823" t="n"/>
      <c r="CO39" s="828" t="n"/>
      <c r="CP39" s="821" t="n"/>
      <c r="CQ39" s="822" t="n"/>
      <c r="CR39" s="803" t="n"/>
      <c r="CS39" s="823" t="n"/>
      <c r="CT39" s="828" t="n"/>
      <c r="CU39" s="821" t="n"/>
      <c r="CV39" s="822" t="n"/>
      <c r="CW39" s="803" t="n"/>
      <c r="CX39" s="823" t="n"/>
      <c r="CY39" s="828" t="n"/>
      <c r="CZ39" s="821" t="n"/>
      <c r="DA39" s="822" t="n"/>
      <c r="DB39" s="803" t="n"/>
      <c r="DC39" s="823" t="n"/>
      <c r="DD39" s="828" t="n"/>
      <c r="DE39" s="821" t="n"/>
      <c r="DF39" s="822" t="n"/>
      <c r="DG39" s="803" t="n"/>
      <c r="DH39" s="823" t="n"/>
      <c r="DI39" s="828" t="n"/>
      <c r="DJ39" s="821" t="n"/>
      <c r="DK39" s="822" t="n"/>
      <c r="DL39" s="803" t="n"/>
      <c r="DM39" s="823" t="n"/>
      <c r="DN39" s="828" t="n"/>
      <c r="DO39" s="821" t="n"/>
      <c r="DP39" s="822" t="n"/>
      <c r="DQ39" s="803" t="n"/>
      <c r="DR39" s="823" t="n"/>
      <c r="DS39" s="828" t="n"/>
      <c r="DT39" s="821" t="n"/>
      <c r="DU39" s="822" t="n"/>
    </row>
    <row r="40">
      <c r="B40" s="803" t="n"/>
      <c r="C40" s="828" t="n"/>
      <c r="D40" s="821" t="n"/>
      <c r="E40" s="822" t="n"/>
      <c r="F40" s="823" t="n"/>
      <c r="G40" s="824" t="n"/>
      <c r="H40" s="828" t="n"/>
      <c r="I40" s="821" t="n"/>
      <c r="J40" s="822" t="n"/>
      <c r="K40" s="823" t="n"/>
      <c r="L40" s="824" t="n"/>
      <c r="M40" s="828" t="n"/>
      <c r="N40" s="821" t="n"/>
      <c r="O40" s="822" t="n"/>
      <c r="P40" s="823" t="n"/>
      <c r="Q40" s="824" t="n"/>
      <c r="R40" s="828" t="n"/>
      <c r="S40" s="821" t="n"/>
      <c r="T40" s="822" t="n"/>
      <c r="U40" s="827" t="n"/>
      <c r="V40" s="824" t="n"/>
      <c r="W40" s="828" t="n"/>
      <c r="X40" s="821" t="n"/>
      <c r="Y40" s="822" t="n"/>
      <c r="Z40" s="823" t="n"/>
      <c r="AA40" s="824" t="n"/>
      <c r="AB40" s="828" t="n"/>
      <c r="AC40" s="821" t="n"/>
      <c r="AD40" s="822" t="n"/>
      <c r="AE40" s="803" t="n"/>
      <c r="AF40" s="824" t="n"/>
      <c r="AG40" s="828" t="n"/>
      <c r="AH40" s="821" t="n"/>
      <c r="AI40" s="822" t="n"/>
      <c r="AJ40" s="803" t="n"/>
      <c r="AK40" s="824" t="n"/>
      <c r="AL40" s="828" t="n"/>
      <c r="AM40" s="821" t="n"/>
      <c r="AN40" s="822" t="n"/>
      <c r="AO40" s="803" t="n"/>
      <c r="AP40" s="824" t="n"/>
      <c r="AQ40" s="828" t="n"/>
      <c r="AR40" s="821" t="n"/>
      <c r="AS40" s="822" t="n"/>
      <c r="AT40" s="803" t="n"/>
      <c r="AU40" s="824" t="n"/>
      <c r="AV40" s="828" t="n"/>
      <c r="AW40" s="821" t="n"/>
      <c r="AX40" s="822" t="n"/>
      <c r="AY40" s="803" t="n"/>
      <c r="AZ40" s="824" t="n"/>
      <c r="BA40" s="828" t="n"/>
      <c r="BB40" s="821" t="n"/>
      <c r="BC40" s="822" t="n"/>
      <c r="BD40" s="803" t="n"/>
      <c r="BE40" s="824" t="n"/>
      <c r="BF40" s="828" t="n"/>
      <c r="BG40" s="821" t="n"/>
      <c r="BH40" s="822" t="n"/>
      <c r="BI40" s="803" t="n"/>
      <c r="BJ40" s="824" t="n"/>
      <c r="BK40" s="828" t="n"/>
      <c r="BL40" s="821" t="n"/>
      <c r="BM40" s="822" t="n"/>
      <c r="BN40" s="803" t="n"/>
      <c r="BO40" s="824" t="n"/>
      <c r="BP40" s="828" t="n"/>
      <c r="BQ40" s="821" t="n"/>
      <c r="BR40" s="822" t="n"/>
      <c r="BS40" s="803" t="n"/>
      <c r="BT40" s="803" t="n"/>
      <c r="BU40" s="828" t="n"/>
      <c r="BV40" s="821" t="n"/>
      <c r="BW40" s="822" t="n"/>
      <c r="BX40" s="803" t="n"/>
      <c r="BY40" s="824" t="n"/>
      <c r="BZ40" s="828" t="n"/>
      <c r="CA40" s="821" t="n"/>
      <c r="CB40" s="822" t="n"/>
      <c r="CC40" s="803" t="n"/>
      <c r="CD40" s="824" t="n"/>
      <c r="CE40" s="828" t="n"/>
      <c r="CF40" s="821" t="n"/>
      <c r="CG40" s="822" t="n"/>
      <c r="CH40" s="803" t="n"/>
      <c r="CI40" s="824" t="n"/>
      <c r="CJ40" s="828" t="n"/>
      <c r="CK40" s="821" t="n"/>
      <c r="CL40" s="822" t="n"/>
      <c r="CM40" s="803" t="n"/>
      <c r="CN40" s="823" t="n"/>
      <c r="CO40" s="828" t="n"/>
      <c r="CP40" s="821" t="n"/>
      <c r="CQ40" s="822" t="n"/>
      <c r="CR40" s="803" t="n"/>
      <c r="CS40" s="823" t="n"/>
      <c r="CT40" s="828" t="n"/>
      <c r="CU40" s="821" t="n"/>
      <c r="CV40" s="822" t="n"/>
      <c r="CW40" s="803" t="n"/>
      <c r="CX40" s="823" t="n"/>
      <c r="CY40" s="828" t="n"/>
      <c r="CZ40" s="821" t="n"/>
      <c r="DA40" s="822" t="n"/>
      <c r="DB40" s="803" t="n"/>
      <c r="DC40" s="823" t="n"/>
      <c r="DD40" s="828" t="n"/>
      <c r="DE40" s="821" t="n"/>
      <c r="DF40" s="822" t="n"/>
      <c r="DG40" s="803" t="n"/>
      <c r="DH40" s="823" t="n"/>
      <c r="DI40" s="828" t="n"/>
      <c r="DJ40" s="821" t="n"/>
      <c r="DK40" s="822" t="n"/>
      <c r="DL40" s="803" t="n"/>
      <c r="DM40" s="823" t="n"/>
      <c r="DN40" s="828" t="n"/>
      <c r="DO40" s="821" t="n"/>
      <c r="DP40" s="822" t="n"/>
      <c r="DQ40" s="803" t="n"/>
      <c r="DR40" s="823" t="n"/>
      <c r="DS40" s="828" t="n"/>
      <c r="DT40" s="821" t="n"/>
      <c r="DU40" s="822" t="n"/>
    </row>
    <row r="41">
      <c r="B41" s="803" t="n"/>
      <c r="C41" s="828" t="n"/>
      <c r="D41" s="821" t="n"/>
      <c r="E41" s="822" t="n"/>
      <c r="F41" s="823" t="n"/>
      <c r="G41" s="824" t="n"/>
      <c r="H41" s="828" t="n"/>
      <c r="I41" s="821" t="n"/>
      <c r="J41" s="822" t="n"/>
      <c r="K41" s="823" t="n"/>
      <c r="L41" s="824" t="n"/>
      <c r="M41" s="828" t="n"/>
      <c r="N41" s="821" t="n"/>
      <c r="O41" s="822" t="n"/>
      <c r="P41" s="823" t="n"/>
      <c r="Q41" s="824" t="n"/>
      <c r="R41" s="828" t="n"/>
      <c r="S41" s="821" t="n"/>
      <c r="T41" s="822" t="n"/>
      <c r="U41" s="827" t="n"/>
      <c r="V41" s="824" t="n"/>
      <c r="W41" s="828" t="n"/>
      <c r="X41" s="821" t="n"/>
      <c r="Y41" s="822" t="n"/>
      <c r="Z41" s="823" t="n"/>
      <c r="AA41" s="824" t="n"/>
      <c r="AB41" s="828" t="n"/>
      <c r="AC41" s="821" t="n"/>
      <c r="AD41" s="822" t="n"/>
      <c r="AE41" s="803" t="n"/>
      <c r="AF41" s="824" t="n"/>
      <c r="AG41" s="828" t="n"/>
      <c r="AH41" s="821" t="n"/>
      <c r="AI41" s="822" t="n"/>
      <c r="AJ41" s="803" t="n"/>
      <c r="AK41" s="824" t="n"/>
      <c r="AL41" s="828" t="n"/>
      <c r="AM41" s="821" t="n"/>
      <c r="AN41" s="822" t="n"/>
      <c r="AO41" s="803" t="n"/>
      <c r="AP41" s="824" t="n"/>
      <c r="AQ41" s="828" t="n"/>
      <c r="AR41" s="821" t="n"/>
      <c r="AS41" s="822" t="n"/>
      <c r="AT41" s="803" t="n"/>
      <c r="AU41" s="824" t="n"/>
      <c r="AV41" s="828" t="n"/>
      <c r="AW41" s="821" t="n"/>
      <c r="AX41" s="822" t="n"/>
      <c r="AY41" s="803" t="n"/>
      <c r="AZ41" s="824" t="n"/>
      <c r="BA41" s="828" t="n"/>
      <c r="BB41" s="821" t="n"/>
      <c r="BC41" s="822" t="n"/>
      <c r="BD41" s="803" t="n"/>
      <c r="BE41" s="824" t="n"/>
      <c r="BF41" s="828" t="n"/>
      <c r="BG41" s="821" t="n"/>
      <c r="BH41" s="822" t="n"/>
      <c r="BI41" s="803" t="n"/>
      <c r="BJ41" s="824" t="n"/>
      <c r="BK41" s="828" t="n"/>
      <c r="BL41" s="821" t="n"/>
      <c r="BM41" s="822" t="n"/>
      <c r="BN41" s="803" t="n"/>
      <c r="BO41" s="824" t="n"/>
      <c r="BP41" s="828" t="n"/>
      <c r="BQ41" s="821" t="n"/>
      <c r="BR41" s="822" t="n"/>
      <c r="BS41" s="803" t="n"/>
      <c r="BT41" s="803" t="n"/>
      <c r="BU41" s="828" t="n"/>
      <c r="BV41" s="821" t="n"/>
      <c r="BW41" s="822" t="n"/>
      <c r="BX41" s="803" t="n"/>
      <c r="BY41" s="824" t="n"/>
      <c r="BZ41" s="828" t="n"/>
      <c r="CA41" s="821" t="n"/>
      <c r="CB41" s="822" t="n"/>
      <c r="CC41" s="803" t="n"/>
      <c r="CD41" s="824" t="n"/>
      <c r="CE41" s="828" t="n"/>
      <c r="CF41" s="821" t="n"/>
      <c r="CG41" s="822" t="n"/>
      <c r="CH41" s="803" t="n"/>
      <c r="CI41" s="824" t="n"/>
      <c r="CJ41" s="828" t="n"/>
      <c r="CK41" s="821" t="n"/>
      <c r="CL41" s="822" t="n"/>
      <c r="CM41" s="803" t="n"/>
      <c r="CN41" s="823" t="n"/>
      <c r="CO41" s="828" t="n"/>
      <c r="CP41" s="821" t="n"/>
      <c r="CQ41" s="822" t="n"/>
      <c r="CR41" s="803" t="n"/>
      <c r="CS41" s="823" t="n"/>
      <c r="CT41" s="828" t="n"/>
      <c r="CU41" s="821" t="n"/>
      <c r="CV41" s="822" t="n"/>
      <c r="CW41" s="803" t="n"/>
      <c r="CX41" s="823" t="n"/>
      <c r="CY41" s="828" t="n"/>
      <c r="CZ41" s="821" t="n"/>
      <c r="DA41" s="822" t="n"/>
      <c r="DB41" s="803" t="n"/>
      <c r="DC41" s="823" t="n"/>
      <c r="DD41" s="828" t="n"/>
      <c r="DE41" s="821" t="n"/>
      <c r="DF41" s="822" t="n"/>
      <c r="DG41" s="803" t="n"/>
      <c r="DH41" s="823" t="n"/>
      <c r="DI41" s="828" t="n"/>
      <c r="DJ41" s="821" t="n"/>
      <c r="DK41" s="822" t="n"/>
      <c r="DL41" s="803" t="n"/>
      <c r="DM41" s="823" t="n"/>
      <c r="DN41" s="828" t="n"/>
      <c r="DO41" s="821" t="n"/>
      <c r="DP41" s="822" t="n"/>
      <c r="DQ41" s="803" t="n"/>
      <c r="DR41" s="823" t="n"/>
      <c r="DS41" s="828" t="n"/>
      <c r="DT41" s="821" t="n"/>
      <c r="DU41" s="822" t="n"/>
    </row>
    <row r="42">
      <c r="B42" s="803" t="n"/>
      <c r="C42" s="828" t="n"/>
      <c r="D42" s="821" t="n"/>
      <c r="E42" s="822" t="n"/>
      <c r="F42" s="823" t="n"/>
      <c r="G42" s="824" t="n"/>
      <c r="H42" s="828" t="n"/>
      <c r="I42" s="821" t="n"/>
      <c r="J42" s="822" t="n"/>
      <c r="K42" s="823" t="n"/>
      <c r="L42" s="824" t="n"/>
      <c r="M42" s="828" t="n"/>
      <c r="N42" s="821" t="n"/>
      <c r="O42" s="822" t="n"/>
      <c r="P42" s="823" t="n"/>
      <c r="Q42" s="824" t="n"/>
      <c r="R42" s="828" t="n"/>
      <c r="S42" s="821" t="n"/>
      <c r="T42" s="822" t="n"/>
      <c r="U42" s="827" t="n"/>
      <c r="V42" s="824" t="n"/>
      <c r="W42" s="828" t="n"/>
      <c r="X42" s="821" t="n"/>
      <c r="Y42" s="822" t="n"/>
      <c r="Z42" s="823" t="n"/>
      <c r="AA42" s="824" t="n"/>
      <c r="AB42" s="828" t="n"/>
      <c r="AC42" s="821" t="n"/>
      <c r="AD42" s="822" t="n"/>
      <c r="AE42" s="803" t="n"/>
      <c r="AF42" s="824" t="n"/>
      <c r="AG42" s="828" t="n"/>
      <c r="AH42" s="821" t="n"/>
      <c r="AI42" s="822" t="n"/>
      <c r="AJ42" s="803" t="n"/>
      <c r="AK42" s="824" t="n"/>
      <c r="AL42" s="828" t="n"/>
      <c r="AM42" s="821" t="n"/>
      <c r="AN42" s="822" t="n"/>
      <c r="AO42" s="803" t="n"/>
      <c r="AP42" s="824" t="n"/>
      <c r="AQ42" s="828" t="n"/>
      <c r="AR42" s="821" t="n"/>
      <c r="AS42" s="822" t="n"/>
      <c r="AT42" s="803" t="n"/>
      <c r="AU42" s="824" t="n"/>
      <c r="AV42" s="828" t="n"/>
      <c r="AW42" s="821" t="n"/>
      <c r="AX42" s="822" t="n"/>
      <c r="AY42" s="803" t="n"/>
      <c r="AZ42" s="824" t="n"/>
      <c r="BA42" s="828" t="n"/>
      <c r="BB42" s="821" t="n"/>
      <c r="BC42" s="822" t="n"/>
      <c r="BD42" s="803" t="n"/>
      <c r="BE42" s="824" t="n"/>
      <c r="BF42" s="828" t="n"/>
      <c r="BG42" s="821" t="n"/>
      <c r="BH42" s="822" t="n"/>
      <c r="BI42" s="803" t="n"/>
      <c r="BJ42" s="824" t="n"/>
      <c r="BK42" s="828" t="n"/>
      <c r="BL42" s="821" t="n"/>
      <c r="BM42" s="822" t="n"/>
      <c r="BN42" s="803" t="n"/>
      <c r="BO42" s="824" t="n"/>
      <c r="BP42" s="828" t="n"/>
      <c r="BQ42" s="821" t="n"/>
      <c r="BR42" s="822" t="n"/>
      <c r="BS42" s="803" t="n"/>
      <c r="BT42" s="803" t="n"/>
      <c r="BU42" s="828" t="n"/>
      <c r="BV42" s="821" t="n"/>
      <c r="BW42" s="822" t="n"/>
      <c r="BX42" s="803" t="n"/>
      <c r="BY42" s="824" t="n"/>
      <c r="BZ42" s="828" t="n"/>
      <c r="CA42" s="821" t="n"/>
      <c r="CB42" s="822" t="n"/>
      <c r="CC42" s="803" t="n"/>
      <c r="CD42" s="824" t="n"/>
      <c r="CE42" s="828" t="n"/>
      <c r="CF42" s="821" t="n"/>
      <c r="CG42" s="822" t="n"/>
      <c r="CH42" s="803" t="n"/>
      <c r="CI42" s="824" t="n"/>
      <c r="CJ42" s="828" t="n"/>
      <c r="CK42" s="821" t="n"/>
      <c r="CL42" s="822" t="n"/>
      <c r="CM42" s="803" t="n"/>
      <c r="CN42" s="823" t="n"/>
      <c r="CO42" s="828" t="n"/>
      <c r="CP42" s="821" t="n"/>
      <c r="CQ42" s="822" t="n"/>
      <c r="CR42" s="803" t="n"/>
      <c r="CS42" s="823" t="n"/>
      <c r="CT42" s="828" t="n"/>
      <c r="CU42" s="821" t="n"/>
      <c r="CV42" s="822" t="n"/>
      <c r="CW42" s="803" t="n"/>
      <c r="CX42" s="823" t="n"/>
      <c r="CY42" s="828" t="n"/>
      <c r="CZ42" s="821" t="n"/>
      <c r="DA42" s="822" t="n"/>
      <c r="DB42" s="803" t="n"/>
      <c r="DC42" s="823" t="n"/>
      <c r="DD42" s="828" t="n"/>
      <c r="DE42" s="821" t="n"/>
      <c r="DF42" s="822" t="n"/>
      <c r="DG42" s="803" t="n"/>
      <c r="DH42" s="823" t="n"/>
      <c r="DI42" s="828" t="n"/>
      <c r="DJ42" s="821" t="n"/>
      <c r="DK42" s="822" t="n"/>
      <c r="DL42" s="803" t="n"/>
      <c r="DM42" s="823" t="n"/>
      <c r="DN42" s="828" t="n"/>
      <c r="DO42" s="821" t="n"/>
      <c r="DP42" s="822" t="n"/>
      <c r="DQ42" s="803" t="n"/>
      <c r="DR42" s="823" t="n"/>
      <c r="DS42" s="828" t="n"/>
      <c r="DT42" s="821" t="n"/>
      <c r="DU42" s="822" t="n"/>
    </row>
    <row r="43">
      <c r="B43" s="803" t="n"/>
      <c r="C43" s="828" t="n"/>
      <c r="D43" s="821" t="n"/>
      <c r="E43" s="822" t="n"/>
      <c r="F43" s="823" t="n"/>
      <c r="G43" s="824" t="n"/>
      <c r="H43" s="828" t="n"/>
      <c r="I43" s="821" t="n"/>
      <c r="J43" s="822" t="n"/>
      <c r="K43" s="823" t="n"/>
      <c r="L43" s="824" t="n"/>
      <c r="M43" s="828" t="n"/>
      <c r="N43" s="821" t="n"/>
      <c r="O43" s="822" t="n"/>
      <c r="P43" s="823" t="n"/>
      <c r="Q43" s="824" t="n"/>
      <c r="R43" s="828" t="n"/>
      <c r="S43" s="821" t="n"/>
      <c r="T43" s="822" t="n"/>
      <c r="U43" s="827" t="n"/>
      <c r="V43" s="824" t="n"/>
      <c r="W43" s="828" t="n"/>
      <c r="X43" s="821" t="n"/>
      <c r="Y43" s="822" t="n"/>
      <c r="Z43" s="823" t="n"/>
      <c r="AA43" s="824" t="n"/>
      <c r="AB43" s="828" t="n"/>
      <c r="AC43" s="821" t="n"/>
      <c r="AD43" s="822" t="n"/>
      <c r="AE43" s="803" t="n"/>
      <c r="AF43" s="824" t="n"/>
      <c r="AG43" s="828" t="n"/>
      <c r="AH43" s="821" t="n"/>
      <c r="AI43" s="822" t="n"/>
      <c r="AJ43" s="803" t="n"/>
      <c r="AK43" s="824" t="n"/>
      <c r="AL43" s="828" t="n"/>
      <c r="AM43" s="821" t="n"/>
      <c r="AN43" s="822" t="n"/>
      <c r="AO43" s="803" t="n"/>
      <c r="AP43" s="824" t="n"/>
      <c r="AQ43" s="828" t="n"/>
      <c r="AR43" s="821" t="n"/>
      <c r="AS43" s="822" t="n"/>
      <c r="AT43" s="803" t="n"/>
      <c r="AU43" s="824" t="n"/>
      <c r="AV43" s="828" t="n"/>
      <c r="AW43" s="821" t="n"/>
      <c r="AX43" s="822" t="n"/>
      <c r="AY43" s="803" t="n"/>
      <c r="AZ43" s="824" t="n"/>
      <c r="BA43" s="828" t="n"/>
      <c r="BB43" s="821" t="n"/>
      <c r="BC43" s="822" t="n"/>
      <c r="BD43" s="803" t="n"/>
      <c r="BE43" s="824" t="n"/>
      <c r="BF43" s="828" t="n"/>
      <c r="BG43" s="821" t="n"/>
      <c r="BH43" s="822" t="n"/>
      <c r="BI43" s="803" t="n"/>
      <c r="BJ43" s="824" t="n"/>
      <c r="BK43" s="828" t="n"/>
      <c r="BL43" s="821" t="n"/>
      <c r="BM43" s="822" t="n"/>
      <c r="BN43" s="803" t="n"/>
      <c r="BO43" s="824" t="n"/>
      <c r="BP43" s="828" t="n"/>
      <c r="BQ43" s="821" t="n"/>
      <c r="BR43" s="822" t="n"/>
      <c r="BS43" s="803" t="n"/>
      <c r="BT43" s="803" t="n"/>
      <c r="BU43" s="828" t="n"/>
      <c r="BV43" s="821" t="n"/>
      <c r="BW43" s="822" t="n"/>
      <c r="BX43" s="803" t="n"/>
      <c r="BY43" s="824" t="n"/>
      <c r="BZ43" s="828" t="n"/>
      <c r="CA43" s="821" t="n"/>
      <c r="CB43" s="822" t="n"/>
      <c r="CC43" s="803" t="n"/>
      <c r="CD43" s="824" t="n"/>
      <c r="CE43" s="828" t="n"/>
      <c r="CF43" s="821" t="n"/>
      <c r="CG43" s="822" t="n"/>
      <c r="CH43" s="803" t="n"/>
      <c r="CI43" s="824" t="n"/>
      <c r="CJ43" s="828" t="n"/>
      <c r="CK43" s="821" t="n"/>
      <c r="CL43" s="822" t="n"/>
      <c r="CM43" s="803" t="n"/>
      <c r="CN43" s="823" t="n"/>
      <c r="CO43" s="828" t="n"/>
      <c r="CP43" s="821" t="n"/>
      <c r="CQ43" s="822" t="n"/>
      <c r="CR43" s="803" t="n"/>
      <c r="CS43" s="823" t="n"/>
      <c r="CT43" s="828" t="n"/>
      <c r="CU43" s="821" t="n"/>
      <c r="CV43" s="822" t="n"/>
      <c r="CW43" s="803" t="n"/>
      <c r="CX43" s="823" t="n"/>
      <c r="CY43" s="828" t="n"/>
      <c r="CZ43" s="821" t="n"/>
      <c r="DA43" s="822" t="n"/>
      <c r="DB43" s="803" t="n"/>
      <c r="DC43" s="823" t="n"/>
      <c r="DD43" s="828" t="n"/>
      <c r="DE43" s="821" t="n"/>
      <c r="DF43" s="822" t="n"/>
      <c r="DG43" s="803" t="n"/>
      <c r="DH43" s="823" t="n"/>
      <c r="DI43" s="828" t="n"/>
      <c r="DJ43" s="821" t="n"/>
      <c r="DK43" s="822" t="n"/>
      <c r="DL43" s="803" t="n"/>
      <c r="DM43" s="823" t="n"/>
      <c r="DN43" s="828" t="n"/>
      <c r="DO43" s="821" t="n"/>
      <c r="DP43" s="822" t="n"/>
      <c r="DQ43" s="803" t="n"/>
      <c r="DR43" s="823" t="n"/>
      <c r="DS43" s="828" t="n"/>
      <c r="DT43" s="821" t="n"/>
      <c r="DU43" s="822" t="n"/>
    </row>
    <row r="44">
      <c r="B44" s="803" t="n"/>
      <c r="C44" s="828" t="n"/>
      <c r="D44" s="821" t="n"/>
      <c r="E44" s="822" t="n"/>
      <c r="F44" s="823" t="n"/>
      <c r="G44" s="824" t="n"/>
      <c r="H44" s="828" t="n"/>
      <c r="I44" s="821" t="n"/>
      <c r="J44" s="822" t="n"/>
      <c r="K44" s="823" t="n"/>
      <c r="L44" s="824" t="n"/>
      <c r="M44" s="828" t="n"/>
      <c r="N44" s="821" t="n"/>
      <c r="O44" s="822" t="n"/>
      <c r="P44" s="823" t="n"/>
      <c r="Q44" s="824" t="n"/>
      <c r="R44" s="828" t="n"/>
      <c r="S44" s="821" t="n"/>
      <c r="T44" s="822" t="n"/>
      <c r="U44" s="827" t="n"/>
      <c r="V44" s="824" t="n"/>
      <c r="W44" s="828" t="n"/>
      <c r="X44" s="821" t="n"/>
      <c r="Y44" s="822" t="n"/>
      <c r="Z44" s="823" t="n"/>
      <c r="AA44" s="824" t="n"/>
      <c r="AB44" s="828" t="n"/>
      <c r="AC44" s="821" t="n"/>
      <c r="AD44" s="822" t="n"/>
      <c r="AE44" s="803" t="n"/>
      <c r="AF44" s="824" t="n"/>
      <c r="AG44" s="828" t="n"/>
      <c r="AH44" s="821" t="n"/>
      <c r="AI44" s="822" t="n"/>
      <c r="AJ44" s="803" t="n"/>
      <c r="AK44" s="824" t="n"/>
      <c r="AL44" s="828" t="n"/>
      <c r="AM44" s="821" t="n"/>
      <c r="AN44" s="822" t="n"/>
      <c r="AO44" s="803" t="n"/>
      <c r="AP44" s="824" t="n"/>
      <c r="AQ44" s="828" t="n"/>
      <c r="AR44" s="821" t="n"/>
      <c r="AS44" s="822" t="n"/>
      <c r="AT44" s="803" t="n"/>
      <c r="AU44" s="824" t="n"/>
      <c r="AV44" s="828" t="n"/>
      <c r="AW44" s="821" t="n"/>
      <c r="AX44" s="822" t="n"/>
      <c r="AY44" s="803" t="n"/>
      <c r="AZ44" s="824" t="n"/>
      <c r="BA44" s="828" t="n"/>
      <c r="BB44" s="821" t="n"/>
      <c r="BC44" s="822" t="n"/>
      <c r="BD44" s="803" t="n"/>
      <c r="BE44" s="824" t="n"/>
      <c r="BF44" s="828" t="n"/>
      <c r="BG44" s="821" t="n"/>
      <c r="BH44" s="822" t="n"/>
      <c r="BI44" s="803" t="n"/>
      <c r="BJ44" s="824" t="n"/>
      <c r="BK44" s="828" t="n"/>
      <c r="BL44" s="821" t="n"/>
      <c r="BM44" s="822" t="n"/>
      <c r="BN44" s="803" t="n"/>
      <c r="BO44" s="824" t="n"/>
      <c r="BP44" s="828" t="n"/>
      <c r="BQ44" s="821" t="n"/>
      <c r="BR44" s="822" t="n"/>
      <c r="BS44" s="803" t="n"/>
      <c r="BT44" s="803" t="n"/>
      <c r="BU44" s="828" t="n"/>
      <c r="BV44" s="821" t="n"/>
      <c r="BW44" s="822" t="n"/>
      <c r="BX44" s="803" t="n"/>
      <c r="BY44" s="824" t="n"/>
      <c r="BZ44" s="828" t="n"/>
      <c r="CA44" s="821" t="n"/>
      <c r="CB44" s="822" t="n"/>
      <c r="CC44" s="803" t="n"/>
      <c r="CD44" s="824" t="n"/>
      <c r="CE44" s="828" t="n"/>
      <c r="CF44" s="821" t="n"/>
      <c r="CG44" s="822" t="n"/>
      <c r="CH44" s="803" t="n"/>
      <c r="CI44" s="824" t="n"/>
      <c r="CJ44" s="828" t="n"/>
      <c r="CK44" s="821" t="n"/>
      <c r="CL44" s="822" t="n"/>
      <c r="CM44" s="803" t="n"/>
      <c r="CN44" s="823" t="n"/>
      <c r="CO44" s="828" t="n"/>
      <c r="CP44" s="821" t="n"/>
      <c r="CQ44" s="822" t="n"/>
      <c r="CR44" s="803" t="n"/>
      <c r="CS44" s="823" t="n"/>
      <c r="CT44" s="828" t="n"/>
      <c r="CU44" s="821" t="n"/>
      <c r="CV44" s="822" t="n"/>
      <c r="CW44" s="803" t="n"/>
      <c r="CX44" s="823" t="n"/>
      <c r="CY44" s="828" t="n"/>
      <c r="CZ44" s="821" t="n"/>
      <c r="DA44" s="822" t="n"/>
      <c r="DB44" s="803" t="n"/>
      <c r="DC44" s="823" t="n"/>
      <c r="DD44" s="828" t="n"/>
      <c r="DE44" s="821" t="n"/>
      <c r="DF44" s="822" t="n"/>
      <c r="DG44" s="803" t="n"/>
      <c r="DH44" s="823" t="n"/>
      <c r="DI44" s="828" t="n"/>
      <c r="DJ44" s="821" t="n"/>
      <c r="DK44" s="822" t="n"/>
      <c r="DL44" s="803" t="n"/>
      <c r="DM44" s="823" t="n"/>
      <c r="DN44" s="828" t="n"/>
      <c r="DO44" s="821" t="n"/>
      <c r="DP44" s="822" t="n"/>
      <c r="DQ44" s="803" t="n"/>
      <c r="DR44" s="823" t="n"/>
      <c r="DS44" s="828" t="n"/>
      <c r="DT44" s="821" t="n"/>
      <c r="DU44" s="822" t="n"/>
    </row>
    <row r="45">
      <c r="B45" s="803" t="n"/>
      <c r="C45" s="828" t="n"/>
      <c r="D45" s="821" t="n"/>
      <c r="E45" s="822" t="n"/>
      <c r="F45" s="823" t="n"/>
      <c r="G45" s="824" t="n"/>
      <c r="H45" s="828" t="n"/>
      <c r="I45" s="821" t="n"/>
      <c r="J45" s="822" t="n"/>
      <c r="K45" s="823" t="n"/>
      <c r="L45" s="824" t="n"/>
      <c r="M45" s="828" t="n"/>
      <c r="N45" s="821" t="n"/>
      <c r="O45" s="822" t="n"/>
      <c r="P45" s="823" t="n"/>
      <c r="Q45" s="824" t="n"/>
      <c r="R45" s="828" t="n"/>
      <c r="S45" s="821" t="n"/>
      <c r="T45" s="822" t="n"/>
      <c r="U45" s="827" t="n"/>
      <c r="V45" s="824" t="n"/>
      <c r="W45" s="828" t="n"/>
      <c r="X45" s="821" t="n"/>
      <c r="Y45" s="822" t="n"/>
      <c r="Z45" s="823" t="n"/>
      <c r="AA45" s="824" t="n"/>
      <c r="AB45" s="828" t="n"/>
      <c r="AC45" s="821" t="n"/>
      <c r="AD45" s="822" t="n"/>
      <c r="AE45" s="803" t="n"/>
      <c r="AF45" s="824" t="n"/>
      <c r="AG45" s="828" t="n"/>
      <c r="AH45" s="821" t="n"/>
      <c r="AI45" s="822" t="n"/>
      <c r="AJ45" s="803" t="n"/>
      <c r="AK45" s="824" t="n"/>
      <c r="AL45" s="828" t="n"/>
      <c r="AM45" s="821" t="n"/>
      <c r="AN45" s="822" t="n"/>
      <c r="AO45" s="803" t="n"/>
      <c r="AP45" s="824" t="n"/>
      <c r="AQ45" s="828" t="n"/>
      <c r="AR45" s="821" t="n"/>
      <c r="AS45" s="822" t="n"/>
      <c r="AT45" s="803" t="n"/>
      <c r="AU45" s="824" t="n"/>
      <c r="AV45" s="828" t="n"/>
      <c r="AW45" s="821" t="n"/>
      <c r="AX45" s="822" t="n"/>
      <c r="AY45" s="803" t="n"/>
      <c r="AZ45" s="823" t="n"/>
      <c r="BA45" s="828" t="n"/>
      <c r="BB45" s="821" t="n"/>
      <c r="BC45" s="822" t="n"/>
      <c r="BD45" s="803" t="n"/>
      <c r="BE45" s="824" t="n"/>
      <c r="BF45" s="828" t="n"/>
      <c r="BG45" s="821" t="n"/>
      <c r="BH45" s="822" t="n"/>
      <c r="BI45" s="803" t="n"/>
      <c r="BJ45" s="824" t="n"/>
      <c r="BK45" s="828" t="n"/>
      <c r="BL45" s="821" t="n"/>
      <c r="BM45" s="822" t="n"/>
      <c r="BN45" s="803" t="n"/>
      <c r="BO45" s="824" t="n"/>
      <c r="BP45" s="828" t="n"/>
      <c r="BQ45" s="821" t="n"/>
      <c r="BR45" s="822" t="n"/>
      <c r="BS45" s="803" t="n"/>
      <c r="BT45" s="803" t="n"/>
      <c r="BU45" s="828" t="n"/>
      <c r="BV45" s="821" t="n"/>
      <c r="BW45" s="822" t="n"/>
      <c r="BX45" s="803" t="n"/>
      <c r="BY45" s="824" t="n"/>
      <c r="BZ45" s="828" t="n"/>
      <c r="CA45" s="821" t="n"/>
      <c r="CB45" s="822" t="n"/>
      <c r="CC45" s="803" t="n"/>
      <c r="CD45" s="824" t="n"/>
      <c r="CE45" s="828" t="n"/>
      <c r="CF45" s="821" t="n"/>
      <c r="CG45" s="822" t="n"/>
      <c r="CH45" s="803" t="n"/>
      <c r="CI45" s="824" t="n"/>
      <c r="CJ45" s="828" t="n"/>
      <c r="CK45" s="821" t="n"/>
      <c r="CL45" s="822" t="n"/>
      <c r="CM45" s="803" t="n"/>
      <c r="CN45" s="823" t="n"/>
      <c r="CO45" s="828" t="n"/>
      <c r="CP45" s="821" t="n"/>
      <c r="CQ45" s="822" t="n"/>
      <c r="CR45" s="803" t="n"/>
      <c r="CS45" s="823" t="n"/>
      <c r="CT45" s="828" t="n"/>
      <c r="CU45" s="821" t="n"/>
      <c r="CV45" s="822" t="n"/>
      <c r="CW45" s="803" t="n"/>
      <c r="CX45" s="823" t="n"/>
      <c r="CY45" s="828" t="n"/>
      <c r="CZ45" s="821" t="n"/>
      <c r="DA45" s="822" t="n"/>
      <c r="DB45" s="803" t="n"/>
      <c r="DC45" s="823" t="n"/>
      <c r="DD45" s="828" t="n"/>
      <c r="DE45" s="821" t="n"/>
      <c r="DF45" s="822" t="n"/>
      <c r="DG45" s="803" t="n"/>
      <c r="DH45" s="823" t="n"/>
      <c r="DI45" s="828" t="n"/>
      <c r="DJ45" s="821" t="n"/>
      <c r="DK45" s="822" t="n"/>
      <c r="DL45" s="803" t="n"/>
      <c r="DM45" s="823" t="n"/>
      <c r="DN45" s="828" t="n"/>
      <c r="DO45" s="821" t="n"/>
      <c r="DP45" s="822" t="n"/>
      <c r="DQ45" s="803" t="n"/>
      <c r="DR45" s="823" t="n"/>
      <c r="DS45" s="828" t="n"/>
      <c r="DT45" s="821" t="n"/>
      <c r="DU45" s="822" t="n"/>
    </row>
    <row r="46">
      <c r="B46" s="803" t="n"/>
      <c r="C46" s="828" t="n"/>
      <c r="D46" s="821" t="n"/>
      <c r="E46" s="822" t="n"/>
      <c r="F46" s="823" t="n"/>
      <c r="G46" s="824" t="n"/>
      <c r="H46" s="828" t="n"/>
      <c r="I46" s="821" t="n"/>
      <c r="J46" s="822" t="n"/>
      <c r="K46" s="823" t="n"/>
      <c r="L46" s="824" t="n"/>
      <c r="M46" s="828" t="n"/>
      <c r="N46" s="821" t="n"/>
      <c r="O46" s="822" t="n"/>
      <c r="P46" s="823" t="n"/>
      <c r="Q46" s="824" t="n"/>
      <c r="R46" s="828" t="n"/>
      <c r="S46" s="821" t="n"/>
      <c r="T46" s="822" t="n"/>
      <c r="U46" s="827" t="n"/>
      <c r="V46" s="824" t="n"/>
      <c r="W46" s="828" t="n"/>
      <c r="X46" s="821" t="n"/>
      <c r="Y46" s="822" t="n"/>
      <c r="Z46" s="823" t="n"/>
      <c r="AA46" s="824" t="n"/>
      <c r="AB46" s="828" t="n"/>
      <c r="AC46" s="821" t="n"/>
      <c r="AD46" s="822" t="n"/>
      <c r="AE46" s="803" t="n"/>
      <c r="AF46" s="824" t="n"/>
      <c r="AG46" s="828" t="n"/>
      <c r="AH46" s="821" t="n"/>
      <c r="AI46" s="822" t="n"/>
      <c r="AJ46" s="803" t="n"/>
      <c r="AK46" s="824" t="n"/>
      <c r="AL46" s="828" t="n"/>
      <c r="AM46" s="821" t="n"/>
      <c r="AN46" s="822" t="n"/>
      <c r="AO46" s="803" t="n"/>
      <c r="AP46" s="824" t="n"/>
      <c r="AQ46" s="828" t="n"/>
      <c r="AR46" s="821" t="n"/>
      <c r="AS46" s="822" t="n"/>
      <c r="AT46" s="803" t="n"/>
      <c r="AU46" s="824" t="n"/>
      <c r="AV46" s="828" t="n"/>
      <c r="AW46" s="821" t="n"/>
      <c r="AX46" s="822" t="n"/>
      <c r="AY46" s="803" t="n"/>
      <c r="AZ46" s="823" t="n"/>
      <c r="BA46" s="828" t="n"/>
      <c r="BB46" s="821" t="n"/>
      <c r="BC46" s="822" t="n"/>
      <c r="BD46" s="803" t="n"/>
      <c r="BE46" s="824" t="n"/>
      <c r="BF46" s="828" t="n"/>
      <c r="BG46" s="821" t="n"/>
      <c r="BH46" s="822" t="n"/>
      <c r="BI46" s="803" t="n"/>
      <c r="BJ46" s="824" t="n"/>
      <c r="BK46" s="828" t="n"/>
      <c r="BL46" s="821" t="n"/>
      <c r="BM46" s="822" t="n"/>
      <c r="BN46" s="803" t="n"/>
      <c r="BO46" s="824" t="n"/>
      <c r="BP46" s="828" t="n"/>
      <c r="BQ46" s="821" t="n"/>
      <c r="BR46" s="822" t="n"/>
      <c r="BS46" s="803" t="n"/>
      <c r="BT46" s="803" t="n"/>
      <c r="BU46" s="828" t="n"/>
      <c r="BV46" s="821" t="n"/>
      <c r="BW46" s="822" t="n"/>
      <c r="BX46" s="803" t="n"/>
      <c r="BY46" s="824" t="n"/>
      <c r="BZ46" s="828" t="n"/>
      <c r="CA46" s="821" t="n"/>
      <c r="CB46" s="822" t="n"/>
      <c r="CC46" s="803" t="n"/>
      <c r="CD46" s="824" t="n"/>
      <c r="CE46" s="828" t="n"/>
      <c r="CF46" s="821" t="n"/>
      <c r="CG46" s="822" t="n"/>
      <c r="CH46" s="803" t="n"/>
      <c r="CI46" s="824" t="n"/>
      <c r="CJ46" s="828" t="n"/>
      <c r="CK46" s="821" t="n"/>
      <c r="CL46" s="822" t="n"/>
      <c r="CM46" s="803" t="n"/>
      <c r="CN46" s="823" t="n"/>
      <c r="CO46" s="828" t="n"/>
      <c r="CP46" s="821" t="n"/>
      <c r="CQ46" s="822" t="n"/>
      <c r="CR46" s="803" t="n"/>
      <c r="CS46" s="823" t="n"/>
      <c r="CT46" s="828" t="n"/>
      <c r="CU46" s="821" t="n"/>
      <c r="CV46" s="822" t="n"/>
      <c r="CW46" s="803" t="n"/>
      <c r="CX46" s="823" t="n"/>
      <c r="CY46" s="828" t="n"/>
      <c r="CZ46" s="821" t="n"/>
      <c r="DA46" s="822" t="n"/>
      <c r="DB46" s="803" t="n"/>
      <c r="DC46" s="823" t="n"/>
      <c r="DD46" s="828" t="n"/>
      <c r="DE46" s="821" t="n"/>
      <c r="DF46" s="822" t="n"/>
      <c r="DG46" s="803" t="n"/>
      <c r="DH46" s="823" t="n"/>
      <c r="DI46" s="828" t="n"/>
      <c r="DJ46" s="821" t="n"/>
      <c r="DK46" s="822" t="n"/>
      <c r="DL46" s="803" t="n"/>
      <c r="DM46" s="823" t="n"/>
      <c r="DN46" s="828" t="n"/>
      <c r="DO46" s="821" t="n"/>
      <c r="DP46" s="822" t="n"/>
      <c r="DQ46" s="803" t="n"/>
      <c r="DR46" s="823" t="n"/>
      <c r="DS46" s="828" t="n"/>
      <c r="DT46" s="821" t="n"/>
      <c r="DU46" s="822" t="n"/>
    </row>
    <row r="47">
      <c r="B47" s="803" t="n"/>
      <c r="C47" s="828" t="n"/>
      <c r="D47" s="821" t="n"/>
      <c r="E47" s="822" t="n"/>
      <c r="F47" s="823" t="n"/>
      <c r="G47" s="824" t="n"/>
      <c r="H47" s="828" t="n"/>
      <c r="I47" s="821" t="n"/>
      <c r="J47" s="822" t="n"/>
      <c r="K47" s="823" t="n"/>
      <c r="L47" s="824" t="n"/>
      <c r="M47" s="828" t="n"/>
      <c r="N47" s="821" t="n"/>
      <c r="O47" s="822" t="n"/>
      <c r="P47" s="823" t="n"/>
      <c r="Q47" s="824" t="n"/>
      <c r="R47" s="828" t="n"/>
      <c r="S47" s="821" t="n"/>
      <c r="T47" s="822" t="n"/>
      <c r="U47" s="827" t="n"/>
      <c r="V47" s="824" t="n"/>
      <c r="W47" s="828" t="n"/>
      <c r="X47" s="821" t="n"/>
      <c r="Y47" s="822" t="n"/>
      <c r="Z47" s="823" t="n"/>
      <c r="AA47" s="824" t="n"/>
      <c r="AB47" s="828" t="n"/>
      <c r="AC47" s="821" t="n"/>
      <c r="AD47" s="822" t="n"/>
      <c r="AE47" s="803" t="n"/>
      <c r="AF47" s="824" t="n"/>
      <c r="AG47" s="828" t="n"/>
      <c r="AH47" s="821" t="n"/>
      <c r="AI47" s="822" t="n"/>
      <c r="AJ47" s="803" t="n"/>
      <c r="AK47" s="824" t="n"/>
      <c r="AL47" s="828" t="n"/>
      <c r="AM47" s="821" t="n"/>
      <c r="AN47" s="822" t="n"/>
      <c r="AO47" s="803" t="n"/>
      <c r="AP47" s="824" t="n"/>
      <c r="AQ47" s="828" t="n"/>
      <c r="AR47" s="821" t="n"/>
      <c r="AS47" s="822" t="n"/>
      <c r="AT47" s="803" t="n"/>
      <c r="AU47" s="824" t="n"/>
      <c r="AV47" s="828" t="n"/>
      <c r="AW47" s="821" t="n"/>
      <c r="AX47" s="822" t="n"/>
      <c r="AY47" s="803" t="n"/>
      <c r="AZ47" s="823" t="n"/>
      <c r="BA47" s="828" t="n"/>
      <c r="BB47" s="821" t="n"/>
      <c r="BC47" s="822" t="n"/>
      <c r="BD47" s="803" t="n"/>
      <c r="BE47" s="824" t="n"/>
      <c r="BF47" s="828" t="n"/>
      <c r="BG47" s="821" t="n"/>
      <c r="BH47" s="822" t="n"/>
      <c r="BI47" s="803" t="n"/>
      <c r="BJ47" s="824" t="n"/>
      <c r="BK47" s="828" t="n"/>
      <c r="BL47" s="821" t="n"/>
      <c r="BM47" s="822" t="n"/>
      <c r="BN47" s="803" t="n"/>
      <c r="BO47" s="824" t="n"/>
      <c r="BP47" s="828" t="n"/>
      <c r="BQ47" s="821" t="n"/>
      <c r="BR47" s="822" t="n"/>
      <c r="BS47" s="803" t="n"/>
      <c r="BT47" s="803" t="n"/>
      <c r="BU47" s="828" t="n"/>
      <c r="BV47" s="821" t="n"/>
      <c r="BW47" s="822" t="n"/>
      <c r="BX47" s="803" t="n"/>
      <c r="BY47" s="824" t="n"/>
      <c r="BZ47" s="828" t="n"/>
      <c r="CA47" s="821" t="n"/>
      <c r="CB47" s="822" t="n"/>
      <c r="CC47" s="803" t="n"/>
      <c r="CD47" s="824" t="n"/>
      <c r="CE47" s="828" t="n"/>
      <c r="CF47" s="821" t="n"/>
      <c r="CG47" s="822" t="n"/>
      <c r="CH47" s="803" t="n"/>
      <c r="CI47" s="824" t="n"/>
      <c r="CJ47" s="828" t="n"/>
      <c r="CK47" s="821" t="n"/>
      <c r="CL47" s="822" t="n"/>
      <c r="CM47" s="803" t="n"/>
      <c r="CN47" s="823" t="n"/>
      <c r="CO47" s="828" t="n"/>
      <c r="CP47" s="821" t="n"/>
      <c r="CQ47" s="822" t="n"/>
      <c r="CR47" s="803" t="n"/>
      <c r="CS47" s="823" t="n"/>
      <c r="CT47" s="828" t="n"/>
      <c r="CU47" s="821" t="n"/>
      <c r="CV47" s="822" t="n"/>
      <c r="CW47" s="803" t="n"/>
      <c r="CX47" s="823" t="n"/>
      <c r="CY47" s="828" t="n"/>
      <c r="CZ47" s="821" t="n"/>
      <c r="DA47" s="822" t="n"/>
      <c r="DB47" s="803" t="n"/>
      <c r="DC47" s="823" t="n"/>
      <c r="DD47" s="828" t="n"/>
      <c r="DE47" s="821" t="n"/>
      <c r="DF47" s="822" t="n"/>
      <c r="DG47" s="803" t="n"/>
      <c r="DH47" s="823" t="n"/>
      <c r="DI47" s="828" t="n"/>
      <c r="DJ47" s="821" t="n"/>
      <c r="DK47" s="822" t="n"/>
      <c r="DL47" s="803" t="n"/>
      <c r="DM47" s="823" t="n"/>
      <c r="DN47" s="828" t="n"/>
      <c r="DO47" s="821" t="n"/>
      <c r="DP47" s="822" t="n"/>
      <c r="DQ47" s="803" t="n"/>
      <c r="DR47" s="823" t="n"/>
      <c r="DS47" s="828" t="n"/>
      <c r="DT47" s="821" t="n"/>
      <c r="DU47" s="822" t="n"/>
    </row>
    <row r="48">
      <c r="B48" s="803" t="n"/>
      <c r="C48" s="828" t="n"/>
      <c r="D48" s="821" t="n"/>
      <c r="E48" s="822" t="n"/>
      <c r="F48" s="823" t="n"/>
      <c r="G48" s="824" t="n"/>
      <c r="H48" s="828" t="n"/>
      <c r="I48" s="821" t="n"/>
      <c r="J48" s="822" t="n"/>
      <c r="K48" s="823" t="n"/>
      <c r="L48" s="824" t="n"/>
      <c r="M48" s="828" t="n"/>
      <c r="N48" s="821" t="n"/>
      <c r="O48" s="822" t="n"/>
      <c r="P48" s="823" t="n"/>
      <c r="Q48" s="824" t="n"/>
      <c r="R48" s="828" t="n"/>
      <c r="S48" s="821" t="n"/>
      <c r="T48" s="822" t="n"/>
      <c r="U48" s="827" t="n"/>
      <c r="V48" s="824" t="n"/>
      <c r="W48" s="828" t="n"/>
      <c r="X48" s="821" t="n"/>
      <c r="Y48" s="822" t="n"/>
      <c r="Z48" s="823" t="n"/>
      <c r="AA48" s="824" t="n"/>
      <c r="AB48" s="828" t="n"/>
      <c r="AC48" s="821" t="n"/>
      <c r="AD48" s="822" t="n"/>
      <c r="AE48" s="803" t="n"/>
      <c r="AF48" s="824" t="n"/>
      <c r="AG48" s="828" t="n"/>
      <c r="AH48" s="821" t="n"/>
      <c r="AI48" s="822" t="n"/>
      <c r="AJ48" s="803" t="n"/>
      <c r="AK48" s="824" t="n"/>
      <c r="AL48" s="828" t="n"/>
      <c r="AM48" s="821" t="n"/>
      <c r="AN48" s="822" t="n"/>
      <c r="AO48" s="803" t="n"/>
      <c r="AP48" s="824" t="n"/>
      <c r="AQ48" s="828" t="n"/>
      <c r="AR48" s="821" t="n"/>
      <c r="AS48" s="822" t="n"/>
      <c r="AT48" s="803" t="n"/>
      <c r="AU48" s="824" t="n"/>
      <c r="AV48" s="828" t="n"/>
      <c r="AW48" s="821" t="n"/>
      <c r="AX48" s="822" t="n"/>
      <c r="AY48" s="803" t="n"/>
      <c r="AZ48" s="823" t="n"/>
      <c r="BA48" s="828" t="n"/>
      <c r="BB48" s="821" t="n"/>
      <c r="BC48" s="822" t="n"/>
      <c r="BD48" s="803" t="n"/>
      <c r="BE48" s="824" t="n"/>
      <c r="BF48" s="828" t="n"/>
      <c r="BG48" s="821" t="n"/>
      <c r="BH48" s="822" t="n"/>
      <c r="BI48" s="803" t="n"/>
      <c r="BJ48" s="824" t="n"/>
      <c r="BK48" s="828" t="n"/>
      <c r="BL48" s="821" t="n"/>
      <c r="BM48" s="822" t="n"/>
      <c r="BN48" s="803" t="n"/>
      <c r="BO48" s="824" t="n"/>
      <c r="BP48" s="828" t="n"/>
      <c r="BQ48" s="821" t="n"/>
      <c r="BR48" s="822" t="n"/>
      <c r="BS48" s="803" t="n"/>
      <c r="BT48" s="803" t="n"/>
      <c r="BU48" s="828" t="n"/>
      <c r="BV48" s="821" t="n"/>
      <c r="BW48" s="822" t="n"/>
      <c r="BX48" s="803" t="n"/>
      <c r="BY48" s="824" t="n"/>
      <c r="BZ48" s="828" t="n"/>
      <c r="CA48" s="821" t="n"/>
      <c r="CB48" s="822" t="n"/>
      <c r="CC48" s="803" t="n"/>
      <c r="CD48" s="824" t="n"/>
      <c r="CE48" s="828" t="n"/>
      <c r="CF48" s="821" t="n"/>
      <c r="CG48" s="822" t="n"/>
      <c r="CH48" s="803" t="n"/>
      <c r="CI48" s="824" t="n"/>
      <c r="CJ48" s="828" t="n"/>
      <c r="CK48" s="821" t="n"/>
      <c r="CL48" s="822" t="n"/>
      <c r="CM48" s="803" t="n"/>
      <c r="CN48" s="823" t="n"/>
      <c r="CO48" s="828" t="n"/>
      <c r="CP48" s="821" t="n"/>
      <c r="CQ48" s="822" t="n"/>
      <c r="CR48" s="803" t="n"/>
      <c r="CS48" s="823" t="n"/>
      <c r="CT48" s="828" t="n"/>
      <c r="CU48" s="821" t="n"/>
      <c r="CV48" s="822" t="n"/>
      <c r="CW48" s="803" t="n"/>
      <c r="CX48" s="823" t="n"/>
      <c r="CY48" s="828" t="n"/>
      <c r="CZ48" s="821" t="n"/>
      <c r="DA48" s="822" t="n"/>
      <c r="DB48" s="803" t="n"/>
      <c r="DC48" s="823" t="n"/>
      <c r="DD48" s="828" t="n"/>
      <c r="DE48" s="821" t="n"/>
      <c r="DF48" s="822" t="n"/>
      <c r="DG48" s="803" t="n"/>
      <c r="DH48" s="823" t="n"/>
      <c r="DI48" s="828" t="n"/>
      <c r="DJ48" s="821" t="n"/>
      <c r="DK48" s="822" t="n"/>
      <c r="DL48" s="803" t="n"/>
      <c r="DM48" s="823" t="n"/>
      <c r="DN48" s="828" t="n"/>
      <c r="DO48" s="821" t="n"/>
      <c r="DP48" s="822" t="n"/>
      <c r="DQ48" s="803" t="n"/>
      <c r="DR48" s="823" t="n"/>
      <c r="DS48" s="828" t="n"/>
      <c r="DT48" s="821" t="n"/>
      <c r="DU48" s="822" t="n"/>
    </row>
    <row r="49">
      <c r="B49" s="837" t="n"/>
      <c r="C49" s="828" t="n"/>
      <c r="D49" s="821" t="n"/>
      <c r="E49" s="822" t="n"/>
      <c r="F49" s="1000" t="n"/>
      <c r="G49" s="1000" t="n"/>
      <c r="H49" s="828" t="n"/>
      <c r="I49" s="821" t="n"/>
      <c r="J49" s="822" t="n"/>
      <c r="K49" s="1000" t="n"/>
      <c r="L49" s="1000" t="n"/>
      <c r="M49" s="828" t="n"/>
      <c r="N49" s="821" t="n"/>
      <c r="O49" s="822" t="n"/>
      <c r="P49" s="1000" t="n"/>
      <c r="Q49" s="1000" t="n"/>
      <c r="R49" s="828" t="n"/>
      <c r="S49" s="821" t="n"/>
      <c r="T49" s="822" t="n"/>
      <c r="U49" s="827" t="n"/>
      <c r="V49" s="1000" t="n"/>
      <c r="W49" s="828" t="n"/>
      <c r="X49" s="821" t="n"/>
      <c r="Y49" s="822" t="n"/>
      <c r="Z49" s="1000" t="n"/>
      <c r="AA49" s="1000" t="n"/>
      <c r="AB49" s="828" t="n"/>
      <c r="AC49" s="821" t="n"/>
      <c r="AD49" s="822" t="n"/>
      <c r="AE49" s="803" t="n"/>
      <c r="AF49" s="1000" t="n"/>
      <c r="AG49" s="828" t="n"/>
      <c r="AH49" s="821" t="n"/>
      <c r="AI49" s="822" t="n"/>
      <c r="AJ49" s="803" t="n"/>
      <c r="AK49" s="1000" t="n"/>
      <c r="AL49" s="828" t="n"/>
      <c r="AM49" s="821" t="n"/>
      <c r="AN49" s="822" t="n"/>
      <c r="AO49" s="803" t="n"/>
      <c r="AP49" s="1000" t="n"/>
      <c r="AQ49" s="828" t="n"/>
      <c r="AR49" s="821" t="n"/>
      <c r="AS49" s="822" t="n"/>
      <c r="AT49" s="803" t="n"/>
      <c r="AU49" s="1000" t="n"/>
      <c r="AV49" s="828" t="n"/>
      <c r="AW49" s="821" t="n"/>
      <c r="AX49" s="822" t="n"/>
      <c r="AY49" s="803" t="n"/>
      <c r="AZ49" s="1000" t="n"/>
      <c r="BA49" s="828" t="n"/>
      <c r="BB49" s="821" t="n"/>
      <c r="BC49" s="822" t="n"/>
      <c r="BD49" s="803" t="n"/>
      <c r="BE49" s="1000" t="n"/>
      <c r="BF49" s="828" t="n"/>
      <c r="BG49" s="821" t="n"/>
      <c r="BH49" s="822" t="n"/>
      <c r="BI49" s="803" t="n"/>
      <c r="BJ49" s="1000" t="n"/>
      <c r="BK49" s="828" t="n"/>
      <c r="BL49" s="821" t="n"/>
      <c r="BM49" s="822" t="n"/>
      <c r="BN49" s="803" t="n"/>
      <c r="BO49" s="1000" t="n"/>
      <c r="BP49" s="828" t="n"/>
      <c r="BQ49" s="821" t="n"/>
      <c r="BR49" s="822" t="n"/>
      <c r="BS49" s="803" t="n"/>
      <c r="BT49" s="803" t="n"/>
      <c r="BU49" s="828" t="n"/>
      <c r="BV49" s="821" t="n"/>
      <c r="BW49" s="822" t="n"/>
      <c r="BX49" s="803" t="n"/>
      <c r="BY49" s="824" t="n"/>
      <c r="BZ49" s="828" t="n"/>
      <c r="CA49" s="821" t="n"/>
      <c r="CB49" s="822" t="n"/>
      <c r="CC49" s="803" t="n"/>
      <c r="CD49" s="824" t="n"/>
      <c r="CE49" s="828" t="n"/>
      <c r="CF49" s="821" t="n"/>
      <c r="CG49" s="822" t="n"/>
      <c r="CH49" s="803" t="n"/>
      <c r="CI49" s="824" t="n"/>
      <c r="CJ49" s="828" t="n"/>
      <c r="CK49" s="821" t="n"/>
      <c r="CL49" s="822" t="n"/>
      <c r="CM49" s="803" t="n"/>
      <c r="CN49" s="823" t="n"/>
      <c r="CO49" s="828" t="n"/>
      <c r="CP49" s="821" t="n"/>
      <c r="CQ49" s="822" t="n"/>
      <c r="CR49" s="803" t="n"/>
      <c r="CS49" s="823" t="n"/>
      <c r="CT49" s="828" t="n"/>
      <c r="CU49" s="821" t="n"/>
      <c r="CV49" s="822" t="n"/>
      <c r="CW49" s="803" t="n"/>
      <c r="CX49" s="823" t="n"/>
      <c r="CY49" s="828" t="n"/>
      <c r="CZ49" s="821" t="n"/>
      <c r="DA49" s="822" t="n"/>
      <c r="DB49" s="803" t="n"/>
      <c r="DC49" s="823" t="n"/>
      <c r="DD49" s="828" t="n"/>
      <c r="DE49" s="821" t="n"/>
      <c r="DF49" s="822" t="n"/>
      <c r="DG49" s="803" t="n"/>
      <c r="DH49" s="823" t="n"/>
      <c r="DI49" s="828" t="n"/>
      <c r="DJ49" s="821" t="n"/>
      <c r="DK49" s="822" t="n"/>
      <c r="DL49" s="803" t="n"/>
      <c r="DM49" s="823" t="n"/>
      <c r="DN49" s="828" t="n"/>
      <c r="DO49" s="821" t="n"/>
      <c r="DP49" s="822" t="n"/>
      <c r="DQ49" s="803" t="n"/>
      <c r="DR49" s="823" t="n"/>
      <c r="DS49" s="828" t="n"/>
      <c r="DT49" s="821" t="n"/>
      <c r="DU49" s="822" t="n"/>
    </row>
    <row r="50">
      <c r="B50" s="837" t="n"/>
      <c r="C50" s="828" t="n"/>
      <c r="D50" s="821" t="n"/>
      <c r="E50" s="822" t="n"/>
      <c r="F50" s="1000" t="n"/>
      <c r="G50" s="1000" t="n"/>
      <c r="H50" s="828" t="n"/>
      <c r="I50" s="821" t="n"/>
      <c r="J50" s="822" t="n"/>
      <c r="K50" s="1000" t="n"/>
      <c r="L50" s="1000" t="n"/>
      <c r="M50" s="828" t="n"/>
      <c r="N50" s="821" t="n"/>
      <c r="O50" s="822" t="n"/>
      <c r="P50" s="1000" t="n"/>
      <c r="Q50" s="1000" t="n"/>
      <c r="R50" s="828" t="n"/>
      <c r="S50" s="821" t="n"/>
      <c r="T50" s="822" t="n"/>
      <c r="U50" s="827" t="n"/>
      <c r="V50" s="1000" t="n"/>
      <c r="W50" s="828" t="n"/>
      <c r="X50" s="821" t="n"/>
      <c r="Y50" s="822" t="n"/>
      <c r="Z50" s="1000" t="n"/>
      <c r="AA50" s="1000" t="n"/>
      <c r="AB50" s="828" t="n"/>
      <c r="AC50" s="821" t="n"/>
      <c r="AD50" s="822" t="n"/>
      <c r="AE50" s="803" t="n"/>
      <c r="AF50" s="1000" t="n"/>
      <c r="AG50" s="828" t="n"/>
      <c r="AH50" s="821" t="n"/>
      <c r="AI50" s="822" t="n"/>
      <c r="AJ50" s="803" t="n"/>
      <c r="AK50" s="1000" t="n"/>
      <c r="AL50" s="828" t="n"/>
      <c r="AM50" s="821" t="n"/>
      <c r="AN50" s="822" t="n"/>
      <c r="AO50" s="803" t="n"/>
      <c r="AP50" s="1000" t="n"/>
      <c r="AQ50" s="828" t="n"/>
      <c r="AR50" s="821" t="n"/>
      <c r="AS50" s="822" t="n"/>
      <c r="AT50" s="803" t="n"/>
      <c r="AU50" s="1000" t="n"/>
      <c r="AV50" s="828" t="n"/>
      <c r="AW50" s="821" t="n"/>
      <c r="AX50" s="822" t="n"/>
      <c r="AY50" s="803" t="n"/>
      <c r="AZ50" s="1000" t="n"/>
      <c r="BA50" s="828" t="n"/>
      <c r="BB50" s="821" t="n"/>
      <c r="BC50" s="822" t="n"/>
      <c r="BD50" s="803" t="n"/>
      <c r="BE50" s="1000" t="n"/>
      <c r="BF50" s="828" t="n"/>
      <c r="BG50" s="821" t="n"/>
      <c r="BH50" s="822" t="n"/>
      <c r="BI50" s="803" t="n"/>
      <c r="BJ50" s="1000" t="n"/>
      <c r="BK50" s="828" t="n"/>
      <c r="BL50" s="821" t="n"/>
      <c r="BM50" s="822" t="n"/>
      <c r="BN50" s="803" t="n"/>
      <c r="BO50" s="1000" t="n"/>
      <c r="BP50" s="828" t="n"/>
      <c r="BQ50" s="821" t="n"/>
      <c r="BR50" s="822" t="n"/>
      <c r="BS50" s="803" t="n"/>
      <c r="BT50" s="803" t="n"/>
      <c r="BU50" s="828" t="n"/>
      <c r="BV50" s="821" t="n"/>
      <c r="BW50" s="822" t="n"/>
      <c r="BX50" s="803" t="n"/>
      <c r="BY50" s="824" t="n"/>
      <c r="BZ50" s="828" t="n"/>
      <c r="CA50" s="821" t="n"/>
      <c r="CB50" s="822" t="n"/>
      <c r="CC50" s="803" t="n"/>
      <c r="CD50" s="824" t="n"/>
      <c r="CE50" s="828" t="n"/>
      <c r="CF50" s="821" t="n"/>
      <c r="CG50" s="822" t="n"/>
      <c r="CH50" s="803" t="n"/>
      <c r="CI50" s="824" t="n"/>
      <c r="CJ50" s="828" t="n"/>
      <c r="CK50" s="821" t="n"/>
      <c r="CL50" s="822" t="n"/>
      <c r="CM50" s="803" t="n"/>
      <c r="CN50" s="823" t="n"/>
      <c r="CO50" s="828" t="n"/>
      <c r="CP50" s="821" t="n"/>
      <c r="CQ50" s="822" t="n"/>
      <c r="CR50" s="803" t="n"/>
      <c r="CS50" s="823" t="n"/>
      <c r="CT50" s="828" t="n"/>
      <c r="CU50" s="821" t="n"/>
      <c r="CV50" s="822" t="n"/>
      <c r="CW50" s="803" t="n"/>
      <c r="CX50" s="823" t="n"/>
      <c r="CY50" s="828" t="n"/>
      <c r="CZ50" s="821" t="n"/>
      <c r="DA50" s="822" t="n"/>
      <c r="DB50" s="803" t="n"/>
      <c r="DC50" s="823" t="n"/>
      <c r="DD50" s="828" t="n"/>
      <c r="DE50" s="821" t="n"/>
      <c r="DF50" s="822" t="n"/>
      <c r="DG50" s="803" t="n"/>
      <c r="DH50" s="823" t="n"/>
      <c r="DI50" s="828" t="n"/>
      <c r="DJ50" s="821" t="n"/>
      <c r="DK50" s="822" t="n"/>
      <c r="DL50" s="803" t="n"/>
      <c r="DM50" s="823" t="n"/>
      <c r="DN50" s="828" t="n"/>
      <c r="DO50" s="821" t="n"/>
      <c r="DP50" s="822" t="n"/>
      <c r="DQ50" s="803" t="n"/>
      <c r="DR50" s="823" t="n"/>
      <c r="DS50" s="828" t="n"/>
      <c r="DT50" s="821" t="n"/>
      <c r="DU50" s="822" t="n"/>
    </row>
    <row r="51">
      <c r="B51" s="837" t="n"/>
      <c r="C51" s="828" t="n"/>
      <c r="D51" s="821" t="n"/>
      <c r="E51" s="822" t="n"/>
      <c r="F51" s="1000" t="n"/>
      <c r="G51" s="1000" t="n"/>
      <c r="H51" s="828" t="n"/>
      <c r="I51" s="821" t="n"/>
      <c r="J51" s="822" t="n"/>
      <c r="K51" s="1000" t="n"/>
      <c r="L51" s="1000" t="n"/>
      <c r="M51" s="828" t="n"/>
      <c r="N51" s="821" t="n"/>
      <c r="O51" s="822" t="n"/>
      <c r="P51" s="1000" t="n"/>
      <c r="Q51" s="1000" t="n"/>
      <c r="R51" s="828" t="n"/>
      <c r="S51" s="821" t="n"/>
      <c r="T51" s="822" t="n"/>
      <c r="U51" s="827" t="n"/>
      <c r="V51" s="1000" t="n"/>
      <c r="W51" s="828" t="n"/>
      <c r="X51" s="821" t="n"/>
      <c r="Y51" s="822" t="n"/>
      <c r="Z51" s="1000" t="n"/>
      <c r="AA51" s="1000" t="n"/>
      <c r="AB51" s="828" t="n"/>
      <c r="AC51" s="821" t="n"/>
      <c r="AD51" s="822" t="n"/>
      <c r="AE51" s="803" t="n"/>
      <c r="AF51" s="1000" t="n"/>
      <c r="AG51" s="828" t="n"/>
      <c r="AH51" s="821" t="n"/>
      <c r="AI51" s="822" t="n"/>
      <c r="AJ51" s="803" t="n"/>
      <c r="AK51" s="1000" t="n"/>
      <c r="AL51" s="828" t="n"/>
      <c r="AM51" s="821" t="n"/>
      <c r="AN51" s="822" t="n"/>
      <c r="AO51" s="803" t="n"/>
      <c r="AP51" s="1000" t="n"/>
      <c r="AQ51" s="828" t="n"/>
      <c r="AR51" s="821" t="n"/>
      <c r="AS51" s="822" t="n"/>
      <c r="AT51" s="803" t="n"/>
      <c r="AU51" s="1000" t="n"/>
      <c r="AV51" s="828" t="n"/>
      <c r="AW51" s="821" t="n"/>
      <c r="AX51" s="822" t="n"/>
      <c r="AY51" s="803" t="n"/>
      <c r="AZ51" s="1000" t="n"/>
      <c r="BA51" s="828" t="n"/>
      <c r="BB51" s="821" t="n"/>
      <c r="BC51" s="822" t="n"/>
      <c r="BD51" s="803" t="n"/>
      <c r="BE51" s="1000" t="n"/>
      <c r="BF51" s="828" t="n"/>
      <c r="BG51" s="821" t="n"/>
      <c r="BH51" s="822" t="n"/>
      <c r="BI51" s="803" t="n"/>
      <c r="BJ51" s="1000" t="n"/>
      <c r="BK51" s="828" t="n"/>
      <c r="BL51" s="821" t="n"/>
      <c r="BM51" s="822" t="n"/>
      <c r="BN51" s="803" t="n"/>
      <c r="BO51" s="1000" t="n"/>
      <c r="BP51" s="828" t="n"/>
      <c r="BQ51" s="821" t="n"/>
      <c r="BR51" s="822" t="n"/>
      <c r="BS51" s="803" t="n"/>
      <c r="BT51" s="803" t="n"/>
      <c r="BU51" s="828" t="n"/>
      <c r="BV51" s="821" t="n"/>
      <c r="BW51" s="822" t="n"/>
      <c r="BX51" s="803" t="n"/>
      <c r="BY51" s="824" t="n"/>
      <c r="BZ51" s="828" t="n"/>
      <c r="CA51" s="821" t="n"/>
      <c r="CB51" s="822" t="n"/>
      <c r="CC51" s="803" t="n"/>
      <c r="CD51" s="824" t="n"/>
      <c r="CE51" s="828" t="n"/>
      <c r="CF51" s="821" t="n"/>
      <c r="CG51" s="822" t="n"/>
      <c r="CH51" s="803" t="n"/>
      <c r="CI51" s="824" t="n"/>
      <c r="CJ51" s="828" t="n"/>
      <c r="CK51" s="821" t="n"/>
      <c r="CL51" s="822" t="n"/>
      <c r="CM51" s="803" t="n"/>
      <c r="CN51" s="823" t="n"/>
      <c r="CO51" s="828" t="n"/>
      <c r="CP51" s="821" t="n"/>
      <c r="CQ51" s="822" t="n"/>
      <c r="CR51" s="803" t="n"/>
      <c r="CS51" s="823" t="n"/>
      <c r="CT51" s="828" t="n"/>
      <c r="CU51" s="821" t="n"/>
      <c r="CV51" s="822" t="n"/>
      <c r="CW51" s="803" t="n"/>
      <c r="CX51" s="823" t="n"/>
      <c r="CY51" s="828" t="n"/>
      <c r="CZ51" s="821" t="n"/>
      <c r="DA51" s="822" t="n"/>
      <c r="DB51" s="803" t="n"/>
      <c r="DC51" s="823" t="n"/>
      <c r="DD51" s="828" t="n"/>
      <c r="DE51" s="821" t="n"/>
      <c r="DF51" s="822" t="n"/>
      <c r="DG51" s="803" t="n"/>
      <c r="DH51" s="823" t="n"/>
      <c r="DI51" s="828" t="n"/>
      <c r="DJ51" s="821" t="n"/>
      <c r="DK51" s="822" t="n"/>
      <c r="DL51" s="803" t="n"/>
      <c r="DM51" s="823" t="n"/>
      <c r="DN51" s="828" t="n"/>
      <c r="DO51" s="821" t="n"/>
      <c r="DP51" s="822" t="n"/>
      <c r="DQ51" s="803" t="n"/>
      <c r="DR51" s="823" t="n"/>
      <c r="DS51" s="828" t="n"/>
      <c r="DT51" s="821" t="n"/>
      <c r="DU51" s="822" t="n"/>
    </row>
    <row r="52">
      <c r="B52" s="837" t="n"/>
      <c r="C52" s="828" t="n"/>
      <c r="D52" s="821" t="n"/>
      <c r="E52" s="822" t="n"/>
      <c r="F52" s="1000" t="n"/>
      <c r="G52" s="1000" t="n"/>
      <c r="H52" s="828" t="n"/>
      <c r="I52" s="821" t="n"/>
      <c r="J52" s="822" t="n"/>
      <c r="K52" s="1000" t="n"/>
      <c r="L52" s="1000" t="n"/>
      <c r="M52" s="828" t="n"/>
      <c r="N52" s="821" t="n"/>
      <c r="O52" s="822" t="n"/>
      <c r="P52" s="1000" t="n"/>
      <c r="Q52" s="1000" t="n"/>
      <c r="R52" s="828" t="n"/>
      <c r="S52" s="821" t="n"/>
      <c r="T52" s="822" t="n"/>
      <c r="U52" s="827" t="n"/>
      <c r="V52" s="1000" t="n"/>
      <c r="W52" s="828" t="n"/>
      <c r="X52" s="821" t="n"/>
      <c r="Y52" s="822" t="n"/>
      <c r="Z52" s="1000" t="n"/>
      <c r="AA52" s="1000" t="n"/>
      <c r="AB52" s="828" t="n"/>
      <c r="AC52" s="821" t="n"/>
      <c r="AD52" s="822" t="n"/>
      <c r="AE52" s="803" t="n"/>
      <c r="AF52" s="1000" t="n"/>
      <c r="AG52" s="828" t="n"/>
      <c r="AH52" s="821" t="n"/>
      <c r="AI52" s="822" t="n"/>
      <c r="AJ52" s="803" t="n"/>
      <c r="AK52" s="1000" t="n"/>
      <c r="AL52" s="828" t="n"/>
      <c r="AM52" s="821" t="n"/>
      <c r="AN52" s="822" t="n"/>
      <c r="AO52" s="803" t="n"/>
      <c r="AP52" s="1000" t="n"/>
      <c r="AQ52" s="828" t="n"/>
      <c r="AR52" s="821" t="n"/>
      <c r="AS52" s="822" t="n"/>
      <c r="AT52" s="803" t="n"/>
      <c r="AU52" s="1000" t="n"/>
      <c r="AV52" s="828" t="n"/>
      <c r="AW52" s="821" t="n"/>
      <c r="AX52" s="822" t="n"/>
      <c r="AY52" s="803" t="n"/>
      <c r="AZ52" s="1000" t="n"/>
      <c r="BA52" s="828" t="n"/>
      <c r="BB52" s="821" t="n"/>
      <c r="BC52" s="822" t="n"/>
      <c r="BD52" s="803" t="n"/>
      <c r="BE52" s="1000" t="n"/>
      <c r="BF52" s="828" t="n"/>
      <c r="BG52" s="821" t="n"/>
      <c r="BH52" s="822" t="n"/>
      <c r="BI52" s="803" t="n"/>
      <c r="BJ52" s="1000" t="n"/>
      <c r="BK52" s="828" t="n"/>
      <c r="BL52" s="821" t="n"/>
      <c r="BM52" s="822" t="n"/>
      <c r="BN52" s="803" t="n"/>
      <c r="BO52" s="1000" t="n"/>
      <c r="BP52" s="828" t="n"/>
      <c r="BQ52" s="821" t="n"/>
      <c r="BR52" s="822" t="n"/>
      <c r="BS52" s="803" t="n"/>
      <c r="BT52" s="803" t="n"/>
      <c r="BU52" s="828" t="n"/>
      <c r="BV52" s="821" t="n"/>
      <c r="BW52" s="822" t="n"/>
      <c r="BX52" s="803" t="n"/>
      <c r="BY52" s="824" t="n"/>
      <c r="BZ52" s="828" t="n"/>
      <c r="CA52" s="821" t="n"/>
      <c r="CB52" s="822" t="n"/>
      <c r="CC52" s="803" t="n"/>
      <c r="CD52" s="824" t="n"/>
      <c r="CE52" s="828" t="n"/>
      <c r="CF52" s="821" t="n"/>
      <c r="CG52" s="822" t="n"/>
      <c r="CH52" s="803" t="n"/>
      <c r="CI52" s="824" t="n"/>
      <c r="CJ52" s="828" t="n"/>
      <c r="CK52" s="821" t="n"/>
      <c r="CL52" s="822" t="n"/>
      <c r="CM52" s="803" t="n"/>
      <c r="CN52" s="823" t="n"/>
      <c r="CO52" s="828" t="n"/>
      <c r="CP52" s="821" t="n"/>
      <c r="CQ52" s="822" t="n"/>
      <c r="CR52" s="803" t="n"/>
      <c r="CS52" s="823" t="n"/>
      <c r="CT52" s="828" t="n"/>
      <c r="CU52" s="821" t="n"/>
      <c r="CV52" s="822" t="n"/>
      <c r="CW52" s="803" t="n"/>
      <c r="CX52" s="823" t="n"/>
      <c r="CY52" s="828" t="n"/>
      <c r="CZ52" s="821" t="n"/>
      <c r="DA52" s="822" t="n"/>
      <c r="DB52" s="803" t="n"/>
      <c r="DC52" s="823" t="n"/>
      <c r="DD52" s="828" t="n"/>
      <c r="DE52" s="821" t="n"/>
      <c r="DF52" s="822" t="n"/>
      <c r="DG52" s="803" t="n"/>
      <c r="DH52" s="823" t="n"/>
      <c r="DI52" s="828" t="n"/>
      <c r="DJ52" s="821" t="n"/>
      <c r="DK52" s="822" t="n"/>
      <c r="DL52" s="803" t="n"/>
      <c r="DM52" s="823" t="n"/>
      <c r="DN52" s="828" t="n"/>
      <c r="DO52" s="821" t="n"/>
      <c r="DP52" s="822" t="n"/>
      <c r="DQ52" s="803" t="n"/>
      <c r="DR52" s="823" t="n"/>
      <c r="DS52" s="828" t="n"/>
      <c r="DT52" s="821" t="n"/>
      <c r="DU52" s="822" t="n"/>
    </row>
    <row r="53">
      <c r="B53" s="837" t="n"/>
      <c r="C53" s="828" t="n"/>
      <c r="D53" s="821" t="n"/>
      <c r="E53" s="822" t="n"/>
      <c r="F53" s="1000" t="n"/>
      <c r="G53" s="1000" t="n"/>
      <c r="H53" s="828" t="n"/>
      <c r="I53" s="821" t="n"/>
      <c r="J53" s="822" t="n"/>
      <c r="K53" s="1000" t="n"/>
      <c r="L53" s="1000" t="n"/>
      <c r="M53" s="828" t="n"/>
      <c r="N53" s="821" t="n"/>
      <c r="O53" s="822" t="n"/>
      <c r="P53" s="1000" t="n"/>
      <c r="Q53" s="1000" t="n"/>
      <c r="R53" s="828" t="n"/>
      <c r="S53" s="821" t="n"/>
      <c r="T53" s="822" t="n"/>
      <c r="U53" s="827" t="n"/>
      <c r="V53" s="1000" t="n"/>
      <c r="W53" s="828" t="n"/>
      <c r="X53" s="821" t="n"/>
      <c r="Y53" s="822" t="n"/>
      <c r="Z53" s="1000" t="n"/>
      <c r="AA53" s="1000" t="n"/>
      <c r="AB53" s="828" t="n"/>
      <c r="AC53" s="821" t="n"/>
      <c r="AD53" s="822" t="n"/>
      <c r="AE53" s="803" t="n"/>
      <c r="AF53" s="1000" t="n"/>
      <c r="AG53" s="828" t="n"/>
      <c r="AH53" s="821" t="n"/>
      <c r="AI53" s="822" t="n"/>
      <c r="AJ53" s="803" t="n"/>
      <c r="AK53" s="1000" t="n"/>
      <c r="AL53" s="828" t="n"/>
      <c r="AM53" s="821" t="n"/>
      <c r="AN53" s="822" t="n"/>
      <c r="AO53" s="803" t="n"/>
      <c r="AP53" s="1000" t="n"/>
      <c r="AQ53" s="828" t="n"/>
      <c r="AR53" s="821" t="n"/>
      <c r="AS53" s="822" t="n"/>
      <c r="AT53" s="803" t="n"/>
      <c r="AU53" s="1000" t="n"/>
      <c r="AV53" s="828" t="n"/>
      <c r="AW53" s="821" t="n"/>
      <c r="AX53" s="822" t="n"/>
      <c r="AY53" s="803" t="n"/>
      <c r="AZ53" s="1000" t="n"/>
      <c r="BA53" s="828" t="n"/>
      <c r="BB53" s="821" t="n"/>
      <c r="BC53" s="822" t="n"/>
      <c r="BD53" s="803" t="n"/>
      <c r="BE53" s="1000" t="n"/>
      <c r="BF53" s="828" t="n"/>
      <c r="BG53" s="821" t="n"/>
      <c r="BH53" s="822" t="n"/>
      <c r="BI53" s="803" t="n"/>
      <c r="BJ53" s="1000" t="n"/>
      <c r="BK53" s="828" t="n"/>
      <c r="BL53" s="821" t="n"/>
      <c r="BM53" s="822" t="n"/>
      <c r="BN53" s="803" t="n"/>
      <c r="BO53" s="1000" t="n"/>
      <c r="BP53" s="828" t="n"/>
      <c r="BQ53" s="821" t="n"/>
      <c r="BR53" s="822" t="n"/>
      <c r="BS53" s="803" t="n"/>
      <c r="BT53" s="803" t="n"/>
      <c r="BU53" s="828" t="n"/>
      <c r="BV53" s="821" t="n"/>
      <c r="BW53" s="822" t="n"/>
      <c r="BX53" s="803" t="n"/>
      <c r="BY53" s="824" t="n"/>
      <c r="BZ53" s="828" t="n"/>
      <c r="CA53" s="821" t="n"/>
      <c r="CB53" s="822" t="n"/>
      <c r="CC53" s="803" t="n"/>
      <c r="CD53" s="824" t="n"/>
      <c r="CE53" s="828" t="n"/>
      <c r="CF53" s="821" t="n"/>
      <c r="CG53" s="822" t="n"/>
      <c r="CH53" s="803" t="n"/>
      <c r="CI53" s="824" t="n"/>
      <c r="CJ53" s="828" t="n"/>
      <c r="CK53" s="821" t="n"/>
      <c r="CL53" s="822" t="n"/>
      <c r="CM53" s="803" t="n"/>
      <c r="CN53" s="823" t="n"/>
      <c r="CO53" s="828" t="n"/>
      <c r="CP53" s="821" t="n"/>
      <c r="CQ53" s="822" t="n"/>
      <c r="CR53" s="803" t="n"/>
      <c r="CS53" s="823" t="n"/>
      <c r="CT53" s="828" t="n"/>
      <c r="CU53" s="821" t="n"/>
      <c r="CV53" s="822" t="n"/>
      <c r="CW53" s="803" t="n"/>
      <c r="CX53" s="823" t="n"/>
      <c r="CY53" s="828" t="n"/>
      <c r="CZ53" s="821" t="n"/>
      <c r="DA53" s="822" t="n"/>
      <c r="DB53" s="803" t="n"/>
      <c r="DC53" s="823" t="n"/>
      <c r="DD53" s="828" t="n"/>
      <c r="DE53" s="821" t="n"/>
      <c r="DF53" s="822" t="n"/>
      <c r="DG53" s="803" t="n"/>
      <c r="DH53" s="823" t="n"/>
      <c r="DI53" s="828" t="n"/>
      <c r="DJ53" s="821" t="n"/>
      <c r="DK53" s="822" t="n"/>
      <c r="DL53" s="803" t="n"/>
      <c r="DM53" s="823" t="n"/>
      <c r="DN53" s="828" t="n"/>
      <c r="DO53" s="821" t="n"/>
      <c r="DP53" s="822" t="n"/>
      <c r="DQ53" s="803" t="n"/>
      <c r="DR53" s="823" t="n"/>
      <c r="DS53" s="828" t="n"/>
      <c r="DT53" s="821" t="n"/>
      <c r="DU53" s="822" t="n"/>
    </row>
    <row r="54">
      <c r="B54" s="837" t="n"/>
      <c r="C54" s="828" t="n"/>
      <c r="D54" s="821" t="n"/>
      <c r="E54" s="822" t="n"/>
      <c r="F54" s="1000" t="n"/>
      <c r="G54" s="1000" t="n"/>
      <c r="H54" s="828" t="n"/>
      <c r="I54" s="821" t="n"/>
      <c r="J54" s="822" t="n"/>
      <c r="K54" s="1000" t="n"/>
      <c r="L54" s="1000" t="n"/>
      <c r="M54" s="828" t="n"/>
      <c r="N54" s="821" t="n"/>
      <c r="O54" s="822" t="n"/>
      <c r="P54" s="1000" t="n"/>
      <c r="Q54" s="1000" t="n"/>
      <c r="R54" s="828" t="n"/>
      <c r="S54" s="821" t="n"/>
      <c r="T54" s="822" t="n"/>
      <c r="U54" s="827" t="n"/>
      <c r="V54" s="1000" t="n"/>
      <c r="W54" s="828" t="n"/>
      <c r="X54" s="821" t="n"/>
      <c r="Y54" s="822" t="n"/>
      <c r="Z54" s="1000" t="n"/>
      <c r="AA54" s="1000" t="n"/>
      <c r="AB54" s="828" t="n"/>
      <c r="AC54" s="821" t="n"/>
      <c r="AD54" s="822" t="n"/>
      <c r="AE54" s="803" t="n"/>
      <c r="AF54" s="1000" t="n"/>
      <c r="AG54" s="828" t="n"/>
      <c r="AH54" s="821" t="n"/>
      <c r="AI54" s="822" t="n"/>
      <c r="AJ54" s="803" t="n"/>
      <c r="AK54" s="1000" t="n"/>
      <c r="AL54" s="828" t="n"/>
      <c r="AM54" s="821" t="n"/>
      <c r="AN54" s="822" t="n"/>
      <c r="AO54" s="803" t="n"/>
      <c r="AP54" s="1000" t="n"/>
      <c r="AQ54" s="828" t="n"/>
      <c r="AR54" s="821" t="n"/>
      <c r="AS54" s="822" t="n"/>
      <c r="AT54" s="803" t="n"/>
      <c r="AU54" s="1000" t="n"/>
      <c r="AV54" s="828" t="n"/>
      <c r="AW54" s="821" t="n"/>
      <c r="AX54" s="822" t="n"/>
      <c r="AY54" s="803" t="n"/>
      <c r="AZ54" s="1000" t="n"/>
      <c r="BA54" s="828" t="n"/>
      <c r="BB54" s="821" t="n"/>
      <c r="BC54" s="822" t="n"/>
      <c r="BD54" s="803" t="n"/>
      <c r="BE54" s="1000" t="n"/>
      <c r="BF54" s="828" t="n"/>
      <c r="BG54" s="821" t="n"/>
      <c r="BH54" s="822" t="n"/>
      <c r="BI54" s="803" t="n"/>
      <c r="BJ54" s="1000" t="n"/>
      <c r="BK54" s="828" t="n"/>
      <c r="BL54" s="821" t="n"/>
      <c r="BM54" s="822" t="n"/>
      <c r="BN54" s="803" t="n"/>
      <c r="BO54" s="1000" t="n"/>
      <c r="BP54" s="828" t="n"/>
      <c r="BQ54" s="821" t="n"/>
      <c r="BR54" s="822" t="n"/>
      <c r="BS54" s="803" t="n"/>
      <c r="BT54" s="803" t="n"/>
      <c r="BU54" s="828" t="n"/>
      <c r="BV54" s="821" t="n"/>
      <c r="BW54" s="822" t="n"/>
      <c r="BX54" s="803" t="n"/>
      <c r="BY54" s="824" t="n"/>
      <c r="BZ54" s="828" t="n"/>
      <c r="CA54" s="821" t="n"/>
      <c r="CB54" s="822" t="n"/>
      <c r="CC54" s="803" t="n"/>
      <c r="CD54" s="824" t="n"/>
      <c r="CE54" s="828" t="n"/>
      <c r="CF54" s="821" t="n"/>
      <c r="CG54" s="822" t="n"/>
      <c r="CH54" s="803" t="n"/>
      <c r="CI54" s="824" t="n"/>
      <c r="CJ54" s="828" t="n"/>
      <c r="CK54" s="821" t="n"/>
      <c r="CL54" s="822" t="n"/>
      <c r="CM54" s="803" t="n"/>
      <c r="CN54" s="823" t="n"/>
      <c r="CO54" s="828" t="n"/>
      <c r="CP54" s="821" t="n"/>
      <c r="CQ54" s="822" t="n"/>
      <c r="CR54" s="803" t="n"/>
      <c r="CS54" s="823" t="n"/>
      <c r="CT54" s="828" t="n"/>
      <c r="CU54" s="821" t="n"/>
      <c r="CV54" s="822" t="n"/>
      <c r="CW54" s="803" t="n"/>
      <c r="CX54" s="823" t="n"/>
      <c r="CY54" s="828" t="n"/>
      <c r="CZ54" s="821" t="n"/>
      <c r="DA54" s="822" t="n"/>
      <c r="DB54" s="803" t="n"/>
      <c r="DC54" s="823" t="n"/>
      <c r="DD54" s="828" t="n"/>
      <c r="DE54" s="821" t="n"/>
      <c r="DF54" s="822" t="n"/>
      <c r="DG54" s="803" t="n"/>
      <c r="DH54" s="823" t="n"/>
      <c r="DI54" s="828" t="n"/>
      <c r="DJ54" s="821" t="n"/>
      <c r="DK54" s="822" t="n"/>
      <c r="DL54" s="803" t="n"/>
      <c r="DM54" s="823" t="n"/>
      <c r="DN54" s="828" t="n"/>
      <c r="DO54" s="821" t="n"/>
      <c r="DP54" s="822" t="n"/>
      <c r="DQ54" s="803" t="n"/>
      <c r="DR54" s="823" t="n"/>
      <c r="DS54" s="828" t="n"/>
      <c r="DT54" s="821" t="n"/>
      <c r="DU54" s="822" t="n"/>
    </row>
    <row r="55">
      <c r="B55" s="837" t="n"/>
      <c r="C55" s="828" t="n"/>
      <c r="D55" s="821" t="n"/>
      <c r="E55" s="822" t="n"/>
      <c r="F55" s="1000" t="n"/>
      <c r="G55" s="1000" t="n"/>
      <c r="H55" s="828" t="n"/>
      <c r="I55" s="821" t="n"/>
      <c r="J55" s="822" t="n"/>
      <c r="K55" s="1000" t="n"/>
      <c r="L55" s="1000" t="n"/>
      <c r="M55" s="828" t="n"/>
      <c r="N55" s="821" t="n"/>
      <c r="O55" s="822" t="n"/>
      <c r="P55" s="1000" t="n"/>
      <c r="Q55" s="1000" t="n"/>
      <c r="R55" s="828" t="n"/>
      <c r="S55" s="821" t="n"/>
      <c r="T55" s="822" t="n"/>
      <c r="U55" s="827" t="n"/>
      <c r="V55" s="1000" t="n"/>
      <c r="W55" s="828" t="n"/>
      <c r="X55" s="821" t="n"/>
      <c r="Y55" s="822" t="n"/>
      <c r="Z55" s="1000" t="n"/>
      <c r="AA55" s="1000" t="n"/>
      <c r="AB55" s="828" t="n"/>
      <c r="AC55" s="821" t="n"/>
      <c r="AD55" s="822" t="n"/>
      <c r="AE55" s="803" t="n"/>
      <c r="AF55" s="1000" t="n"/>
      <c r="AG55" s="828" t="n"/>
      <c r="AH55" s="821" t="n"/>
      <c r="AI55" s="822" t="n"/>
      <c r="AJ55" s="803" t="n"/>
      <c r="AK55" s="1000" t="n"/>
      <c r="AL55" s="828" t="n"/>
      <c r="AM55" s="821" t="n"/>
      <c r="AN55" s="822" t="n"/>
      <c r="AO55" s="803" t="n"/>
      <c r="AP55" s="1000" t="n"/>
      <c r="AQ55" s="828" t="n"/>
      <c r="AR55" s="821" t="n"/>
      <c r="AS55" s="822" t="n"/>
      <c r="AT55" s="803" t="n"/>
      <c r="AU55" s="1000" t="n"/>
      <c r="AV55" s="828" t="n"/>
      <c r="AW55" s="821" t="n"/>
      <c r="AX55" s="822" t="n"/>
      <c r="AY55" s="803" t="n"/>
      <c r="AZ55" s="1000" t="n"/>
      <c r="BA55" s="828" t="n"/>
      <c r="BB55" s="821" t="n"/>
      <c r="BC55" s="822" t="n"/>
      <c r="BD55" s="803" t="n"/>
      <c r="BE55" s="1000" t="n"/>
      <c r="BF55" s="828" t="n"/>
      <c r="BG55" s="821" t="n"/>
      <c r="BH55" s="822" t="n"/>
      <c r="BI55" s="803" t="n"/>
      <c r="BJ55" s="1000" t="n"/>
      <c r="BK55" s="828" t="n"/>
      <c r="BL55" s="821" t="n"/>
      <c r="BM55" s="822" t="n"/>
      <c r="BN55" s="803" t="n"/>
      <c r="BO55" s="1000" t="n"/>
      <c r="BP55" s="828" t="n"/>
      <c r="BQ55" s="821" t="n"/>
      <c r="BR55" s="822" t="n"/>
      <c r="BS55" s="803" t="n"/>
      <c r="BT55" s="803" t="n"/>
      <c r="BU55" s="828" t="n"/>
      <c r="BV55" s="821" t="n"/>
      <c r="BW55" s="822" t="n"/>
      <c r="BX55" s="803" t="n"/>
      <c r="BY55" s="824" t="n"/>
      <c r="BZ55" s="828" t="n"/>
      <c r="CA55" s="821" t="n"/>
      <c r="CB55" s="822" t="n"/>
      <c r="CC55" s="803" t="n"/>
      <c r="CD55" s="824" t="n"/>
      <c r="CE55" s="828" t="n"/>
      <c r="CF55" s="821" t="n"/>
      <c r="CG55" s="822" t="n"/>
      <c r="CH55" s="803" t="n"/>
      <c r="CI55" s="824" t="n"/>
      <c r="CJ55" s="828" t="n"/>
      <c r="CK55" s="821" t="n"/>
      <c r="CL55" s="822" t="n"/>
      <c r="CM55" s="803" t="n"/>
      <c r="CN55" s="823" t="n"/>
      <c r="CO55" s="828" t="n"/>
      <c r="CP55" s="821" t="n"/>
      <c r="CQ55" s="822" t="n"/>
      <c r="CR55" s="803" t="n"/>
      <c r="CS55" s="823" t="n"/>
      <c r="CT55" s="828" t="n"/>
      <c r="CU55" s="821" t="n"/>
      <c r="CV55" s="822" t="n"/>
      <c r="CW55" s="803" t="n"/>
      <c r="CX55" s="823" t="n"/>
      <c r="CY55" s="828" t="n"/>
      <c r="CZ55" s="821" t="n"/>
      <c r="DA55" s="822" t="n"/>
      <c r="DB55" s="803" t="n"/>
      <c r="DC55" s="823" t="n"/>
      <c r="DD55" s="828" t="n"/>
      <c r="DE55" s="821" t="n"/>
      <c r="DF55" s="822" t="n"/>
      <c r="DG55" s="803" t="n"/>
      <c r="DH55" s="823" t="n"/>
      <c r="DI55" s="828" t="n"/>
      <c r="DJ55" s="821" t="n"/>
      <c r="DK55" s="822" t="n"/>
      <c r="DL55" s="803" t="n"/>
      <c r="DM55" s="823" t="n"/>
      <c r="DN55" s="828" t="n"/>
      <c r="DO55" s="821" t="n"/>
      <c r="DP55" s="822" t="n"/>
      <c r="DQ55" s="803" t="n"/>
      <c r="DR55" s="823" t="n"/>
      <c r="DS55" s="828" t="n"/>
      <c r="DT55" s="821" t="n"/>
      <c r="DU55" s="822" t="n"/>
    </row>
    <row r="56">
      <c r="B56" s="837" t="n"/>
      <c r="C56" s="828" t="n"/>
      <c r="D56" s="821" t="n"/>
      <c r="E56" s="822" t="n"/>
      <c r="F56" s="1000" t="n"/>
      <c r="G56" s="1000" t="n"/>
      <c r="H56" s="828" t="n"/>
      <c r="I56" s="821" t="n"/>
      <c r="J56" s="822" t="n"/>
      <c r="K56" s="1000" t="n"/>
      <c r="L56" s="1000" t="n"/>
      <c r="M56" s="828" t="n"/>
      <c r="N56" s="821" t="n"/>
      <c r="O56" s="822" t="n"/>
      <c r="P56" s="1000" t="n"/>
      <c r="Q56" s="1000" t="n"/>
      <c r="R56" s="828" t="n"/>
      <c r="S56" s="821" t="n"/>
      <c r="T56" s="822" t="n"/>
      <c r="U56" s="827" t="n"/>
      <c r="V56" s="1000" t="n"/>
      <c r="W56" s="828" t="n"/>
      <c r="X56" s="821" t="n"/>
      <c r="Y56" s="822" t="n"/>
      <c r="Z56" s="1000" t="n"/>
      <c r="AA56" s="1000" t="n"/>
      <c r="AB56" s="828" t="n"/>
      <c r="AC56" s="821" t="n"/>
      <c r="AD56" s="822" t="n"/>
      <c r="AE56" s="803" t="n"/>
      <c r="AF56" s="1000" t="n"/>
      <c r="AG56" s="828" t="n"/>
      <c r="AH56" s="821" t="n"/>
      <c r="AI56" s="822" t="n"/>
      <c r="AJ56" s="803" t="n"/>
      <c r="AK56" s="1000" t="n"/>
      <c r="AL56" s="828" t="n"/>
      <c r="AM56" s="821" t="n"/>
      <c r="AN56" s="822" t="n"/>
      <c r="AO56" s="803" t="n"/>
      <c r="AP56" s="1000" t="n"/>
      <c r="AQ56" s="828" t="n"/>
      <c r="AR56" s="821" t="n"/>
      <c r="AS56" s="822" t="n"/>
      <c r="AT56" s="803" t="n"/>
      <c r="AU56" s="1000" t="n"/>
      <c r="AV56" s="828" t="n"/>
      <c r="AW56" s="821" t="n"/>
      <c r="AX56" s="822" t="n"/>
      <c r="AY56" s="803" t="n"/>
      <c r="AZ56" s="1000" t="n"/>
      <c r="BA56" s="828" t="n"/>
      <c r="BB56" s="821" t="n"/>
      <c r="BC56" s="822" t="n"/>
      <c r="BD56" s="803" t="n"/>
      <c r="BE56" s="1000" t="n"/>
      <c r="BF56" s="828" t="n"/>
      <c r="BG56" s="821" t="n"/>
      <c r="BH56" s="822" t="n"/>
      <c r="BI56" s="803" t="n"/>
      <c r="BJ56" s="1000" t="n"/>
      <c r="BK56" s="828" t="n"/>
      <c r="BL56" s="821" t="n"/>
      <c r="BM56" s="822" t="n"/>
      <c r="BN56" s="803" t="n"/>
      <c r="BO56" s="1000" t="n"/>
      <c r="BP56" s="828" t="n"/>
      <c r="BQ56" s="821" t="n"/>
      <c r="BR56" s="822" t="n"/>
      <c r="BS56" s="803" t="n"/>
      <c r="BT56" s="803" t="n"/>
      <c r="BU56" s="828" t="n"/>
      <c r="BV56" s="821" t="n"/>
      <c r="BW56" s="822" t="n"/>
      <c r="BX56" s="803" t="n"/>
      <c r="BY56" s="824" t="n"/>
      <c r="BZ56" s="828" t="n"/>
      <c r="CA56" s="821" t="n"/>
      <c r="CB56" s="822" t="n"/>
      <c r="CC56" s="803" t="n"/>
      <c r="CD56" s="824" t="n"/>
      <c r="CE56" s="828" t="n"/>
      <c r="CF56" s="821" t="n"/>
      <c r="CG56" s="822" t="n"/>
      <c r="CH56" s="803" t="n"/>
      <c r="CI56" s="824" t="n"/>
      <c r="CJ56" s="828" t="n"/>
      <c r="CK56" s="821" t="n"/>
      <c r="CL56" s="822" t="n"/>
      <c r="CM56" s="803" t="n"/>
      <c r="CN56" s="823" t="n"/>
      <c r="CO56" s="828" t="n"/>
      <c r="CP56" s="821" t="n"/>
      <c r="CQ56" s="822" t="n"/>
      <c r="CR56" s="803" t="n"/>
      <c r="CS56" s="823" t="n"/>
      <c r="CT56" s="828" t="n"/>
      <c r="CU56" s="821" t="n"/>
      <c r="CV56" s="822" t="n"/>
      <c r="CW56" s="803" t="n"/>
      <c r="CX56" s="823" t="n"/>
      <c r="CY56" s="828" t="n"/>
      <c r="CZ56" s="821" t="n"/>
      <c r="DA56" s="822" t="n"/>
      <c r="DB56" s="803" t="n"/>
      <c r="DC56" s="823" t="n"/>
      <c r="DD56" s="828" t="n"/>
      <c r="DE56" s="821" t="n"/>
      <c r="DF56" s="822" t="n"/>
      <c r="DG56" s="803" t="n"/>
      <c r="DH56" s="823" t="n"/>
      <c r="DI56" s="828" t="n"/>
      <c r="DJ56" s="821" t="n"/>
      <c r="DK56" s="822" t="n"/>
      <c r="DL56" s="803" t="n"/>
      <c r="DM56" s="823" t="n"/>
      <c r="DN56" s="828" t="n"/>
      <c r="DO56" s="821" t="n"/>
      <c r="DP56" s="822" t="n"/>
      <c r="DQ56" s="803" t="n"/>
      <c r="DR56" s="823" t="n"/>
      <c r="DS56" s="828" t="n"/>
      <c r="DT56" s="821" t="n"/>
      <c r="DU56" s="822" t="n"/>
    </row>
    <row r="57">
      <c r="B57" s="837" t="n"/>
      <c r="C57" s="828" t="n"/>
      <c r="D57" s="821" t="n"/>
      <c r="E57" s="822" t="n"/>
      <c r="F57" s="1000" t="n"/>
      <c r="G57" s="1000" t="n"/>
      <c r="H57" s="828" t="n"/>
      <c r="I57" s="821" t="n"/>
      <c r="J57" s="822" t="n"/>
      <c r="K57" s="1000" t="n"/>
      <c r="L57" s="1000" t="n"/>
      <c r="M57" s="828" t="n"/>
      <c r="N57" s="821" t="n"/>
      <c r="O57" s="822" t="n"/>
      <c r="P57" s="1000" t="n"/>
      <c r="Q57" s="1000" t="n"/>
      <c r="R57" s="828" t="n"/>
      <c r="S57" s="821" t="n"/>
      <c r="T57" s="822" t="n"/>
      <c r="U57" s="827" t="n"/>
      <c r="V57" s="1000" t="n"/>
      <c r="W57" s="828" t="n"/>
      <c r="X57" s="821" t="n"/>
      <c r="Y57" s="822" t="n"/>
      <c r="Z57" s="1000" t="n"/>
      <c r="AA57" s="1000" t="n"/>
      <c r="AB57" s="828" t="n"/>
      <c r="AC57" s="821" t="n"/>
      <c r="AD57" s="822" t="n"/>
      <c r="AE57" s="803" t="n"/>
      <c r="AF57" s="1000" t="n"/>
      <c r="AG57" s="828" t="n"/>
      <c r="AH57" s="821" t="n"/>
      <c r="AI57" s="822" t="n"/>
      <c r="AJ57" s="803" t="n"/>
      <c r="AK57" s="1000" t="n"/>
      <c r="AL57" s="828" t="n"/>
      <c r="AM57" s="821" t="n"/>
      <c r="AN57" s="822" t="n"/>
      <c r="AO57" s="803" t="n"/>
      <c r="AP57" s="1000" t="n"/>
      <c r="AQ57" s="828" t="n"/>
      <c r="AR57" s="821" t="n"/>
      <c r="AS57" s="822" t="n"/>
      <c r="AT57" s="803" t="n"/>
      <c r="AU57" s="1000" t="n"/>
      <c r="AV57" s="828" t="n"/>
      <c r="AW57" s="821" t="n"/>
      <c r="AX57" s="822" t="n"/>
      <c r="AY57" s="803" t="n"/>
      <c r="AZ57" s="1000" t="n"/>
      <c r="BA57" s="828" t="n"/>
      <c r="BB57" s="821" t="n"/>
      <c r="BC57" s="822" t="n"/>
      <c r="BD57" s="803" t="n"/>
      <c r="BE57" s="1000" t="n"/>
      <c r="BF57" s="828" t="n"/>
      <c r="BG57" s="821" t="n"/>
      <c r="BH57" s="822" t="n"/>
      <c r="BI57" s="803" t="n"/>
      <c r="BJ57" s="1000" t="n"/>
      <c r="BK57" s="828" t="n"/>
      <c r="BL57" s="821" t="n"/>
      <c r="BM57" s="822" t="n"/>
      <c r="BN57" s="803" t="n"/>
      <c r="BO57" s="1000" t="n"/>
      <c r="BP57" s="828" t="n"/>
      <c r="BQ57" s="821" t="n"/>
      <c r="BR57" s="822" t="n"/>
      <c r="BS57" s="803" t="n"/>
      <c r="BT57" s="803" t="n"/>
      <c r="BU57" s="828" t="n"/>
      <c r="BV57" s="821" t="n"/>
      <c r="BW57" s="822" t="n"/>
      <c r="BX57" s="803" t="n"/>
      <c r="BY57" s="824" t="n"/>
      <c r="BZ57" s="828" t="n"/>
      <c r="CA57" s="821" t="n"/>
      <c r="CB57" s="822" t="n"/>
      <c r="CC57" s="803" t="n"/>
      <c r="CD57" s="824" t="n"/>
      <c r="CE57" s="828" t="n"/>
      <c r="CF57" s="821" t="n"/>
      <c r="CG57" s="822" t="n"/>
      <c r="CH57" s="803" t="n"/>
      <c r="CI57" s="824" t="n"/>
      <c r="CJ57" s="828" t="n"/>
      <c r="CK57" s="821" t="n"/>
      <c r="CL57" s="822" t="n"/>
      <c r="CM57" s="803" t="n"/>
      <c r="CN57" s="823" t="n"/>
      <c r="CO57" s="828" t="n"/>
      <c r="CP57" s="821" t="n"/>
      <c r="CQ57" s="822" t="n"/>
      <c r="CR57" s="803" t="n"/>
      <c r="CS57" s="823" t="n"/>
      <c r="CT57" s="828" t="n"/>
      <c r="CU57" s="821" t="n"/>
      <c r="CV57" s="822" t="n"/>
      <c r="CW57" s="803" t="n"/>
      <c r="CX57" s="823" t="n"/>
      <c r="CY57" s="828" t="n"/>
      <c r="CZ57" s="821" t="n"/>
      <c r="DA57" s="822" t="n"/>
      <c r="DB57" s="803" t="n"/>
      <c r="DC57" s="823" t="n"/>
      <c r="DD57" s="828" t="n"/>
      <c r="DE57" s="821" t="n"/>
      <c r="DF57" s="822" t="n"/>
      <c r="DG57" s="803" t="n"/>
      <c r="DH57" s="823" t="n"/>
      <c r="DI57" s="828" t="n"/>
      <c r="DJ57" s="821" t="n"/>
      <c r="DK57" s="822" t="n"/>
      <c r="DL57" s="803" t="n"/>
      <c r="DM57" s="823" t="n"/>
      <c r="DN57" s="828" t="n"/>
      <c r="DO57" s="821" t="n"/>
      <c r="DP57" s="822" t="n"/>
      <c r="DQ57" s="803" t="n"/>
      <c r="DR57" s="823" t="n"/>
      <c r="DS57" s="828" t="n"/>
      <c r="DT57" s="821" t="n"/>
      <c r="DU57" s="822" t="n"/>
    </row>
    <row r="58">
      <c r="B58" s="837" t="n"/>
      <c r="C58" s="828" t="n"/>
      <c r="D58" s="821" t="n"/>
      <c r="E58" s="822" t="n"/>
      <c r="F58" s="1000" t="n"/>
      <c r="G58" s="1000" t="n"/>
      <c r="H58" s="828" t="n"/>
      <c r="I58" s="821" t="n"/>
      <c r="J58" s="822" t="n"/>
      <c r="K58" s="1000" t="n"/>
      <c r="L58" s="1000" t="n"/>
      <c r="M58" s="828" t="n"/>
      <c r="N58" s="821" t="n"/>
      <c r="O58" s="822" t="n"/>
      <c r="P58" s="1000" t="n"/>
      <c r="Q58" s="1000" t="n"/>
      <c r="R58" s="828" t="n"/>
      <c r="S58" s="821" t="n"/>
      <c r="T58" s="822" t="n"/>
      <c r="U58" s="827" t="n"/>
      <c r="V58" s="1000" t="n"/>
      <c r="W58" s="828" t="n"/>
      <c r="X58" s="821" t="n"/>
      <c r="Y58" s="822" t="n"/>
      <c r="Z58" s="1000" t="n"/>
      <c r="AA58" s="1000" t="n"/>
      <c r="AB58" s="828" t="n"/>
      <c r="AC58" s="821" t="n"/>
      <c r="AD58" s="822" t="n"/>
      <c r="AE58" s="803" t="n"/>
      <c r="AF58" s="1000" t="n"/>
      <c r="AG58" s="828" t="n"/>
      <c r="AH58" s="821" t="n"/>
      <c r="AI58" s="822" t="n"/>
      <c r="AJ58" s="803" t="n"/>
      <c r="AK58" s="1000" t="n"/>
      <c r="AL58" s="828" t="n"/>
      <c r="AM58" s="821" t="n"/>
      <c r="AN58" s="822" t="n"/>
      <c r="AO58" s="803" t="n"/>
      <c r="AP58" s="1000" t="n"/>
      <c r="AQ58" s="828" t="n"/>
      <c r="AR58" s="821" t="n"/>
      <c r="AS58" s="822" t="n"/>
      <c r="AT58" s="803" t="n"/>
      <c r="AU58" s="1000" t="n"/>
      <c r="AV58" s="828" t="n"/>
      <c r="AW58" s="821" t="n"/>
      <c r="AX58" s="822" t="n"/>
      <c r="AY58" s="803" t="n"/>
      <c r="AZ58" s="1000" t="n"/>
      <c r="BA58" s="828" t="n"/>
      <c r="BB58" s="821" t="n"/>
      <c r="BC58" s="822" t="n"/>
      <c r="BD58" s="803" t="n"/>
      <c r="BE58" s="1000" t="n"/>
      <c r="BF58" s="828" t="n"/>
      <c r="BG58" s="821" t="n"/>
      <c r="BH58" s="822" t="n"/>
      <c r="BI58" s="803" t="n"/>
      <c r="BJ58" s="1000" t="n"/>
      <c r="BK58" s="828" t="n"/>
      <c r="BL58" s="821" t="n"/>
      <c r="BM58" s="822" t="n"/>
      <c r="BN58" s="803" t="n"/>
      <c r="BO58" s="1000" t="n"/>
      <c r="BP58" s="828" t="n"/>
      <c r="BQ58" s="821" t="n"/>
      <c r="BR58" s="822" t="n"/>
      <c r="BS58" s="803" t="n"/>
      <c r="BT58" s="803" t="n"/>
      <c r="BU58" s="828" t="n"/>
      <c r="BV58" s="821" t="n"/>
      <c r="BW58" s="822" t="n"/>
      <c r="BX58" s="803" t="n"/>
      <c r="BY58" s="824" t="n"/>
      <c r="BZ58" s="828" t="n"/>
      <c r="CA58" s="821" t="n"/>
      <c r="CB58" s="822" t="n"/>
      <c r="CC58" s="803" t="n"/>
      <c r="CD58" s="824" t="n"/>
      <c r="CE58" s="828" t="n"/>
      <c r="CF58" s="821" t="n"/>
      <c r="CG58" s="822" t="n"/>
      <c r="CH58" s="803" t="n"/>
      <c r="CI58" s="824" t="n"/>
      <c r="CJ58" s="828" t="n"/>
      <c r="CK58" s="821" t="n"/>
      <c r="CL58" s="822" t="n"/>
      <c r="CM58" s="803" t="n"/>
      <c r="CN58" s="823" t="n"/>
      <c r="CO58" s="828" t="n"/>
      <c r="CP58" s="821" t="n"/>
      <c r="CQ58" s="822" t="n"/>
      <c r="CR58" s="803" t="n"/>
      <c r="CS58" s="823" t="n"/>
      <c r="CT58" s="828" t="n"/>
      <c r="CU58" s="821" t="n"/>
      <c r="CV58" s="822" t="n"/>
      <c r="CW58" s="803" t="n"/>
      <c r="CX58" s="823" t="n"/>
      <c r="CY58" s="828" t="n"/>
      <c r="CZ58" s="821" t="n"/>
      <c r="DA58" s="822" t="n"/>
      <c r="DB58" s="803" t="n"/>
      <c r="DC58" s="823" t="n"/>
      <c r="DD58" s="828" t="n"/>
      <c r="DE58" s="821" t="n"/>
      <c r="DF58" s="822" t="n"/>
      <c r="DG58" s="803" t="n"/>
      <c r="DH58" s="823" t="n"/>
      <c r="DI58" s="828" t="n"/>
      <c r="DJ58" s="821" t="n"/>
      <c r="DK58" s="822" t="n"/>
      <c r="DL58" s="803" t="n"/>
      <c r="DM58" s="823" t="n"/>
      <c r="DN58" s="828" t="n"/>
      <c r="DO58" s="821" t="n"/>
      <c r="DP58" s="822" t="n"/>
      <c r="DQ58" s="803" t="n"/>
      <c r="DR58" s="823" t="n"/>
      <c r="DS58" s="828" t="n"/>
      <c r="DT58" s="821" t="n"/>
      <c r="DU58" s="822" t="n"/>
    </row>
    <row r="59">
      <c r="B59" s="837" t="n"/>
      <c r="C59" s="828" t="n"/>
      <c r="D59" s="821" t="n"/>
      <c r="E59" s="822" t="n"/>
      <c r="F59" s="1000" t="n"/>
      <c r="G59" s="1000" t="n"/>
      <c r="H59" s="828" t="n"/>
      <c r="I59" s="821" t="n"/>
      <c r="J59" s="822" t="n"/>
      <c r="K59" s="1000" t="n"/>
      <c r="L59" s="1000" t="n"/>
      <c r="M59" s="828" t="n"/>
      <c r="N59" s="821" t="n"/>
      <c r="O59" s="822" t="n"/>
      <c r="P59" s="1000" t="n"/>
      <c r="Q59" s="1000" t="n"/>
      <c r="R59" s="828" t="n"/>
      <c r="S59" s="821" t="n"/>
      <c r="T59" s="822" t="n"/>
      <c r="U59" s="827" t="n"/>
      <c r="V59" s="1000" t="n"/>
      <c r="W59" s="828" t="n"/>
      <c r="X59" s="821" t="n"/>
      <c r="Y59" s="822" t="n"/>
      <c r="Z59" s="1000" t="n"/>
      <c r="AA59" s="1000" t="n"/>
      <c r="AB59" s="828" t="n"/>
      <c r="AC59" s="821" t="n"/>
      <c r="AD59" s="822" t="n"/>
      <c r="AE59" s="803" t="n"/>
      <c r="AF59" s="1000" t="n"/>
      <c r="AG59" s="828" t="n"/>
      <c r="AH59" s="821" t="n"/>
      <c r="AI59" s="822" t="n"/>
      <c r="AJ59" s="803" t="n"/>
      <c r="AK59" s="1000" t="n"/>
      <c r="AL59" s="828" t="n"/>
      <c r="AM59" s="821" t="n"/>
      <c r="AN59" s="822" t="n"/>
      <c r="AO59" s="803" t="n"/>
      <c r="AP59" s="1000" t="n"/>
      <c r="AQ59" s="828" t="n"/>
      <c r="AR59" s="821" t="n"/>
      <c r="AS59" s="822" t="n"/>
      <c r="AT59" s="803" t="n"/>
      <c r="AU59" s="1000" t="n"/>
      <c r="AV59" s="828" t="n"/>
      <c r="AW59" s="821" t="n"/>
      <c r="AX59" s="822" t="n"/>
      <c r="AY59" s="803" t="n"/>
      <c r="AZ59" s="1000" t="n"/>
      <c r="BA59" s="828" t="n"/>
      <c r="BB59" s="821" t="n"/>
      <c r="BC59" s="822" t="n"/>
      <c r="BD59" s="803" t="n"/>
      <c r="BE59" s="1000" t="n"/>
      <c r="BF59" s="828" t="n"/>
      <c r="BG59" s="821" t="n"/>
      <c r="BH59" s="822" t="n"/>
      <c r="BI59" s="803" t="n"/>
      <c r="BJ59" s="1000" t="n"/>
      <c r="BK59" s="828" t="n"/>
      <c r="BL59" s="821" t="n"/>
      <c r="BM59" s="822" t="n"/>
      <c r="BN59" s="803" t="n"/>
      <c r="BO59" s="1000" t="n"/>
      <c r="BP59" s="828" t="n"/>
      <c r="BQ59" s="821" t="n"/>
      <c r="BR59" s="822" t="n"/>
      <c r="BS59" s="803" t="n"/>
      <c r="BT59" s="803" t="n"/>
      <c r="BU59" s="828" t="n"/>
      <c r="BV59" s="821" t="n"/>
      <c r="BW59" s="822" t="n"/>
      <c r="BX59" s="803" t="n"/>
      <c r="BY59" s="824" t="n"/>
      <c r="BZ59" s="828" t="n"/>
      <c r="CA59" s="821" t="n"/>
      <c r="CB59" s="822" t="n"/>
      <c r="CC59" s="803" t="n"/>
      <c r="CD59" s="824" t="n"/>
      <c r="CE59" s="828" t="n"/>
      <c r="CF59" s="821" t="n"/>
      <c r="CG59" s="822" t="n"/>
      <c r="CH59" s="803" t="n"/>
      <c r="CI59" s="824" t="n"/>
      <c r="CJ59" s="828" t="n"/>
      <c r="CK59" s="821" t="n"/>
      <c r="CL59" s="822" t="n"/>
      <c r="CM59" s="803" t="n"/>
      <c r="CN59" s="823" t="n"/>
      <c r="CO59" s="828" t="n"/>
      <c r="CP59" s="821" t="n"/>
      <c r="CQ59" s="822" t="n"/>
      <c r="CR59" s="803" t="n"/>
      <c r="CS59" s="823" t="n"/>
      <c r="CT59" s="828" t="n"/>
      <c r="CU59" s="821" t="n"/>
      <c r="CV59" s="822" t="n"/>
      <c r="CW59" s="803" t="n"/>
      <c r="CX59" s="823" t="n"/>
      <c r="CY59" s="828" t="n"/>
      <c r="CZ59" s="821" t="n"/>
      <c r="DA59" s="822" t="n"/>
      <c r="DB59" s="803" t="n"/>
      <c r="DC59" s="823" t="n"/>
      <c r="DD59" s="828" t="n"/>
      <c r="DE59" s="821" t="n"/>
      <c r="DF59" s="822" t="n"/>
      <c r="DG59" s="803" t="n"/>
      <c r="DH59" s="823" t="n"/>
      <c r="DI59" s="828" t="n"/>
      <c r="DJ59" s="821" t="n"/>
      <c r="DK59" s="822" t="n"/>
      <c r="DL59" s="803" t="n"/>
      <c r="DM59" s="823" t="n"/>
      <c r="DN59" s="828" t="n"/>
      <c r="DO59" s="821" t="n"/>
      <c r="DP59" s="822" t="n"/>
      <c r="DQ59" s="803" t="n"/>
      <c r="DR59" s="823" t="n"/>
      <c r="DS59" s="828" t="n"/>
      <c r="DT59" s="821" t="n"/>
      <c r="DU59" s="822" t="n"/>
    </row>
    <row r="60">
      <c r="B60" s="837" t="n"/>
      <c r="C60" s="828" t="n"/>
      <c r="D60" s="821" t="n"/>
      <c r="E60" s="822" t="n"/>
      <c r="F60" s="1000" t="n"/>
      <c r="G60" s="1000" t="n"/>
      <c r="H60" s="828" t="n"/>
      <c r="I60" s="821" t="n"/>
      <c r="J60" s="822" t="n"/>
      <c r="K60" s="1000" t="n"/>
      <c r="L60" s="1000" t="n"/>
      <c r="M60" s="828" t="n"/>
      <c r="N60" s="821" t="n"/>
      <c r="O60" s="822" t="n"/>
      <c r="P60" s="1000" t="n"/>
      <c r="Q60" s="1000" t="n"/>
      <c r="R60" s="828" t="n"/>
      <c r="S60" s="821" t="n"/>
      <c r="T60" s="822" t="n"/>
      <c r="U60" s="827" t="n"/>
      <c r="V60" s="1000" t="n"/>
      <c r="W60" s="828" t="n"/>
      <c r="X60" s="821" t="n"/>
      <c r="Y60" s="822" t="n"/>
      <c r="Z60" s="1000" t="n"/>
      <c r="AA60" s="1000" t="n"/>
      <c r="AB60" s="828" t="n"/>
      <c r="AC60" s="821" t="n"/>
      <c r="AD60" s="822" t="n"/>
      <c r="AE60" s="803" t="n"/>
      <c r="AF60" s="1000" t="n"/>
      <c r="AG60" s="828" t="n"/>
      <c r="AH60" s="821" t="n"/>
      <c r="AI60" s="822" t="n"/>
      <c r="AJ60" s="803" t="n"/>
      <c r="AK60" s="1000" t="n"/>
      <c r="AL60" s="828" t="n"/>
      <c r="AM60" s="821" t="n"/>
      <c r="AN60" s="822" t="n"/>
      <c r="AO60" s="803" t="n"/>
      <c r="AP60" s="1000" t="n"/>
      <c r="AQ60" s="828" t="n"/>
      <c r="AR60" s="821" t="n"/>
      <c r="AS60" s="822" t="n"/>
      <c r="AT60" s="803" t="n"/>
      <c r="AU60" s="1000" t="n"/>
      <c r="AV60" s="828" t="n"/>
      <c r="AW60" s="821" t="n"/>
      <c r="AX60" s="822" t="n"/>
      <c r="AY60" s="803" t="n"/>
      <c r="AZ60" s="1000" t="n"/>
      <c r="BA60" s="828" t="n"/>
      <c r="BB60" s="821" t="n"/>
      <c r="BC60" s="822" t="n"/>
      <c r="BD60" s="803" t="n"/>
      <c r="BE60" s="1000" t="n"/>
      <c r="BF60" s="828" t="n"/>
      <c r="BG60" s="821" t="n"/>
      <c r="BH60" s="822" t="n"/>
      <c r="BI60" s="803" t="n"/>
      <c r="BJ60" s="1000" t="n"/>
      <c r="BK60" s="828" t="n"/>
      <c r="BL60" s="821" t="n"/>
      <c r="BM60" s="822" t="n"/>
      <c r="BN60" s="803" t="n"/>
      <c r="BO60" s="1000" t="n"/>
      <c r="BP60" s="828" t="n"/>
      <c r="BQ60" s="821" t="n"/>
      <c r="BR60" s="822" t="n"/>
      <c r="BS60" s="803" t="n"/>
      <c r="BT60" s="803" t="n"/>
      <c r="BU60" s="828" t="n"/>
      <c r="BV60" s="821" t="n"/>
      <c r="BW60" s="822" t="n"/>
      <c r="BX60" s="803" t="n"/>
      <c r="BY60" s="824" t="n"/>
      <c r="BZ60" s="828" t="n"/>
      <c r="CA60" s="821" t="n"/>
      <c r="CB60" s="822" t="n"/>
      <c r="CC60" s="803" t="n"/>
      <c r="CD60" s="824" t="n"/>
      <c r="CE60" s="828" t="n"/>
      <c r="CF60" s="821" t="n"/>
      <c r="CG60" s="822" t="n"/>
      <c r="CH60" s="803" t="n"/>
      <c r="CI60" s="824" t="n"/>
      <c r="CJ60" s="828" t="n"/>
      <c r="CK60" s="821" t="n"/>
      <c r="CL60" s="822" t="n"/>
      <c r="CM60" s="803" t="n"/>
      <c r="CN60" s="823" t="n"/>
      <c r="CO60" s="828" t="n"/>
      <c r="CP60" s="821" t="n"/>
      <c r="CQ60" s="822" t="n"/>
      <c r="CR60" s="803" t="n"/>
      <c r="CS60" s="823" t="n"/>
      <c r="CT60" s="828" t="n"/>
      <c r="CU60" s="821" t="n"/>
      <c r="CV60" s="822" t="n"/>
      <c r="CW60" s="803" t="n"/>
      <c r="CX60" s="823" t="n"/>
      <c r="CY60" s="828" t="n"/>
      <c r="CZ60" s="821" t="n"/>
      <c r="DA60" s="822" t="n"/>
      <c r="DB60" s="803" t="n"/>
      <c r="DC60" s="823" t="n"/>
      <c r="DD60" s="828" t="n"/>
      <c r="DE60" s="821" t="n"/>
      <c r="DF60" s="822" t="n"/>
      <c r="DG60" s="803" t="n"/>
      <c r="DH60" s="823" t="n"/>
      <c r="DI60" s="828" t="n"/>
      <c r="DJ60" s="821" t="n"/>
      <c r="DK60" s="822" t="n"/>
      <c r="DL60" s="803" t="n"/>
      <c r="DM60" s="823" t="n"/>
      <c r="DN60" s="828" t="n"/>
      <c r="DO60" s="821" t="n"/>
      <c r="DP60" s="822" t="n"/>
      <c r="DQ60" s="803" t="n"/>
      <c r="DR60" s="823" t="n"/>
      <c r="DS60" s="828" t="n"/>
      <c r="DT60" s="821" t="n"/>
      <c r="DU60" s="822" t="n"/>
    </row>
    <row r="61">
      <c r="B61" s="837" t="n"/>
      <c r="C61" s="828" t="n"/>
      <c r="D61" s="821" t="n"/>
      <c r="E61" s="822" t="n"/>
      <c r="F61" s="1000" t="n"/>
      <c r="G61" s="1000" t="n"/>
      <c r="H61" s="828" t="n"/>
      <c r="I61" s="821" t="n"/>
      <c r="J61" s="822" t="n"/>
      <c r="K61" s="1000" t="n"/>
      <c r="L61" s="1000" t="n"/>
      <c r="M61" s="828" t="n"/>
      <c r="N61" s="821" t="n"/>
      <c r="O61" s="822" t="n"/>
      <c r="P61" s="1000" t="n"/>
      <c r="Q61" s="1000" t="n"/>
      <c r="R61" s="828" t="n"/>
      <c r="S61" s="821" t="n"/>
      <c r="T61" s="822" t="n"/>
      <c r="U61" s="827" t="n"/>
      <c r="V61" s="1000" t="n"/>
      <c r="W61" s="828" t="n"/>
      <c r="X61" s="821" t="n"/>
      <c r="Y61" s="822" t="n"/>
      <c r="Z61" s="1000" t="n"/>
      <c r="AA61" s="1000" t="n"/>
      <c r="AB61" s="828" t="n"/>
      <c r="AC61" s="821" t="n"/>
      <c r="AD61" s="822" t="n"/>
      <c r="AE61" s="803" t="n"/>
      <c r="AF61" s="1000" t="n"/>
      <c r="AG61" s="828" t="n"/>
      <c r="AH61" s="821" t="n"/>
      <c r="AI61" s="822" t="n"/>
      <c r="AJ61" s="803" t="n"/>
      <c r="AK61" s="1000" t="n"/>
      <c r="AL61" s="828" t="n"/>
      <c r="AM61" s="821" t="n"/>
      <c r="AN61" s="822" t="n"/>
      <c r="AO61" s="803" t="n"/>
      <c r="AP61" s="1000" t="n"/>
      <c r="AQ61" s="828" t="n"/>
      <c r="AR61" s="821" t="n"/>
      <c r="AS61" s="822" t="n"/>
      <c r="AT61" s="803" t="n"/>
      <c r="AU61" s="1000" t="n"/>
      <c r="AV61" s="828" t="n"/>
      <c r="AW61" s="821" t="n"/>
      <c r="AX61" s="822" t="n"/>
      <c r="AY61" s="803" t="n"/>
      <c r="AZ61" s="1000" t="n"/>
      <c r="BA61" s="828" t="n"/>
      <c r="BB61" s="821" t="n"/>
      <c r="BC61" s="822" t="n"/>
      <c r="BD61" s="803" t="n"/>
      <c r="BE61" s="1000" t="n"/>
      <c r="BF61" s="828" t="n"/>
      <c r="BG61" s="821" t="n"/>
      <c r="BH61" s="822" t="n"/>
      <c r="BI61" s="803" t="n"/>
      <c r="BJ61" s="1000" t="n"/>
      <c r="BK61" s="828" t="n"/>
      <c r="BL61" s="821" t="n"/>
      <c r="BM61" s="822" t="n"/>
      <c r="BN61" s="803" t="n"/>
      <c r="BO61" s="1000" t="n"/>
      <c r="BP61" s="828" t="n"/>
      <c r="BQ61" s="821" t="n"/>
      <c r="BR61" s="822" t="n"/>
      <c r="BS61" s="803" t="n"/>
      <c r="BT61" s="803" t="n"/>
      <c r="BU61" s="828" t="n"/>
      <c r="BV61" s="821" t="n"/>
      <c r="BW61" s="822" t="n"/>
      <c r="BX61" s="803" t="n"/>
      <c r="BY61" s="824" t="n"/>
      <c r="BZ61" s="828" t="n"/>
      <c r="CA61" s="821" t="n"/>
      <c r="CB61" s="822" t="n"/>
      <c r="CC61" s="803" t="n"/>
      <c r="CD61" s="824" t="n"/>
      <c r="CE61" s="828" t="n"/>
      <c r="CF61" s="821" t="n"/>
      <c r="CG61" s="822" t="n"/>
      <c r="CH61" s="803" t="n"/>
      <c r="CI61" s="824" t="n"/>
      <c r="CJ61" s="828" t="n"/>
      <c r="CK61" s="821" t="n"/>
      <c r="CL61" s="822" t="n"/>
      <c r="CM61" s="803" t="n"/>
      <c r="CN61" s="823" t="n"/>
      <c r="CO61" s="828" t="n"/>
      <c r="CP61" s="821" t="n"/>
      <c r="CQ61" s="822" t="n"/>
      <c r="CR61" s="803" t="n"/>
      <c r="CS61" s="823" t="n"/>
      <c r="CT61" s="828" t="n"/>
      <c r="CU61" s="821" t="n"/>
      <c r="CV61" s="822" t="n"/>
      <c r="CW61" s="803" t="n"/>
      <c r="CX61" s="823" t="n"/>
      <c r="CY61" s="828" t="n"/>
      <c r="CZ61" s="821" t="n"/>
      <c r="DA61" s="822" t="n"/>
      <c r="DB61" s="803" t="n"/>
      <c r="DC61" s="823" t="n"/>
      <c r="DD61" s="828" t="n"/>
      <c r="DE61" s="821" t="n"/>
      <c r="DF61" s="822" t="n"/>
      <c r="DG61" s="803" t="n"/>
      <c r="DH61" s="823" t="n"/>
      <c r="DI61" s="828" t="n"/>
      <c r="DJ61" s="821" t="n"/>
      <c r="DK61" s="822" t="n"/>
      <c r="DL61" s="803" t="n"/>
      <c r="DM61" s="823" t="n"/>
      <c r="DN61" s="828" t="n"/>
      <c r="DO61" s="821" t="n"/>
      <c r="DP61" s="822" t="n"/>
      <c r="DQ61" s="803" t="n"/>
      <c r="DR61" s="823" t="n"/>
      <c r="DS61" s="828" t="n"/>
      <c r="DT61" s="821" t="n"/>
      <c r="DU61" s="822" t="n"/>
    </row>
    <row r="62">
      <c r="B62" s="837" t="n"/>
      <c r="C62" s="828" t="n"/>
      <c r="D62" s="821" t="n"/>
      <c r="E62" s="822" t="n"/>
      <c r="F62" s="1000" t="n"/>
      <c r="G62" s="1000" t="n"/>
      <c r="H62" s="828" t="n"/>
      <c r="I62" s="821" t="n"/>
      <c r="J62" s="822" t="n"/>
      <c r="K62" s="1000" t="n"/>
      <c r="L62" s="1000" t="n"/>
      <c r="M62" s="828" t="n"/>
      <c r="N62" s="821" t="n"/>
      <c r="O62" s="822" t="n"/>
      <c r="P62" s="1000" t="n"/>
      <c r="Q62" s="1000" t="n"/>
      <c r="R62" s="828" t="n"/>
      <c r="S62" s="821" t="n"/>
      <c r="T62" s="822" t="n"/>
      <c r="U62" s="827" t="n"/>
      <c r="V62" s="1000" t="n"/>
      <c r="W62" s="828" t="n"/>
      <c r="X62" s="821" t="n"/>
      <c r="Y62" s="822" t="n"/>
      <c r="Z62" s="1000" t="n"/>
      <c r="AA62" s="1000" t="n"/>
      <c r="AB62" s="828" t="n"/>
      <c r="AC62" s="821" t="n"/>
      <c r="AD62" s="822" t="n"/>
      <c r="AE62" s="803" t="n"/>
      <c r="AF62" s="1000" t="n"/>
      <c r="AG62" s="828" t="n"/>
      <c r="AH62" s="821" t="n"/>
      <c r="AI62" s="822" t="n"/>
      <c r="AJ62" s="803" t="n"/>
      <c r="AK62" s="1000" t="n"/>
      <c r="AL62" s="828" t="n"/>
      <c r="AM62" s="821" t="n"/>
      <c r="AN62" s="822" t="n"/>
      <c r="AO62" s="803" t="n"/>
      <c r="AP62" s="1000" t="n"/>
      <c r="AQ62" s="828" t="n"/>
      <c r="AR62" s="821" t="n"/>
      <c r="AS62" s="822" t="n"/>
      <c r="AT62" s="803" t="n"/>
      <c r="AU62" s="1000" t="n"/>
      <c r="AV62" s="828" t="n"/>
      <c r="AW62" s="821" t="n"/>
      <c r="AX62" s="822" t="n"/>
      <c r="AY62" s="803" t="n"/>
      <c r="AZ62" s="1000" t="n"/>
      <c r="BA62" s="828" t="n"/>
      <c r="BB62" s="821" t="n"/>
      <c r="BC62" s="822" t="n"/>
      <c r="BD62" s="803" t="n"/>
      <c r="BE62" s="1000" t="n"/>
      <c r="BF62" s="828" t="n"/>
      <c r="BG62" s="821" t="n"/>
      <c r="BH62" s="822" t="n"/>
      <c r="BI62" s="803" t="n"/>
      <c r="BJ62" s="1000" t="n"/>
      <c r="BK62" s="828" t="n"/>
      <c r="BL62" s="821" t="n"/>
      <c r="BM62" s="822" t="n"/>
      <c r="BN62" s="803" t="n"/>
      <c r="BO62" s="1000" t="n"/>
      <c r="BP62" s="828" t="n"/>
      <c r="BQ62" s="821" t="n"/>
      <c r="BR62" s="822" t="n"/>
      <c r="BS62" s="803" t="n"/>
      <c r="BT62" s="803" t="n"/>
      <c r="BU62" s="828" t="n"/>
      <c r="BV62" s="821" t="n"/>
      <c r="BW62" s="822" t="n"/>
      <c r="BX62" s="803" t="n"/>
      <c r="BY62" s="824" t="n"/>
      <c r="BZ62" s="828" t="n"/>
      <c r="CA62" s="821" t="n"/>
      <c r="CB62" s="822" t="n"/>
      <c r="CC62" s="803" t="n"/>
      <c r="CD62" s="824" t="n"/>
      <c r="CE62" s="828" t="n"/>
      <c r="CF62" s="821" t="n"/>
      <c r="CG62" s="822" t="n"/>
      <c r="CH62" s="803" t="n"/>
      <c r="CI62" s="824" t="n"/>
      <c r="CJ62" s="828" t="n"/>
      <c r="CK62" s="821" t="n"/>
      <c r="CL62" s="822" t="n"/>
      <c r="CM62" s="803" t="n"/>
      <c r="CN62" s="823" t="n"/>
      <c r="CO62" s="828" t="n"/>
      <c r="CP62" s="821" t="n"/>
      <c r="CQ62" s="822" t="n"/>
      <c r="CR62" s="803" t="n"/>
      <c r="CS62" s="823" t="n"/>
      <c r="CT62" s="828" t="n"/>
      <c r="CU62" s="821" t="n"/>
      <c r="CV62" s="822" t="n"/>
      <c r="CW62" s="803" t="n"/>
      <c r="CX62" s="823" t="n"/>
      <c r="CY62" s="828" t="n"/>
      <c r="CZ62" s="821" t="n"/>
      <c r="DA62" s="822" t="n"/>
      <c r="DB62" s="803" t="n"/>
      <c r="DC62" s="823" t="n"/>
      <c r="DD62" s="828" t="n"/>
      <c r="DE62" s="821" t="n"/>
      <c r="DF62" s="822" t="n"/>
      <c r="DG62" s="803" t="n"/>
      <c r="DH62" s="823" t="n"/>
      <c r="DI62" s="828" t="n"/>
      <c r="DJ62" s="821" t="n"/>
      <c r="DK62" s="822" t="n"/>
      <c r="DL62" s="803" t="n"/>
      <c r="DM62" s="823" t="n"/>
      <c r="DN62" s="828" t="n"/>
      <c r="DO62" s="821" t="n"/>
      <c r="DP62" s="822" t="n"/>
      <c r="DQ62" s="803" t="n"/>
      <c r="DR62" s="823" t="n"/>
      <c r="DS62" s="828" t="n"/>
      <c r="DT62" s="821" t="n"/>
      <c r="DU62" s="822" t="n"/>
    </row>
    <row r="63">
      <c r="B63" s="837" t="n"/>
      <c r="C63" s="828" t="n"/>
      <c r="D63" s="821" t="n"/>
      <c r="E63" s="822" t="n"/>
      <c r="F63" s="1000" t="n"/>
      <c r="G63" s="1000" t="n"/>
      <c r="H63" s="828" t="n"/>
      <c r="I63" s="821" t="n"/>
      <c r="J63" s="822" t="n"/>
      <c r="K63" s="1000" t="n"/>
      <c r="L63" s="1000" t="n"/>
      <c r="M63" s="828" t="n"/>
      <c r="N63" s="821" t="n"/>
      <c r="O63" s="822" t="n"/>
      <c r="P63" s="1000" t="n"/>
      <c r="Q63" s="1000" t="n"/>
      <c r="R63" s="828" t="n"/>
      <c r="S63" s="821" t="n"/>
      <c r="T63" s="822" t="n"/>
      <c r="U63" s="827" t="n"/>
      <c r="V63" s="1000" t="n"/>
      <c r="W63" s="828" t="n"/>
      <c r="X63" s="821" t="n"/>
      <c r="Y63" s="822" t="n"/>
      <c r="Z63" s="1000" t="n"/>
      <c r="AA63" s="1000" t="n"/>
      <c r="AB63" s="828" t="n"/>
      <c r="AC63" s="821" t="n"/>
      <c r="AD63" s="822" t="n"/>
      <c r="AE63" s="803" t="n"/>
      <c r="AF63" s="1000" t="n"/>
      <c r="AG63" s="828" t="n"/>
      <c r="AH63" s="821" t="n"/>
      <c r="AI63" s="822" t="n"/>
      <c r="AJ63" s="803" t="n"/>
      <c r="AK63" s="1000" t="n"/>
      <c r="AL63" s="828" t="n"/>
      <c r="AM63" s="821" t="n"/>
      <c r="AN63" s="822" t="n"/>
      <c r="AO63" s="803" t="n"/>
      <c r="AP63" s="1000" t="n"/>
      <c r="AQ63" s="828" t="n"/>
      <c r="AR63" s="821" t="n"/>
      <c r="AS63" s="822" t="n"/>
      <c r="AT63" s="803" t="n"/>
      <c r="AU63" s="1000" t="n"/>
      <c r="AV63" s="828" t="n"/>
      <c r="AW63" s="821" t="n"/>
      <c r="AX63" s="822" t="n"/>
      <c r="AY63" s="803" t="n"/>
      <c r="AZ63" s="1000" t="n"/>
      <c r="BA63" s="828" t="n"/>
      <c r="BB63" s="821" t="n"/>
      <c r="BC63" s="822" t="n"/>
      <c r="BD63" s="803" t="n"/>
      <c r="BE63" s="1000" t="n"/>
      <c r="BF63" s="828" t="n"/>
      <c r="BG63" s="821" t="n"/>
      <c r="BH63" s="822" t="n"/>
      <c r="BI63" s="803" t="n"/>
      <c r="BJ63" s="1000" t="n"/>
      <c r="BK63" s="828" t="n"/>
      <c r="BL63" s="821" t="n"/>
      <c r="BM63" s="822" t="n"/>
      <c r="BN63" s="803" t="n"/>
      <c r="BO63" s="1000" t="n"/>
      <c r="BP63" s="828" t="n"/>
      <c r="BQ63" s="821" t="n"/>
      <c r="BR63" s="822" t="n"/>
      <c r="BS63" s="803" t="n"/>
      <c r="BT63" s="803" t="n"/>
      <c r="BU63" s="828" t="n"/>
      <c r="BV63" s="821" t="n"/>
      <c r="BW63" s="822" t="n"/>
      <c r="BX63" s="803" t="n"/>
      <c r="BY63" s="824" t="n"/>
      <c r="BZ63" s="828" t="n"/>
      <c r="CA63" s="821" t="n"/>
      <c r="CB63" s="822" t="n"/>
      <c r="CC63" s="803" t="n"/>
      <c r="CD63" s="824" t="n"/>
      <c r="CE63" s="828" t="n"/>
      <c r="CF63" s="821" t="n"/>
      <c r="CG63" s="822" t="n"/>
      <c r="CH63" s="803" t="n"/>
      <c r="CI63" s="824" t="n"/>
      <c r="CJ63" s="828" t="n"/>
      <c r="CK63" s="821" t="n"/>
      <c r="CL63" s="822" t="n"/>
      <c r="CM63" s="803" t="n"/>
      <c r="CN63" s="823" t="n"/>
      <c r="CO63" s="828" t="n"/>
      <c r="CP63" s="821" t="n"/>
      <c r="CQ63" s="822" t="n"/>
      <c r="CR63" s="803" t="n"/>
      <c r="CS63" s="823" t="n"/>
      <c r="CT63" s="828" t="n"/>
      <c r="CU63" s="821" t="n"/>
      <c r="CV63" s="822" t="n"/>
      <c r="CW63" s="803" t="n"/>
      <c r="CX63" s="823" t="n"/>
      <c r="CY63" s="828" t="n"/>
      <c r="CZ63" s="821" t="n"/>
      <c r="DA63" s="822" t="n"/>
      <c r="DB63" s="803" t="n"/>
      <c r="DC63" s="823" t="n"/>
      <c r="DD63" s="828" t="n"/>
      <c r="DE63" s="821" t="n"/>
      <c r="DF63" s="822" t="n"/>
      <c r="DG63" s="803" t="n"/>
      <c r="DH63" s="823" t="n"/>
      <c r="DI63" s="828" t="n"/>
      <c r="DJ63" s="821" t="n"/>
      <c r="DK63" s="822" t="n"/>
      <c r="DL63" s="803" t="n"/>
      <c r="DM63" s="823" t="n"/>
      <c r="DN63" s="828" t="n"/>
      <c r="DO63" s="821" t="n"/>
      <c r="DP63" s="822" t="n"/>
      <c r="DQ63" s="803" t="n"/>
      <c r="DR63" s="823" t="n"/>
      <c r="DS63" s="828" t="n"/>
      <c r="DT63" s="821" t="n"/>
      <c r="DU63" s="822" t="n"/>
    </row>
    <row r="64">
      <c r="B64" s="837" t="n"/>
      <c r="C64" s="828" t="n"/>
      <c r="D64" s="821" t="n"/>
      <c r="E64" s="822" t="n"/>
      <c r="F64" s="1000" t="n"/>
      <c r="G64" s="1000" t="n"/>
      <c r="H64" s="828" t="n"/>
      <c r="I64" s="821" t="n"/>
      <c r="J64" s="822" t="n"/>
      <c r="K64" s="1000" t="n"/>
      <c r="L64" s="1000" t="n"/>
      <c r="M64" s="828" t="n"/>
      <c r="N64" s="821" t="n"/>
      <c r="O64" s="822" t="n"/>
      <c r="P64" s="1000" t="n"/>
      <c r="Q64" s="1000" t="n"/>
      <c r="R64" s="828" t="n"/>
      <c r="S64" s="821" t="n"/>
      <c r="T64" s="822" t="n"/>
      <c r="U64" s="827" t="n"/>
      <c r="V64" s="1000" t="n"/>
      <c r="W64" s="828" t="n"/>
      <c r="X64" s="821" t="n"/>
      <c r="Y64" s="822" t="n"/>
      <c r="Z64" s="1000" t="n"/>
      <c r="AA64" s="1000" t="n"/>
      <c r="AB64" s="828" t="n"/>
      <c r="AC64" s="821" t="n"/>
      <c r="AD64" s="822" t="n"/>
      <c r="AE64" s="803" t="n"/>
      <c r="AF64" s="1000" t="n"/>
      <c r="AG64" s="828" t="n"/>
      <c r="AH64" s="821" t="n"/>
      <c r="AI64" s="822" t="n"/>
      <c r="AJ64" s="803" t="n"/>
      <c r="AK64" s="1000" t="n"/>
      <c r="AL64" s="828" t="n"/>
      <c r="AM64" s="821" t="n"/>
      <c r="AN64" s="822" t="n"/>
      <c r="AO64" s="803" t="n"/>
      <c r="AP64" s="1000" t="n"/>
      <c r="AQ64" s="828" t="n"/>
      <c r="AR64" s="821" t="n"/>
      <c r="AS64" s="822" t="n"/>
      <c r="AT64" s="803" t="n"/>
      <c r="AU64" s="1000" t="n"/>
      <c r="AV64" s="828" t="n"/>
      <c r="AW64" s="821" t="n"/>
      <c r="AX64" s="822" t="n"/>
      <c r="AY64" s="803" t="n"/>
      <c r="AZ64" s="1000" t="n"/>
      <c r="BA64" s="828" t="n"/>
      <c r="BB64" s="821" t="n"/>
      <c r="BC64" s="822" t="n"/>
      <c r="BD64" s="803" t="n"/>
      <c r="BE64" s="1000" t="n"/>
      <c r="BF64" s="828" t="n"/>
      <c r="BG64" s="821" t="n"/>
      <c r="BH64" s="822" t="n"/>
      <c r="BI64" s="803" t="n"/>
      <c r="BJ64" s="1000" t="n"/>
      <c r="BK64" s="828" t="n"/>
      <c r="BL64" s="821" t="n"/>
      <c r="BM64" s="822" t="n"/>
      <c r="BN64" s="803" t="n"/>
      <c r="BO64" s="1000" t="n"/>
      <c r="BP64" s="828" t="n"/>
      <c r="BQ64" s="821" t="n"/>
      <c r="BR64" s="822" t="n"/>
      <c r="BS64" s="803" t="n"/>
      <c r="BT64" s="803" t="n"/>
      <c r="BU64" s="828" t="n"/>
      <c r="BV64" s="821" t="n"/>
      <c r="BW64" s="822" t="n"/>
      <c r="BX64" s="803" t="n"/>
      <c r="BY64" s="824" t="n"/>
      <c r="BZ64" s="828" t="n"/>
      <c r="CA64" s="821" t="n"/>
      <c r="CB64" s="822" t="n"/>
      <c r="CC64" s="803" t="n"/>
      <c r="CD64" s="824" t="n"/>
      <c r="CE64" s="828" t="n"/>
      <c r="CF64" s="821" t="n"/>
      <c r="CG64" s="822" t="n"/>
      <c r="CH64" s="803" t="n"/>
      <c r="CI64" s="824" t="n"/>
      <c r="CJ64" s="828" t="n"/>
      <c r="CK64" s="821" t="n"/>
      <c r="CL64" s="822" t="n"/>
      <c r="CM64" s="803" t="n"/>
      <c r="CN64" s="823" t="n"/>
      <c r="CO64" s="828" t="n"/>
      <c r="CP64" s="821" t="n"/>
      <c r="CQ64" s="822" t="n"/>
      <c r="CR64" s="803" t="n"/>
      <c r="CS64" s="823" t="n"/>
      <c r="CT64" s="828" t="n"/>
      <c r="CU64" s="821" t="n"/>
      <c r="CV64" s="822" t="n"/>
      <c r="CW64" s="803" t="n"/>
      <c r="CX64" s="823" t="n"/>
      <c r="CY64" s="828" t="n"/>
      <c r="CZ64" s="821" t="n"/>
      <c r="DA64" s="822" t="n"/>
      <c r="DB64" s="803" t="n"/>
      <c r="DC64" s="823" t="n"/>
      <c r="DD64" s="828" t="n"/>
      <c r="DE64" s="821" t="n"/>
      <c r="DF64" s="822" t="n"/>
      <c r="DG64" s="803" t="n"/>
      <c r="DH64" s="823" t="n"/>
      <c r="DI64" s="828" t="n"/>
      <c r="DJ64" s="821" t="n"/>
      <c r="DK64" s="822" t="n"/>
      <c r="DL64" s="803" t="n"/>
      <c r="DM64" s="823" t="n"/>
      <c r="DN64" s="828" t="n"/>
      <c r="DO64" s="821" t="n"/>
      <c r="DP64" s="822" t="n"/>
      <c r="DQ64" s="803" t="n"/>
      <c r="DR64" s="823" t="n"/>
      <c r="DS64" s="828" t="n"/>
      <c r="DT64" s="821" t="n"/>
      <c r="DU64" s="822" t="n"/>
    </row>
    <row r="65">
      <c r="B65" s="837" t="n"/>
      <c r="C65" s="828" t="n"/>
      <c r="D65" s="821" t="n"/>
      <c r="E65" s="822" t="n"/>
      <c r="F65" s="1000" t="n"/>
      <c r="G65" s="1000" t="n"/>
      <c r="H65" s="828" t="n"/>
      <c r="I65" s="821" t="n"/>
      <c r="J65" s="822" t="n"/>
      <c r="K65" s="1000" t="n"/>
      <c r="L65" s="1000" t="n"/>
      <c r="M65" s="828" t="n"/>
      <c r="N65" s="821" t="n"/>
      <c r="O65" s="822" t="n"/>
      <c r="P65" s="1000" t="n"/>
      <c r="Q65" s="1000" t="n"/>
      <c r="R65" s="828" t="n"/>
      <c r="S65" s="821" t="n"/>
      <c r="T65" s="822" t="n"/>
      <c r="U65" s="827" t="n"/>
      <c r="V65" s="1000" t="n"/>
      <c r="W65" s="828" t="n"/>
      <c r="X65" s="821" t="n"/>
      <c r="Y65" s="822" t="n"/>
      <c r="Z65" s="1000" t="n"/>
      <c r="AA65" s="1000" t="n"/>
      <c r="AB65" s="828" t="n"/>
      <c r="AC65" s="821" t="n"/>
      <c r="AD65" s="822" t="n"/>
      <c r="AE65" s="803" t="n"/>
      <c r="AF65" s="1000" t="n"/>
      <c r="AG65" s="828" t="n"/>
      <c r="AH65" s="821" t="n"/>
      <c r="AI65" s="822" t="n"/>
      <c r="AJ65" s="803" t="n"/>
      <c r="AK65" s="1000" t="n"/>
      <c r="AL65" s="828" t="n"/>
      <c r="AM65" s="821" t="n"/>
      <c r="AN65" s="822" t="n"/>
      <c r="AO65" s="803" t="n"/>
      <c r="AP65" s="1000" t="n"/>
      <c r="AQ65" s="828" t="n"/>
      <c r="AR65" s="821" t="n"/>
      <c r="AS65" s="822" t="n"/>
      <c r="AT65" s="803" t="n"/>
      <c r="AU65" s="1000" t="n"/>
      <c r="AV65" s="828" t="n"/>
      <c r="AW65" s="821" t="n"/>
      <c r="AX65" s="822" t="n"/>
      <c r="AY65" s="803" t="n"/>
      <c r="AZ65" s="1000" t="n"/>
      <c r="BA65" s="828" t="n"/>
      <c r="BB65" s="821" t="n"/>
      <c r="BC65" s="822" t="n"/>
      <c r="BD65" s="803" t="n"/>
      <c r="BE65" s="1000" t="n"/>
      <c r="BF65" s="828" t="n"/>
      <c r="BG65" s="821" t="n"/>
      <c r="BH65" s="822" t="n"/>
      <c r="BI65" s="803" t="n"/>
      <c r="BJ65" s="1000" t="n"/>
      <c r="BK65" s="828" t="n"/>
      <c r="BL65" s="821" t="n"/>
      <c r="BM65" s="822" t="n"/>
      <c r="BN65" s="803" t="n"/>
      <c r="BO65" s="1000" t="n"/>
      <c r="BP65" s="828" t="n"/>
      <c r="BQ65" s="821" t="n"/>
      <c r="BR65" s="822" t="n"/>
      <c r="BS65" s="803" t="n"/>
      <c r="BT65" s="803" t="n"/>
      <c r="BU65" s="828" t="n"/>
      <c r="BV65" s="821" t="n"/>
      <c r="BW65" s="822" t="n"/>
      <c r="BX65" s="803" t="n"/>
      <c r="BY65" s="824" t="n"/>
      <c r="BZ65" s="828" t="n"/>
      <c r="CA65" s="821" t="n"/>
      <c r="CB65" s="822" t="n"/>
      <c r="CC65" s="803" t="n"/>
      <c r="CD65" s="824" t="n"/>
      <c r="CE65" s="828" t="n"/>
      <c r="CF65" s="821" t="n"/>
      <c r="CG65" s="822" t="n"/>
      <c r="CH65" s="803" t="n"/>
      <c r="CI65" s="824" t="n"/>
      <c r="CJ65" s="828" t="n"/>
      <c r="CK65" s="821" t="n"/>
      <c r="CL65" s="822" t="n"/>
      <c r="CM65" s="803" t="n"/>
      <c r="CN65" s="823" t="n"/>
      <c r="CO65" s="828" t="n"/>
      <c r="CP65" s="821" t="n"/>
      <c r="CQ65" s="822" t="n"/>
      <c r="CR65" s="803" t="n"/>
      <c r="CS65" s="823" t="n"/>
      <c r="CT65" s="828" t="n"/>
      <c r="CU65" s="821" t="n"/>
      <c r="CV65" s="822" t="n"/>
      <c r="CW65" s="803" t="n"/>
      <c r="CX65" s="823" t="n"/>
      <c r="CY65" s="828" t="n"/>
      <c r="CZ65" s="821" t="n"/>
      <c r="DA65" s="822" t="n"/>
      <c r="DB65" s="803" t="n"/>
      <c r="DC65" s="823" t="n"/>
      <c r="DD65" s="828" t="n"/>
      <c r="DE65" s="821" t="n"/>
      <c r="DF65" s="822" t="n"/>
      <c r="DG65" s="803" t="n"/>
      <c r="DH65" s="823" t="n"/>
      <c r="DI65" s="828" t="n"/>
      <c r="DJ65" s="821" t="n"/>
      <c r="DK65" s="822" t="n"/>
      <c r="DL65" s="803" t="n"/>
      <c r="DM65" s="823" t="n"/>
      <c r="DN65" s="828" t="n"/>
      <c r="DO65" s="821" t="n"/>
      <c r="DP65" s="822" t="n"/>
      <c r="DQ65" s="803" t="n"/>
      <c r="DR65" s="823" t="n"/>
      <c r="DS65" s="828" t="n"/>
      <c r="DT65" s="821" t="n"/>
      <c r="DU65" s="822" t="n"/>
    </row>
    <row r="66">
      <c r="B66" s="837" t="n"/>
      <c r="C66" s="828" t="n"/>
      <c r="D66" s="821" t="n"/>
      <c r="E66" s="822" t="n"/>
      <c r="F66" s="1000" t="n"/>
      <c r="G66" s="1000" t="n"/>
      <c r="H66" s="828" t="n"/>
      <c r="I66" s="821" t="n"/>
      <c r="J66" s="822" t="n"/>
      <c r="K66" s="1000" t="n"/>
      <c r="L66" s="1000" t="n"/>
      <c r="M66" s="828" t="n"/>
      <c r="N66" s="821" t="n"/>
      <c r="O66" s="822" t="n"/>
      <c r="P66" s="1000" t="n"/>
      <c r="Q66" s="1000" t="n"/>
      <c r="R66" s="828" t="n"/>
      <c r="S66" s="821" t="n"/>
      <c r="T66" s="822" t="n"/>
      <c r="U66" s="827" t="n"/>
      <c r="V66" s="1000" t="n"/>
      <c r="W66" s="828" t="n"/>
      <c r="X66" s="821" t="n"/>
      <c r="Y66" s="822" t="n"/>
      <c r="Z66" s="1000" t="n"/>
      <c r="AA66" s="1000" t="n"/>
      <c r="AB66" s="828" t="n"/>
      <c r="AC66" s="821" t="n"/>
      <c r="AD66" s="822" t="n"/>
      <c r="AE66" s="803" t="n"/>
      <c r="AF66" s="1000" t="n"/>
      <c r="AG66" s="828" t="n"/>
      <c r="AH66" s="821" t="n"/>
      <c r="AI66" s="822" t="n"/>
      <c r="AJ66" s="803" t="n"/>
      <c r="AK66" s="1000" t="n"/>
      <c r="AL66" s="828" t="n"/>
      <c r="AM66" s="821" t="n"/>
      <c r="AN66" s="822" t="n"/>
      <c r="AO66" s="803" t="n"/>
      <c r="AP66" s="1000" t="n"/>
      <c r="AQ66" s="828" t="n"/>
      <c r="AR66" s="821" t="n"/>
      <c r="AS66" s="822" t="n"/>
      <c r="AT66" s="803" t="n"/>
      <c r="AU66" s="1000" t="n"/>
      <c r="AV66" s="828" t="n"/>
      <c r="AW66" s="821" t="n"/>
      <c r="AX66" s="822" t="n"/>
      <c r="AY66" s="803" t="n"/>
      <c r="AZ66" s="1000" t="n"/>
      <c r="BA66" s="828" t="n"/>
      <c r="BB66" s="821" t="n"/>
      <c r="BC66" s="822" t="n"/>
      <c r="BD66" s="803" t="n"/>
      <c r="BE66" s="1000" t="n"/>
      <c r="BF66" s="828" t="n"/>
      <c r="BG66" s="821" t="n"/>
      <c r="BH66" s="822" t="n"/>
      <c r="BI66" s="803" t="n"/>
      <c r="BJ66" s="1000" t="n"/>
      <c r="BK66" s="828" t="n"/>
      <c r="BL66" s="821" t="n"/>
      <c r="BM66" s="822" t="n"/>
      <c r="BN66" s="803" t="n"/>
      <c r="BO66" s="1000" t="n"/>
      <c r="BP66" s="828" t="n"/>
      <c r="BQ66" s="821" t="n"/>
      <c r="BR66" s="822" t="n"/>
      <c r="BS66" s="803" t="n"/>
      <c r="BT66" s="803" t="n"/>
      <c r="BU66" s="828" t="n"/>
      <c r="BV66" s="821" t="n"/>
      <c r="BW66" s="822" t="n"/>
      <c r="BX66" s="803" t="n"/>
      <c r="BY66" s="824" t="n"/>
      <c r="BZ66" s="828" t="n"/>
      <c r="CA66" s="821" t="n"/>
      <c r="CB66" s="822" t="n"/>
      <c r="CC66" s="803" t="n"/>
      <c r="CD66" s="824" t="n"/>
      <c r="CE66" s="828" t="n"/>
      <c r="CF66" s="821" t="n"/>
      <c r="CG66" s="822" t="n"/>
      <c r="CH66" s="803" t="n"/>
      <c r="CI66" s="824" t="n"/>
      <c r="CJ66" s="828" t="n"/>
      <c r="CK66" s="821" t="n"/>
      <c r="CL66" s="822" t="n"/>
      <c r="CM66" s="803" t="n"/>
      <c r="CN66" s="823" t="n"/>
      <c r="CO66" s="828" t="n"/>
      <c r="CP66" s="821" t="n"/>
      <c r="CQ66" s="822" t="n"/>
      <c r="CR66" s="803" t="n"/>
      <c r="CS66" s="823" t="n"/>
      <c r="CT66" s="828" t="n"/>
      <c r="CU66" s="821" t="n"/>
      <c r="CV66" s="822" t="n"/>
      <c r="CW66" s="803" t="n"/>
      <c r="CX66" s="823" t="n"/>
      <c r="CY66" s="828" t="n"/>
      <c r="CZ66" s="821" t="n"/>
      <c r="DA66" s="822" t="n"/>
      <c r="DB66" s="803" t="n"/>
      <c r="DC66" s="823" t="n"/>
      <c r="DD66" s="828" t="n"/>
      <c r="DE66" s="821" t="n"/>
      <c r="DF66" s="822" t="n"/>
      <c r="DG66" s="803" t="n"/>
      <c r="DH66" s="823" t="n"/>
      <c r="DI66" s="828" t="n"/>
      <c r="DJ66" s="821" t="n"/>
      <c r="DK66" s="822" t="n"/>
      <c r="DL66" s="803" t="n"/>
      <c r="DM66" s="823" t="n"/>
      <c r="DN66" s="828" t="n"/>
      <c r="DO66" s="821" t="n"/>
      <c r="DP66" s="822" t="n"/>
      <c r="DQ66" s="803" t="n"/>
      <c r="DR66" s="823" t="n"/>
      <c r="DS66" s="828" t="n"/>
      <c r="DT66" s="821" t="n"/>
      <c r="DU66" s="822" t="n"/>
    </row>
    <row r="67">
      <c r="B67" s="837" t="n"/>
      <c r="C67" s="828" t="n"/>
      <c r="D67" s="821" t="n"/>
      <c r="E67" s="822" t="n"/>
      <c r="F67" s="1000" t="n"/>
      <c r="G67" s="1000" t="n"/>
      <c r="H67" s="828" t="n"/>
      <c r="I67" s="821" t="n"/>
      <c r="J67" s="822" t="n"/>
      <c r="K67" s="1000" t="n"/>
      <c r="L67" s="1000" t="n"/>
      <c r="M67" s="828" t="n"/>
      <c r="N67" s="821" t="n"/>
      <c r="O67" s="822" t="n"/>
      <c r="P67" s="1000" t="n"/>
      <c r="Q67" s="1000" t="n"/>
      <c r="R67" s="828" t="n"/>
      <c r="S67" s="821" t="n"/>
      <c r="T67" s="822" t="n"/>
      <c r="U67" s="827" t="n"/>
      <c r="V67" s="1000" t="n"/>
      <c r="W67" s="828" t="n"/>
      <c r="X67" s="821" t="n"/>
      <c r="Y67" s="822" t="n"/>
      <c r="Z67" s="1000" t="n"/>
      <c r="AA67" s="1000" t="n"/>
      <c r="AB67" s="828" t="n"/>
      <c r="AC67" s="821" t="n"/>
      <c r="AD67" s="822" t="n"/>
      <c r="AE67" s="803" t="n"/>
      <c r="AF67" s="1000" t="n"/>
      <c r="AG67" s="828" t="n"/>
      <c r="AH67" s="821" t="n"/>
      <c r="AI67" s="822" t="n"/>
      <c r="AJ67" s="803" t="n"/>
      <c r="AK67" s="1000" t="n"/>
      <c r="AL67" s="828" t="n"/>
      <c r="AM67" s="821" t="n"/>
      <c r="AN67" s="822" t="n"/>
      <c r="AO67" s="803" t="n"/>
      <c r="AP67" s="1000" t="n"/>
      <c r="AQ67" s="828" t="n"/>
      <c r="AR67" s="821" t="n"/>
      <c r="AS67" s="822" t="n"/>
      <c r="AT67" s="803" t="n"/>
      <c r="AU67" s="1000" t="n"/>
      <c r="AV67" s="828" t="n"/>
      <c r="AW67" s="821" t="n"/>
      <c r="AX67" s="822" t="n"/>
      <c r="AY67" s="803" t="n"/>
      <c r="AZ67" s="1000" t="n"/>
      <c r="BA67" s="828" t="n"/>
      <c r="BB67" s="821" t="n"/>
      <c r="BC67" s="822" t="n"/>
      <c r="BD67" s="803" t="n"/>
      <c r="BE67" s="1000" t="n"/>
      <c r="BF67" s="828" t="n"/>
      <c r="BG67" s="821" t="n"/>
      <c r="BH67" s="822" t="n"/>
      <c r="BI67" s="803" t="n"/>
      <c r="BJ67" s="1000" t="n"/>
      <c r="BK67" s="828" t="n"/>
      <c r="BL67" s="821" t="n"/>
      <c r="BM67" s="822" t="n"/>
      <c r="BN67" s="803" t="n"/>
      <c r="BO67" s="1000" t="n"/>
      <c r="BP67" s="828" t="n"/>
      <c r="BQ67" s="821" t="n"/>
      <c r="BR67" s="822" t="n"/>
      <c r="BS67" s="803" t="n"/>
      <c r="BT67" s="803" t="n"/>
      <c r="BU67" s="828" t="n"/>
      <c r="BV67" s="821" t="n"/>
      <c r="BW67" s="822" t="n"/>
      <c r="BX67" s="803" t="n"/>
      <c r="BY67" s="824" t="n"/>
      <c r="BZ67" s="828" t="n"/>
      <c r="CA67" s="821" t="n"/>
      <c r="CB67" s="822" t="n"/>
      <c r="CC67" s="803" t="n"/>
      <c r="CD67" s="824" t="n"/>
      <c r="CE67" s="828" t="n"/>
      <c r="CF67" s="821" t="n"/>
      <c r="CG67" s="822" t="n"/>
      <c r="CH67" s="803" t="n"/>
      <c r="CI67" s="824" t="n"/>
      <c r="CJ67" s="828" t="n"/>
      <c r="CK67" s="821" t="n"/>
      <c r="CL67" s="822" t="n"/>
      <c r="CM67" s="803" t="n"/>
      <c r="CN67" s="823" t="n"/>
      <c r="CO67" s="828" t="n"/>
      <c r="CP67" s="821" t="n"/>
      <c r="CQ67" s="822" t="n"/>
      <c r="CR67" s="803" t="n"/>
      <c r="CS67" s="823" t="n"/>
      <c r="CT67" s="828" t="n"/>
      <c r="CU67" s="821" t="n"/>
      <c r="CV67" s="822" t="n"/>
      <c r="CW67" s="803" t="n"/>
      <c r="CX67" s="823" t="n"/>
      <c r="CY67" s="828" t="n"/>
      <c r="CZ67" s="821" t="n"/>
      <c r="DA67" s="822" t="n"/>
      <c r="DB67" s="803" t="n"/>
      <c r="DC67" s="823" t="n"/>
      <c r="DD67" s="828" t="n"/>
      <c r="DE67" s="821" t="n"/>
      <c r="DF67" s="822" t="n"/>
      <c r="DG67" s="803" t="n"/>
      <c r="DH67" s="823" t="n"/>
      <c r="DI67" s="828" t="n"/>
      <c r="DJ67" s="821" t="n"/>
      <c r="DK67" s="822" t="n"/>
      <c r="DL67" s="803" t="n"/>
      <c r="DM67" s="823" t="n"/>
      <c r="DN67" s="828" t="n"/>
      <c r="DO67" s="821" t="n"/>
      <c r="DP67" s="822" t="n"/>
      <c r="DQ67" s="803" t="n"/>
      <c r="DR67" s="823" t="n"/>
      <c r="DS67" s="828" t="n"/>
      <c r="DT67" s="821" t="n"/>
      <c r="DU67" s="822" t="n"/>
    </row>
    <row r="68">
      <c r="B68" s="837" t="n"/>
      <c r="C68" s="828" t="n"/>
      <c r="D68" s="821" t="n"/>
      <c r="E68" s="822" t="n"/>
      <c r="F68" s="1000" t="n"/>
      <c r="G68" s="1000" t="n"/>
      <c r="H68" s="828" t="n"/>
      <c r="I68" s="821" t="n"/>
      <c r="J68" s="822" t="n"/>
      <c r="K68" s="1000" t="n"/>
      <c r="L68" s="1000" t="n"/>
      <c r="M68" s="828" t="n"/>
      <c r="N68" s="821" t="n"/>
      <c r="O68" s="822" t="n"/>
      <c r="P68" s="1000" t="n"/>
      <c r="R68" s="828" t="n"/>
      <c r="S68" s="821" t="n"/>
      <c r="T68" s="822" t="n"/>
      <c r="U68" s="827" t="n"/>
      <c r="V68" s="1000" t="n"/>
      <c r="W68" s="828" t="n"/>
      <c r="X68" s="821" t="n"/>
      <c r="Y68" s="822" t="n"/>
      <c r="Z68" s="1000" t="n"/>
      <c r="AA68" s="1000" t="n"/>
      <c r="AB68" s="828" t="n"/>
      <c r="AC68" s="821" t="n"/>
      <c r="AD68" s="822" t="n"/>
      <c r="AE68" s="803" t="n"/>
      <c r="AF68" s="1000" t="n"/>
      <c r="AG68" s="828" t="n"/>
      <c r="AH68" s="821" t="n"/>
      <c r="AI68" s="822" t="n"/>
      <c r="AJ68" s="803" t="n"/>
      <c r="AK68" s="1000" t="n"/>
      <c r="AL68" s="828" t="n"/>
      <c r="AM68" s="821" t="n"/>
      <c r="AN68" s="822" t="n"/>
      <c r="AO68" s="803" t="n"/>
      <c r="AP68" s="1000" t="n"/>
      <c r="AQ68" s="828" t="n"/>
      <c r="AR68" s="821" t="n"/>
      <c r="AS68" s="822" t="n"/>
      <c r="AT68" s="803" t="n"/>
      <c r="AU68" s="1000" t="n"/>
      <c r="AV68" s="828" t="n"/>
      <c r="AW68" s="821" t="n"/>
      <c r="AX68" s="822" t="n"/>
      <c r="AY68" s="803" t="n"/>
      <c r="AZ68" s="1000" t="n"/>
      <c r="BA68" s="828" t="n"/>
      <c r="BB68" s="821" t="n"/>
      <c r="BC68" s="822" t="n"/>
      <c r="BD68" s="803" t="n"/>
      <c r="BE68" s="1000" t="n"/>
      <c r="BF68" s="828" t="n"/>
      <c r="BG68" s="821" t="n"/>
      <c r="BH68" s="822" t="n"/>
      <c r="BI68" s="803" t="n"/>
      <c r="BJ68" s="1000" t="n"/>
      <c r="BK68" s="828" t="n"/>
      <c r="BL68" s="821" t="n"/>
      <c r="BM68" s="822" t="n"/>
      <c r="BN68" s="803" t="n"/>
      <c r="BO68" s="1000" t="n"/>
      <c r="BP68" s="828" t="n"/>
      <c r="BQ68" s="821" t="n"/>
      <c r="BR68" s="822" t="n"/>
      <c r="BS68" s="803" t="n"/>
      <c r="BT68" s="803" t="n"/>
      <c r="BU68" s="828" t="n"/>
      <c r="BV68" s="821" t="n"/>
      <c r="BW68" s="822" t="n"/>
      <c r="BX68" s="803" t="n"/>
      <c r="BY68" s="824" t="n"/>
      <c r="BZ68" s="828" t="n"/>
      <c r="CA68" s="821" t="n"/>
      <c r="CB68" s="822" t="n"/>
      <c r="CC68" s="803" t="n"/>
      <c r="CD68" s="824" t="n"/>
      <c r="CE68" s="828" t="n"/>
      <c r="CF68" s="821" t="n"/>
      <c r="CG68" s="822" t="n"/>
      <c r="CH68" s="803" t="n"/>
      <c r="CI68" s="824" t="n"/>
      <c r="CJ68" s="828" t="n"/>
      <c r="CK68" s="821" t="n"/>
      <c r="CL68" s="822" t="n"/>
      <c r="CM68" s="803" t="n"/>
      <c r="CN68" s="823" t="n"/>
      <c r="CO68" s="828" t="n"/>
      <c r="CP68" s="821" t="n"/>
      <c r="CQ68" s="822" t="n"/>
      <c r="CR68" s="803" t="n"/>
      <c r="CS68" s="823" t="n"/>
      <c r="CT68" s="828" t="n"/>
      <c r="CU68" s="821" t="n"/>
      <c r="CV68" s="822" t="n"/>
      <c r="CW68" s="803" t="n"/>
      <c r="CX68" s="823" t="n"/>
      <c r="CY68" s="828" t="n"/>
      <c r="CZ68" s="821" t="n"/>
      <c r="DA68" s="822" t="n"/>
      <c r="DB68" s="803" t="n"/>
      <c r="DC68" s="823" t="n"/>
      <c r="DD68" s="828" t="n"/>
      <c r="DE68" s="821" t="n"/>
      <c r="DF68" s="822" t="n"/>
      <c r="DG68" s="803" t="n"/>
      <c r="DH68" s="823" t="n"/>
      <c r="DI68" s="828" t="n"/>
      <c r="DJ68" s="821" t="n"/>
      <c r="DK68" s="822" t="n"/>
      <c r="DL68" s="803" t="n"/>
      <c r="DM68" s="823" t="n"/>
      <c r="DN68" s="828" t="n"/>
      <c r="DO68" s="821" t="n"/>
      <c r="DP68" s="822" t="n"/>
      <c r="DQ68" s="803" t="n"/>
      <c r="DR68" s="823" t="n"/>
      <c r="DS68" s="828" t="n"/>
      <c r="DT68" s="821" t="n"/>
      <c r="DU68" s="822" t="n"/>
    </row>
    <row r="69">
      <c r="B69" s="837" t="n"/>
      <c r="C69" s="828" t="n"/>
      <c r="D69" s="821" t="n"/>
      <c r="E69" s="822" t="n"/>
      <c r="F69" s="1000" t="n"/>
      <c r="G69" s="1000" t="n"/>
      <c r="H69" s="828" t="n"/>
      <c r="I69" s="821" t="n"/>
      <c r="J69" s="822" t="n"/>
      <c r="K69" s="1000" t="n"/>
      <c r="L69" s="1000" t="n"/>
      <c r="M69" s="828" t="n"/>
      <c r="N69" s="821" t="n"/>
      <c r="O69" s="822" t="n"/>
      <c r="R69" s="828" t="n"/>
      <c r="S69" s="821" t="n"/>
      <c r="T69" s="822" t="n"/>
      <c r="U69" s="827" t="n"/>
      <c r="V69" s="1000" t="n"/>
      <c r="W69" s="828" t="n"/>
      <c r="X69" s="821" t="n"/>
      <c r="Y69" s="822" t="n"/>
      <c r="Z69" s="1000" t="n"/>
      <c r="AA69" s="1000" t="n"/>
      <c r="AB69" s="828" t="n"/>
      <c r="AC69" s="821" t="n"/>
      <c r="AD69" s="822" t="n"/>
      <c r="AE69" s="803" t="n"/>
      <c r="AF69" s="1000" t="n"/>
      <c r="AG69" s="828" t="n"/>
      <c r="AH69" s="821" t="n"/>
      <c r="AI69" s="822" t="n"/>
      <c r="AJ69" s="803" t="n"/>
      <c r="AK69" s="1000" t="n"/>
      <c r="AL69" s="828" t="n"/>
      <c r="AM69" s="821" t="n"/>
      <c r="AN69" s="822" t="n"/>
      <c r="AO69" s="803" t="n"/>
      <c r="AP69" s="1000" t="n"/>
      <c r="AQ69" s="828" t="n"/>
      <c r="AR69" s="821" t="n"/>
      <c r="AS69" s="822" t="n"/>
      <c r="AT69" s="803" t="n"/>
      <c r="AU69" s="1000" t="n"/>
      <c r="AV69" s="828" t="n"/>
      <c r="AW69" s="821" t="n"/>
      <c r="AX69" s="822" t="n"/>
      <c r="AY69" s="803" t="n"/>
      <c r="AZ69" s="1000" t="n"/>
      <c r="BA69" s="828" t="n"/>
      <c r="BB69" s="821" t="n"/>
      <c r="BC69" s="822" t="n"/>
      <c r="BD69" s="803" t="n"/>
      <c r="BE69" s="1000" t="n"/>
      <c r="BF69" s="828" t="n"/>
      <c r="BG69" s="821" t="n"/>
      <c r="BH69" s="822" t="n"/>
      <c r="BI69" s="803" t="n"/>
      <c r="BJ69" s="1000" t="n"/>
      <c r="BK69" s="828" t="n"/>
      <c r="BL69" s="821" t="n"/>
      <c r="BM69" s="822" t="n"/>
      <c r="BN69" s="803" t="n"/>
      <c r="BO69" s="1000" t="n"/>
      <c r="BP69" s="828" t="n"/>
      <c r="BQ69" s="821" t="n"/>
      <c r="BR69" s="822" t="n"/>
      <c r="BS69" s="803" t="n"/>
      <c r="BT69" s="803" t="n"/>
      <c r="BU69" s="828" t="n"/>
      <c r="BV69" s="821" t="n"/>
      <c r="BW69" s="822" t="n"/>
      <c r="BX69" s="803" t="n"/>
      <c r="BY69" s="824" t="n"/>
      <c r="BZ69" s="828" t="n"/>
      <c r="CA69" s="821" t="n"/>
      <c r="CB69" s="822" t="n"/>
      <c r="CC69" s="803" t="n"/>
      <c r="CD69" s="824" t="n"/>
      <c r="CE69" s="828" t="n"/>
      <c r="CF69" s="821" t="n"/>
      <c r="CG69" s="822" t="n"/>
      <c r="CH69" s="803" t="n"/>
      <c r="CI69" s="824" t="n"/>
      <c r="CJ69" s="828" t="n"/>
      <c r="CK69" s="821" t="n"/>
      <c r="CL69" s="822" t="n"/>
      <c r="CM69" s="803" t="n"/>
      <c r="CN69" s="823" t="n"/>
      <c r="CO69" s="828" t="n"/>
      <c r="CP69" s="821" t="n"/>
      <c r="CQ69" s="822" t="n"/>
      <c r="CR69" s="803" t="n"/>
      <c r="CS69" s="823" t="n"/>
      <c r="CT69" s="828" t="n"/>
      <c r="CU69" s="821" t="n"/>
      <c r="CV69" s="822" t="n"/>
      <c r="CW69" s="803" t="n"/>
      <c r="CX69" s="823" t="n"/>
      <c r="CY69" s="828" t="n"/>
      <c r="CZ69" s="821" t="n"/>
      <c r="DA69" s="822" t="n"/>
      <c r="DB69" s="803" t="n"/>
      <c r="DC69" s="823" t="n"/>
      <c r="DD69" s="828" t="n"/>
      <c r="DE69" s="821" t="n"/>
      <c r="DF69" s="822" t="n"/>
      <c r="DG69" s="803" t="n"/>
      <c r="DH69" s="823" t="n"/>
      <c r="DI69" s="828" t="n"/>
      <c r="DJ69" s="821" t="n"/>
      <c r="DK69" s="822" t="n"/>
      <c r="DL69" s="803" t="n"/>
      <c r="DM69" s="823" t="n"/>
      <c r="DN69" s="828" t="n"/>
      <c r="DO69" s="821" t="n"/>
      <c r="DP69" s="822" t="n"/>
      <c r="DQ69" s="803" t="n"/>
      <c r="DR69" s="823" t="n"/>
      <c r="DS69" s="828" t="n"/>
      <c r="DT69" s="821" t="n"/>
      <c r="DU69" s="822" t="n"/>
    </row>
    <row r="70">
      <c r="B70" s="837" t="n"/>
      <c r="C70" s="828" t="n"/>
      <c r="D70" s="821" t="n"/>
      <c r="E70" s="822" t="n"/>
      <c r="F70" s="1000" t="n"/>
      <c r="G70" s="1000" t="n"/>
      <c r="H70" s="828" t="n"/>
      <c r="I70" s="821" t="n"/>
      <c r="J70" s="822" t="n"/>
      <c r="K70" s="1000" t="n"/>
      <c r="L70" s="1000" t="n"/>
      <c r="M70" s="828" t="n"/>
      <c r="N70" s="821" t="n"/>
      <c r="O70" s="822" t="n"/>
      <c r="R70" s="828" t="n"/>
      <c r="S70" s="821" t="n"/>
      <c r="T70" s="822" t="n"/>
      <c r="U70" s="827" t="n"/>
      <c r="V70" s="1000" t="n"/>
      <c r="W70" s="828" t="n"/>
      <c r="X70" s="821" t="n"/>
      <c r="Y70" s="822" t="n"/>
      <c r="Z70" s="1000" t="n"/>
      <c r="AA70" s="1000" t="n"/>
      <c r="AB70" s="828" t="n"/>
      <c r="AC70" s="821" t="n"/>
      <c r="AD70" s="822" t="n"/>
      <c r="AE70" s="803" t="n"/>
      <c r="AF70" s="1000" t="n"/>
      <c r="AG70" s="828" t="n"/>
      <c r="AH70" s="821" t="n"/>
      <c r="AI70" s="822" t="n"/>
      <c r="AJ70" s="803" t="n"/>
      <c r="AK70" s="1000" t="n"/>
      <c r="AL70" s="828" t="n"/>
      <c r="AM70" s="821" t="n"/>
      <c r="AN70" s="822" t="n"/>
      <c r="AO70" s="803" t="n"/>
      <c r="AP70" s="1000" t="n"/>
      <c r="AQ70" s="828" t="n"/>
      <c r="AR70" s="821" t="n"/>
      <c r="AS70" s="822" t="n"/>
      <c r="AT70" s="803" t="n"/>
      <c r="AU70" s="1000" t="n"/>
      <c r="AV70" s="828" t="n"/>
      <c r="AW70" s="821" t="n"/>
      <c r="AX70" s="822" t="n"/>
      <c r="AY70" s="803" t="n"/>
      <c r="AZ70" s="1000" t="n"/>
      <c r="BA70" s="828" t="n"/>
      <c r="BB70" s="821" t="n"/>
      <c r="BC70" s="822" t="n"/>
      <c r="BD70" s="803" t="n"/>
      <c r="BE70" s="1000" t="n"/>
      <c r="BF70" s="828" t="n"/>
      <c r="BG70" s="821" t="n"/>
      <c r="BH70" s="822" t="n"/>
      <c r="BI70" s="803" t="n"/>
      <c r="BJ70" s="1000" t="n"/>
      <c r="BK70" s="828" t="n"/>
      <c r="BL70" s="821" t="n"/>
      <c r="BM70" s="822" t="n"/>
      <c r="BN70" s="803" t="n"/>
      <c r="BO70" s="1000" t="n"/>
      <c r="BP70" s="828" t="n"/>
      <c r="BQ70" s="821" t="n"/>
      <c r="BR70" s="822" t="n"/>
      <c r="BS70" s="803" t="n"/>
      <c r="BT70" s="803" t="n"/>
      <c r="BU70" s="828" t="n"/>
      <c r="BV70" s="821" t="n"/>
      <c r="BW70" s="822" t="n"/>
      <c r="BX70" s="803" t="n"/>
      <c r="BY70" s="824" t="n"/>
      <c r="BZ70" s="828" t="n"/>
      <c r="CA70" s="821" t="n"/>
      <c r="CB70" s="822" t="n"/>
      <c r="CC70" s="803" t="n"/>
      <c r="CD70" s="824" t="n"/>
      <c r="CE70" s="828" t="n"/>
      <c r="CF70" s="821" t="n"/>
      <c r="CG70" s="822" t="n"/>
      <c r="CH70" s="803" t="n"/>
      <c r="CI70" s="824" t="n"/>
      <c r="CJ70" s="828" t="n"/>
      <c r="CK70" s="821" t="n"/>
      <c r="CL70" s="822" t="n"/>
      <c r="CM70" s="803" t="n"/>
      <c r="CN70" s="823" t="n"/>
      <c r="CO70" s="828" t="n"/>
      <c r="CP70" s="821" t="n"/>
      <c r="CQ70" s="822" t="n"/>
      <c r="CR70" s="803" t="n"/>
      <c r="CS70" s="823" t="n"/>
      <c r="CT70" s="828" t="n"/>
      <c r="CU70" s="821" t="n"/>
      <c r="CV70" s="822" t="n"/>
      <c r="CW70" s="803" t="n"/>
      <c r="CX70" s="823" t="n"/>
      <c r="CY70" s="828" t="n"/>
      <c r="CZ70" s="821" t="n"/>
      <c r="DA70" s="822" t="n"/>
      <c r="DB70" s="803" t="n"/>
      <c r="DC70" s="823" t="n"/>
      <c r="DD70" s="828" t="n"/>
      <c r="DE70" s="821" t="n"/>
      <c r="DF70" s="822" t="n"/>
      <c r="DG70" s="803" t="n"/>
      <c r="DH70" s="823" t="n"/>
      <c r="DI70" s="828" t="n"/>
      <c r="DJ70" s="821" t="n"/>
      <c r="DK70" s="822" t="n"/>
      <c r="DL70" s="803" t="n"/>
      <c r="DM70" s="823" t="n"/>
      <c r="DN70" s="828" t="n"/>
      <c r="DO70" s="821" t="n"/>
      <c r="DP70" s="822" t="n"/>
      <c r="DQ70" s="803" t="n"/>
      <c r="DR70" s="823" t="n"/>
      <c r="DS70" s="828" t="n"/>
      <c r="DT70" s="821" t="n"/>
      <c r="DU70" s="822" t="n"/>
    </row>
    <row r="71">
      <c r="B71" s="837" t="n"/>
      <c r="C71" s="839" t="n"/>
      <c r="D71" s="839" t="n"/>
      <c r="E71" s="839" t="n"/>
      <c r="F71" s="1000" t="n"/>
      <c r="G71" s="1000" t="n"/>
      <c r="H71" s="828" t="n"/>
      <c r="I71" s="821" t="n"/>
      <c r="J71" s="822" t="n"/>
      <c r="K71" s="1000" t="n"/>
      <c r="L71" s="1000" t="n"/>
      <c r="M71" s="828" t="n"/>
      <c r="N71" s="821" t="n"/>
      <c r="O71" s="822" t="n"/>
      <c r="R71" s="828" t="n"/>
      <c r="S71" s="821" t="n"/>
      <c r="T71" s="822" t="n"/>
      <c r="U71" s="827" t="n"/>
      <c r="V71" s="1000" t="n"/>
      <c r="W71" s="828" t="n"/>
      <c r="X71" s="821" t="n"/>
      <c r="Y71" s="822" t="n"/>
      <c r="Z71" s="1000" t="n"/>
      <c r="AA71" s="1000" t="n"/>
      <c r="AB71" s="828" t="n"/>
      <c r="AC71" s="821" t="n"/>
      <c r="AD71" s="822" t="n"/>
      <c r="AE71" s="803" t="n"/>
      <c r="AF71" s="1000" t="n"/>
      <c r="AG71" s="828" t="n"/>
      <c r="AH71" s="821" t="n"/>
      <c r="AI71" s="822" t="n"/>
      <c r="AJ71" s="803" t="n"/>
      <c r="AK71" s="1000" t="n"/>
      <c r="AL71" s="828" t="n"/>
      <c r="AM71" s="821" t="n"/>
      <c r="AN71" s="822" t="n"/>
      <c r="AO71" s="803" t="n"/>
      <c r="AP71" s="1000" t="n"/>
      <c r="AQ71" s="828" t="n"/>
      <c r="AR71" s="821" t="n"/>
      <c r="AS71" s="822" t="n"/>
      <c r="AT71" s="803" t="n"/>
      <c r="AU71" s="1000" t="n"/>
      <c r="AV71" s="828" t="n"/>
      <c r="AW71" s="821" t="n"/>
      <c r="AX71" s="822" t="n"/>
      <c r="AY71" s="803" t="n"/>
      <c r="AZ71" s="1000" t="n"/>
      <c r="BA71" s="828" t="n"/>
      <c r="BB71" s="821" t="n"/>
      <c r="BC71" s="822" t="n"/>
      <c r="BD71" s="803" t="n"/>
      <c r="BE71" s="1000" t="n"/>
      <c r="BF71" s="828" t="n"/>
      <c r="BG71" s="821" t="n"/>
      <c r="BH71" s="822" t="n"/>
      <c r="BI71" s="803" t="n"/>
      <c r="BJ71" s="1000" t="n"/>
      <c r="BK71" s="828" t="n"/>
      <c r="BL71" s="821" t="n"/>
      <c r="BM71" s="822" t="n"/>
      <c r="BN71" s="803" t="n"/>
      <c r="BO71" s="1000" t="n"/>
      <c r="BP71" s="828" t="n"/>
      <c r="BQ71" s="821" t="n"/>
      <c r="BR71" s="822" t="n"/>
      <c r="BS71" s="803" t="n"/>
      <c r="BT71" s="803" t="n"/>
      <c r="BU71" s="828" t="n"/>
      <c r="BV71" s="821" t="n"/>
      <c r="BW71" s="822" t="n"/>
      <c r="BX71" s="803" t="n"/>
      <c r="BY71" s="824" t="n"/>
      <c r="BZ71" s="828" t="n"/>
      <c r="CA71" s="821" t="n"/>
      <c r="CB71" s="822" t="n"/>
      <c r="CC71" s="803" t="n"/>
      <c r="CD71" s="824" t="n"/>
      <c r="CE71" s="828" t="n"/>
      <c r="CF71" s="821" t="n"/>
      <c r="CG71" s="822" t="n"/>
      <c r="CH71" s="803" t="n"/>
      <c r="CI71" s="824" t="n"/>
      <c r="CJ71" s="828" t="n"/>
      <c r="CK71" s="821" t="n"/>
      <c r="CL71" s="822" t="n"/>
      <c r="CM71" s="803" t="n"/>
      <c r="CN71" s="823" t="n"/>
      <c r="CO71" s="828" t="n"/>
      <c r="CP71" s="821" t="n"/>
      <c r="CQ71" s="822" t="n"/>
      <c r="CR71" s="803" t="n"/>
      <c r="CS71" s="823" t="n"/>
      <c r="CT71" s="828" t="n"/>
      <c r="CU71" s="821" t="n"/>
      <c r="CV71" s="822" t="n"/>
      <c r="CW71" s="803" t="n"/>
      <c r="CX71" s="823" t="n"/>
      <c r="CY71" s="828" t="n"/>
      <c r="CZ71" s="821" t="n"/>
      <c r="DA71" s="822" t="n"/>
      <c r="DB71" s="803" t="n"/>
      <c r="DC71" s="823" t="n"/>
      <c r="DD71" s="828" t="n"/>
      <c r="DE71" s="821" t="n"/>
      <c r="DF71" s="822" t="n"/>
      <c r="DG71" s="803" t="n"/>
      <c r="DH71" s="823" t="n"/>
      <c r="DI71" s="828" t="n"/>
      <c r="DJ71" s="821" t="n"/>
      <c r="DK71" s="822" t="n"/>
      <c r="DL71" s="803" t="n"/>
      <c r="DM71" s="823" t="n"/>
      <c r="DN71" s="828" t="n"/>
      <c r="DO71" s="821" t="n"/>
      <c r="DP71" s="822" t="n"/>
      <c r="DQ71" s="803" t="n"/>
      <c r="DR71" s="823" t="n"/>
      <c r="DS71" s="828" t="n"/>
      <c r="DT71" s="821" t="n"/>
      <c r="DU71" s="822" t="n"/>
    </row>
    <row r="72">
      <c r="B72" s="803" t="n"/>
      <c r="C72" s="839" t="n"/>
      <c r="D72" s="839" t="n"/>
      <c r="E72" s="839" t="n"/>
      <c r="F72" s="823" t="n"/>
      <c r="G72" s="823" t="n"/>
      <c r="H72" s="828" t="n"/>
      <c r="I72" s="821" t="n"/>
      <c r="J72" s="835" t="n"/>
      <c r="K72" s="823" t="n"/>
      <c r="L72" s="823" t="n"/>
      <c r="M72" s="835" t="n"/>
      <c r="N72" s="835" t="n"/>
      <c r="O72" s="835" t="n"/>
      <c r="R72" s="823" t="n"/>
      <c r="S72" s="823" t="n"/>
      <c r="T72" s="823" t="n"/>
      <c r="U72" s="840" t="n"/>
      <c r="V72" s="823" t="n"/>
      <c r="W72" s="828" t="n"/>
      <c r="X72" s="821" t="n"/>
      <c r="Y72" s="839" t="n"/>
      <c r="Z72" s="823" t="n"/>
      <c r="AA72" s="823" t="n"/>
      <c r="AB72" s="828" t="n"/>
      <c r="AC72" s="821" t="n"/>
      <c r="AD72" s="839" t="n"/>
      <c r="AE72" s="803" t="n"/>
      <c r="AF72" s="823" t="n"/>
      <c r="AG72" s="839" t="n"/>
      <c r="AH72" s="839" t="n"/>
      <c r="AI72" s="839" t="n"/>
      <c r="AJ72" s="803" t="n"/>
      <c r="AK72" s="803" t="n"/>
      <c r="AL72" s="841" t="n"/>
      <c r="AM72" s="841" t="n"/>
      <c r="AN72" s="841" t="n"/>
      <c r="AO72" s="803" t="n"/>
      <c r="AP72" s="803" t="n"/>
      <c r="AQ72" s="841" t="n"/>
      <c r="AR72" s="841" t="n"/>
      <c r="AS72" s="841" t="n"/>
      <c r="AT72" s="803" t="n"/>
      <c r="AU72" s="803" t="n"/>
      <c r="AV72" s="841" t="n"/>
      <c r="AW72" s="841" t="n"/>
      <c r="AX72" s="841" t="n"/>
      <c r="AY72" s="803" t="n"/>
      <c r="AZ72" s="803" t="n"/>
      <c r="BA72" s="835" t="n"/>
      <c r="BB72" s="835" t="n"/>
      <c r="BC72" s="841" t="n"/>
      <c r="BD72" s="803" t="n"/>
      <c r="BE72" s="803" t="n"/>
      <c r="BF72" s="841" t="n"/>
      <c r="BG72" s="841" t="n"/>
      <c r="BH72" s="841" t="n"/>
      <c r="BI72" s="803" t="n"/>
      <c r="BJ72" s="803" t="n"/>
      <c r="BK72" s="841" t="n"/>
      <c r="BL72" s="841" t="n"/>
      <c r="BM72" s="841" t="n"/>
      <c r="BN72" s="803" t="n"/>
      <c r="BO72" s="841" t="n"/>
      <c r="BP72" s="841" t="n"/>
      <c r="BQ72" s="841" t="n"/>
      <c r="BR72" s="841" t="n"/>
      <c r="BS72" s="803" t="n"/>
      <c r="BT72" s="803" t="n"/>
      <c r="BU72" s="841" t="n"/>
      <c r="BV72" s="841" t="n"/>
      <c r="BW72" s="841" t="n"/>
      <c r="BX72" s="803" t="n"/>
      <c r="BY72" s="803" t="n"/>
      <c r="BZ72" s="841" t="n"/>
      <c r="CA72" s="841" t="n"/>
      <c r="CB72" s="841" t="n"/>
      <c r="CC72" s="803" t="n"/>
      <c r="CD72" s="803" t="n"/>
      <c r="CE72" s="841" t="n"/>
      <c r="CF72" s="841" t="n"/>
      <c r="CG72" s="841" t="n"/>
      <c r="CH72" s="803" t="n"/>
      <c r="CI72" s="803" t="n"/>
      <c r="CJ72" s="841" t="n"/>
      <c r="CK72" s="841" t="n"/>
      <c r="CL72" s="841" t="n"/>
      <c r="CM72" s="803" t="n"/>
      <c r="CN72" s="803" t="n"/>
      <c r="CO72" s="841" t="n"/>
      <c r="CP72" s="841" t="n"/>
      <c r="CQ72" s="841" t="n"/>
      <c r="CR72" s="803" t="n"/>
      <c r="CS72" s="803" t="n"/>
      <c r="CT72" s="841" t="n"/>
      <c r="CU72" s="841" t="n"/>
      <c r="CV72" s="841" t="n"/>
      <c r="CW72" s="803" t="n"/>
      <c r="CX72" s="803" t="n"/>
      <c r="CY72" s="841" t="n"/>
      <c r="CZ72" s="841" t="n"/>
      <c r="DA72" s="841" t="n"/>
      <c r="DB72" s="803" t="n"/>
      <c r="DC72" s="803" t="n"/>
      <c r="DD72" s="841" t="n"/>
      <c r="DE72" s="841" t="n"/>
      <c r="DF72" s="841" t="n"/>
      <c r="DG72" s="803" t="n"/>
      <c r="DH72" s="803" t="n"/>
      <c r="DI72" s="841" t="n"/>
      <c r="DJ72" s="841" t="n"/>
      <c r="DK72" s="841" t="n"/>
      <c r="DL72" s="803" t="n"/>
      <c r="DM72" s="803" t="n"/>
      <c r="DN72" s="841" t="n"/>
      <c r="DO72" s="841" t="n"/>
      <c r="DP72" s="841" t="n"/>
      <c r="DQ72" s="803" t="n"/>
      <c r="DR72" s="803" t="n"/>
      <c r="DS72" s="841" t="n"/>
      <c r="DT72" s="841" t="n"/>
      <c r="DU72" s="841" t="n"/>
    </row>
    <row r="73">
      <c r="B73" s="803" t="n"/>
      <c r="C73" s="839" t="n"/>
      <c r="D73" s="839" t="n"/>
      <c r="E73" s="839" t="n"/>
      <c r="F73" s="823" t="n"/>
      <c r="G73" s="823" t="n"/>
      <c r="H73" s="828" t="n"/>
      <c r="I73" s="821" t="n"/>
      <c r="J73" s="835" t="n"/>
      <c r="K73" s="823" t="n"/>
      <c r="L73" s="823" t="n"/>
      <c r="M73" s="835" t="n"/>
      <c r="N73" s="835" t="n"/>
      <c r="O73" s="835" t="n"/>
      <c r="R73" s="823" t="n"/>
      <c r="S73" s="823" t="n"/>
      <c r="T73" s="823" t="n"/>
      <c r="U73" s="840" t="n"/>
      <c r="V73" s="823" t="n"/>
      <c r="W73" s="828" t="n"/>
      <c r="X73" s="821" t="n"/>
      <c r="Y73" s="823" t="n"/>
      <c r="Z73" s="823" t="n"/>
      <c r="AA73" s="823" t="n"/>
      <c r="AB73" s="839" t="n"/>
      <c r="AC73" s="839" t="n"/>
      <c r="AD73" s="839" t="n"/>
      <c r="AE73" s="803" t="n"/>
      <c r="AF73" s="823" t="n"/>
      <c r="AG73" s="839" t="n"/>
      <c r="AH73" s="839" t="n"/>
      <c r="AI73" s="839" t="n"/>
      <c r="AJ73" s="803" t="n"/>
      <c r="AK73" s="803" t="n"/>
      <c r="AL73" s="841" t="n"/>
      <c r="AM73" s="841" t="n"/>
      <c r="AN73" s="841" t="n"/>
      <c r="AO73" s="803" t="n"/>
      <c r="AP73" s="803" t="n"/>
      <c r="AQ73" s="841" t="n"/>
      <c r="AR73" s="841" t="n"/>
      <c r="AS73" s="841" t="n"/>
      <c r="AT73" s="803" t="n"/>
      <c r="AU73" s="803" t="n"/>
      <c r="AV73" s="841" t="n"/>
      <c r="AW73" s="841" t="n"/>
      <c r="AX73" s="841" t="n"/>
      <c r="AY73" s="803" t="n"/>
      <c r="AZ73" s="803" t="n"/>
      <c r="BA73" s="841" t="n"/>
      <c r="BB73" s="841" t="n"/>
      <c r="BC73" s="841" t="n"/>
      <c r="BD73" s="803" t="n"/>
      <c r="BE73" s="803" t="n"/>
      <c r="BF73" s="841" t="n"/>
      <c r="BG73" s="841" t="n"/>
      <c r="BH73" s="841" t="n"/>
      <c r="BI73" s="803" t="n"/>
      <c r="BJ73" s="803" t="n"/>
      <c r="BK73" s="841" t="n"/>
      <c r="BL73" s="841" t="n"/>
      <c r="BM73" s="841" t="n"/>
      <c r="BN73" s="803" t="n"/>
      <c r="BO73" s="841" t="n"/>
      <c r="BP73" s="841" t="n"/>
      <c r="BQ73" s="841" t="n"/>
      <c r="BR73" s="841" t="n"/>
      <c r="BS73" s="803" t="n"/>
      <c r="BT73" s="803" t="n"/>
      <c r="BU73" s="841" t="n"/>
      <c r="BV73" s="841" t="n"/>
      <c r="BW73" s="841" t="n"/>
      <c r="BX73" s="803" t="n"/>
      <c r="BY73" s="803" t="n"/>
      <c r="BZ73" s="841" t="n"/>
      <c r="CA73" s="841" t="n"/>
      <c r="CB73" s="841" t="n"/>
      <c r="CC73" s="803" t="n"/>
      <c r="CD73" s="803" t="n"/>
      <c r="CE73" s="841" t="n"/>
      <c r="CF73" s="841" t="n"/>
      <c r="CG73" s="841" t="n"/>
      <c r="CH73" s="803" t="n"/>
      <c r="CI73" s="803" t="n"/>
      <c r="CJ73" s="841" t="n"/>
      <c r="CK73" s="841" t="n"/>
      <c r="CL73" s="841" t="n"/>
      <c r="CM73" s="803" t="n"/>
      <c r="CN73" s="803" t="n"/>
      <c r="CO73" s="841" t="n"/>
      <c r="CP73" s="841" t="n"/>
      <c r="CQ73" s="841" t="n"/>
      <c r="CR73" s="803" t="n"/>
      <c r="CS73" s="803" t="n"/>
      <c r="CT73" s="841" t="n"/>
      <c r="CU73" s="841" t="n"/>
      <c r="CV73" s="841" t="n"/>
      <c r="CW73" s="803" t="n"/>
      <c r="CX73" s="803" t="n"/>
      <c r="CY73" s="841" t="n"/>
      <c r="CZ73" s="841" t="n"/>
      <c r="DA73" s="841" t="n"/>
      <c r="DB73" s="803" t="n"/>
      <c r="DC73" s="803" t="n"/>
      <c r="DD73" s="841" t="n"/>
      <c r="DE73" s="841" t="n"/>
      <c r="DF73" s="841" t="n"/>
      <c r="DG73" s="803" t="n"/>
      <c r="DH73" s="803" t="n"/>
      <c r="DI73" s="841" t="n"/>
      <c r="DJ73" s="841" t="n"/>
      <c r="DK73" s="841" t="n"/>
      <c r="DL73" s="803" t="n"/>
      <c r="DM73" s="803" t="n"/>
      <c r="DN73" s="841" t="n"/>
      <c r="DO73" s="841" t="n"/>
      <c r="DP73" s="841" t="n"/>
      <c r="DQ73" s="803" t="n"/>
      <c r="DR73" s="803" t="n"/>
      <c r="DS73" s="841" t="n"/>
      <c r="DT73" s="841" t="n"/>
      <c r="DU73" s="841" t="n"/>
    </row>
    <row r="74">
      <c r="B74" s="803" t="n"/>
      <c r="C74" s="839" t="n"/>
      <c r="D74" s="839" t="n"/>
      <c r="E74" s="839" t="n"/>
      <c r="F74" s="823" t="n"/>
      <c r="G74" s="823" t="n"/>
      <c r="H74" s="828" t="n"/>
      <c r="I74" s="821" t="n"/>
      <c r="J74" s="835" t="n"/>
      <c r="K74" s="823" t="n"/>
      <c r="L74" s="823" t="n"/>
      <c r="M74" s="839" t="n"/>
      <c r="N74" s="839" t="n"/>
      <c r="O74" s="839" t="n"/>
      <c r="R74" s="839" t="n"/>
      <c r="S74" s="839" t="n"/>
      <c r="T74" s="839" t="n"/>
      <c r="U74" s="840" t="n"/>
      <c r="V74" s="823" t="n"/>
      <c r="W74" s="828" t="n"/>
      <c r="X74" s="821" t="n"/>
      <c r="Y74" s="839" t="n"/>
      <c r="Z74" s="803" t="n"/>
      <c r="AA74" s="823" t="n"/>
      <c r="AB74" s="839" t="n"/>
      <c r="AC74" s="839" t="n"/>
      <c r="AD74" s="839" t="n"/>
      <c r="AE74" s="803" t="n"/>
      <c r="AF74" s="803" t="n"/>
      <c r="AG74" s="841" t="n"/>
      <c r="AH74" s="841" t="n"/>
      <c r="AI74" s="841" t="n"/>
      <c r="AJ74" s="803" t="n"/>
      <c r="AK74" s="803" t="n"/>
      <c r="AL74" s="841" t="n"/>
      <c r="AM74" s="841" t="n"/>
      <c r="AN74" s="841" t="n"/>
      <c r="AO74" s="803" t="n"/>
      <c r="AP74" s="803" t="n"/>
      <c r="AQ74" s="841" t="n"/>
      <c r="AR74" s="841" t="n"/>
      <c r="AS74" s="841" t="n"/>
      <c r="AT74" s="803" t="n"/>
      <c r="AU74" s="803" t="n"/>
      <c r="AV74" s="841" t="n"/>
      <c r="AW74" s="841" t="n"/>
      <c r="AX74" s="841" t="n"/>
      <c r="AY74" s="803" t="n"/>
      <c r="AZ74" s="803" t="n"/>
      <c r="BA74" s="841" t="n"/>
      <c r="BB74" s="841" t="n"/>
      <c r="BC74" s="841" t="n"/>
      <c r="BD74" s="803" t="n"/>
      <c r="BE74" s="803" t="n"/>
      <c r="BF74" s="841" t="n"/>
      <c r="BG74" s="841" t="n"/>
      <c r="BH74" s="841" t="n"/>
      <c r="BI74" s="841" t="n"/>
      <c r="BJ74" s="841" t="n"/>
      <c r="BK74" s="841" t="n"/>
      <c r="BL74" s="841" t="n"/>
      <c r="BM74" s="841" t="n"/>
      <c r="BN74" s="841" t="n"/>
      <c r="BO74" s="803" t="n"/>
      <c r="BP74" s="841" t="n"/>
      <c r="BQ74" s="841" t="n"/>
      <c r="BR74" s="841" t="n"/>
      <c r="BS74" s="803" t="n"/>
      <c r="BT74" s="803" t="n"/>
      <c r="BU74" s="841" t="n"/>
      <c r="BV74" s="841" t="n"/>
      <c r="BW74" s="841" t="n"/>
      <c r="BX74" s="803" t="n"/>
      <c r="BY74" s="803" t="n"/>
      <c r="BZ74" s="841" t="n"/>
      <c r="CA74" s="841" t="n"/>
      <c r="CB74" s="841" t="n"/>
      <c r="CC74" s="803" t="n"/>
      <c r="CD74" s="803" t="n"/>
      <c r="CE74" s="841" t="n"/>
      <c r="CF74" s="841" t="n"/>
      <c r="CG74" s="841" t="n"/>
      <c r="CH74" s="803" t="n"/>
      <c r="CI74" s="803" t="n"/>
      <c r="CJ74" s="841" t="n"/>
      <c r="CK74" s="841" t="n"/>
      <c r="CL74" s="841" t="n"/>
      <c r="CM74" s="803" t="n"/>
      <c r="CN74" s="803" t="n"/>
      <c r="CO74" s="841" t="n"/>
      <c r="CP74" s="841" t="n"/>
      <c r="CQ74" s="841" t="n"/>
      <c r="CR74" s="803" t="n"/>
      <c r="CS74" s="803" t="n"/>
      <c r="CT74" s="841" t="n"/>
      <c r="CU74" s="841" t="n"/>
      <c r="CV74" s="841" t="n"/>
      <c r="CW74" s="803" t="n"/>
      <c r="CX74" s="803" t="n"/>
      <c r="CY74" s="841" t="n"/>
      <c r="CZ74" s="841" t="n"/>
      <c r="DA74" s="841" t="n"/>
      <c r="DB74" s="803" t="n"/>
      <c r="DC74" s="803" t="n"/>
      <c r="DD74" s="841" t="n"/>
      <c r="DE74" s="841" t="n"/>
      <c r="DF74" s="841" t="n"/>
      <c r="DG74" s="803" t="n"/>
      <c r="DH74" s="803" t="n"/>
      <c r="DI74" s="841" t="n"/>
      <c r="DJ74" s="841" t="n"/>
      <c r="DK74" s="841" t="n"/>
      <c r="DL74" s="803" t="n"/>
      <c r="DM74" s="803" t="n"/>
      <c r="DN74" s="841" t="n"/>
      <c r="DO74" s="841" t="n"/>
      <c r="DP74" s="841" t="n"/>
      <c r="DQ74" s="803" t="n"/>
      <c r="DR74" s="803" t="n"/>
      <c r="DS74" s="841" t="n"/>
      <c r="DT74" s="841" t="n"/>
      <c r="DU74" s="841" t="n"/>
    </row>
    <row r="75">
      <c r="B75" s="803" t="n"/>
      <c r="C75" s="839" t="n"/>
      <c r="D75" s="839" t="n"/>
      <c r="E75" s="839" t="n"/>
      <c r="F75" s="823" t="n"/>
      <c r="G75" s="823" t="n"/>
      <c r="H75" s="835" t="n"/>
      <c r="I75" s="835" t="n"/>
      <c r="J75" s="835" t="n"/>
      <c r="K75" s="823" t="n"/>
      <c r="L75" s="823" t="n"/>
      <c r="M75" s="839" t="n"/>
      <c r="N75" s="839" t="n"/>
      <c r="O75" s="839" t="n"/>
      <c r="R75" s="839" t="n"/>
      <c r="S75" s="839" t="n"/>
      <c r="T75" s="839" t="n"/>
      <c r="U75" s="840" t="n"/>
      <c r="V75" s="823" t="n"/>
      <c r="W75" s="839" t="n"/>
      <c r="X75" s="839" t="n"/>
      <c r="Y75" s="839" t="n"/>
      <c r="Z75" s="803" t="n"/>
      <c r="AA75" s="823" t="n"/>
      <c r="AB75" s="839" t="n"/>
      <c r="AC75" s="839" t="n"/>
      <c r="AD75" s="839" t="n"/>
      <c r="AE75" s="803" t="n"/>
      <c r="AF75" s="803" t="n"/>
      <c r="AG75" s="841" t="n"/>
      <c r="AH75" s="841" t="n"/>
      <c r="AI75" s="841" t="n"/>
      <c r="AJ75" s="803" t="n"/>
      <c r="AK75" s="803" t="n"/>
      <c r="AL75" s="841" t="n"/>
      <c r="AM75" s="841" t="n"/>
      <c r="AN75" s="841" t="n"/>
      <c r="AO75" s="803" t="n"/>
      <c r="AP75" s="803" t="n"/>
      <c r="AQ75" s="841" t="n"/>
      <c r="AR75" s="841" t="n"/>
      <c r="AS75" s="841" t="n"/>
      <c r="AT75" s="803" t="n"/>
      <c r="AU75" s="803" t="n"/>
      <c r="AV75" s="841" t="n"/>
      <c r="AW75" s="841" t="n"/>
      <c r="AX75" s="841" t="n"/>
      <c r="AY75" s="803" t="n"/>
      <c r="AZ75" s="803" t="n"/>
      <c r="BA75" s="841" t="n"/>
      <c r="BB75" s="841" t="n"/>
      <c r="BC75" s="841" t="n"/>
      <c r="BD75" s="803" t="n"/>
      <c r="BE75" s="803" t="n"/>
      <c r="BF75" s="841" t="n"/>
      <c r="BG75" s="841" t="n"/>
      <c r="BH75" s="841" t="n"/>
      <c r="BI75" s="841" t="n"/>
      <c r="BJ75" s="841" t="n"/>
      <c r="BK75" s="841" t="n"/>
      <c r="BL75" s="841" t="n"/>
      <c r="BM75" s="841" t="n"/>
      <c r="BN75" s="841" t="n"/>
      <c r="BO75" s="803" t="n"/>
      <c r="BP75" s="841" t="n"/>
      <c r="BQ75" s="841" t="n"/>
      <c r="BR75" s="841" t="n"/>
      <c r="BS75" s="803" t="n"/>
      <c r="BT75" s="803" t="n"/>
      <c r="BU75" s="841" t="n"/>
      <c r="BV75" s="841" t="n"/>
      <c r="BW75" s="841" t="n"/>
      <c r="BX75" s="803" t="n"/>
      <c r="BY75" s="803" t="n"/>
      <c r="BZ75" s="841" t="n"/>
      <c r="CA75" s="841" t="n"/>
      <c r="CB75" s="841" t="n"/>
      <c r="CC75" s="803" t="n"/>
      <c r="CD75" s="803" t="n"/>
      <c r="CE75" s="841" t="n"/>
      <c r="CF75" s="841" t="n"/>
      <c r="CG75" s="841" t="n"/>
      <c r="CH75" s="803" t="n"/>
      <c r="CI75" s="803" t="n"/>
      <c r="CJ75" s="841" t="n"/>
      <c r="CK75" s="841" t="n"/>
      <c r="CL75" s="841" t="n"/>
      <c r="CM75" s="803" t="n"/>
      <c r="CN75" s="803" t="n"/>
      <c r="CO75" s="841" t="n"/>
      <c r="CP75" s="841" t="n"/>
      <c r="CQ75" s="841" t="n"/>
      <c r="CR75" s="803" t="n"/>
      <c r="CS75" s="803" t="n"/>
      <c r="CT75" s="841" t="n"/>
      <c r="CU75" s="841" t="n"/>
      <c r="CV75" s="841" t="n"/>
      <c r="CW75" s="803" t="n"/>
      <c r="CX75" s="803" t="n"/>
      <c r="CY75" s="841" t="n"/>
      <c r="CZ75" s="841" t="n"/>
      <c r="DA75" s="841" t="n"/>
      <c r="DB75" s="803" t="n"/>
      <c r="DC75" s="803" t="n"/>
      <c r="DD75" s="841" t="n"/>
      <c r="DE75" s="841" t="n"/>
      <c r="DF75" s="841" t="n"/>
      <c r="DG75" s="803" t="n"/>
      <c r="DH75" s="803" t="n"/>
      <c r="DI75" s="841" t="n"/>
      <c r="DJ75" s="841" t="n"/>
      <c r="DK75" s="841" t="n"/>
      <c r="DL75" s="803" t="n"/>
      <c r="DM75" s="803" t="n"/>
      <c r="DN75" s="841" t="n"/>
      <c r="DO75" s="841" t="n"/>
      <c r="DP75" s="841" t="n"/>
      <c r="DQ75" s="803" t="n"/>
      <c r="DR75" s="803" t="n"/>
      <c r="DS75" s="841" t="n"/>
      <c r="DT75" s="841" t="n"/>
      <c r="DU75" s="841" t="n"/>
    </row>
    <row r="76">
      <c r="B76" s="803" t="n"/>
      <c r="C76" s="839" t="n"/>
      <c r="D76" s="839" t="n"/>
      <c r="E76" s="839" t="n"/>
      <c r="F76" s="823" t="n"/>
      <c r="G76" s="823" t="n"/>
      <c r="H76" s="835" t="n"/>
      <c r="I76" s="835" t="n"/>
      <c r="J76" s="835" t="n"/>
      <c r="K76" s="823" t="n"/>
      <c r="L76" s="823" t="n"/>
      <c r="M76" s="839" t="n"/>
      <c r="N76" s="839" t="n"/>
      <c r="O76" s="839" t="n"/>
      <c r="R76" s="839" t="n"/>
      <c r="S76" s="839" t="n"/>
      <c r="T76" s="839" t="n"/>
      <c r="U76" s="840" t="n"/>
      <c r="V76" s="823" t="n"/>
      <c r="W76" s="823" t="n"/>
      <c r="X76" s="823" t="n"/>
      <c r="Y76" s="839" t="n"/>
      <c r="Z76" s="803" t="n"/>
      <c r="AA76" s="823" t="n"/>
      <c r="AB76" s="839" t="n"/>
      <c r="AC76" s="839" t="n"/>
      <c r="AD76" s="839" t="n"/>
      <c r="AE76" s="803" t="n"/>
      <c r="AF76" s="803" t="n"/>
      <c r="AG76" s="841" t="n"/>
      <c r="AH76" s="841" t="n"/>
      <c r="AI76" s="841" t="n"/>
      <c r="AJ76" s="803" t="n"/>
      <c r="AK76" s="803" t="n"/>
      <c r="AL76" s="841" t="n"/>
      <c r="AM76" s="841" t="n"/>
      <c r="AN76" s="841" t="n"/>
      <c r="AO76" s="803" t="n"/>
      <c r="AP76" s="803" t="n"/>
      <c r="AQ76" s="841" t="n"/>
      <c r="AR76" s="841" t="n"/>
      <c r="AS76" s="841" t="n"/>
      <c r="AT76" s="803" t="n"/>
      <c r="AU76" s="803" t="n"/>
      <c r="AV76" s="841" t="n"/>
      <c r="AW76" s="841" t="n"/>
      <c r="AX76" s="841" t="n"/>
      <c r="AY76" s="803" t="n"/>
      <c r="AZ76" s="803" t="n"/>
      <c r="BA76" s="841" t="n"/>
      <c r="BB76" s="841" t="n"/>
      <c r="BC76" s="841" t="n"/>
      <c r="BD76" s="803" t="n"/>
      <c r="BE76" s="803" t="n"/>
      <c r="BF76" s="841" t="n"/>
      <c r="BG76" s="841" t="n"/>
      <c r="BH76" s="841" t="n"/>
      <c r="BI76" s="841" t="n"/>
      <c r="BJ76" s="841" t="n"/>
      <c r="BK76" s="841" t="n"/>
      <c r="BL76" s="841" t="n"/>
      <c r="BM76" s="841" t="n"/>
      <c r="BN76" s="841" t="n"/>
      <c r="BO76" s="803" t="n"/>
      <c r="BP76" s="841" t="n"/>
      <c r="BQ76" s="841" t="n"/>
      <c r="BR76" s="841" t="n"/>
      <c r="BS76" s="803" t="n"/>
      <c r="BT76" s="803" t="n"/>
      <c r="BU76" s="841" t="n"/>
      <c r="BV76" s="841" t="n"/>
      <c r="BW76" s="841" t="n"/>
      <c r="BX76" s="803" t="n"/>
      <c r="BY76" s="803" t="n"/>
      <c r="BZ76" s="841" t="n"/>
      <c r="CA76" s="841" t="n"/>
      <c r="CB76" s="841" t="n"/>
      <c r="CC76" s="803" t="n"/>
      <c r="CD76" s="803" t="n"/>
      <c r="CE76" s="841" t="n"/>
      <c r="CF76" s="841" t="n"/>
      <c r="CG76" s="841" t="n"/>
      <c r="CH76" s="803" t="n"/>
      <c r="CI76" s="803" t="n"/>
      <c r="CJ76" s="841" t="n"/>
      <c r="CK76" s="841" t="n"/>
      <c r="CL76" s="841" t="n"/>
      <c r="CM76" s="803" t="n"/>
      <c r="CN76" s="803" t="n"/>
      <c r="CO76" s="841" t="n"/>
      <c r="CP76" s="841" t="n"/>
      <c r="CQ76" s="841" t="n"/>
      <c r="CR76" s="803" t="n"/>
      <c r="CS76" s="803" t="n"/>
      <c r="CT76" s="841" t="n"/>
      <c r="CU76" s="841" t="n"/>
      <c r="CV76" s="841" t="n"/>
      <c r="CW76" s="803" t="n"/>
      <c r="CX76" s="803" t="n"/>
      <c r="CY76" s="841" t="n"/>
      <c r="CZ76" s="841" t="n"/>
      <c r="DA76" s="841" t="n"/>
      <c r="DB76" s="803" t="n"/>
      <c r="DC76" s="803" t="n"/>
      <c r="DD76" s="841" t="n"/>
      <c r="DE76" s="841" t="n"/>
      <c r="DF76" s="841" t="n"/>
      <c r="DG76" s="803" t="n"/>
      <c r="DH76" s="803" t="n"/>
      <c r="DI76" s="841" t="n"/>
      <c r="DJ76" s="841" t="n"/>
      <c r="DK76" s="841" t="n"/>
      <c r="DL76" s="803" t="n"/>
      <c r="DM76" s="803" t="n"/>
      <c r="DN76" s="841" t="n"/>
      <c r="DO76" s="841" t="n"/>
      <c r="DP76" s="841" t="n"/>
      <c r="DQ76" s="803" t="n"/>
      <c r="DR76" s="803" t="n"/>
      <c r="DS76" s="841" t="n"/>
      <c r="DT76" s="841" t="n"/>
      <c r="DU76" s="841" t="n"/>
    </row>
    <row r="77">
      <c r="B77" s="803" t="n"/>
      <c r="C77" s="839" t="n"/>
      <c r="D77" s="839" t="n"/>
      <c r="E77" s="839" t="n"/>
      <c r="F77" s="823" t="n"/>
      <c r="G77" s="823" t="n"/>
      <c r="H77" s="835" t="n"/>
      <c r="I77" s="835" t="n"/>
      <c r="J77" s="835" t="n"/>
      <c r="K77" s="823" t="n"/>
      <c r="L77" s="823" t="n"/>
      <c r="M77" s="839" t="n"/>
      <c r="N77" s="839" t="n"/>
      <c r="O77" s="839" t="n"/>
      <c r="R77" s="839" t="n"/>
      <c r="S77" s="839" t="n"/>
      <c r="T77" s="839" t="n"/>
      <c r="U77" s="840" t="n"/>
      <c r="V77" s="823" t="n"/>
      <c r="W77" s="839" t="n"/>
      <c r="X77" s="839" t="n"/>
      <c r="Y77" s="839" t="n"/>
      <c r="Z77" s="803" t="n"/>
      <c r="AA77" s="823" t="n"/>
      <c r="AB77" s="839" t="n"/>
      <c r="AC77" s="839" t="n"/>
      <c r="AD77" s="839" t="n"/>
      <c r="AE77" s="803" t="n"/>
      <c r="AF77" s="803" t="n"/>
      <c r="AG77" s="841" t="n"/>
      <c r="AH77" s="841" t="n"/>
      <c r="AI77" s="841" t="n"/>
      <c r="AJ77" s="803" t="n"/>
      <c r="AK77" s="803" t="n"/>
      <c r="AL77" s="841" t="n"/>
      <c r="AM77" s="841" t="n"/>
      <c r="AN77" s="841" t="n"/>
      <c r="AO77" s="803" t="n"/>
      <c r="AP77" s="803" t="n"/>
      <c r="AQ77" s="841" t="n"/>
      <c r="AR77" s="841" t="n"/>
      <c r="AS77" s="841" t="n"/>
      <c r="AT77" s="803" t="n"/>
      <c r="AU77" s="803" t="n"/>
      <c r="AV77" s="841" t="n"/>
      <c r="AW77" s="841" t="n"/>
      <c r="AX77" s="841" t="n"/>
      <c r="AY77" s="803" t="n"/>
      <c r="AZ77" s="803" t="n"/>
      <c r="BA77" s="841" t="n"/>
      <c r="BB77" s="841" t="n"/>
      <c r="BC77" s="841" t="n"/>
      <c r="BD77" s="803" t="n"/>
      <c r="BE77" s="803" t="n"/>
      <c r="BF77" s="841" t="n"/>
      <c r="BG77" s="841" t="n"/>
      <c r="BH77" s="841" t="n"/>
      <c r="BI77" s="841" t="n"/>
      <c r="BJ77" s="841" t="n"/>
      <c r="BK77" s="841" t="n"/>
      <c r="BL77" s="841" t="n"/>
      <c r="BM77" s="841" t="n"/>
      <c r="BN77" s="841" t="n"/>
      <c r="BO77" s="803" t="n"/>
      <c r="BP77" s="841" t="n"/>
      <c r="BQ77" s="841" t="n"/>
      <c r="BR77" s="841" t="n"/>
      <c r="BS77" s="803" t="n"/>
      <c r="BT77" s="803" t="n"/>
      <c r="BU77" s="841" t="n"/>
      <c r="BV77" s="841" t="n"/>
      <c r="BW77" s="841" t="n"/>
      <c r="BX77" s="803" t="n"/>
      <c r="BY77" s="803" t="n"/>
      <c r="BZ77" s="841" t="n"/>
      <c r="CA77" s="841" t="n"/>
      <c r="CB77" s="841" t="n"/>
      <c r="CC77" s="803" t="n"/>
      <c r="CD77" s="803" t="n"/>
      <c r="CE77" s="841" t="n"/>
      <c r="CF77" s="841" t="n"/>
      <c r="CG77" s="841" t="n"/>
      <c r="CH77" s="803" t="n"/>
      <c r="CI77" s="803" t="n"/>
      <c r="CJ77" s="841" t="n"/>
      <c r="CK77" s="841" t="n"/>
      <c r="CL77" s="841" t="n"/>
      <c r="CM77" s="803" t="n"/>
      <c r="CN77" s="803" t="n"/>
      <c r="CO77" s="841" t="n"/>
      <c r="CP77" s="841" t="n"/>
      <c r="CQ77" s="841" t="n"/>
      <c r="CR77" s="803" t="n"/>
      <c r="CS77" s="803" t="n"/>
      <c r="CT77" s="841" t="n"/>
      <c r="CU77" s="841" t="n"/>
      <c r="CV77" s="841" t="n"/>
      <c r="CW77" s="803" t="n"/>
      <c r="CX77" s="803" t="n"/>
      <c r="CY77" s="841" t="n"/>
      <c r="CZ77" s="841" t="n"/>
      <c r="DA77" s="841" t="n"/>
      <c r="DB77" s="803" t="n"/>
      <c r="DC77" s="803" t="n"/>
      <c r="DD77" s="841" t="n"/>
      <c r="DE77" s="841" t="n"/>
      <c r="DF77" s="841" t="n"/>
      <c r="DG77" s="803" t="n"/>
      <c r="DH77" s="803" t="n"/>
      <c r="DI77" s="841" t="n"/>
      <c r="DJ77" s="841" t="n"/>
      <c r="DK77" s="841" t="n"/>
      <c r="DL77" s="803" t="n"/>
      <c r="DM77" s="803" t="n"/>
      <c r="DN77" s="841" t="n"/>
      <c r="DO77" s="841" t="n"/>
      <c r="DP77" s="841" t="n"/>
      <c r="DQ77" s="803" t="n"/>
      <c r="DR77" s="803" t="n"/>
      <c r="DS77" s="841" t="n"/>
      <c r="DT77" s="841" t="n"/>
      <c r="DU77" s="841" t="n"/>
    </row>
    <row r="78">
      <c r="B78" s="803" t="n"/>
      <c r="C78" s="839" t="n"/>
      <c r="D78" s="839" t="n"/>
      <c r="E78" s="839" t="n"/>
      <c r="F78" s="823" t="n"/>
      <c r="G78" s="823" t="n"/>
      <c r="H78" s="835" t="n"/>
      <c r="I78" s="835" t="n"/>
      <c r="J78" s="835" t="n"/>
      <c r="K78" s="823" t="n"/>
      <c r="L78" s="823" t="n"/>
      <c r="M78" s="839" t="n"/>
      <c r="N78" s="839" t="n"/>
      <c r="O78" s="839" t="n"/>
      <c r="R78" s="839" t="n"/>
      <c r="S78" s="839" t="n"/>
      <c r="T78" s="839" t="n"/>
      <c r="U78" s="840" t="n"/>
      <c r="V78" s="823" t="n"/>
      <c r="W78" s="839" t="n"/>
      <c r="X78" s="839" t="n"/>
      <c r="Y78" s="839" t="n"/>
      <c r="Z78" s="803" t="n"/>
      <c r="AA78" s="823" t="n"/>
      <c r="AB78" s="839" t="n"/>
      <c r="AC78" s="839" t="n"/>
      <c r="AD78" s="839" t="n"/>
      <c r="AE78" s="803" t="n"/>
      <c r="AF78" s="803" t="n"/>
      <c r="AG78" s="841" t="n"/>
      <c r="AH78" s="841" t="n"/>
      <c r="AI78" s="841" t="n"/>
      <c r="AJ78" s="803" t="n"/>
      <c r="AK78" s="803" t="n"/>
      <c r="AL78" s="841" t="n"/>
      <c r="AM78" s="841" t="n"/>
      <c r="AN78" s="841" t="n"/>
      <c r="AO78" s="803" t="n"/>
      <c r="AP78" s="803" t="n"/>
      <c r="AQ78" s="841" t="n"/>
      <c r="AR78" s="841" t="n"/>
      <c r="AS78" s="841" t="n"/>
      <c r="AT78" s="803" t="n"/>
      <c r="AU78" s="803" t="n"/>
      <c r="AV78" s="841" t="n"/>
      <c r="AW78" s="841" t="n"/>
      <c r="AX78" s="841" t="n"/>
      <c r="AY78" s="803" t="n"/>
      <c r="AZ78" s="803" t="n"/>
      <c r="BA78" s="841" t="n"/>
      <c r="BB78" s="841" t="n"/>
      <c r="BC78" s="841" t="n"/>
      <c r="BD78" s="803" t="n"/>
      <c r="BE78" s="803" t="n"/>
      <c r="BF78" s="841" t="n"/>
      <c r="BG78" s="841" t="n"/>
      <c r="BH78" s="841" t="n"/>
      <c r="BI78" s="841" t="n"/>
      <c r="BJ78" s="841" t="n"/>
      <c r="BK78" s="841" t="n"/>
      <c r="BL78" s="841" t="n"/>
      <c r="BM78" s="841" t="n"/>
      <c r="BN78" s="841" t="n"/>
      <c r="BO78" s="803" t="n"/>
      <c r="BP78" s="841" t="n"/>
      <c r="BQ78" s="841" t="n"/>
      <c r="BR78" s="841" t="n"/>
      <c r="BS78" s="803" t="n"/>
      <c r="BT78" s="803" t="n"/>
      <c r="BU78" s="841" t="n"/>
      <c r="BV78" s="841" t="n"/>
      <c r="BW78" s="841" t="n"/>
      <c r="BX78" s="803" t="n"/>
      <c r="BY78" s="803" t="n"/>
      <c r="BZ78" s="841" t="n"/>
      <c r="CA78" s="841" t="n"/>
      <c r="CB78" s="841" t="n"/>
      <c r="CC78" s="803" t="n"/>
      <c r="CD78" s="803" t="n"/>
      <c r="CE78" s="841" t="n"/>
      <c r="CF78" s="841" t="n"/>
      <c r="CG78" s="841" t="n"/>
      <c r="CH78" s="803" t="n"/>
      <c r="CI78" s="803" t="n"/>
      <c r="CJ78" s="841" t="n"/>
      <c r="CK78" s="841" t="n"/>
      <c r="CL78" s="841" t="n"/>
      <c r="CM78" s="803" t="n"/>
      <c r="CN78" s="803" t="n"/>
      <c r="CO78" s="841" t="n"/>
      <c r="CP78" s="841" t="n"/>
      <c r="CQ78" s="841" t="n"/>
      <c r="CR78" s="803" t="n"/>
      <c r="CS78" s="803" t="n"/>
      <c r="CT78" s="841" t="n"/>
      <c r="CU78" s="841" t="n"/>
      <c r="CV78" s="841" t="n"/>
      <c r="CW78" s="803" t="n"/>
      <c r="CX78" s="803" t="n"/>
      <c r="CY78" s="841" t="n"/>
      <c r="CZ78" s="841" t="n"/>
      <c r="DA78" s="841" t="n"/>
      <c r="DB78" s="803" t="n"/>
      <c r="DC78" s="803" t="n"/>
      <c r="DD78" s="841" t="n"/>
      <c r="DE78" s="841" t="n"/>
      <c r="DF78" s="841" t="n"/>
      <c r="DG78" s="803" t="n"/>
      <c r="DH78" s="803" t="n"/>
      <c r="DI78" s="841" t="n"/>
      <c r="DJ78" s="841" t="n"/>
      <c r="DK78" s="841" t="n"/>
      <c r="DL78" s="803" t="n"/>
      <c r="DM78" s="803" t="n"/>
      <c r="DN78" s="841" t="n"/>
      <c r="DO78" s="841" t="n"/>
      <c r="DP78" s="841" t="n"/>
      <c r="DQ78" s="803" t="n"/>
      <c r="DR78" s="803" t="n"/>
      <c r="DS78" s="841" t="n"/>
      <c r="DT78" s="841" t="n"/>
      <c r="DU78" s="841" t="n"/>
    </row>
    <row r="79">
      <c r="B79" s="803" t="n"/>
      <c r="C79" s="839" t="n"/>
      <c r="D79" s="839" t="n"/>
      <c r="E79" s="839" t="n"/>
      <c r="F79" s="823" t="n"/>
      <c r="G79" s="823" t="n"/>
      <c r="H79" s="835" t="n"/>
      <c r="I79" s="835" t="n"/>
      <c r="J79" s="835" t="n"/>
      <c r="K79" s="823" t="n"/>
      <c r="L79" s="823" t="n"/>
      <c r="M79" s="839" t="n"/>
      <c r="N79" s="839" t="n"/>
      <c r="O79" s="839" t="n"/>
      <c r="R79" s="839" t="n"/>
      <c r="S79" s="839" t="n"/>
      <c r="T79" s="839" t="n"/>
      <c r="U79" s="840" t="n"/>
      <c r="V79" s="823" t="n"/>
      <c r="W79" s="839" t="n"/>
      <c r="X79" s="839" t="n"/>
      <c r="Y79" s="839" t="n"/>
      <c r="Z79" s="803" t="n"/>
      <c r="AA79" s="823" t="n"/>
      <c r="AB79" s="839" t="n"/>
      <c r="AC79" s="839" t="n"/>
      <c r="AD79" s="839" t="n"/>
      <c r="AE79" s="803" t="n"/>
      <c r="AF79" s="803" t="n"/>
      <c r="AG79" s="841" t="n"/>
      <c r="AH79" s="841" t="n"/>
      <c r="AI79" s="841" t="n"/>
      <c r="AJ79" s="803" t="n"/>
      <c r="AK79" s="803" t="n"/>
      <c r="AL79" s="841" t="n"/>
      <c r="AM79" s="841" t="n"/>
      <c r="AN79" s="841" t="n"/>
      <c r="AO79" s="803" t="n"/>
      <c r="AP79" s="803" t="n"/>
      <c r="AQ79" s="841" t="n"/>
      <c r="AR79" s="841" t="n"/>
      <c r="AS79" s="841" t="n"/>
      <c r="AT79" s="803" t="n"/>
      <c r="AU79" s="803" t="n"/>
      <c r="AV79" s="841" t="n"/>
      <c r="AW79" s="841" t="n"/>
      <c r="AX79" s="841" t="n"/>
      <c r="AY79" s="803" t="n"/>
      <c r="AZ79" s="803" t="n"/>
      <c r="BA79" s="841" t="n"/>
      <c r="BB79" s="841" t="n"/>
      <c r="BC79" s="841" t="n"/>
      <c r="BD79" s="803" t="n"/>
      <c r="BE79" s="803" t="n"/>
      <c r="BF79" s="841" t="n"/>
      <c r="BG79" s="841" t="n"/>
      <c r="BH79" s="841" t="n"/>
      <c r="BI79" s="841" t="n"/>
      <c r="BJ79" s="841" t="n"/>
      <c r="BK79" s="841" t="n"/>
      <c r="BL79" s="841" t="n"/>
      <c r="BM79" s="841" t="n"/>
      <c r="BN79" s="841" t="n"/>
      <c r="BO79" s="803" t="n"/>
      <c r="BP79" s="841" t="n"/>
      <c r="BQ79" s="841" t="n"/>
      <c r="BR79" s="841" t="n"/>
      <c r="BS79" s="803" t="n"/>
      <c r="BT79" s="803" t="n"/>
      <c r="BU79" s="841" t="n"/>
      <c r="BV79" s="841" t="n"/>
      <c r="BW79" s="841" t="n"/>
      <c r="BX79" s="803" t="n"/>
      <c r="BY79" s="803" t="n"/>
      <c r="BZ79" s="841" t="n"/>
      <c r="CA79" s="841" t="n"/>
      <c r="CB79" s="841" t="n"/>
      <c r="CC79" s="803" t="n"/>
      <c r="CD79" s="803" t="n"/>
      <c r="CE79" s="841" t="n"/>
      <c r="CF79" s="841" t="n"/>
      <c r="CG79" s="841" t="n"/>
      <c r="CH79" s="803" t="n"/>
      <c r="CI79" s="803" t="n"/>
      <c r="CJ79" s="841" t="n"/>
      <c r="CK79" s="841" t="n"/>
      <c r="CL79" s="841" t="n"/>
      <c r="CM79" s="803" t="n"/>
      <c r="CN79" s="803" t="n"/>
      <c r="CO79" s="841" t="n"/>
      <c r="CP79" s="841" t="n"/>
      <c r="CQ79" s="841" t="n"/>
      <c r="CR79" s="803" t="n"/>
      <c r="CS79" s="803" t="n"/>
      <c r="CT79" s="841" t="n"/>
      <c r="CU79" s="841" t="n"/>
      <c r="CV79" s="841" t="n"/>
      <c r="CW79" s="803" t="n"/>
      <c r="CX79" s="803" t="n"/>
      <c r="CY79" s="841" t="n"/>
      <c r="CZ79" s="841" t="n"/>
      <c r="DA79" s="841" t="n"/>
      <c r="DB79" s="803" t="n"/>
      <c r="DC79" s="803" t="n"/>
      <c r="DD79" s="841" t="n"/>
      <c r="DE79" s="841" t="n"/>
      <c r="DF79" s="841" t="n"/>
      <c r="DG79" s="803" t="n"/>
      <c r="DH79" s="803" t="n"/>
      <c r="DI79" s="841" t="n"/>
      <c r="DJ79" s="841" t="n"/>
      <c r="DK79" s="841" t="n"/>
      <c r="DL79" s="803" t="n"/>
      <c r="DM79" s="803" t="n"/>
      <c r="DN79" s="841" t="n"/>
      <c r="DO79" s="841" t="n"/>
      <c r="DP79" s="841" t="n"/>
      <c r="DQ79" s="803" t="n"/>
      <c r="DR79" s="803" t="n"/>
      <c r="DS79" s="841" t="n"/>
      <c r="DT79" s="841" t="n"/>
      <c r="DU79" s="841" t="n"/>
    </row>
    <row r="80">
      <c r="B80" s="803" t="n"/>
      <c r="C80" s="839" t="n"/>
      <c r="D80" s="839" t="n"/>
      <c r="E80" s="839" t="n"/>
      <c r="F80" s="803" t="n"/>
      <c r="G80" s="803" t="n"/>
      <c r="H80" s="835" t="n"/>
      <c r="I80" s="835" t="n"/>
      <c r="J80" s="835" t="n"/>
      <c r="K80" s="803" t="n"/>
      <c r="L80" s="803" t="n"/>
      <c r="M80" s="841" t="n"/>
      <c r="N80" s="841" t="n"/>
      <c r="O80" s="841" t="n"/>
      <c r="R80" s="841" t="n"/>
      <c r="S80" s="841" t="n"/>
      <c r="T80" s="841" t="n"/>
      <c r="U80" s="806" t="n"/>
      <c r="V80" s="803" t="n"/>
      <c r="W80" s="839" t="n"/>
      <c r="X80" s="839" t="n"/>
      <c r="Y80" s="841" t="n"/>
      <c r="Z80" s="803" t="n"/>
      <c r="AA80" s="803" t="n"/>
      <c r="AB80" s="839" t="n"/>
      <c r="AC80" s="839" t="n"/>
      <c r="AD80" s="841" t="n"/>
      <c r="AE80" s="803" t="n"/>
      <c r="AF80" s="803" t="n"/>
      <c r="AG80" s="841" t="n"/>
      <c r="AH80" s="841" t="n"/>
      <c r="AI80" s="841" t="n"/>
      <c r="AJ80" s="803" t="n"/>
      <c r="AK80" s="803" t="n"/>
      <c r="AL80" s="841" t="n"/>
      <c r="AM80" s="841" t="n"/>
      <c r="AN80" s="841" t="n"/>
      <c r="AO80" s="803" t="n"/>
      <c r="AP80" s="803" t="n"/>
      <c r="AQ80" s="841" t="n"/>
      <c r="AR80" s="841" t="n"/>
      <c r="AS80" s="841" t="n"/>
      <c r="AT80" s="803" t="n"/>
      <c r="AU80" s="803" t="n"/>
      <c r="AV80" s="841" t="n"/>
      <c r="AW80" s="841" t="n"/>
      <c r="AX80" s="841" t="n"/>
      <c r="AY80" s="803" t="n"/>
      <c r="AZ80" s="803" t="n"/>
      <c r="BA80" s="841" t="n"/>
      <c r="BB80" s="841" t="n"/>
      <c r="BC80" s="841" t="n"/>
      <c r="BD80" s="803" t="n"/>
      <c r="BE80" s="803" t="n"/>
      <c r="BF80" s="841" t="n"/>
      <c r="BG80" s="841" t="n"/>
      <c r="BH80" s="841" t="n"/>
      <c r="BI80" s="841" t="n"/>
      <c r="BJ80" s="841" t="n"/>
      <c r="BK80" s="841" t="n"/>
      <c r="BL80" s="841" t="n"/>
      <c r="BM80" s="841" t="n"/>
      <c r="BN80" s="841" t="n"/>
      <c r="BO80" s="803" t="n"/>
      <c r="BP80" s="841" t="n"/>
      <c r="BQ80" s="841" t="n"/>
      <c r="BR80" s="841" t="n"/>
      <c r="BS80" s="803" t="n"/>
      <c r="BT80" s="803" t="n"/>
      <c r="BU80" s="841" t="n"/>
      <c r="BV80" s="841" t="n"/>
      <c r="BW80" s="841" t="n"/>
      <c r="BX80" s="803" t="n"/>
      <c r="BY80" s="803" t="n"/>
      <c r="BZ80" s="841" t="n"/>
      <c r="CA80" s="841" t="n"/>
      <c r="CB80" s="841" t="n"/>
      <c r="CC80" s="803" t="n"/>
      <c r="CD80" s="803" t="n"/>
      <c r="CE80" s="841" t="n"/>
      <c r="CF80" s="841" t="n"/>
      <c r="CG80" s="841" t="n"/>
      <c r="CH80" s="803" t="n"/>
      <c r="CI80" s="803" t="n"/>
      <c r="CJ80" s="841" t="n"/>
      <c r="CK80" s="841" t="n"/>
      <c r="CL80" s="841" t="n"/>
      <c r="CM80" s="803" t="n"/>
      <c r="CN80" s="803" t="n"/>
      <c r="CO80" s="841" t="n"/>
      <c r="CP80" s="841" t="n"/>
      <c r="CQ80" s="841" t="n"/>
      <c r="CR80" s="803" t="n"/>
      <c r="CS80" s="803" t="n"/>
      <c r="CT80" s="841" t="n"/>
      <c r="CU80" s="841" t="n"/>
      <c r="CV80" s="841" t="n"/>
      <c r="CW80" s="803" t="n"/>
      <c r="CX80" s="803" t="n"/>
      <c r="CY80" s="841" t="n"/>
      <c r="CZ80" s="841" t="n"/>
      <c r="DA80" s="841" t="n"/>
      <c r="DB80" s="803" t="n"/>
      <c r="DC80" s="803" t="n"/>
      <c r="DD80" s="841" t="n"/>
      <c r="DE80" s="841" t="n"/>
      <c r="DF80" s="841" t="n"/>
      <c r="DG80" s="803" t="n"/>
      <c r="DH80" s="803" t="n"/>
      <c r="DI80" s="841" t="n"/>
      <c r="DJ80" s="841" t="n"/>
      <c r="DK80" s="841" t="n"/>
      <c r="DL80" s="803" t="n"/>
      <c r="DM80" s="803" t="n"/>
      <c r="DN80" s="841" t="n"/>
      <c r="DO80" s="841" t="n"/>
      <c r="DP80" s="841" t="n"/>
      <c r="DQ80" s="803" t="n"/>
      <c r="DR80" s="803" t="n"/>
      <c r="DS80" s="841" t="n"/>
      <c r="DT80" s="841" t="n"/>
      <c r="DU80" s="841" t="n"/>
    </row>
    <row r="81">
      <c r="B81" s="803" t="n"/>
      <c r="C81" s="839" t="n"/>
      <c r="D81" s="839" t="n"/>
      <c r="E81" s="839" t="n"/>
      <c r="F81" s="803" t="n"/>
      <c r="G81" s="803" t="n"/>
      <c r="H81" s="835" t="n"/>
      <c r="I81" s="835" t="n"/>
      <c r="J81" s="835" t="n"/>
      <c r="K81" s="803" t="n"/>
      <c r="L81" s="803" t="n"/>
      <c r="M81" s="841" t="n"/>
      <c r="N81" s="841" t="n"/>
      <c r="O81" s="841" t="n"/>
      <c r="R81" s="841" t="n"/>
      <c r="S81" s="841" t="n"/>
      <c r="T81" s="841" t="n"/>
      <c r="U81" s="806" t="n"/>
      <c r="V81" s="803" t="n"/>
      <c r="W81" s="839" t="n"/>
      <c r="X81" s="839" t="n"/>
      <c r="Y81" s="841" t="n"/>
      <c r="Z81" s="803" t="n"/>
      <c r="AA81" s="803" t="n"/>
      <c r="AB81" s="841" t="n"/>
      <c r="AC81" s="841" t="n"/>
      <c r="AD81" s="841" t="n"/>
      <c r="AE81" s="803" t="n"/>
      <c r="AF81" s="803" t="n"/>
      <c r="AG81" s="841" t="n"/>
      <c r="AH81" s="841" t="n"/>
      <c r="AI81" s="841" t="n"/>
      <c r="AJ81" s="803" t="n"/>
      <c r="AK81" s="803" t="n"/>
      <c r="AL81" s="841" t="n"/>
      <c r="AM81" s="841" t="n"/>
      <c r="AN81" s="841" t="n"/>
      <c r="AO81" s="803" t="n"/>
      <c r="AP81" s="803" t="n"/>
      <c r="AQ81" s="841" t="n"/>
      <c r="AR81" s="841" t="n"/>
      <c r="AS81" s="841" t="n"/>
      <c r="AT81" s="803" t="n"/>
      <c r="AU81" s="803" t="n"/>
      <c r="AV81" s="841" t="n"/>
      <c r="AW81" s="841" t="n"/>
      <c r="AX81" s="841" t="n"/>
      <c r="AY81" s="803" t="n"/>
      <c r="AZ81" s="803" t="n"/>
      <c r="BA81" s="841" t="n"/>
      <c r="BB81" s="841" t="n"/>
      <c r="BC81" s="841" t="n"/>
      <c r="BD81" s="803" t="n"/>
      <c r="BE81" s="803" t="n"/>
      <c r="BF81" s="841" t="n"/>
      <c r="BG81" s="841" t="n"/>
      <c r="BH81" s="841" t="n"/>
      <c r="BI81" s="841" t="n"/>
      <c r="BJ81" s="841" t="n"/>
      <c r="BK81" s="841" t="n"/>
      <c r="BL81" s="841" t="n"/>
      <c r="BM81" s="841" t="n"/>
      <c r="BN81" s="841" t="n"/>
      <c r="BO81" s="803" t="n"/>
      <c r="BP81" s="841" t="n"/>
      <c r="BQ81" s="841" t="n"/>
      <c r="BR81" s="841" t="n"/>
      <c r="BS81" s="803" t="n"/>
      <c r="BT81" s="803" t="n"/>
      <c r="BU81" s="841" t="n"/>
      <c r="BV81" s="841" t="n"/>
      <c r="BW81" s="841" t="n"/>
      <c r="BX81" s="803" t="n"/>
      <c r="BY81" s="803" t="n"/>
      <c r="BZ81" s="841" t="n"/>
      <c r="CA81" s="841" t="n"/>
      <c r="CB81" s="841" t="n"/>
      <c r="CC81" s="803" t="n"/>
      <c r="CD81" s="803" t="n"/>
      <c r="CE81" s="841" t="n"/>
      <c r="CF81" s="841" t="n"/>
      <c r="CG81" s="841" t="n"/>
      <c r="CH81" s="803" t="n"/>
      <c r="CI81" s="803" t="n"/>
      <c r="CJ81" s="841" t="n"/>
      <c r="CK81" s="841" t="n"/>
      <c r="CL81" s="841" t="n"/>
      <c r="CM81" s="803" t="n"/>
      <c r="CN81" s="803" t="n"/>
      <c r="CO81" s="841" t="n"/>
      <c r="CP81" s="841" t="n"/>
      <c r="CQ81" s="841" t="n"/>
      <c r="CR81" s="803" t="n"/>
      <c r="CS81" s="803" t="n"/>
      <c r="CT81" s="841" t="n"/>
      <c r="CU81" s="841" t="n"/>
      <c r="CV81" s="841" t="n"/>
      <c r="CW81" s="803" t="n"/>
      <c r="CX81" s="803" t="n"/>
      <c r="CY81" s="841" t="n"/>
      <c r="CZ81" s="841" t="n"/>
      <c r="DA81" s="841" t="n"/>
      <c r="DB81" s="803" t="n"/>
      <c r="DC81" s="803" t="n"/>
      <c r="DD81" s="841" t="n"/>
      <c r="DE81" s="841" t="n"/>
      <c r="DF81" s="841" t="n"/>
      <c r="DG81" s="803" t="n"/>
      <c r="DH81" s="803" t="n"/>
      <c r="DI81" s="841" t="n"/>
      <c r="DJ81" s="841" t="n"/>
      <c r="DK81" s="841" t="n"/>
      <c r="DL81" s="803" t="n"/>
      <c r="DM81" s="803" t="n"/>
      <c r="DN81" s="841" t="n"/>
      <c r="DO81" s="841" t="n"/>
      <c r="DP81" s="841" t="n"/>
      <c r="DQ81" s="803" t="n"/>
      <c r="DR81" s="803" t="n"/>
      <c r="DS81" s="841" t="n"/>
      <c r="DT81" s="841" t="n"/>
      <c r="DU81" s="841" t="n"/>
    </row>
    <row r="82">
      <c r="H82" s="835" t="n"/>
      <c r="I82" s="835" t="n"/>
      <c r="J82" s="841" t="n"/>
      <c r="K82" s="803" t="n"/>
      <c r="L82" s="803" t="n"/>
      <c r="M82" s="841" t="n"/>
      <c r="N82" s="841" t="n"/>
      <c r="O82" s="841" t="n"/>
      <c r="R82" s="841" t="n"/>
      <c r="S82" s="841" t="n"/>
      <c r="T82" s="841" t="n"/>
      <c r="U82" s="806" t="n"/>
      <c r="V82" s="803" t="n"/>
      <c r="W82" s="839" t="n"/>
      <c r="X82" s="839" t="n"/>
      <c r="Y82" s="841" t="n"/>
      <c r="Z82" s="803" t="n"/>
      <c r="AA82" s="803" t="n"/>
      <c r="AB82" s="841" t="n"/>
      <c r="AC82" s="841" t="n"/>
      <c r="AD82" s="841" t="n"/>
      <c r="AE82" s="803" t="n"/>
      <c r="AF82" s="803" t="n"/>
      <c r="AG82" s="841" t="n"/>
      <c r="AH82" s="841" t="n"/>
      <c r="AI82" s="841" t="n"/>
      <c r="AJ82" s="803" t="n"/>
      <c r="AK82" s="803" t="n"/>
      <c r="AL82" s="841" t="n"/>
      <c r="AM82" s="841" t="n"/>
      <c r="AN82" s="841" t="n"/>
      <c r="AO82" s="803" t="n"/>
      <c r="AP82" s="803" t="n"/>
      <c r="AQ82" s="841" t="n"/>
      <c r="AR82" s="841" t="n"/>
      <c r="AS82" s="841" t="n"/>
      <c r="AT82" s="803" t="n"/>
      <c r="AU82" s="803" t="n"/>
      <c r="AV82" s="841" t="n"/>
      <c r="AW82" s="841" t="n"/>
      <c r="AX82" s="841" t="n"/>
      <c r="AY82" s="803" t="n"/>
      <c r="AZ82" s="803" t="n"/>
      <c r="BA82" s="841" t="n"/>
      <c r="BB82" s="841" t="n"/>
      <c r="BC82" s="841" t="n"/>
      <c r="BD82" s="803" t="n"/>
      <c r="BE82" s="803" t="n"/>
      <c r="BF82" s="841" t="n"/>
      <c r="BG82" s="841" t="n"/>
      <c r="BH82" s="841" t="n"/>
      <c r="BI82" s="841" t="n"/>
      <c r="BJ82" s="841" t="n"/>
      <c r="BK82" s="841" t="n"/>
      <c r="BL82" s="841" t="n"/>
      <c r="BM82" s="841" t="n"/>
      <c r="BN82" s="841" t="n"/>
      <c r="BO82" s="803" t="n"/>
      <c r="BP82" s="841" t="n"/>
      <c r="BQ82" s="841" t="n"/>
      <c r="BR82" s="841" t="n"/>
      <c r="BS82" s="803" t="n"/>
      <c r="BT82" s="803" t="n"/>
      <c r="BU82" s="841" t="n"/>
      <c r="BV82" s="841" t="n"/>
      <c r="BW82" s="841" t="n"/>
      <c r="BX82" s="803" t="n"/>
      <c r="BY82" s="803" t="n"/>
      <c r="BZ82" s="841" t="n"/>
      <c r="CA82" s="841" t="n"/>
      <c r="CB82" s="841" t="n"/>
      <c r="CC82" s="803" t="n"/>
      <c r="CD82" s="803" t="n"/>
      <c r="CE82" s="841" t="n"/>
      <c r="CF82" s="841" t="n"/>
      <c r="CG82" s="841" t="n"/>
      <c r="CH82" s="803" t="n"/>
      <c r="CI82" s="803" t="n"/>
      <c r="CJ82" s="841" t="n"/>
      <c r="CK82" s="841" t="n"/>
      <c r="CL82" s="841" t="n"/>
      <c r="CM82" s="803" t="n"/>
      <c r="CN82" s="803" t="n"/>
      <c r="CO82" s="841" t="n"/>
      <c r="CP82" s="841" t="n"/>
      <c r="CQ82" s="841" t="n"/>
      <c r="CR82" s="803" t="n"/>
      <c r="CS82" s="803" t="n"/>
      <c r="CT82" s="841" t="n"/>
      <c r="CU82" s="841" t="n"/>
      <c r="CV82" s="841" t="n"/>
      <c r="CW82" s="803" t="n"/>
      <c r="CX82" s="803" t="n"/>
      <c r="CY82" s="841" t="n"/>
      <c r="CZ82" s="841" t="n"/>
      <c r="DA82" s="841" t="n"/>
      <c r="DB82" s="803" t="n"/>
      <c r="DC82" s="803" t="n"/>
      <c r="DD82" s="841" t="n"/>
      <c r="DE82" s="841" t="n"/>
      <c r="DF82" s="841" t="n"/>
      <c r="DG82" s="803" t="n"/>
      <c r="DH82" s="803" t="n"/>
      <c r="DI82" s="841" t="n"/>
      <c r="DJ82" s="841" t="n"/>
      <c r="DK82" s="841" t="n"/>
      <c r="DL82" s="803" t="n"/>
      <c r="DM82" s="803" t="n"/>
      <c r="DN82" s="841" t="n"/>
      <c r="DO82" s="841" t="n"/>
      <c r="DP82" s="841" t="n"/>
      <c r="DQ82" s="803" t="n"/>
      <c r="DR82" s="803" t="n"/>
    </row>
    <row r="83">
      <c r="H83" s="835" t="n"/>
      <c r="I83" s="835" t="n"/>
      <c r="J83" s="841" t="n"/>
      <c r="K83" s="803" t="n"/>
      <c r="L83" s="803" t="n"/>
      <c r="M83" s="841" t="n"/>
      <c r="N83" s="841" t="n"/>
      <c r="O83" s="841" t="n"/>
      <c r="R83" s="841" t="n"/>
      <c r="S83" s="841" t="n"/>
      <c r="T83" s="841" t="n"/>
      <c r="U83" s="806" t="n"/>
      <c r="V83" s="803" t="n"/>
      <c r="W83" s="841" t="n"/>
      <c r="X83" s="841" t="n"/>
      <c r="Y83" s="841" t="n"/>
      <c r="Z83" s="803" t="n"/>
      <c r="AA83" s="803" t="n"/>
      <c r="AB83" s="841" t="n"/>
      <c r="AC83" s="841" t="n"/>
      <c r="AD83" s="841" t="n"/>
      <c r="AE83" s="803" t="n"/>
      <c r="AF83" s="803" t="n"/>
      <c r="AG83" s="841" t="n"/>
      <c r="AH83" s="841" t="n"/>
      <c r="AI83" s="841" t="n"/>
      <c r="AJ83" s="803" t="n"/>
      <c r="AK83" s="803" t="n"/>
      <c r="AL83" s="841" t="n"/>
      <c r="AM83" s="841" t="n"/>
      <c r="AN83" s="841" t="n"/>
      <c r="AO83" s="803" t="n"/>
      <c r="AP83" s="803" t="n"/>
      <c r="AQ83" s="841" t="n"/>
      <c r="AR83" s="841" t="n"/>
      <c r="AS83" s="841" t="n"/>
      <c r="AT83" s="803" t="n"/>
      <c r="AU83" s="803" t="n"/>
      <c r="AV83" s="841" t="n"/>
      <c r="AW83" s="841" t="n"/>
      <c r="AX83" s="841" t="n"/>
      <c r="AY83" s="803" t="n"/>
      <c r="AZ83" s="803" t="n"/>
      <c r="BA83" s="841" t="n"/>
      <c r="BB83" s="841" t="n"/>
      <c r="BC83" s="841" t="n"/>
      <c r="BD83" s="803" t="n"/>
      <c r="BE83" s="803" t="n"/>
      <c r="BF83" s="841" t="n"/>
      <c r="BG83" s="841" t="n"/>
      <c r="BH83" s="841" t="n"/>
      <c r="BI83" s="841" t="n"/>
      <c r="BJ83" s="841" t="n"/>
      <c r="BK83" s="841" t="n"/>
      <c r="BL83" s="841" t="n"/>
      <c r="BM83" s="841" t="n"/>
      <c r="BN83" s="841" t="n"/>
      <c r="BO83" s="803" t="n"/>
      <c r="BP83" s="841" t="n"/>
      <c r="BQ83" s="841" t="n"/>
      <c r="BR83" s="841" t="n"/>
      <c r="BS83" s="803" t="n"/>
      <c r="BT83" s="803" t="n"/>
      <c r="BU83" s="841" t="n"/>
      <c r="BV83" s="841" t="n"/>
      <c r="BW83" s="841" t="n"/>
      <c r="BX83" s="803" t="n"/>
      <c r="BY83" s="803" t="n"/>
      <c r="BZ83" s="841" t="n"/>
      <c r="CA83" s="841" t="n"/>
      <c r="CB83" s="841" t="n"/>
      <c r="CC83" s="803" t="n"/>
      <c r="CD83" s="803" t="n"/>
      <c r="CE83" s="841" t="n"/>
      <c r="CF83" s="841" t="n"/>
      <c r="CG83" s="841" t="n"/>
      <c r="CH83" s="803" t="n"/>
      <c r="CI83" s="803" t="n"/>
      <c r="CJ83" s="841" t="n"/>
      <c r="CK83" s="841" t="n"/>
      <c r="CL83" s="841" t="n"/>
      <c r="CM83" s="803" t="n"/>
      <c r="CN83" s="803" t="n"/>
      <c r="CO83" s="841" t="n"/>
      <c r="CP83" s="841" t="n"/>
      <c r="CQ83" s="841" t="n"/>
      <c r="CR83" s="803" t="n"/>
      <c r="CS83" s="841" t="n"/>
      <c r="CT83" s="841" t="n"/>
      <c r="CU83" s="841" t="n"/>
      <c r="CV83" s="841" t="n"/>
      <c r="CW83" s="803" t="n"/>
      <c r="CX83" s="841" t="n"/>
      <c r="CY83" s="841" t="n"/>
      <c r="CZ83" s="841" t="n"/>
      <c r="DA83" s="841" t="n"/>
      <c r="DB83" s="803" t="n"/>
      <c r="DC83" s="841" t="n"/>
      <c r="DD83" s="841" t="n"/>
      <c r="DE83" s="841" t="n"/>
      <c r="DF83" s="841" t="n"/>
      <c r="DG83" s="803" t="n"/>
      <c r="DH83" s="841" t="n"/>
      <c r="DI83" s="841" t="n"/>
      <c r="DJ83" s="841" t="n"/>
      <c r="DK83" s="841" t="n"/>
      <c r="DL83" s="803" t="n"/>
      <c r="DM83" s="841" t="n"/>
      <c r="DN83" s="841" t="n"/>
      <c r="DO83" s="841" t="n"/>
      <c r="DP83" s="841" t="n"/>
      <c r="DQ83" s="803" t="n"/>
      <c r="DR83" s="841" t="n"/>
    </row>
    <row r="84">
      <c r="H84" s="841" t="n"/>
      <c r="I84" s="841" t="n"/>
      <c r="J84" s="841" t="n"/>
      <c r="K84" s="803" t="n"/>
      <c r="L84" s="803" t="n"/>
      <c r="M84" s="841" t="n"/>
      <c r="N84" s="841" t="n"/>
      <c r="O84" s="841" t="n"/>
      <c r="R84" s="841" t="n"/>
      <c r="S84" s="841" t="n"/>
      <c r="T84" s="841" t="n"/>
      <c r="U84" s="806" t="n"/>
      <c r="V84" s="803" t="n"/>
      <c r="W84" s="841" t="n"/>
      <c r="X84" s="841" t="n"/>
      <c r="Y84" s="841" t="n"/>
      <c r="Z84" s="803" t="n"/>
      <c r="AA84" s="803" t="n"/>
      <c r="AB84" s="841" t="n"/>
      <c r="AC84" s="841" t="n"/>
      <c r="AD84" s="841" t="n"/>
      <c r="AE84" s="803" t="n"/>
      <c r="AF84" s="803" t="n"/>
      <c r="AG84" s="841" t="n"/>
      <c r="AH84" s="841" t="n"/>
      <c r="AI84" s="841" t="n"/>
      <c r="AJ84" s="803" t="n"/>
      <c r="AK84" s="803" t="n"/>
      <c r="AL84" s="841" t="n"/>
      <c r="AM84" s="841" t="n"/>
      <c r="AN84" s="841" t="n"/>
      <c r="AO84" s="803" t="n"/>
      <c r="AP84" s="803" t="n"/>
      <c r="AQ84" s="841" t="n"/>
      <c r="AR84" s="841" t="n"/>
      <c r="AS84" s="841" t="n"/>
      <c r="AT84" s="803" t="n"/>
      <c r="AU84" s="803" t="n"/>
      <c r="AV84" s="841" t="n"/>
      <c r="AW84" s="841" t="n"/>
      <c r="AX84" s="841" t="n"/>
      <c r="AY84" s="803" t="n"/>
      <c r="AZ84" s="803" t="n"/>
      <c r="BA84" s="841" t="n"/>
      <c r="BB84" s="841" t="n"/>
      <c r="BC84" s="841" t="n"/>
      <c r="BD84" s="803" t="n"/>
      <c r="BE84" s="803" t="n"/>
      <c r="BF84" s="841" t="n"/>
      <c r="BG84" s="841" t="n"/>
      <c r="BH84" s="841" t="n"/>
      <c r="BI84" s="841" t="n"/>
      <c r="BJ84" s="841" t="n"/>
      <c r="BK84" s="841" t="n"/>
      <c r="BL84" s="841" t="n"/>
      <c r="BM84" s="841" t="n"/>
      <c r="BN84" s="841" t="n"/>
      <c r="BO84" s="803" t="n"/>
      <c r="BP84" s="841" t="n"/>
      <c r="BQ84" s="841" t="n"/>
      <c r="BR84" s="841" t="n"/>
      <c r="BS84" s="803" t="n"/>
      <c r="BT84" s="803" t="n"/>
      <c r="BU84" s="841" t="n"/>
      <c r="BV84" s="841" t="n"/>
      <c r="BW84" s="841" t="n"/>
      <c r="BX84" s="803" t="n"/>
      <c r="BY84" s="803" t="n"/>
      <c r="BZ84" s="841" t="n"/>
      <c r="CA84" s="841" t="n"/>
      <c r="CB84" s="841" t="n"/>
      <c r="CC84" s="803" t="n"/>
      <c r="CD84" s="803" t="n"/>
      <c r="CE84" s="841" t="n"/>
      <c r="CF84" s="841" t="n"/>
      <c r="CG84" s="841" t="n"/>
      <c r="CH84" s="803" t="n"/>
      <c r="CI84" s="803" t="n"/>
      <c r="CJ84" s="841" t="n"/>
      <c r="CK84" s="841" t="n"/>
      <c r="CL84" s="841" t="n"/>
      <c r="CM84" s="803" t="n"/>
      <c r="CN84" s="841" t="n"/>
      <c r="CO84" s="841" t="n"/>
      <c r="CP84" s="841" t="n"/>
      <c r="CQ84" s="841" t="n"/>
      <c r="CR84" s="803" t="n"/>
      <c r="CS84" s="841" t="n"/>
      <c r="CT84" s="841" t="n"/>
      <c r="CU84" s="841" t="n"/>
      <c r="CV84" s="841" t="n"/>
      <c r="CW84" s="803" t="n"/>
      <c r="CX84" s="841" t="n"/>
      <c r="CY84" s="841" t="n"/>
      <c r="CZ84" s="841" t="n"/>
      <c r="DA84" s="841" t="n"/>
      <c r="DB84" s="803" t="n"/>
      <c r="DC84" s="841" t="n"/>
      <c r="DD84" s="841" t="n"/>
      <c r="DE84" s="841" t="n"/>
      <c r="DF84" s="841" t="n"/>
      <c r="DG84" s="803" t="n"/>
      <c r="DH84" s="841" t="n"/>
      <c r="DI84" s="841" t="n"/>
      <c r="DJ84" s="841" t="n"/>
      <c r="DK84" s="841" t="n"/>
      <c r="DL84" s="803" t="n"/>
      <c r="DM84" s="841" t="n"/>
      <c r="DN84" s="841" t="n"/>
      <c r="DO84" s="841" t="n"/>
      <c r="DP84" s="841" t="n"/>
      <c r="DQ84" s="803" t="n"/>
      <c r="DR84" s="841" t="n"/>
    </row>
    <row r="85">
      <c r="H85" s="841" t="n"/>
      <c r="I85" s="841" t="n"/>
      <c r="J85" s="841" t="n"/>
      <c r="K85" s="803" t="n"/>
      <c r="L85" s="803" t="n"/>
      <c r="M85" s="841" t="n"/>
      <c r="N85" s="841" t="n"/>
      <c r="O85" s="841" t="n"/>
      <c r="R85" s="841" t="n"/>
      <c r="S85" s="841" t="n"/>
      <c r="T85" s="841" t="n"/>
      <c r="U85" s="806" t="n"/>
      <c r="V85" s="803" t="n"/>
      <c r="W85" s="841" t="n"/>
      <c r="X85" s="841" t="n"/>
      <c r="Y85" s="841" t="n"/>
      <c r="Z85" s="803" t="n"/>
      <c r="AA85" s="803" t="n"/>
      <c r="AB85" s="841" t="n"/>
      <c r="AC85" s="841" t="n"/>
      <c r="AD85" s="841" t="n"/>
      <c r="AE85" s="803" t="n"/>
      <c r="AF85" s="803" t="n"/>
      <c r="AG85" s="841" t="n"/>
      <c r="AH85" s="841" t="n"/>
      <c r="AI85" s="841" t="n"/>
      <c r="AJ85" s="803" t="n"/>
      <c r="AK85" s="803" t="n"/>
      <c r="AL85" s="841" t="n"/>
      <c r="AM85" s="841" t="n"/>
      <c r="AN85" s="841" t="n"/>
      <c r="AO85" s="803" t="n"/>
      <c r="AP85" s="803" t="n"/>
      <c r="AQ85" s="841" t="n"/>
      <c r="AR85" s="841" t="n"/>
      <c r="AS85" s="841" t="n"/>
      <c r="AT85" s="803" t="n"/>
      <c r="AU85" s="803" t="n"/>
      <c r="AV85" s="841" t="n"/>
      <c r="AW85" s="841" t="n"/>
      <c r="AX85" s="841" t="n"/>
      <c r="AY85" s="803" t="n"/>
      <c r="AZ85" s="803" t="n"/>
      <c r="BA85" s="841" t="n"/>
      <c r="BB85" s="841" t="n"/>
      <c r="BC85" s="841" t="n"/>
      <c r="BD85" s="803" t="n"/>
      <c r="BE85" s="803" t="n"/>
      <c r="BF85" s="841" t="n"/>
      <c r="BG85" s="841" t="n"/>
      <c r="BH85" s="841" t="n"/>
      <c r="BI85" s="841" t="n"/>
      <c r="BJ85" s="841" t="n"/>
      <c r="BK85" s="841" t="n"/>
      <c r="BL85" s="841" t="n"/>
      <c r="BM85" s="841" t="n"/>
      <c r="BN85" s="841" t="n"/>
      <c r="BO85" s="803" t="n"/>
      <c r="BP85" s="841" t="n"/>
      <c r="BQ85" s="841" t="n"/>
      <c r="BR85" s="841" t="n"/>
      <c r="BS85" s="803" t="n"/>
      <c r="BT85" s="803" t="n"/>
      <c r="BU85" s="841" t="n"/>
      <c r="BV85" s="841" t="n"/>
      <c r="BW85" s="841" t="n"/>
      <c r="BX85" s="803" t="n"/>
      <c r="BY85" s="803" t="n"/>
      <c r="BZ85" s="841" t="n"/>
      <c r="CA85" s="841" t="n"/>
      <c r="CB85" s="841" t="n"/>
      <c r="CC85" s="803" t="n"/>
      <c r="CD85" s="803" t="n"/>
      <c r="CE85" s="841" t="n"/>
      <c r="CF85" s="841" t="n"/>
      <c r="CG85" s="841" t="n"/>
      <c r="CH85" s="803" t="n"/>
      <c r="CI85" s="803" t="n"/>
      <c r="CJ85" s="841" t="n"/>
      <c r="CK85" s="841" t="n"/>
      <c r="CL85" s="841" t="n"/>
      <c r="CM85" s="803" t="n"/>
      <c r="CN85" s="841" t="n"/>
      <c r="CO85" s="841" t="n"/>
      <c r="CP85" s="841" t="n"/>
      <c r="CQ85" s="841" t="n"/>
      <c r="CR85" s="803" t="n"/>
      <c r="CS85" s="841" t="n"/>
      <c r="CT85" s="841" t="n"/>
      <c r="CU85" s="841" t="n"/>
      <c r="CV85" s="841" t="n"/>
      <c r="CW85" s="803" t="n"/>
      <c r="CX85" s="841" t="n"/>
      <c r="CY85" s="841" t="n"/>
      <c r="CZ85" s="841" t="n"/>
      <c r="DA85" s="841" t="n"/>
      <c r="DB85" s="803" t="n"/>
      <c r="DC85" s="841" t="n"/>
      <c r="DD85" s="841" t="n"/>
      <c r="DE85" s="841" t="n"/>
      <c r="DF85" s="841" t="n"/>
      <c r="DG85" s="803" t="n"/>
      <c r="DH85" s="841" t="n"/>
      <c r="DI85" s="841" t="n"/>
      <c r="DJ85" s="841" t="n"/>
      <c r="DK85" s="841" t="n"/>
      <c r="DL85" s="803" t="n"/>
      <c r="DM85" s="841" t="n"/>
      <c r="DN85" s="841" t="n"/>
      <c r="DO85" s="841" t="n"/>
      <c r="DP85" s="841" t="n"/>
      <c r="DQ85" s="803" t="n"/>
      <c r="DR85" s="841" t="n"/>
    </row>
    <row r="86">
      <c r="H86" s="841" t="n"/>
      <c r="I86" s="841" t="n"/>
      <c r="J86" s="841" t="n"/>
      <c r="K86" s="803" t="n"/>
      <c r="L86" s="803" t="n"/>
      <c r="M86" s="841" t="n"/>
      <c r="N86" s="841" t="n"/>
      <c r="O86" s="841" t="n"/>
      <c r="R86" s="841" t="n"/>
      <c r="S86" s="841" t="n"/>
      <c r="T86" s="841" t="n"/>
      <c r="U86" s="806" t="n"/>
      <c r="V86" s="803" t="n"/>
      <c r="W86" s="841" t="n"/>
      <c r="X86" s="841" t="n"/>
      <c r="Y86" s="841" t="n"/>
      <c r="Z86" s="803" t="n"/>
      <c r="AA86" s="803" t="n"/>
      <c r="AB86" s="841" t="n"/>
      <c r="AC86" s="841" t="n"/>
      <c r="AD86" s="841" t="n"/>
      <c r="AE86" s="803" t="n"/>
      <c r="AF86" s="803" t="n"/>
      <c r="AG86" s="841" t="n"/>
      <c r="AH86" s="841" t="n"/>
      <c r="AI86" s="841" t="n"/>
      <c r="AJ86" s="803" t="n"/>
      <c r="AK86" s="803" t="n"/>
      <c r="AL86" s="841" t="n"/>
      <c r="AM86" s="841" t="n"/>
      <c r="AN86" s="841" t="n"/>
      <c r="AO86" s="803" t="n"/>
      <c r="AP86" s="803" t="n"/>
      <c r="AQ86" s="841" t="n"/>
      <c r="AR86" s="841" t="n"/>
      <c r="AS86" s="841" t="n"/>
      <c r="AT86" s="803" t="n"/>
      <c r="AU86" s="803" t="n"/>
      <c r="AV86" s="841" t="n"/>
      <c r="AW86" s="841" t="n"/>
      <c r="AX86" s="841" t="n"/>
      <c r="AY86" s="803" t="n"/>
      <c r="AZ86" s="803" t="n"/>
      <c r="BA86" s="841" t="n"/>
      <c r="BB86" s="841" t="n"/>
      <c r="BC86" s="841" t="n"/>
      <c r="BD86" s="803" t="n"/>
      <c r="BE86" s="803" t="n"/>
      <c r="BF86" s="841" t="n"/>
      <c r="BG86" s="841" t="n"/>
      <c r="BH86" s="841" t="n"/>
      <c r="BI86" s="841" t="n"/>
      <c r="BJ86" s="841" t="n"/>
      <c r="BK86" s="841" t="n"/>
      <c r="BL86" s="841" t="n"/>
      <c r="BM86" s="841" t="n"/>
      <c r="BN86" s="841" t="n"/>
      <c r="BO86" s="803" t="n"/>
      <c r="BP86" s="841" t="n"/>
      <c r="BQ86" s="841" t="n"/>
      <c r="BR86" s="841" t="n"/>
      <c r="BS86" s="803" t="n"/>
      <c r="BT86" s="803" t="n"/>
      <c r="BU86" s="841" t="n"/>
      <c r="BV86" s="841" t="n"/>
      <c r="BW86" s="841" t="n"/>
      <c r="BX86" s="803" t="n"/>
      <c r="BY86" s="803" t="n"/>
      <c r="BZ86" s="841" t="n"/>
      <c r="CA86" s="841" t="n"/>
      <c r="CB86" s="841" t="n"/>
      <c r="CC86" s="803" t="n"/>
      <c r="CD86" s="803" t="n"/>
      <c r="CE86" s="841" t="n"/>
      <c r="CF86" s="841" t="n"/>
      <c r="CG86" s="841" t="n"/>
      <c r="CH86" s="803" t="n"/>
      <c r="CI86" s="803" t="n"/>
      <c r="CJ86" s="841" t="n"/>
      <c r="CK86" s="841" t="n"/>
      <c r="CL86" s="841" t="n"/>
      <c r="CM86" s="803" t="n"/>
      <c r="CN86" s="841" t="n"/>
      <c r="CO86" s="841" t="n"/>
      <c r="CP86" s="841" t="n"/>
      <c r="CQ86" s="841" t="n"/>
      <c r="CR86" s="803" t="n"/>
      <c r="CS86" s="841" t="n"/>
      <c r="CT86" s="841" t="n"/>
      <c r="CU86" s="841" t="n"/>
      <c r="CV86" s="841" t="n"/>
      <c r="CW86" s="803" t="n"/>
      <c r="CX86" s="841" t="n"/>
      <c r="CY86" s="841" t="n"/>
      <c r="CZ86" s="841" t="n"/>
      <c r="DA86" s="841" t="n"/>
      <c r="DB86" s="803" t="n"/>
      <c r="DC86" s="841" t="n"/>
      <c r="DD86" s="841" t="n"/>
      <c r="DE86" s="841" t="n"/>
      <c r="DF86" s="841" t="n"/>
      <c r="DG86" s="803" t="n"/>
      <c r="DH86" s="841" t="n"/>
      <c r="DI86" s="841" t="n"/>
      <c r="DJ86" s="841" t="n"/>
      <c r="DK86" s="841" t="n"/>
      <c r="DL86" s="803" t="n"/>
      <c r="DM86" s="841" t="n"/>
      <c r="DN86" s="841" t="n"/>
      <c r="DO86" s="841" t="n"/>
      <c r="DP86" s="841" t="n"/>
      <c r="DQ86" s="803" t="n"/>
      <c r="DR86" s="841" t="n"/>
    </row>
    <row r="87">
      <c r="H87" s="841" t="n"/>
      <c r="I87" s="841" t="n"/>
      <c r="J87" s="841" t="n"/>
      <c r="K87" s="803" t="n"/>
      <c r="L87" s="803" t="n"/>
      <c r="M87" s="841" t="n"/>
      <c r="N87" s="841" t="n"/>
      <c r="O87" s="841" t="n"/>
      <c r="R87" s="841" t="n"/>
      <c r="S87" s="841" t="n"/>
      <c r="T87" s="841" t="n"/>
      <c r="U87" s="806" t="n"/>
      <c r="V87" s="803" t="n"/>
      <c r="W87" s="841" t="n"/>
      <c r="X87" s="841" t="n"/>
      <c r="Y87" s="841" t="n"/>
      <c r="Z87" s="803" t="n"/>
      <c r="AA87" s="803" t="n"/>
      <c r="AB87" s="841" t="n"/>
      <c r="AC87" s="841" t="n"/>
      <c r="AD87" s="841" t="n"/>
      <c r="AE87" s="803" t="n"/>
      <c r="AF87" s="803" t="n"/>
      <c r="AG87" s="841" t="n"/>
      <c r="AH87" s="841" t="n"/>
      <c r="AI87" s="841" t="n"/>
      <c r="AJ87" s="803" t="n"/>
      <c r="AK87" s="803" t="n"/>
      <c r="AL87" s="841" t="n"/>
      <c r="AM87" s="841" t="n"/>
      <c r="AN87" s="841" t="n"/>
      <c r="AO87" s="803" t="n"/>
      <c r="AP87" s="803" t="n"/>
      <c r="AQ87" s="841" t="n"/>
      <c r="AR87" s="841" t="n"/>
      <c r="AS87" s="841" t="n"/>
      <c r="AT87" s="803" t="n"/>
      <c r="AU87" s="803" t="n"/>
      <c r="AV87" s="841" t="n"/>
      <c r="AW87" s="841" t="n"/>
      <c r="AX87" s="841" t="n"/>
      <c r="AY87" s="803" t="n"/>
      <c r="AZ87" s="803" t="n"/>
      <c r="BA87" s="841" t="n"/>
      <c r="BB87" s="841" t="n"/>
      <c r="BC87" s="841" t="n"/>
      <c r="BD87" s="803" t="n"/>
      <c r="BE87" s="803" t="n"/>
      <c r="BF87" s="841" t="n"/>
      <c r="BG87" s="841" t="n"/>
      <c r="BH87" s="841" t="n"/>
      <c r="BI87" s="841" t="n"/>
      <c r="BJ87" s="841" t="n"/>
      <c r="BK87" s="841" t="n"/>
      <c r="BL87" s="841" t="n"/>
      <c r="BM87" s="841" t="n"/>
      <c r="BN87" s="841" t="n"/>
      <c r="BO87" s="803" t="n"/>
      <c r="BP87" s="841" t="n"/>
      <c r="BQ87" s="841" t="n"/>
      <c r="BR87" s="841" t="n"/>
      <c r="BS87" s="803" t="n"/>
      <c r="BT87" s="803" t="n"/>
      <c r="BU87" s="841" t="n"/>
      <c r="BV87" s="841" t="n"/>
      <c r="BW87" s="841" t="n"/>
      <c r="BX87" s="803" t="n"/>
      <c r="BY87" s="803" t="n"/>
      <c r="BZ87" s="841" t="n"/>
      <c r="CA87" s="841" t="n"/>
      <c r="CB87" s="841" t="n"/>
      <c r="CC87" s="803" t="n"/>
      <c r="CD87" s="803" t="n"/>
      <c r="CE87" s="841" t="n"/>
      <c r="CF87" s="841" t="n"/>
      <c r="CG87" s="841" t="n"/>
      <c r="CH87" s="803" t="n"/>
      <c r="CI87" s="803" t="n"/>
      <c r="CJ87" s="841" t="n"/>
      <c r="CK87" s="841" t="n"/>
      <c r="CL87" s="841" t="n"/>
      <c r="CM87" s="803" t="n"/>
      <c r="CN87" s="841" t="n"/>
      <c r="CO87" s="841" t="n"/>
      <c r="CP87" s="841" t="n"/>
      <c r="CQ87" s="841" t="n"/>
      <c r="CR87" s="803" t="n"/>
      <c r="CS87" s="841" t="n"/>
      <c r="CT87" s="841" t="n"/>
      <c r="CU87" s="841" t="n"/>
      <c r="CV87" s="841" t="n"/>
      <c r="CW87" s="803" t="n"/>
      <c r="CX87" s="841" t="n"/>
      <c r="CY87" s="841" t="n"/>
      <c r="CZ87" s="841" t="n"/>
      <c r="DA87" s="841" t="n"/>
      <c r="DB87" s="803" t="n"/>
      <c r="DC87" s="841" t="n"/>
      <c r="DD87" s="841" t="n"/>
      <c r="DE87" s="841" t="n"/>
      <c r="DF87" s="841" t="n"/>
      <c r="DG87" s="803" t="n"/>
      <c r="DH87" s="841" t="n"/>
      <c r="DI87" s="841" t="n"/>
      <c r="DJ87" s="841" t="n"/>
      <c r="DK87" s="841" t="n"/>
      <c r="DL87" s="803" t="n"/>
      <c r="DM87" s="841" t="n"/>
      <c r="DN87" s="841" t="n"/>
      <c r="DO87" s="841" t="n"/>
      <c r="DP87" s="841" t="n"/>
      <c r="DQ87" s="803" t="n"/>
      <c r="DR87" s="841" t="n"/>
    </row>
    <row r="88">
      <c r="H88" s="841" t="n"/>
      <c r="I88" s="841" t="n"/>
      <c r="J88" s="841" t="n"/>
      <c r="K88" s="803" t="n"/>
      <c r="L88" s="803" t="n"/>
      <c r="M88" s="841" t="n"/>
      <c r="N88" s="841" t="n"/>
      <c r="O88" s="841" t="n"/>
      <c r="R88" s="841" t="n"/>
      <c r="S88" s="841" t="n"/>
      <c r="T88" s="841" t="n"/>
      <c r="U88" s="806" t="n"/>
      <c r="V88" s="803" t="n"/>
      <c r="W88" s="841" t="n"/>
      <c r="X88" s="841" t="n"/>
      <c r="Y88" s="841" t="n"/>
      <c r="Z88" s="803" t="n"/>
      <c r="AA88" s="803" t="n"/>
      <c r="AB88" s="841" t="n"/>
      <c r="AC88" s="841" t="n"/>
      <c r="AD88" s="841" t="n"/>
      <c r="AE88" s="803" t="n"/>
      <c r="AF88" s="803" t="n"/>
      <c r="AG88" s="841" t="n"/>
      <c r="AH88" s="841" t="n"/>
      <c r="AI88" s="841" t="n"/>
      <c r="AJ88" s="803" t="n"/>
      <c r="AK88" s="803" t="n"/>
      <c r="AL88" s="841" t="n"/>
      <c r="AM88" s="841" t="n"/>
      <c r="AN88" s="841" t="n"/>
      <c r="AO88" s="803" t="n"/>
      <c r="AP88" s="803" t="n"/>
      <c r="AQ88" s="841" t="n"/>
      <c r="AR88" s="841" t="n"/>
      <c r="AS88" s="841" t="n"/>
      <c r="AT88" s="803" t="n"/>
      <c r="AU88" s="803" t="n"/>
      <c r="AV88" s="841" t="n"/>
      <c r="AW88" s="841" t="n"/>
      <c r="AX88" s="841" t="n"/>
      <c r="AY88" s="803" t="n"/>
      <c r="AZ88" s="803" t="n"/>
      <c r="BA88" s="841" t="n"/>
      <c r="BB88" s="841" t="n"/>
      <c r="BC88" s="841" t="n"/>
      <c r="BD88" s="803" t="n"/>
      <c r="BE88" s="803" t="n"/>
      <c r="BF88" s="841" t="n"/>
      <c r="BG88" s="841" t="n"/>
      <c r="BH88" s="841" t="n"/>
      <c r="BI88" s="841" t="n"/>
      <c r="BJ88" s="841" t="n"/>
      <c r="BK88" s="841" t="n"/>
      <c r="BL88" s="841" t="n"/>
      <c r="BM88" s="841" t="n"/>
      <c r="BN88" s="841" t="n"/>
      <c r="BO88" s="803" t="n"/>
      <c r="BP88" s="841" t="n"/>
      <c r="BQ88" s="841" t="n"/>
      <c r="BR88" s="841" t="n"/>
      <c r="BS88" s="803" t="n"/>
      <c r="BT88" s="803" t="n"/>
      <c r="BU88" s="841" t="n"/>
      <c r="BV88" s="841" t="n"/>
      <c r="BW88" s="841" t="n"/>
      <c r="BX88" s="803" t="n"/>
      <c r="BY88" s="803" t="n"/>
      <c r="BZ88" s="841" t="n"/>
      <c r="CA88" s="841" t="n"/>
      <c r="CB88" s="841" t="n"/>
      <c r="CC88" s="803" t="n"/>
      <c r="CD88" s="803" t="n"/>
      <c r="CE88" s="841" t="n"/>
      <c r="CF88" s="841" t="n"/>
      <c r="CG88" s="841" t="n"/>
      <c r="CH88" s="803" t="n"/>
      <c r="CI88" s="803" t="n"/>
      <c r="CJ88" s="841" t="n"/>
      <c r="CK88" s="841" t="n"/>
      <c r="CL88" s="841" t="n"/>
      <c r="CM88" s="803" t="n"/>
      <c r="CN88" s="841" t="n"/>
      <c r="CO88" s="841" t="n"/>
      <c r="CP88" s="841" t="n"/>
      <c r="CQ88" s="841" t="n"/>
      <c r="CR88" s="803" t="n"/>
      <c r="CS88" s="841" t="n"/>
      <c r="CT88" s="841" t="n"/>
      <c r="CU88" s="841" t="n"/>
      <c r="CV88" s="841" t="n"/>
      <c r="CW88" s="803" t="n"/>
      <c r="CX88" s="841" t="n"/>
      <c r="CY88" s="841" t="n"/>
      <c r="CZ88" s="841" t="n"/>
      <c r="DA88" s="841" t="n"/>
      <c r="DB88" s="803" t="n"/>
      <c r="DC88" s="841" t="n"/>
      <c r="DD88" s="841" t="n"/>
      <c r="DE88" s="841" t="n"/>
      <c r="DF88" s="841" t="n"/>
      <c r="DG88" s="803" t="n"/>
      <c r="DH88" s="841" t="n"/>
      <c r="DI88" s="841" t="n"/>
      <c r="DJ88" s="841" t="n"/>
      <c r="DK88" s="841" t="n"/>
      <c r="DL88" s="803" t="n"/>
      <c r="DM88" s="841" t="n"/>
      <c r="DN88" s="841" t="n"/>
      <c r="DO88" s="841" t="n"/>
      <c r="DP88" s="841" t="n"/>
      <c r="DQ88" s="803" t="n"/>
      <c r="DR88" s="841" t="n"/>
    </row>
    <row r="89">
      <c r="H89" s="841" t="n"/>
      <c r="I89" s="841" t="n"/>
      <c r="J89" s="841" t="n"/>
      <c r="K89" s="803" t="n"/>
      <c r="L89" s="803" t="n"/>
      <c r="M89" s="841" t="n"/>
      <c r="N89" s="841" t="n"/>
      <c r="O89" s="841" t="n"/>
      <c r="R89" s="841" t="n"/>
      <c r="S89" s="841" t="n"/>
      <c r="T89" s="841" t="n"/>
      <c r="U89" s="806" t="n"/>
      <c r="V89" s="803" t="n"/>
      <c r="W89" s="841" t="n"/>
      <c r="X89" s="841" t="n"/>
      <c r="Y89" s="841" t="n"/>
      <c r="Z89" s="803" t="n"/>
      <c r="AA89" s="803" t="n"/>
      <c r="AB89" s="841" t="n"/>
      <c r="AC89" s="841" t="n"/>
      <c r="AD89" s="841" t="n"/>
      <c r="AE89" s="803" t="n"/>
      <c r="AF89" s="803" t="n"/>
      <c r="AG89" s="841" t="n"/>
      <c r="AH89" s="841" t="n"/>
      <c r="AI89" s="841" t="n"/>
      <c r="AJ89" s="803" t="n"/>
      <c r="AK89" s="803" t="n"/>
      <c r="AL89" s="841" t="n"/>
      <c r="AM89" s="841" t="n"/>
      <c r="AN89" s="841" t="n"/>
      <c r="AO89" s="803" t="n"/>
      <c r="AP89" s="803" t="n"/>
      <c r="AQ89" s="841" t="n"/>
      <c r="AR89" s="841" t="n"/>
      <c r="AS89" s="841" t="n"/>
      <c r="AT89" s="803" t="n"/>
      <c r="AU89" s="803" t="n"/>
      <c r="AV89" s="841" t="n"/>
      <c r="AW89" s="841" t="n"/>
      <c r="AX89" s="841" t="n"/>
      <c r="AY89" s="803" t="n"/>
      <c r="AZ89" s="803" t="n"/>
      <c r="BA89" s="841" t="n"/>
      <c r="BB89" s="841" t="n"/>
      <c r="BC89" s="841" t="n"/>
      <c r="BD89" s="803" t="n"/>
      <c r="BE89" s="803" t="n"/>
      <c r="BF89" s="841" t="n"/>
      <c r="BG89" s="841" t="n"/>
      <c r="BH89" s="841" t="n"/>
      <c r="BI89" s="841" t="n"/>
      <c r="BJ89" s="841" t="n"/>
      <c r="BK89" s="841" t="n"/>
      <c r="BL89" s="841" t="n"/>
      <c r="BM89" s="841" t="n"/>
      <c r="BN89" s="841" t="n"/>
      <c r="BO89" s="803" t="n"/>
      <c r="BP89" s="841" t="n"/>
      <c r="BQ89" s="841" t="n"/>
      <c r="BR89" s="841" t="n"/>
      <c r="BS89" s="803" t="n"/>
      <c r="BT89" s="803" t="n"/>
      <c r="BU89" s="841" t="n"/>
      <c r="BV89" s="841" t="n"/>
      <c r="BW89" s="841" t="n"/>
      <c r="BX89" s="803" t="n"/>
      <c r="BY89" s="803" t="n"/>
      <c r="BZ89" s="841" t="n"/>
      <c r="CA89" s="841" t="n"/>
      <c r="CB89" s="841" t="n"/>
      <c r="CC89" s="803" t="n"/>
      <c r="CD89" s="803" t="n"/>
      <c r="CE89" s="841" t="n"/>
      <c r="CF89" s="841" t="n"/>
      <c r="CG89" s="841" t="n"/>
      <c r="CH89" s="803" t="n"/>
      <c r="CI89" s="803" t="n"/>
      <c r="CJ89" s="841" t="n"/>
      <c r="CK89" s="841" t="n"/>
      <c r="CL89" s="841" t="n"/>
      <c r="CM89" s="803" t="n"/>
      <c r="CN89" s="841" t="n"/>
      <c r="CO89" s="841" t="n"/>
      <c r="CP89" s="841" t="n"/>
      <c r="CQ89" s="841" t="n"/>
      <c r="CR89" s="803" t="n"/>
      <c r="CS89" s="841" t="n"/>
      <c r="CT89" s="841" t="n"/>
      <c r="CU89" s="841" t="n"/>
      <c r="CV89" s="841" t="n"/>
      <c r="CW89" s="803" t="n"/>
      <c r="CX89" s="841" t="n"/>
      <c r="CY89" s="841" t="n"/>
      <c r="CZ89" s="841" t="n"/>
      <c r="DA89" s="841" t="n"/>
      <c r="DB89" s="803" t="n"/>
      <c r="DC89" s="841" t="n"/>
      <c r="DD89" s="841" t="n"/>
      <c r="DE89" s="841" t="n"/>
      <c r="DF89" s="841" t="n"/>
      <c r="DG89" s="803" t="n"/>
      <c r="DH89" s="841" t="n"/>
      <c r="DI89" s="841" t="n"/>
      <c r="DJ89" s="841" t="n"/>
      <c r="DK89" s="841" t="n"/>
      <c r="DL89" s="803" t="n"/>
      <c r="DM89" s="841" t="n"/>
      <c r="DN89" s="841" t="n"/>
      <c r="DO89" s="841" t="n"/>
      <c r="DP89" s="841" t="n"/>
      <c r="DQ89" s="803" t="n"/>
      <c r="DR89" s="841" t="n"/>
    </row>
    <row r="90">
      <c r="H90" s="841" t="n"/>
      <c r="I90" s="841" t="n"/>
      <c r="J90" s="841" t="n"/>
      <c r="K90" s="803" t="n"/>
      <c r="L90" s="803" t="n"/>
      <c r="M90" s="841" t="n"/>
      <c r="N90" s="841" t="n"/>
      <c r="O90" s="841" t="n"/>
      <c r="R90" s="841" t="n"/>
      <c r="S90" s="841" t="n"/>
      <c r="T90" s="841" t="n"/>
      <c r="U90" s="806" t="n"/>
      <c r="V90" s="803" t="n"/>
      <c r="W90" s="841" t="n"/>
      <c r="X90" s="841" t="n"/>
      <c r="Y90" s="841" t="n"/>
      <c r="Z90" s="803" t="n"/>
      <c r="AA90" s="803" t="n"/>
      <c r="AB90" s="841" t="n"/>
      <c r="AC90" s="841" t="n"/>
      <c r="AD90" s="841" t="n"/>
      <c r="AE90" s="803" t="n"/>
      <c r="AF90" s="803" t="n"/>
      <c r="AG90" s="841" t="n"/>
      <c r="AH90" s="841" t="n"/>
      <c r="AI90" s="841" t="n"/>
      <c r="AJ90" s="803" t="n"/>
      <c r="AK90" s="803" t="n"/>
      <c r="AL90" s="841" t="n"/>
      <c r="AM90" s="841" t="n"/>
      <c r="AN90" s="841" t="n"/>
      <c r="AO90" s="803" t="n"/>
      <c r="AP90" s="803" t="n"/>
      <c r="AQ90" s="841" t="n"/>
      <c r="AR90" s="841" t="n"/>
      <c r="AS90" s="841" t="n"/>
      <c r="AT90" s="803" t="n"/>
      <c r="AU90" s="803" t="n"/>
      <c r="AV90" s="841" t="n"/>
      <c r="AW90" s="841" t="n"/>
      <c r="AX90" s="841" t="n"/>
      <c r="AY90" s="803" t="n"/>
      <c r="AZ90" s="803" t="n"/>
      <c r="BA90" s="841" t="n"/>
      <c r="BB90" s="841" t="n"/>
      <c r="BC90" s="841" t="n"/>
      <c r="BD90" s="803" t="n"/>
      <c r="BE90" s="803" t="n"/>
      <c r="BF90" s="841" t="n"/>
      <c r="BG90" s="841" t="n"/>
      <c r="BH90" s="841" t="n"/>
      <c r="BI90" s="841" t="n"/>
      <c r="BJ90" s="841" t="n"/>
      <c r="BK90" s="841" t="n"/>
      <c r="BL90" s="841" t="n"/>
      <c r="BM90" s="841" t="n"/>
      <c r="BN90" s="841" t="n"/>
      <c r="BO90" s="803" t="n"/>
      <c r="BP90" s="841" t="n"/>
      <c r="BQ90" s="841" t="n"/>
      <c r="BR90" s="841" t="n"/>
      <c r="BS90" s="803" t="n"/>
      <c r="BT90" s="803" t="n"/>
      <c r="BU90" s="841" t="n"/>
      <c r="BV90" s="841" t="n"/>
      <c r="BW90" s="841" t="n"/>
      <c r="BX90" s="803" t="n"/>
      <c r="BY90" s="803" t="n"/>
      <c r="BZ90" s="841" t="n"/>
      <c r="CA90" s="841" t="n"/>
      <c r="CB90" s="841" t="n"/>
      <c r="CC90" s="803" t="n"/>
      <c r="CD90" s="803" t="n"/>
      <c r="CE90" s="841" t="n"/>
      <c r="CF90" s="841" t="n"/>
      <c r="CG90" s="841" t="n"/>
      <c r="CH90" s="803" t="n"/>
      <c r="CI90" s="803" t="n"/>
      <c r="CJ90" s="841" t="n"/>
      <c r="CK90" s="841" t="n"/>
      <c r="CL90" s="841" t="n"/>
      <c r="CM90" s="803" t="n"/>
      <c r="CN90" s="841" t="n"/>
      <c r="CO90" s="841" t="n"/>
      <c r="CP90" s="841" t="n"/>
      <c r="CQ90" s="841" t="n"/>
      <c r="CR90" s="803" t="n"/>
      <c r="CS90" s="841" t="n"/>
      <c r="CT90" s="841" t="n"/>
      <c r="CU90" s="841" t="n"/>
      <c r="CV90" s="841" t="n"/>
      <c r="CW90" s="803" t="n"/>
      <c r="CX90" s="841" t="n"/>
      <c r="CY90" s="841" t="n"/>
      <c r="CZ90" s="841" t="n"/>
      <c r="DA90" s="841" t="n"/>
      <c r="DB90" s="803" t="n"/>
      <c r="DC90" s="841" t="n"/>
      <c r="DD90" s="841" t="n"/>
      <c r="DE90" s="841" t="n"/>
      <c r="DF90" s="841" t="n"/>
      <c r="DG90" s="803" t="n"/>
      <c r="DH90" s="841" t="n"/>
      <c r="DI90" s="841" t="n"/>
      <c r="DJ90" s="841" t="n"/>
      <c r="DK90" s="841" t="n"/>
      <c r="DL90" s="803" t="n"/>
      <c r="DM90" s="841" t="n"/>
      <c r="DN90" s="841" t="n"/>
      <c r="DO90" s="841" t="n"/>
      <c r="DP90" s="841" t="n"/>
      <c r="DQ90" s="803" t="n"/>
      <c r="DR90" s="841" t="n"/>
    </row>
    <row r="91">
      <c r="H91" s="841" t="n"/>
      <c r="I91" s="841" t="n"/>
      <c r="J91" s="841" t="n"/>
      <c r="K91" s="803" t="n"/>
      <c r="L91" s="803" t="n"/>
      <c r="M91" s="841" t="n"/>
      <c r="N91" s="841" t="n"/>
      <c r="O91" s="841" t="n"/>
      <c r="R91" s="841" t="n"/>
      <c r="S91" s="841" t="n"/>
      <c r="T91" s="841" t="n"/>
      <c r="U91" s="806" t="n"/>
      <c r="V91" s="803" t="n"/>
      <c r="W91" s="841" t="n"/>
      <c r="X91" s="841" t="n"/>
      <c r="Y91" s="841" t="n"/>
      <c r="Z91" s="803" t="n"/>
      <c r="AA91" s="803" t="n"/>
      <c r="AB91" s="841" t="n"/>
      <c r="AC91" s="841" t="n"/>
      <c r="AD91" s="841" t="n"/>
      <c r="AE91" s="803" t="n"/>
      <c r="AF91" s="803" t="n"/>
      <c r="AG91" s="841" t="n"/>
      <c r="AH91" s="841" t="n"/>
      <c r="AI91" s="841" t="n"/>
      <c r="AJ91" s="803" t="n"/>
      <c r="AK91" s="803" t="n"/>
      <c r="AL91" s="841" t="n"/>
      <c r="AM91" s="841" t="n"/>
      <c r="AN91" s="841" t="n"/>
      <c r="AO91" s="803" t="n"/>
      <c r="AP91" s="803" t="n"/>
      <c r="AQ91" s="841" t="n"/>
      <c r="AR91" s="841" t="n"/>
      <c r="AS91" s="841" t="n"/>
      <c r="AT91" s="803" t="n"/>
      <c r="AU91" s="803" t="n"/>
      <c r="AV91" s="841" t="n"/>
      <c r="AW91" s="841" t="n"/>
      <c r="AX91" s="841" t="n"/>
      <c r="AY91" s="803" t="n"/>
      <c r="AZ91" s="803" t="n"/>
      <c r="BA91" s="841" t="n"/>
      <c r="BB91" s="841" t="n"/>
      <c r="BC91" s="841" t="n"/>
      <c r="BD91" s="803" t="n"/>
      <c r="BE91" s="803" t="n"/>
      <c r="BF91" s="841" t="n"/>
      <c r="BG91" s="841" t="n"/>
      <c r="BH91" s="841" t="n"/>
      <c r="BI91" s="841" t="n"/>
      <c r="BJ91" s="841" t="n"/>
      <c r="BK91" s="841" t="n"/>
      <c r="BL91" s="841" t="n"/>
      <c r="BM91" s="841" t="n"/>
      <c r="BN91" s="841" t="n"/>
      <c r="BO91" s="803" t="n"/>
      <c r="BP91" s="841" t="n"/>
      <c r="BQ91" s="841" t="n"/>
      <c r="BR91" s="841" t="n"/>
      <c r="BS91" s="803" t="n"/>
      <c r="BT91" s="803" t="n"/>
      <c r="BU91" s="841" t="n"/>
      <c r="BV91" s="841" t="n"/>
      <c r="BW91" s="841" t="n"/>
      <c r="BX91" s="803" t="n"/>
      <c r="BY91" s="803" t="n"/>
      <c r="BZ91" s="841" t="n"/>
      <c r="CA91" s="841" t="n"/>
      <c r="CB91" s="841" t="n"/>
      <c r="CC91" s="803" t="n"/>
      <c r="CD91" s="803" t="n"/>
      <c r="CE91" s="841" t="n"/>
      <c r="CF91" s="841" t="n"/>
      <c r="CG91" s="841" t="n"/>
      <c r="CH91" s="803" t="n"/>
      <c r="CI91" s="803" t="n"/>
      <c r="CJ91" s="841" t="n"/>
      <c r="CK91" s="841" t="n"/>
      <c r="CL91" s="841" t="n"/>
      <c r="CM91" s="803" t="n"/>
      <c r="CN91" s="841" t="n"/>
      <c r="CO91" s="841" t="n"/>
      <c r="CP91" s="841" t="n"/>
      <c r="CQ91" s="841" t="n"/>
      <c r="CR91" s="803" t="n"/>
      <c r="CS91" s="841" t="n"/>
      <c r="CT91" s="841" t="n"/>
      <c r="CU91" s="841" t="n"/>
      <c r="CV91" s="841" t="n"/>
      <c r="CW91" s="803" t="n"/>
      <c r="CX91" s="841" t="n"/>
      <c r="CY91" s="841" t="n"/>
      <c r="CZ91" s="841" t="n"/>
      <c r="DA91" s="841" t="n"/>
      <c r="DB91" s="803" t="n"/>
      <c r="DC91" s="841" t="n"/>
      <c r="DD91" s="841" t="n"/>
      <c r="DE91" s="841" t="n"/>
      <c r="DF91" s="841" t="n"/>
      <c r="DG91" s="803" t="n"/>
      <c r="DH91" s="841" t="n"/>
      <c r="DI91" s="841" t="n"/>
      <c r="DJ91" s="841" t="n"/>
      <c r="DK91" s="841" t="n"/>
      <c r="DL91" s="803" t="n"/>
      <c r="DM91" s="841" t="n"/>
      <c r="DN91" s="841" t="n"/>
      <c r="DO91" s="841" t="n"/>
      <c r="DP91" s="841" t="n"/>
      <c r="DQ91" s="803" t="n"/>
      <c r="DR91" s="841" t="n"/>
    </row>
    <row r="92">
      <c r="H92" s="841" t="n"/>
      <c r="I92" s="841" t="n"/>
      <c r="J92" s="841" t="n"/>
      <c r="K92" s="803" t="n"/>
      <c r="L92" s="803" t="n"/>
      <c r="M92" s="841" t="n"/>
      <c r="N92" s="841" t="n"/>
      <c r="O92" s="841" t="n"/>
      <c r="R92" s="841" t="n"/>
      <c r="S92" s="841" t="n"/>
      <c r="T92" s="841" t="n"/>
      <c r="U92" s="806" t="n"/>
      <c r="V92" s="803" t="n"/>
      <c r="W92" s="841" t="n"/>
      <c r="X92" s="841" t="n"/>
      <c r="Y92" s="841" t="n"/>
      <c r="Z92" s="803" t="n"/>
      <c r="AA92" s="803" t="n"/>
      <c r="AB92" s="841" t="n"/>
      <c r="AC92" s="841" t="n"/>
      <c r="AD92" s="841" t="n"/>
      <c r="AE92" s="803" t="n"/>
      <c r="AF92" s="803" t="n"/>
      <c r="AG92" s="841" t="n"/>
      <c r="AH92" s="841" t="n"/>
      <c r="AI92" s="841" t="n"/>
      <c r="AJ92" s="803" t="n"/>
      <c r="AK92" s="803" t="n"/>
      <c r="AL92" s="841" t="n"/>
      <c r="AM92" s="841" t="n"/>
      <c r="AN92" s="841" t="n"/>
      <c r="AO92" s="803" t="n"/>
      <c r="AP92" s="803" t="n"/>
      <c r="AQ92" s="841" t="n"/>
      <c r="AR92" s="841" t="n"/>
      <c r="AS92" s="841" t="n"/>
      <c r="AT92" s="803" t="n"/>
      <c r="AU92" s="803" t="n"/>
      <c r="AV92" s="841" t="n"/>
      <c r="AW92" s="841" t="n"/>
      <c r="AX92" s="841" t="n"/>
      <c r="AY92" s="803" t="n"/>
      <c r="AZ92" s="803" t="n"/>
      <c r="BA92" s="841" t="n"/>
      <c r="BB92" s="841" t="n"/>
      <c r="BC92" s="841" t="n"/>
      <c r="BD92" s="803" t="n"/>
      <c r="BE92" s="803" t="n"/>
      <c r="BF92" s="841" t="n"/>
      <c r="BG92" s="841" t="n"/>
      <c r="BH92" s="841" t="n"/>
      <c r="BI92" s="841" t="n"/>
      <c r="BJ92" s="841" t="n"/>
      <c r="BK92" s="841" t="n"/>
      <c r="BL92" s="841" t="n"/>
      <c r="BM92" s="841" t="n"/>
      <c r="BN92" s="841" t="n"/>
      <c r="BO92" s="803" t="n"/>
      <c r="BP92" s="841" t="n"/>
      <c r="BQ92" s="841" t="n"/>
      <c r="BR92" s="841" t="n"/>
      <c r="BS92" s="803" t="n"/>
      <c r="BT92" s="803" t="n"/>
      <c r="BU92" s="841" t="n"/>
      <c r="BV92" s="841" t="n"/>
      <c r="BW92" s="841" t="n"/>
      <c r="BX92" s="803" t="n"/>
      <c r="BY92" s="803" t="n"/>
      <c r="BZ92" s="841" t="n"/>
      <c r="CA92" s="841" t="n"/>
      <c r="CB92" s="841" t="n"/>
      <c r="CC92" s="803" t="n"/>
      <c r="CD92" s="803" t="n"/>
      <c r="CE92" s="841" t="n"/>
      <c r="CF92" s="841" t="n"/>
      <c r="CG92" s="841" t="n"/>
      <c r="CH92" s="803" t="n"/>
      <c r="CI92" s="803" t="n"/>
      <c r="CJ92" s="841" t="n"/>
      <c r="CK92" s="841" t="n"/>
      <c r="CL92" s="841" t="n"/>
      <c r="CM92" s="803" t="n"/>
      <c r="CN92" s="841" t="n"/>
      <c r="CO92" s="841" t="n"/>
      <c r="CP92" s="841" t="n"/>
      <c r="CQ92" s="841" t="n"/>
      <c r="CR92" s="803" t="n"/>
      <c r="CS92" s="841" t="n"/>
      <c r="CT92" s="841" t="n"/>
      <c r="CU92" s="841" t="n"/>
      <c r="CV92" s="841" t="n"/>
      <c r="CW92" s="803" t="n"/>
      <c r="CX92" s="841" t="n"/>
      <c r="CY92" s="841" t="n"/>
      <c r="CZ92" s="841" t="n"/>
      <c r="DA92" s="841" t="n"/>
      <c r="DB92" s="803" t="n"/>
      <c r="DC92" s="841" t="n"/>
      <c r="DD92" s="841" t="n"/>
      <c r="DE92" s="841" t="n"/>
      <c r="DF92" s="841" t="n"/>
      <c r="DG92" s="803" t="n"/>
      <c r="DH92" s="841" t="n"/>
      <c r="DI92" s="841" t="n"/>
      <c r="DJ92" s="841" t="n"/>
      <c r="DK92" s="841" t="n"/>
      <c r="DL92" s="803" t="n"/>
      <c r="DM92" s="841" t="n"/>
      <c r="DN92" s="841" t="n"/>
      <c r="DO92" s="841" t="n"/>
      <c r="DP92" s="841" t="n"/>
      <c r="DQ92" s="803" t="n"/>
      <c r="DR92" s="841" t="n"/>
    </row>
    <row r="93">
      <c r="H93" s="841" t="n"/>
      <c r="I93" s="841" t="n"/>
      <c r="J93" s="841" t="n"/>
      <c r="K93" s="803" t="n"/>
      <c r="L93" s="803" t="n"/>
      <c r="M93" s="841" t="n"/>
      <c r="N93" s="841" t="n"/>
      <c r="O93" s="841" t="n"/>
      <c r="R93" s="841" t="n"/>
      <c r="S93" s="841" t="n"/>
      <c r="T93" s="841" t="n"/>
      <c r="U93" s="806" t="n"/>
      <c r="V93" s="803" t="n"/>
      <c r="W93" s="841" t="n"/>
      <c r="X93" s="841" t="n"/>
      <c r="Y93" s="841" t="n"/>
      <c r="Z93" s="803" t="n"/>
      <c r="AA93" s="803" t="n"/>
      <c r="AB93" s="841" t="n"/>
      <c r="AC93" s="841" t="n"/>
      <c r="AD93" s="841" t="n"/>
      <c r="AE93" s="803" t="n"/>
      <c r="AF93" s="803" t="n"/>
      <c r="AG93" s="841" t="n"/>
      <c r="AH93" s="841" t="n"/>
      <c r="AI93" s="841" t="n"/>
      <c r="AJ93" s="803" t="n"/>
      <c r="AK93" s="803" t="n"/>
      <c r="AL93" s="841" t="n"/>
      <c r="AM93" s="841" t="n"/>
      <c r="AN93" s="841" t="n"/>
      <c r="AO93" s="803" t="n"/>
      <c r="AP93" s="803" t="n"/>
      <c r="AQ93" s="841" t="n"/>
      <c r="AR93" s="841" t="n"/>
      <c r="AS93" s="841" t="n"/>
      <c r="AT93" s="803" t="n"/>
      <c r="AU93" s="803" t="n"/>
      <c r="AV93" s="841" t="n"/>
      <c r="AW93" s="841" t="n"/>
      <c r="AX93" s="841" t="n"/>
      <c r="AY93" s="803" t="n"/>
      <c r="AZ93" s="803" t="n"/>
      <c r="BA93" s="841" t="n"/>
      <c r="BB93" s="841" t="n"/>
      <c r="BC93" s="841" t="n"/>
      <c r="BD93" s="803" t="n"/>
      <c r="BE93" s="803" t="n"/>
      <c r="BF93" s="841" t="n"/>
      <c r="BG93" s="841" t="n"/>
      <c r="BH93" s="841" t="n"/>
      <c r="BI93" s="841" t="n"/>
      <c r="BJ93" s="841" t="n"/>
      <c r="BK93" s="841" t="n"/>
      <c r="BL93" s="841" t="n"/>
      <c r="BM93" s="841" t="n"/>
      <c r="BN93" s="841" t="n"/>
      <c r="BO93" s="803" t="n"/>
      <c r="BP93" s="841" t="n"/>
      <c r="BQ93" s="841" t="n"/>
      <c r="BR93" s="841" t="n"/>
      <c r="BS93" s="803" t="n"/>
      <c r="BT93" s="803" t="n"/>
      <c r="BU93" s="841" t="n"/>
      <c r="BV93" s="841" t="n"/>
      <c r="BW93" s="841" t="n"/>
      <c r="BX93" s="803" t="n"/>
      <c r="BY93" s="803" t="n"/>
      <c r="BZ93" s="841" t="n"/>
      <c r="CA93" s="841" t="n"/>
      <c r="CB93" s="841" t="n"/>
      <c r="CC93" s="803" t="n"/>
      <c r="CD93" s="803" t="n"/>
      <c r="CE93" s="841" t="n"/>
      <c r="CF93" s="841" t="n"/>
      <c r="CG93" s="841" t="n"/>
      <c r="CH93" s="803" t="n"/>
      <c r="CI93" s="803" t="n"/>
      <c r="CJ93" s="841" t="n"/>
      <c r="CK93" s="841" t="n"/>
      <c r="CL93" s="841" t="n"/>
      <c r="CM93" s="803" t="n"/>
      <c r="CN93" s="841" t="n"/>
      <c r="CO93" s="841" t="n"/>
      <c r="CP93" s="841" t="n"/>
      <c r="CQ93" s="841" t="n"/>
      <c r="CR93" s="803" t="n"/>
      <c r="CS93" s="841" t="n"/>
      <c r="CT93" s="841" t="n"/>
      <c r="CU93" s="841" t="n"/>
      <c r="CV93" s="841" t="n"/>
      <c r="CW93" s="803" t="n"/>
      <c r="CX93" s="841" t="n"/>
      <c r="CY93" s="841" t="n"/>
      <c r="CZ93" s="841" t="n"/>
      <c r="DA93" s="841" t="n"/>
      <c r="DB93" s="803" t="n"/>
      <c r="DC93" s="841" t="n"/>
      <c r="DD93" s="841" t="n"/>
      <c r="DE93" s="841" t="n"/>
      <c r="DF93" s="841" t="n"/>
      <c r="DG93" s="803" t="n"/>
      <c r="DH93" s="841" t="n"/>
      <c r="DI93" s="841" t="n"/>
      <c r="DJ93" s="841" t="n"/>
      <c r="DK93" s="841" t="n"/>
      <c r="DL93" s="803" t="n"/>
      <c r="DM93" s="841" t="n"/>
      <c r="DN93" s="841" t="n"/>
      <c r="DO93" s="841" t="n"/>
      <c r="DP93" s="841" t="n"/>
      <c r="DQ93" s="803" t="n"/>
      <c r="DR93" s="841" t="n"/>
    </row>
    <row r="94">
      <c r="H94" s="841" t="n"/>
      <c r="I94" s="841" t="n"/>
      <c r="J94" s="841" t="n"/>
      <c r="K94" s="803" t="n"/>
      <c r="L94" s="803" t="n"/>
      <c r="M94" s="841" t="n"/>
      <c r="N94" s="841" t="n"/>
      <c r="O94" s="841" t="n"/>
      <c r="R94" s="841" t="n"/>
      <c r="S94" s="841" t="n"/>
      <c r="T94" s="841" t="n"/>
      <c r="U94" s="806" t="n"/>
      <c r="V94" s="803" t="n"/>
      <c r="W94" s="841" t="n"/>
      <c r="X94" s="841" t="n"/>
      <c r="Y94" s="841" t="n"/>
      <c r="Z94" s="803" t="n"/>
      <c r="AA94" s="803" t="n"/>
      <c r="AB94" s="841" t="n"/>
      <c r="AC94" s="841" t="n"/>
      <c r="AD94" s="841" t="n"/>
      <c r="AE94" s="803" t="n"/>
      <c r="AF94" s="803" t="n"/>
      <c r="AG94" s="841" t="n"/>
      <c r="AH94" s="841" t="n"/>
      <c r="AI94" s="841" t="n"/>
      <c r="AJ94" s="803" t="n"/>
      <c r="AK94" s="803" t="n"/>
      <c r="AL94" s="841" t="n"/>
      <c r="AM94" s="841" t="n"/>
      <c r="AN94" s="841" t="n"/>
      <c r="AO94" s="803" t="n"/>
      <c r="AP94" s="803" t="n"/>
      <c r="AQ94" s="841" t="n"/>
      <c r="AR94" s="841" t="n"/>
      <c r="AS94" s="841" t="n"/>
      <c r="AT94" s="803" t="n"/>
      <c r="AU94" s="803" t="n"/>
      <c r="AV94" s="841" t="n"/>
      <c r="AW94" s="841" t="n"/>
      <c r="AX94" s="841" t="n"/>
      <c r="AY94" s="803" t="n"/>
      <c r="AZ94" s="803" t="n"/>
      <c r="BA94" s="841" t="n"/>
      <c r="BB94" s="841" t="n"/>
      <c r="BC94" s="841" t="n"/>
      <c r="BD94" s="803" t="n"/>
      <c r="BE94" s="803" t="n"/>
      <c r="BF94" s="841" t="n"/>
      <c r="BG94" s="841" t="n"/>
      <c r="BH94" s="841" t="n"/>
      <c r="BI94" s="841" t="n"/>
      <c r="BJ94" s="841" t="n"/>
      <c r="BK94" s="841" t="n"/>
      <c r="BL94" s="841" t="n"/>
      <c r="BM94" s="841" t="n"/>
      <c r="BN94" s="841" t="n"/>
      <c r="BO94" s="803" t="n"/>
      <c r="BP94" s="841" t="n"/>
      <c r="BQ94" s="841" t="n"/>
      <c r="BR94" s="841" t="n"/>
      <c r="BS94" s="803" t="n"/>
      <c r="BT94" s="803" t="n"/>
      <c r="BU94" s="841" t="n"/>
      <c r="BV94" s="841" t="n"/>
      <c r="BW94" s="841" t="n"/>
      <c r="BX94" s="803" t="n"/>
      <c r="BY94" s="803" t="n"/>
      <c r="BZ94" s="841" t="n"/>
      <c r="CA94" s="841" t="n"/>
      <c r="CB94" s="841" t="n"/>
      <c r="CC94" s="803" t="n"/>
      <c r="CD94" s="803" t="n"/>
      <c r="CE94" s="841" t="n"/>
      <c r="CF94" s="841" t="n"/>
      <c r="CG94" s="841" t="n"/>
      <c r="CH94" s="803" t="n"/>
      <c r="CI94" s="803" t="n"/>
      <c r="CJ94" s="841" t="n"/>
      <c r="CK94" s="841" t="n"/>
      <c r="CL94" s="841" t="n"/>
      <c r="CM94" s="803" t="n"/>
      <c r="CN94" s="841" t="n"/>
      <c r="CO94" s="841" t="n"/>
      <c r="CP94" s="841" t="n"/>
      <c r="CQ94" s="841" t="n"/>
      <c r="CR94" s="803" t="n"/>
      <c r="CS94" s="841" t="n"/>
      <c r="CT94" s="841" t="n"/>
      <c r="CU94" s="841" t="n"/>
      <c r="CV94" s="841" t="n"/>
      <c r="CW94" s="803" t="n"/>
      <c r="CX94" s="841" t="n"/>
      <c r="CY94" s="841" t="n"/>
      <c r="CZ94" s="841" t="n"/>
      <c r="DA94" s="841" t="n"/>
      <c r="DB94" s="803" t="n"/>
      <c r="DC94" s="841" t="n"/>
      <c r="DD94" s="841" t="n"/>
      <c r="DE94" s="841" t="n"/>
      <c r="DF94" s="841" t="n"/>
      <c r="DG94" s="803" t="n"/>
      <c r="DH94" s="841" t="n"/>
      <c r="DI94" s="841" t="n"/>
      <c r="DJ94" s="841" t="n"/>
      <c r="DK94" s="841" t="n"/>
      <c r="DL94" s="803" t="n"/>
      <c r="DM94" s="841" t="n"/>
      <c r="DN94" s="841" t="n"/>
      <c r="DO94" s="841" t="n"/>
      <c r="DP94" s="841" t="n"/>
      <c r="DQ94" s="803" t="n"/>
      <c r="DR94" s="841" t="n"/>
    </row>
    <row r="95">
      <c r="H95" s="841" t="n"/>
      <c r="I95" s="841" t="n"/>
      <c r="J95" s="841" t="n"/>
      <c r="K95" s="803" t="n"/>
      <c r="L95" s="803" t="n"/>
      <c r="M95" s="841" t="n"/>
      <c r="N95" s="841" t="n"/>
      <c r="O95" s="841" t="n"/>
      <c r="R95" s="841" t="n"/>
      <c r="S95" s="841" t="n"/>
      <c r="T95" s="841" t="n"/>
      <c r="U95" s="806" t="n"/>
      <c r="V95" s="803" t="n"/>
      <c r="W95" s="841" t="n"/>
      <c r="X95" s="841" t="n"/>
      <c r="Y95" s="841" t="n"/>
      <c r="Z95" s="803" t="n"/>
      <c r="AA95" s="803" t="n"/>
      <c r="AB95" s="841" t="n"/>
      <c r="AC95" s="841" t="n"/>
      <c r="AD95" s="841" t="n"/>
      <c r="AE95" s="803" t="n"/>
      <c r="AF95" s="803" t="n"/>
      <c r="AG95" s="841" t="n"/>
      <c r="AH95" s="841" t="n"/>
      <c r="AI95" s="841" t="n"/>
      <c r="AJ95" s="803" t="n"/>
      <c r="AK95" s="803" t="n"/>
      <c r="AL95" s="841" t="n"/>
      <c r="AM95" s="841" t="n"/>
      <c r="AN95" s="841" t="n"/>
      <c r="AO95" s="803" t="n"/>
      <c r="AP95" s="803" t="n"/>
      <c r="AQ95" s="841" t="n"/>
      <c r="AR95" s="841" t="n"/>
      <c r="AS95" s="841" t="n"/>
      <c r="AT95" s="803" t="n"/>
      <c r="AU95" s="803" t="n"/>
      <c r="AV95" s="841" t="n"/>
      <c r="AW95" s="841" t="n"/>
      <c r="AX95" s="841" t="n"/>
      <c r="AY95" s="803" t="n"/>
      <c r="AZ95" s="803" t="n"/>
      <c r="BA95" s="841" t="n"/>
      <c r="BB95" s="841" t="n"/>
      <c r="BC95" s="841" t="n"/>
      <c r="BD95" s="803" t="n"/>
      <c r="BE95" s="803" t="n"/>
      <c r="BF95" s="841" t="n"/>
      <c r="BG95" s="841" t="n"/>
      <c r="BH95" s="841" t="n"/>
      <c r="BI95" s="841" t="n"/>
      <c r="BJ95" s="841" t="n"/>
      <c r="BK95" s="841" t="n"/>
      <c r="BL95" s="841" t="n"/>
      <c r="BM95" s="841" t="n"/>
      <c r="BN95" s="841" t="n"/>
      <c r="BO95" s="803" t="n"/>
      <c r="BP95" s="841" t="n"/>
      <c r="BQ95" s="841" t="n"/>
      <c r="BR95" s="841" t="n"/>
      <c r="BS95" s="803" t="n"/>
      <c r="BT95" s="803" t="n"/>
      <c r="BU95" s="841" t="n"/>
      <c r="BV95" s="841" t="n"/>
      <c r="BW95" s="841" t="n"/>
      <c r="BX95" s="803" t="n"/>
      <c r="BY95" s="803" t="n"/>
      <c r="BZ95" s="841" t="n"/>
      <c r="CA95" s="841" t="n"/>
      <c r="CB95" s="841" t="n"/>
      <c r="CC95" s="803" t="n"/>
      <c r="CD95" s="803" t="n"/>
      <c r="CE95" s="841" t="n"/>
      <c r="CF95" s="841" t="n"/>
      <c r="CG95" s="841" t="n"/>
      <c r="CH95" s="803" t="n"/>
      <c r="CI95" s="803" t="n"/>
      <c r="CJ95" s="841" t="n"/>
      <c r="CK95" s="841" t="n"/>
      <c r="CL95" s="841" t="n"/>
      <c r="CM95" s="803" t="n"/>
      <c r="CN95" s="841" t="n"/>
      <c r="CO95" s="841" t="n"/>
      <c r="CP95" s="841" t="n"/>
      <c r="CQ95" s="841" t="n"/>
      <c r="CR95" s="803" t="n"/>
      <c r="CS95" s="841" t="n"/>
      <c r="CT95" s="841" t="n"/>
      <c r="CU95" s="841" t="n"/>
      <c r="CV95" s="841" t="n"/>
      <c r="CW95" s="803" t="n"/>
      <c r="CX95" s="841" t="n"/>
      <c r="CY95" s="841" t="n"/>
      <c r="CZ95" s="841" t="n"/>
      <c r="DA95" s="841" t="n"/>
      <c r="DB95" s="803" t="n"/>
      <c r="DC95" s="841" t="n"/>
      <c r="DD95" s="841" t="n"/>
      <c r="DE95" s="841" t="n"/>
      <c r="DF95" s="841" t="n"/>
      <c r="DG95" s="803" t="n"/>
      <c r="DH95" s="841" t="n"/>
      <c r="DI95" s="841" t="n"/>
      <c r="DJ95" s="841" t="n"/>
      <c r="DK95" s="841" t="n"/>
      <c r="DL95" s="803" t="n"/>
      <c r="DM95" s="841" t="n"/>
      <c r="DN95" s="841" t="n"/>
      <c r="DO95" s="841" t="n"/>
      <c r="DP95" s="841" t="n"/>
      <c r="DQ95" s="803" t="n"/>
      <c r="DR95" s="841" t="n"/>
    </row>
    <row r="96">
      <c r="H96" s="841" t="n"/>
      <c r="I96" s="841" t="n"/>
      <c r="J96" s="841" t="n"/>
      <c r="K96" s="803" t="n"/>
      <c r="L96" s="803" t="n"/>
      <c r="M96" s="841" t="n"/>
      <c r="N96" s="841" t="n"/>
      <c r="O96" s="841" t="n"/>
      <c r="R96" s="841" t="n"/>
      <c r="S96" s="841" t="n"/>
      <c r="T96" s="841" t="n"/>
      <c r="U96" s="806" t="n"/>
      <c r="V96" s="803" t="n"/>
      <c r="W96" s="841" t="n"/>
      <c r="X96" s="841" t="n"/>
      <c r="Y96" s="841" t="n"/>
      <c r="Z96" s="803" t="n"/>
      <c r="AA96" s="803" t="n"/>
      <c r="AB96" s="841" t="n"/>
      <c r="AC96" s="841" t="n"/>
      <c r="AD96" s="841" t="n"/>
      <c r="AE96" s="803" t="n"/>
      <c r="AF96" s="803" t="n"/>
      <c r="AG96" s="841" t="n"/>
      <c r="AH96" s="841" t="n"/>
      <c r="AI96" s="841" t="n"/>
      <c r="AJ96" s="803" t="n"/>
      <c r="AK96" s="803" t="n"/>
      <c r="AL96" s="841" t="n"/>
      <c r="AM96" s="841" t="n"/>
      <c r="AN96" s="841" t="n"/>
      <c r="AO96" s="803" t="n"/>
      <c r="AP96" s="803" t="n"/>
      <c r="AQ96" s="841" t="n"/>
      <c r="AR96" s="841" t="n"/>
      <c r="AS96" s="841" t="n"/>
      <c r="AT96" s="803" t="n"/>
      <c r="AU96" s="803" t="n"/>
      <c r="AV96" s="841" t="n"/>
      <c r="AW96" s="841" t="n"/>
      <c r="AX96" s="841" t="n"/>
      <c r="AY96" s="803" t="n"/>
      <c r="AZ96" s="803" t="n"/>
      <c r="BA96" s="841" t="n"/>
      <c r="BB96" s="841" t="n"/>
      <c r="BC96" s="841" t="n"/>
      <c r="BD96" s="803" t="n"/>
      <c r="BE96" s="803" t="n"/>
      <c r="BF96" s="841" t="n"/>
      <c r="BG96" s="841" t="n"/>
      <c r="BH96" s="841" t="n"/>
      <c r="BI96" s="841" t="n"/>
      <c r="BJ96" s="841" t="n"/>
      <c r="BK96" s="841" t="n"/>
      <c r="BL96" s="841" t="n"/>
      <c r="BM96" s="841" t="n"/>
      <c r="BN96" s="841" t="n"/>
      <c r="BO96" s="803" t="n"/>
      <c r="BP96" s="841" t="n"/>
      <c r="BQ96" s="841" t="n"/>
      <c r="BR96" s="841" t="n"/>
      <c r="BS96" s="803" t="n"/>
      <c r="BT96" s="803" t="n"/>
      <c r="BU96" s="841" t="n"/>
      <c r="BV96" s="841" t="n"/>
      <c r="BW96" s="841" t="n"/>
      <c r="BX96" s="803" t="n"/>
      <c r="BY96" s="803" t="n"/>
      <c r="BZ96" s="841" t="n"/>
      <c r="CA96" s="841" t="n"/>
      <c r="CB96" s="841" t="n"/>
      <c r="CC96" s="803" t="n"/>
      <c r="CD96" s="803" t="n"/>
      <c r="CE96" s="841" t="n"/>
      <c r="CF96" s="841" t="n"/>
      <c r="CG96" s="841" t="n"/>
      <c r="CH96" s="803" t="n"/>
      <c r="CI96" s="803" t="n"/>
      <c r="CJ96" s="841" t="n"/>
      <c r="CK96" s="841" t="n"/>
      <c r="CL96" s="841" t="n"/>
      <c r="CM96" s="803" t="n"/>
      <c r="CN96" s="841" t="n"/>
      <c r="CO96" s="841" t="n"/>
      <c r="CP96" s="841" t="n"/>
      <c r="CQ96" s="841" t="n"/>
      <c r="CR96" s="803" t="n"/>
      <c r="CS96" s="841" t="n"/>
      <c r="CT96" s="841" t="n"/>
      <c r="CU96" s="841" t="n"/>
      <c r="CV96" s="841" t="n"/>
      <c r="CW96" s="803" t="n"/>
      <c r="CX96" s="841" t="n"/>
      <c r="CY96" s="841" t="n"/>
      <c r="CZ96" s="841" t="n"/>
      <c r="DA96" s="841" t="n"/>
      <c r="DB96" s="803" t="n"/>
      <c r="DC96" s="841" t="n"/>
      <c r="DD96" s="841" t="n"/>
      <c r="DE96" s="841" t="n"/>
      <c r="DF96" s="841" t="n"/>
      <c r="DG96" s="803" t="n"/>
      <c r="DH96" s="841" t="n"/>
      <c r="DI96" s="841" t="n"/>
      <c r="DJ96" s="841" t="n"/>
      <c r="DK96" s="841" t="n"/>
      <c r="DL96" s="803" t="n"/>
      <c r="DM96" s="841" t="n"/>
      <c r="DN96" s="841" t="n"/>
      <c r="DO96" s="841" t="n"/>
      <c r="DP96" s="841" t="n"/>
      <c r="DQ96" s="803" t="n"/>
      <c r="DR96" s="841" t="n"/>
    </row>
    <row r="97">
      <c r="H97" s="841" t="n"/>
      <c r="I97" s="841" t="n"/>
      <c r="J97" s="841" t="n"/>
      <c r="K97" s="803" t="n"/>
      <c r="L97" s="803" t="n"/>
      <c r="M97" s="841" t="n"/>
      <c r="N97" s="841" t="n"/>
      <c r="O97" s="841" t="n"/>
      <c r="R97" s="841" t="n"/>
      <c r="S97" s="841" t="n"/>
      <c r="T97" s="841" t="n"/>
      <c r="U97" s="806" t="n"/>
      <c r="V97" s="803" t="n"/>
      <c r="W97" s="841" t="n"/>
      <c r="X97" s="841" t="n"/>
      <c r="Y97" s="841" t="n"/>
      <c r="Z97" s="803" t="n"/>
      <c r="AA97" s="803" t="n"/>
      <c r="AB97" s="841" t="n"/>
      <c r="AC97" s="841" t="n"/>
      <c r="AD97" s="841" t="n"/>
      <c r="AE97" s="803" t="n"/>
      <c r="AF97" s="803" t="n"/>
      <c r="AG97" s="841" t="n"/>
      <c r="AH97" s="841" t="n"/>
      <c r="AI97" s="841" t="n"/>
      <c r="AJ97" s="803" t="n"/>
      <c r="AK97" s="803" t="n"/>
      <c r="AL97" s="841" t="n"/>
      <c r="AM97" s="841" t="n"/>
      <c r="AN97" s="841" t="n"/>
      <c r="AO97" s="803" t="n"/>
      <c r="AP97" s="803" t="n"/>
      <c r="AQ97" s="841" t="n"/>
      <c r="AR97" s="841" t="n"/>
      <c r="AS97" s="841" t="n"/>
      <c r="AT97" s="803" t="n"/>
      <c r="AU97" s="803" t="n"/>
      <c r="AV97" s="841" t="n"/>
      <c r="AW97" s="841" t="n"/>
      <c r="AX97" s="841" t="n"/>
      <c r="AY97" s="803" t="n"/>
      <c r="AZ97" s="803" t="n"/>
      <c r="BA97" s="841" t="n"/>
      <c r="BB97" s="841" t="n"/>
      <c r="BC97" s="841" t="n"/>
      <c r="BD97" s="803" t="n"/>
      <c r="BE97" s="803" t="n"/>
      <c r="BF97" s="841" t="n"/>
      <c r="BG97" s="841" t="n"/>
      <c r="BH97" s="841" t="n"/>
      <c r="BI97" s="841" t="n"/>
      <c r="BJ97" s="841" t="n"/>
      <c r="BK97" s="841" t="n"/>
      <c r="BL97" s="841" t="n"/>
      <c r="BM97" s="841" t="n"/>
      <c r="BN97" s="841" t="n"/>
      <c r="BO97" s="803" t="n"/>
      <c r="BP97" s="841" t="n"/>
      <c r="BQ97" s="841" t="n"/>
      <c r="BR97" s="841" t="n"/>
      <c r="BS97" s="803" t="n"/>
      <c r="BT97" s="803" t="n"/>
      <c r="BU97" s="841" t="n"/>
      <c r="BV97" s="841" t="n"/>
      <c r="BW97" s="841" t="n"/>
      <c r="BX97" s="803" t="n"/>
      <c r="BY97" s="803" t="n"/>
      <c r="BZ97" s="841" t="n"/>
      <c r="CA97" s="841" t="n"/>
      <c r="CB97" s="841" t="n"/>
      <c r="CC97" s="803" t="n"/>
      <c r="CD97" s="803" t="n"/>
      <c r="CE97" s="841" t="n"/>
      <c r="CF97" s="841" t="n"/>
      <c r="CG97" s="841" t="n"/>
      <c r="CH97" s="803" t="n"/>
      <c r="CI97" s="803" t="n"/>
      <c r="CJ97" s="841" t="n"/>
      <c r="CK97" s="841" t="n"/>
      <c r="CL97" s="841" t="n"/>
      <c r="CM97" s="803" t="n"/>
      <c r="CN97" s="841" t="n"/>
      <c r="CO97" s="841" t="n"/>
      <c r="CP97" s="841" t="n"/>
      <c r="CQ97" s="841" t="n"/>
      <c r="CR97" s="803" t="n"/>
      <c r="CS97" s="841" t="n"/>
      <c r="CT97" s="841" t="n"/>
      <c r="CU97" s="841" t="n"/>
      <c r="CV97" s="841" t="n"/>
      <c r="CW97" s="803" t="n"/>
      <c r="CX97" s="841" t="n"/>
      <c r="CY97" s="841" t="n"/>
      <c r="CZ97" s="841" t="n"/>
      <c r="DA97" s="841" t="n"/>
      <c r="DB97" s="803" t="n"/>
      <c r="DC97" s="841" t="n"/>
      <c r="DD97" s="841" t="n"/>
      <c r="DE97" s="841" t="n"/>
      <c r="DF97" s="841" t="n"/>
      <c r="DG97" s="803" t="n"/>
      <c r="DH97" s="841" t="n"/>
      <c r="DI97" s="841" t="n"/>
      <c r="DJ97" s="841" t="n"/>
      <c r="DK97" s="841" t="n"/>
      <c r="DL97" s="803" t="n"/>
      <c r="DM97" s="841" t="n"/>
      <c r="DN97" s="841" t="n"/>
      <c r="DO97" s="841" t="n"/>
      <c r="DP97" s="841" t="n"/>
      <c r="DQ97" s="803" t="n"/>
      <c r="DR97" s="841" t="n"/>
    </row>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sheetData>
  <mergeCells count="65">
    <mergeCell ref="M11:O11"/>
    <mergeCell ref="CT19:CT20"/>
    <mergeCell ref="AV11:AX11"/>
    <mergeCell ref="AG11:AI11"/>
    <mergeCell ref="BA10:BC10"/>
    <mergeCell ref="M10:O10"/>
    <mergeCell ref="BZ10:CB10"/>
    <mergeCell ref="DI10:DK10"/>
    <mergeCell ref="DD11:DF11"/>
    <mergeCell ref="CJ10:CL10"/>
    <mergeCell ref="BU10:BW10"/>
    <mergeCell ref="G2:G7"/>
    <mergeCell ref="DD10:DF10"/>
    <mergeCell ref="DN11:DP11"/>
    <mergeCell ref="DS15:DS16"/>
    <mergeCell ref="H11:J11"/>
    <mergeCell ref="DS24:DS25"/>
    <mergeCell ref="AB11:AD11"/>
    <mergeCell ref="AV10:AX10"/>
    <mergeCell ref="DN15:DN16"/>
    <mergeCell ref="C11:E11"/>
    <mergeCell ref="CO11:CQ11"/>
    <mergeCell ref="AQ21:AQ22"/>
    <mergeCell ref="AQ10:AS10"/>
    <mergeCell ref="CY11:DA11"/>
    <mergeCell ref="CE10:CG10"/>
    <mergeCell ref="CJ11:CL11"/>
    <mergeCell ref="BP10:BR10"/>
    <mergeCell ref="B2:B7"/>
    <mergeCell ref="DS11:DU11"/>
    <mergeCell ref="DI11:DK11"/>
    <mergeCell ref="W11:Y11"/>
    <mergeCell ref="CT25:CT26"/>
    <mergeCell ref="DI17:DI18"/>
    <mergeCell ref="BK11:BM11"/>
    <mergeCell ref="AL10:AN10"/>
    <mergeCell ref="CT11:CV11"/>
    <mergeCell ref="AB10:AD10"/>
    <mergeCell ref="CE11:CG11"/>
    <mergeCell ref="BK10:BM10"/>
    <mergeCell ref="BF11:BH11"/>
    <mergeCell ref="BP11:BR11"/>
    <mergeCell ref="BF10:BH10"/>
    <mergeCell ref="DS21:DS22"/>
    <mergeCell ref="DS10:DU10"/>
    <mergeCell ref="BU24:BU25"/>
    <mergeCell ref="W10:Y10"/>
    <mergeCell ref="AQ11:AS11"/>
    <mergeCell ref="H10:J10"/>
    <mergeCell ref="BZ11:CB11"/>
    <mergeCell ref="R11:T11"/>
    <mergeCell ref="AG10:AI10"/>
    <mergeCell ref="BA11:BC11"/>
    <mergeCell ref="R10:T10"/>
    <mergeCell ref="AL11:AN11"/>
    <mergeCell ref="CT10:CV10"/>
    <mergeCell ref="BU11:BW11"/>
    <mergeCell ref="DS17:DS18"/>
    <mergeCell ref="P68:Q213"/>
    <mergeCell ref="DN10:DP10"/>
    <mergeCell ref="CT22:CT23"/>
    <mergeCell ref="CO10:CQ10"/>
    <mergeCell ref="CY10:DA10"/>
    <mergeCell ref="L2:L7"/>
    <mergeCell ref="C10:E10"/>
  </mergeCells>
  <conditionalFormatting sqref="C9:C12">
    <cfRule type="containsBlanks" priority="148" dxfId="266">
      <formula>LEN(TRIM(C9))=0</formula>
    </cfRule>
  </conditionalFormatting>
  <conditionalFormatting sqref="D15:D70">
    <cfRule type="expression" priority="77" dxfId="265">
      <formula>D15&gt;50</formula>
    </cfRule>
  </conditionalFormatting>
  <conditionalFormatting sqref="H9:H12">
    <cfRule type="containsBlanks" priority="24" dxfId="266">
      <formula>LEN(TRIM(H9))=0</formula>
    </cfRule>
  </conditionalFormatting>
  <conditionalFormatting sqref="I15:I83">
    <cfRule type="expression" priority="75" dxfId="265">
      <formula>I15&gt;50</formula>
    </cfRule>
  </conditionalFormatting>
  <conditionalFormatting sqref="J72:J81">
    <cfRule type="expression" priority="149" dxfId="265">
      <formula>J72&gt;50</formula>
    </cfRule>
  </conditionalFormatting>
  <conditionalFormatting sqref="M9:M12">
    <cfRule type="containsBlanks" priority="23" dxfId="266">
      <formula>LEN(TRIM(M9))=0</formula>
    </cfRule>
  </conditionalFormatting>
  <conditionalFormatting sqref="N15:N73">
    <cfRule type="expression" priority="79" dxfId="265">
      <formula>N15&gt;50</formula>
    </cfRule>
  </conditionalFormatting>
  <conditionalFormatting sqref="O72:O73">
    <cfRule type="expression" priority="146" dxfId="265">
      <formula>O72&gt;50</formula>
    </cfRule>
  </conditionalFormatting>
  <conditionalFormatting sqref="R9:R12">
    <cfRule type="containsBlanks" priority="22" dxfId="266">
      <formula>LEN(TRIM(R9))=0</formula>
    </cfRule>
  </conditionalFormatting>
  <conditionalFormatting sqref="S15:S71">
    <cfRule type="expression" priority="78" dxfId="265">
      <formula>S15&gt;50</formula>
    </cfRule>
  </conditionalFormatting>
  <conditionalFormatting sqref="W9:W12">
    <cfRule type="containsBlanks" priority="21" dxfId="266">
      <formula>LEN(TRIM(W9))=0</formula>
    </cfRule>
  </conditionalFormatting>
  <conditionalFormatting sqref="X15:X74">
    <cfRule type="expression" priority="76" dxfId="265">
      <formula>X15&gt;50</formula>
    </cfRule>
  </conditionalFormatting>
  <conditionalFormatting sqref="AB9:AB12">
    <cfRule type="containsBlanks" priority="20" dxfId="266">
      <formula>LEN(TRIM(AB9))=0</formula>
    </cfRule>
  </conditionalFormatting>
  <conditionalFormatting sqref="AC15:AC72">
    <cfRule type="expression" priority="74" dxfId="265">
      <formula>AC15&gt;50</formula>
    </cfRule>
  </conditionalFormatting>
  <conditionalFormatting sqref="AG9:AG12">
    <cfRule type="containsBlanks" priority="19" dxfId="266">
      <formula>LEN(TRIM(AG9))=0</formula>
    </cfRule>
  </conditionalFormatting>
  <conditionalFormatting sqref="AH15:AH71">
    <cfRule type="expression" priority="27" dxfId="265">
      <formula>AH15&gt;50</formula>
    </cfRule>
  </conditionalFormatting>
  <conditionalFormatting sqref="AL9:AL12">
    <cfRule type="containsBlanks" priority="18" dxfId="266">
      <formula>LEN(TRIM(AL9))=0</formula>
    </cfRule>
  </conditionalFormatting>
  <conditionalFormatting sqref="AM15:AM71">
    <cfRule type="expression" priority="81" dxfId="265">
      <formula>AM15&gt;50</formula>
    </cfRule>
  </conditionalFormatting>
  <conditionalFormatting sqref="AQ9:AQ12">
    <cfRule type="containsBlanks" priority="17" dxfId="266">
      <formula>LEN(TRIM(AQ9))=0</formula>
    </cfRule>
  </conditionalFormatting>
  <conditionalFormatting sqref="AR15:AR71">
    <cfRule type="expression" priority="109" dxfId="265">
      <formula>AR15&gt;50</formula>
    </cfRule>
  </conditionalFormatting>
  <conditionalFormatting sqref="AV9:AV12">
    <cfRule type="containsBlanks" priority="16" dxfId="266">
      <formula>LEN(TRIM(AV9))=0</formula>
    </cfRule>
  </conditionalFormatting>
  <conditionalFormatting sqref="AW15:AW72">
    <cfRule type="expression" priority="83" dxfId="265">
      <formula>AW15&gt;50</formula>
    </cfRule>
  </conditionalFormatting>
  <conditionalFormatting sqref="AY16">
    <cfRule type="expression" priority="133" dxfId="265">
      <formula>AY16&gt;50</formula>
    </cfRule>
  </conditionalFormatting>
  <conditionalFormatting sqref="AZ20">
    <cfRule type="expression" priority="132" dxfId="265">
      <formula>AZ20&gt;50</formula>
    </cfRule>
  </conditionalFormatting>
  <conditionalFormatting sqref="AZ26">
    <cfRule type="expression" priority="131" dxfId="265">
      <formula>AZ26&gt;50</formula>
    </cfRule>
  </conditionalFormatting>
  <conditionalFormatting sqref="BA9:BA12">
    <cfRule type="containsBlanks" priority="15" dxfId="266">
      <formula>LEN(TRIM(BA9))=0</formula>
    </cfRule>
  </conditionalFormatting>
  <conditionalFormatting sqref="BB15:BB72">
    <cfRule type="expression" priority="80" dxfId="265">
      <formula>BB15&gt;50</formula>
    </cfRule>
  </conditionalFormatting>
  <conditionalFormatting sqref="BD16">
    <cfRule type="expression" priority="116" dxfId="265">
      <formula>BD16&gt;50</formula>
    </cfRule>
  </conditionalFormatting>
  <conditionalFormatting sqref="BE20">
    <cfRule type="expression" priority="115" dxfId="265">
      <formula>BE20&gt;50</formula>
    </cfRule>
  </conditionalFormatting>
  <conditionalFormatting sqref="BE26">
    <cfRule type="expression" priority="114" dxfId="265">
      <formula>BE26&gt;50</formula>
    </cfRule>
  </conditionalFormatting>
  <conditionalFormatting sqref="BF9:BF12">
    <cfRule type="containsBlanks" priority="14" dxfId="266">
      <formula>LEN(TRIM(BF9))=0</formula>
    </cfRule>
  </conditionalFormatting>
  <conditionalFormatting sqref="BG15:BG71">
    <cfRule type="expression" priority="108" dxfId="265">
      <formula>BG15&gt;50</formula>
    </cfRule>
  </conditionalFormatting>
  <conditionalFormatting sqref="BJ20">
    <cfRule type="expression" priority="113" dxfId="265">
      <formula>BJ20&gt;50</formula>
    </cfRule>
  </conditionalFormatting>
  <conditionalFormatting sqref="BJ26">
    <cfRule type="expression" priority="112" dxfId="265">
      <formula>BJ26&gt;50</formula>
    </cfRule>
  </conditionalFormatting>
  <conditionalFormatting sqref="BK9:BK12">
    <cfRule type="containsBlanks" priority="13" dxfId="266">
      <formula>LEN(TRIM(BK9))=0</formula>
    </cfRule>
  </conditionalFormatting>
  <conditionalFormatting sqref="BL15:BL71">
    <cfRule type="expression" priority="25" dxfId="265">
      <formula>BL15&gt;50</formula>
    </cfRule>
  </conditionalFormatting>
  <conditionalFormatting sqref="BO20">
    <cfRule type="expression" priority="86" dxfId="265">
      <formula>BO20&gt;50</formula>
    </cfRule>
  </conditionalFormatting>
  <conditionalFormatting sqref="BO26">
    <cfRule type="expression" priority="85" dxfId="265">
      <formula>BO26&gt;50</formula>
    </cfRule>
  </conditionalFormatting>
  <conditionalFormatting sqref="BO54">
    <cfRule type="expression" priority="130" dxfId="265">
      <formula>BO54&gt;50</formula>
    </cfRule>
  </conditionalFormatting>
  <conditionalFormatting sqref="BP9:BP12">
    <cfRule type="containsBlanks" priority="12" dxfId="266">
      <formula>LEN(TRIM(BP9))=0</formula>
    </cfRule>
  </conditionalFormatting>
  <conditionalFormatting sqref="BQ15:BQ71">
    <cfRule type="expression" priority="57" dxfId="265">
      <formula>BQ15&gt;50</formula>
    </cfRule>
  </conditionalFormatting>
  <conditionalFormatting sqref="BT20">
    <cfRule type="expression" priority="111" dxfId="265">
      <formula>BT20&gt;50</formula>
    </cfRule>
  </conditionalFormatting>
  <conditionalFormatting sqref="BT26 BT54">
    <cfRule type="expression" priority="110" dxfId="265">
      <formula>BT26&gt;50</formula>
    </cfRule>
  </conditionalFormatting>
  <conditionalFormatting sqref="BU9:BU12">
    <cfRule type="containsBlanks" priority="11" dxfId="266">
      <formula>LEN(TRIM(BU9))=0</formula>
    </cfRule>
  </conditionalFormatting>
  <conditionalFormatting sqref="BV15:BV71">
    <cfRule type="expression" priority="55" dxfId="265">
      <formula>BV15&gt;50</formula>
    </cfRule>
  </conditionalFormatting>
  <conditionalFormatting sqref="BY20">
    <cfRule type="expression" priority="122" dxfId="265">
      <formula>BY20&gt;50</formula>
    </cfRule>
  </conditionalFormatting>
  <conditionalFormatting sqref="BY26">
    <cfRule type="expression" priority="121" dxfId="265">
      <formula>BY26&gt;50</formula>
    </cfRule>
  </conditionalFormatting>
  <conditionalFormatting sqref="BZ9:BZ12">
    <cfRule type="containsBlanks" priority="10" dxfId="266">
      <formula>LEN(TRIM(BZ9))=0</formula>
    </cfRule>
  </conditionalFormatting>
  <conditionalFormatting sqref="CA15:CA71">
    <cfRule type="expression" priority="53" dxfId="265">
      <formula>CA15&gt;50</formula>
    </cfRule>
  </conditionalFormatting>
  <conditionalFormatting sqref="CD20">
    <cfRule type="expression" priority="128" dxfId="265">
      <formula>CD20&gt;50</formula>
    </cfRule>
  </conditionalFormatting>
  <conditionalFormatting sqref="CD26">
    <cfRule type="expression" priority="127" dxfId="265">
      <formula>CD26&gt;50</formula>
    </cfRule>
  </conditionalFormatting>
  <conditionalFormatting sqref="CE9:CE12">
    <cfRule type="containsBlanks" priority="9" dxfId="266">
      <formula>LEN(TRIM(CE9))=0</formula>
    </cfRule>
  </conditionalFormatting>
  <conditionalFormatting sqref="CF15:CF71">
    <cfRule type="expression" priority="51" dxfId="265">
      <formula>CF15&gt;50</formula>
    </cfRule>
  </conditionalFormatting>
  <conditionalFormatting sqref="CI20">
    <cfRule type="expression" priority="126" dxfId="265">
      <formula>CI20&gt;50</formula>
    </cfRule>
  </conditionalFormatting>
  <conditionalFormatting sqref="CI26">
    <cfRule type="expression" priority="125" dxfId="265">
      <formula>CI26&gt;50</formula>
    </cfRule>
  </conditionalFormatting>
  <conditionalFormatting sqref="CJ9:CJ12">
    <cfRule type="containsBlanks" priority="8" dxfId="266">
      <formula>LEN(TRIM(CJ9))=0</formula>
    </cfRule>
  </conditionalFormatting>
  <conditionalFormatting sqref="CK15:CK71">
    <cfRule type="expression" priority="45" dxfId="265">
      <formula>CK15&gt;50</formula>
    </cfRule>
  </conditionalFormatting>
  <conditionalFormatting sqref="CN20">
    <cfRule type="expression" priority="124" dxfId="265">
      <formula>CN20&gt;50</formula>
    </cfRule>
  </conditionalFormatting>
  <conditionalFormatting sqref="CN26">
    <cfRule type="expression" priority="123" dxfId="265">
      <formula>CN26&gt;50</formula>
    </cfRule>
  </conditionalFormatting>
  <conditionalFormatting sqref="CO9:CO12">
    <cfRule type="containsBlanks" priority="7" dxfId="266">
      <formula>LEN(TRIM(CO9))=0</formula>
    </cfRule>
  </conditionalFormatting>
  <conditionalFormatting sqref="CP15:CP71">
    <cfRule type="expression" priority="43" dxfId="265">
      <formula>CP15&gt;50</formula>
    </cfRule>
  </conditionalFormatting>
  <conditionalFormatting sqref="CS20">
    <cfRule type="expression" priority="104" dxfId="265">
      <formula>CS20&gt;50</formula>
    </cfRule>
  </conditionalFormatting>
  <conditionalFormatting sqref="CS26">
    <cfRule type="expression" priority="103" dxfId="265">
      <formula>CS26&gt;50</formula>
    </cfRule>
  </conditionalFormatting>
  <conditionalFormatting sqref="CT9:CT12">
    <cfRule type="containsBlanks" priority="6" dxfId="266">
      <formula>LEN(TRIM(CT9))=0</formula>
    </cfRule>
  </conditionalFormatting>
  <conditionalFormatting sqref="CU15:CU71">
    <cfRule type="expression" priority="39" dxfId="265">
      <formula>CU15&gt;50</formula>
    </cfRule>
  </conditionalFormatting>
  <conditionalFormatting sqref="CX20">
    <cfRule type="expression" priority="101" dxfId="265">
      <formula>CX20&gt;50</formula>
    </cfRule>
  </conditionalFormatting>
  <conditionalFormatting sqref="CX26">
    <cfRule type="expression" priority="100" dxfId="265">
      <formula>CX26&gt;50</formula>
    </cfRule>
  </conditionalFormatting>
  <conditionalFormatting sqref="CY9:CY12">
    <cfRule type="containsBlanks" priority="5" dxfId="266">
      <formula>LEN(TRIM(CY9))=0</formula>
    </cfRule>
  </conditionalFormatting>
  <conditionalFormatting sqref="CZ15:CZ71">
    <cfRule type="expression" priority="37" dxfId="265">
      <formula>CZ15&gt;50</formula>
    </cfRule>
  </conditionalFormatting>
  <conditionalFormatting sqref="DC20">
    <cfRule type="expression" priority="98" dxfId="265">
      <formula>DC20&gt;50</formula>
    </cfRule>
  </conditionalFormatting>
  <conditionalFormatting sqref="DC26">
    <cfRule type="expression" priority="97" dxfId="265">
      <formula>DC26&gt;50</formula>
    </cfRule>
  </conditionalFormatting>
  <conditionalFormatting sqref="DD9:DD12">
    <cfRule type="containsBlanks" priority="4" dxfId="266">
      <formula>LEN(TRIM(DD9))=0</formula>
    </cfRule>
  </conditionalFormatting>
  <conditionalFormatting sqref="DE15:DE71">
    <cfRule type="expression" priority="33" dxfId="265">
      <formula>DE15&gt;50</formula>
    </cfRule>
  </conditionalFormatting>
  <conditionalFormatting sqref="DH20">
    <cfRule type="expression" priority="95" dxfId="265">
      <formula>DH20&gt;50</formula>
    </cfRule>
  </conditionalFormatting>
  <conditionalFormatting sqref="DH26">
    <cfRule type="expression" priority="94" dxfId="265">
      <formula>DH26&gt;50</formula>
    </cfRule>
  </conditionalFormatting>
  <conditionalFormatting sqref="DI9:DI12">
    <cfRule type="containsBlanks" priority="3" dxfId="266">
      <formula>LEN(TRIM(DI9))=0</formula>
    </cfRule>
  </conditionalFormatting>
  <conditionalFormatting sqref="DJ15:DJ71">
    <cfRule type="expression" priority="30" dxfId="265">
      <formula>DJ15&gt;50</formula>
    </cfRule>
  </conditionalFormatting>
  <conditionalFormatting sqref="DM20">
    <cfRule type="expression" priority="92" dxfId="265">
      <formula>DM20&gt;50</formula>
    </cfRule>
  </conditionalFormatting>
  <conditionalFormatting sqref="DM26">
    <cfRule type="expression" priority="91" dxfId="265">
      <formula>DM26&gt;50</formula>
    </cfRule>
  </conditionalFormatting>
  <conditionalFormatting sqref="DN9:DN12">
    <cfRule type="containsBlanks" priority="2" dxfId="266">
      <formula>LEN(TRIM(DN9))=0</formula>
    </cfRule>
  </conditionalFormatting>
  <conditionalFormatting sqref="DO15:DO71">
    <cfRule type="expression" priority="66" dxfId="265">
      <formula>DO15&gt;50</formula>
    </cfRule>
  </conditionalFormatting>
  <conditionalFormatting sqref="DR20">
    <cfRule type="expression" priority="89" dxfId="265">
      <formula>DR20&gt;50</formula>
    </cfRule>
  </conditionalFormatting>
  <conditionalFormatting sqref="DR26">
    <cfRule type="expression" priority="88" dxfId="265">
      <formula>DR26&gt;50</formula>
    </cfRule>
  </conditionalFormatting>
  <conditionalFormatting sqref="DS9:DS12">
    <cfRule type="containsBlanks" priority="1" dxfId="266">
      <formula>LEN(TRIM(DS9))=0</formula>
    </cfRule>
  </conditionalFormatting>
  <conditionalFormatting sqref="DT15:DT71">
    <cfRule type="expression" priority="62" dxfId="265">
      <formula>DT15&gt;50</formula>
    </cfRule>
  </conditionalFormatting>
  <dataValidations count="2">
    <dataValidation sqref="C9 H9 M9 R9 W9 AB9 AG9 AL9 AQ9 AV9 BA9 BF9 BK9 BP9 BU9 BZ9 CE9 CJ9 CO9 CT9 CY9 DD9 DI9 DN9 DS9" showDropDown="0" showInputMessage="1" showErrorMessage="1" allowBlank="1" type="list">
      <formula1>"Aerial, New Conduit, Existing Conduit"</formula1>
    </dataValidation>
    <dataValidation sqref="C12 H12 M12 R12 W12 AB12 AG12 AL12 AQ12 AV12 BA12 BF12 BK12 BP12 BU12 BZ12 CE12 CJ12 CO12 CT12 CY12 DD12 DI12 DN12 DS12" showDropDown="0" showInputMessage="1" showErrorMessage="1" allowBlank="1" type="list">
      <formula1>"24, 48, 96, 144, 288, 432"</formula1>
    </dataValidation>
  </dataValidations>
  <pageMargins left="0.7" right="0.7" top="0.75" bottom="0.75" header="0.3" footer="0.3"/>
  <pageSetup orientation="portrait" verticalDpi="1200"/>
</worksheet>
</file>

<file path=xl/worksheets/sheet7.xml><?xml version="1.0" encoding="utf-8"?>
<worksheet xmlns="http://schemas.openxmlformats.org/spreadsheetml/2006/main">
  <sheetPr codeName="Sheet8">
    <outlinePr summaryBelow="1" summaryRight="1"/>
    <pageSetUpPr/>
  </sheetPr>
  <dimension ref="A1:CB1391"/>
  <sheetViews>
    <sheetView zoomScale="85" zoomScaleNormal="85" workbookViewId="0">
      <pane ySplit="6" topLeftCell="A7" activePane="bottomLeft" state="frozen"/>
      <selection pane="bottomLeft" activeCell="F19" sqref="F19"/>
    </sheetView>
  </sheetViews>
  <sheetFormatPr baseColWidth="8" defaultRowHeight="15"/>
  <cols>
    <col width="12" customWidth="1" style="192" min="1" max="1"/>
    <col width="14.5703125" customWidth="1" style="567" min="2" max="2"/>
    <col width="11.140625" customWidth="1" style="192" min="3" max="3"/>
    <col width="11.85546875" bestFit="1" customWidth="1" style="109" min="4" max="4"/>
    <col width="19.140625" customWidth="1" style="109" min="5" max="5"/>
    <col width="11.7109375" customWidth="1" style="109" min="6" max="6"/>
    <col width="17" customWidth="1" style="109" min="7" max="7"/>
    <col width="15.5703125" bestFit="1" customWidth="1" style="109" min="8" max="8"/>
    <col width="16.5703125" customWidth="1" style="109" min="9" max="9"/>
    <col outlineLevel="1" width="12" customWidth="1" style="109" min="10" max="10"/>
    <col outlineLevel="1" width="11.7109375" customWidth="1" style="109" min="11" max="11"/>
    <col hidden="1" outlineLevel="1" width="11.7109375" customWidth="1" style="109" min="12" max="13"/>
    <col hidden="1" outlineLevel="1" width="12.7109375" customWidth="1" style="109" min="14" max="15"/>
    <col hidden="1" outlineLevel="1" width="24.7109375" customWidth="1" style="57" min="16" max="16"/>
    <col hidden="1" outlineLevel="1" width="9.140625" customWidth="1" style="57" min="17" max="24"/>
    <col hidden="1" outlineLevel="1" width="6.7109375" customWidth="1" style="57" min="25" max="25"/>
    <col width="3.7109375" customWidth="1" min="26" max="26"/>
    <col outlineLevel="1" width="11.7109375" customWidth="1" style="192" min="27" max="27"/>
    <col outlineLevel="1" width="15.85546875" customWidth="1" style="192" min="28" max="28"/>
    <col width="9.28515625" customWidth="1" style="192" min="29" max="29"/>
    <col width="15.85546875" customWidth="1" style="192" min="30" max="30"/>
    <col outlineLevel="1" width="16.42578125" customWidth="1" style="109" min="31" max="31"/>
    <col outlineLevel="1" width="15.7109375" customWidth="1" style="109" min="32" max="32"/>
    <col outlineLevel="1" width="16.85546875" customWidth="1" style="109" min="33" max="33"/>
    <col outlineLevel="1" width="36.5703125" bestFit="1" customWidth="1" style="109" min="34" max="34"/>
    <col outlineLevel="1" width="12.7109375" customWidth="1" style="109" min="35" max="35"/>
    <col outlineLevel="1" width="9.140625" customWidth="1" style="109" min="36" max="38"/>
    <col outlineLevel="1" width="12.140625" customWidth="1" style="109" min="39" max="39"/>
    <col outlineLevel="1" width="10.28515625" customWidth="1" style="109" min="40" max="40"/>
    <col outlineLevel="1" width="9.85546875" customWidth="1" style="109" min="41" max="41"/>
    <col outlineLevel="1" width="10.42578125" customWidth="1" style="109" min="42" max="42"/>
    <col outlineLevel="1" width="9.140625" customWidth="1" style="109" min="43" max="43"/>
    <col outlineLevel="1" width="11" customWidth="1" style="109" min="44" max="44"/>
    <col hidden="1" min="78" max="78"/>
  </cols>
  <sheetData>
    <row r="1" ht="63" customFormat="1" customHeight="1" s="190" thickBot="1">
      <c r="A1" s="191" t="n"/>
      <c r="B1" s="565" t="n"/>
      <c r="C1" s="191" t="n"/>
      <c r="D1" s="191" t="n"/>
      <c r="E1" s="191" t="n"/>
      <c r="F1" s="191" t="n"/>
      <c r="G1" s="191" t="n"/>
      <c r="H1" s="191" t="n"/>
      <c r="I1" s="191" t="n"/>
      <c r="J1" s="191" t="inlineStr">
        <is>
          <t>UNIT 140
NEW AERIAL</t>
        </is>
      </c>
      <c r="K1" s="246" t="inlineStr">
        <is>
          <t>UNIT 141
OVERLASH</t>
        </is>
      </c>
      <c r="L1" s="246" t="inlineStr">
        <is>
          <t>UNIT 141
OVERLASH</t>
        </is>
      </c>
      <c r="M1" s="246" t="inlineStr">
        <is>
          <t>UNIT 141
OVERLASH</t>
        </is>
      </c>
      <c r="N1" s="246" t="inlineStr">
        <is>
          <t>UNIT 146
OL MP ONLY</t>
        </is>
      </c>
      <c r="O1" s="191" t="inlineStr">
        <is>
          <t>UNIT 148 PLACE RDF or SELFSUPPORT MP TAIL</t>
        </is>
      </c>
      <c r="Q1" s="1026" t="inlineStr">
        <is>
          <t>TOTAL FOOTAGE UNIT 147</t>
        </is>
      </c>
      <c r="R1" s="1101" t="n"/>
      <c r="S1" s="511">
        <f>SUM(Q2:Y2)</f>
        <v/>
      </c>
      <c r="T1" s="512" t="n"/>
      <c r="AA1" s="191" t="inlineStr">
        <is>
          <t xml:space="preserve">UNIT 220  </t>
        </is>
      </c>
      <c r="AB1" s="191" t="inlineStr">
        <is>
          <t xml:space="preserve">UNIT 210 </t>
        </is>
      </c>
      <c r="AC1" s="191" t="n"/>
      <c r="AD1" s="191" t="inlineStr">
        <is>
          <t>UNIT 200</t>
        </is>
      </c>
      <c r="AE1" s="191" t="inlineStr">
        <is>
          <t>UNIT 5</t>
        </is>
      </c>
      <c r="AF1" s="191" t="inlineStr">
        <is>
          <t>UNIT 5</t>
        </is>
      </c>
      <c r="AG1" s="191" t="n"/>
      <c r="AH1" s="191" t="n"/>
      <c r="AI1" s="191" t="n"/>
      <c r="AJ1" s="191" t="n"/>
      <c r="AK1" s="191" t="n"/>
      <c r="AL1" s="191" t="n"/>
      <c r="AM1" s="191" t="n"/>
      <c r="AN1" s="191" t="n"/>
      <c r="AO1" s="191" t="n"/>
      <c r="AP1" s="191" t="n"/>
      <c r="AQ1" s="191" t="n"/>
      <c r="AR1" s="191" t="n"/>
    </row>
    <row r="2" ht="15.75" customHeight="1" thickBot="1">
      <c r="B2" s="566" t="n"/>
      <c r="C2" s="1147" t="inlineStr">
        <is>
          <t>TOTAL FOOTAGES</t>
        </is>
      </c>
      <c r="D2" s="1108" t="n"/>
      <c r="E2" s="1032" t="n"/>
      <c r="F2" s="639" t="n"/>
      <c r="G2" s="639" t="n"/>
      <c r="H2" s="639" t="n"/>
      <c r="I2" s="639" t="n"/>
      <c r="J2" s="509">
        <f>SUM(J7:J1000)</f>
        <v/>
      </c>
      <c r="K2" s="509">
        <f>SUM(K7:K1000)</f>
        <v/>
      </c>
      <c r="L2" s="509">
        <f>SUM(L7:L1000)</f>
        <v/>
      </c>
      <c r="M2" s="509">
        <f>SUM(M7:M1000)</f>
        <v/>
      </c>
      <c r="N2" s="509">
        <f>SUM(N7:N1000)</f>
        <v/>
      </c>
      <c r="O2" s="509">
        <f>SUM(O7:O1000)</f>
        <v/>
      </c>
      <c r="P2" s="513" t="inlineStr">
        <is>
          <t>TOTAL SPAN * NUMBER MP</t>
        </is>
      </c>
      <c r="Q2" s="510">
        <f>Q3*Q4</f>
        <v/>
      </c>
      <c r="R2" s="510">
        <f>R3*R4</f>
        <v/>
      </c>
      <c r="S2" s="510">
        <f>S3*S4</f>
        <v/>
      </c>
      <c r="T2" s="510">
        <f>T3*T4</f>
        <v/>
      </c>
      <c r="U2" s="510">
        <f>U3*U4</f>
        <v/>
      </c>
      <c r="V2" s="510">
        <f>V3*V4</f>
        <v/>
      </c>
      <c r="W2" s="510">
        <f>W3*W4</f>
        <v/>
      </c>
      <c r="X2" s="510">
        <f>X3*X4</f>
        <v/>
      </c>
      <c r="Y2" s="510">
        <f>Y3*Y4</f>
        <v/>
      </c>
      <c r="Z2" s="510" t="n"/>
      <c r="AA2" s="509">
        <f>SUM(AA7:AA1000)</f>
        <v/>
      </c>
      <c r="AB2" s="509">
        <f>SUM(AB7:AB1000)</f>
        <v/>
      </c>
      <c r="AC2" s="509" t="n"/>
      <c r="AD2" s="509">
        <f>SUM(AD7:AD1000)</f>
        <v/>
      </c>
      <c r="AE2" s="509">
        <f>SUM(AE7:AE1000)</f>
        <v/>
      </c>
      <c r="AF2" s="509">
        <f>SUM(AF7:AF1000)</f>
        <v/>
      </c>
      <c r="AG2" s="509">
        <f>SUM(AG7:AG1000)</f>
        <v/>
      </c>
      <c r="AH2" s="509" t="n"/>
      <c r="AI2" s="509" t="n"/>
      <c r="AJ2" s="509" t="n"/>
      <c r="AK2" s="509" t="n"/>
      <c r="AL2" s="509" t="n"/>
      <c r="AM2" s="509" t="n"/>
      <c r="AN2" s="509" t="n"/>
      <c r="AO2" s="509" t="n"/>
      <c r="AP2" s="509" t="n"/>
      <c r="AQ2" s="509" t="n"/>
      <c r="AR2" s="509" t="n"/>
    </row>
    <row r="3">
      <c r="B3" s="566" t="n"/>
      <c r="D3" s="192" t="n"/>
      <c r="E3" s="192" t="n"/>
      <c r="F3" s="192" t="n"/>
      <c r="G3" s="192" t="n"/>
      <c r="H3" s="192" t="n"/>
      <c r="I3" s="192" t="n"/>
      <c r="J3" s="192" t="n"/>
      <c r="K3" s="192" t="n"/>
      <c r="L3" s="192" t="n"/>
      <c r="M3" s="192" t="n"/>
      <c r="N3" s="192" t="n"/>
      <c r="O3" s="192" t="n"/>
      <c r="P3" t="inlineStr">
        <is>
          <t>SPAN FOOTAGE</t>
        </is>
      </c>
      <c r="Q3" s="514">
        <f>SUM(Q7:Q404)</f>
        <v/>
      </c>
      <c r="R3" s="514">
        <f>SUM(R7:R404)</f>
        <v/>
      </c>
      <c r="S3" s="514">
        <f>SUM(S7:S404)</f>
        <v/>
      </c>
      <c r="T3" s="514">
        <f>SUM(T7:T404)</f>
        <v/>
      </c>
      <c r="U3" s="514">
        <f>SUM(U7:U404)</f>
        <v/>
      </c>
      <c r="V3" s="514">
        <f>SUM(V7:V404)</f>
        <v/>
      </c>
      <c r="W3" s="514">
        <f>SUM(W7:W404)</f>
        <v/>
      </c>
      <c r="X3" s="514">
        <f>SUM(X7:X404)</f>
        <v/>
      </c>
      <c r="Y3" s="514">
        <f>SUM(Y7:Y404)</f>
        <v/>
      </c>
      <c r="Z3" s="192" t="n"/>
      <c r="AE3" s="192" t="n"/>
      <c r="AF3" s="192" t="n"/>
      <c r="AG3" s="192" t="n"/>
      <c r="AH3" s="192" t="n"/>
      <c r="AI3" s="192" t="n"/>
      <c r="AJ3" s="192" t="n"/>
      <c r="AK3" s="192" t="n"/>
      <c r="AL3" s="192" t="n"/>
      <c r="AM3" s="192" t="n"/>
      <c r="AN3" s="192" t="n"/>
      <c r="AO3" s="192" t="n"/>
      <c r="AP3" s="192" t="n"/>
      <c r="AQ3" s="192" t="n"/>
      <c r="AR3" s="192" t="n"/>
      <c r="BZ3" t="n">
        <v>1</v>
      </c>
      <c r="CB3" t="n">
        <v>1</v>
      </c>
    </row>
    <row r="4">
      <c r="B4" s="566" t="n"/>
      <c r="D4" s="192" t="n"/>
      <c r="E4" s="192" t="n"/>
      <c r="F4" s="192" t="n"/>
      <c r="G4" s="192" t="n"/>
      <c r="H4" s="192" t="n"/>
      <c r="I4" s="192" t="n"/>
      <c r="J4" s="192" t="n"/>
      <c r="K4" s="192" t="n"/>
      <c r="L4" s="192" t="n"/>
      <c r="M4" s="192" t="n"/>
      <c r="N4" s="192" t="n"/>
      <c r="O4" s="192" t="n"/>
      <c r="P4" t="inlineStr">
        <is>
          <t>NUMBER OF MP PER SPAN</t>
        </is>
      </c>
      <c r="Q4" s="514" t="n">
        <v>1</v>
      </c>
      <c r="R4" s="514" t="n">
        <v>2</v>
      </c>
      <c r="S4" s="514" t="n">
        <v>3</v>
      </c>
      <c r="T4" s="514" t="n">
        <v>4</v>
      </c>
      <c r="U4" s="514" t="n">
        <v>5</v>
      </c>
      <c r="V4" s="514" t="n">
        <v>6</v>
      </c>
      <c r="W4" s="514" t="n">
        <v>7</v>
      </c>
      <c r="X4" s="514" t="n">
        <v>8</v>
      </c>
      <c r="Y4" s="514" t="n">
        <v>9</v>
      </c>
      <c r="Z4" s="192" t="n"/>
      <c r="AE4" s="192" t="n"/>
      <c r="AF4" s="192" t="n"/>
      <c r="AG4" s="192" t="n"/>
      <c r="AH4" s="192" t="n"/>
      <c r="AI4" s="192" t="n"/>
      <c r="AJ4" s="192" t="n"/>
      <c r="AK4" s="192" t="n"/>
      <c r="AL4" s="192" t="n"/>
      <c r="AM4" s="192" t="n"/>
      <c r="AN4" s="192" t="n"/>
      <c r="AO4" s="192" t="n"/>
      <c r="AP4" s="192" t="n"/>
      <c r="AQ4" s="192" t="n"/>
      <c r="AR4" s="192" t="n"/>
      <c r="BZ4" t="n">
        <v>2</v>
      </c>
      <c r="CB4" t="n">
        <v>2</v>
      </c>
    </row>
    <row r="5" ht="30" customHeight="1">
      <c r="B5" s="566" t="n"/>
      <c r="D5" s="192" t="n"/>
      <c r="E5" s="192" t="n"/>
      <c r="F5" s="192" t="n"/>
      <c r="G5" s="192" t="n"/>
      <c r="H5" s="192" t="n"/>
      <c r="I5" s="192" t="n"/>
      <c r="J5" s="192" t="n"/>
      <c r="K5" s="515" t="inlineStr">
        <is>
          <t>CABLE ONLY OR WITH MP TAILS</t>
        </is>
      </c>
      <c r="L5" s="515" t="n"/>
      <c r="M5" s="516" t="inlineStr">
        <is>
          <t>MPS 2            AND 3</t>
        </is>
      </c>
      <c r="N5" s="515" t="inlineStr">
        <is>
          <t>USE FOR 1ST MP</t>
        </is>
      </c>
      <c r="O5" s="192" t="n"/>
      <c r="Q5" s="1028" t="inlineStr">
        <is>
          <t>THESE COUNTS ARE AFTER SUBTRACTING 2 MP'S THAT WOULD BE INCLUDED WITH NEW BUILD OR OVBER LASH.  OR AFTER THE FIRST MP ONLY OVERLASH.    COUNTING ONLY UNIT 127</t>
        </is>
      </c>
      <c r="R5" s="1148" t="n"/>
      <c r="S5" s="1148" t="n"/>
      <c r="T5" s="1148" t="n"/>
      <c r="U5" s="1148" t="n"/>
      <c r="V5" s="1148" t="n"/>
      <c r="W5" s="1148" t="n"/>
      <c r="X5" s="1148" t="n"/>
      <c r="Y5" s="1149" t="n"/>
      <c r="Z5" s="191" t="n"/>
      <c r="AD5" s="192" t="inlineStr">
        <is>
          <t>UNIT 200</t>
        </is>
      </c>
      <c r="AE5" s="192" t="inlineStr">
        <is>
          <t>UNIT 5</t>
        </is>
      </c>
      <c r="AF5" s="192" t="inlineStr">
        <is>
          <t>UNIT 5</t>
        </is>
      </c>
      <c r="AG5" s="192" t="n"/>
      <c r="AH5" s="192" t="n"/>
      <c r="AI5" s="192" t="n"/>
      <c r="AJ5" s="192" t="n"/>
      <c r="AK5" s="192" t="n"/>
      <c r="AL5" s="192" t="n"/>
      <c r="AM5" s="192" t="n"/>
      <c r="AN5" s="192" t="n"/>
      <c r="AO5" s="192" t="n"/>
      <c r="AP5" s="192" t="n"/>
      <c r="AQ5" s="192" t="n"/>
      <c r="AR5" s="192" t="n"/>
    </row>
    <row r="6" ht="104.25" customFormat="1" customHeight="1" s="190" thickBot="1">
      <c r="A6" s="564" t="inlineStr">
        <is>
          <t>JOB PRINT PAGE #</t>
        </is>
      </c>
      <c r="B6" s="564" t="inlineStr">
        <is>
          <t>Construction Note Letter Job Print</t>
        </is>
      </c>
      <c r="C6" s="564" t="inlineStr">
        <is>
          <t>SPAN FOOTAGE</t>
        </is>
      </c>
      <c r="D6" s="564" t="inlineStr">
        <is>
          <t>NON-STANDARD CONDUIT SIZE</t>
        </is>
      </c>
      <c r="E6" s="564" t="inlineStr">
        <is>
          <t>IS THIS A PARALLELING DROP CONDUIT?</t>
        </is>
      </c>
      <c r="F6" s="564" t="inlineStr">
        <is>
          <t>CABLES THIS SPAN</t>
        </is>
      </c>
      <c r="G6" s="564" t="inlineStr">
        <is>
          <t>NEW CONDUIT THIS SPAN ONLY (UP TO 2)</t>
        </is>
      </c>
      <c r="H6" s="564" t="inlineStr">
        <is>
          <t>*ADDITIONAL* 
NEW CONDUIT 
3RD &amp; 4TH CONDUIT
(UP TO 2)</t>
        </is>
      </c>
      <c r="I6" s="564" t="inlineStr">
        <is>
          <t>*ADDITIONAL* 
NEW CONDUIT
5TH CONDUIT 
(UP TO 1)</t>
        </is>
      </c>
      <c r="J6" s="193" t="inlineStr">
        <is>
          <t xml:space="preserve">NEW AERIAL Cable INCLUDES 2 MP TAILS </t>
        </is>
      </c>
      <c r="K6" s="193" t="inlineStr">
        <is>
          <t>OVERLASH CABLE INCLUDES 2 MP TAILS</t>
        </is>
      </c>
      <c r="L6" s="193" t="inlineStr">
        <is>
          <t>OVERLASH 2ND CABLE</t>
        </is>
      </c>
      <c r="M6" s="193" t="inlineStr">
        <is>
          <t>OVERLASH MPS ONLY (USE FOR MP 2 AND 3)</t>
        </is>
      </c>
      <c r="N6" s="193" t="inlineStr">
        <is>
          <t>OVERLASH MP TAIL ONLY              1ST  MP TAIL</t>
        </is>
      </c>
      <c r="O6" s="193" t="inlineStr">
        <is>
          <t>SELF SUPPORT MP TAILS OR RDF</t>
        </is>
      </c>
      <c r="Q6" s="517" t="inlineStr">
        <is>
          <t>1 MP</t>
        </is>
      </c>
      <c r="R6" s="518" t="inlineStr">
        <is>
          <t>2 MP'S</t>
        </is>
      </c>
      <c r="S6" s="518" t="inlineStr">
        <is>
          <t>3 MP'S</t>
        </is>
      </c>
      <c r="T6" s="518" t="inlineStr">
        <is>
          <t>4 MP'S</t>
        </is>
      </c>
      <c r="U6" s="518" t="inlineStr">
        <is>
          <t>5 MP'S</t>
        </is>
      </c>
      <c r="V6" s="518" t="inlineStr">
        <is>
          <t>6 MP'S</t>
        </is>
      </c>
      <c r="W6" s="518" t="inlineStr">
        <is>
          <t>7 MP'S</t>
        </is>
      </c>
      <c r="X6" s="518" t="inlineStr">
        <is>
          <t>8 MP'S</t>
        </is>
      </c>
      <c r="Y6" s="519" t="inlineStr">
        <is>
          <t>9 MP'S</t>
        </is>
      </c>
      <c r="AA6" s="193" t="inlineStr">
        <is>
          <t>PULL IN EXISTING CONDUIT</t>
        </is>
      </c>
      <c r="AB6" s="193" t="inlineStr">
        <is>
          <t>PULL ADDITIONAL FIBER                           (AFTER 2ND FIBER)</t>
        </is>
      </c>
      <c r="AC6" s="664" t="n"/>
      <c r="AD6" s="193" t="inlineStr">
        <is>
          <t>NEW BURIED (INCLUDES UP TO 2 CONDUITS)</t>
        </is>
      </c>
      <c r="AE6" s="193" t="inlineStr">
        <is>
          <t>*ADDITIONAL* NEW BURIED (INCLUDES 3RD AND 4TH CONDUITS)</t>
        </is>
      </c>
      <c r="AF6" s="193" t="inlineStr">
        <is>
          <t>*ADDITIONAL* NEW BURIED (5TH CONDUIT)</t>
        </is>
      </c>
      <c r="AG6" s="193" t="inlineStr">
        <is>
          <t>CONDUIT MATERIAL QUANTITY TO BE ORDERED</t>
        </is>
      </c>
      <c r="AH6" s="193" t="n"/>
      <c r="AI6" s="193" t="n"/>
      <c r="AJ6" s="193" t="n"/>
      <c r="AK6" s="193" t="n"/>
      <c r="AL6" s="193" t="n"/>
      <c r="AM6" s="193" t="n"/>
      <c r="AN6" s="193" t="n"/>
      <c r="AO6" s="193" t="n"/>
      <c r="AP6" s="193" t="n"/>
      <c r="AQ6" s="193" t="n"/>
      <c r="AR6" s="193" t="n"/>
    </row>
    <row r="7">
      <c r="B7" s="192" t="n"/>
      <c r="F7" s="192" t="n"/>
      <c r="G7" s="192" t="n"/>
      <c r="H7" s="192" t="n"/>
      <c r="J7" s="57" t="n"/>
      <c r="K7" s="57" t="n"/>
      <c r="L7" s="57" t="n"/>
      <c r="M7" s="57" t="n"/>
      <c r="N7" s="57" t="n"/>
      <c r="O7" s="57" t="n"/>
      <c r="AA7" s="640">
        <f>IF(G7=0, IF(OR(H7&gt;0,F7&gt;0),C7*F7,""),"")</f>
        <v/>
      </c>
      <c r="AB7" s="640">
        <f>IF(G7&gt;=1,IF(F7&gt;1,C7*(F7-2),""),"")</f>
        <v/>
      </c>
      <c r="AC7" s="640" t="n"/>
      <c r="AD7" s="911">
        <f>IF(E7="YES",IF(G7=1,"",""),IF(G7=1,C7,IF(G7=2,C7,IF(G7=0,"",""))))</f>
        <v/>
      </c>
      <c r="AE7" s="911">
        <f>IF(E7="YES",IF(G7=1,"",IF(H7=1,C7,"")),IF(H7=1,C7,IF(H7=2,C7,IF(H7=0,"",""))))</f>
        <v/>
      </c>
      <c r="AF7" s="911">
        <f>IF(E7="YES",IF(I7=1,C7,""),IF(I7=1,C7,IF(I7=2,C7,IF(I7=0,"",""))))</f>
        <v/>
      </c>
      <c r="AG7" s="192">
        <f>(C7*G7)+(C7*H7)+(C7*I7)</f>
        <v/>
      </c>
      <c r="AH7" s="923" t="n"/>
    </row>
    <row r="8">
      <c r="B8" s="192" t="n"/>
      <c r="F8" s="192" t="n"/>
      <c r="G8" s="192" t="n"/>
      <c r="H8" s="192" t="n"/>
      <c r="J8" s="57" t="n"/>
      <c r="K8" s="57" t="n"/>
      <c r="L8" s="57" t="n"/>
      <c r="M8" s="57" t="n"/>
      <c r="N8" s="57" t="n"/>
      <c r="O8" s="57" t="n"/>
      <c r="AA8" s="640">
        <f>IF(G8=0, IF(OR(H8&gt;0,F8&gt;0),C8*F8,""),"")</f>
        <v/>
      </c>
      <c r="AB8" s="640">
        <f>IF(G8&gt;=1,IF(F8&gt;1,C8*(F8-2),""),"")</f>
        <v/>
      </c>
      <c r="AC8" s="640" t="n"/>
      <c r="AD8" s="911">
        <f>IF(E8="YES",IF(G8=1,"",""),IF(G8=1,C8,IF(G8=2,C8,IF(G8=0,"",""))))</f>
        <v/>
      </c>
      <c r="AE8" s="911">
        <f>IF(E8="YES",IF(G8=1,"",IF(H8=1,C8,"")),IF(H8=1,C8,IF(H8=2,C8,IF(H8=0,"",""))))</f>
        <v/>
      </c>
      <c r="AF8" s="911">
        <f>IF(E8="YES",IF(I8=1,C8,""),IF(I8=1,C8,IF(I8=2,C8,IF(I8=0,"",""))))</f>
        <v/>
      </c>
      <c r="AG8" s="192">
        <f>(C8*G8)+(C8*H8)+(C8*I8)</f>
        <v/>
      </c>
      <c r="AH8" s="923" t="n"/>
    </row>
    <row r="9">
      <c r="B9" s="192" t="n"/>
      <c r="F9" s="192" t="n"/>
      <c r="G9" s="192" t="n"/>
      <c r="H9" s="192" t="n"/>
      <c r="J9" s="57" t="n"/>
      <c r="K9" s="57" t="n"/>
      <c r="L9" s="57" t="n"/>
      <c r="M9" s="57" t="n"/>
      <c r="N9" s="57" t="n"/>
      <c r="O9" s="57" t="n"/>
      <c r="AA9" s="640">
        <f>IF(G9=0, IF(OR(H9&gt;0,F9&gt;0),C9*F9,""),"")</f>
        <v/>
      </c>
      <c r="AB9" s="640">
        <f>IF(G9&gt;=1,IF(F9&gt;1,C9*(F9-2),""),"")</f>
        <v/>
      </c>
      <c r="AC9" s="640" t="n"/>
      <c r="AD9" s="911">
        <f>IF(E9="YES",IF(G9=1,"",""),IF(G9=1,C9,IF(G9=2,C9,IF(G9=0,"",""))))</f>
        <v/>
      </c>
      <c r="AE9" s="911">
        <f>IF(E9="YES",IF(G9=1,"",IF(H9=1,C9,"")),IF(H9=1,C9,IF(H9=2,C9,IF(H9=0,"",""))))</f>
        <v/>
      </c>
      <c r="AF9" s="911">
        <f>IF(E9="YES",IF(I9=1,C9,""),IF(I9=1,C9,IF(I9=2,C9,IF(I9=0,"",""))))</f>
        <v/>
      </c>
      <c r="AG9" s="192">
        <f>(C9*G9)+(C9*H9)+(C9*I9)</f>
        <v/>
      </c>
      <c r="AH9" s="923" t="n"/>
    </row>
    <row r="10">
      <c r="B10" s="192" t="n"/>
      <c r="F10" s="192" t="n"/>
      <c r="G10" s="192" t="n"/>
      <c r="H10" s="192" t="n"/>
      <c r="J10" s="57" t="n"/>
      <c r="K10" s="57" t="n"/>
      <c r="L10" s="57" t="n"/>
      <c r="M10" s="57" t="n"/>
      <c r="N10" s="57" t="n"/>
      <c r="O10" s="57" t="n"/>
      <c r="AA10" s="640">
        <f>IF(G10=0, IF(OR(H10&gt;0,F10&gt;0),C10*F10,""),"")</f>
        <v/>
      </c>
      <c r="AB10" s="640">
        <f>IF(G10&gt;=1,IF(F10&gt;1,C10*(F10-2),""),"")</f>
        <v/>
      </c>
      <c r="AC10" s="640" t="n"/>
      <c r="AD10" s="911">
        <f>IF(E10="YES",IF(G10=1,"",""),IF(G10=1,C10,IF(G10=2,C10,IF(G10=0,"",""))))</f>
        <v/>
      </c>
      <c r="AE10" s="911">
        <f>IF(E10="YES",IF(G10=1,"",IF(H10=1,C10,"")),IF(H10=1,C10,IF(H10=2,C10,IF(H10=0,"",""))))</f>
        <v/>
      </c>
      <c r="AF10" s="911">
        <f>IF(E10="YES",IF(I10=1,C10,""),IF(I10=1,C10,IF(I10=2,C10,IF(I10=0,"",""))))</f>
        <v/>
      </c>
      <c r="AG10" s="192">
        <f>(C10*G10)+(C10*H10)+(C10*I10)</f>
        <v/>
      </c>
      <c r="AH10" s="923" t="n"/>
    </row>
    <row r="11">
      <c r="B11" s="192" t="n"/>
      <c r="F11" s="192" t="n"/>
      <c r="G11" s="192" t="n"/>
      <c r="H11" s="192" t="n"/>
      <c r="J11" s="57" t="n"/>
      <c r="K11" s="57" t="n"/>
      <c r="L11" s="57" t="n"/>
      <c r="M11" s="57" t="n"/>
      <c r="N11" s="57" t="n"/>
      <c r="O11" s="57" t="n"/>
      <c r="AA11" s="640">
        <f>IF(G11=0, IF(OR(H11&gt;0,F11&gt;0),C11*F11,""),"")</f>
        <v/>
      </c>
      <c r="AB11" s="640">
        <f>IF(G11&gt;=1,IF(F11&gt;1,C11*(F11-2),""),"")</f>
        <v/>
      </c>
      <c r="AC11" s="640" t="n"/>
      <c r="AD11" s="911">
        <f>IF(E11="YES",IF(G11=1,"",""),IF(G11=1,C11,IF(G11=2,C11,IF(G11=0,"",""))))</f>
        <v/>
      </c>
      <c r="AE11" s="911">
        <f>IF(E11="YES",IF(G11=1,"",IF(H11=1,C11,"")),IF(H11=1,C11,IF(H11=2,C11,IF(H11=0,"",""))))</f>
        <v/>
      </c>
      <c r="AF11" s="911">
        <f>IF(E11="YES",IF(I11=1,C11,""),IF(I11=1,C11,IF(I11=2,C11,IF(I11=0,"",""))))</f>
        <v/>
      </c>
      <c r="AG11" s="192">
        <f>(C11*G11)+(C11*H11)+(C11*I11)</f>
        <v/>
      </c>
      <c r="AH11" s="923" t="n"/>
    </row>
    <row r="12">
      <c r="B12" s="192" t="n"/>
      <c r="F12" s="192" t="n"/>
      <c r="G12" s="192" t="n"/>
      <c r="H12" s="192" t="n"/>
      <c r="J12" s="57" t="n"/>
      <c r="K12" s="57" t="n"/>
      <c r="L12" s="57" t="n"/>
      <c r="M12" s="57" t="n"/>
      <c r="N12" s="57" t="n"/>
      <c r="O12" s="57" t="n"/>
      <c r="AA12" s="640">
        <f>IF(G12=0, IF(OR(H12&gt;0,F12&gt;0),C12*F12,""),"")</f>
        <v/>
      </c>
      <c r="AB12" s="640">
        <f>IF(G12&gt;=1,IF(F12&gt;1,C12*(F12-2),""),"")</f>
        <v/>
      </c>
      <c r="AC12" s="640" t="n"/>
      <c r="AD12" s="911">
        <f>IF(E12="YES",IF(G12=1,"",""),IF(G12=1,C12,IF(G12=2,C12,IF(G12=0,"",""))))</f>
        <v/>
      </c>
      <c r="AE12" s="911">
        <f>IF(E12="YES",IF(G12=1,"",IF(H12=1,C12,"")),IF(H12=1,C12,IF(H12=2,C12,IF(H12=0,"",""))))</f>
        <v/>
      </c>
      <c r="AF12" s="911">
        <f>IF(E12="YES",IF(I12=1,C12,""),IF(I12=1,C12,IF(I12=2,C12,IF(I12=0,"",""))))</f>
        <v/>
      </c>
      <c r="AG12" s="192">
        <f>(C12*G12)+(C12*H12)+(C12*I12)</f>
        <v/>
      </c>
      <c r="AH12" s="923" t="n"/>
    </row>
    <row r="13">
      <c r="B13" s="192" t="n"/>
      <c r="F13" s="192" t="n"/>
      <c r="G13" s="192" t="n"/>
      <c r="H13" s="192" t="n"/>
      <c r="J13" s="57" t="n"/>
      <c r="K13" s="57" t="n"/>
      <c r="L13" s="57" t="n"/>
      <c r="M13" s="57" t="n"/>
      <c r="N13" s="57" t="n"/>
      <c r="O13" s="57" t="n"/>
      <c r="AA13" s="640">
        <f>IF(G13=0, IF(OR(H13&gt;0,F13&gt;0),C13*F13,""),"")</f>
        <v/>
      </c>
      <c r="AB13" s="640">
        <f>IF(G13&gt;=1,IF(F13&gt;1,C13*(F13-2),""),"")</f>
        <v/>
      </c>
      <c r="AC13" s="640" t="n"/>
      <c r="AD13" s="911">
        <f>IF(E13="YES",IF(G13=1,"",""),IF(G13=1,C13,IF(G13=2,C13,IF(G13=0,"",""))))</f>
        <v/>
      </c>
      <c r="AE13" s="911">
        <f>IF(E13="YES",IF(G13=1,"",IF(H13=1,C13,"")),IF(H13=1,C13,IF(H13=2,C13,IF(H13=0,"",""))))</f>
        <v/>
      </c>
      <c r="AF13" s="911">
        <f>IF(E13="YES",IF(I13=1,C13,""),IF(I13=1,C13,IF(I13=2,C13,IF(I13=0,"",""))))</f>
        <v/>
      </c>
      <c r="AG13" s="192">
        <f>(C13*G13)+(C13*H13)+(C13*I13)</f>
        <v/>
      </c>
      <c r="AH13" s="923" t="n"/>
    </row>
    <row r="14">
      <c r="B14" s="192" t="n"/>
      <c r="F14" s="192" t="n"/>
      <c r="G14" s="192" t="n"/>
      <c r="H14" s="192" t="n"/>
      <c r="J14" s="57" t="n"/>
      <c r="K14" s="57" t="n"/>
      <c r="L14" s="57" t="n"/>
      <c r="M14" s="57" t="n"/>
      <c r="N14" s="57" t="n"/>
      <c r="O14" s="57" t="n"/>
      <c r="AA14" s="640">
        <f>IF(G14=0, IF(OR(H14&gt;0,F14&gt;0),C14*F14,""),"")</f>
        <v/>
      </c>
      <c r="AB14" s="640">
        <f>IF(G14&gt;=1,IF(F14&gt;1,C14*(F14-2),""),"")</f>
        <v/>
      </c>
      <c r="AC14" s="640" t="n"/>
      <c r="AD14" s="911">
        <f>IF(E14="YES",IF(G14=1,"",""),IF(G14=1,C14,IF(G14=2,C14,IF(G14=0,"",""))))</f>
        <v/>
      </c>
      <c r="AE14" s="911">
        <f>IF(E14="YES",IF(G14=1,"",IF(H14=1,C14,"")),IF(H14=1,C14,IF(H14=2,C14,IF(H14=0,"",""))))</f>
        <v/>
      </c>
      <c r="AF14" s="911">
        <f>IF(E14="YES",IF(I14=1,C14,""),IF(I14=1,C14,IF(I14=2,C14,IF(I14=0,"",""))))</f>
        <v/>
      </c>
      <c r="AG14" s="192">
        <f>(C14*G14)+(C14*H14)+(C14*I14)</f>
        <v/>
      </c>
      <c r="AH14" s="923" t="n"/>
    </row>
    <row r="15">
      <c r="B15" s="192" t="n"/>
      <c r="F15" s="192" t="n"/>
      <c r="G15" s="192" t="n"/>
      <c r="H15" s="192" t="n"/>
      <c r="J15" s="57" t="n"/>
      <c r="K15" s="57" t="n"/>
      <c r="L15" s="57" t="n"/>
      <c r="M15" s="57" t="n"/>
      <c r="N15" s="57" t="n"/>
      <c r="O15" s="57" t="n"/>
      <c r="AA15" s="640">
        <f>IF(G15=0, IF(OR(H15&gt;0,F15&gt;0),C15*F15,""),"")</f>
        <v/>
      </c>
      <c r="AB15" s="640">
        <f>IF(G15&gt;=1,IF(F15&gt;1,C15*(F15-2),""),"")</f>
        <v/>
      </c>
      <c r="AC15" s="640" t="n"/>
      <c r="AD15" s="911">
        <f>IF(E15="YES",IF(G15=1,"",""),IF(G15=1,C15,IF(G15=2,C15,IF(G15=0,"",""))))</f>
        <v/>
      </c>
      <c r="AE15" s="911">
        <f>IF(E15="YES",IF(G15=1,"",IF(H15=1,C15,"")),IF(H15=1,C15,IF(H15=2,C15,IF(H15=0,"",""))))</f>
        <v/>
      </c>
      <c r="AF15" s="911">
        <f>IF(E15="YES",IF(I15=1,C15,""),IF(I15=1,C15,IF(I15=2,C15,IF(I15=0,"",""))))</f>
        <v/>
      </c>
      <c r="AG15" s="192">
        <f>(C15*G15)+(C15*H15)+(C15*I15)</f>
        <v/>
      </c>
      <c r="AH15" s="923" t="n"/>
    </row>
    <row r="16">
      <c r="B16" s="192" t="n"/>
      <c r="F16" s="192" t="n"/>
      <c r="G16" s="192" t="n"/>
      <c r="H16" s="192" t="n"/>
      <c r="J16" s="57" t="n"/>
      <c r="K16" s="57" t="n"/>
      <c r="L16" s="57" t="n"/>
      <c r="M16" s="57" t="n"/>
      <c r="N16" s="57" t="n"/>
      <c r="O16" s="57" t="n"/>
      <c r="AA16" s="640">
        <f>IF(G16=0, IF(OR(H16&gt;0,F16&gt;0),C16*F16,""),"")</f>
        <v/>
      </c>
      <c r="AB16" s="640">
        <f>IF(G16&gt;=1,IF(F16&gt;1,C16*(F16-2),""),"")</f>
        <v/>
      </c>
      <c r="AC16" s="640" t="n"/>
      <c r="AD16" s="911">
        <f>IF(E16="YES",IF(G16=1,"",""),IF(G16=1,C16,IF(G16=2,C16,IF(G16=0,"",""))))</f>
        <v/>
      </c>
      <c r="AE16" s="911">
        <f>IF(E16="YES",IF(G16=1,"",IF(H16=1,C16,"")),IF(H16=1,C16,IF(H16=2,C16,IF(H16=0,"",""))))</f>
        <v/>
      </c>
      <c r="AF16" s="911">
        <f>IF(E16="YES",IF(I16=1,C16,""),IF(I16=1,C16,IF(I16=2,C16,IF(I16=0,"",""))))</f>
        <v/>
      </c>
      <c r="AG16" s="192">
        <f>(C16*G16)+(C16*H16)+(C16*I16)</f>
        <v/>
      </c>
      <c r="AH16" s="923" t="n"/>
    </row>
    <row r="17">
      <c r="B17" s="192" t="n"/>
      <c r="F17" s="192" t="n"/>
      <c r="G17" s="192" t="n"/>
      <c r="H17" s="192" t="n"/>
      <c r="J17" s="57" t="n"/>
      <c r="K17" s="57" t="n"/>
      <c r="L17" s="57" t="n"/>
      <c r="M17" s="57" t="n"/>
      <c r="N17" s="57" t="n"/>
      <c r="O17" s="57" t="n"/>
      <c r="AA17" s="640">
        <f>IF(G17=0, IF(OR(H17&gt;0,F17&gt;0),C17*F17,""),"")</f>
        <v/>
      </c>
      <c r="AB17" s="640">
        <f>IF(G17&gt;=1,IF(F17&gt;1,C17*(F17-2),""),"")</f>
        <v/>
      </c>
      <c r="AC17" s="640" t="n"/>
      <c r="AD17" s="911">
        <f>IF(E17="YES",IF(G17=1,"",""),IF(G17=1,C17,IF(G17=2,C17,IF(G17=0,"",""))))</f>
        <v/>
      </c>
      <c r="AE17" s="911">
        <f>IF(E17="YES",IF(G17=1,"",IF(H17=1,C17,"")),IF(H17=1,C17,IF(H17=2,C17,IF(H17=0,"",""))))</f>
        <v/>
      </c>
      <c r="AF17" s="911">
        <f>IF(E17="YES",IF(I17=1,C17,""),IF(I17=1,C17,IF(I17=2,C17,IF(I17=0,"",""))))</f>
        <v/>
      </c>
      <c r="AG17" s="192">
        <f>(C17*G17)+(C17*H17)+(C17*I17)</f>
        <v/>
      </c>
      <c r="AH17" s="923" t="n"/>
    </row>
    <row r="18">
      <c r="B18" s="192" t="n"/>
      <c r="F18" s="192" t="n"/>
      <c r="G18" s="192" t="n"/>
      <c r="H18" s="192" t="n"/>
      <c r="J18" s="57" t="n"/>
      <c r="K18" s="57" t="n"/>
      <c r="L18" s="57" t="n"/>
      <c r="M18" s="57" t="n"/>
      <c r="N18" s="57" t="n"/>
      <c r="O18" s="57" t="n"/>
      <c r="AA18" s="640">
        <f>IF(G18=0, IF(OR(H18&gt;0,F18&gt;0),C18*F18,""),"")</f>
        <v/>
      </c>
      <c r="AB18" s="640">
        <f>IF(G18&gt;=1,IF(F18&gt;1,C18*(F18-2),""),"")</f>
        <v/>
      </c>
      <c r="AC18" s="640" t="n"/>
      <c r="AD18" s="911">
        <f>IF(E18="YES",IF(G18=1,"",""),IF(G18=1,C18,IF(G18=2,C18,IF(G18=0,"",""))))</f>
        <v/>
      </c>
      <c r="AE18" s="911">
        <f>IF(E18="YES",IF(G18=1,"",IF(H18=1,C18,"")),IF(H18=1,C18,IF(H18=2,C18,IF(H18=0,"",""))))</f>
        <v/>
      </c>
      <c r="AF18" s="911">
        <f>IF(E18="YES",IF(I18=1,C18,""),IF(I18=1,C18,IF(I18=2,C18,IF(I18=0,"",""))))</f>
        <v/>
      </c>
      <c r="AG18" s="192">
        <f>(C18*G18)+(C18*H18)+(C18*I18)</f>
        <v/>
      </c>
      <c r="AH18" s="923" t="n"/>
    </row>
    <row r="19">
      <c r="B19" s="192" t="n"/>
      <c r="F19" s="192" t="n"/>
      <c r="G19" s="192" t="n"/>
      <c r="H19" s="192" t="n"/>
      <c r="J19" s="57" t="n"/>
      <c r="K19" s="57" t="n"/>
      <c r="L19" s="57" t="n"/>
      <c r="M19" s="57" t="n"/>
      <c r="N19" s="57" t="n"/>
      <c r="O19" s="57" t="n"/>
      <c r="AA19" s="640">
        <f>IF(G19=0, IF(OR(H19&gt;0,F19&gt;0),C19*F19,""),"")</f>
        <v/>
      </c>
      <c r="AB19" s="640">
        <f>IF(G19&gt;=1,IF(F19&gt;1,C19*(F19-2),""),"")</f>
        <v/>
      </c>
      <c r="AC19" s="640" t="n"/>
      <c r="AD19" s="911">
        <f>IF(E19="YES",IF(G19=1,"",""),IF(G19=1,C19,IF(G19=2,C19,IF(G19=0,"",""))))</f>
        <v/>
      </c>
      <c r="AE19" s="911">
        <f>IF(E19="YES",IF(G19=1,"",IF(H19=1,C19,"")),IF(H19=1,C19,IF(H19=2,C19,IF(H19=0,"",""))))</f>
        <v/>
      </c>
      <c r="AF19" s="911">
        <f>IF(E19="YES",IF(I19=1,C19,""),IF(I19=1,C19,IF(I19=2,C19,IF(I19=0,"",""))))</f>
        <v/>
      </c>
      <c r="AG19" s="192">
        <f>(C19*G19)+(C19*H19)+(C19*I19)</f>
        <v/>
      </c>
      <c r="AH19" s="923" t="n"/>
    </row>
    <row r="20">
      <c r="B20" s="192" t="n"/>
      <c r="F20" s="192" t="n"/>
      <c r="G20" s="192" t="n"/>
      <c r="H20" s="192" t="n"/>
      <c r="J20" s="57" t="n"/>
      <c r="K20" s="57" t="n"/>
      <c r="L20" s="57" t="n"/>
      <c r="M20" s="57" t="n"/>
      <c r="N20" s="57" t="n"/>
      <c r="O20" s="57" t="n"/>
      <c r="AA20" s="640">
        <f>IF(G20=0, IF(OR(H20&gt;0,F20&gt;0),C20*F20,""),"")</f>
        <v/>
      </c>
      <c r="AB20" s="640">
        <f>IF(G20&gt;=1,IF(F20&gt;1,C20*(F20-2),""),"")</f>
        <v/>
      </c>
      <c r="AC20" s="640" t="n"/>
      <c r="AD20" s="911">
        <f>IF(E20="YES",IF(G20=1,"",""),IF(G20=1,C20,IF(G20=2,C20,IF(G20=0,"",""))))</f>
        <v/>
      </c>
      <c r="AE20" s="911">
        <f>IF(E20="YES",IF(G20=1,"",IF(H20=1,C20,"")),IF(H20=1,C20,IF(H20=2,C20,IF(H20=0,"",""))))</f>
        <v/>
      </c>
      <c r="AF20" s="911">
        <f>IF(E20="YES",IF(I20=1,C20,""),IF(I20=1,C20,IF(I20=2,C20,IF(I20=0,"",""))))</f>
        <v/>
      </c>
      <c r="AG20" s="192">
        <f>(C20*G20)+(C20*H20)+(C20*I20)</f>
        <v/>
      </c>
      <c r="AH20" s="923" t="n"/>
    </row>
    <row r="21">
      <c r="B21" s="192" t="n"/>
      <c r="F21" s="192" t="n"/>
      <c r="G21" s="192" t="n"/>
      <c r="H21" s="192" t="n"/>
      <c r="J21" s="57" t="n"/>
      <c r="K21" s="57" t="n"/>
      <c r="L21" s="57" t="n"/>
      <c r="M21" s="57" t="n"/>
      <c r="N21" s="57" t="n"/>
      <c r="O21" s="57" t="n"/>
      <c r="AA21" s="640">
        <f>IF(G21=0, IF(OR(H21&gt;0,F21&gt;0),C21*F21,""),"")</f>
        <v/>
      </c>
      <c r="AB21" s="640">
        <f>IF(G21&gt;=1,IF(F21&gt;1,C21*(F21-2),""),"")</f>
        <v/>
      </c>
      <c r="AC21" s="640" t="n"/>
      <c r="AD21" s="911">
        <f>IF(E21="YES",IF(G21=1,"",""),IF(G21=1,C21,IF(G21=2,C21,IF(G21=0,"",""))))</f>
        <v/>
      </c>
      <c r="AE21" s="911">
        <f>IF(E21="YES",IF(G21=1,"",IF(H21=1,C21,"")),IF(H21=1,C21,IF(H21=2,C21,IF(H21=0,"",""))))</f>
        <v/>
      </c>
      <c r="AF21" s="911">
        <f>IF(E21="YES",IF(I21=1,C21,""),IF(I21=1,C21,IF(I21=2,C21,IF(I21=0,"",""))))</f>
        <v/>
      </c>
      <c r="AG21" s="192">
        <f>(C21*G21)+(C21*H21)+(C21*I21)</f>
        <v/>
      </c>
      <c r="AH21" s="923" t="n"/>
    </row>
    <row r="22">
      <c r="B22" s="192" t="n"/>
      <c r="F22" s="192" t="n"/>
      <c r="G22" s="192" t="n"/>
      <c r="H22" s="192" t="n"/>
      <c r="J22" s="57" t="n"/>
      <c r="K22" s="57" t="n"/>
      <c r="L22" s="57" t="n"/>
      <c r="M22" s="57" t="n"/>
      <c r="N22" s="57" t="n"/>
      <c r="O22" s="57" t="n"/>
      <c r="AA22" s="640">
        <f>IF(G22=0, IF(OR(H22&gt;0,F22&gt;0),C22*F22,""),"")</f>
        <v/>
      </c>
      <c r="AB22" s="640">
        <f>IF(G22&gt;=1,IF(F22&gt;1,C22*(F22-2),""),"")</f>
        <v/>
      </c>
      <c r="AC22" s="640" t="n"/>
      <c r="AD22" s="911">
        <f>IF(E22="YES",IF(G22=1,"",""),IF(G22=1,C22,IF(G22=2,C22,IF(G22=0,"",""))))</f>
        <v/>
      </c>
      <c r="AE22" s="911">
        <f>IF(E22="YES",IF(G22=1,"",IF(H22=1,C22,"")),IF(H22=1,C22,IF(H22=2,C22,IF(H22=0,"",""))))</f>
        <v/>
      </c>
      <c r="AF22" s="911">
        <f>IF(E22="YES",IF(I22=1,C22,""),IF(I22=1,C22,IF(I22=2,C22,IF(I22=0,"",""))))</f>
        <v/>
      </c>
      <c r="AG22" s="192">
        <f>(C22*G22)+(C22*H22)+(C22*I22)</f>
        <v/>
      </c>
      <c r="AH22" s="923" t="n"/>
    </row>
    <row r="23">
      <c r="B23" s="192" t="n"/>
      <c r="F23" s="192" t="n"/>
      <c r="G23" s="192" t="n"/>
      <c r="H23" s="192" t="n"/>
      <c r="J23" s="57" t="n"/>
      <c r="K23" s="57" t="n"/>
      <c r="L23" s="57" t="n"/>
      <c r="M23" s="57" t="n"/>
      <c r="N23" s="57" t="n"/>
      <c r="O23" s="57" t="n"/>
      <c r="AA23" s="640">
        <f>IF(G23=0, IF(OR(H23&gt;0,F23&gt;0),C23*F23,""),"")</f>
        <v/>
      </c>
      <c r="AB23" s="640">
        <f>IF(G23&gt;=1,IF(F23&gt;1,C23*(F23-2),""),"")</f>
        <v/>
      </c>
      <c r="AC23" s="640" t="n"/>
      <c r="AD23" s="911">
        <f>IF(E23="YES",IF(G23=1,"",""),IF(G23=1,C23,IF(G23=2,C23,IF(G23=0,"",""))))</f>
        <v/>
      </c>
      <c r="AE23" s="911">
        <f>IF(E23="YES",IF(G23=1,"",IF(H23=1,C23,"")),IF(H23=1,C23,IF(H23=2,C23,IF(H23=0,"",""))))</f>
        <v/>
      </c>
      <c r="AF23" s="911">
        <f>IF(E23="YES",IF(I23=1,C23,""),IF(I23=1,C23,IF(I23=2,C23,IF(I23=0,"",""))))</f>
        <v/>
      </c>
      <c r="AG23" s="192">
        <f>(C23*G23)+(C23*H23)+(C23*I23)</f>
        <v/>
      </c>
      <c r="AH23" s="923" t="n"/>
    </row>
    <row r="24">
      <c r="B24" s="192" t="n"/>
      <c r="F24" s="192" t="n"/>
      <c r="G24" s="192" t="n"/>
      <c r="H24" s="192" t="n"/>
      <c r="J24" s="57" t="n"/>
      <c r="K24" s="57" t="n"/>
      <c r="L24" s="57" t="n"/>
      <c r="M24" s="57" t="n"/>
      <c r="N24" s="57" t="n"/>
      <c r="O24" s="57" t="n"/>
      <c r="AA24" s="640">
        <f>IF(G24=0, IF(OR(H24&gt;0,F24&gt;0),C24*F24,""),"")</f>
        <v/>
      </c>
      <c r="AB24" s="640">
        <f>IF(G24&gt;=1,IF(F24&gt;1,C24*(F24-2),""),"")</f>
        <v/>
      </c>
      <c r="AC24" s="640" t="n"/>
      <c r="AD24" s="911">
        <f>IF(E24="YES",IF(G24=1,"",""),IF(G24=1,C24,IF(G24=2,C24,IF(G24=0,"",""))))</f>
        <v/>
      </c>
      <c r="AE24" s="911">
        <f>IF(E24="YES",IF(G24=1,"",IF(H24=1,C24,"")),IF(H24=1,C24,IF(H24=2,C24,IF(H24=0,"",""))))</f>
        <v/>
      </c>
      <c r="AF24" s="911">
        <f>IF(E24="YES",IF(I24=1,C24,""),IF(I24=1,C24,IF(I24=2,C24,IF(I24=0,"",""))))</f>
        <v/>
      </c>
      <c r="AG24" s="192">
        <f>(C24*G24)+(C24*H24)+(C24*I24)</f>
        <v/>
      </c>
      <c r="AH24" s="923" t="n"/>
    </row>
    <row r="25">
      <c r="B25" s="192" t="n"/>
      <c r="F25" s="192" t="n"/>
      <c r="G25" s="192" t="n"/>
      <c r="H25" s="192" t="n"/>
      <c r="J25" s="57" t="n"/>
      <c r="K25" s="57" t="n"/>
      <c r="L25" s="57" t="n"/>
      <c r="M25" s="57" t="n"/>
      <c r="N25" s="57" t="n"/>
      <c r="O25" s="57" t="n"/>
      <c r="AA25" s="640">
        <f>IF(G25=0, IF(OR(H25&gt;0,F25&gt;0),C25*F25,""),"")</f>
        <v/>
      </c>
      <c r="AB25" s="640">
        <f>IF(G25&gt;=1,IF(F25&gt;1,C25*(F25-2),""),"")</f>
        <v/>
      </c>
      <c r="AC25" s="640" t="n"/>
      <c r="AD25" s="911">
        <f>IF(E25="YES",IF(G25=1,"",""),IF(G25=1,C25,IF(G25=2,C25,IF(G25=0,"",""))))</f>
        <v/>
      </c>
      <c r="AE25" s="911">
        <f>IF(E25="YES",IF(G25=1,"",IF(H25=1,C25,"")),IF(H25=1,C25,IF(H25=2,C25,IF(H25=0,"",""))))</f>
        <v/>
      </c>
      <c r="AF25" s="911">
        <f>IF(E25="YES",IF(I25=1,C25,""),IF(I25=1,C25,IF(I25=2,C25,IF(I25=0,"",""))))</f>
        <v/>
      </c>
      <c r="AG25" s="192">
        <f>(C25*G25)+(C25*H25)+(C25*I25)</f>
        <v/>
      </c>
    </row>
    <row r="26">
      <c r="B26" s="192" t="n"/>
      <c r="F26" s="192" t="n"/>
      <c r="G26" s="192" t="n"/>
      <c r="H26" s="192" t="n"/>
      <c r="J26" s="57" t="n"/>
      <c r="K26" s="57" t="n"/>
      <c r="L26" s="57" t="n"/>
      <c r="M26" s="57" t="n"/>
      <c r="N26" s="57" t="n"/>
      <c r="O26" s="57" t="n"/>
      <c r="AA26" s="640">
        <f>IF(G26=0, IF(OR(H26&gt;0,F26&gt;0),C26*F26,""),"")</f>
        <v/>
      </c>
      <c r="AB26" s="640">
        <f>IF(G26&gt;=1,IF(F26&gt;1,C26*(F26-2),""),"")</f>
        <v/>
      </c>
      <c r="AC26" s="640" t="n"/>
      <c r="AD26" s="911">
        <f>IF(E26="YES",IF(G26=1,"",""),IF(G26=1,C26,IF(G26=2,C26,IF(G26=0,"",""))))</f>
        <v/>
      </c>
      <c r="AE26" s="911">
        <f>IF(E26="YES",IF(G26=1,"",IF(H26=1,C26,"")),IF(H26=1,C26,IF(H26=2,C26,IF(H26=0,"",""))))</f>
        <v/>
      </c>
      <c r="AF26" s="911">
        <f>IF(E26="YES",IF(I26=1,C26,""),IF(I26=1,C26,IF(I26=2,C26,IF(I26=0,"",""))))</f>
        <v/>
      </c>
      <c r="AG26" s="192">
        <f>(C26*G26)+(C26*H26)+(C26*I26)</f>
        <v/>
      </c>
    </row>
    <row r="27">
      <c r="B27" s="192" t="n"/>
      <c r="F27" s="192" t="n"/>
      <c r="G27" s="192" t="n"/>
      <c r="H27" s="192" t="n"/>
      <c r="J27" s="57" t="n"/>
      <c r="K27" s="57" t="n"/>
      <c r="L27" s="57" t="n"/>
      <c r="M27" s="57" t="n"/>
      <c r="N27" s="57" t="n"/>
      <c r="O27" s="57" t="n"/>
      <c r="AA27" s="640">
        <f>IF(G27=0, IF(OR(H27&gt;0,F27&gt;0),C27*F27,""),"")</f>
        <v/>
      </c>
      <c r="AB27" s="640">
        <f>IF(G27&gt;=1,IF(F27&gt;1,C27*(F27-2),""),"")</f>
        <v/>
      </c>
      <c r="AC27" s="640" t="n"/>
      <c r="AD27" s="911">
        <f>IF(E27="YES",IF(G27=1,"",""),IF(G27=1,C27,IF(G27=2,C27,IF(G27=0,"",""))))</f>
        <v/>
      </c>
      <c r="AE27" s="911">
        <f>IF(E27="YES",IF(G27=1,"",IF(H27=1,C27,"")),IF(H27=1,C27,IF(H27=2,C27,IF(H27=0,"",""))))</f>
        <v/>
      </c>
      <c r="AF27" s="911">
        <f>IF(E27="YES",IF(I27=1,C27,""),IF(I27=1,C27,IF(I27=2,C27,IF(I27=0,"",""))))</f>
        <v/>
      </c>
      <c r="AG27" s="192">
        <f>(C27*G27)+(C27*H27)+(C27*I27)</f>
        <v/>
      </c>
    </row>
    <row r="28">
      <c r="B28" s="192" t="n"/>
      <c r="F28" s="192" t="n"/>
      <c r="G28" s="192" t="n"/>
      <c r="H28" s="192" t="n"/>
      <c r="J28" s="57" t="n"/>
      <c r="K28" s="57" t="n"/>
      <c r="L28" s="57" t="n"/>
      <c r="M28" s="57" t="n"/>
      <c r="N28" s="57" t="n"/>
      <c r="O28" s="57" t="n"/>
      <c r="AA28" s="640">
        <f>IF(G28=0, IF(OR(H28&gt;0,F28&gt;0),C28*F28,""),"")</f>
        <v/>
      </c>
      <c r="AB28" s="640">
        <f>IF(G28&gt;=1,IF(F28&gt;1,C28*(F28-2),""),"")</f>
        <v/>
      </c>
      <c r="AC28" s="640" t="n"/>
      <c r="AD28" s="911">
        <f>IF(E28="YES",IF(G28=1,"",""),IF(G28=1,C28,IF(G28=2,C28,IF(G28=0,"",""))))</f>
        <v/>
      </c>
      <c r="AE28" s="911">
        <f>IF(E28="YES",IF(G28=1,"",IF(H28=1,C28,"")),IF(H28=1,C28,IF(H28=2,C28,IF(H28=0,"",""))))</f>
        <v/>
      </c>
      <c r="AF28" s="911">
        <f>IF(E28="YES",IF(I28=1,C28,""),IF(I28=1,C28,IF(I28=2,C28,IF(I28=0,"",""))))</f>
        <v/>
      </c>
      <c r="AG28" s="192">
        <f>(C28*G28)+(C28*H28)+(C28*I28)</f>
        <v/>
      </c>
    </row>
    <row r="29">
      <c r="B29" s="192" t="n"/>
      <c r="F29" s="192" t="n"/>
      <c r="G29" s="192" t="n"/>
      <c r="H29" s="192" t="n"/>
      <c r="J29" s="57" t="n"/>
      <c r="K29" s="57" t="n"/>
      <c r="L29" s="57" t="n"/>
      <c r="M29" s="57" t="n"/>
      <c r="N29" s="57" t="n"/>
      <c r="O29" s="57" t="n"/>
      <c r="AA29" s="640">
        <f>IF(G29=0, IF(OR(H29&gt;0,F29&gt;0),C29*F29,""),"")</f>
        <v/>
      </c>
      <c r="AB29" s="640">
        <f>IF(G29&gt;=1,IF(F29&gt;1,C29*(F29-2),""),"")</f>
        <v/>
      </c>
      <c r="AC29" s="640" t="n"/>
      <c r="AD29" s="911">
        <f>IF(E29="YES",IF(G29=1,"",""),IF(G29=1,C29,IF(G29=2,C29,IF(G29=0,"",""))))</f>
        <v/>
      </c>
      <c r="AE29" s="911">
        <f>IF(E29="YES",IF(G29=1,"",IF(H29=1,C29,"")),IF(H29=1,C29,IF(H29=2,C29,IF(H29=0,"",""))))</f>
        <v/>
      </c>
      <c r="AF29" s="911">
        <f>IF(E29="YES",IF(I29=1,C29,""),IF(I29=1,C29,IF(I29=2,C29,IF(I29=0,"",""))))</f>
        <v/>
      </c>
      <c r="AG29" s="192">
        <f>(C29*G29)+(C29*H29)+(C29*I29)</f>
        <v/>
      </c>
    </row>
    <row r="30">
      <c r="B30" s="192" t="n"/>
      <c r="F30" s="192" t="n"/>
      <c r="G30" s="192" t="n"/>
      <c r="H30" s="192" t="n"/>
      <c r="J30" s="57" t="n"/>
      <c r="K30" s="57" t="n"/>
      <c r="L30" s="57" t="n"/>
      <c r="M30" s="57" t="n"/>
      <c r="N30" s="57" t="n"/>
      <c r="O30" s="57" t="n"/>
      <c r="AA30" s="640">
        <f>IF(G30=0, IF(OR(H30&gt;0,F30&gt;0),C30*F30,""),"")</f>
        <v/>
      </c>
      <c r="AB30" s="640">
        <f>IF(G30&gt;=1,IF(F30&gt;1,C30*(F30-2),""),"")</f>
        <v/>
      </c>
      <c r="AC30" s="640" t="n"/>
      <c r="AD30" s="911">
        <f>IF(E30="YES",IF(G30=1,"",""),IF(G30=1,C30,IF(G30=2,C30,IF(G30=0,"",""))))</f>
        <v/>
      </c>
      <c r="AE30" s="911">
        <f>IF(E30="YES",IF(G30=1,"",IF(H30=1,C30,"")),IF(H30=1,C30,IF(H30=2,C30,IF(H30=0,"",""))))</f>
        <v/>
      </c>
      <c r="AF30" s="911">
        <f>IF(E30="YES",IF(I30=1,C30,""),IF(I30=1,C30,IF(I30=2,C30,IF(I30=0,"",""))))</f>
        <v/>
      </c>
      <c r="AG30" s="192">
        <f>(C30*G30)+(C30*H30)+(C30*I30)</f>
        <v/>
      </c>
    </row>
    <row r="31">
      <c r="B31" s="192" t="n"/>
      <c r="F31" s="192" t="n"/>
      <c r="G31" s="192" t="n"/>
      <c r="H31" s="192" t="n"/>
      <c r="J31" s="57" t="n"/>
      <c r="K31" s="57" t="n"/>
      <c r="L31" s="57" t="n"/>
      <c r="M31" s="57" t="n"/>
      <c r="N31" s="57" t="n"/>
      <c r="O31" s="57" t="n"/>
      <c r="AA31" s="640">
        <f>IF(G31=0, IF(OR(H31&gt;0,F31&gt;0),C31*F31,""),"")</f>
        <v/>
      </c>
      <c r="AB31" s="640">
        <f>IF(G31&gt;=1,IF(F31&gt;1,C31*(F31-2),""),"")</f>
        <v/>
      </c>
      <c r="AC31" s="640" t="n"/>
      <c r="AD31" s="911">
        <f>IF(E31="YES",IF(G31=1,"",""),IF(G31=1,C31,IF(G31=2,C31,IF(G31=0,"",""))))</f>
        <v/>
      </c>
      <c r="AE31" s="911">
        <f>IF(E31="YES",IF(G31=1,"",IF(H31=1,C31,"")),IF(H31=1,C31,IF(H31=2,C31,IF(H31=0,"",""))))</f>
        <v/>
      </c>
      <c r="AF31" s="911">
        <f>IF(E31="YES",IF(I31=1,C31,""),IF(I31=1,C31,IF(I31=2,C31,IF(I31=0,"",""))))</f>
        <v/>
      </c>
      <c r="AG31" s="192">
        <f>(C31*G31)+(C31*H31)+(C31*I31)</f>
        <v/>
      </c>
    </row>
    <row r="32">
      <c r="B32" s="192" t="n"/>
      <c r="F32" s="192" t="n"/>
      <c r="G32" s="192" t="n"/>
      <c r="H32" s="192" t="n"/>
      <c r="J32" s="57" t="n"/>
      <c r="K32" s="57" t="n"/>
      <c r="L32" s="57" t="n"/>
      <c r="M32" s="57" t="n"/>
      <c r="N32" s="57" t="n"/>
      <c r="O32" s="57" t="n"/>
      <c r="AA32" s="640">
        <f>IF(G32=0, IF(OR(H32&gt;0,F32&gt;0),C32*F32,""),"")</f>
        <v/>
      </c>
      <c r="AB32" s="640">
        <f>IF(G32&gt;=1,IF(F32&gt;1,C32*(F32-2),""),"")</f>
        <v/>
      </c>
      <c r="AC32" s="640" t="n"/>
      <c r="AD32" s="911">
        <f>IF(E32="YES",IF(G32=1,"",""),IF(G32=1,C32,IF(G32=2,C32,IF(G32=0,"",""))))</f>
        <v/>
      </c>
      <c r="AE32" s="911">
        <f>IF(E32="YES",IF(G32=1,"",IF(H32=1,C32,"")),IF(H32=1,C32,IF(H32=2,C32,IF(H32=0,"",""))))</f>
        <v/>
      </c>
      <c r="AF32" s="911">
        <f>IF(E32="YES",IF(I32=1,C32,""),IF(I32=1,C32,IF(I32=2,C32,IF(I32=0,"",""))))</f>
        <v/>
      </c>
      <c r="AG32" s="192">
        <f>(C32*G32)+(C32*H32)+(C32*I32)</f>
        <v/>
      </c>
    </row>
    <row r="33">
      <c r="B33" s="192" t="n"/>
      <c r="F33" s="192" t="n"/>
      <c r="G33" s="192" t="n"/>
      <c r="H33" s="192" t="n"/>
      <c r="J33" s="57" t="n"/>
      <c r="K33" s="57" t="n"/>
      <c r="L33" s="57" t="n"/>
      <c r="M33" s="57" t="n"/>
      <c r="N33" s="57" t="n"/>
      <c r="O33" s="57" t="n"/>
      <c r="AA33" s="640">
        <f>IF(G33=0, IF(OR(H33&gt;0,F33&gt;0),C33*F33,""),"")</f>
        <v/>
      </c>
      <c r="AB33" s="640">
        <f>IF(G33&gt;=1,IF(F33&gt;1,C33*(F33-2),""),"")</f>
        <v/>
      </c>
      <c r="AC33" s="640" t="n"/>
      <c r="AD33" s="911">
        <f>IF(E33="YES",IF(G33=1,"",""),IF(G33=1,C33,IF(G33=2,C33,IF(G33=0,"",""))))</f>
        <v/>
      </c>
      <c r="AE33" s="911">
        <f>IF(E33="YES",IF(G33=1,"",IF(H33=1,C33,"")),IF(H33=1,C33,IF(H33=2,C33,IF(H33=0,"",""))))</f>
        <v/>
      </c>
      <c r="AF33" s="911">
        <f>IF(E33="YES",IF(I33=1,C33,""),IF(I33=1,C33,IF(I33=2,C33,IF(I33=0,"",""))))</f>
        <v/>
      </c>
      <c r="AG33" s="192">
        <f>(C33*G33)+(C33*H33)+(C33*I33)</f>
        <v/>
      </c>
    </row>
    <row r="34">
      <c r="B34" s="192" t="n"/>
      <c r="F34" s="192" t="n"/>
      <c r="G34" s="192" t="n"/>
      <c r="H34" s="192" t="n"/>
      <c r="J34" s="57" t="n"/>
      <c r="K34" s="57" t="n"/>
      <c r="L34" s="57" t="n"/>
      <c r="M34" s="57" t="n"/>
      <c r="N34" s="57" t="n"/>
      <c r="O34" s="57" t="n"/>
      <c r="AA34" s="640">
        <f>IF(G34=0, IF(OR(H34&gt;0,F34&gt;0),C34*F34,""),"")</f>
        <v/>
      </c>
      <c r="AB34" s="640">
        <f>IF(G34&gt;=1,IF(F34&gt;1,C34*(F34-2),""),"")</f>
        <v/>
      </c>
      <c r="AC34" s="640" t="n"/>
      <c r="AD34" s="911">
        <f>IF(E34="YES",IF(G34=1,"",""),IF(G34=1,C34,IF(G34=2,C34,IF(G34=0,"",""))))</f>
        <v/>
      </c>
      <c r="AE34" s="911">
        <f>IF(E34="YES",IF(G34=1,"",IF(H34=1,C34,"")),IF(H34=1,C34,IF(H34=2,C34,IF(H34=0,"",""))))</f>
        <v/>
      </c>
      <c r="AF34" s="911">
        <f>IF(E34="YES",IF(I34=1,C34,""),IF(I34=1,C34,IF(I34=2,C34,IF(I34=0,"",""))))</f>
        <v/>
      </c>
      <c r="AG34" s="192">
        <f>(C34*G34)+(C34*H34)+(C34*I34)</f>
        <v/>
      </c>
    </row>
    <row r="35">
      <c r="B35" s="192" t="n"/>
      <c r="F35" s="192" t="n"/>
      <c r="G35" s="192" t="n"/>
      <c r="H35" s="192" t="n"/>
      <c r="J35" s="57" t="n"/>
      <c r="K35" s="57" t="n"/>
      <c r="L35" s="57" t="n"/>
      <c r="M35" s="57" t="n"/>
      <c r="N35" s="57" t="n"/>
      <c r="O35" s="57" t="n"/>
      <c r="AA35" s="640">
        <f>IF(G35=0, IF(OR(H35&gt;0,F35&gt;0),C35*F35,""),"")</f>
        <v/>
      </c>
      <c r="AB35" s="640">
        <f>IF(G35&gt;=1,IF(F35&gt;1,C35*(F35-2),""),"")</f>
        <v/>
      </c>
      <c r="AC35" s="640" t="n"/>
      <c r="AD35" s="911">
        <f>IF(E35="YES",IF(G35=1,"",""),IF(G35=1,C35,IF(G35=2,C35,IF(G35=0,"",""))))</f>
        <v/>
      </c>
      <c r="AE35" s="911">
        <f>IF(E35="YES",IF(G35=1,"",IF(H35=1,C35,"")),IF(H35=1,C35,IF(H35=2,C35,IF(H35=0,"",""))))</f>
        <v/>
      </c>
      <c r="AF35" s="911">
        <f>IF(E35="YES",IF(I35=1,C35,""),IF(I35=1,C35,IF(I35=2,C35,IF(I35=0,"",""))))</f>
        <v/>
      </c>
      <c r="AG35" s="192">
        <f>(C35*G35)+(C35*H35)+(C35*I35)</f>
        <v/>
      </c>
    </row>
    <row r="36">
      <c r="B36" s="192" t="n"/>
      <c r="F36" s="192" t="n"/>
      <c r="G36" s="192" t="n"/>
      <c r="H36" s="192" t="n"/>
      <c r="J36" s="57" t="n"/>
      <c r="K36" s="57" t="n"/>
      <c r="L36" s="57" t="n"/>
      <c r="M36" s="57" t="n"/>
      <c r="N36" s="57" t="n"/>
      <c r="O36" s="57" t="n"/>
      <c r="AA36" s="640">
        <f>IF(G36=0, IF(OR(H36&gt;0,F36&gt;0),C36*F36,""),"")</f>
        <v/>
      </c>
      <c r="AB36" s="640">
        <f>IF(G36&gt;=1,IF(F36&gt;1,C36*(F36-2),""),"")</f>
        <v/>
      </c>
      <c r="AC36" s="640" t="n"/>
      <c r="AD36" s="911">
        <f>IF(E36="YES",IF(G36=1,"",""),IF(G36=1,C36,IF(G36=2,C36,IF(G36=0,"",""))))</f>
        <v/>
      </c>
      <c r="AE36" s="911">
        <f>IF(E36="YES",IF(G36=1,"",IF(H36=1,C36,"")),IF(H36=1,C36,IF(H36=2,C36,IF(H36=0,"",""))))</f>
        <v/>
      </c>
      <c r="AF36" s="911">
        <f>IF(E36="YES",IF(I36=1,C36,""),IF(I36=1,C36,IF(I36=2,C36,IF(I36=0,"",""))))</f>
        <v/>
      </c>
      <c r="AG36" s="192">
        <f>(C36*G36)+(C36*H36)+(C36*I36)</f>
        <v/>
      </c>
    </row>
    <row r="37">
      <c r="B37" s="192" t="n"/>
      <c r="F37" s="192" t="n"/>
      <c r="G37" s="192" t="n"/>
      <c r="H37" s="192" t="n"/>
      <c r="J37" s="57" t="n"/>
      <c r="K37" s="57" t="n"/>
      <c r="L37" s="57" t="n"/>
      <c r="M37" s="57" t="n"/>
      <c r="N37" s="57" t="n"/>
      <c r="O37" s="57" t="n"/>
      <c r="AA37" s="640">
        <f>IF(G37=0, IF(OR(H37&gt;0,F37&gt;0),C37*F37,""),"")</f>
        <v/>
      </c>
      <c r="AB37" s="640">
        <f>IF(G37&gt;=1,IF(F37&gt;1,C37*(F37-2),""),"")</f>
        <v/>
      </c>
      <c r="AC37" s="640" t="n"/>
      <c r="AD37" s="911">
        <f>IF(E37="YES",IF(G37=1,"",""),IF(G37=1,C37,IF(G37=2,C37,IF(G37=0,"",""))))</f>
        <v/>
      </c>
      <c r="AE37" s="911">
        <f>IF(E37="YES",IF(G37=1,"",IF(H37=1,C37,"")),IF(H37=1,C37,IF(H37=2,C37,IF(H37=0,"",""))))</f>
        <v/>
      </c>
      <c r="AF37" s="911">
        <f>IF(E37="YES",IF(I37=1,C37,""),IF(I37=1,C37,IF(I37=2,C37,IF(I37=0,"",""))))</f>
        <v/>
      </c>
      <c r="AG37" s="192">
        <f>(C37*G37)+(C37*H37)+(C37*I37)</f>
        <v/>
      </c>
    </row>
    <row r="38">
      <c r="B38" s="192" t="n"/>
      <c r="F38" s="192" t="n"/>
      <c r="G38" s="192" t="n"/>
      <c r="H38" s="192" t="n"/>
      <c r="J38" s="57" t="n"/>
      <c r="K38" s="57" t="n"/>
      <c r="L38" s="57" t="n"/>
      <c r="M38" s="57" t="n"/>
      <c r="N38" s="57" t="n"/>
      <c r="O38" s="57" t="n"/>
      <c r="AA38" s="640">
        <f>IF(G38=0, IF(OR(H38&gt;0,F38&gt;0),C38*F38,""),"")</f>
        <v/>
      </c>
      <c r="AB38" s="640">
        <f>IF(G38&gt;=1,IF(F38&gt;1,C38*(F38-2),""),"")</f>
        <v/>
      </c>
      <c r="AC38" s="640" t="n"/>
      <c r="AD38" s="911">
        <f>IF(E38="YES",IF(G38=1,"",""),IF(G38=1,C38,IF(G38=2,C38,IF(G38=0,"",""))))</f>
        <v/>
      </c>
      <c r="AE38" s="911">
        <f>IF(E38="YES",IF(G38=1,"",IF(H38=1,C38,"")),IF(H38=1,C38,IF(H38=2,C38,IF(H38=0,"",""))))</f>
        <v/>
      </c>
      <c r="AF38" s="911">
        <f>IF(E38="YES",IF(I38=1,C38,""),IF(I38=1,C38,IF(I38=2,C38,IF(I38=0,"",""))))</f>
        <v/>
      </c>
      <c r="AG38" s="192">
        <f>(C38*G38)+(C38*H38)+(C38*I38)</f>
        <v/>
      </c>
    </row>
    <row r="39">
      <c r="B39" s="192" t="n"/>
      <c r="F39" s="192" t="n"/>
      <c r="G39" s="192" t="n"/>
      <c r="H39" s="192" t="n"/>
      <c r="J39" s="57" t="n"/>
      <c r="K39" s="57" t="n"/>
      <c r="L39" s="57" t="n"/>
      <c r="M39" s="57" t="n"/>
      <c r="N39" s="57" t="n"/>
      <c r="O39" s="57" t="n"/>
      <c r="AA39" s="640">
        <f>IF(G39=0, IF(OR(H39&gt;0,F39&gt;0),C39*F39,""),"")</f>
        <v/>
      </c>
      <c r="AB39" s="640">
        <f>IF(G39&gt;=1,IF(F39&gt;1,C39*(F39-2),""),"")</f>
        <v/>
      </c>
      <c r="AC39" s="640" t="n"/>
      <c r="AD39" s="911">
        <f>IF(E39="YES",IF(G39=1,"",""),IF(G39=1,C39,IF(G39=2,C39,IF(G39=0,"",""))))</f>
        <v/>
      </c>
      <c r="AE39" s="911">
        <f>IF(E39="YES",IF(G39=1,"",IF(H39=1,C39,"")),IF(H39=1,C39,IF(H39=2,C39,IF(H39=0,"",""))))</f>
        <v/>
      </c>
      <c r="AF39" s="911">
        <f>IF(E39="YES",IF(I39=1,C39,""),IF(I39=1,C39,IF(I39=2,C39,IF(I39=0,"",""))))</f>
        <v/>
      </c>
      <c r="AG39" s="192">
        <f>(C39*G39)+(C39*H39)+(C39*I39)</f>
        <v/>
      </c>
    </row>
    <row r="40">
      <c r="B40" s="192" t="n"/>
      <c r="F40" s="192" t="n"/>
      <c r="G40" s="192" t="n"/>
      <c r="H40" s="192" t="n"/>
      <c r="J40" s="57" t="n"/>
      <c r="K40" s="57" t="n"/>
      <c r="L40" s="57" t="n"/>
      <c r="M40" s="57" t="n"/>
      <c r="N40" s="57" t="n"/>
      <c r="O40" s="57" t="n"/>
      <c r="AA40" s="640">
        <f>IF(G40=0, IF(OR(H40&gt;0,F40&gt;0),C40*F40,""),"")</f>
        <v/>
      </c>
      <c r="AB40" s="640">
        <f>IF(G40&gt;=1,IF(F40&gt;1,C40*(F40-2),""),"")</f>
        <v/>
      </c>
      <c r="AC40" s="640" t="n"/>
      <c r="AD40" s="911">
        <f>IF(E40="YES",IF(G40=1,"",""),IF(G40=1,C40,IF(G40=2,C40,IF(G40=0,"",""))))</f>
        <v/>
      </c>
      <c r="AE40" s="911">
        <f>IF(E40="YES",IF(G40=1,"",IF(H40=1,C40,"")),IF(H40=1,C40,IF(H40=2,C40,IF(H40=0,"",""))))</f>
        <v/>
      </c>
      <c r="AF40" s="911">
        <f>IF(E40="YES",IF(I40=1,C40,""),IF(I40=1,C40,IF(I40=2,C40,IF(I40=0,"",""))))</f>
        <v/>
      </c>
      <c r="AG40" s="192">
        <f>(C40*G40)+(C40*H40)+(C40*I40)</f>
        <v/>
      </c>
    </row>
    <row r="41">
      <c r="B41" s="192" t="n"/>
      <c r="F41" s="192" t="n"/>
      <c r="G41" s="192" t="n"/>
      <c r="H41" s="192" t="n"/>
      <c r="J41" s="57" t="n"/>
      <c r="K41" s="57" t="n"/>
      <c r="L41" s="57" t="n"/>
      <c r="M41" s="57" t="n"/>
      <c r="N41" s="57" t="n"/>
      <c r="O41" s="57" t="n"/>
      <c r="AA41" s="640">
        <f>IF(G41=0, IF(OR(H41&gt;0,F41&gt;0),C41*F41,""),"")</f>
        <v/>
      </c>
      <c r="AB41" s="640">
        <f>IF(G41&gt;=1,IF(F41&gt;1,C41*(F41-2),""),"")</f>
        <v/>
      </c>
      <c r="AC41" s="640" t="n"/>
      <c r="AD41" s="911">
        <f>IF(E41="YES",IF(G41=1,"",""),IF(G41=1,C41,IF(G41=2,C41,IF(G41=0,"",""))))</f>
        <v/>
      </c>
      <c r="AE41" s="911">
        <f>IF(E41="YES",IF(G41=1,"",IF(H41=1,C41,"")),IF(H41=1,C41,IF(H41=2,C41,IF(H41=0,"",""))))</f>
        <v/>
      </c>
      <c r="AF41" s="911">
        <f>IF(E41="YES",IF(I41=1,C41,""),IF(I41=1,C41,IF(I41=2,C41,IF(I41=0,"",""))))</f>
        <v/>
      </c>
      <c r="AG41" s="192">
        <f>(C41*G41)+(C41*H41)+(C41*I41)</f>
        <v/>
      </c>
    </row>
    <row r="42">
      <c r="B42" s="192" t="n"/>
      <c r="F42" s="192" t="n"/>
      <c r="G42" s="192" t="n"/>
      <c r="H42" s="192" t="n"/>
      <c r="J42" s="57" t="n"/>
      <c r="K42" s="57" t="n"/>
      <c r="L42" s="57" t="n"/>
      <c r="M42" s="57" t="n"/>
      <c r="N42" s="57" t="n"/>
      <c r="O42" s="57" t="n"/>
      <c r="AA42" s="640">
        <f>IF(G42=0, IF(OR(H42&gt;0,F42&gt;0),C42*F42,""),"")</f>
        <v/>
      </c>
      <c r="AB42" s="640">
        <f>IF(G42&gt;=1,IF(F42&gt;1,C42*(F42-2),""),"")</f>
        <v/>
      </c>
      <c r="AC42" s="640" t="n"/>
      <c r="AD42" s="911">
        <f>IF(E42="YES",IF(G42=1,"",""),IF(G42=1,C42,IF(G42=2,C42,IF(G42=0,"",""))))</f>
        <v/>
      </c>
      <c r="AE42" s="911">
        <f>IF(E42="YES",IF(G42=1,"",IF(H42=1,C42,"")),IF(H42=1,C42,IF(H42=2,C42,IF(H42=0,"",""))))</f>
        <v/>
      </c>
      <c r="AF42" s="911">
        <f>IF(E42="YES",IF(I42=1,C42,""),IF(I42=1,C42,IF(I42=2,C42,IF(I42=0,"",""))))</f>
        <v/>
      </c>
      <c r="AG42" s="192">
        <f>(C42*G42)+(C42*H42)+(C42*I42)</f>
        <v/>
      </c>
    </row>
    <row r="43">
      <c r="B43" s="192" t="n"/>
      <c r="F43" s="192" t="n"/>
      <c r="G43" s="192" t="n"/>
      <c r="H43" s="192" t="n"/>
      <c r="J43" s="57" t="n"/>
      <c r="K43" s="57" t="n"/>
      <c r="L43" s="57" t="n"/>
      <c r="M43" s="57" t="n"/>
      <c r="N43" s="57" t="n"/>
      <c r="O43" s="57" t="n"/>
      <c r="AA43" s="640">
        <f>IF(G43=0, IF(OR(H43&gt;0,F43&gt;0),C43*F43,""),"")</f>
        <v/>
      </c>
      <c r="AB43" s="640">
        <f>IF(G43&gt;=1,IF(F43&gt;1,C43*(F43-2),""),"")</f>
        <v/>
      </c>
      <c r="AC43" s="640" t="n"/>
      <c r="AD43" s="911">
        <f>IF(E43="YES",IF(G43=1,"",""),IF(G43=1,C43,IF(G43=2,C43,IF(G43=0,"",""))))</f>
        <v/>
      </c>
      <c r="AE43" s="911">
        <f>IF(E43="YES",IF(G43=1,"",IF(H43=1,C43,"")),IF(H43=1,C43,IF(H43=2,C43,IF(H43=0,"",""))))</f>
        <v/>
      </c>
      <c r="AF43" s="911">
        <f>IF(E43="YES",IF(I43=1,C43,""),IF(I43=1,C43,IF(I43=2,C43,IF(I43=0,"",""))))</f>
        <v/>
      </c>
      <c r="AG43" s="192">
        <f>(C43*G43)+(C43*H43)+(C43*I43)</f>
        <v/>
      </c>
    </row>
    <row r="44">
      <c r="B44" s="192" t="n"/>
      <c r="F44" s="192" t="n"/>
      <c r="G44" s="192" t="n"/>
      <c r="H44" s="192" t="n"/>
      <c r="J44" s="57" t="n"/>
      <c r="K44" s="57" t="n"/>
      <c r="L44" s="57" t="n"/>
      <c r="M44" s="57" t="n"/>
      <c r="N44" s="57" t="n"/>
      <c r="O44" s="57" t="n"/>
      <c r="AA44" s="640">
        <f>IF(G44=0, IF(OR(H44&gt;0,F44&gt;0),C44*F44,""),"")</f>
        <v/>
      </c>
      <c r="AB44" s="640">
        <f>IF(G44&gt;=1,IF(F44&gt;1,C44*(F44-2),""),"")</f>
        <v/>
      </c>
      <c r="AC44" s="640" t="n"/>
      <c r="AD44" s="911">
        <f>IF(E44="YES",IF(G44=1,"",""),IF(G44=1,C44,IF(G44=2,C44,IF(G44=0,"",""))))</f>
        <v/>
      </c>
      <c r="AE44" s="911">
        <f>IF(E44="YES",IF(G44=1,"",IF(H44=1,C44,"")),IF(H44=1,C44,IF(H44=2,C44,IF(H44=0,"",""))))</f>
        <v/>
      </c>
      <c r="AF44" s="911">
        <f>IF(E44="YES",IF(I44=1,C44,""),IF(I44=1,C44,IF(I44=2,C44,IF(I44=0,"",""))))</f>
        <v/>
      </c>
      <c r="AG44" s="192">
        <f>(C44*G44)+(C44*H44)+(C44*I44)</f>
        <v/>
      </c>
    </row>
    <row r="45">
      <c r="B45" s="192" t="n"/>
      <c r="F45" s="192" t="n"/>
      <c r="G45" s="192" t="n"/>
      <c r="H45" s="192" t="n"/>
      <c r="J45" s="57" t="n"/>
      <c r="K45" s="57" t="n"/>
      <c r="L45" s="57" t="n"/>
      <c r="M45" s="57" t="n"/>
      <c r="N45" s="57" t="n"/>
      <c r="O45" s="57" t="n"/>
      <c r="AA45" s="640">
        <f>IF(G45=0, IF(OR(H45&gt;0,F45&gt;0),C45*F45,""),"")</f>
        <v/>
      </c>
      <c r="AB45" s="640">
        <f>IF(G45&gt;=1,IF(F45&gt;1,C45*(F45-2),""),"")</f>
        <v/>
      </c>
      <c r="AC45" s="640" t="n"/>
      <c r="AD45" s="911">
        <f>IF(E45="YES",IF(G45=1,"",""),IF(G45=1,C45,IF(G45=2,C45,IF(G45=0,"",""))))</f>
        <v/>
      </c>
      <c r="AE45" s="911">
        <f>IF(E45="YES",IF(G45=1,"",IF(H45=1,C45,"")),IF(H45=1,C45,IF(H45=2,C45,IF(H45=0,"",""))))</f>
        <v/>
      </c>
      <c r="AF45" s="911">
        <f>IF(E45="YES",IF(I45=1,C45,""),IF(I45=1,C45,IF(I45=2,C45,IF(I45=0,"",""))))</f>
        <v/>
      </c>
      <c r="AG45" s="192">
        <f>(C45*G45)+(C45*H45)+(C45*I45)</f>
        <v/>
      </c>
    </row>
    <row r="46">
      <c r="B46" s="192" t="n"/>
      <c r="F46" s="192" t="n"/>
      <c r="G46" s="192" t="n"/>
      <c r="H46" s="192" t="n"/>
      <c r="J46" s="57" t="n"/>
      <c r="K46" s="57" t="n"/>
      <c r="L46" s="57" t="n"/>
      <c r="M46" s="57" t="n"/>
      <c r="N46" s="57" t="n"/>
      <c r="O46" s="57" t="n"/>
      <c r="AA46" s="640">
        <f>IF(G46=0, IF(OR(H46&gt;0,F46&gt;0),C46*F46,""),"")</f>
        <v/>
      </c>
      <c r="AB46" s="640">
        <f>IF(G46&gt;=1,IF(F46&gt;1,C46*(F46-2),""),"")</f>
        <v/>
      </c>
      <c r="AC46" s="640" t="n"/>
      <c r="AD46" s="911">
        <f>IF(E46="YES",IF(G46=1,"",""),IF(G46=1,C46,IF(G46=2,C46,IF(G46=0,"",""))))</f>
        <v/>
      </c>
      <c r="AE46" s="911">
        <f>IF(E46="YES",IF(G46=1,"",IF(H46=1,C46,"")),IF(H46=1,C46,IF(H46=2,C46,IF(H46=0,"",""))))</f>
        <v/>
      </c>
      <c r="AF46" s="911">
        <f>IF(E46="YES",IF(I46=1,C46,""),IF(I46=1,C46,IF(I46=2,C46,IF(I46=0,"",""))))</f>
        <v/>
      </c>
      <c r="AG46" s="192">
        <f>(C46*G46)+(C46*H46)+(C46*I46)</f>
        <v/>
      </c>
    </row>
    <row r="47">
      <c r="B47" s="192" t="n"/>
      <c r="F47" s="192" t="n"/>
      <c r="G47" s="192" t="n"/>
      <c r="H47" s="192" t="n"/>
      <c r="J47" s="57" t="n"/>
      <c r="K47" s="57" t="n"/>
      <c r="L47" s="57" t="n"/>
      <c r="M47" s="57" t="n"/>
      <c r="N47" s="57" t="n"/>
      <c r="O47" s="57" t="n"/>
      <c r="AA47" s="640">
        <f>IF(G47=0, IF(OR(H47&gt;0,F47&gt;0),C47*F47,""),"")</f>
        <v/>
      </c>
      <c r="AB47" s="640">
        <f>IF(G47&gt;=1,IF(F47&gt;1,C47*(F47-2),""),"")</f>
        <v/>
      </c>
      <c r="AC47" s="640" t="n"/>
      <c r="AD47" s="911">
        <f>IF(E47="YES",IF(G47=1,"",""),IF(G47=1,C47,IF(G47=2,C47,IF(G47=0,"",""))))</f>
        <v/>
      </c>
      <c r="AE47" s="911">
        <f>IF(E47="YES",IF(G47=1,"",IF(H47=1,C47,"")),IF(H47=1,C47,IF(H47=2,C47,IF(H47=0,"",""))))</f>
        <v/>
      </c>
      <c r="AF47" s="911">
        <f>IF(E47="YES",IF(I47=1,C47,""),IF(I47=1,C47,IF(I47=2,C47,IF(I47=0,"",""))))</f>
        <v/>
      </c>
      <c r="AG47" s="192">
        <f>(C47*G47)+(C47*H47)+(C47*I47)</f>
        <v/>
      </c>
    </row>
    <row r="48">
      <c r="B48" s="192" t="n"/>
      <c r="F48" s="192" t="n"/>
      <c r="G48" s="192" t="n"/>
      <c r="H48" s="192" t="n"/>
      <c r="J48" s="57" t="n"/>
      <c r="K48" s="57" t="n"/>
      <c r="L48" s="57" t="n"/>
      <c r="M48" s="57" t="n"/>
      <c r="N48" s="57" t="n"/>
      <c r="O48" s="57" t="n"/>
      <c r="AA48" s="640">
        <f>IF(G48=0, IF(OR(H48&gt;0,F48&gt;0),C48*F48,""),"")</f>
        <v/>
      </c>
      <c r="AB48" s="640">
        <f>IF(G48&gt;=1,IF(F48&gt;1,C48*(F48-2),""),"")</f>
        <v/>
      </c>
      <c r="AC48" s="640" t="n"/>
      <c r="AD48" s="911">
        <f>IF(E48="YES",IF(G48=1,"",""),IF(G48=1,C48,IF(G48=2,C48,IF(G48=0,"",""))))</f>
        <v/>
      </c>
      <c r="AE48" s="911">
        <f>IF(E48="YES",IF(G48=1,"",IF(H48=1,C48,"")),IF(H48=1,C48,IF(H48=2,C48,IF(H48=0,"",""))))</f>
        <v/>
      </c>
      <c r="AF48" s="911">
        <f>IF(E48="YES",IF(I48=1,C48,""),IF(I48=1,C48,IF(I48=2,C48,IF(I48=0,"",""))))</f>
        <v/>
      </c>
      <c r="AG48" s="192">
        <f>(C48*G48)+(C48*H48)+(C48*I48)</f>
        <v/>
      </c>
      <c r="AH48" s="923" t="n"/>
    </row>
    <row r="49">
      <c r="B49" s="192" t="n"/>
      <c r="F49" s="192" t="n"/>
      <c r="G49" s="192" t="n"/>
      <c r="H49" s="192" t="n"/>
      <c r="J49" s="57" t="n"/>
      <c r="K49" s="57" t="n"/>
      <c r="L49" s="57" t="n"/>
      <c r="M49" s="57" t="n"/>
      <c r="N49" s="57" t="n"/>
      <c r="O49" s="57" t="n"/>
      <c r="AA49" s="640">
        <f>IF(G49=0, IF(OR(H49&gt;0,F49&gt;0),C49*F49,""),"")</f>
        <v/>
      </c>
      <c r="AB49" s="640">
        <f>IF(G49&gt;=1,IF(F49&gt;1,C49*(F49-2),""),"")</f>
        <v/>
      </c>
      <c r="AC49" s="640" t="n"/>
      <c r="AD49" s="911">
        <f>IF(E49="YES",IF(G49=1,"",""),IF(G49=1,C49,IF(G49=2,C49,IF(G49=0,"",""))))</f>
        <v/>
      </c>
      <c r="AE49" s="911">
        <f>IF(E49="YES",IF(G49=1,"",IF(H49=1,C49,"")),IF(H49=1,C49,IF(H49=2,C49,IF(H49=0,"",""))))</f>
        <v/>
      </c>
      <c r="AF49" s="911">
        <f>IF(E49="YES",IF(I49=1,C49,""),IF(I49=1,C49,IF(I49=2,C49,IF(I49=0,"",""))))</f>
        <v/>
      </c>
      <c r="AG49" s="192">
        <f>(C49*G49)+(C49*H49)+(C49*I49)</f>
        <v/>
      </c>
      <c r="AH49" s="923" t="n"/>
    </row>
    <row r="50">
      <c r="B50" s="192" t="n"/>
      <c r="F50" s="192" t="n"/>
      <c r="G50" s="192" t="n"/>
      <c r="H50" s="192" t="n"/>
      <c r="J50" s="57" t="n"/>
      <c r="K50" s="57" t="n"/>
      <c r="L50" s="57" t="n"/>
      <c r="M50" s="57" t="n"/>
      <c r="N50" s="57" t="n"/>
      <c r="O50" s="57" t="n"/>
      <c r="AA50" s="640">
        <f>IF(G50=0, IF(OR(H50&gt;0,F50&gt;0),C50*F50,""),"")</f>
        <v/>
      </c>
      <c r="AB50" s="640">
        <f>IF(G50&gt;=1,IF(F50&gt;1,C50*(F50-2),""),"")</f>
        <v/>
      </c>
      <c r="AC50" s="640" t="n"/>
      <c r="AD50" s="911">
        <f>IF(E50="YES",IF(G50=1,"",""),IF(G50=1,C50,IF(G50=2,C50,IF(G50=0,"",""))))</f>
        <v/>
      </c>
      <c r="AE50" s="911">
        <f>IF(E50="YES",IF(G50=1,"",IF(H50=1,C50,"")),IF(H50=1,C50,IF(H50=2,C50,IF(H50=0,"",""))))</f>
        <v/>
      </c>
      <c r="AF50" s="911">
        <f>IF(E50="YES",IF(I50=1,C50,""),IF(I50=1,C50,IF(I50=2,C50,IF(I50=0,"",""))))</f>
        <v/>
      </c>
      <c r="AG50" s="192">
        <f>(C50*G50)+(C50*H50)+(C50*I50)</f>
        <v/>
      </c>
      <c r="AH50" s="923" t="n"/>
    </row>
    <row r="51">
      <c r="B51" s="192" t="n"/>
      <c r="F51" s="192" t="n"/>
      <c r="G51" s="192" t="n"/>
      <c r="H51" s="192" t="n"/>
      <c r="J51" s="57" t="n"/>
      <c r="K51" s="57" t="n"/>
      <c r="L51" s="57" t="n"/>
      <c r="M51" s="57" t="n"/>
      <c r="N51" s="57" t="n"/>
      <c r="O51" s="57" t="n"/>
      <c r="AA51" s="640">
        <f>IF(G51=0, IF(OR(H51&gt;0,F51&gt;0),C51*F51,""),"")</f>
        <v/>
      </c>
      <c r="AB51" s="640">
        <f>IF(G51&gt;=1,IF(F51&gt;1,C51*(F51-2),""),"")</f>
        <v/>
      </c>
      <c r="AC51" s="640" t="n"/>
      <c r="AD51" s="911">
        <f>IF(E51="YES",IF(G51=1,"",""),IF(G51=1,C51,IF(G51=2,C51,IF(G51=0,"",""))))</f>
        <v/>
      </c>
      <c r="AE51" s="911">
        <f>IF(E51="YES",IF(G51=1,"",IF(H51=1,C51,"")),IF(H51=1,C51,IF(H51=2,C51,IF(H51=0,"",""))))</f>
        <v/>
      </c>
      <c r="AF51" s="911">
        <f>IF(E51="YES",IF(I51=1,C51,""),IF(I51=1,C51,IF(I51=2,C51,IF(I51=0,"",""))))</f>
        <v/>
      </c>
      <c r="AG51" s="192">
        <f>(C51*G51)+(C51*H51)+(C51*I51)</f>
        <v/>
      </c>
      <c r="AH51" s="923" t="n"/>
    </row>
    <row r="52">
      <c r="B52" s="192" t="n"/>
      <c r="F52" s="192" t="n"/>
      <c r="G52" s="192" t="n"/>
      <c r="H52" s="192" t="n"/>
      <c r="J52" s="57" t="n"/>
      <c r="K52" s="57" t="n"/>
      <c r="L52" s="57" t="n"/>
      <c r="M52" s="57" t="n"/>
      <c r="N52" s="57" t="n"/>
      <c r="O52" s="57" t="n"/>
      <c r="AA52" s="640">
        <f>IF(G52=0, IF(OR(H52&gt;0,F52&gt;0),C52*F52,""),"")</f>
        <v/>
      </c>
      <c r="AB52" s="640">
        <f>IF(G52&gt;=1,IF(F52&gt;1,C52*(F52-2),""),"")</f>
        <v/>
      </c>
      <c r="AC52" s="640" t="n"/>
      <c r="AD52" s="911">
        <f>IF(E52="YES",IF(G52=1,"",""),IF(G52=1,C52,IF(G52=2,C52,IF(G52=0,"",""))))</f>
        <v/>
      </c>
      <c r="AE52" s="911">
        <f>IF(E52="YES",IF(G52=1,"",IF(H52=1,C52,"")),IF(H52=1,C52,IF(H52=2,C52,IF(H52=0,"",""))))</f>
        <v/>
      </c>
      <c r="AF52" s="911">
        <f>IF(E52="YES",IF(I52=1,C52,""),IF(I52=1,C52,IF(I52=2,C52,IF(I52=0,"",""))))</f>
        <v/>
      </c>
      <c r="AG52" s="192">
        <f>(C52*G52)+(C52*H52)+(C52*I52)</f>
        <v/>
      </c>
      <c r="AH52" s="923" t="n"/>
    </row>
    <row r="53">
      <c r="B53" s="192" t="n"/>
      <c r="F53" s="192" t="n"/>
      <c r="G53" s="192" t="n"/>
      <c r="H53" s="192" t="n"/>
      <c r="J53" s="57" t="n"/>
      <c r="K53" s="57" t="n"/>
      <c r="L53" s="57" t="n"/>
      <c r="M53" s="57" t="n"/>
      <c r="N53" s="57" t="n"/>
      <c r="O53" s="57" t="n"/>
      <c r="AA53" s="640">
        <f>IF(G53=0, IF(OR(H53&gt;0,F53&gt;0),C53*F53,""),"")</f>
        <v/>
      </c>
      <c r="AB53" s="640">
        <f>IF(G53&gt;=1,IF(F53&gt;1,C53*(F53-2),""),"")</f>
        <v/>
      </c>
      <c r="AC53" s="640" t="n"/>
      <c r="AD53" s="911">
        <f>IF(E53="YES",IF(G53=1,"",""),IF(G53=1,C53,IF(G53=2,C53,IF(G53=0,"",""))))</f>
        <v/>
      </c>
      <c r="AE53" s="911">
        <f>IF(E53="YES",IF(G53=1,"",IF(H53=1,C53,"")),IF(H53=1,C53,IF(H53=2,C53,IF(H53=0,"",""))))</f>
        <v/>
      </c>
      <c r="AF53" s="911">
        <f>IF(E53="YES",IF(I53=1,C53,""),IF(I53=1,C53,IF(I53=2,C53,IF(I53=0,"",""))))</f>
        <v/>
      </c>
      <c r="AG53" s="192">
        <f>(C53*G53)+(C53*H53)+(C53*I53)</f>
        <v/>
      </c>
      <c r="AH53" s="923" t="n"/>
    </row>
    <row r="54">
      <c r="B54" s="192" t="n"/>
      <c r="F54" s="192" t="n"/>
      <c r="G54" s="192" t="n"/>
      <c r="H54" s="192" t="n"/>
      <c r="J54" s="57" t="n"/>
      <c r="K54" s="57" t="n"/>
      <c r="L54" s="57" t="n"/>
      <c r="M54" s="57" t="n"/>
      <c r="N54" s="57" t="n"/>
      <c r="O54" s="57" t="n"/>
      <c r="AA54" s="640">
        <f>IF(G54=0, IF(OR(H54&gt;0,F54&gt;0),C54*F54,""),"")</f>
        <v/>
      </c>
      <c r="AB54" s="640">
        <f>IF(G54&gt;=1,IF(F54&gt;1,C54*(F54-2),""),"")</f>
        <v/>
      </c>
      <c r="AC54" s="640" t="n"/>
      <c r="AD54" s="911">
        <f>IF(E54="YES",IF(G54=1,"",""),IF(G54=1,C54,IF(G54=2,C54,IF(G54=0,"",""))))</f>
        <v/>
      </c>
      <c r="AE54" s="911">
        <f>IF(E54="YES",IF(G54=1,"",IF(H54=1,C54,"")),IF(H54=1,C54,IF(H54=2,C54,IF(H54=0,"",""))))</f>
        <v/>
      </c>
      <c r="AF54" s="911">
        <f>IF(E54="YES",IF(I54=1,C54,""),IF(I54=1,C54,IF(I54=2,C54,IF(I54=0,"",""))))</f>
        <v/>
      </c>
      <c r="AG54" s="192">
        <f>(C54*G54)+(C54*H54)+(C54*I54)</f>
        <v/>
      </c>
      <c r="AH54" s="923" t="n"/>
    </row>
    <row r="55">
      <c r="B55" s="192" t="n"/>
      <c r="F55" s="192" t="n"/>
      <c r="G55" s="192" t="n"/>
      <c r="H55" s="192" t="n"/>
      <c r="J55" s="57" t="n"/>
      <c r="K55" s="57" t="n"/>
      <c r="L55" s="57" t="n"/>
      <c r="M55" s="57" t="n"/>
      <c r="N55" s="57" t="n"/>
      <c r="O55" s="57" t="n"/>
      <c r="AA55" s="640">
        <f>IF(G55=0, IF(OR(H55&gt;0,F55&gt;0),C55*F55,""),"")</f>
        <v/>
      </c>
      <c r="AB55" s="640">
        <f>IF(G55&gt;=1,IF(F55&gt;1,C55*(F55-2),""),"")</f>
        <v/>
      </c>
      <c r="AC55" s="640" t="n"/>
      <c r="AD55" s="911">
        <f>IF(E55="YES",IF(G55=1,"",""),IF(G55=1,C55,IF(G55=2,C55,IF(G55=0,"",""))))</f>
        <v/>
      </c>
      <c r="AE55" s="911">
        <f>IF(E55="YES",IF(G55=1,"",IF(H55=1,C55,"")),IF(H55=1,C55,IF(H55=2,C55,IF(H55=0,"",""))))</f>
        <v/>
      </c>
      <c r="AF55" s="911">
        <f>IF(E55="YES",IF(I55=1,C55,""),IF(I55=1,C55,IF(I55=2,C55,IF(I55=0,"",""))))</f>
        <v/>
      </c>
      <c r="AG55" s="192">
        <f>(C55*G55)+(C55*H55)+(C55*I55)</f>
        <v/>
      </c>
      <c r="AH55" s="923" t="n"/>
    </row>
    <row r="56">
      <c r="B56" s="192" t="n"/>
      <c r="F56" s="192" t="n"/>
      <c r="G56" s="192" t="n"/>
      <c r="H56" s="192" t="n"/>
      <c r="J56" s="57" t="n"/>
      <c r="K56" s="57" t="n"/>
      <c r="L56" s="57" t="n"/>
      <c r="M56" s="57" t="n"/>
      <c r="N56" s="57" t="n"/>
      <c r="O56" s="57" t="n"/>
      <c r="AA56" s="640">
        <f>IF(G56=0, IF(OR(H56&gt;0,F56&gt;0),C56*F56,""),"")</f>
        <v/>
      </c>
      <c r="AB56" s="640">
        <f>IF(G56&gt;=1,IF(F56&gt;1,C56*(F56-2),""),"")</f>
        <v/>
      </c>
      <c r="AC56" s="640" t="n"/>
      <c r="AD56" s="911">
        <f>IF(E56="YES",IF(G56=1,"",""),IF(G56=1,C56,IF(G56=2,C56,IF(G56=0,"",""))))</f>
        <v/>
      </c>
      <c r="AE56" s="911">
        <f>IF(E56="YES",IF(G56=1,"",IF(H56=1,C56,"")),IF(H56=1,C56,IF(H56=2,C56,IF(H56=0,"",""))))</f>
        <v/>
      </c>
      <c r="AF56" s="911">
        <f>IF(E56="YES",IF(I56=1,C56,""),IF(I56=1,C56,IF(I56=2,C56,IF(I56=0,"",""))))</f>
        <v/>
      </c>
      <c r="AG56" s="192">
        <f>(C56*G56)+(C56*H56)+(C56*I56)</f>
        <v/>
      </c>
    </row>
    <row r="57">
      <c r="B57" s="192" t="n"/>
      <c r="F57" s="192" t="n"/>
      <c r="G57" s="192" t="n"/>
      <c r="H57" s="192" t="n"/>
      <c r="J57" s="57" t="n"/>
      <c r="K57" s="57" t="n"/>
      <c r="L57" s="57" t="n"/>
      <c r="M57" s="57" t="n"/>
      <c r="N57" s="57" t="n"/>
      <c r="O57" s="57" t="n"/>
      <c r="AA57" s="640">
        <f>IF(G57=0, IF(OR(H57&gt;0,F57&gt;0),C57*F57,""),"")</f>
        <v/>
      </c>
      <c r="AB57" s="640">
        <f>IF(G57&gt;=1,IF(F57&gt;1,C57*(F57-2),""),"")</f>
        <v/>
      </c>
      <c r="AC57" s="640" t="n"/>
      <c r="AD57" s="911">
        <f>IF(E57="YES",IF(G57=1,"",""),IF(G57=1,C57,IF(G57=2,C57,IF(G57=0,"",""))))</f>
        <v/>
      </c>
      <c r="AE57" s="911">
        <f>IF(E57="YES",IF(G57=1,"",IF(H57=1,C57,"")),IF(H57=1,C57,IF(H57=2,C57,IF(H57=0,"",""))))</f>
        <v/>
      </c>
      <c r="AF57" s="911">
        <f>IF(E57="YES",IF(I57=1,C57,""),IF(I57=1,C57,IF(I57=2,C57,IF(I57=0,"",""))))</f>
        <v/>
      </c>
      <c r="AG57" s="192">
        <f>(C57*G57)+(C57*H57)+(C57*I57)</f>
        <v/>
      </c>
    </row>
    <row r="58">
      <c r="B58" s="192" t="n"/>
      <c r="F58" s="192" t="n"/>
      <c r="G58" s="192" t="n"/>
      <c r="H58" s="192" t="n"/>
      <c r="J58" s="57" t="n"/>
      <c r="K58" s="57" t="n"/>
      <c r="L58" s="57" t="n"/>
      <c r="M58" s="57" t="n"/>
      <c r="N58" s="57" t="n"/>
      <c r="O58" s="57" t="n"/>
      <c r="AA58" s="640">
        <f>IF(G58=0, IF(OR(H58&gt;0,F58&gt;0),C58*F58,""),"")</f>
        <v/>
      </c>
      <c r="AB58" s="640">
        <f>IF(G58&gt;=1,IF(F58&gt;1,C58*(F58-2),""),"")</f>
        <v/>
      </c>
      <c r="AC58" s="640" t="n"/>
      <c r="AD58" s="911">
        <f>IF(E58="YES",IF(G58=1,"",""),IF(G58=1,C58,IF(G58=2,C58,IF(G58=0,"",""))))</f>
        <v/>
      </c>
      <c r="AE58" s="911">
        <f>IF(E58="YES",IF(G58=1,"",IF(H58=1,C58,"")),IF(H58=1,C58,IF(H58=2,C58,IF(H58=0,"",""))))</f>
        <v/>
      </c>
      <c r="AF58" s="911">
        <f>IF(E58="YES",IF(I58=1,C58,""),IF(I58=1,C58,IF(I58=2,C58,IF(I58=0,"",""))))</f>
        <v/>
      </c>
      <c r="AG58" s="192">
        <f>(C58*G58)+(C58*H58)+(C58*I58)</f>
        <v/>
      </c>
    </row>
    <row r="59">
      <c r="B59" s="192" t="n"/>
      <c r="F59" s="192" t="n"/>
      <c r="G59" s="192" t="n"/>
      <c r="H59" s="192" t="n"/>
      <c r="J59" s="57" t="n"/>
      <c r="K59" s="57" t="n"/>
      <c r="L59" s="57" t="n"/>
      <c r="M59" s="57" t="n"/>
      <c r="N59" s="57" t="n"/>
      <c r="O59" s="57" t="n"/>
      <c r="AA59" s="640">
        <f>IF(G59=0, IF(OR(H59&gt;0,F59&gt;0),C59*F59,""),"")</f>
        <v/>
      </c>
      <c r="AB59" s="640">
        <f>IF(G59&gt;=1,IF(F59&gt;1,C59*(F59-2),""),"")</f>
        <v/>
      </c>
      <c r="AC59" s="640" t="n"/>
      <c r="AD59" s="911">
        <f>IF(E59="YES",IF(G59=1,"",""),IF(G59=1,C59,IF(G59=2,C59,IF(G59=0,"",""))))</f>
        <v/>
      </c>
      <c r="AE59" s="911">
        <f>IF(E59="YES",IF(G59=1,"",IF(H59=1,C59,"")),IF(H59=1,C59,IF(H59=2,C59,IF(H59=0,"",""))))</f>
        <v/>
      </c>
      <c r="AF59" s="911">
        <f>IF(E59="YES",IF(I59=1,C59,""),IF(I59=1,C59,IF(I59=2,C59,IF(I59=0,"",""))))</f>
        <v/>
      </c>
      <c r="AG59" s="192">
        <f>(C59*G59)+(C59*H59)+(C59*I59)</f>
        <v/>
      </c>
    </row>
    <row r="60">
      <c r="B60" s="192" t="n"/>
      <c r="F60" s="192" t="n"/>
      <c r="G60" s="192" t="n"/>
      <c r="H60" s="192" t="n"/>
      <c r="J60" s="57" t="n"/>
      <c r="K60" s="57" t="n"/>
      <c r="L60" s="57" t="n"/>
      <c r="M60" s="57" t="n"/>
      <c r="N60" s="57" t="n"/>
      <c r="O60" s="57" t="n"/>
      <c r="AA60" s="640">
        <f>IF(G60=0, IF(OR(H60&gt;0,F60&gt;0),C60*F60,""),"")</f>
        <v/>
      </c>
      <c r="AB60" s="640">
        <f>IF(G60&gt;=1,IF(F60&gt;1,C60*(F60-2),""),"")</f>
        <v/>
      </c>
      <c r="AC60" s="640" t="n"/>
      <c r="AD60" s="911">
        <f>IF(E60="YES",IF(G60=1,"",""),IF(G60=1,C60,IF(G60=2,C60,IF(G60=0,"",""))))</f>
        <v/>
      </c>
      <c r="AE60" s="911">
        <f>IF(E60="YES",IF(G60=1,"",IF(H60=1,C60,"")),IF(H60=1,C60,IF(H60=2,C60,IF(H60=0,"",""))))</f>
        <v/>
      </c>
      <c r="AF60" s="911">
        <f>IF(E60="YES",IF(I60=1,C60,""),IF(I60=1,C60,IF(I60=2,C60,IF(I60=0,"",""))))</f>
        <v/>
      </c>
      <c r="AG60" s="192">
        <f>(C60*G60)+(C60*H60)+(C60*I60)</f>
        <v/>
      </c>
    </row>
    <row r="61">
      <c r="B61" s="192" t="n"/>
      <c r="F61" s="192" t="n"/>
      <c r="G61" s="192" t="n"/>
      <c r="H61" s="192" t="n"/>
      <c r="J61" s="57" t="n"/>
      <c r="K61" s="57" t="n"/>
      <c r="L61" s="57" t="n"/>
      <c r="M61" s="57" t="n"/>
      <c r="N61" s="57" t="n"/>
      <c r="O61" s="57" t="n"/>
      <c r="AA61" s="640">
        <f>IF(G61=0, IF(OR(H61&gt;0,F61&gt;0),C61*F61,""),"")</f>
        <v/>
      </c>
      <c r="AB61" s="640">
        <f>IF(G61&gt;=1,IF(F61&gt;1,C61*(F61-2),""),"")</f>
        <v/>
      </c>
      <c r="AC61" s="640" t="n"/>
      <c r="AD61" s="911">
        <f>IF(E61="YES",IF(G61=1,"",""),IF(G61=1,C61,IF(G61=2,C61,IF(G61=0,"",""))))</f>
        <v/>
      </c>
      <c r="AE61" s="911">
        <f>IF(E61="YES",IF(G61=1,"",IF(H61=1,C61,"")),IF(H61=1,C61,IF(H61=2,C61,IF(H61=0,"",""))))</f>
        <v/>
      </c>
      <c r="AF61" s="911">
        <f>IF(E61="YES",IF(I61=1,C61,""),IF(I61=1,C61,IF(I61=2,C61,IF(I61=0,"",""))))</f>
        <v/>
      </c>
      <c r="AG61" s="192">
        <f>(C61*G61)+(C61*H61)+(C61*I61)</f>
        <v/>
      </c>
    </row>
    <row r="62">
      <c r="B62" s="192" t="n"/>
      <c r="F62" s="192" t="n"/>
      <c r="G62" s="192" t="n"/>
      <c r="H62" s="192" t="n"/>
      <c r="J62" s="57" t="n"/>
      <c r="K62" s="57" t="n"/>
      <c r="L62" s="57" t="n"/>
      <c r="M62" s="57" t="n"/>
      <c r="N62" s="57" t="n"/>
      <c r="O62" s="57" t="n"/>
      <c r="AA62" s="640">
        <f>IF(G62=0, IF(OR(H62&gt;0,F62&gt;0),C62*F62,""),"")</f>
        <v/>
      </c>
      <c r="AB62" s="640">
        <f>IF(G62&gt;=1,IF(F62&gt;1,C62*(F62-2),""),"")</f>
        <v/>
      </c>
      <c r="AC62" s="640" t="n"/>
      <c r="AD62" s="911">
        <f>IF(E62="YES",IF(G62=1,"",""),IF(G62=1,C62,IF(G62=2,C62,IF(G62=0,"",""))))</f>
        <v/>
      </c>
      <c r="AE62" s="911">
        <f>IF(E62="YES",IF(G62=1,"",IF(H62=1,C62,"")),IF(H62=1,C62,IF(H62=2,C62,IF(H62=0,"",""))))</f>
        <v/>
      </c>
      <c r="AF62" s="911">
        <f>IF(E62="YES",IF(I62=1,C62,""),IF(I62=1,C62,IF(I62=2,C62,IF(I62=0,"",""))))</f>
        <v/>
      </c>
      <c r="AG62" s="192">
        <f>(C62*G62)+(C62*H62)+(C62*I62)</f>
        <v/>
      </c>
    </row>
    <row r="63">
      <c r="B63" s="192" t="n"/>
      <c r="F63" s="192" t="n"/>
      <c r="G63" s="192" t="n"/>
      <c r="H63" s="192" t="n"/>
      <c r="J63" s="57" t="n"/>
      <c r="K63" s="57" t="n"/>
      <c r="L63" s="57" t="n"/>
      <c r="M63" s="57" t="n"/>
      <c r="N63" s="57" t="n"/>
      <c r="O63" s="57" t="n"/>
      <c r="AA63" s="640">
        <f>IF(G63=0, IF(OR(H63&gt;0,F63&gt;0),C63*F63,""),"")</f>
        <v/>
      </c>
      <c r="AB63" s="640">
        <f>IF(G63&gt;=1,IF(F63&gt;1,C63*(F63-2),""),"")</f>
        <v/>
      </c>
      <c r="AC63" s="640" t="n"/>
      <c r="AD63" s="911">
        <f>IF(E63="YES",IF(G63=1,"",""),IF(G63=1,C63,IF(G63=2,C63,IF(G63=0,"",""))))</f>
        <v/>
      </c>
      <c r="AE63" s="911">
        <f>IF(E63="YES",IF(G63=1,"",IF(H63=1,C63,"")),IF(H63=1,C63,IF(H63=2,C63,IF(H63=0,"",""))))</f>
        <v/>
      </c>
      <c r="AF63" s="911">
        <f>IF(E63="YES",IF(I63=1,C63,""),IF(I63=1,C63,IF(I63=2,C63,IF(I63=0,"",""))))</f>
        <v/>
      </c>
      <c r="AG63" s="192">
        <f>(C63*G63)+(C63*H63)+(C63*I63)</f>
        <v/>
      </c>
    </row>
    <row r="64">
      <c r="B64" s="192" t="n"/>
      <c r="F64" s="192" t="n"/>
      <c r="G64" s="192" t="n"/>
      <c r="H64" s="192" t="n"/>
      <c r="J64" s="57" t="n"/>
      <c r="K64" s="57" t="n"/>
      <c r="L64" s="57" t="n"/>
      <c r="M64" s="57" t="n"/>
      <c r="N64" s="57" t="n"/>
      <c r="O64" s="57" t="n"/>
      <c r="AA64" s="640">
        <f>IF(G64=0, IF(OR(H64&gt;0,F64&gt;0),C64*F64,""),"")</f>
        <v/>
      </c>
      <c r="AB64" s="640">
        <f>IF(G64&gt;=1,IF(F64&gt;1,C64*(F64-2),""),"")</f>
        <v/>
      </c>
      <c r="AC64" s="640" t="n"/>
      <c r="AD64" s="911">
        <f>IF(E64="YES",IF(G64=1,"",""),IF(G64=1,C64,IF(G64=2,C64,IF(G64=0,"",""))))</f>
        <v/>
      </c>
      <c r="AE64" s="911">
        <f>IF(E64="YES",IF(G64=1,"",IF(H64=1,C64,"")),IF(H64=1,C64,IF(H64=2,C64,IF(H64=0,"",""))))</f>
        <v/>
      </c>
      <c r="AF64" s="911">
        <f>IF(E64="YES",IF(I64=1,C64,""),IF(I64=1,C64,IF(I64=2,C64,IF(I64=0,"",""))))</f>
        <v/>
      </c>
      <c r="AG64" s="192">
        <f>(C64*G64)+(C64*H64)+(C64*I64)</f>
        <v/>
      </c>
      <c r="AM64" t="n"/>
    </row>
    <row r="65">
      <c r="B65" s="192" t="n"/>
      <c r="F65" s="192" t="n"/>
      <c r="G65" s="192" t="n"/>
      <c r="H65" s="192" t="n"/>
      <c r="J65" s="57" t="n"/>
      <c r="K65" s="57" t="n"/>
      <c r="L65" s="57" t="n"/>
      <c r="M65" s="57" t="n"/>
      <c r="N65" s="57" t="n"/>
      <c r="O65" s="57" t="n"/>
      <c r="AA65" s="640">
        <f>IF(G65=0, IF(OR(H65&gt;0,F65&gt;0),C65*F65,""),"")</f>
        <v/>
      </c>
      <c r="AB65" s="640">
        <f>IF(G65&gt;=1,IF(F65&gt;1,C65*(F65-2),""),"")</f>
        <v/>
      </c>
      <c r="AC65" s="640" t="n"/>
      <c r="AD65" s="911">
        <f>IF(E65="YES",IF(G65=1,"",""),IF(G65=1,C65,IF(G65=2,C65,IF(G65=0,"",""))))</f>
        <v/>
      </c>
      <c r="AE65" s="911">
        <f>IF(E65="YES",IF(G65=1,"",IF(H65=1,C65,"")),IF(H65=1,C65,IF(H65=2,C65,IF(H65=0,"",""))))</f>
        <v/>
      </c>
      <c r="AF65" s="911">
        <f>IF(E65="YES",IF(I65=1,C65,""),IF(I65=1,C65,IF(I65=2,C65,IF(I65=0,"",""))))</f>
        <v/>
      </c>
      <c r="AG65" s="192">
        <f>(C65*G65)+(C65*H65)+(C65*I65)</f>
        <v/>
      </c>
    </row>
    <row r="66">
      <c r="B66" s="192" t="n"/>
      <c r="F66" s="192" t="n"/>
      <c r="G66" s="192" t="n"/>
      <c r="H66" s="192" t="n"/>
      <c r="J66" s="57" t="n"/>
      <c r="K66" s="57" t="n"/>
      <c r="L66" s="57" t="n"/>
      <c r="M66" s="57" t="n"/>
      <c r="N66" s="57" t="n"/>
      <c r="O66" s="57" t="n"/>
      <c r="AA66" s="640">
        <f>IF(G66=0, IF(OR(H66&gt;0,F66&gt;0),C66*F66,""),"")</f>
        <v/>
      </c>
      <c r="AB66" s="640">
        <f>IF(G66&gt;=1,IF(F66&gt;1,C66*(F66-2),""),"")</f>
        <v/>
      </c>
      <c r="AC66" s="640" t="n"/>
      <c r="AD66" s="911">
        <f>IF(E66="YES",IF(G66=1,"",""),IF(G66=1,C66,IF(G66=2,C66,IF(G66=0,"",""))))</f>
        <v/>
      </c>
      <c r="AE66" s="911">
        <f>IF(E66="YES",IF(G66=1,"",IF(H66=1,C66,"")),IF(H66=1,C66,IF(H66=2,C66,IF(H66=0,"",""))))</f>
        <v/>
      </c>
      <c r="AF66" s="911">
        <f>IF(E66="YES",IF(I66=1,C66,""),IF(I66=1,C66,IF(I66=2,C66,IF(I66=0,"",""))))</f>
        <v/>
      </c>
      <c r="AG66" s="192">
        <f>(C66*G66)+(C66*H66)+(C66*I66)</f>
        <v/>
      </c>
    </row>
    <row r="67">
      <c r="B67" s="192" t="n"/>
      <c r="F67" s="192" t="n"/>
      <c r="G67" s="192" t="n"/>
      <c r="H67" s="192" t="n"/>
      <c r="J67" s="57" t="n"/>
      <c r="K67" s="57" t="n"/>
      <c r="L67" s="57" t="n"/>
      <c r="M67" s="57" t="n"/>
      <c r="N67" s="57" t="n"/>
      <c r="O67" s="57" t="n"/>
      <c r="AA67" s="640">
        <f>IF(G67=0, IF(OR(H67&gt;0,F67&gt;0),C67*F67,""),"")</f>
        <v/>
      </c>
      <c r="AB67" s="640">
        <f>IF(G67&gt;=1,IF(F67&gt;1,C67*(F67-2),""),"")</f>
        <v/>
      </c>
      <c r="AC67" s="640" t="n"/>
      <c r="AD67" s="911">
        <f>IF(E67="YES",IF(G67=1,"",""),IF(G67=1,C67,IF(G67=2,C67,IF(G67=0,"",""))))</f>
        <v/>
      </c>
      <c r="AE67" s="911">
        <f>IF(E67="YES",IF(G67=1,"",IF(H67=1,C67,"")),IF(H67=1,C67,IF(H67=2,C67,IF(H67=0,"",""))))</f>
        <v/>
      </c>
      <c r="AF67" s="911">
        <f>IF(E67="YES",IF(I67=1,C67,""),IF(I67=1,C67,IF(I67=2,C67,IF(I67=0,"",""))))</f>
        <v/>
      </c>
      <c r="AG67" s="192">
        <f>(C67*G67)+(C67*H67)+(C67*I67)</f>
        <v/>
      </c>
    </row>
    <row r="68">
      <c r="B68" s="192" t="n"/>
      <c r="F68" s="192" t="n"/>
      <c r="G68" s="192" t="n"/>
      <c r="H68" s="192" t="n"/>
      <c r="J68" s="57" t="n"/>
      <c r="K68" s="57" t="n"/>
      <c r="L68" s="57" t="n"/>
      <c r="M68" s="57" t="n"/>
      <c r="N68" s="57" t="n"/>
      <c r="O68" s="57" t="n"/>
      <c r="AA68" s="640">
        <f>IF(G68=0, IF(OR(H68&gt;0,F68&gt;0),C68*F68,""),"")</f>
        <v/>
      </c>
      <c r="AB68" s="640">
        <f>IF(G68&gt;=1,IF(F68&gt;1,C68*(F68-2),""),"")</f>
        <v/>
      </c>
      <c r="AC68" s="640" t="n"/>
      <c r="AD68" s="911">
        <f>IF(E68="YES",IF(G68=1,"",""),IF(G68=1,C68,IF(G68=2,C68,IF(G68=0,"",""))))</f>
        <v/>
      </c>
      <c r="AE68" s="911">
        <f>IF(E68="YES",IF(G68=1,"",IF(H68=1,C68,"")),IF(H68=1,C68,IF(H68=2,C68,IF(H68=0,"",""))))</f>
        <v/>
      </c>
      <c r="AF68" s="911">
        <f>IF(E68="YES",IF(I68=1,C68,""),IF(I68=1,C68,IF(I68=2,C68,IF(I68=0,"",""))))</f>
        <v/>
      </c>
      <c r="AG68" s="192">
        <f>(C68*G68)+(C68*H68)+(C68*I68)</f>
        <v/>
      </c>
    </row>
    <row r="69">
      <c r="B69" s="192" t="n"/>
      <c r="F69" s="192" t="n"/>
      <c r="G69" s="192" t="n"/>
      <c r="H69" s="192" t="n"/>
      <c r="J69" s="57" t="n"/>
      <c r="K69" s="57" t="n"/>
      <c r="L69" s="57" t="n"/>
      <c r="M69" s="57" t="n"/>
      <c r="N69" s="57" t="n"/>
      <c r="O69" s="57" t="n"/>
      <c r="AA69" s="640">
        <f>IF(G69=0, IF(OR(H69&gt;0,F69&gt;0),C69*F69,""),"")</f>
        <v/>
      </c>
      <c r="AB69" s="640">
        <f>IF(G69&gt;=1,IF(F69&gt;1,C69*(F69-2),""),"")</f>
        <v/>
      </c>
      <c r="AC69" s="640" t="n"/>
      <c r="AD69" s="911">
        <f>IF(E69="YES",IF(G69=1,"",""),IF(G69=1,C69,IF(G69=2,C69,IF(G69=0,"",""))))</f>
        <v/>
      </c>
      <c r="AE69" s="911">
        <f>IF(E69="YES",IF(G69=1,"",IF(H69=1,C69,"")),IF(H69=1,C69,IF(H69=2,C69,IF(H69=0,"",""))))</f>
        <v/>
      </c>
      <c r="AF69" s="911">
        <f>IF(E69="YES",IF(I69=1,C69,""),IF(I69=1,C69,IF(I69=2,C69,IF(I69=0,"",""))))</f>
        <v/>
      </c>
      <c r="AG69" s="192">
        <f>(C69*G69)+(C69*H69)+(C69*I69)</f>
        <v/>
      </c>
    </row>
    <row r="70">
      <c r="B70" s="192" t="n"/>
      <c r="F70" s="192" t="n"/>
      <c r="G70" s="192" t="n"/>
      <c r="H70" s="192" t="n"/>
      <c r="J70" s="57" t="n"/>
      <c r="K70" s="57" t="n"/>
      <c r="L70" s="57" t="n"/>
      <c r="M70" s="57" t="n"/>
      <c r="N70" s="57" t="n"/>
      <c r="O70" s="57" t="n"/>
      <c r="AA70" s="640">
        <f>IF(G70=0, IF(OR(H70&gt;0,F70&gt;0),C70*F70,""),"")</f>
        <v/>
      </c>
      <c r="AB70" s="640">
        <f>IF(G70&gt;=1,IF(F70&gt;1,C70*(F70-2),""),"")</f>
        <v/>
      </c>
      <c r="AC70" s="640" t="n"/>
      <c r="AD70" s="911">
        <f>IF(E70="YES",IF(G70=1,"",""),IF(G70=1,C70,IF(G70=2,C70,IF(G70=0,"",""))))</f>
        <v/>
      </c>
      <c r="AE70" s="911">
        <f>IF(E70="YES",IF(G70=1,"",IF(H70=1,C70,"")),IF(H70=1,C70,IF(H70=2,C70,IF(H70=0,"",""))))</f>
        <v/>
      </c>
      <c r="AF70" s="911">
        <f>IF(E70="YES",IF(I70=1,C70,""),IF(I70=1,C70,IF(I70=2,C70,IF(I70=0,"",""))))</f>
        <v/>
      </c>
      <c r="AG70" s="192">
        <f>(C70*G70)+(C70*H70)+(C70*I70)</f>
        <v/>
      </c>
    </row>
    <row r="71">
      <c r="B71" s="192" t="n"/>
      <c r="F71" s="192" t="n"/>
      <c r="G71" s="192" t="n"/>
      <c r="H71" s="192" t="n"/>
      <c r="J71" s="57" t="n"/>
      <c r="K71" s="57" t="n"/>
      <c r="L71" s="57" t="n"/>
      <c r="M71" s="57" t="n"/>
      <c r="N71" s="57" t="n"/>
      <c r="O71" s="57" t="n"/>
      <c r="AA71" s="640">
        <f>IF(G71=0, IF(OR(H71&gt;0,F71&gt;0),C71*F71,""),"")</f>
        <v/>
      </c>
      <c r="AB71" s="640">
        <f>IF(G71&gt;=1,IF(F71&gt;1,C71*(F71-2),""),"")</f>
        <v/>
      </c>
      <c r="AC71" s="640" t="n"/>
      <c r="AD71" s="911">
        <f>IF(E71="YES",IF(G71=1,"",""),IF(G71=1,C71,IF(G71=2,C71,IF(G71=0,"",""))))</f>
        <v/>
      </c>
      <c r="AE71" s="911">
        <f>IF(E71="YES",IF(G71=1,"",IF(H71=1,C71,"")),IF(H71=1,C71,IF(H71=2,C71,IF(H71=0,"",""))))</f>
        <v/>
      </c>
      <c r="AF71" s="911">
        <f>IF(E71="YES",IF(I71=1,C71,""),IF(I71=1,C71,IF(I71=2,C71,IF(I71=0,"",""))))</f>
        <v/>
      </c>
      <c r="AG71" s="192">
        <f>(C71*G71)+(C71*H71)+(C71*I71)</f>
        <v/>
      </c>
    </row>
    <row r="72">
      <c r="B72" s="192" t="n"/>
      <c r="F72" s="192" t="n"/>
      <c r="G72" s="192" t="n"/>
      <c r="H72" s="192" t="n"/>
      <c r="J72" s="57" t="n"/>
      <c r="K72" s="57" t="n"/>
      <c r="L72" s="57" t="n"/>
      <c r="M72" s="57" t="n"/>
      <c r="N72" s="57" t="n"/>
      <c r="O72" s="57" t="n"/>
      <c r="AA72" s="640">
        <f>IF(G72=0, IF(OR(H72&gt;0,F72&gt;0),C72*F72,""),"")</f>
        <v/>
      </c>
      <c r="AB72" s="640">
        <f>IF(G72&gt;=1,IF(F72&gt;1,C72*(F72-2),""),"")</f>
        <v/>
      </c>
      <c r="AC72" s="640" t="n"/>
      <c r="AD72" s="911">
        <f>IF(E72="YES",IF(G72=1,"",""),IF(G72=1,C72,IF(G72=2,C72,IF(G72=0,"",""))))</f>
        <v/>
      </c>
      <c r="AE72" s="911">
        <f>IF(E72="YES",IF(G72=1,"",IF(H72=1,C72,"")),IF(H72=1,C72,IF(H72=2,C72,IF(H72=0,"",""))))</f>
        <v/>
      </c>
      <c r="AF72" s="911">
        <f>IF(E72="YES",IF(I72=1,C72,""),IF(I72=1,C72,IF(I72=2,C72,IF(I72=0,"",""))))</f>
        <v/>
      </c>
      <c r="AG72" s="192">
        <f>(C72*G72)+(C72*H72)+(C72*I72)</f>
        <v/>
      </c>
    </row>
    <row r="73">
      <c r="B73" s="192" t="n"/>
      <c r="F73" s="192" t="n"/>
      <c r="G73" s="192" t="n"/>
      <c r="H73" s="192" t="n"/>
      <c r="J73" s="57" t="n"/>
      <c r="K73" s="57" t="n"/>
      <c r="L73" s="57" t="n"/>
      <c r="M73" s="57" t="n"/>
      <c r="N73" s="57" t="n"/>
      <c r="O73" s="57" t="n"/>
      <c r="AA73" s="640">
        <f>IF(G73=0, IF(OR(H73&gt;0,F73&gt;0),C73*F73,""),"")</f>
        <v/>
      </c>
      <c r="AB73" s="640">
        <f>IF(G73&gt;=1,IF(F73&gt;1,C73*(F73-2),""),"")</f>
        <v/>
      </c>
      <c r="AC73" s="640" t="n"/>
      <c r="AD73" s="911">
        <f>IF(E73="YES",IF(G73=1,"",""),IF(G73=1,C73,IF(G73=2,C73,IF(G73=0,"",""))))</f>
        <v/>
      </c>
      <c r="AE73" s="911">
        <f>IF(E73="YES",IF(G73=1,"",IF(H73=1,C73,"")),IF(H73=1,C73,IF(H73=2,C73,IF(H73=0,"",""))))</f>
        <v/>
      </c>
      <c r="AF73" s="911">
        <f>IF(E73="YES",IF(I73=1,C73,""),IF(I73=1,C73,IF(I73=2,C73,IF(I73=0,"",""))))</f>
        <v/>
      </c>
      <c r="AG73" s="192">
        <f>(C73*G73)+(C73*H73)+(C73*I73)</f>
        <v/>
      </c>
    </row>
    <row r="74">
      <c r="B74" s="192" t="n"/>
      <c r="F74" s="192" t="n"/>
      <c r="G74" s="192" t="n"/>
      <c r="H74" s="192" t="n"/>
      <c r="J74" s="57" t="n"/>
      <c r="K74" s="57" t="n"/>
      <c r="L74" s="57" t="n"/>
      <c r="M74" s="57" t="n"/>
      <c r="N74" s="57" t="n"/>
      <c r="O74" s="57" t="n"/>
      <c r="AA74" s="640">
        <f>IF(G74=0, IF(OR(H74&gt;0,F74&gt;0),C74*F74,""),"")</f>
        <v/>
      </c>
      <c r="AB74" s="640">
        <f>IF(G74&gt;=1,IF(F74&gt;1,C74*(F74-2),""),"")</f>
        <v/>
      </c>
      <c r="AC74" s="640" t="n"/>
      <c r="AD74" s="911">
        <f>IF(E74="YES",IF(G74=1,"",""),IF(G74=1,C74,IF(G74=2,C74,IF(G74=0,"",""))))</f>
        <v/>
      </c>
      <c r="AE74" s="911">
        <f>IF(E74="YES",IF(G74=1,"",IF(H74=1,C74,"")),IF(H74=1,C74,IF(H74=2,C74,IF(H74=0,"",""))))</f>
        <v/>
      </c>
      <c r="AF74" s="911">
        <f>IF(E74="YES",IF(I74=1,C74,""),IF(I74=1,C74,IF(I74=2,C74,IF(I74=0,"",""))))</f>
        <v/>
      </c>
      <c r="AG74" s="192">
        <f>(C74*G74)+(C74*H74)+(C74*I74)</f>
        <v/>
      </c>
    </row>
    <row r="75">
      <c r="B75" s="192" t="n"/>
      <c r="F75" s="192" t="n"/>
      <c r="G75" s="192" t="n"/>
      <c r="H75" s="192" t="n"/>
      <c r="J75" s="57" t="n"/>
      <c r="K75" s="57" t="n"/>
      <c r="L75" s="57" t="n"/>
      <c r="M75" s="57" t="n"/>
      <c r="N75" s="57" t="n"/>
      <c r="O75" s="57" t="n"/>
      <c r="AA75" s="640">
        <f>IF(G75=0, IF(OR(H75&gt;0,F75&gt;0),C75*F75,""),"")</f>
        <v/>
      </c>
      <c r="AB75" s="640">
        <f>IF(G75&gt;=1,IF(F75&gt;1,C75*(F75-2),""),"")</f>
        <v/>
      </c>
      <c r="AC75" s="640" t="n"/>
      <c r="AD75" s="911">
        <f>IF(E75="YES",IF(G75=1,"",""),IF(G75=1,C75,IF(G75=2,C75,IF(G75=0,"",""))))</f>
        <v/>
      </c>
      <c r="AE75" s="911">
        <f>IF(E75="YES",IF(G75=1,"",IF(H75=1,C75,"")),IF(H75=1,C75,IF(H75=2,C75,IF(H75=0,"",""))))</f>
        <v/>
      </c>
      <c r="AF75" s="911">
        <f>IF(E75="YES",IF(I75=1,C75,""),IF(I75=1,C75,IF(I75=2,C75,IF(I75=0,"",""))))</f>
        <v/>
      </c>
      <c r="AG75" s="192">
        <f>(C75*G75)+(C75*H75)+(C75*I75)</f>
        <v/>
      </c>
    </row>
    <row r="76">
      <c r="B76" s="192" t="n"/>
      <c r="F76" s="192" t="n"/>
      <c r="G76" s="192" t="n"/>
      <c r="H76" s="192" t="n"/>
      <c r="J76" s="57" t="n"/>
      <c r="K76" s="57" t="n"/>
      <c r="L76" s="57" t="n"/>
      <c r="M76" s="57" t="n"/>
      <c r="N76" s="57" t="n"/>
      <c r="O76" s="57" t="n"/>
      <c r="AA76" s="640">
        <f>IF(G76=0, IF(OR(H76&gt;0,F76&gt;0),C76*F76,""),"")</f>
        <v/>
      </c>
      <c r="AB76" s="640">
        <f>IF(G76&gt;=1,IF(F76&gt;1,C76*(F76-2),""),"")</f>
        <v/>
      </c>
      <c r="AC76" s="640" t="n"/>
      <c r="AD76" s="911">
        <f>IF(E76="YES",IF(G76=1,"",""),IF(G76=1,C76,IF(G76=2,C76,IF(G76=0,"",""))))</f>
        <v/>
      </c>
      <c r="AE76" s="911">
        <f>IF(E76="YES",IF(G76=1,"",IF(H76=1,C76,"")),IF(H76=1,C76,IF(H76=2,C76,IF(H76=0,"",""))))</f>
        <v/>
      </c>
      <c r="AF76" s="911">
        <f>IF(E76="YES",IF(I76=1,C76,""),IF(I76=1,C76,IF(I76=2,C76,IF(I76=0,"",""))))</f>
        <v/>
      </c>
      <c r="AG76" s="192">
        <f>(C76*G76)+(C76*H76)+(C76*I76)</f>
        <v/>
      </c>
    </row>
    <row r="77">
      <c r="B77" s="192" t="n"/>
      <c r="F77" s="192" t="n"/>
      <c r="G77" s="192" t="n"/>
      <c r="H77" s="192" t="n"/>
      <c r="J77" s="57" t="n"/>
      <c r="K77" s="57" t="n"/>
      <c r="L77" s="57" t="n"/>
      <c r="M77" s="57" t="n"/>
      <c r="N77" s="57" t="n"/>
      <c r="O77" s="57" t="n"/>
      <c r="AA77" s="640">
        <f>IF(G77=0, IF(OR(H77&gt;0,F77&gt;0),C77*F77,""),"")</f>
        <v/>
      </c>
      <c r="AB77" s="640">
        <f>IF(G77&gt;=1,IF(F77&gt;1,C77*(F77-2),""),"")</f>
        <v/>
      </c>
      <c r="AC77" s="640" t="n"/>
      <c r="AD77" s="911">
        <f>IF(E77="YES",IF(G77=1,"",""),IF(G77=1,C77,IF(G77=2,C77,IF(G77=0,"",""))))</f>
        <v/>
      </c>
      <c r="AE77" s="911">
        <f>IF(E77="YES",IF(G77=1,"",IF(H77=1,C77,"")),IF(H77=1,C77,IF(H77=2,C77,IF(H77=0,"",""))))</f>
        <v/>
      </c>
      <c r="AF77" s="911">
        <f>IF(E77="YES",IF(I77=1,C77,""),IF(I77=1,C77,IF(I77=2,C77,IF(I77=0,"",""))))</f>
        <v/>
      </c>
      <c r="AG77" s="192">
        <f>(C77*G77)+(C77*H77)+(C77*I77)</f>
        <v/>
      </c>
    </row>
    <row r="78">
      <c r="B78" s="192" t="n"/>
      <c r="F78" s="192" t="n"/>
      <c r="G78" s="192" t="n"/>
      <c r="H78" s="192" t="n"/>
      <c r="J78" s="57" t="n"/>
      <c r="K78" s="57" t="n"/>
      <c r="L78" s="57" t="n"/>
      <c r="M78" s="57" t="n"/>
      <c r="N78" s="57" t="n"/>
      <c r="O78" s="57" t="n"/>
      <c r="AA78" s="640">
        <f>IF(G78=0, IF(OR(H78&gt;0,F78&gt;0),C78*F78,""),"")</f>
        <v/>
      </c>
      <c r="AB78" s="640">
        <f>IF(G78&gt;=1,IF(F78&gt;1,C78*(F78-2),""),"")</f>
        <v/>
      </c>
      <c r="AC78" s="640" t="n"/>
      <c r="AD78" s="911">
        <f>IF(E78="YES",IF(G78=1,"",""),IF(G78=1,C78,IF(G78=2,C78,IF(G78=0,"",""))))</f>
        <v/>
      </c>
      <c r="AE78" s="911">
        <f>IF(E78="YES",IF(G78=1,"",IF(H78=1,C78,"")),IF(H78=1,C78,IF(H78=2,C78,IF(H78=0,"",""))))</f>
        <v/>
      </c>
      <c r="AF78" s="911">
        <f>IF(E78="YES",IF(I78=1,C78,""),IF(I78=1,C78,IF(I78=2,C78,IF(I78=0,"",""))))</f>
        <v/>
      </c>
      <c r="AG78" s="192">
        <f>(C78*G78)+(C78*H78)+(C78*I78)</f>
        <v/>
      </c>
    </row>
    <row r="79">
      <c r="B79" s="192" t="n"/>
      <c r="F79" s="192" t="n"/>
      <c r="G79" s="192" t="n"/>
      <c r="H79" s="192" t="n"/>
      <c r="J79" s="57" t="n"/>
      <c r="K79" s="57" t="n"/>
      <c r="L79" s="57" t="n"/>
      <c r="M79" s="57" t="n"/>
      <c r="N79" s="57" t="n"/>
      <c r="O79" s="57" t="n"/>
      <c r="AA79" s="640">
        <f>IF(G79=0, IF(OR(H79&gt;0,F79&gt;0),C79*F79,""),"")</f>
        <v/>
      </c>
      <c r="AB79" s="640">
        <f>IF(G79&gt;=1,IF(F79&gt;1,C79*(F79-2),""),"")</f>
        <v/>
      </c>
      <c r="AC79" s="640" t="n"/>
      <c r="AD79" s="911">
        <f>IF(E79="YES",IF(G79=1,"",""),IF(G79=1,C79,IF(G79=2,C79,IF(G79=0,"",""))))</f>
        <v/>
      </c>
      <c r="AE79" s="911">
        <f>IF(E79="YES",IF(G79=1,"",IF(H79=1,C79,"")),IF(H79=1,C79,IF(H79=2,C79,IF(H79=0,"",""))))</f>
        <v/>
      </c>
      <c r="AF79" s="911">
        <f>IF(E79="YES",IF(I79=1,C79,""),IF(I79=1,C79,IF(I79=2,C79,IF(I79=0,"",""))))</f>
        <v/>
      </c>
      <c r="AG79" s="192">
        <f>(C79*G79)+(C79*H79)+(C79*I79)</f>
        <v/>
      </c>
    </row>
    <row r="80">
      <c r="B80" s="192" t="n"/>
      <c r="F80" s="192" t="n"/>
      <c r="G80" s="192" t="n"/>
      <c r="H80" s="192" t="n"/>
      <c r="J80" s="57" t="n"/>
      <c r="K80" s="57" t="n"/>
      <c r="L80" s="57" t="n"/>
      <c r="M80" s="57" t="n"/>
      <c r="N80" s="57" t="n"/>
      <c r="O80" s="57" t="n"/>
      <c r="AA80" s="640">
        <f>IF(G80=0, IF(OR(H80&gt;0,F80&gt;0),C80*F80,""),"")</f>
        <v/>
      </c>
      <c r="AB80" s="640">
        <f>IF(G80&gt;=1,IF(F80&gt;1,C80*(F80-2),""),"")</f>
        <v/>
      </c>
      <c r="AC80" s="640" t="n"/>
      <c r="AD80" s="911">
        <f>IF(E80="YES",IF(G80=1,"",""),IF(G80=1,C80,IF(G80=2,C80,IF(G80=0,"",""))))</f>
        <v/>
      </c>
      <c r="AE80" s="911">
        <f>IF(E80="YES",IF(G80=1,"",IF(H80=1,C80,"")),IF(H80=1,C80,IF(H80=2,C80,IF(H80=0,"",""))))</f>
        <v/>
      </c>
      <c r="AF80" s="911">
        <f>IF(E80="YES",IF(I80=1,C80,""),IF(I80=1,C80,IF(I80=2,C80,IF(I80=0,"",""))))</f>
        <v/>
      </c>
      <c r="AG80" s="192">
        <f>(C80*G80)+(C80*H80)+(C80*I80)</f>
        <v/>
      </c>
    </row>
    <row r="81">
      <c r="B81" s="192" t="n"/>
      <c r="F81" s="192" t="n"/>
      <c r="G81" s="192" t="n"/>
      <c r="H81" s="192" t="n"/>
      <c r="J81" s="57" t="n"/>
      <c r="K81" s="57" t="n"/>
      <c r="L81" s="57" t="n"/>
      <c r="M81" s="57" t="n"/>
      <c r="N81" s="57" t="n"/>
      <c r="O81" s="57" t="n"/>
      <c r="AA81" s="640">
        <f>IF(G81=0, IF(OR(H81&gt;0,F81&gt;0),C81*F81,""),"")</f>
        <v/>
      </c>
      <c r="AB81" s="640">
        <f>IF(G81&gt;=1,IF(F81&gt;1,C81*(F81-2),""),"")</f>
        <v/>
      </c>
      <c r="AC81" s="640" t="n"/>
      <c r="AD81" s="911">
        <f>IF(E81="YES",IF(G81=1,"",""),IF(G81=1,C81,IF(G81=2,C81,IF(G81=0,"",""))))</f>
        <v/>
      </c>
      <c r="AE81" s="911">
        <f>IF(E81="YES",IF(G81=1,"",IF(H81=1,C81,"")),IF(H81=1,C81,IF(H81=2,C81,IF(H81=0,"",""))))</f>
        <v/>
      </c>
      <c r="AF81" s="911">
        <f>IF(E81="YES",IF(I81=1,C81,""),IF(I81=1,C81,IF(I81=2,C81,IF(I81=0,"",""))))</f>
        <v/>
      </c>
      <c r="AG81" s="192">
        <f>(C81*G81)+(C81*H81)+(C81*I81)</f>
        <v/>
      </c>
    </row>
    <row r="82">
      <c r="B82" s="192" t="n"/>
      <c r="F82" s="192" t="n"/>
      <c r="G82" s="192" t="n"/>
      <c r="H82" s="192" t="n"/>
      <c r="J82" s="57" t="n"/>
      <c r="K82" s="57" t="n"/>
      <c r="L82" s="57" t="n"/>
      <c r="M82" s="57" t="n"/>
      <c r="N82" s="57" t="n"/>
      <c r="O82" s="57" t="n"/>
      <c r="AA82" s="640">
        <f>IF(G82=0, IF(OR(H82&gt;0,F82&gt;0),C82*F82,""),"")</f>
        <v/>
      </c>
      <c r="AB82" s="640">
        <f>IF(G82&gt;=1,IF(F82&gt;1,C82*(F82-2),""),"")</f>
        <v/>
      </c>
      <c r="AC82" s="640" t="n"/>
      <c r="AD82" s="911">
        <f>IF(E82="YES",IF(G82=1,"",""),IF(G82=1,C82,IF(G82=2,C82,IF(G82=0,"",""))))</f>
        <v/>
      </c>
      <c r="AE82" s="911">
        <f>IF(E82="YES",IF(G82=1,"",IF(H82=1,C82,"")),IF(H82=1,C82,IF(H82=2,C82,IF(H82=0,"",""))))</f>
        <v/>
      </c>
      <c r="AF82" s="911">
        <f>IF(E82="YES",IF(I82=1,C82,""),IF(I82=1,C82,IF(I82=2,C82,IF(I82=0,"",""))))</f>
        <v/>
      </c>
      <c r="AG82" s="192">
        <f>(C82*G82)+(C82*H82)+(C82*I82)</f>
        <v/>
      </c>
    </row>
    <row r="83">
      <c r="B83" s="192" t="n"/>
      <c r="F83" s="192" t="n"/>
      <c r="G83" s="192" t="n"/>
      <c r="H83" s="192" t="n"/>
      <c r="J83" s="57" t="n"/>
      <c r="K83" s="57" t="n"/>
      <c r="L83" s="57" t="n"/>
      <c r="M83" s="57" t="n"/>
      <c r="N83" s="57" t="n"/>
      <c r="O83" s="57" t="n"/>
      <c r="AA83" s="640">
        <f>IF(G83=0, IF(OR(H83&gt;0,F83&gt;0),C83*F83,""),"")</f>
        <v/>
      </c>
      <c r="AB83" s="640">
        <f>IF(G83&gt;=1,IF(F83&gt;1,C83*(F83-2),""),"")</f>
        <v/>
      </c>
      <c r="AC83" s="640" t="n"/>
      <c r="AD83" s="911">
        <f>IF(E83="YES",IF(G83=1,"",""),IF(G83=1,C83,IF(G83=2,C83,IF(G83=0,"",""))))</f>
        <v/>
      </c>
      <c r="AE83" s="911">
        <f>IF(E83="YES",IF(G83=1,"",IF(H83=1,C83,"")),IF(H83=1,C83,IF(H83=2,C83,IF(H83=0,"",""))))</f>
        <v/>
      </c>
      <c r="AF83" s="911">
        <f>IF(E83="YES",IF(I83=1,C83,""),IF(I83=1,C83,IF(I83=2,C83,IF(I83=0,"",""))))</f>
        <v/>
      </c>
      <c r="AG83" s="192">
        <f>(C83*G83)+(C83*H83)+(C83*I83)</f>
        <v/>
      </c>
    </row>
    <row r="84">
      <c r="B84" s="192" t="n"/>
      <c r="F84" s="192" t="n"/>
      <c r="G84" s="192" t="n"/>
      <c r="H84" s="192" t="n"/>
      <c r="J84" s="57" t="n"/>
      <c r="K84" s="57" t="n"/>
      <c r="L84" s="57" t="n"/>
      <c r="M84" s="57" t="n"/>
      <c r="N84" s="57" t="n"/>
      <c r="O84" s="57" t="n"/>
      <c r="AA84" s="640">
        <f>IF(G84=0, IF(OR(H84&gt;0,F84&gt;0),C84*F84,""),"")</f>
        <v/>
      </c>
      <c r="AB84" s="640">
        <f>IF(G84&gt;=1,IF(F84&gt;1,C84*(F84-2),""),"")</f>
        <v/>
      </c>
      <c r="AC84" s="640" t="n"/>
      <c r="AD84" s="911">
        <f>IF(E84="YES",IF(G84=1,"",""),IF(G84=1,C84,IF(G84=2,C84,IF(G84=0,"",""))))</f>
        <v/>
      </c>
      <c r="AE84" s="911">
        <f>IF(E84="YES",IF(G84=1,"",IF(H84=1,C84,"")),IF(H84=1,C84,IF(H84=2,C84,IF(H84=0,"",""))))</f>
        <v/>
      </c>
      <c r="AF84" s="911">
        <f>IF(E84="YES",IF(I84=1,C84,""),IF(I84=1,C84,IF(I84=2,C84,IF(I84=0,"",""))))</f>
        <v/>
      </c>
      <c r="AG84" s="192">
        <f>(C84*G84)+(C84*H84)+(C84*I84)</f>
        <v/>
      </c>
    </row>
    <row r="85">
      <c r="B85" s="192" t="n"/>
      <c r="F85" s="192" t="n"/>
      <c r="G85" s="192" t="n"/>
      <c r="H85" s="192" t="n"/>
      <c r="J85" s="57" t="n"/>
      <c r="K85" s="57" t="n"/>
      <c r="L85" s="57" t="n"/>
      <c r="M85" s="57" t="n"/>
      <c r="N85" s="57" t="n"/>
      <c r="O85" s="57" t="n"/>
      <c r="AA85" s="640">
        <f>IF(G85=0, IF(OR(H85&gt;0,F85&gt;0),C85*F85,""),"")</f>
        <v/>
      </c>
      <c r="AB85" s="640">
        <f>IF(G85&gt;=1,IF(F85&gt;1,C85*(F85-2),""),"")</f>
        <v/>
      </c>
      <c r="AC85" s="640" t="n"/>
      <c r="AD85" s="911">
        <f>IF(E85="YES",IF(G85=1,"",""),IF(G85=1,C85,IF(G85=2,C85,IF(G85=0,"",""))))</f>
        <v/>
      </c>
      <c r="AE85" s="911">
        <f>IF(E85="YES",IF(G85=1,"",IF(H85=1,C85,"")),IF(H85=1,C85,IF(H85=2,C85,IF(H85=0,"",""))))</f>
        <v/>
      </c>
      <c r="AF85" s="911">
        <f>IF(E85="YES",IF(I85=1,C85,""),IF(I85=1,C85,IF(I85=2,C85,IF(I85=0,"",""))))</f>
        <v/>
      </c>
      <c r="AG85" s="192">
        <f>(C85*G85)+(C85*H85)+(C85*I85)</f>
        <v/>
      </c>
    </row>
    <row r="86">
      <c r="B86" s="192" t="n"/>
      <c r="F86" s="192" t="n"/>
      <c r="G86" s="192" t="n"/>
      <c r="H86" s="192" t="n"/>
      <c r="J86" s="57" t="n"/>
      <c r="K86" s="57" t="n"/>
      <c r="L86" s="57" t="n"/>
      <c r="M86" s="57" t="n"/>
      <c r="N86" s="57" t="n"/>
      <c r="O86" s="57" t="n"/>
      <c r="AA86" s="640">
        <f>IF(G86=0, IF(OR(H86&gt;0,F86&gt;0),C86*F86,""),"")</f>
        <v/>
      </c>
      <c r="AB86" s="640">
        <f>IF(G86&gt;=1,IF(F86&gt;1,C86*(F86-2),""),"")</f>
        <v/>
      </c>
      <c r="AC86" s="640" t="n"/>
      <c r="AD86" s="911">
        <f>IF(E86="YES",IF(G86=1,"",""),IF(G86=1,C86,IF(G86=2,C86,IF(G86=0,"",""))))</f>
        <v/>
      </c>
      <c r="AE86" s="911">
        <f>IF(E86="YES",IF(G86=1,"",IF(H86=1,C86,"")),IF(H86=1,C86,IF(H86=2,C86,IF(H86=0,"",""))))</f>
        <v/>
      </c>
      <c r="AF86" s="911">
        <f>IF(E86="YES",IF(I86=1,C86,""),IF(I86=1,C86,IF(I86=2,C86,IF(I86=0,"",""))))</f>
        <v/>
      </c>
      <c r="AG86" s="192">
        <f>(C86*G86)+(C86*H86)+(C86*I86)</f>
        <v/>
      </c>
    </row>
    <row r="87">
      <c r="B87" s="192" t="n"/>
      <c r="F87" s="192" t="n"/>
      <c r="G87" s="192" t="n"/>
      <c r="H87" s="192" t="n"/>
      <c r="J87" s="57" t="n"/>
      <c r="K87" s="57" t="n"/>
      <c r="L87" s="57" t="n"/>
      <c r="M87" s="57" t="n"/>
      <c r="N87" s="57" t="n"/>
      <c r="O87" s="57" t="n"/>
      <c r="AA87" s="640">
        <f>IF(G87=0, IF(OR(H87&gt;0,F87&gt;0),C87*F87,""),"")</f>
        <v/>
      </c>
      <c r="AB87" s="640">
        <f>IF(G87&gt;=1,IF(F87&gt;1,C87*(F87-2),""),"")</f>
        <v/>
      </c>
      <c r="AC87" s="640" t="n"/>
      <c r="AD87" s="911">
        <f>IF(E87="YES",IF(G87=1,"",""),IF(G87=1,C87,IF(G87=2,C87,IF(G87=0,"",""))))</f>
        <v/>
      </c>
      <c r="AE87" s="911">
        <f>IF(E87="YES",IF(G87=1,"",IF(H87=1,C87,"")),IF(H87=1,C87,IF(H87=2,C87,IF(H87=0,"",""))))</f>
        <v/>
      </c>
      <c r="AF87" s="911">
        <f>IF(E87="YES",IF(I87=1,C87,""),IF(I87=1,C87,IF(I87=2,C87,IF(I87=0,"",""))))</f>
        <v/>
      </c>
      <c r="AG87" s="192">
        <f>(C87*G87)+(C87*H87)+(C87*I87)</f>
        <v/>
      </c>
    </row>
    <row r="88">
      <c r="B88" s="192" t="n"/>
      <c r="F88" s="192" t="n"/>
      <c r="G88" s="192" t="n"/>
      <c r="H88" s="192" t="n"/>
      <c r="J88" s="57" t="n"/>
      <c r="K88" s="57" t="n"/>
      <c r="L88" s="57" t="n"/>
      <c r="M88" s="57" t="n"/>
      <c r="N88" s="57" t="n"/>
      <c r="O88" s="57" t="n"/>
      <c r="AA88" s="640">
        <f>IF(G88=0, IF(OR(H88&gt;0,F88&gt;0),C88*F88,""),"")</f>
        <v/>
      </c>
      <c r="AB88" s="640">
        <f>IF(G88&gt;=1,IF(F88&gt;1,C88*(F88-2),""),"")</f>
        <v/>
      </c>
      <c r="AC88" s="640" t="n"/>
      <c r="AD88" s="911">
        <f>IF(E88="YES",IF(G88=1,"",""),IF(G88=1,C88,IF(G88=2,C88,IF(G88=0,"",""))))</f>
        <v/>
      </c>
      <c r="AE88" s="911">
        <f>IF(E88="YES",IF(G88=1,"",IF(H88=1,C88,"")),IF(H88=1,C88,IF(H88=2,C88,IF(H88=0,"",""))))</f>
        <v/>
      </c>
      <c r="AF88" s="911">
        <f>IF(E88="YES",IF(I88=1,C88,""),IF(I88=1,C88,IF(I88=2,C88,IF(I88=0,"",""))))</f>
        <v/>
      </c>
      <c r="AG88" s="192">
        <f>(C88*G88)+(C88*H88)+(C88*I88)</f>
        <v/>
      </c>
    </row>
    <row r="89">
      <c r="B89" s="192" t="n"/>
      <c r="F89" s="192" t="n"/>
      <c r="G89" s="192" t="n"/>
      <c r="H89" s="192" t="n"/>
      <c r="J89" s="57" t="n"/>
      <c r="K89" s="57" t="n"/>
      <c r="L89" s="57" t="n"/>
      <c r="M89" s="57" t="n"/>
      <c r="N89" s="57" t="n"/>
      <c r="O89" s="57" t="n"/>
      <c r="AA89" s="640">
        <f>IF(G89=0, IF(OR(H89&gt;0,F89&gt;0),C89*F89,""),"")</f>
        <v/>
      </c>
      <c r="AB89" s="640">
        <f>IF(G89&gt;=1,IF(F89&gt;1,C89*(F89-2),""),"")</f>
        <v/>
      </c>
      <c r="AC89" s="640" t="n"/>
      <c r="AD89" s="911">
        <f>IF(E89="YES",IF(G89=1,"",""),IF(G89=1,C89,IF(G89=2,C89,IF(G89=0,"",""))))</f>
        <v/>
      </c>
      <c r="AE89" s="911">
        <f>IF(E89="YES",IF(G89=1,"",IF(H89=1,C89,"")),IF(H89=1,C89,IF(H89=2,C89,IF(H89=0,"",""))))</f>
        <v/>
      </c>
      <c r="AF89" s="911">
        <f>IF(E89="YES",IF(I89=1,C89,""),IF(I89=1,C89,IF(I89=2,C89,IF(I89=0,"",""))))</f>
        <v/>
      </c>
      <c r="AG89" s="192">
        <f>(C89*G89)+(C89*H89)+(C89*I89)</f>
        <v/>
      </c>
    </row>
    <row r="90">
      <c r="B90" s="192" t="n"/>
      <c r="F90" s="192" t="n"/>
      <c r="G90" s="192" t="n"/>
      <c r="H90" s="192" t="n"/>
      <c r="J90" s="57" t="n"/>
      <c r="K90" s="57" t="n"/>
      <c r="L90" s="57" t="n"/>
      <c r="M90" s="57" t="n"/>
      <c r="N90" s="57" t="n"/>
      <c r="O90" s="57" t="n"/>
      <c r="AA90" s="640">
        <f>IF(G90=0, IF(OR(H90&gt;0,F90&gt;0),C90*F90,""),"")</f>
        <v/>
      </c>
      <c r="AB90" s="640">
        <f>IF(G90&gt;=1,IF(F90&gt;1,C90*(F90-2),""),"")</f>
        <v/>
      </c>
      <c r="AC90" s="640" t="n"/>
      <c r="AD90" s="911">
        <f>IF(E90="YES",IF(G90=1,"",""),IF(G90=1,C90,IF(G90=2,C90,IF(G90=0,"",""))))</f>
        <v/>
      </c>
      <c r="AE90" s="911">
        <f>IF(E90="YES",IF(G90=1,"",IF(H90=1,C90,"")),IF(H90=1,C90,IF(H90=2,C90,IF(H90=0,"",""))))</f>
        <v/>
      </c>
      <c r="AF90" s="911">
        <f>IF(E90="YES",IF(I90=1,C90,""),IF(I90=1,C90,IF(I90=2,C90,IF(I90=0,"",""))))</f>
        <v/>
      </c>
      <c r="AG90" s="192">
        <f>(C90*G90)+(C90*H90)+(C90*I90)</f>
        <v/>
      </c>
    </row>
    <row r="91">
      <c r="B91" s="192" t="n"/>
      <c r="F91" s="192" t="n"/>
      <c r="G91" s="192" t="n"/>
      <c r="H91" s="192" t="n"/>
      <c r="J91" s="57" t="n"/>
      <c r="K91" s="57" t="n"/>
      <c r="L91" s="57" t="n"/>
      <c r="M91" s="57" t="n"/>
      <c r="N91" s="57" t="n"/>
      <c r="O91" s="57" t="n"/>
      <c r="AA91" s="640">
        <f>IF(G91=0, IF(OR(H91&gt;0,F91&gt;0),C91*F91,""),"")</f>
        <v/>
      </c>
      <c r="AB91" s="640">
        <f>IF(G91&gt;=1,IF(F91&gt;1,C91*(F91-2),""),"")</f>
        <v/>
      </c>
      <c r="AC91" s="640" t="n"/>
      <c r="AD91" s="911">
        <f>IF(E91="YES",IF(G91=1,"",""),IF(G91=1,C91,IF(G91=2,C91,IF(G91=0,"",""))))</f>
        <v/>
      </c>
      <c r="AE91" s="911">
        <f>IF(E91="YES",IF(G91=1,"",IF(H91=1,C91,"")),IF(H91=1,C91,IF(H91=2,C91,IF(H91=0,"",""))))</f>
        <v/>
      </c>
      <c r="AF91" s="911">
        <f>IF(E91="YES",IF(I91=1,C91,""),IF(I91=1,C91,IF(I91=2,C91,IF(I91=0,"",""))))</f>
        <v/>
      </c>
      <c r="AG91" s="192">
        <f>(C91*G91)+(C91*H91)+(C91*I91)</f>
        <v/>
      </c>
    </row>
    <row r="92">
      <c r="B92" s="192" t="n"/>
      <c r="F92" s="192" t="n"/>
      <c r="G92" s="192" t="n"/>
      <c r="H92" s="192" t="n"/>
      <c r="J92" s="57" t="n"/>
      <c r="K92" s="57" t="n"/>
      <c r="L92" s="57" t="n"/>
      <c r="M92" s="57" t="n"/>
      <c r="N92" s="57" t="n"/>
      <c r="O92" s="57" t="n"/>
      <c r="AA92" s="640">
        <f>IF(G92=0, IF(OR(H92&gt;0,F92&gt;0),C92*F92,""),"")</f>
        <v/>
      </c>
      <c r="AB92" s="640">
        <f>IF(G92&gt;=1,IF(F92&gt;1,C92*(F92-2),""),"")</f>
        <v/>
      </c>
      <c r="AC92" s="640" t="n"/>
      <c r="AD92" s="911">
        <f>IF(E92="YES",IF(G92=1,"",""),IF(G92=1,C92,IF(G92=2,C92,IF(G92=0,"",""))))</f>
        <v/>
      </c>
      <c r="AE92" s="911">
        <f>IF(E92="YES",IF(G92=1,"",IF(H92=1,C92,"")),IF(H92=1,C92,IF(H92=2,C92,IF(H92=0,"",""))))</f>
        <v/>
      </c>
      <c r="AF92" s="911">
        <f>IF(E92="YES",IF(I92=1,C92,""),IF(I92=1,C92,IF(I92=2,C92,IF(I92=0,"",""))))</f>
        <v/>
      </c>
      <c r="AG92" s="192">
        <f>(C92*G92)+(C92*H92)+(C92*I92)</f>
        <v/>
      </c>
    </row>
    <row r="93">
      <c r="B93" s="192" t="n"/>
      <c r="F93" s="192" t="n"/>
      <c r="G93" s="192" t="n"/>
      <c r="H93" s="192" t="n"/>
      <c r="J93" s="57" t="n"/>
      <c r="K93" s="57" t="n"/>
      <c r="L93" s="57" t="n"/>
      <c r="M93" s="57" t="n"/>
      <c r="N93" s="57" t="n"/>
      <c r="O93" s="57" t="n"/>
      <c r="AA93" s="640">
        <f>IF(G93=0, IF(OR(H93&gt;0,F93&gt;0),C93*F93,""),"")</f>
        <v/>
      </c>
      <c r="AB93" s="640">
        <f>IF(G93&gt;=1,IF(F93&gt;1,C93*(F93-2),""),"")</f>
        <v/>
      </c>
      <c r="AC93" s="640" t="n"/>
      <c r="AD93" s="911">
        <f>IF(E93="YES",IF(G93=1,"",""),IF(G93=1,C93,IF(G93=2,C93,IF(G93=0,"",""))))</f>
        <v/>
      </c>
      <c r="AE93" s="911">
        <f>IF(E93="YES",IF(G93=1,"",IF(H93=1,C93,"")),IF(H93=1,C93,IF(H93=2,C93,IF(H93=0,"",""))))</f>
        <v/>
      </c>
      <c r="AF93" s="911">
        <f>IF(E93="YES",IF(I93=1,C93,""),IF(I93=1,C93,IF(I93=2,C93,IF(I93=0,"",""))))</f>
        <v/>
      </c>
      <c r="AG93" s="192">
        <f>(C93*G93)+(C93*H93)+(C93*I93)</f>
        <v/>
      </c>
    </row>
    <row r="94">
      <c r="B94" s="192" t="n"/>
      <c r="F94" s="192" t="n"/>
      <c r="G94" s="192" t="n"/>
      <c r="H94" s="192" t="n"/>
      <c r="J94" s="57" t="n"/>
      <c r="K94" s="57" t="n"/>
      <c r="L94" s="57" t="n"/>
      <c r="M94" s="57" t="n"/>
      <c r="N94" s="57" t="n"/>
      <c r="O94" s="57" t="n"/>
      <c r="AA94" s="640">
        <f>IF(G94=0, IF(OR(H94&gt;0,F94&gt;0),C94*F94,""),"")</f>
        <v/>
      </c>
      <c r="AB94" s="640">
        <f>IF(G94&gt;=1,IF(F94&gt;1,C94*(F94-2),""),"")</f>
        <v/>
      </c>
      <c r="AC94" s="640" t="n"/>
      <c r="AD94" s="911">
        <f>IF(E94="YES",IF(G94=1,"",""),IF(G94=1,C94,IF(G94=2,C94,IF(G94=0,"",""))))</f>
        <v/>
      </c>
      <c r="AE94" s="911">
        <f>IF(E94="YES",IF(G94=1,"",IF(H94=1,C94,"")),IF(H94=1,C94,IF(H94=2,C94,IF(H94=0,"",""))))</f>
        <v/>
      </c>
      <c r="AF94" s="911">
        <f>IF(E94="YES",IF(I94=1,C94,""),IF(I94=1,C94,IF(I94=2,C94,IF(I94=0,"",""))))</f>
        <v/>
      </c>
      <c r="AG94" s="192">
        <f>(C94*G94)+(C94*H94)+(C94*I94)</f>
        <v/>
      </c>
    </row>
    <row r="95">
      <c r="B95" s="192" t="n"/>
      <c r="F95" s="192" t="n"/>
      <c r="G95" s="192" t="n"/>
      <c r="H95" s="192" t="n"/>
      <c r="J95" s="57" t="n"/>
      <c r="K95" s="57" t="n"/>
      <c r="L95" s="57" t="n"/>
      <c r="M95" s="57" t="n"/>
      <c r="N95" s="57" t="n"/>
      <c r="O95" s="57" t="n"/>
      <c r="AA95" s="640">
        <f>IF(G95=0, IF(OR(H95&gt;0,F95&gt;0),C95*F95,""),"")</f>
        <v/>
      </c>
      <c r="AB95" s="640">
        <f>IF(G95&gt;=1,IF(F95&gt;1,C95*(F95-2),""),"")</f>
        <v/>
      </c>
      <c r="AC95" s="640" t="n"/>
      <c r="AD95" s="911">
        <f>IF(E95="YES",IF(G95=1,"",""),IF(G95=1,C95,IF(G95=2,C95,IF(G95=0,"",""))))</f>
        <v/>
      </c>
      <c r="AE95" s="911">
        <f>IF(E95="YES",IF(G95=1,"",IF(H95=1,C95,"")),IF(H95=1,C95,IF(H95=2,C95,IF(H95=0,"",""))))</f>
        <v/>
      </c>
      <c r="AF95" s="911">
        <f>IF(E95="YES",IF(I95=1,C95,""),IF(I95=1,C95,IF(I95=2,C95,IF(I95=0,"",""))))</f>
        <v/>
      </c>
      <c r="AG95" s="192">
        <f>(C95*G95)+(C95*H95)+(C95*I95)</f>
        <v/>
      </c>
    </row>
    <row r="96">
      <c r="B96" s="192" t="n"/>
      <c r="F96" s="192" t="n"/>
      <c r="G96" s="192" t="n"/>
      <c r="H96" s="192" t="n"/>
      <c r="J96" s="57" t="n"/>
      <c r="K96" s="57" t="n"/>
      <c r="L96" s="57" t="n"/>
      <c r="M96" s="57" t="n"/>
      <c r="N96" s="57" t="n"/>
      <c r="O96" s="57" t="n"/>
      <c r="AA96" s="640">
        <f>IF(G96=0, IF(OR(H96&gt;0,F96&gt;0),C96*F96,""),"")</f>
        <v/>
      </c>
      <c r="AB96" s="640">
        <f>IF(G96&gt;=1,IF(F96&gt;1,C96*(F96-2),""),"")</f>
        <v/>
      </c>
      <c r="AC96" s="640" t="n"/>
      <c r="AD96" s="911">
        <f>IF(E96="YES",IF(G96=1,"",""),IF(G96=1,C96,IF(G96=2,C96,IF(G96=0,"",""))))</f>
        <v/>
      </c>
      <c r="AE96" s="911">
        <f>IF(E96="YES",IF(G96=1,"",IF(H96=1,C96,"")),IF(H96=1,C96,IF(H96=2,C96,IF(H96=0,"",""))))</f>
        <v/>
      </c>
      <c r="AF96" s="911">
        <f>IF(E96="YES",IF(I96=1,C96,""),IF(I96=1,C96,IF(I96=2,C96,IF(I96=0,"",""))))</f>
        <v/>
      </c>
      <c r="AG96" s="192">
        <f>(C96*G96)+(C96*H96)+(C96*I96)</f>
        <v/>
      </c>
    </row>
    <row r="97">
      <c r="B97" s="192" t="n"/>
      <c r="F97" s="192" t="n"/>
      <c r="G97" s="192" t="n"/>
      <c r="H97" s="192" t="n"/>
      <c r="J97" s="57" t="n"/>
      <c r="K97" s="57" t="n"/>
      <c r="L97" s="57" t="n"/>
      <c r="M97" s="57" t="n"/>
      <c r="N97" s="57" t="n"/>
      <c r="O97" s="57" t="n"/>
      <c r="AA97" s="640">
        <f>IF(G97=0, IF(OR(H97&gt;0,F97&gt;0),C97*F97,""),"")</f>
        <v/>
      </c>
      <c r="AB97" s="640">
        <f>IF(G97&gt;=1,IF(F97&gt;1,C97*(F97-2),""),"")</f>
        <v/>
      </c>
      <c r="AC97" s="640" t="n"/>
      <c r="AD97" s="911">
        <f>IF(E97="YES",IF(G97=1,"",""),IF(G97=1,C97,IF(G97=2,C97,IF(G97=0,"",""))))</f>
        <v/>
      </c>
      <c r="AE97" s="911">
        <f>IF(E97="YES",IF(G97=1,"",IF(H97=1,C97,"")),IF(H97=1,C97,IF(H97=2,C97,IF(H97=0,"",""))))</f>
        <v/>
      </c>
      <c r="AF97" s="911">
        <f>IF(E97="YES",IF(I97=1,C97,""),IF(I97=1,C97,IF(I97=2,C97,IF(I97=0,"",""))))</f>
        <v/>
      </c>
      <c r="AG97" s="192">
        <f>(C97*G97)+(C97*H97)+(C97*I97)</f>
        <v/>
      </c>
    </row>
    <row r="98">
      <c r="B98" s="192" t="n"/>
      <c r="F98" s="192" t="n"/>
      <c r="G98" s="192" t="n"/>
      <c r="H98" s="192" t="n"/>
      <c r="J98" s="57" t="n"/>
      <c r="K98" s="57" t="n"/>
      <c r="L98" s="57" t="n"/>
      <c r="M98" s="57" t="n"/>
      <c r="N98" s="57" t="n"/>
      <c r="O98" s="57" t="n"/>
      <c r="AA98" s="640">
        <f>IF(G98=0, IF(OR(H98&gt;0,F98&gt;0),C98*F98,""),"")</f>
        <v/>
      </c>
      <c r="AB98" s="640">
        <f>IF(G98&gt;=1,IF(F98&gt;1,C98*(F98-2),""),"")</f>
        <v/>
      </c>
      <c r="AC98" s="640" t="n"/>
      <c r="AD98" s="911">
        <f>IF(E98="YES",IF(G98=1,"",""),IF(G98=1,C98,IF(G98=2,C98,IF(G98=0,"",""))))</f>
        <v/>
      </c>
      <c r="AE98" s="911">
        <f>IF(E98="YES",IF(G98=1,"",IF(H98=1,C98,"")),IF(H98=1,C98,IF(H98=2,C98,IF(H98=0,"",""))))</f>
        <v/>
      </c>
      <c r="AF98" s="911">
        <f>IF(E98="YES",IF(I98=1,C98,""),IF(I98=1,C98,IF(I98=2,C98,IF(I98=0,"",""))))</f>
        <v/>
      </c>
      <c r="AG98" s="192">
        <f>(C98*G98)+(C98*H98)+(C98*I98)</f>
        <v/>
      </c>
    </row>
    <row r="99">
      <c r="B99" s="192" t="n"/>
      <c r="F99" s="192" t="n"/>
      <c r="G99" s="192" t="n"/>
      <c r="H99" s="192" t="n"/>
      <c r="J99" s="57" t="n"/>
      <c r="K99" s="57" t="n"/>
      <c r="L99" s="57" t="n"/>
      <c r="M99" s="57" t="n"/>
      <c r="N99" s="57" t="n"/>
      <c r="O99" s="57" t="n"/>
      <c r="AA99" s="640">
        <f>IF(G99=0, IF(OR(H99&gt;0,F99&gt;0),C99*F99,""),"")</f>
        <v/>
      </c>
      <c r="AB99" s="640">
        <f>IF(G99&gt;=1,IF(F99&gt;1,C99*(F99-2),""),"")</f>
        <v/>
      </c>
      <c r="AC99" s="640" t="n"/>
      <c r="AD99" s="911">
        <f>IF(E99="YES",IF(G99=1,"",""),IF(G99=1,C99,IF(G99=2,C99,IF(G99=0,"",""))))</f>
        <v/>
      </c>
      <c r="AE99" s="911">
        <f>IF(E99="YES",IF(G99=1,"",IF(H99=1,C99,"")),IF(H99=1,C99,IF(H99=2,C99,IF(H99=0,"",""))))</f>
        <v/>
      </c>
      <c r="AF99" s="911">
        <f>IF(E99="YES",IF(I99=1,C99,""),IF(I99=1,C99,IF(I99=2,C99,IF(I99=0,"",""))))</f>
        <v/>
      </c>
      <c r="AG99" s="192">
        <f>(C99*G99)+(C99*H99)+(C99*I99)</f>
        <v/>
      </c>
    </row>
    <row r="100">
      <c r="B100" s="192" t="n"/>
      <c r="F100" s="192" t="n"/>
      <c r="G100" s="192" t="n"/>
      <c r="H100" s="192" t="n"/>
      <c r="J100" s="57" t="n"/>
      <c r="K100" s="57" t="n"/>
      <c r="L100" s="57" t="n"/>
      <c r="M100" s="57" t="n"/>
      <c r="N100" s="57" t="n"/>
      <c r="O100" s="57" t="n"/>
      <c r="AA100" s="640">
        <f>IF(G100=0, IF(OR(H100&gt;0,F100&gt;0),C100*F100,""),"")</f>
        <v/>
      </c>
      <c r="AB100" s="640">
        <f>IF(G100&gt;=1,IF(F100&gt;1,C100*(F100-2),""),"")</f>
        <v/>
      </c>
      <c r="AC100" s="640" t="n"/>
      <c r="AD100" s="911">
        <f>IF(E100="YES",IF(G100=1,"",""),IF(G100=1,C100,IF(G100=2,C100,IF(G100=0,"",""))))</f>
        <v/>
      </c>
      <c r="AE100" s="911">
        <f>IF(E100="YES",IF(G100=1,"",IF(H100=1,C100,"")),IF(H100=1,C100,IF(H100=2,C100,IF(H100=0,"",""))))</f>
        <v/>
      </c>
      <c r="AF100" s="911">
        <f>IF(E100="YES",IF(I100=1,C100,""),IF(I100=1,C100,IF(I100=2,C100,IF(I100=0,"",""))))</f>
        <v/>
      </c>
      <c r="AG100" s="192">
        <f>(C100*G100)+(C100*H100)+(C100*I100)</f>
        <v/>
      </c>
    </row>
    <row r="101">
      <c r="B101" s="192" t="n"/>
      <c r="F101" s="192" t="n"/>
      <c r="G101" s="192" t="n"/>
      <c r="H101" s="192" t="n"/>
      <c r="J101" s="57" t="n"/>
      <c r="K101" s="57" t="n"/>
      <c r="L101" s="57" t="n"/>
      <c r="M101" s="57" t="n"/>
      <c r="N101" s="57" t="n"/>
      <c r="O101" s="57" t="n"/>
      <c r="AA101" s="640">
        <f>IF(G101=0, IF(OR(H101&gt;0,F101&gt;0),C101*F101,""),"")</f>
        <v/>
      </c>
      <c r="AB101" s="640">
        <f>IF(G101&gt;=1,IF(F101&gt;1,C101*(F101-2),""),"")</f>
        <v/>
      </c>
      <c r="AC101" s="640" t="n"/>
      <c r="AD101" s="911">
        <f>IF(E101="YES",IF(G101=1,"",""),IF(G101=1,C101,IF(G101=2,C101,IF(G101=0,"",""))))</f>
        <v/>
      </c>
      <c r="AE101" s="911">
        <f>IF(E101="YES",IF(G101=1,"",IF(H101=1,C101,"")),IF(H101=1,C101,IF(H101=2,C101,IF(H101=0,"",""))))</f>
        <v/>
      </c>
      <c r="AF101" s="911">
        <f>IF(E101="YES",IF(I101=1,C101,""),IF(I101=1,C101,IF(I101=2,C101,IF(I101=0,"",""))))</f>
        <v/>
      </c>
      <c r="AG101" s="192">
        <f>(C101*G101)+(C101*H101)+(C101*I101)</f>
        <v/>
      </c>
    </row>
    <row r="102">
      <c r="B102" s="192" t="n"/>
      <c r="F102" s="192" t="n"/>
      <c r="G102" s="192" t="n"/>
      <c r="H102" s="192" t="n"/>
      <c r="J102" s="57" t="n"/>
      <c r="K102" s="57" t="n"/>
      <c r="L102" s="57" t="n"/>
      <c r="M102" s="57" t="n"/>
      <c r="N102" s="57" t="n"/>
      <c r="O102" s="57" t="n"/>
      <c r="AA102" s="640">
        <f>IF(G102=0, IF(OR(H102&gt;0,F102&gt;0),C102*F102,""),"")</f>
        <v/>
      </c>
      <c r="AB102" s="640">
        <f>IF(G102&gt;=1,IF(F102&gt;1,C102*(F102-2),""),"")</f>
        <v/>
      </c>
      <c r="AC102" s="640" t="n"/>
      <c r="AD102" s="911">
        <f>IF(E102="YES",IF(G102=1,"",""),IF(G102=1,C102,IF(G102=2,C102,IF(G102=0,"",""))))</f>
        <v/>
      </c>
      <c r="AE102" s="911">
        <f>IF(E102="YES",IF(G102=1,"",IF(H102=1,C102,"")),IF(H102=1,C102,IF(H102=2,C102,IF(H102=0,"",""))))</f>
        <v/>
      </c>
      <c r="AF102" s="911">
        <f>IF(E102="YES",IF(I102=1,C102,""),IF(I102=1,C102,IF(I102=2,C102,IF(I102=0,"",""))))</f>
        <v/>
      </c>
      <c r="AG102" s="192">
        <f>(C102*G102)+(C102*H102)+(C102*I102)</f>
        <v/>
      </c>
    </row>
    <row r="103">
      <c r="B103" s="192" t="n"/>
      <c r="F103" s="192" t="n"/>
      <c r="G103" s="192" t="n"/>
      <c r="H103" s="192" t="n"/>
      <c r="J103" s="57" t="n"/>
      <c r="K103" s="57" t="n"/>
      <c r="L103" s="57" t="n"/>
      <c r="M103" s="57" t="n"/>
      <c r="N103" s="57" t="n"/>
      <c r="O103" s="57" t="n"/>
      <c r="AA103" s="640">
        <f>IF(G103=0, IF(OR(H103&gt;0,F103&gt;0),C103*F103,""),"")</f>
        <v/>
      </c>
      <c r="AB103" s="640">
        <f>IF(G103&gt;=1,IF(F103&gt;1,C103*(F103-2),""),"")</f>
        <v/>
      </c>
      <c r="AC103" s="640" t="n"/>
      <c r="AD103" s="911">
        <f>IF(E103="YES",IF(G103=1,"",""),IF(G103=1,C103,IF(G103=2,C103,IF(G103=0,"",""))))</f>
        <v/>
      </c>
      <c r="AE103" s="911">
        <f>IF(E103="YES",IF(G103=1,"",IF(H103=1,C103,"")),IF(H103=1,C103,IF(H103=2,C103,IF(H103=0,"",""))))</f>
        <v/>
      </c>
      <c r="AF103" s="911">
        <f>IF(E103="YES",IF(I103=1,C103,""),IF(I103=1,C103,IF(I103=2,C103,IF(I103=0,"",""))))</f>
        <v/>
      </c>
      <c r="AG103" s="192">
        <f>(C103*G103)+(C103*H103)+(C103*I103)</f>
        <v/>
      </c>
    </row>
    <row r="104">
      <c r="B104" s="192" t="n"/>
      <c r="F104" s="192" t="n"/>
      <c r="G104" s="192" t="n"/>
      <c r="H104" s="192" t="n"/>
      <c r="J104" s="57" t="n"/>
      <c r="K104" s="57" t="n"/>
      <c r="L104" s="57" t="n"/>
      <c r="M104" s="57" t="n"/>
      <c r="N104" s="57" t="n"/>
      <c r="O104" s="57" t="n"/>
      <c r="AA104" s="640">
        <f>IF(G104=0, IF(OR(H104&gt;0,F104&gt;0),C104*F104,""),"")</f>
        <v/>
      </c>
      <c r="AB104" s="640">
        <f>IF(G104&gt;=1,IF(F104&gt;1,C104*(F104-2),""),"")</f>
        <v/>
      </c>
      <c r="AC104" s="640" t="n"/>
      <c r="AD104" s="911">
        <f>IF(E104="YES",IF(G104=1,"",""),IF(G104=1,C104,IF(G104=2,C104,IF(G104=0,"",""))))</f>
        <v/>
      </c>
      <c r="AE104" s="911">
        <f>IF(E104="YES",IF(G104=1,"",IF(H104=1,C104,"")),IF(H104=1,C104,IF(H104=2,C104,IF(H104=0,"",""))))</f>
        <v/>
      </c>
      <c r="AF104" s="911">
        <f>IF(E104="YES",IF(I104=1,C104,""),IF(I104=1,C104,IF(I104=2,C104,IF(I104=0,"",""))))</f>
        <v/>
      </c>
      <c r="AG104" s="192">
        <f>(C104*G104)+(C104*H104)+(C104*I104)</f>
        <v/>
      </c>
    </row>
    <row r="105">
      <c r="B105" s="192" t="n"/>
      <c r="F105" s="192" t="n"/>
      <c r="G105" s="192" t="n"/>
      <c r="H105" s="192" t="n"/>
      <c r="J105" s="57" t="n"/>
      <c r="K105" s="57" t="n"/>
      <c r="L105" s="57" t="n"/>
      <c r="M105" s="57" t="n"/>
      <c r="N105" s="57" t="n"/>
      <c r="O105" s="57" t="n"/>
      <c r="AA105" s="640">
        <f>IF(G105=0, IF(OR(H105&gt;0,F105&gt;0),C105*F105,""),"")</f>
        <v/>
      </c>
      <c r="AB105" s="640">
        <f>IF(G105&gt;=1,IF(F105&gt;1,C105*(F105-2),""),"")</f>
        <v/>
      </c>
      <c r="AC105" s="640" t="n"/>
      <c r="AD105" s="911">
        <f>IF(E105="YES",IF(G105=1,"",""),IF(G105=1,C105,IF(G105=2,C105,IF(G105=0,"",""))))</f>
        <v/>
      </c>
      <c r="AE105" s="911">
        <f>IF(E105="YES",IF(G105=1,"",IF(H105=1,C105,"")),IF(H105=1,C105,IF(H105=2,C105,IF(H105=0,"",""))))</f>
        <v/>
      </c>
      <c r="AF105" s="911">
        <f>IF(E105="YES",IF(I105=1,C105,""),IF(I105=1,C105,IF(I105=2,C105,IF(I105=0,"",""))))</f>
        <v/>
      </c>
      <c r="AG105" s="192">
        <f>(C105*G105)+(C105*H105)+(C105*I105)</f>
        <v/>
      </c>
    </row>
    <row r="106">
      <c r="B106" s="192" t="n"/>
      <c r="F106" s="192" t="n"/>
      <c r="G106" s="192" t="n"/>
      <c r="H106" s="192" t="n"/>
      <c r="J106" s="57" t="n"/>
      <c r="K106" s="57" t="n"/>
      <c r="L106" s="57" t="n"/>
      <c r="M106" s="57" t="n"/>
      <c r="N106" s="57" t="n"/>
      <c r="O106" s="57" t="n"/>
      <c r="AA106" s="640">
        <f>IF(G106=0, IF(OR(H106&gt;0,F106&gt;0),C106*F106,""),"")</f>
        <v/>
      </c>
      <c r="AB106" s="640">
        <f>IF(G106&gt;=1,IF(F106&gt;1,C106*(F106-2),""),"")</f>
        <v/>
      </c>
      <c r="AC106" s="640" t="n"/>
      <c r="AD106" s="911">
        <f>IF(E106="YES",IF(G106=1,"",""),IF(G106=1,C106,IF(G106=2,C106,IF(G106=0,"",""))))</f>
        <v/>
      </c>
      <c r="AE106" s="911">
        <f>IF(E106="YES",IF(G106=1,"",IF(H106=1,C106,"")),IF(H106=1,C106,IF(H106=2,C106,IF(H106=0,"",""))))</f>
        <v/>
      </c>
      <c r="AF106" s="911">
        <f>IF(E106="YES",IF(I106=1,C106,""),IF(I106=1,C106,IF(I106=2,C106,IF(I106=0,"",""))))</f>
        <v/>
      </c>
      <c r="AG106" s="192">
        <f>(C106*G106)+(C106*H106)+(C106*I106)</f>
        <v/>
      </c>
    </row>
    <row r="107">
      <c r="B107" s="192" t="n"/>
      <c r="F107" s="192" t="n"/>
      <c r="G107" s="192" t="n"/>
      <c r="H107" s="192" t="n"/>
      <c r="J107" s="57" t="n"/>
      <c r="K107" s="57" t="n"/>
      <c r="L107" s="57" t="n"/>
      <c r="M107" s="57" t="n"/>
      <c r="N107" s="57" t="n"/>
      <c r="O107" s="57" t="n"/>
      <c r="AA107" s="640">
        <f>IF(G107=0, IF(OR(H107&gt;0,F107&gt;0),C107*F107,""),"")</f>
        <v/>
      </c>
      <c r="AB107" s="640">
        <f>IF(G107&gt;=1,IF(F107&gt;1,C107*(F107-2),""),"")</f>
        <v/>
      </c>
      <c r="AC107" s="640" t="n"/>
      <c r="AD107" s="911">
        <f>IF(E107="YES",IF(G107=1,"",""),IF(G107=1,C107,IF(G107=2,C107,IF(G107=0,"",""))))</f>
        <v/>
      </c>
      <c r="AE107" s="911">
        <f>IF(E107="YES",IF(G107=1,"",IF(H107=1,C107,"")),IF(H107=1,C107,IF(H107=2,C107,IF(H107=0,"",""))))</f>
        <v/>
      </c>
      <c r="AF107" s="911">
        <f>IF(E107="YES",IF(I107=1,C107,""),IF(I107=1,C107,IF(I107=2,C107,IF(I107=0,"",""))))</f>
        <v/>
      </c>
      <c r="AG107" s="192">
        <f>(C107*G107)+(C107*H107)+(C107*I107)</f>
        <v/>
      </c>
    </row>
    <row r="108">
      <c r="B108" s="192" t="n"/>
      <c r="F108" s="192" t="n"/>
      <c r="G108" s="192" t="n"/>
      <c r="H108" s="192" t="n"/>
      <c r="J108" s="57" t="n"/>
      <c r="K108" s="57" t="n"/>
      <c r="L108" s="57" t="n"/>
      <c r="M108" s="57" t="n"/>
      <c r="N108" s="57" t="n"/>
      <c r="O108" s="57" t="n"/>
      <c r="AA108" s="640">
        <f>IF(G108=0, IF(OR(H108&gt;0,F108&gt;0),C108*F108,""),"")</f>
        <v/>
      </c>
      <c r="AB108" s="640">
        <f>IF(G108&gt;=1,IF(F108&gt;1,C108*(F108-2),""),"")</f>
        <v/>
      </c>
      <c r="AC108" s="640" t="n"/>
      <c r="AD108" s="911">
        <f>IF(E108="YES",IF(G108=1,"",""),IF(G108=1,C108,IF(G108=2,C108,IF(G108=0,"",""))))</f>
        <v/>
      </c>
      <c r="AE108" s="911">
        <f>IF(E108="YES",IF(G108=1,"",IF(H108=1,C108,"")),IF(H108=1,C108,IF(H108=2,C108,IF(H108=0,"",""))))</f>
        <v/>
      </c>
      <c r="AF108" s="911">
        <f>IF(E108="YES",IF(I108=1,C108,""),IF(I108=1,C108,IF(I108=2,C108,IF(I108=0,"",""))))</f>
        <v/>
      </c>
      <c r="AG108" s="192">
        <f>(C108*G108)+(C108*H108)+(C108*I108)</f>
        <v/>
      </c>
    </row>
    <row r="109">
      <c r="B109" s="192" t="n"/>
      <c r="F109" s="192" t="n"/>
      <c r="G109" s="192" t="n"/>
      <c r="H109" s="192" t="n"/>
      <c r="J109" s="57" t="n"/>
      <c r="K109" s="57" t="n"/>
      <c r="L109" s="57" t="n"/>
      <c r="M109" s="57" t="n"/>
      <c r="N109" s="57" t="n"/>
      <c r="O109" s="57" t="n"/>
      <c r="AA109" s="640">
        <f>IF(G109=0, IF(OR(H109&gt;0,F109&gt;0),C109*F109,""),"")</f>
        <v/>
      </c>
      <c r="AB109" s="640">
        <f>IF(G109&gt;=1,IF(F109&gt;1,C109*(F109-2),""),"")</f>
        <v/>
      </c>
      <c r="AC109" s="640" t="n"/>
      <c r="AD109" s="911">
        <f>IF(E109="YES",IF(G109=1,"",""),IF(G109=1,C109,IF(G109=2,C109,IF(G109=0,"",""))))</f>
        <v/>
      </c>
      <c r="AE109" s="911">
        <f>IF(E109="YES",IF(G109=1,"",IF(H109=1,C109,"")),IF(H109=1,C109,IF(H109=2,C109,IF(H109=0,"",""))))</f>
        <v/>
      </c>
      <c r="AF109" s="911">
        <f>IF(E109="YES",IF(I109=1,C109,""),IF(I109=1,C109,IF(I109=2,C109,IF(I109=0,"",""))))</f>
        <v/>
      </c>
      <c r="AG109" s="192">
        <f>(C109*G109)+(C109*H109)+(C109*I109)</f>
        <v/>
      </c>
    </row>
    <row r="110">
      <c r="B110" s="192" t="n"/>
      <c r="F110" s="192" t="n"/>
      <c r="G110" s="192" t="n"/>
      <c r="H110" s="192" t="n"/>
      <c r="J110" s="57" t="n"/>
      <c r="K110" s="57" t="n"/>
      <c r="L110" s="57" t="n"/>
      <c r="M110" s="57" t="n"/>
      <c r="N110" s="57" t="n"/>
      <c r="O110" s="57" t="n"/>
      <c r="AA110" s="640">
        <f>IF(G110=0, IF(OR(H110&gt;0,F110&gt;0),C110*F110,""),"")</f>
        <v/>
      </c>
      <c r="AB110" s="640">
        <f>IF(G110&gt;=1,IF(F110&gt;1,C110*(F110-2),""),"")</f>
        <v/>
      </c>
      <c r="AC110" s="640" t="n"/>
      <c r="AD110" s="911">
        <f>IF(E110="YES",IF(G110=1,"",""),IF(G110=1,C110,IF(G110=2,C110,IF(G110=0,"",""))))</f>
        <v/>
      </c>
      <c r="AE110" s="911">
        <f>IF(E110="YES",IF(G110=1,"",IF(H110=1,C110,"")),IF(H110=1,C110,IF(H110=2,C110,IF(H110=0,"",""))))</f>
        <v/>
      </c>
      <c r="AF110" s="911">
        <f>IF(E110="YES",IF(I110=1,C110,""),IF(I110=1,C110,IF(I110=2,C110,IF(I110=0,"",""))))</f>
        <v/>
      </c>
      <c r="AG110" s="192">
        <f>(C110*G110)+(C110*H110)+(C110*I110)</f>
        <v/>
      </c>
    </row>
    <row r="111">
      <c r="B111" s="192" t="n"/>
      <c r="F111" s="192" t="n"/>
      <c r="G111" s="192" t="n"/>
      <c r="H111" s="192" t="n"/>
      <c r="J111" s="57" t="n"/>
      <c r="K111" s="57" t="n"/>
      <c r="L111" s="57" t="n"/>
      <c r="M111" s="57" t="n"/>
      <c r="N111" s="57" t="n"/>
      <c r="O111" s="57" t="n"/>
      <c r="AA111" s="640">
        <f>IF(G111=0, IF(OR(H111&gt;0,F111&gt;0),C111*F111,""),"")</f>
        <v/>
      </c>
      <c r="AB111" s="640">
        <f>IF(G111&gt;=1,IF(F111&gt;1,C111*(F111-2),""),"")</f>
        <v/>
      </c>
      <c r="AC111" s="640" t="n"/>
      <c r="AD111" s="911">
        <f>IF(E111="YES",IF(G111=1,"",""),IF(G111=1,C111,IF(G111=2,C111,IF(G111=0,"",""))))</f>
        <v/>
      </c>
      <c r="AE111" s="911">
        <f>IF(E111="YES",IF(G111=1,"",IF(H111=1,C111,"")),IF(H111=1,C111,IF(H111=2,C111,IF(H111=0,"",""))))</f>
        <v/>
      </c>
      <c r="AF111" s="911">
        <f>IF(E111="YES",IF(I111=1,C111,""),IF(I111=1,C111,IF(I111=2,C111,IF(I111=0,"",""))))</f>
        <v/>
      </c>
      <c r="AG111" s="192">
        <f>(C111*G111)+(C111*H111)+(C111*I111)</f>
        <v/>
      </c>
    </row>
    <row r="112">
      <c r="B112" s="192" t="n"/>
      <c r="F112" s="192" t="n"/>
      <c r="G112" s="192" t="n"/>
      <c r="H112" s="192" t="n"/>
      <c r="J112" s="57" t="n"/>
      <c r="K112" s="57" t="n"/>
      <c r="L112" s="57" t="n"/>
      <c r="M112" s="57" t="n"/>
      <c r="N112" s="57" t="n"/>
      <c r="O112" s="57" t="n"/>
      <c r="AA112" s="640">
        <f>IF(G112=0, IF(OR(H112&gt;0,F112&gt;0),C112*F112,""),"")</f>
        <v/>
      </c>
      <c r="AB112" s="640">
        <f>IF(G112&gt;=1,IF(F112&gt;1,C112*(F112-2),""),"")</f>
        <v/>
      </c>
      <c r="AC112" s="640" t="n"/>
      <c r="AD112" s="911">
        <f>IF(E112="YES",IF(G112=1,"",""),IF(G112=1,C112,IF(G112=2,C112,IF(G112=0,"",""))))</f>
        <v/>
      </c>
      <c r="AE112" s="911">
        <f>IF(E112="YES",IF(G112=1,"",IF(H112=1,C112,"")),IF(H112=1,C112,IF(H112=2,C112,IF(H112=0,"",""))))</f>
        <v/>
      </c>
      <c r="AF112" s="911">
        <f>IF(E112="YES",IF(I112=1,C112,""),IF(I112=1,C112,IF(I112=2,C112,IF(I112=0,"",""))))</f>
        <v/>
      </c>
      <c r="AG112" s="192">
        <f>(C112*G112)+(C112*H112)+(C112*I112)</f>
        <v/>
      </c>
    </row>
    <row r="113">
      <c r="B113" s="192" t="n"/>
      <c r="F113" s="192" t="n"/>
      <c r="G113" s="192" t="n"/>
      <c r="H113" s="192" t="n"/>
      <c r="J113" s="57" t="n"/>
      <c r="K113" s="57" t="n"/>
      <c r="L113" s="57" t="n"/>
      <c r="M113" s="57" t="n"/>
      <c r="N113" s="57" t="n"/>
      <c r="O113" s="57" t="n"/>
      <c r="AA113" s="640">
        <f>IF(G113=0, IF(OR(H113&gt;0,F113&gt;0),C113*F113,""),"")</f>
        <v/>
      </c>
      <c r="AB113" s="640">
        <f>IF(G113&gt;=1,IF(F113&gt;1,C113*(F113-2),""),"")</f>
        <v/>
      </c>
      <c r="AC113" s="640" t="n"/>
      <c r="AD113" s="911">
        <f>IF(E113="YES",IF(G113=1,"",""),IF(G113=1,C113,IF(G113=2,C113,IF(G113=0,"",""))))</f>
        <v/>
      </c>
      <c r="AE113" s="911">
        <f>IF(E113="YES",IF(G113=1,"",IF(H113=1,C113,"")),IF(H113=1,C113,IF(H113=2,C113,IF(H113=0,"",""))))</f>
        <v/>
      </c>
      <c r="AF113" s="911">
        <f>IF(E113="YES",IF(I113=1,C113,""),IF(I113=1,C113,IF(I113=2,C113,IF(I113=0,"",""))))</f>
        <v/>
      </c>
      <c r="AG113" s="192">
        <f>(C113*G113)+(C113*H113)+(C113*I113)</f>
        <v/>
      </c>
    </row>
    <row r="114">
      <c r="B114" s="192" t="n"/>
      <c r="F114" s="192" t="n"/>
      <c r="G114" s="192" t="n"/>
      <c r="H114" s="192" t="n"/>
      <c r="J114" s="57" t="n"/>
      <c r="K114" s="57" t="n"/>
      <c r="L114" s="57" t="n"/>
      <c r="M114" s="57" t="n"/>
      <c r="N114" s="57" t="n"/>
      <c r="O114" s="57" t="n"/>
      <c r="AA114" s="640">
        <f>IF(G114=0, IF(OR(H114&gt;0,F114&gt;0),C114*F114,""),"")</f>
        <v/>
      </c>
      <c r="AB114" s="640">
        <f>IF(G114&gt;=1,IF(F114&gt;1,C114*(F114-2),""),"")</f>
        <v/>
      </c>
      <c r="AC114" s="640" t="n"/>
      <c r="AD114" s="911">
        <f>IF(E114="YES",IF(G114=1,"",""),IF(G114=1,C114,IF(G114=2,C114,IF(G114=0,"",""))))</f>
        <v/>
      </c>
      <c r="AE114" s="911">
        <f>IF(E114="YES",IF(G114=1,"",IF(H114=1,C114,"")),IF(H114=1,C114,IF(H114=2,C114,IF(H114=0,"",""))))</f>
        <v/>
      </c>
      <c r="AF114" s="911">
        <f>IF(E114="YES",IF(I114=1,C114,""),IF(I114=1,C114,IF(I114=2,C114,IF(I114=0,"",""))))</f>
        <v/>
      </c>
      <c r="AG114" s="192">
        <f>(C114*G114)+(C114*H114)+(C114*I114)</f>
        <v/>
      </c>
    </row>
    <row r="115">
      <c r="B115" s="192" t="n"/>
      <c r="F115" s="192" t="n"/>
      <c r="G115" s="192" t="n"/>
      <c r="H115" s="192" t="n"/>
      <c r="J115" s="57" t="n"/>
      <c r="K115" s="57" t="n"/>
      <c r="L115" s="57" t="n"/>
      <c r="M115" s="57" t="n"/>
      <c r="N115" s="57" t="n"/>
      <c r="O115" s="57" t="n"/>
      <c r="AA115" s="640">
        <f>IF(G115=0, IF(OR(H115&gt;0,F115&gt;0),C115*F115,""),"")</f>
        <v/>
      </c>
      <c r="AB115" s="640">
        <f>IF(G115&gt;=1,IF(F115&gt;1,C115*(F115-2),""),"")</f>
        <v/>
      </c>
      <c r="AC115" s="640" t="n"/>
      <c r="AD115" s="911">
        <f>IF(E115="YES",IF(G115=1,"",""),IF(G115=1,C115,IF(G115=2,C115,IF(G115=0,"",""))))</f>
        <v/>
      </c>
      <c r="AE115" s="911">
        <f>IF(E115="YES",IF(G115=1,"",IF(H115=1,C115,"")),IF(H115=1,C115,IF(H115=2,C115,IF(H115=0,"",""))))</f>
        <v/>
      </c>
      <c r="AF115" s="911">
        <f>IF(E115="YES",IF(I115=1,C115,""),IF(I115=1,C115,IF(I115=2,C115,IF(I115=0,"",""))))</f>
        <v/>
      </c>
      <c r="AG115" s="192">
        <f>(C115*G115)+(C115*H115)+(C115*I115)</f>
        <v/>
      </c>
    </row>
    <row r="116">
      <c r="B116" s="192" t="n"/>
      <c r="F116" s="192" t="n"/>
      <c r="G116" s="192" t="n"/>
      <c r="H116" s="192" t="n"/>
      <c r="J116" s="57" t="n"/>
      <c r="K116" s="57" t="n"/>
      <c r="L116" s="57" t="n"/>
      <c r="M116" s="57" t="n"/>
      <c r="N116" s="57" t="n"/>
      <c r="O116" s="57" t="n"/>
      <c r="AA116" s="640">
        <f>IF(G116=0, IF(OR(H116&gt;0,F116&gt;0),C116*F116,""),"")</f>
        <v/>
      </c>
      <c r="AB116" s="640">
        <f>IF(G116&gt;=1,IF(F116&gt;1,C116*(F116-2),""),"")</f>
        <v/>
      </c>
      <c r="AC116" s="640" t="n"/>
      <c r="AD116" s="911">
        <f>IF(E116="YES",IF(G116=1,"",""),IF(G116=1,C116,IF(G116=2,C116,IF(G116=0,"",""))))</f>
        <v/>
      </c>
      <c r="AE116" s="911">
        <f>IF(E116="YES",IF(G116=1,"",IF(H116=1,C116,"")),IF(H116=1,C116,IF(H116=2,C116,IF(H116=0,"",""))))</f>
        <v/>
      </c>
      <c r="AF116" s="911">
        <f>IF(E116="YES",IF(I116=1,C116,""),IF(I116=1,C116,IF(I116=2,C116,IF(I116=0,"",""))))</f>
        <v/>
      </c>
      <c r="AG116" s="192">
        <f>(C116*G116)+(C116*H116)+(C116*I116)</f>
        <v/>
      </c>
    </row>
    <row r="117">
      <c r="B117" s="192" t="n"/>
      <c r="F117" s="192" t="n"/>
      <c r="G117" s="192" t="n"/>
      <c r="H117" s="192" t="n"/>
      <c r="J117" s="57" t="n"/>
      <c r="K117" s="57" t="n"/>
      <c r="L117" s="57" t="n"/>
      <c r="M117" s="57" t="n"/>
      <c r="N117" s="57" t="n"/>
      <c r="O117" s="57" t="n"/>
      <c r="AA117" s="640">
        <f>IF(G117=0, IF(OR(H117&gt;0,F117&gt;0),C117*F117,""),"")</f>
        <v/>
      </c>
      <c r="AB117" s="640">
        <f>IF(G117&gt;=1,IF(F117&gt;1,C117*(F117-2),""),"")</f>
        <v/>
      </c>
      <c r="AC117" s="640" t="n"/>
      <c r="AD117" s="911">
        <f>IF(E117="YES",IF(G117=1,"",""),IF(G117=1,C117,IF(G117=2,C117,IF(G117=0,"",""))))</f>
        <v/>
      </c>
      <c r="AE117" s="911">
        <f>IF(E117="YES",IF(G117=1,"",IF(H117=1,C117,"")),IF(H117=1,C117,IF(H117=2,C117,IF(H117=0,"",""))))</f>
        <v/>
      </c>
      <c r="AF117" s="911">
        <f>IF(E117="YES",IF(I117=1,C117,""),IF(I117=1,C117,IF(I117=2,C117,IF(I117=0,"",""))))</f>
        <v/>
      </c>
      <c r="AG117" s="192">
        <f>(C117*G117)+(C117*H117)+(C117*I117)</f>
        <v/>
      </c>
    </row>
    <row r="118">
      <c r="B118" s="192" t="n"/>
      <c r="F118" s="192" t="n"/>
      <c r="G118" s="192" t="n"/>
      <c r="H118" s="192" t="n"/>
      <c r="J118" s="57" t="n"/>
      <c r="K118" s="57" t="n"/>
      <c r="L118" s="57" t="n"/>
      <c r="M118" s="57" t="n"/>
      <c r="N118" s="57" t="n"/>
      <c r="O118" s="57" t="n"/>
      <c r="AA118" s="640">
        <f>IF(G118=0, IF(OR(H118&gt;0,F118&gt;0),C118*F118,""),"")</f>
        <v/>
      </c>
      <c r="AB118" s="640">
        <f>IF(G118&gt;=1,IF(F118&gt;1,C118*(F118-2),""),"")</f>
        <v/>
      </c>
      <c r="AC118" s="640" t="n"/>
      <c r="AD118" s="911">
        <f>IF(E118="YES",IF(G118=1,"",""),IF(G118=1,C118,IF(G118=2,C118,IF(G118=0,"",""))))</f>
        <v/>
      </c>
      <c r="AE118" s="911">
        <f>IF(E118="YES",IF(G118=1,"",IF(H118=1,C118,"")),IF(H118=1,C118,IF(H118=2,C118,IF(H118=0,"",""))))</f>
        <v/>
      </c>
      <c r="AF118" s="911">
        <f>IF(E118="YES",IF(I118=1,C118,""),IF(I118=1,C118,IF(I118=2,C118,IF(I118=0,"",""))))</f>
        <v/>
      </c>
      <c r="AG118" s="192">
        <f>(C118*G118)+(C118*H118)+(C118*I118)</f>
        <v/>
      </c>
    </row>
    <row r="119">
      <c r="B119" s="192" t="n"/>
      <c r="F119" s="192" t="n"/>
      <c r="G119" s="192" t="n"/>
      <c r="H119" s="192" t="n"/>
      <c r="J119" s="57" t="n"/>
      <c r="K119" s="57" t="n"/>
      <c r="L119" s="57" t="n"/>
      <c r="M119" s="57" t="n"/>
      <c r="N119" s="57" t="n"/>
      <c r="O119" s="57" t="n"/>
      <c r="AA119" s="640">
        <f>IF(G119=0, IF(OR(H119&gt;0,F119&gt;0),C119*F119,""),"")</f>
        <v/>
      </c>
      <c r="AB119" s="640">
        <f>IF(G119&gt;=1,IF(F119&gt;1,C119*(F119-2),""),"")</f>
        <v/>
      </c>
      <c r="AC119" s="640" t="n"/>
      <c r="AD119" s="911">
        <f>IF(E119="YES",IF(G119=1,"",""),IF(G119=1,C119,IF(G119=2,C119,IF(G119=0,"",""))))</f>
        <v/>
      </c>
      <c r="AE119" s="911">
        <f>IF(E119="YES",IF(G119=1,"",IF(H119=1,C119,"")),IF(H119=1,C119,IF(H119=2,C119,IF(H119=0,"",""))))</f>
        <v/>
      </c>
      <c r="AF119" s="911">
        <f>IF(E119="YES",IF(I119=1,C119,""),IF(I119=1,C119,IF(I119=2,C119,IF(I119=0,"",""))))</f>
        <v/>
      </c>
      <c r="AG119" s="192">
        <f>(C119*G119)+(C119*H119)+(C119*I119)</f>
        <v/>
      </c>
    </row>
    <row r="120">
      <c r="B120" s="192" t="n"/>
      <c r="F120" s="192" t="n"/>
      <c r="G120" s="192" t="n"/>
      <c r="H120" s="192" t="n"/>
      <c r="J120" s="57" t="n"/>
      <c r="K120" s="57" t="n"/>
      <c r="L120" s="57" t="n"/>
      <c r="M120" s="57" t="n"/>
      <c r="N120" s="57" t="n"/>
      <c r="O120" s="57" t="n"/>
      <c r="AA120" s="640">
        <f>IF(G120=0, IF(OR(H120&gt;0,F120&gt;0),C120*F120,""),"")</f>
        <v/>
      </c>
      <c r="AB120" s="640">
        <f>IF(G120&gt;=1,IF(F120&gt;1,C120*(F120-2),""),"")</f>
        <v/>
      </c>
      <c r="AC120" s="640" t="n"/>
      <c r="AD120" s="911">
        <f>IF(E120="YES",IF(G120=1,"",""),IF(G120=1,C120,IF(G120=2,C120,IF(G120=0,"",""))))</f>
        <v/>
      </c>
      <c r="AE120" s="911">
        <f>IF(E120="YES",IF(G120=1,"",IF(H120=1,C120,"")),IF(H120=1,C120,IF(H120=2,C120,IF(H120=0,"",""))))</f>
        <v/>
      </c>
      <c r="AF120" s="911">
        <f>IF(E120="YES",IF(I120=1,C120,""),IF(I120=1,C120,IF(I120=2,C120,IF(I120=0,"",""))))</f>
        <v/>
      </c>
      <c r="AG120" s="192">
        <f>(C120*G120)+(C120*H120)+(C120*I120)</f>
        <v/>
      </c>
    </row>
    <row r="121">
      <c r="B121" s="192" t="n"/>
      <c r="F121" s="192" t="n"/>
      <c r="G121" s="192" t="n"/>
      <c r="H121" s="192" t="n"/>
      <c r="J121" s="57" t="n"/>
      <c r="K121" s="57" t="n"/>
      <c r="L121" s="57" t="n"/>
      <c r="M121" s="57" t="n"/>
      <c r="N121" s="57" t="n"/>
      <c r="O121" s="57" t="n"/>
      <c r="AA121" s="640">
        <f>IF(G121=0, IF(OR(H121&gt;0,F121&gt;0),C121*F121,""),"")</f>
        <v/>
      </c>
      <c r="AB121" s="640">
        <f>IF(G121&gt;=1,IF(F121&gt;1,C121*(F121-2),""),"")</f>
        <v/>
      </c>
      <c r="AC121" s="640" t="n"/>
      <c r="AD121" s="911">
        <f>IF(E121="YES",IF(G121=1,"",""),IF(G121=1,C121,IF(G121=2,C121,IF(G121=0,"",""))))</f>
        <v/>
      </c>
      <c r="AE121" s="911">
        <f>IF(E121="YES",IF(G121=1,"",IF(H121=1,C121,"")),IF(H121=1,C121,IF(H121=2,C121,IF(H121=0,"",""))))</f>
        <v/>
      </c>
      <c r="AF121" s="911">
        <f>IF(E121="YES",IF(I121=1,C121,""),IF(I121=1,C121,IF(I121=2,C121,IF(I121=0,"",""))))</f>
        <v/>
      </c>
      <c r="AG121" s="192">
        <f>(C121*G121)+(C121*H121)+(C121*I121)</f>
        <v/>
      </c>
    </row>
    <row r="122">
      <c r="B122" s="192" t="n"/>
      <c r="F122" s="192" t="n"/>
      <c r="G122" s="192" t="n"/>
      <c r="H122" s="192" t="n"/>
      <c r="J122" s="57" t="n"/>
      <c r="K122" s="57" t="n"/>
      <c r="L122" s="57" t="n"/>
      <c r="M122" s="57" t="n"/>
      <c r="N122" s="57" t="n"/>
      <c r="O122" s="57" t="n"/>
      <c r="AA122" s="640">
        <f>IF(G122=0, IF(OR(H122&gt;0,F122&gt;0),C122*F122,""),"")</f>
        <v/>
      </c>
      <c r="AB122" s="640">
        <f>IF(G122&gt;=1,IF(F122&gt;1,C122*(F122-2),""),"")</f>
        <v/>
      </c>
      <c r="AC122" s="640" t="n"/>
      <c r="AD122" s="911">
        <f>IF(E122="YES",IF(G122=1,"",""),IF(G122=1,C122,IF(G122=2,C122,IF(G122=0,"",""))))</f>
        <v/>
      </c>
      <c r="AE122" s="911">
        <f>IF(E122="YES",IF(G122=1,"",IF(H122=1,C122,"")),IF(H122=1,C122,IF(H122=2,C122,IF(H122=0,"",""))))</f>
        <v/>
      </c>
      <c r="AF122" s="911">
        <f>IF(E122="YES",IF(I122=1,C122,""),IF(I122=1,C122,IF(I122=2,C122,IF(I122=0,"",""))))</f>
        <v/>
      </c>
      <c r="AG122" s="192">
        <f>(C122*G122)+(C122*H122)+(C122*I122)</f>
        <v/>
      </c>
    </row>
    <row r="123">
      <c r="B123" s="192" t="n"/>
      <c r="F123" s="192" t="n"/>
      <c r="G123" s="192" t="n"/>
      <c r="H123" s="192" t="n"/>
      <c r="J123" s="57" t="n"/>
      <c r="K123" s="57" t="n"/>
      <c r="L123" s="57" t="n"/>
      <c r="M123" s="57" t="n"/>
      <c r="N123" s="57" t="n"/>
      <c r="O123" s="57" t="n"/>
      <c r="AA123" s="640">
        <f>IF(G123=0, IF(OR(H123&gt;0,F123&gt;0),C123*F123,""),"")</f>
        <v/>
      </c>
      <c r="AB123" s="640">
        <f>IF(G123&gt;=1,IF(F123&gt;1,C123*(F123-2),""),"")</f>
        <v/>
      </c>
      <c r="AC123" s="640" t="n"/>
      <c r="AD123" s="911">
        <f>IF(E123="YES",IF(G123=1,"",""),IF(G123=1,C123,IF(G123=2,C123,IF(G123=0,"",""))))</f>
        <v/>
      </c>
      <c r="AE123" s="911">
        <f>IF(E123="YES",IF(G123=1,"",IF(H123=1,C123,"")),IF(H123=1,C123,IF(H123=2,C123,IF(H123=0,"",""))))</f>
        <v/>
      </c>
      <c r="AF123" s="911">
        <f>IF(E123="YES",IF(I123=1,C123,""),IF(I123=1,C123,IF(I123=2,C123,IF(I123=0,"",""))))</f>
        <v/>
      </c>
      <c r="AG123" s="192">
        <f>(C123*G123)+(C123*H123)+(C123*I123)</f>
        <v/>
      </c>
    </row>
    <row r="124">
      <c r="B124" s="192" t="n"/>
      <c r="F124" s="192" t="n"/>
      <c r="G124" s="192" t="n"/>
      <c r="H124" s="192" t="n"/>
      <c r="J124" s="57" t="n"/>
      <c r="K124" s="57" t="n"/>
      <c r="L124" s="57" t="n"/>
      <c r="M124" s="57" t="n"/>
      <c r="N124" s="57" t="n"/>
      <c r="O124" s="57" t="n"/>
      <c r="AA124" s="640">
        <f>IF(G124=0, IF(OR(H124&gt;0,F124&gt;0),C124*F124,""),"")</f>
        <v/>
      </c>
      <c r="AB124" s="640">
        <f>IF(G124&gt;=1,IF(F124&gt;1,C124*(F124-2),""),"")</f>
        <v/>
      </c>
      <c r="AC124" s="640" t="n"/>
      <c r="AD124" s="911">
        <f>IF(E124="YES",IF(G124=1,"",""),IF(G124=1,C124,IF(G124=2,C124,IF(G124=0,"",""))))</f>
        <v/>
      </c>
      <c r="AE124" s="911">
        <f>IF(E124="YES",IF(G124=1,"",IF(H124=1,C124,"")),IF(H124=1,C124,IF(H124=2,C124,IF(H124=0,"",""))))</f>
        <v/>
      </c>
      <c r="AF124" s="911">
        <f>IF(E124="YES",IF(I124=1,C124,""),IF(I124=1,C124,IF(I124=2,C124,IF(I124=0,"",""))))</f>
        <v/>
      </c>
      <c r="AG124" s="192">
        <f>(C124*G124)+(C124*H124)+(C124*I124)</f>
        <v/>
      </c>
    </row>
    <row r="125">
      <c r="B125" s="192" t="n"/>
      <c r="F125" s="192" t="n"/>
      <c r="G125" s="192" t="n"/>
      <c r="H125" s="192" t="n"/>
      <c r="J125" s="57" t="n"/>
      <c r="K125" s="57" t="n"/>
      <c r="L125" s="57" t="n"/>
      <c r="M125" s="57" t="n"/>
      <c r="N125" s="57" t="n"/>
      <c r="O125" s="57" t="n"/>
      <c r="AA125" s="640">
        <f>IF(G125=0, IF(OR(H125&gt;0,F125&gt;0),C125*F125,""),"")</f>
        <v/>
      </c>
      <c r="AB125" s="640">
        <f>IF(G125&gt;=1,IF(F125&gt;1,C125*(F125-2),""),"")</f>
        <v/>
      </c>
      <c r="AC125" s="640" t="n"/>
      <c r="AD125" s="911">
        <f>IF(E125="YES",IF(G125=1,"",""),IF(G125=1,C125,IF(G125=2,C125,IF(G125=0,"",""))))</f>
        <v/>
      </c>
      <c r="AE125" s="911">
        <f>IF(E125="YES",IF(G125=1,"",IF(H125=1,C125,"")),IF(H125=1,C125,IF(H125=2,C125,IF(H125=0,"",""))))</f>
        <v/>
      </c>
      <c r="AF125" s="911">
        <f>IF(E125="YES",IF(I125=1,C125,""),IF(I125=1,C125,IF(I125=2,C125,IF(I125=0,"",""))))</f>
        <v/>
      </c>
      <c r="AG125" s="192">
        <f>(C125*G125)+(C125*H125)+(C125*I125)</f>
        <v/>
      </c>
    </row>
    <row r="126">
      <c r="B126" s="192" t="n"/>
      <c r="F126" s="192" t="n"/>
      <c r="G126" s="192" t="n"/>
      <c r="H126" s="192" t="n"/>
      <c r="J126" s="57" t="n"/>
      <c r="K126" s="57" t="n"/>
      <c r="L126" s="57" t="n"/>
      <c r="M126" s="57" t="n"/>
      <c r="N126" s="57" t="n"/>
      <c r="O126" s="57" t="n"/>
      <c r="AA126" s="640">
        <f>IF(G126=0, IF(OR(H126&gt;0,F126&gt;0),C126*F126,""),"")</f>
        <v/>
      </c>
      <c r="AB126" s="640">
        <f>IF(G126&gt;=1,IF(F126&gt;1,C126*(F126-2),""),"")</f>
        <v/>
      </c>
      <c r="AC126" s="640" t="n"/>
      <c r="AD126" s="911">
        <f>IF(E126="YES",IF(G126=1,"",""),IF(G126=1,C126,IF(G126=2,C126,IF(G126=0,"",""))))</f>
        <v/>
      </c>
      <c r="AE126" s="911">
        <f>IF(E126="YES",IF(G126=1,"",IF(H126=1,C126,"")),IF(H126=1,C126,IF(H126=2,C126,IF(H126=0,"",""))))</f>
        <v/>
      </c>
      <c r="AF126" s="911">
        <f>IF(E126="YES",IF(I126=1,C126,""),IF(I126=1,C126,IF(I126=2,C126,IF(I126=0,"",""))))</f>
        <v/>
      </c>
      <c r="AG126" s="192">
        <f>(C126*G126)+(C126*H126)+(C126*I126)</f>
        <v/>
      </c>
    </row>
    <row r="127">
      <c r="B127" s="192" t="n"/>
      <c r="F127" s="192" t="n"/>
      <c r="G127" s="192" t="n"/>
      <c r="H127" s="192" t="n"/>
      <c r="J127" s="57" t="n"/>
      <c r="K127" s="57" t="n"/>
      <c r="L127" s="57" t="n"/>
      <c r="M127" s="57" t="n"/>
      <c r="N127" s="57" t="n"/>
      <c r="O127" s="57" t="n"/>
      <c r="AA127" s="640">
        <f>IF(G127=0, IF(OR(H127&gt;0,F127&gt;0),C127*F127,""),"")</f>
        <v/>
      </c>
      <c r="AB127" s="640">
        <f>IF(G127&gt;=1,IF(F127&gt;1,C127*(F127-2),""),"")</f>
        <v/>
      </c>
      <c r="AC127" s="640" t="n"/>
      <c r="AD127" s="911">
        <f>IF(E127="YES",IF(G127=1,"",""),IF(G127=1,C127,IF(G127=2,C127,IF(G127=0,"",""))))</f>
        <v/>
      </c>
      <c r="AE127" s="911">
        <f>IF(E127="YES",IF(G127=1,"",IF(H127=1,C127,"")),IF(H127=1,C127,IF(H127=2,C127,IF(H127=0,"",""))))</f>
        <v/>
      </c>
      <c r="AF127" s="911">
        <f>IF(E127="YES",IF(I127=1,C127,""),IF(I127=1,C127,IF(I127=2,C127,IF(I127=0,"",""))))</f>
        <v/>
      </c>
      <c r="AG127" s="192">
        <f>(C127*G127)+(C127*H127)+(C127*I127)</f>
        <v/>
      </c>
    </row>
    <row r="128">
      <c r="B128" s="192" t="n"/>
      <c r="F128" s="192" t="n"/>
      <c r="G128" s="192" t="n"/>
      <c r="H128" s="192" t="n"/>
      <c r="J128" s="57" t="n"/>
      <c r="K128" s="57" t="n"/>
      <c r="L128" s="57" t="n"/>
      <c r="M128" s="57" t="n"/>
      <c r="N128" s="57" t="n"/>
      <c r="O128" s="57" t="n"/>
      <c r="AA128" s="640">
        <f>IF(G128=0, IF(OR(H128&gt;0,F128&gt;0),C128*F128,""),"")</f>
        <v/>
      </c>
      <c r="AB128" s="640">
        <f>IF(G128&gt;=1,IF(F128&gt;1,C128*(F128-2),""),"")</f>
        <v/>
      </c>
      <c r="AC128" s="640" t="n"/>
      <c r="AD128" s="911">
        <f>IF(E128="YES",IF(G128=1,"",""),IF(G128=1,C128,IF(G128=2,C128,IF(G128=0,"",""))))</f>
        <v/>
      </c>
      <c r="AE128" s="911">
        <f>IF(E128="YES",IF(G128=1,"",IF(H128=1,C128,"")),IF(H128=1,C128,IF(H128=2,C128,IF(H128=0,"",""))))</f>
        <v/>
      </c>
      <c r="AF128" s="911">
        <f>IF(E128="YES",IF(I128=1,C128,""),IF(I128=1,C128,IF(I128=2,C128,IF(I128=0,"",""))))</f>
        <v/>
      </c>
      <c r="AG128" s="192">
        <f>(C128*G128)+(C128*H128)+(C128*I128)</f>
        <v/>
      </c>
    </row>
    <row r="129">
      <c r="B129" s="192" t="n"/>
      <c r="F129" s="192" t="n"/>
      <c r="G129" s="192" t="n"/>
      <c r="H129" s="192" t="n"/>
      <c r="J129" s="57" t="n"/>
      <c r="K129" s="57" t="n"/>
      <c r="L129" s="57" t="n"/>
      <c r="M129" s="57" t="n"/>
      <c r="N129" s="57" t="n"/>
      <c r="O129" s="57" t="n"/>
      <c r="AA129" s="640">
        <f>IF(G129=0, IF(OR(H129&gt;0,F129&gt;0),C129*F129,""),"")</f>
        <v/>
      </c>
      <c r="AB129" s="640">
        <f>IF(G129&gt;=1,IF(F129&gt;1,C129*(F129-2),""),"")</f>
        <v/>
      </c>
      <c r="AC129" s="640" t="n"/>
      <c r="AD129" s="911">
        <f>IF(E129="YES",IF(G129=1,"",""),IF(G129=1,C129,IF(G129=2,C129,IF(G129=0,"",""))))</f>
        <v/>
      </c>
      <c r="AE129" s="911">
        <f>IF(E129="YES",IF(G129=1,"",IF(H129=1,C129,"")),IF(H129=1,C129,IF(H129=2,C129,IF(H129=0,"",""))))</f>
        <v/>
      </c>
      <c r="AF129" s="911">
        <f>IF(E129="YES",IF(I129=1,C129,""),IF(I129=1,C129,IF(I129=2,C129,IF(I129=0,"",""))))</f>
        <v/>
      </c>
      <c r="AG129" s="192">
        <f>(C129*G129)+(C129*H129)+(C129*I129)</f>
        <v/>
      </c>
    </row>
    <row r="130">
      <c r="B130" s="192" t="n"/>
      <c r="F130" s="192" t="n"/>
      <c r="G130" s="192" t="n"/>
      <c r="H130" s="192" t="n"/>
      <c r="J130" s="57" t="n"/>
      <c r="K130" s="57" t="n"/>
      <c r="L130" s="57" t="n"/>
      <c r="M130" s="57" t="n"/>
      <c r="N130" s="57" t="n"/>
      <c r="O130" s="57" t="n"/>
      <c r="AA130" s="640">
        <f>IF(G130=0, IF(OR(H130&gt;0,F130&gt;0),C130*F130,""),"")</f>
        <v/>
      </c>
      <c r="AB130" s="640">
        <f>IF(G130&gt;=1,IF(F130&gt;1,C130*(F130-2),""),"")</f>
        <v/>
      </c>
      <c r="AC130" s="640" t="n"/>
      <c r="AD130" s="911">
        <f>IF(E130="YES",IF(G130=1,"",""),IF(G130=1,C130,IF(G130=2,C130,IF(G130=0,"",""))))</f>
        <v/>
      </c>
      <c r="AE130" s="911">
        <f>IF(E130="YES",IF(G130=1,"",IF(H130=1,C130,"")),IF(H130=1,C130,IF(H130=2,C130,IF(H130=0,"",""))))</f>
        <v/>
      </c>
      <c r="AF130" s="911">
        <f>IF(E130="YES",IF(I130=1,C130,""),IF(I130=1,C130,IF(I130=2,C130,IF(I130=0,"",""))))</f>
        <v/>
      </c>
      <c r="AG130" s="192">
        <f>(C130*G130)+(C130*H130)+(C130*I130)</f>
        <v/>
      </c>
    </row>
    <row r="131">
      <c r="B131" s="192" t="n"/>
      <c r="F131" s="192" t="n"/>
      <c r="G131" s="192" t="n"/>
      <c r="H131" s="192" t="n"/>
      <c r="J131" s="57" t="n"/>
      <c r="K131" s="57" t="n"/>
      <c r="L131" s="57" t="n"/>
      <c r="M131" s="57" t="n"/>
      <c r="N131" s="57" t="n"/>
      <c r="O131" s="57" t="n"/>
      <c r="AA131" s="640">
        <f>IF(G131=0, IF(OR(H131&gt;0,F131&gt;0),C131*F131,""),"")</f>
        <v/>
      </c>
      <c r="AB131" s="640">
        <f>IF(G131&gt;=1,IF(F131&gt;1,C131*(F131-2),""),"")</f>
        <v/>
      </c>
      <c r="AC131" s="640" t="n"/>
      <c r="AD131" s="911">
        <f>IF(E131="YES",IF(G131=1,"",""),IF(G131=1,C131,IF(G131=2,C131,IF(G131=0,"",""))))</f>
        <v/>
      </c>
      <c r="AE131" s="911">
        <f>IF(E131="YES",IF(G131=1,"",IF(H131=1,C131,"")),IF(H131=1,C131,IF(H131=2,C131,IF(H131=0,"",""))))</f>
        <v/>
      </c>
      <c r="AF131" s="911">
        <f>IF(E131="YES",IF(I131=1,C131,""),IF(I131=1,C131,IF(I131=2,C131,IF(I131=0,"",""))))</f>
        <v/>
      </c>
      <c r="AG131" s="192">
        <f>(C131*G131)+(C131*H131)+(C131*I131)</f>
        <v/>
      </c>
    </row>
    <row r="132">
      <c r="B132" s="192" t="n"/>
      <c r="F132" s="192" t="n"/>
      <c r="G132" s="192" t="n"/>
      <c r="H132" s="192" t="n"/>
      <c r="J132" s="57" t="n"/>
      <c r="K132" s="57" t="n"/>
      <c r="L132" s="57" t="n"/>
      <c r="M132" s="57" t="n"/>
      <c r="N132" s="57" t="n"/>
      <c r="O132" s="57" t="n"/>
      <c r="AA132" s="640">
        <f>IF(G132=0, IF(OR(H132&gt;0,F132&gt;0),C132*F132,""),"")</f>
        <v/>
      </c>
      <c r="AB132" s="640">
        <f>IF(G132&gt;=1,IF(F132&gt;1,C132*(F132-2),""),"")</f>
        <v/>
      </c>
      <c r="AC132" s="640" t="n"/>
      <c r="AD132" s="911">
        <f>IF(E132="YES",IF(G132=1,"",""),IF(G132=1,C132,IF(G132=2,C132,IF(G132=0,"",""))))</f>
        <v/>
      </c>
      <c r="AE132" s="911">
        <f>IF(E132="YES",IF(G132=1,"",IF(H132=1,C132,"")),IF(H132=1,C132,IF(H132=2,C132,IF(H132=0,"",""))))</f>
        <v/>
      </c>
      <c r="AF132" s="911">
        <f>IF(E132="YES",IF(I132=1,C132,""),IF(I132=1,C132,IF(I132=2,C132,IF(I132=0,"",""))))</f>
        <v/>
      </c>
      <c r="AG132" s="192">
        <f>(C132*G132)+(C132*H132)+(C132*I132)</f>
        <v/>
      </c>
    </row>
    <row r="133">
      <c r="B133" s="192" t="n"/>
      <c r="F133" s="192" t="n"/>
      <c r="G133" s="192" t="n"/>
      <c r="H133" s="192" t="n"/>
      <c r="J133" s="57" t="n"/>
      <c r="K133" s="57" t="n"/>
      <c r="L133" s="57" t="n"/>
      <c r="M133" s="57" t="n"/>
      <c r="N133" s="57" t="n"/>
      <c r="O133" s="57" t="n"/>
      <c r="AA133" s="640">
        <f>IF(G133=0, IF(OR(H133&gt;0,F133&gt;0),C133*F133,""),"")</f>
        <v/>
      </c>
      <c r="AB133" s="640">
        <f>IF(G133&gt;=1,IF(F133&gt;1,C133*(F133-2),""),"")</f>
        <v/>
      </c>
      <c r="AC133" s="640" t="n"/>
      <c r="AD133" s="911">
        <f>IF(E133="YES",IF(G133=1,"",""),IF(G133=1,C133,IF(G133=2,C133,IF(G133=0,"",""))))</f>
        <v/>
      </c>
      <c r="AE133" s="911">
        <f>IF(E133="YES",IF(G133=1,"",IF(H133=1,C133,"")),IF(H133=1,C133,IF(H133=2,C133,IF(H133=0,"",""))))</f>
        <v/>
      </c>
      <c r="AF133" s="911">
        <f>IF(E133="YES",IF(I133=1,C133,""),IF(I133=1,C133,IF(I133=2,C133,IF(I133=0,"",""))))</f>
        <v/>
      </c>
      <c r="AG133" s="192">
        <f>(C133*G133)+(C133*H133)+(C133*I133)</f>
        <v/>
      </c>
    </row>
    <row r="134">
      <c r="B134" s="192" t="n"/>
      <c r="F134" s="192" t="n"/>
      <c r="G134" s="192" t="n"/>
      <c r="H134" s="192" t="n"/>
      <c r="J134" s="57" t="n"/>
      <c r="K134" s="57" t="n"/>
      <c r="L134" s="57" t="n"/>
      <c r="M134" s="57" t="n"/>
      <c r="N134" s="57" t="n"/>
      <c r="O134" s="57" t="n"/>
      <c r="AA134" s="640">
        <f>IF(G134=0, IF(OR(H134&gt;0,F134&gt;0),C134*F134,""),"")</f>
        <v/>
      </c>
      <c r="AB134" s="640">
        <f>IF(G134&gt;=1,IF(F134&gt;1,C134*(F134-2),""),"")</f>
        <v/>
      </c>
      <c r="AC134" s="640" t="n"/>
      <c r="AD134" s="911">
        <f>IF(E134="YES",IF(G134=1,"",""),IF(G134=1,C134,IF(G134=2,C134,IF(G134=0,"",""))))</f>
        <v/>
      </c>
      <c r="AE134" s="911">
        <f>IF(E134="YES",IF(G134=1,"",IF(H134=1,C134,"")),IF(H134=1,C134,IF(H134=2,C134,IF(H134=0,"",""))))</f>
        <v/>
      </c>
      <c r="AF134" s="911">
        <f>IF(E134="YES",IF(I134=1,C134,""),IF(I134=1,C134,IF(I134=2,C134,IF(I134=0,"",""))))</f>
        <v/>
      </c>
      <c r="AG134" s="192">
        <f>(C134*G134)+(C134*H134)+(C134*I134)</f>
        <v/>
      </c>
    </row>
    <row r="135">
      <c r="B135" s="192" t="n"/>
      <c r="F135" s="192" t="n"/>
      <c r="G135" s="192" t="n"/>
      <c r="H135" s="192" t="n"/>
      <c r="J135" s="57" t="n"/>
      <c r="K135" s="57" t="n"/>
      <c r="L135" s="57" t="n"/>
      <c r="M135" s="57" t="n"/>
      <c r="N135" s="57" t="n"/>
      <c r="O135" s="57" t="n"/>
      <c r="AA135" s="640">
        <f>IF(G135=0, IF(OR(H135&gt;0,F135&gt;0),C135*F135,""),"")</f>
        <v/>
      </c>
      <c r="AB135" s="640">
        <f>IF(G135&gt;=1,IF(F135&gt;1,C135*(F135-2),""),"")</f>
        <v/>
      </c>
      <c r="AC135" s="640" t="n"/>
      <c r="AD135" s="911">
        <f>IF(E135="YES",IF(G135=1,"",""),IF(G135=1,C135,IF(G135=2,C135,IF(G135=0,"",""))))</f>
        <v/>
      </c>
      <c r="AE135" s="911">
        <f>IF(E135="YES",IF(G135=1,"",IF(H135=1,C135,"")),IF(H135=1,C135,IF(H135=2,C135,IF(H135=0,"",""))))</f>
        <v/>
      </c>
      <c r="AF135" s="911">
        <f>IF(E135="YES",IF(I135=1,C135,""),IF(I135=1,C135,IF(I135=2,C135,IF(I135=0,"",""))))</f>
        <v/>
      </c>
      <c r="AG135" s="192">
        <f>(C135*G135)+(C135*H135)+(C135*I135)</f>
        <v/>
      </c>
    </row>
    <row r="136">
      <c r="A136" s="109" t="n"/>
      <c r="B136" s="109" t="n"/>
      <c r="C136" s="109" t="n"/>
      <c r="J136" s="57" t="n"/>
      <c r="K136" s="57" t="n"/>
      <c r="L136" s="57" t="n"/>
      <c r="M136" s="57" t="n"/>
      <c r="N136" s="57" t="n"/>
      <c r="O136" s="57" t="n"/>
      <c r="AA136" s="640">
        <f>IF(G136=0, IF(OR(H136&gt;0,F136&gt;0),C136*F136,""),"")</f>
        <v/>
      </c>
      <c r="AB136" s="640">
        <f>IF(G136&gt;=1,IF(F136&gt;1,C136*(F136-2),""),"")</f>
        <v/>
      </c>
      <c r="AC136" s="640" t="n"/>
      <c r="AD136" s="911">
        <f>IF(E136="YES",IF(G136=1,"",""),IF(G136=1,C136,IF(G136=2,C136,IF(G136=0,"",""))))</f>
        <v/>
      </c>
      <c r="AE136" s="911">
        <f>IF(E136="YES",IF(G136=1,"",IF(H136=1,C136,"")),IF(H136=1,C136,IF(H136=2,C136,IF(H136=0,"",""))))</f>
        <v/>
      </c>
      <c r="AF136" s="911">
        <f>IF(E136="YES",IF(I136=1,C136,""),IF(I136=1,C136,IF(I136=2,C136,IF(I136=0,"",""))))</f>
        <v/>
      </c>
      <c r="AG136" s="192">
        <f>(C136*G136)+(C136*H136)+(C136*I136)</f>
        <v/>
      </c>
    </row>
    <row r="137">
      <c r="A137" s="109" t="n"/>
      <c r="B137" s="109" t="n"/>
      <c r="C137" s="109" t="n"/>
      <c r="J137" s="57" t="n"/>
      <c r="K137" s="57" t="n"/>
      <c r="L137" s="57" t="n"/>
      <c r="M137" s="57" t="n"/>
      <c r="N137" s="57" t="n"/>
      <c r="O137" s="57" t="n"/>
      <c r="AA137" s="640">
        <f>IF(G137=0, IF(OR(H137&gt;0,F137&gt;0),C137*F137,""),"")</f>
        <v/>
      </c>
      <c r="AB137" s="640">
        <f>IF(G137&gt;=1,IF(F137&gt;1,C137*(F137-2),""),"")</f>
        <v/>
      </c>
      <c r="AC137" s="640" t="n"/>
      <c r="AD137" s="911">
        <f>IF(E137="YES",IF(G137=1,"",""),IF(G137=1,C137,IF(G137=2,C137,IF(G137=0,"",""))))</f>
        <v/>
      </c>
      <c r="AE137" s="911">
        <f>IF(E137="YES",IF(G137=1,"",IF(H137=1,C137,"")),IF(H137=1,C137,IF(H137=2,C137,IF(H137=0,"",""))))</f>
        <v/>
      </c>
      <c r="AF137" s="911">
        <f>IF(E137="YES",IF(I137=1,C137,""),IF(I137=1,C137,IF(I137=2,C137,IF(I137=0,"",""))))</f>
        <v/>
      </c>
      <c r="AG137" s="192">
        <f>(C137*G137)+(C137*H137)+(C137*I137)</f>
        <v/>
      </c>
    </row>
    <row r="138">
      <c r="A138" s="109" t="n"/>
      <c r="B138" s="109" t="n"/>
      <c r="C138" s="109" t="n"/>
      <c r="J138" s="57" t="n"/>
      <c r="K138" s="57" t="n"/>
      <c r="L138" s="57" t="n"/>
      <c r="M138" s="57" t="n"/>
      <c r="N138" s="57" t="n"/>
      <c r="O138" s="57" t="n"/>
      <c r="AA138" s="640">
        <f>IF(G138=0, IF(OR(H138&gt;0,F138&gt;0),C138*F138,""),"")</f>
        <v/>
      </c>
      <c r="AB138" s="640">
        <f>IF(G138&gt;=1,IF(F138&gt;1,C138*(F138-2),""),"")</f>
        <v/>
      </c>
      <c r="AC138" s="640" t="n"/>
      <c r="AD138" s="911">
        <f>IF(E138="YES",IF(G138=1,"",""),IF(G138=1,C138,IF(G138=2,C138,IF(G138=0,"",""))))</f>
        <v/>
      </c>
      <c r="AE138" s="911">
        <f>IF(E138="YES",IF(G138=1,"",IF(H138=1,C138,"")),IF(H138=1,C138,IF(H138=2,C138,IF(H138=0,"",""))))</f>
        <v/>
      </c>
      <c r="AF138" s="911">
        <f>IF(E138="YES",IF(I138=1,C138,""),IF(I138=1,C138,IF(I138=2,C138,IF(I138=0,"",""))))</f>
        <v/>
      </c>
      <c r="AG138" s="192">
        <f>(C138*G138)+(C138*H138)+(C138*I138)</f>
        <v/>
      </c>
    </row>
    <row r="139">
      <c r="A139" s="109" t="n"/>
      <c r="B139" s="109" t="n"/>
      <c r="C139" s="109" t="n"/>
      <c r="J139" s="57" t="n"/>
      <c r="K139" s="57" t="n"/>
      <c r="L139" s="57" t="n"/>
      <c r="M139" s="57" t="n"/>
      <c r="N139" s="57" t="n"/>
      <c r="O139" s="57" t="n"/>
      <c r="AA139" s="640">
        <f>IF(G139=0, IF(OR(H139&gt;0,F139&gt;0),C139*F139,""),"")</f>
        <v/>
      </c>
      <c r="AB139" s="640">
        <f>IF(G139&gt;=1,IF(F139&gt;1,C139*(F139-2),""),"")</f>
        <v/>
      </c>
      <c r="AC139" s="640" t="n"/>
      <c r="AD139" s="911">
        <f>IF(E139="YES",IF(G139=1,"",""),IF(G139=1,C139,IF(G139=2,C139,IF(G139=0,"",""))))</f>
        <v/>
      </c>
      <c r="AE139" s="911">
        <f>IF(E139="YES",IF(G139=1,"",IF(H139=1,C139,"")),IF(H139=1,C139,IF(H139=2,C139,IF(H139=0,"",""))))</f>
        <v/>
      </c>
      <c r="AF139" s="911">
        <f>IF(E139="YES",IF(I139=1,C139,""),IF(I139=1,C139,IF(I139=2,C139,IF(I139=0,"",""))))</f>
        <v/>
      </c>
      <c r="AG139" s="192">
        <f>(C139*G139)+(C139*H139)+(C139*I139)</f>
        <v/>
      </c>
    </row>
    <row r="140">
      <c r="A140" s="109" t="n"/>
      <c r="B140" s="109" t="n"/>
      <c r="C140" s="109" t="n"/>
      <c r="J140" s="57" t="n"/>
      <c r="K140" s="57" t="n"/>
      <c r="L140" s="57" t="n"/>
      <c r="M140" s="57" t="n"/>
      <c r="N140" s="57" t="n"/>
      <c r="O140" s="57" t="n"/>
      <c r="AA140" s="640">
        <f>IF(G140=0, IF(OR(H140&gt;0,F140&gt;0),C140*F140,""),"")</f>
        <v/>
      </c>
      <c r="AB140" s="640">
        <f>IF(G140&gt;=1,IF(F140&gt;1,C140*(F140-2),""),"")</f>
        <v/>
      </c>
      <c r="AC140" s="640" t="n"/>
      <c r="AD140" s="911">
        <f>IF(E140="YES",IF(G140=1,"",""),IF(G140=1,C140,IF(G140=2,C140,IF(G140=0,"",""))))</f>
        <v/>
      </c>
      <c r="AE140" s="911">
        <f>IF(E140="YES",IF(G140=1,"",IF(H140=1,C140,"")),IF(H140=1,C140,IF(H140=2,C140,IF(H140=0,"",""))))</f>
        <v/>
      </c>
      <c r="AF140" s="911">
        <f>IF(E140="YES",IF(I140=1,C140,""),IF(I140=1,C140,IF(I140=2,C140,IF(I140=0,"",""))))</f>
        <v/>
      </c>
      <c r="AG140" s="192">
        <f>(C140*G140)+(C140*H140)+(C140*I140)</f>
        <v/>
      </c>
    </row>
    <row r="141">
      <c r="A141" s="109" t="n"/>
      <c r="B141" s="109" t="n"/>
      <c r="C141" s="109" t="n"/>
      <c r="J141" s="57" t="n"/>
      <c r="K141" s="57" t="n"/>
      <c r="L141" s="57" t="n"/>
      <c r="M141" s="57" t="n"/>
      <c r="N141" s="57" t="n"/>
      <c r="O141" s="57" t="n"/>
      <c r="AA141" s="640">
        <f>IF(G141=0, IF(OR(H141&gt;0,F141&gt;0),C141*F141,""),"")</f>
        <v/>
      </c>
      <c r="AB141" s="640">
        <f>IF(G141&gt;=1,IF(F141&gt;1,C141*(F141-2),""),"")</f>
        <v/>
      </c>
      <c r="AC141" s="640" t="n"/>
      <c r="AD141" s="911">
        <f>IF(E141="YES",IF(G141=1,"",""),IF(G141=1,C141,IF(G141=2,C141,IF(G141=0,"",""))))</f>
        <v/>
      </c>
      <c r="AE141" s="911">
        <f>IF(E141="YES",IF(G141=1,"",IF(H141=1,C141,"")),IF(H141=1,C141,IF(H141=2,C141,IF(H141=0,"",""))))</f>
        <v/>
      </c>
      <c r="AF141" s="911">
        <f>IF(E141="YES",IF(I141=1,C141,""),IF(I141=1,C141,IF(I141=2,C141,IF(I141=0,"",""))))</f>
        <v/>
      </c>
      <c r="AG141" s="192">
        <f>(C141*G141)+(C141*H141)+(C141*I141)</f>
        <v/>
      </c>
    </row>
    <row r="142">
      <c r="A142" s="109" t="n"/>
      <c r="B142" s="109" t="n"/>
      <c r="C142" s="109" t="n"/>
      <c r="J142" s="57" t="n"/>
      <c r="K142" s="57" t="n"/>
      <c r="L142" s="57" t="n"/>
      <c r="M142" s="57" t="n"/>
      <c r="N142" s="57" t="n"/>
      <c r="O142" s="57" t="n"/>
      <c r="AA142" s="640">
        <f>IF(G142=0, IF(OR(H142&gt;0,F142&gt;0),C142*F142,""),"")</f>
        <v/>
      </c>
      <c r="AB142" s="640">
        <f>IF(G142&gt;=1,IF(F142&gt;1,C142*(F142-2),""),"")</f>
        <v/>
      </c>
      <c r="AC142" s="640" t="n"/>
      <c r="AD142" s="911">
        <f>IF(E142="YES",IF(G142=1,"",""),IF(G142=1,C142,IF(G142=2,C142,IF(G142=0,"",""))))</f>
        <v/>
      </c>
      <c r="AE142" s="911">
        <f>IF(E142="YES",IF(G142=1,"",IF(H142=1,C142,"")),IF(H142=1,C142,IF(H142=2,C142,IF(H142=0,"",""))))</f>
        <v/>
      </c>
      <c r="AF142" s="911">
        <f>IF(E142="YES",IF(I142=1,C142,""),IF(I142=1,C142,IF(I142=2,C142,IF(I142=0,"",""))))</f>
        <v/>
      </c>
      <c r="AG142" s="192">
        <f>(C142*G142)+(C142*H142)+(C142*I142)</f>
        <v/>
      </c>
    </row>
    <row r="143">
      <c r="A143" s="109" t="n"/>
      <c r="B143" s="109" t="n"/>
      <c r="C143" s="109" t="n"/>
      <c r="J143" s="57" t="n"/>
      <c r="K143" s="57" t="n"/>
      <c r="L143" s="57" t="n"/>
      <c r="M143" s="57" t="n"/>
      <c r="N143" s="57" t="n"/>
      <c r="O143" s="57" t="n"/>
      <c r="AA143" s="640">
        <f>IF(G143=0, IF(OR(H143&gt;0,F143&gt;0),C143*F143,""),"")</f>
        <v/>
      </c>
      <c r="AB143" s="640">
        <f>IF(G143&gt;=1,IF(F143&gt;1,C143*(F143-2),""),"")</f>
        <v/>
      </c>
      <c r="AC143" s="640" t="n"/>
      <c r="AD143" s="911">
        <f>IF(E143="YES",IF(G143=1,"",""),IF(G143=1,C143,IF(G143=2,C143,IF(G143=0,"",""))))</f>
        <v/>
      </c>
      <c r="AE143" s="911">
        <f>IF(E143="YES",IF(G143=1,"",IF(H143=1,C143,"")),IF(H143=1,C143,IF(H143=2,C143,IF(H143=0,"",""))))</f>
        <v/>
      </c>
      <c r="AF143" s="911">
        <f>IF(E143="YES",IF(I143=1,C143,""),IF(I143=1,C143,IF(I143=2,C143,IF(I143=0,"",""))))</f>
        <v/>
      </c>
      <c r="AG143" s="192">
        <f>(C143*G143)+(C143*H143)+(C143*I143)</f>
        <v/>
      </c>
    </row>
    <row r="144">
      <c r="A144" s="109" t="n"/>
      <c r="B144" s="109" t="n"/>
      <c r="C144" s="109" t="n"/>
      <c r="J144" s="57" t="n"/>
      <c r="K144" s="57" t="n"/>
      <c r="L144" s="57" t="n"/>
      <c r="M144" s="57" t="n"/>
      <c r="N144" s="57" t="n"/>
      <c r="O144" s="57" t="n"/>
      <c r="AA144" s="640">
        <f>IF(G144=0, IF(OR(H144&gt;0,F144&gt;0),C144*F144,""),"")</f>
        <v/>
      </c>
      <c r="AB144" s="640">
        <f>IF(G144&gt;=1,IF(F144&gt;1,C144*(F144-2),""),"")</f>
        <v/>
      </c>
      <c r="AC144" s="640" t="n"/>
      <c r="AD144" s="911">
        <f>IF(E144="YES",IF(G144=1,"",""),IF(G144=1,C144,IF(G144=2,C144,IF(G144=0,"",""))))</f>
        <v/>
      </c>
      <c r="AE144" s="911">
        <f>IF(E144="YES",IF(G144=1,"",IF(H144=1,C144,"")),IF(H144=1,C144,IF(H144=2,C144,IF(H144=0,"",""))))</f>
        <v/>
      </c>
      <c r="AF144" s="911">
        <f>IF(E144="YES",IF(I144=1,C144,""),IF(I144=1,C144,IF(I144=2,C144,IF(I144=0,"",""))))</f>
        <v/>
      </c>
      <c r="AG144" s="192">
        <f>(C144*G144)+(C144*H144)+(C144*I144)</f>
        <v/>
      </c>
    </row>
    <row r="145">
      <c r="A145" s="109" t="n"/>
      <c r="B145" s="109" t="n"/>
      <c r="C145" s="109" t="n"/>
      <c r="J145" s="57" t="n"/>
      <c r="K145" s="57" t="n"/>
      <c r="L145" s="57" t="n"/>
      <c r="M145" s="57" t="n"/>
      <c r="N145" s="57" t="n"/>
      <c r="O145" s="57" t="n"/>
      <c r="AA145" s="640">
        <f>IF(G145=0, IF(OR(H145&gt;0,F145&gt;0),C145*F145,""),"")</f>
        <v/>
      </c>
      <c r="AB145" s="640">
        <f>IF(G145&gt;=1,IF(F145&gt;1,C145*(F145-2),""),"")</f>
        <v/>
      </c>
      <c r="AC145" s="640" t="n"/>
      <c r="AD145" s="911">
        <f>IF(E145="YES",IF(G145=1,"",""),IF(G145=1,C145,IF(G145=2,C145,IF(G145=0,"",""))))</f>
        <v/>
      </c>
      <c r="AE145" s="911">
        <f>IF(E145="YES",IF(G145=1,"",IF(H145=1,C145,"")),IF(H145=1,C145,IF(H145=2,C145,IF(H145=0,"",""))))</f>
        <v/>
      </c>
      <c r="AF145" s="911">
        <f>IF(E145="YES",IF(I145=1,C145,""),IF(I145=1,C145,IF(I145=2,C145,IF(I145=0,"",""))))</f>
        <v/>
      </c>
      <c r="AG145" s="192">
        <f>(C145*G145)+(C145*H145)+(C145*I145)</f>
        <v/>
      </c>
    </row>
    <row r="146">
      <c r="A146" s="109" t="n"/>
      <c r="B146" s="109" t="n"/>
      <c r="C146" s="109" t="n"/>
      <c r="J146" s="57" t="n"/>
      <c r="K146" s="57" t="n"/>
      <c r="L146" s="57" t="n"/>
      <c r="M146" s="57" t="n"/>
      <c r="N146" s="57" t="n"/>
      <c r="O146" s="57" t="n"/>
      <c r="AA146" s="640">
        <f>IF(G146=0, IF(OR(H146&gt;0,F146&gt;0),C146*F146,""),"")</f>
        <v/>
      </c>
      <c r="AB146" s="640">
        <f>IF(G146&gt;=1,IF(F146&gt;1,C146*(F146-2),""),"")</f>
        <v/>
      </c>
      <c r="AC146" s="640" t="n"/>
      <c r="AD146" s="911">
        <f>IF(E146="YES",IF(G146=1,"",""),IF(G146=1,C146,IF(G146=2,C146,IF(G146=0,"",""))))</f>
        <v/>
      </c>
      <c r="AE146" s="911">
        <f>IF(E146="YES",IF(G146=1,"",IF(H146=1,C146,"")),IF(H146=1,C146,IF(H146=2,C146,IF(H146=0,"",""))))</f>
        <v/>
      </c>
      <c r="AF146" s="911">
        <f>IF(E146="YES",IF(I146=1,C146,""),IF(I146=1,C146,IF(I146=2,C146,IF(I146=0,"",""))))</f>
        <v/>
      </c>
      <c r="AG146" s="192">
        <f>(C146*G146)+(C146*H146)+(C146*I146)</f>
        <v/>
      </c>
    </row>
    <row r="147">
      <c r="A147" s="109" t="n"/>
      <c r="B147" s="109" t="n"/>
      <c r="C147" s="109" t="n"/>
      <c r="J147" s="57" t="n"/>
      <c r="K147" s="57" t="n"/>
      <c r="L147" s="57" t="n"/>
      <c r="M147" s="57" t="n"/>
      <c r="N147" s="57" t="n"/>
      <c r="O147" s="57" t="n"/>
      <c r="AA147" s="640">
        <f>IF(G147=0, IF(OR(H147&gt;0,F147&gt;0),C147*F147,""),"")</f>
        <v/>
      </c>
      <c r="AB147" s="640">
        <f>IF(G147&gt;=1,IF(F147&gt;1,C147*(F147-2),""),"")</f>
        <v/>
      </c>
      <c r="AC147" s="640" t="n"/>
      <c r="AD147" s="911">
        <f>IF(E147="YES",IF(G147=1,"",""),IF(G147=1,C147,IF(G147=2,C147,IF(G147=0,"",""))))</f>
        <v/>
      </c>
      <c r="AE147" s="911">
        <f>IF(E147="YES",IF(G147=1,"",IF(H147=1,C147,"")),IF(H147=1,C147,IF(H147=2,C147,IF(H147=0,"",""))))</f>
        <v/>
      </c>
      <c r="AF147" s="911">
        <f>IF(E147="YES",IF(I147=1,C147,""),IF(I147=1,C147,IF(I147=2,C147,IF(I147=0,"",""))))</f>
        <v/>
      </c>
      <c r="AG147" s="192">
        <f>(C147*G147)+(C147*H147)+(C147*I147)</f>
        <v/>
      </c>
    </row>
    <row r="148">
      <c r="A148" s="109" t="n"/>
      <c r="B148" s="109" t="n"/>
      <c r="C148" s="109" t="n"/>
      <c r="J148" s="57" t="n"/>
      <c r="K148" s="57" t="n"/>
      <c r="L148" s="57" t="n"/>
      <c r="M148" s="57" t="n"/>
      <c r="N148" s="57" t="n"/>
      <c r="O148" s="57" t="n"/>
      <c r="AA148" s="640">
        <f>IF(G148=0, IF(OR(H148&gt;0,F148&gt;0),C148*F148,""),"")</f>
        <v/>
      </c>
      <c r="AB148" s="640">
        <f>IF(G148&gt;=1,IF(F148&gt;1,C148*(F148-2),""),"")</f>
        <v/>
      </c>
      <c r="AC148" s="640" t="n"/>
      <c r="AD148" s="911">
        <f>IF(E148="YES",IF(G148=1,"",""),IF(G148=1,C148,IF(G148=2,C148,IF(G148=0,"",""))))</f>
        <v/>
      </c>
      <c r="AE148" s="911">
        <f>IF(E148="YES",IF(G148=1,"",IF(H148=1,C148,"")),IF(H148=1,C148,IF(H148=2,C148,IF(H148=0,"",""))))</f>
        <v/>
      </c>
      <c r="AF148" s="911">
        <f>IF(E148="YES",IF(I148=1,C148,""),IF(I148=1,C148,IF(I148=2,C148,IF(I148=0,"",""))))</f>
        <v/>
      </c>
      <c r="AG148" s="192">
        <f>(C148*G148)+(C148*H148)+(C148*I148)</f>
        <v/>
      </c>
    </row>
    <row r="149">
      <c r="A149" s="109" t="n"/>
      <c r="B149" s="109" t="n"/>
      <c r="C149" s="109" t="n"/>
      <c r="J149" s="57" t="n"/>
      <c r="K149" s="57" t="n"/>
      <c r="L149" s="57" t="n"/>
      <c r="M149" s="57" t="n"/>
      <c r="N149" s="57" t="n"/>
      <c r="O149" s="57" t="n"/>
      <c r="AA149" s="640">
        <f>IF(G149=0, IF(OR(H149&gt;0,F149&gt;0),C149*F149,""),"")</f>
        <v/>
      </c>
      <c r="AB149" s="640">
        <f>IF(G149&gt;=1,IF(F149&gt;1,C149*(F149-2),""),"")</f>
        <v/>
      </c>
      <c r="AC149" s="640" t="n"/>
      <c r="AD149" s="911">
        <f>IF(E149="YES",IF(G149=1,"",""),IF(G149=1,C149,IF(G149=2,C149,IF(G149=0,"",""))))</f>
        <v/>
      </c>
      <c r="AE149" s="911">
        <f>IF(E149="YES",IF(G149=1,"",IF(H149=1,C149,"")),IF(H149=1,C149,IF(H149=2,C149,IF(H149=0,"",""))))</f>
        <v/>
      </c>
      <c r="AF149" s="911">
        <f>IF(E149="YES",IF(I149=1,C149,""),IF(I149=1,C149,IF(I149=2,C149,IF(I149=0,"",""))))</f>
        <v/>
      </c>
      <c r="AG149" s="192">
        <f>(C149*G149)+(C149*H149)+(C149*I149)</f>
        <v/>
      </c>
    </row>
    <row r="150">
      <c r="A150" s="109" t="n"/>
      <c r="B150" s="109" t="n"/>
      <c r="C150" s="109" t="n"/>
      <c r="J150" s="57" t="n"/>
      <c r="K150" s="57" t="n"/>
      <c r="L150" s="57" t="n"/>
      <c r="M150" s="57" t="n"/>
      <c r="N150" s="57" t="n"/>
      <c r="O150" s="57" t="n"/>
      <c r="AA150" s="640">
        <f>IF(G150=0, IF(OR(H150&gt;0,F150&gt;0),C150*F150,""),"")</f>
        <v/>
      </c>
      <c r="AB150" s="640">
        <f>IF(G150&gt;=1,IF(F150&gt;1,C150*(F150-2),""),"")</f>
        <v/>
      </c>
      <c r="AC150" s="640" t="n"/>
      <c r="AD150" s="911">
        <f>IF(E150="YES",IF(G150=1,"",""),IF(G150=1,C150,IF(G150=2,C150,IF(G150=0,"",""))))</f>
        <v/>
      </c>
      <c r="AE150" s="911">
        <f>IF(E150="YES",IF(G150=1,"",IF(H150=1,C150,"")),IF(H150=1,C150,IF(H150=2,C150,IF(H150=0,"",""))))</f>
        <v/>
      </c>
      <c r="AF150" s="911">
        <f>IF(E150="YES",IF(I150=1,C150,""),IF(I150=1,C150,IF(I150=2,C150,IF(I150=0,"",""))))</f>
        <v/>
      </c>
      <c r="AG150" s="192">
        <f>(C150*G150)+(C150*H150)+(C150*I150)</f>
        <v/>
      </c>
    </row>
    <row r="151">
      <c r="A151" s="109" t="n"/>
      <c r="B151" s="109" t="n"/>
      <c r="C151" s="109" t="n"/>
      <c r="J151" s="57" t="n"/>
      <c r="K151" s="57" t="n"/>
      <c r="L151" s="57" t="n"/>
      <c r="M151" s="57" t="n"/>
      <c r="N151" s="57" t="n"/>
      <c r="O151" s="57" t="n"/>
      <c r="AA151" s="640">
        <f>IF(G151=0, IF(OR(H151&gt;0,F151&gt;0),C151*F151,""),"")</f>
        <v/>
      </c>
      <c r="AB151" s="640">
        <f>IF(G151&gt;=1,IF(F151&gt;1,C151*(F151-2),""),"")</f>
        <v/>
      </c>
      <c r="AC151" s="640" t="n"/>
      <c r="AD151" s="911">
        <f>IF(E151="YES",IF(G151=1,"",""),IF(G151=1,C151,IF(G151=2,C151,IF(G151=0,"",""))))</f>
        <v/>
      </c>
      <c r="AE151" s="911">
        <f>IF(E151="YES",IF(G151=1,"",IF(H151=1,C151,"")),IF(H151=1,C151,IF(H151=2,C151,IF(H151=0,"",""))))</f>
        <v/>
      </c>
      <c r="AF151" s="911">
        <f>IF(E151="YES",IF(I151=1,C151,""),IF(I151=1,C151,IF(I151=2,C151,IF(I151=0,"",""))))</f>
        <v/>
      </c>
      <c r="AG151" s="192">
        <f>(C151*G151)+(C151*H151)+(C151*I151)</f>
        <v/>
      </c>
    </row>
    <row r="152">
      <c r="A152" s="109" t="n"/>
      <c r="B152" s="109" t="n"/>
      <c r="C152" s="109" t="n"/>
      <c r="J152" s="57" t="n"/>
      <c r="K152" s="57" t="n"/>
      <c r="L152" s="57" t="n"/>
      <c r="M152" s="57" t="n"/>
      <c r="N152" s="57" t="n"/>
      <c r="O152" s="57" t="n"/>
      <c r="AA152" s="640">
        <f>IF(G152=0, IF(OR(H152&gt;0,F152&gt;0),C152*F152,""),"")</f>
        <v/>
      </c>
      <c r="AB152" s="640">
        <f>IF(G152&gt;=1,IF(F152&gt;1,C152*(F152-2),""),"")</f>
        <v/>
      </c>
      <c r="AC152" s="640" t="n"/>
      <c r="AD152" s="911">
        <f>IF(E152="YES",IF(G152=1,"",""),IF(G152=1,C152,IF(G152=2,C152,IF(G152=0,"",""))))</f>
        <v/>
      </c>
      <c r="AE152" s="911">
        <f>IF(E152="YES",IF(G152=1,"",IF(H152=1,C152,"")),IF(H152=1,C152,IF(H152=2,C152,IF(H152=0,"",""))))</f>
        <v/>
      </c>
      <c r="AF152" s="911">
        <f>IF(E152="YES",IF(I152=1,C152,""),IF(I152=1,C152,IF(I152=2,C152,IF(I152=0,"",""))))</f>
        <v/>
      </c>
      <c r="AG152" s="192">
        <f>(C152*G152)+(C152*H152)+(C152*I152)</f>
        <v/>
      </c>
    </row>
    <row r="153">
      <c r="A153" s="109" t="n"/>
      <c r="B153" s="109" t="n"/>
      <c r="C153" s="109" t="n"/>
      <c r="J153" s="57" t="n"/>
      <c r="K153" s="57" t="n"/>
      <c r="L153" s="57" t="n"/>
      <c r="M153" s="57" t="n"/>
      <c r="N153" s="57" t="n"/>
      <c r="O153" s="57" t="n"/>
      <c r="AA153" s="640">
        <f>IF(G153=0, IF(OR(H153&gt;0,F153&gt;0),C153*F153,""),"")</f>
        <v/>
      </c>
      <c r="AB153" s="640">
        <f>IF(G153&gt;=1,IF(F153&gt;1,C153*(F153-2),""),"")</f>
        <v/>
      </c>
      <c r="AC153" s="640" t="n"/>
      <c r="AD153" s="911">
        <f>IF(E153="YES",IF(G153=1,"",""),IF(G153=1,C153,IF(G153=2,C153,IF(G153=0,"",""))))</f>
        <v/>
      </c>
      <c r="AE153" s="911">
        <f>IF(E153="YES",IF(G153=1,"",IF(H153=1,C153,"")),IF(H153=1,C153,IF(H153=2,C153,IF(H153=0,"",""))))</f>
        <v/>
      </c>
      <c r="AF153" s="911">
        <f>IF(E153="YES",IF(I153=1,C153,""),IF(I153=1,C153,IF(I153=2,C153,IF(I153=0,"",""))))</f>
        <v/>
      </c>
      <c r="AG153" s="192">
        <f>(C153*G153)+(C153*H153)+(C153*I153)</f>
        <v/>
      </c>
    </row>
    <row r="154">
      <c r="A154" s="109" t="n"/>
      <c r="B154" s="109" t="n"/>
      <c r="C154" s="109" t="n"/>
      <c r="J154" s="57" t="n"/>
      <c r="K154" s="57" t="n"/>
      <c r="L154" s="57" t="n"/>
      <c r="M154" s="57" t="n"/>
      <c r="N154" s="57" t="n"/>
      <c r="O154" s="57" t="n"/>
      <c r="AA154" s="640">
        <f>IF(G154=0, IF(OR(H154&gt;0,F154&gt;0),C154*F154,""),"")</f>
        <v/>
      </c>
      <c r="AB154" s="640">
        <f>IF(G154&gt;=1,IF(F154&gt;1,C154*(F154-2),""),"")</f>
        <v/>
      </c>
      <c r="AC154" s="640" t="n"/>
      <c r="AD154" s="911">
        <f>IF(E154="YES",IF(G154=1,"",""),IF(G154=1,C154,IF(G154=2,C154,IF(G154=0,"",""))))</f>
        <v/>
      </c>
      <c r="AE154" s="911">
        <f>IF(E154="YES",IF(G154=1,"",IF(H154=1,C154,"")),IF(H154=1,C154,IF(H154=2,C154,IF(H154=0,"",""))))</f>
        <v/>
      </c>
      <c r="AF154" s="911">
        <f>IF(E154="YES",IF(I154=1,C154,""),IF(I154=1,C154,IF(I154=2,C154,IF(I154=0,"",""))))</f>
        <v/>
      </c>
      <c r="AG154" s="192">
        <f>(C154*G154)+(C154*H154)+(C154*I154)</f>
        <v/>
      </c>
    </row>
    <row r="155">
      <c r="A155" s="109" t="n"/>
      <c r="B155" s="109" t="n"/>
      <c r="C155" s="109" t="n"/>
      <c r="J155" s="57" t="n"/>
      <c r="K155" s="57" t="n"/>
      <c r="L155" s="57" t="n"/>
      <c r="M155" s="57" t="n"/>
      <c r="N155" s="57" t="n"/>
      <c r="O155" s="57" t="n"/>
      <c r="AA155" s="640">
        <f>IF(G155=0, IF(OR(H155&gt;0,F155&gt;0),C155*F155,""),"")</f>
        <v/>
      </c>
      <c r="AB155" s="640">
        <f>IF(G155&gt;=1,IF(F155&gt;1,C155*(F155-2),""),"")</f>
        <v/>
      </c>
      <c r="AC155" s="640" t="n"/>
      <c r="AD155" s="911">
        <f>IF(E155="YES",IF(G155=1,"",""),IF(G155=1,C155,IF(G155=2,C155,IF(G155=0,"",""))))</f>
        <v/>
      </c>
      <c r="AE155" s="911">
        <f>IF(E155="YES",IF(G155=1,"",IF(H155=1,C155,"")),IF(H155=1,C155,IF(H155=2,C155,IF(H155=0,"",""))))</f>
        <v/>
      </c>
      <c r="AF155" s="911">
        <f>IF(E155="YES",IF(I155=1,C155,""),IF(I155=1,C155,IF(I155=2,C155,IF(I155=0,"",""))))</f>
        <v/>
      </c>
      <c r="AG155" s="192">
        <f>(C155*G155)+(C155*H155)+(C155*I155)</f>
        <v/>
      </c>
    </row>
    <row r="156">
      <c r="A156" s="109" t="n"/>
      <c r="B156" s="109" t="n"/>
      <c r="C156" s="109" t="n"/>
      <c r="J156" s="57" t="n"/>
      <c r="K156" s="57" t="n"/>
      <c r="L156" s="57" t="n"/>
      <c r="M156" s="57" t="n"/>
      <c r="N156" s="57" t="n"/>
      <c r="O156" s="57" t="n"/>
      <c r="AA156" s="640">
        <f>IF(G156=0, IF(OR(H156&gt;0,F156&gt;0),C156*F156,""),"")</f>
        <v/>
      </c>
      <c r="AB156" s="640">
        <f>IF(G156&gt;=1,IF(F156&gt;1,C156*(F156-2),""),"")</f>
        <v/>
      </c>
      <c r="AC156" s="640" t="n"/>
      <c r="AD156" s="911">
        <f>IF(E156="YES",IF(G156=1,"",""),IF(G156=1,C156,IF(G156=2,C156,IF(G156=0,"",""))))</f>
        <v/>
      </c>
      <c r="AE156" s="911">
        <f>IF(E156="YES",IF(G156=1,"",IF(H156=1,C156,"")),IF(H156=1,C156,IF(H156=2,C156,IF(H156=0,"",""))))</f>
        <v/>
      </c>
      <c r="AF156" s="911">
        <f>IF(E156="YES",IF(I156=1,C156,""),IF(I156=1,C156,IF(I156=2,C156,IF(I156=0,"",""))))</f>
        <v/>
      </c>
      <c r="AG156" s="192">
        <f>(C156*G156)+(C156*H156)+(C156*I156)</f>
        <v/>
      </c>
    </row>
    <row r="157">
      <c r="A157" s="109" t="n"/>
      <c r="B157" s="109" t="n"/>
      <c r="C157" s="109" t="n"/>
      <c r="J157" s="57" t="n"/>
      <c r="K157" s="57" t="n"/>
      <c r="L157" s="57" t="n"/>
      <c r="M157" s="57" t="n"/>
      <c r="N157" s="57" t="n"/>
      <c r="O157" s="57" t="n"/>
      <c r="AA157" s="640">
        <f>IF(G157=0, IF(OR(H157&gt;0,F157&gt;0),C157*F157,""),"")</f>
        <v/>
      </c>
      <c r="AB157" s="640">
        <f>IF(G157&gt;=1,IF(F157&gt;1,C157*(F157-2),""),"")</f>
        <v/>
      </c>
      <c r="AC157" s="640" t="n"/>
      <c r="AD157" s="911">
        <f>IF(E157="YES",IF(G157=1,"",""),IF(G157=1,C157,IF(G157=2,C157,IF(G157=0,"",""))))</f>
        <v/>
      </c>
      <c r="AE157" s="911">
        <f>IF(E157="YES",IF(G157=1,"",IF(H157=1,C157,"")),IF(H157=1,C157,IF(H157=2,C157,IF(H157=0,"",""))))</f>
        <v/>
      </c>
      <c r="AF157" s="911">
        <f>IF(E157="YES",IF(I157=1,C157,""),IF(I157=1,C157,IF(I157=2,C157,IF(I157=0,"",""))))</f>
        <v/>
      </c>
      <c r="AG157" s="192">
        <f>(C157*G157)+(C157*H157)+(C157*I157)</f>
        <v/>
      </c>
    </row>
    <row r="158">
      <c r="A158" s="109" t="n"/>
      <c r="B158" s="109" t="n"/>
      <c r="C158" s="109" t="n"/>
      <c r="J158" s="57" t="n"/>
      <c r="K158" s="57" t="n"/>
      <c r="L158" s="57" t="n"/>
      <c r="M158" s="57" t="n"/>
      <c r="N158" s="57" t="n"/>
      <c r="O158" s="57" t="n"/>
      <c r="AA158" s="640">
        <f>IF(G158=0, IF(OR(H158&gt;0,F158&gt;0),C158*F158,""),"")</f>
        <v/>
      </c>
      <c r="AB158" s="640">
        <f>IF(G158&gt;=1,IF(F158&gt;1,C158*(F158-2),""),"")</f>
        <v/>
      </c>
      <c r="AC158" s="640" t="n"/>
      <c r="AD158" s="911">
        <f>IF(E158="YES",IF(G158=1,"",""),IF(G158=1,C158,IF(G158=2,C158,IF(G158=0,"",""))))</f>
        <v/>
      </c>
      <c r="AE158" s="911">
        <f>IF(E158="YES",IF(G158=1,"",IF(H158=1,C158,"")),IF(H158=1,C158,IF(H158=2,C158,IF(H158=0,"",""))))</f>
        <v/>
      </c>
      <c r="AF158" s="911">
        <f>IF(E158="YES",IF(I158=1,C158,""),IF(I158=1,C158,IF(I158=2,C158,IF(I158=0,"",""))))</f>
        <v/>
      </c>
      <c r="AG158" s="192">
        <f>(C158*G158)+(C158*H158)+(C158*I158)</f>
        <v/>
      </c>
    </row>
    <row r="159">
      <c r="A159" s="109" t="n"/>
      <c r="B159" s="109" t="n"/>
      <c r="C159" s="109" t="n"/>
      <c r="J159" s="57" t="n"/>
      <c r="K159" s="57" t="n"/>
      <c r="L159" s="57" t="n"/>
      <c r="M159" s="57" t="n"/>
      <c r="N159" s="57" t="n"/>
      <c r="O159" s="57" t="n"/>
      <c r="AA159" s="640">
        <f>IF(G159=0, IF(OR(H159&gt;0,F159&gt;0),C159*F159,""),"")</f>
        <v/>
      </c>
      <c r="AB159" s="640">
        <f>IF(G159&gt;=1,IF(F159&gt;1,C159*(F159-2),""),"")</f>
        <v/>
      </c>
      <c r="AC159" s="640" t="n"/>
      <c r="AD159" s="911">
        <f>IF(E159="YES",IF(G159=1,"",""),IF(G159=1,C159,IF(G159=2,C159,IF(G159=0,"",""))))</f>
        <v/>
      </c>
      <c r="AE159" s="911">
        <f>IF(E159="YES",IF(G159=1,"",IF(H159=1,C159,"")),IF(H159=1,C159,IF(H159=2,C159,IF(H159=0,"",""))))</f>
        <v/>
      </c>
      <c r="AF159" s="911">
        <f>IF(E159="YES",IF(I159=1,C159,""),IF(I159=1,C159,IF(I159=2,C159,IF(I159=0,"",""))))</f>
        <v/>
      </c>
      <c r="AG159" s="192">
        <f>(C159*G159)+(C159*H159)+(C159*I159)</f>
        <v/>
      </c>
    </row>
    <row r="160">
      <c r="A160" s="109" t="n"/>
      <c r="B160" s="109" t="n"/>
      <c r="C160" s="109" t="n"/>
      <c r="J160" s="57" t="n"/>
      <c r="K160" s="57" t="n"/>
      <c r="L160" s="57" t="n"/>
      <c r="M160" s="57" t="n"/>
      <c r="N160" s="57" t="n"/>
      <c r="O160" s="57" t="n"/>
      <c r="AA160" s="640">
        <f>IF(G160=0, IF(OR(H160&gt;0,F160&gt;0),C160*F160,""),"")</f>
        <v/>
      </c>
      <c r="AB160" s="640">
        <f>IF(G160&gt;=1,IF(F160&gt;1,C160*(F160-2),""),"")</f>
        <v/>
      </c>
      <c r="AC160" s="640" t="n"/>
      <c r="AD160" s="911">
        <f>IF(E160="YES",IF(G160=1,"",""),IF(G160=1,C160,IF(G160=2,C160,IF(G160=0,"",""))))</f>
        <v/>
      </c>
      <c r="AE160" s="911">
        <f>IF(E160="YES",IF(G160=1,"",IF(H160=1,C160,"")),IF(H160=1,C160,IF(H160=2,C160,IF(H160=0,"",""))))</f>
        <v/>
      </c>
      <c r="AF160" s="911">
        <f>IF(E160="YES",IF(I160=1,C160,""),IF(I160=1,C160,IF(I160=2,C160,IF(I160=0,"",""))))</f>
        <v/>
      </c>
      <c r="AG160" s="192">
        <f>(C160*G160)+(C160*H160)+(C160*I160)</f>
        <v/>
      </c>
    </row>
    <row r="161">
      <c r="A161" s="109" t="n"/>
      <c r="B161" s="109" t="n"/>
      <c r="C161" s="109" t="n"/>
      <c r="J161" s="57" t="n"/>
      <c r="K161" s="57" t="n"/>
      <c r="L161" s="57" t="n"/>
      <c r="M161" s="57" t="n"/>
      <c r="N161" s="57" t="n"/>
      <c r="O161" s="57" t="n"/>
      <c r="AA161" s="640">
        <f>IF(G161=0, IF(OR(H161&gt;0,F161&gt;0),C161*F161,""),"")</f>
        <v/>
      </c>
      <c r="AB161" s="640">
        <f>IF(G161&gt;=1,IF(F161&gt;1,C161*(F161-2),""),"")</f>
        <v/>
      </c>
      <c r="AC161" s="640" t="n"/>
      <c r="AD161" s="911">
        <f>IF(E161="YES",IF(G161=1,"",""),IF(G161=1,C161,IF(G161=2,C161,IF(G161=0,"",""))))</f>
        <v/>
      </c>
      <c r="AE161" s="911">
        <f>IF(E161="YES",IF(G161=1,"",IF(H161=1,C161,"")),IF(H161=1,C161,IF(H161=2,C161,IF(H161=0,"",""))))</f>
        <v/>
      </c>
      <c r="AF161" s="911">
        <f>IF(E161="YES",IF(I161=1,C161,""),IF(I161=1,C161,IF(I161=2,C161,IF(I161=0,"",""))))</f>
        <v/>
      </c>
      <c r="AG161" s="192">
        <f>(C161*G161)+(C161*H161)+(C161*I161)</f>
        <v/>
      </c>
    </row>
    <row r="162">
      <c r="A162" s="109" t="n"/>
      <c r="B162" s="109" t="n"/>
      <c r="C162" s="109" t="n"/>
      <c r="J162" s="57" t="n"/>
      <c r="K162" s="57" t="n"/>
      <c r="L162" s="57" t="n"/>
      <c r="M162" s="57" t="n"/>
      <c r="N162" s="57" t="n"/>
      <c r="O162" s="57" t="n"/>
      <c r="AA162" s="640">
        <f>IF(G162=0, IF(OR(H162&gt;0,F162&gt;0),C162*F162,""),"")</f>
        <v/>
      </c>
      <c r="AB162" s="640">
        <f>IF(G162&gt;=1,IF(F162&gt;1,C162*(F162-2),""),"")</f>
        <v/>
      </c>
      <c r="AC162" s="640" t="n"/>
      <c r="AD162" s="911">
        <f>IF(E162="YES",IF(G162=1,"",""),IF(G162=1,C162,IF(G162=2,C162,IF(G162=0,"",""))))</f>
        <v/>
      </c>
      <c r="AE162" s="911">
        <f>IF(E162="YES",IF(G162=1,"",IF(H162=1,C162,"")),IF(H162=1,C162,IF(H162=2,C162,IF(H162=0,"",""))))</f>
        <v/>
      </c>
      <c r="AF162" s="911">
        <f>IF(E162="YES",IF(I162=1,C162,""),IF(I162=1,C162,IF(I162=2,C162,IF(I162=0,"",""))))</f>
        <v/>
      </c>
      <c r="AG162" s="192">
        <f>(C162*G162)+(C162*H162)+(C162*I162)</f>
        <v/>
      </c>
    </row>
    <row r="163">
      <c r="A163" s="109" t="n"/>
      <c r="B163" s="109" t="n"/>
      <c r="C163" s="109" t="n"/>
      <c r="J163" s="57" t="n"/>
      <c r="K163" s="57" t="n"/>
      <c r="L163" s="57" t="n"/>
      <c r="M163" s="57" t="n"/>
      <c r="N163" s="57" t="n"/>
      <c r="O163" s="57" t="n"/>
      <c r="AA163" s="640">
        <f>IF(G163=0, IF(OR(H163&gt;0,F163&gt;0),C163*F163,""),"")</f>
        <v/>
      </c>
      <c r="AB163" s="640">
        <f>IF(G163&gt;=1,IF(F163&gt;1,C163*(F163-2),""),"")</f>
        <v/>
      </c>
      <c r="AC163" s="640" t="n"/>
      <c r="AD163" s="911">
        <f>IF(E163="YES",IF(G163=1,"",""),IF(G163=1,C163,IF(G163=2,C163,IF(G163=0,"",""))))</f>
        <v/>
      </c>
      <c r="AE163" s="911">
        <f>IF(E163="YES",IF(G163=1,"",IF(H163=1,C163,"")),IF(H163=1,C163,IF(H163=2,C163,IF(H163=0,"",""))))</f>
        <v/>
      </c>
      <c r="AF163" s="911">
        <f>IF(E163="YES",IF(I163=1,C163,""),IF(I163=1,C163,IF(I163=2,C163,IF(I163=0,"",""))))</f>
        <v/>
      </c>
      <c r="AG163" s="192">
        <f>(C163*G163)+(C163*H163)+(C163*I163)</f>
        <v/>
      </c>
    </row>
    <row r="164">
      <c r="A164" s="109" t="n"/>
      <c r="B164" s="109" t="n"/>
      <c r="C164" s="109" t="n"/>
      <c r="J164" s="57" t="n"/>
      <c r="K164" s="57" t="n"/>
      <c r="L164" s="57" t="n"/>
      <c r="M164" s="57" t="n"/>
      <c r="N164" s="57" t="n"/>
      <c r="O164" s="57" t="n"/>
      <c r="AA164" s="640">
        <f>IF(G164=0, IF(OR(H164&gt;0,F164&gt;0),C164*F164,""),"")</f>
        <v/>
      </c>
      <c r="AB164" s="640">
        <f>IF(G164&gt;=1,IF(F164&gt;1,C164*(F164-2),""),"")</f>
        <v/>
      </c>
      <c r="AC164" s="640" t="n"/>
      <c r="AD164" s="911">
        <f>IF(E164="YES",IF(G164=1,"",""),IF(G164=1,C164,IF(G164=2,C164,IF(G164=0,"",""))))</f>
        <v/>
      </c>
      <c r="AE164" s="911">
        <f>IF(E164="YES",IF(G164=1,"",IF(H164=1,C164,"")),IF(H164=1,C164,IF(H164=2,C164,IF(H164=0,"",""))))</f>
        <v/>
      </c>
      <c r="AF164" s="911">
        <f>IF(E164="YES",IF(I164=1,C164,""),IF(I164=1,C164,IF(I164=2,C164,IF(I164=0,"",""))))</f>
        <v/>
      </c>
      <c r="AG164" s="192">
        <f>(C164*G164)+(C164*H164)+(C164*I164)</f>
        <v/>
      </c>
    </row>
    <row r="165">
      <c r="A165" s="109" t="n"/>
      <c r="B165" s="109" t="n"/>
      <c r="C165" s="109" t="n"/>
      <c r="J165" s="57" t="n"/>
      <c r="K165" s="57" t="n"/>
      <c r="L165" s="57" t="n"/>
      <c r="M165" s="57" t="n"/>
      <c r="N165" s="57" t="n"/>
      <c r="O165" s="57" t="n"/>
      <c r="AA165" s="640">
        <f>IF(G165=0, IF(OR(H165&gt;0,F165&gt;0),C165*F165,""),"")</f>
        <v/>
      </c>
      <c r="AB165" s="640">
        <f>IF(G165&gt;=1,IF(F165&gt;1,C165*(F165-2),""),"")</f>
        <v/>
      </c>
      <c r="AC165" s="640" t="n"/>
      <c r="AD165" s="911">
        <f>IF(E165="YES",IF(G165=1,"",""),IF(G165=1,C165,IF(G165=2,C165,IF(G165=0,"",""))))</f>
        <v/>
      </c>
      <c r="AE165" s="911">
        <f>IF(E165="YES",IF(G165=1,"",IF(H165=1,C165,"")),IF(H165=1,C165,IF(H165=2,C165,IF(H165=0,"",""))))</f>
        <v/>
      </c>
      <c r="AF165" s="911">
        <f>IF(E165="YES",IF(I165=1,C165,""),IF(I165=1,C165,IF(I165=2,C165,IF(I165=0,"",""))))</f>
        <v/>
      </c>
      <c r="AG165" s="192">
        <f>(C165*G165)+(C165*H165)+(C165*I165)</f>
        <v/>
      </c>
    </row>
    <row r="166">
      <c r="A166" s="109" t="n"/>
      <c r="B166" s="109" t="n"/>
      <c r="C166" s="109" t="n"/>
      <c r="J166" s="57" t="n"/>
      <c r="K166" s="57" t="n"/>
      <c r="L166" s="57" t="n"/>
      <c r="M166" s="57" t="n"/>
      <c r="N166" s="57" t="n"/>
      <c r="O166" s="57" t="n"/>
      <c r="AA166" s="640">
        <f>IF(G166=0, IF(OR(H166&gt;0,F166&gt;0),C166*F166,""),"")</f>
        <v/>
      </c>
      <c r="AB166" s="640">
        <f>IF(G166&gt;=1,IF(F166&gt;1,C166*(F166-2),""),"")</f>
        <v/>
      </c>
      <c r="AC166" s="640" t="n"/>
      <c r="AD166" s="911">
        <f>IF(E166="YES",IF(G166=1,"",""),IF(G166=1,C166,IF(G166=2,C166,IF(G166=0,"",""))))</f>
        <v/>
      </c>
      <c r="AE166" s="911">
        <f>IF(E166="YES",IF(G166=1,"",IF(H166=1,C166,"")),IF(H166=1,C166,IF(H166=2,C166,IF(H166=0,"",""))))</f>
        <v/>
      </c>
      <c r="AF166" s="911">
        <f>IF(E166="YES",IF(I166=1,C166,""),IF(I166=1,C166,IF(I166=2,C166,IF(I166=0,"",""))))</f>
        <v/>
      </c>
      <c r="AG166" s="192">
        <f>(C166*G166)+(C166*H166)+(C166*I166)</f>
        <v/>
      </c>
    </row>
    <row r="167">
      <c r="A167" s="109" t="n"/>
      <c r="B167" s="109" t="n"/>
      <c r="C167" s="109" t="n"/>
      <c r="J167" s="57" t="n"/>
      <c r="K167" s="57" t="n"/>
      <c r="L167" s="57" t="n"/>
      <c r="M167" s="57" t="n"/>
      <c r="N167" s="57" t="n"/>
      <c r="O167" s="57" t="n"/>
      <c r="AA167" s="640">
        <f>IF(G167=0, IF(OR(H167&gt;0,F167&gt;0),C167*F167,""),"")</f>
        <v/>
      </c>
      <c r="AB167" s="640">
        <f>IF(G167&gt;=1,IF(F167&gt;1,C167*(F167-2),""),"")</f>
        <v/>
      </c>
      <c r="AC167" s="640" t="n"/>
      <c r="AD167" s="911">
        <f>IF(E167="YES",IF(G167=1,"",""),IF(G167=1,C167,IF(G167=2,C167,IF(G167=0,"",""))))</f>
        <v/>
      </c>
      <c r="AE167" s="911">
        <f>IF(E167="YES",IF(G167=1,"",IF(H167=1,C167,"")),IF(H167=1,C167,IF(H167=2,C167,IF(H167=0,"",""))))</f>
        <v/>
      </c>
      <c r="AF167" s="911">
        <f>IF(E167="YES",IF(I167=1,C167,""),IF(I167=1,C167,IF(I167=2,C167,IF(I167=0,"",""))))</f>
        <v/>
      </c>
      <c r="AG167" s="192">
        <f>(C167*G167)+(C167*H167)+(C167*I167)</f>
        <v/>
      </c>
    </row>
    <row r="168">
      <c r="A168" s="109" t="n"/>
      <c r="B168" s="109" t="n"/>
      <c r="C168" s="109" t="n"/>
      <c r="J168" s="57" t="n"/>
      <c r="K168" s="57" t="n"/>
      <c r="L168" s="57" t="n"/>
      <c r="M168" s="57" t="n"/>
      <c r="N168" s="57" t="n"/>
      <c r="O168" s="57" t="n"/>
      <c r="AA168" s="640">
        <f>IF(G168=0, IF(OR(H168&gt;0,F168&gt;0),C168*F168,""),"")</f>
        <v/>
      </c>
      <c r="AB168" s="640">
        <f>IF(G168&gt;=1,IF(F168&gt;1,C168*(F168-2),""),"")</f>
        <v/>
      </c>
      <c r="AC168" s="640" t="n"/>
      <c r="AD168" s="911">
        <f>IF(E168="YES",IF(G168=1,"",""),IF(G168=1,C168,IF(G168=2,C168,IF(G168=0,"",""))))</f>
        <v/>
      </c>
      <c r="AE168" s="911">
        <f>IF(E168="YES",IF(G168=1,"",IF(H168=1,C168,"")),IF(H168=1,C168,IF(H168=2,C168,IF(H168=0,"",""))))</f>
        <v/>
      </c>
      <c r="AF168" s="911">
        <f>IF(E168="YES",IF(I168=1,C168,""),IF(I168=1,C168,IF(I168=2,C168,IF(I168=0,"",""))))</f>
        <v/>
      </c>
      <c r="AG168" s="192">
        <f>(C168*G168)+(C168*H168)+(C168*I168)</f>
        <v/>
      </c>
    </row>
    <row r="169">
      <c r="A169" s="109" t="n"/>
      <c r="B169" s="109" t="n"/>
      <c r="C169" s="109" t="n"/>
      <c r="J169" s="57" t="n"/>
      <c r="K169" s="57" t="n"/>
      <c r="L169" s="57" t="n"/>
      <c r="M169" s="57" t="n"/>
      <c r="N169" s="57" t="n"/>
      <c r="O169" s="57" t="n"/>
      <c r="AA169" s="640">
        <f>IF(G169=0, IF(OR(H169&gt;0,F169&gt;0),C169*F169,""),"")</f>
        <v/>
      </c>
      <c r="AB169" s="640">
        <f>IF(G169&gt;=1,IF(F169&gt;1,C169*(F169-2),""),"")</f>
        <v/>
      </c>
      <c r="AC169" s="640" t="n"/>
      <c r="AD169" s="911">
        <f>IF(E169="YES",IF(G169=1,"",""),IF(G169=1,C169,IF(G169=2,C169,IF(G169=0,"",""))))</f>
        <v/>
      </c>
      <c r="AE169" s="911">
        <f>IF(E169="YES",IF(G169=1,"",IF(H169=1,C169,"")),IF(H169=1,C169,IF(H169=2,C169,IF(H169=0,"",""))))</f>
        <v/>
      </c>
      <c r="AF169" s="911">
        <f>IF(E169="YES",IF(I169=1,C169,""),IF(I169=1,C169,IF(I169=2,C169,IF(I169=0,"",""))))</f>
        <v/>
      </c>
      <c r="AG169" s="192">
        <f>(C169*G169)+(C169*H169)+(C169*I169)</f>
        <v/>
      </c>
    </row>
    <row r="170">
      <c r="A170" s="109" t="n"/>
      <c r="B170" s="109" t="n"/>
      <c r="C170" s="109" t="n"/>
      <c r="J170" s="57" t="n"/>
      <c r="K170" s="57" t="n"/>
      <c r="L170" s="57" t="n"/>
      <c r="M170" s="57" t="n"/>
      <c r="N170" s="57" t="n"/>
      <c r="O170" s="57" t="n"/>
      <c r="AA170" s="640">
        <f>IF(G170=0, IF(OR(H170&gt;0,F170&gt;0),C170*F170,""),"")</f>
        <v/>
      </c>
      <c r="AB170" s="640">
        <f>IF(G170&gt;=1,IF(F170&gt;1,C170*(F170-2),""),"")</f>
        <v/>
      </c>
      <c r="AC170" s="640" t="n"/>
      <c r="AD170" s="911">
        <f>IF(E170="YES",IF(G170=1,"",""),IF(G170=1,C170,IF(G170=2,C170,IF(G170=0,"",""))))</f>
        <v/>
      </c>
      <c r="AE170" s="911">
        <f>IF(E170="YES",IF(G170=1,"",IF(H170=1,C170,"")),IF(H170=1,C170,IF(H170=2,C170,IF(H170=0,"",""))))</f>
        <v/>
      </c>
      <c r="AF170" s="911">
        <f>IF(E170="YES",IF(I170=1,C170,""),IF(I170=1,C170,IF(I170=2,C170,IF(I170=0,"",""))))</f>
        <v/>
      </c>
      <c r="AG170" s="192">
        <f>(C170*G170)+(C170*H170)+(C170*I170)</f>
        <v/>
      </c>
    </row>
    <row r="171">
      <c r="A171" s="109" t="n"/>
      <c r="B171" s="109" t="n"/>
      <c r="C171" s="109" t="n"/>
      <c r="J171" s="57" t="n"/>
      <c r="K171" s="57" t="n"/>
      <c r="L171" s="57" t="n"/>
      <c r="M171" s="57" t="n"/>
      <c r="N171" s="57" t="n"/>
      <c r="O171" s="57" t="n"/>
      <c r="AA171" s="640">
        <f>IF(G171=0, IF(OR(H171&gt;0,F171&gt;0),C171*F171,""),"")</f>
        <v/>
      </c>
      <c r="AB171" s="640">
        <f>IF(G171&gt;=1,IF(F171&gt;1,C171*(F171-2),""),"")</f>
        <v/>
      </c>
      <c r="AC171" s="640" t="n"/>
      <c r="AD171" s="911">
        <f>IF(E171="YES",IF(G171=1,"",""),IF(G171=1,C171,IF(G171=2,C171,IF(G171=0,"",""))))</f>
        <v/>
      </c>
      <c r="AE171" s="911">
        <f>IF(E171="YES",IF(G171=1,"",IF(H171=1,C171,"")),IF(H171=1,C171,IF(H171=2,C171,IF(H171=0,"",""))))</f>
        <v/>
      </c>
      <c r="AF171" s="911">
        <f>IF(E171="YES",IF(I171=1,C171,""),IF(I171=1,C171,IF(I171=2,C171,IF(I171=0,"",""))))</f>
        <v/>
      </c>
      <c r="AG171" s="192">
        <f>(C171*G171)+(C171*H171)+(C171*I171)</f>
        <v/>
      </c>
    </row>
    <row r="172">
      <c r="A172" s="109" t="n"/>
      <c r="B172" s="109" t="n"/>
      <c r="C172" s="109" t="n"/>
      <c r="J172" s="57" t="n"/>
      <c r="K172" s="57" t="n"/>
      <c r="L172" s="57" t="n"/>
      <c r="M172" s="57" t="n"/>
      <c r="N172" s="57" t="n"/>
      <c r="O172" s="57" t="n"/>
      <c r="AA172" s="640">
        <f>IF(G172=0, IF(OR(H172&gt;0,F172&gt;0),C172*F172,""),"")</f>
        <v/>
      </c>
      <c r="AB172" s="640">
        <f>IF(G172&gt;=1,IF(F172&gt;1,C172*(F172-2),""),"")</f>
        <v/>
      </c>
      <c r="AC172" s="640" t="n"/>
      <c r="AD172" s="911">
        <f>IF(E172="YES",IF(G172=1,"",""),IF(G172=1,C172,IF(G172=2,C172,IF(G172=0,"",""))))</f>
        <v/>
      </c>
      <c r="AE172" s="911">
        <f>IF(E172="YES",IF(G172=1,"",IF(H172=1,C172,"")),IF(H172=1,C172,IF(H172=2,C172,IF(H172=0,"",""))))</f>
        <v/>
      </c>
      <c r="AF172" s="911">
        <f>IF(E172="YES",IF(I172=1,C172,""),IF(I172=1,C172,IF(I172=2,C172,IF(I172=0,"",""))))</f>
        <v/>
      </c>
      <c r="AG172" s="192">
        <f>(C172*G172)+(C172*H172)+(C172*I172)</f>
        <v/>
      </c>
    </row>
    <row r="173">
      <c r="A173" s="109" t="n"/>
      <c r="B173" s="109" t="n"/>
      <c r="C173" s="109" t="n"/>
      <c r="J173" s="57" t="n"/>
      <c r="K173" s="57" t="n"/>
      <c r="L173" s="57" t="n"/>
      <c r="M173" s="57" t="n"/>
      <c r="N173" s="57" t="n"/>
      <c r="O173" s="57" t="n"/>
      <c r="AA173" s="640">
        <f>IF(G173=0, IF(OR(H173&gt;0,F173&gt;0),C173*F173,""),"")</f>
        <v/>
      </c>
      <c r="AB173" s="640">
        <f>IF(G173&gt;=1,IF(F173&gt;1,C173*(F173-2),""),"")</f>
        <v/>
      </c>
      <c r="AC173" s="640" t="n"/>
      <c r="AD173" s="911">
        <f>IF(E173="YES",IF(G173=1,"",""),IF(G173=1,C173,IF(G173=2,C173,IF(G173=0,"",""))))</f>
        <v/>
      </c>
      <c r="AE173" s="911">
        <f>IF(E173="YES",IF(G173=1,"",IF(H173=1,C173,"")),IF(H173=1,C173,IF(H173=2,C173,IF(H173=0,"",""))))</f>
        <v/>
      </c>
      <c r="AF173" s="911">
        <f>IF(E173="YES",IF(I173=1,C173,""),IF(I173=1,C173,IF(I173=2,C173,IF(I173=0,"",""))))</f>
        <v/>
      </c>
      <c r="AG173" s="192">
        <f>(C173*G173)+(C173*H173)+(C173*I173)</f>
        <v/>
      </c>
    </row>
    <row r="174">
      <c r="A174" s="109" t="n"/>
      <c r="B174" s="109" t="n"/>
      <c r="C174" s="109" t="n"/>
      <c r="J174" s="57" t="n"/>
      <c r="K174" s="57" t="n"/>
      <c r="L174" s="57" t="n"/>
      <c r="M174" s="57" t="n"/>
      <c r="N174" s="57" t="n"/>
      <c r="O174" s="57" t="n"/>
      <c r="AA174" s="640">
        <f>IF(G174=0, IF(OR(H174&gt;0,F174&gt;0),C174*F174,""),"")</f>
        <v/>
      </c>
      <c r="AB174" s="640">
        <f>IF(G174&gt;=1,IF(F174&gt;1,C174*(F174-2),""),"")</f>
        <v/>
      </c>
      <c r="AC174" s="640" t="n"/>
      <c r="AD174" s="911">
        <f>IF(E174="YES",IF(G174=1,"",""),IF(G174=1,C174,IF(G174=2,C174,IF(G174=0,"",""))))</f>
        <v/>
      </c>
      <c r="AE174" s="911">
        <f>IF(E174="YES",IF(G174=1,"",IF(H174=1,C174,"")),IF(H174=1,C174,IF(H174=2,C174,IF(H174=0,"",""))))</f>
        <v/>
      </c>
      <c r="AF174" s="911">
        <f>IF(E174="YES",IF(I174=1,C174,""),IF(I174=1,C174,IF(I174=2,C174,IF(I174=0,"",""))))</f>
        <v/>
      </c>
      <c r="AG174" s="192">
        <f>(C174*G174)+(C174*H174)+(C174*I174)</f>
        <v/>
      </c>
    </row>
    <row r="175">
      <c r="A175" s="109" t="n"/>
      <c r="B175" s="109" t="n"/>
      <c r="C175" s="109" t="n"/>
      <c r="J175" s="57" t="n"/>
      <c r="K175" s="57" t="n"/>
      <c r="L175" s="57" t="n"/>
      <c r="M175" s="57" t="n"/>
      <c r="N175" s="57" t="n"/>
      <c r="O175" s="57" t="n"/>
      <c r="AA175" s="640">
        <f>IF(G175=0, IF(OR(H175&gt;0,F175&gt;0),C175*F175,""),"")</f>
        <v/>
      </c>
      <c r="AB175" s="640">
        <f>IF(G175&gt;=1,IF(F175&gt;1,C175*(F175-2),""),"")</f>
        <v/>
      </c>
      <c r="AC175" s="640" t="n"/>
      <c r="AD175" s="911">
        <f>IF(E175="YES",IF(G175=1,"",""),IF(G175=1,C175,IF(G175=2,C175,IF(G175=0,"",""))))</f>
        <v/>
      </c>
      <c r="AE175" s="911">
        <f>IF(E175="YES",IF(G175=1,"",IF(H175=1,C175,"")),IF(H175=1,C175,IF(H175=2,C175,IF(H175=0,"",""))))</f>
        <v/>
      </c>
      <c r="AF175" s="911">
        <f>IF(E175="YES",IF(I175=1,C175,""),IF(I175=1,C175,IF(I175=2,C175,IF(I175=0,"",""))))</f>
        <v/>
      </c>
      <c r="AG175" s="192">
        <f>(C175*G175)+(C175*H175)+(C175*I175)</f>
        <v/>
      </c>
    </row>
    <row r="176">
      <c r="A176" s="109" t="n"/>
      <c r="B176" s="109" t="n"/>
      <c r="C176" s="109" t="n"/>
      <c r="J176" s="57" t="n"/>
      <c r="K176" s="57" t="n"/>
      <c r="L176" s="57" t="n"/>
      <c r="M176" s="57" t="n"/>
      <c r="N176" s="57" t="n"/>
      <c r="O176" s="57" t="n"/>
      <c r="AA176" s="640">
        <f>IF(G176=0, IF(OR(H176&gt;0,F176&gt;0),C176*F176,""),"")</f>
        <v/>
      </c>
      <c r="AB176" s="640">
        <f>IF(G176&gt;=1,IF(F176&gt;1,C176*(F176-2),""),"")</f>
        <v/>
      </c>
      <c r="AC176" s="640" t="n"/>
      <c r="AD176" s="911">
        <f>IF(E176="YES",IF(G176=1,"",""),IF(G176=1,C176,IF(G176=2,C176,IF(G176=0,"",""))))</f>
        <v/>
      </c>
      <c r="AE176" s="911">
        <f>IF(E176="YES",IF(G176=1,"",IF(H176=1,C176,"")),IF(H176=1,C176,IF(H176=2,C176,IF(H176=0,"",""))))</f>
        <v/>
      </c>
      <c r="AF176" s="911">
        <f>IF(E176="YES",IF(I176=1,C176,""),IF(I176=1,C176,IF(I176=2,C176,IF(I176=0,"",""))))</f>
        <v/>
      </c>
      <c r="AG176" s="192">
        <f>(C176*G176)+(C176*H176)+(C176*I176)</f>
        <v/>
      </c>
    </row>
    <row r="177">
      <c r="A177" s="109" t="n"/>
      <c r="B177" s="109" t="n"/>
      <c r="C177" s="109" t="n"/>
      <c r="J177" s="57" t="n"/>
      <c r="K177" s="57" t="n"/>
      <c r="L177" s="57" t="n"/>
      <c r="M177" s="57" t="n"/>
      <c r="N177" s="57" t="n"/>
      <c r="O177" s="57" t="n"/>
      <c r="AA177" s="640">
        <f>IF(G177=0, IF(OR(H177&gt;0,F177&gt;0),C177*F177,""),"")</f>
        <v/>
      </c>
      <c r="AB177" s="640">
        <f>IF(G177&gt;=1,IF(F177&gt;1,C177*(F177-2),""),"")</f>
        <v/>
      </c>
      <c r="AC177" s="640" t="n"/>
      <c r="AD177" s="911">
        <f>IF(E177="YES",IF(G177=1,"",""),IF(G177=1,C177,IF(G177=2,C177,IF(G177=0,"",""))))</f>
        <v/>
      </c>
      <c r="AE177" s="911">
        <f>IF(E177="YES",IF(G177=1,"",IF(H177=1,C177,"")),IF(H177=1,C177,IF(H177=2,C177,IF(H177=0,"",""))))</f>
        <v/>
      </c>
      <c r="AF177" s="911">
        <f>IF(E177="YES",IF(I177=1,C177,""),IF(I177=1,C177,IF(I177=2,C177,IF(I177=0,"",""))))</f>
        <v/>
      </c>
      <c r="AG177" s="192">
        <f>(C177*G177)+(C177*H177)+(C177*I177)</f>
        <v/>
      </c>
    </row>
    <row r="178">
      <c r="A178" s="109" t="n"/>
      <c r="B178" s="109" t="n"/>
      <c r="C178" s="109" t="n"/>
      <c r="J178" s="57" t="n"/>
      <c r="K178" s="57" t="n"/>
      <c r="L178" s="57" t="n"/>
      <c r="M178" s="57" t="n"/>
      <c r="N178" s="57" t="n"/>
      <c r="O178" s="57" t="n"/>
      <c r="AA178" s="640">
        <f>IF(G178=0, IF(OR(H178&gt;0,F178&gt;0),C178*F178,""),"")</f>
        <v/>
      </c>
      <c r="AB178" s="640">
        <f>IF(G178&gt;=1,IF(F178&gt;1,C178*(F178-2),""),"")</f>
        <v/>
      </c>
      <c r="AC178" s="640" t="n"/>
      <c r="AD178" s="911">
        <f>IF(E178="YES",IF(G178=1,"",""),IF(G178=1,C178,IF(G178=2,C178,IF(G178=0,"",""))))</f>
        <v/>
      </c>
      <c r="AE178" s="911">
        <f>IF(E178="YES",IF(G178=1,"",IF(H178=1,C178,"")),IF(H178=1,C178,IF(H178=2,C178,IF(H178=0,"",""))))</f>
        <v/>
      </c>
      <c r="AF178" s="911">
        <f>IF(E178="YES",IF(I178=1,C178,""),IF(I178=1,C178,IF(I178=2,C178,IF(I178=0,"",""))))</f>
        <v/>
      </c>
      <c r="AG178" s="192">
        <f>(C178*G178)+(C178*H178)+(C178*I178)</f>
        <v/>
      </c>
    </row>
    <row r="179">
      <c r="A179" s="109" t="n"/>
      <c r="B179" s="109" t="n"/>
      <c r="C179" s="109" t="n"/>
      <c r="J179" s="57" t="n"/>
      <c r="K179" s="57" t="n"/>
      <c r="L179" s="57" t="n"/>
      <c r="M179" s="57" t="n"/>
      <c r="N179" s="57" t="n"/>
      <c r="O179" s="57" t="n"/>
      <c r="AA179" s="640">
        <f>IF(G179=0, IF(OR(H179&gt;0,F179&gt;0),C179*F179,""),"")</f>
        <v/>
      </c>
      <c r="AB179" s="640">
        <f>IF(G179&gt;=1,IF(F179&gt;1,C179*(F179-2),""),"")</f>
        <v/>
      </c>
      <c r="AC179" s="640" t="n"/>
      <c r="AD179" s="911">
        <f>IF(E179="YES",IF(G179=1,"",""),IF(G179=1,C179,IF(G179=2,C179,IF(G179=0,"",""))))</f>
        <v/>
      </c>
      <c r="AE179" s="911">
        <f>IF(E179="YES",IF(G179=1,"",IF(H179=1,C179,"")),IF(H179=1,C179,IF(H179=2,C179,IF(H179=0,"",""))))</f>
        <v/>
      </c>
      <c r="AF179" s="911">
        <f>IF(E179="YES",IF(I179=1,C179,""),IF(I179=1,C179,IF(I179=2,C179,IF(I179=0,"",""))))</f>
        <v/>
      </c>
      <c r="AG179" s="192">
        <f>(C179*G179)+(C179*H179)+(C179*I179)</f>
        <v/>
      </c>
    </row>
    <row r="180">
      <c r="A180" s="109" t="n"/>
      <c r="B180" s="109" t="n"/>
      <c r="C180" s="109" t="n"/>
      <c r="J180" s="57" t="n"/>
      <c r="K180" s="57" t="n"/>
      <c r="L180" s="57" t="n"/>
      <c r="M180" s="57" t="n"/>
      <c r="N180" s="57" t="n"/>
      <c r="O180" s="57" t="n"/>
      <c r="AA180" s="640">
        <f>IF(G180=0, IF(OR(H180&gt;0,F180&gt;0),C180*F180,""),"")</f>
        <v/>
      </c>
      <c r="AB180" s="640">
        <f>IF(G180&gt;=1,IF(F180&gt;1,C180*(F180-2),""),"")</f>
        <v/>
      </c>
      <c r="AC180" s="640" t="n"/>
      <c r="AD180" s="911">
        <f>IF(E180="YES",IF(G180=1,"",""),IF(G180=1,C180,IF(G180=2,C180,IF(G180=0,"",""))))</f>
        <v/>
      </c>
      <c r="AE180" s="911">
        <f>IF(E180="YES",IF(G180=1,"",IF(H180=1,C180,"")),IF(H180=1,C180,IF(H180=2,C180,IF(H180=0,"",""))))</f>
        <v/>
      </c>
      <c r="AF180" s="911">
        <f>IF(E180="YES",IF(I180=1,C180,""),IF(I180=1,C180,IF(I180=2,C180,IF(I180=0,"",""))))</f>
        <v/>
      </c>
      <c r="AG180" s="192">
        <f>(C180*G180)+(C180*H180)+(C180*I180)</f>
        <v/>
      </c>
    </row>
    <row r="181">
      <c r="A181" s="109" t="n"/>
      <c r="B181" s="109" t="n"/>
      <c r="C181" s="109" t="n"/>
      <c r="J181" s="57" t="n"/>
      <c r="K181" s="57" t="n"/>
      <c r="L181" s="57" t="n"/>
      <c r="M181" s="57" t="n"/>
      <c r="N181" s="57" t="n"/>
      <c r="O181" s="57" t="n"/>
      <c r="AA181" s="640">
        <f>IF(G181=0, IF(OR(H181&gt;0,F181&gt;0),C181*F181,""),"")</f>
        <v/>
      </c>
      <c r="AB181" s="640">
        <f>IF(G181&gt;=1,IF(F181&gt;1,C181*(F181-2),""),"")</f>
        <v/>
      </c>
      <c r="AC181" s="640" t="n"/>
      <c r="AD181" s="911">
        <f>IF(E181="YES",IF(G181=1,"",""),IF(G181=1,C181,IF(G181=2,C181,IF(G181=0,"",""))))</f>
        <v/>
      </c>
      <c r="AE181" s="911">
        <f>IF(E181="YES",IF(G181=1,"",IF(H181=1,C181,"")),IF(H181=1,C181,IF(H181=2,C181,IF(H181=0,"",""))))</f>
        <v/>
      </c>
      <c r="AF181" s="911">
        <f>IF(E181="YES",IF(I181=1,C181,""),IF(I181=1,C181,IF(I181=2,C181,IF(I181=0,"",""))))</f>
        <v/>
      </c>
      <c r="AG181" s="192">
        <f>(C181*G181)+(C181*H181)+(C181*I181)</f>
        <v/>
      </c>
    </row>
    <row r="182">
      <c r="A182" s="109" t="n"/>
      <c r="B182" s="109" t="n"/>
      <c r="C182" s="109" t="n"/>
      <c r="J182" s="57" t="n"/>
      <c r="K182" s="57" t="n"/>
      <c r="L182" s="57" t="n"/>
      <c r="M182" s="57" t="n"/>
      <c r="N182" s="57" t="n"/>
      <c r="O182" s="57" t="n"/>
      <c r="AA182" s="640">
        <f>IF(G182=0, IF(OR(H182&gt;0,F182&gt;0),C182*F182,""),"")</f>
        <v/>
      </c>
      <c r="AB182" s="640">
        <f>IF(G182&gt;=1,IF(F182&gt;1,C182*(F182-2),""),"")</f>
        <v/>
      </c>
      <c r="AC182" s="640" t="n"/>
      <c r="AD182" s="911">
        <f>IF(E182="YES",IF(G182=1,"",""),IF(G182=1,C182,IF(G182=2,C182,IF(G182=0,"",""))))</f>
        <v/>
      </c>
      <c r="AE182" s="911">
        <f>IF(E182="YES",IF(G182=1,"",IF(H182=1,C182,"")),IF(H182=1,C182,IF(H182=2,C182,IF(H182=0,"",""))))</f>
        <v/>
      </c>
      <c r="AF182" s="911">
        <f>IF(E182="YES",IF(I182=1,C182,""),IF(I182=1,C182,IF(I182=2,C182,IF(I182=0,"",""))))</f>
        <v/>
      </c>
      <c r="AG182" s="192">
        <f>(C182*G182)+(C182*H182)+(C182*I182)</f>
        <v/>
      </c>
    </row>
    <row r="183">
      <c r="A183" s="109" t="n"/>
      <c r="B183" s="109" t="n"/>
      <c r="C183" s="109" t="n"/>
      <c r="J183" s="57" t="n"/>
      <c r="K183" s="57" t="n"/>
      <c r="L183" s="57" t="n"/>
      <c r="M183" s="57" t="n"/>
      <c r="N183" s="57" t="n"/>
      <c r="O183" s="57" t="n"/>
      <c r="AA183" s="640">
        <f>IF(G183=0, IF(OR(H183&gt;0,F183&gt;0),C183*F183,""),"")</f>
        <v/>
      </c>
      <c r="AB183" s="640">
        <f>IF(G183&gt;=1,IF(F183&gt;1,C183*(F183-2),""),"")</f>
        <v/>
      </c>
      <c r="AC183" s="640" t="n"/>
      <c r="AD183" s="911">
        <f>IF(E183="YES",IF(G183=1,"",""),IF(G183=1,C183,IF(G183=2,C183,IF(G183=0,"",""))))</f>
        <v/>
      </c>
      <c r="AE183" s="911">
        <f>IF(E183="YES",IF(G183=1,"",IF(H183=1,C183,"")),IF(H183=1,C183,IF(H183=2,C183,IF(H183=0,"",""))))</f>
        <v/>
      </c>
      <c r="AF183" s="911">
        <f>IF(E183="YES",IF(I183=1,C183,""),IF(I183=1,C183,IF(I183=2,C183,IF(I183=0,"",""))))</f>
        <v/>
      </c>
      <c r="AG183" s="192">
        <f>(C183*G183)+(C183*H183)+(C183*I183)</f>
        <v/>
      </c>
    </row>
    <row r="184">
      <c r="A184" s="109" t="n"/>
      <c r="B184" s="109" t="n"/>
      <c r="C184" s="109" t="n"/>
      <c r="J184" s="57" t="n"/>
      <c r="K184" s="57" t="n"/>
      <c r="L184" s="57" t="n"/>
      <c r="M184" s="57" t="n"/>
      <c r="N184" s="57" t="n"/>
      <c r="O184" s="57" t="n"/>
      <c r="AA184" s="640">
        <f>IF(G184=0, IF(OR(H184&gt;0,F184&gt;0),C184*F184,""),"")</f>
        <v/>
      </c>
      <c r="AB184" s="640">
        <f>IF(G184&gt;=1,IF(F184&gt;1,C184*(F184-2),""),"")</f>
        <v/>
      </c>
      <c r="AC184" s="640" t="n"/>
      <c r="AD184" s="911">
        <f>IF(E184="YES",IF(G184=1,"",""),IF(G184=1,C184,IF(G184=2,C184,IF(G184=0,"",""))))</f>
        <v/>
      </c>
      <c r="AE184" s="911">
        <f>IF(E184="YES",IF(G184=1,"",IF(H184=1,C184,"")),IF(H184=1,C184,IF(H184=2,C184,IF(H184=0,"",""))))</f>
        <v/>
      </c>
      <c r="AF184" s="911">
        <f>IF(E184="YES",IF(I184=1,C184,""),IF(I184=1,C184,IF(I184=2,C184,IF(I184=0,"",""))))</f>
        <v/>
      </c>
      <c r="AG184" s="192">
        <f>(C184*G184)+(C184*H184)+(C184*I184)</f>
        <v/>
      </c>
    </row>
    <row r="185">
      <c r="A185" s="109" t="n"/>
      <c r="B185" s="109" t="n"/>
      <c r="C185" s="109" t="n"/>
      <c r="J185" s="57" t="n"/>
      <c r="K185" s="57" t="n"/>
      <c r="L185" s="57" t="n"/>
      <c r="M185" s="57" t="n"/>
      <c r="N185" s="57" t="n"/>
      <c r="O185" s="57" t="n"/>
      <c r="AA185" s="640">
        <f>IF(G185=0, IF(OR(H185&gt;0,F185&gt;0),C185*F185,""),"")</f>
        <v/>
      </c>
      <c r="AB185" s="640">
        <f>IF(G185&gt;=1,IF(F185&gt;1,C185*(F185-2),""),"")</f>
        <v/>
      </c>
      <c r="AC185" s="640" t="n"/>
      <c r="AD185" s="911">
        <f>IF(E185="YES",IF(G185=1,"",""),IF(G185=1,C185,IF(G185=2,C185,IF(G185=0,"",""))))</f>
        <v/>
      </c>
      <c r="AE185" s="911">
        <f>IF(E185="YES",IF(G185=1,"",IF(H185=1,C185,"")),IF(H185=1,C185,IF(H185=2,C185,IF(H185=0,"",""))))</f>
        <v/>
      </c>
      <c r="AF185" s="911">
        <f>IF(E185="YES",IF(I185=1,C185,""),IF(I185=1,C185,IF(I185=2,C185,IF(I185=0,"",""))))</f>
        <v/>
      </c>
      <c r="AG185" s="192">
        <f>(C185*G185)+(C185*H185)+(C185*I185)</f>
        <v/>
      </c>
    </row>
    <row r="186">
      <c r="A186" s="109" t="n"/>
      <c r="B186" s="109" t="n"/>
      <c r="C186" s="109" t="n"/>
      <c r="J186" s="57" t="n"/>
      <c r="K186" s="57" t="n"/>
      <c r="L186" s="57" t="n"/>
      <c r="M186" s="57" t="n"/>
      <c r="N186" s="57" t="n"/>
      <c r="O186" s="57" t="n"/>
      <c r="AA186" s="640">
        <f>IF(G186=0, IF(OR(H186&gt;0,F186&gt;0),C186*F186,""),"")</f>
        <v/>
      </c>
      <c r="AB186" s="640">
        <f>IF(G186&gt;=1,IF(F186&gt;1,C186*(F186-2),""),"")</f>
        <v/>
      </c>
      <c r="AC186" s="640" t="n"/>
      <c r="AD186" s="911">
        <f>IF(E186="YES",IF(G186=1,"",""),IF(G186=1,C186,IF(G186=2,C186,IF(G186=0,"",""))))</f>
        <v/>
      </c>
      <c r="AE186" s="911">
        <f>IF(E186="YES",IF(G186=1,"",IF(H186=1,C186,"")),IF(H186=1,C186,IF(H186=2,C186,IF(H186=0,"",""))))</f>
        <v/>
      </c>
      <c r="AF186" s="911">
        <f>IF(E186="YES",IF(I186=1,C186,""),IF(I186=1,C186,IF(I186=2,C186,IF(I186=0,"",""))))</f>
        <v/>
      </c>
      <c r="AG186" s="192">
        <f>(C186*G186)+(C186*H186)+(C186*I186)</f>
        <v/>
      </c>
    </row>
    <row r="187">
      <c r="A187" s="109" t="n"/>
      <c r="B187" s="109" t="n"/>
      <c r="C187" s="109" t="n"/>
      <c r="J187" s="57" t="n"/>
      <c r="K187" s="57" t="n"/>
      <c r="L187" s="57" t="n"/>
      <c r="M187" s="57" t="n"/>
      <c r="N187" s="57" t="n"/>
      <c r="O187" s="57" t="n"/>
      <c r="AA187" s="640">
        <f>IF(G187=0, IF(OR(H187&gt;0,F187&gt;0),C187*F187,""),"")</f>
        <v/>
      </c>
      <c r="AB187" s="640">
        <f>IF(G187&gt;=1,IF(F187&gt;1,C187*(F187-2),""),"")</f>
        <v/>
      </c>
      <c r="AC187" s="640" t="n"/>
      <c r="AD187" s="911">
        <f>IF(E187="YES",IF(G187=1,"",""),IF(G187=1,C187,IF(G187=2,C187,IF(G187=0,"",""))))</f>
        <v/>
      </c>
      <c r="AE187" s="911">
        <f>IF(E187="YES",IF(G187=1,"",IF(H187=1,C187,"")),IF(H187=1,C187,IF(H187=2,C187,IF(H187=0,"",""))))</f>
        <v/>
      </c>
      <c r="AF187" s="911">
        <f>IF(E187="YES",IF(I187=1,C187,""),IF(I187=1,C187,IF(I187=2,C187,IF(I187=0,"",""))))</f>
        <v/>
      </c>
      <c r="AG187" s="192">
        <f>(C187*G187)+(C187*H187)+(C187*I187)</f>
        <v/>
      </c>
    </row>
    <row r="188">
      <c r="A188" s="109" t="n"/>
      <c r="B188" s="109" t="n"/>
      <c r="C188" s="109" t="n"/>
      <c r="J188" s="57" t="n"/>
      <c r="K188" s="57" t="n"/>
      <c r="L188" s="57" t="n"/>
      <c r="M188" s="57" t="n"/>
      <c r="N188" s="57" t="n"/>
      <c r="O188" s="57" t="n"/>
      <c r="AA188" s="640">
        <f>IF(G188=0, IF(OR(H188&gt;0,F188&gt;0),C188*F188,""),"")</f>
        <v/>
      </c>
      <c r="AB188" s="640">
        <f>IF(G188&gt;=1,IF(F188&gt;1,C188*(F188-2),""),"")</f>
        <v/>
      </c>
      <c r="AC188" s="640" t="n"/>
      <c r="AD188" s="911">
        <f>IF(E188="YES",IF(G188=1,"",""),IF(G188=1,C188,IF(G188=2,C188,IF(G188=0,"",""))))</f>
        <v/>
      </c>
      <c r="AE188" s="911">
        <f>IF(E188="YES",IF(G188=1,"",IF(H188=1,C188,"")),IF(H188=1,C188,IF(H188=2,C188,IF(H188=0,"",""))))</f>
        <v/>
      </c>
      <c r="AF188" s="911">
        <f>IF(E188="YES",IF(I188=1,C188,""),IF(I188=1,C188,IF(I188=2,C188,IF(I188=0,"",""))))</f>
        <v/>
      </c>
      <c r="AG188" s="192">
        <f>(C188*G188)+(C188*H188)+(C188*I188)</f>
        <v/>
      </c>
    </row>
    <row r="189">
      <c r="A189" s="109" t="n"/>
      <c r="B189" s="109" t="n"/>
      <c r="C189" s="109" t="n"/>
      <c r="J189" s="57" t="n"/>
      <c r="K189" s="57" t="n"/>
      <c r="L189" s="57" t="n"/>
      <c r="M189" s="57" t="n"/>
      <c r="N189" s="57" t="n"/>
      <c r="O189" s="57" t="n"/>
      <c r="AA189" s="640">
        <f>IF(G189=0, IF(OR(H189&gt;0,F189&gt;0),C189*F189,""),"")</f>
        <v/>
      </c>
      <c r="AB189" s="640">
        <f>IF(G189&gt;=1,IF(F189&gt;1,C189*(F189-2),""),"")</f>
        <v/>
      </c>
      <c r="AC189" s="640" t="n"/>
      <c r="AD189" s="911">
        <f>IF(E189="YES",IF(G189=1,"",""),IF(G189=1,C189,IF(G189=2,C189,IF(G189=0,"",""))))</f>
        <v/>
      </c>
      <c r="AE189" s="911">
        <f>IF(E189="YES",IF(G189=1,"",IF(H189=1,C189,"")),IF(H189=1,C189,IF(H189=2,C189,IF(H189=0,"",""))))</f>
        <v/>
      </c>
      <c r="AF189" s="911">
        <f>IF(E189="YES",IF(I189=1,C189,""),IF(I189=1,C189,IF(I189=2,C189,IF(I189=0,"",""))))</f>
        <v/>
      </c>
      <c r="AG189" s="192">
        <f>(C189*G189)+(C189*H189)+(C189*I189)</f>
        <v/>
      </c>
    </row>
    <row r="190">
      <c r="A190" s="109" t="n"/>
      <c r="B190" s="109" t="n"/>
      <c r="C190" s="109" t="n"/>
      <c r="J190" s="57" t="n"/>
      <c r="K190" s="57" t="n"/>
      <c r="L190" s="57" t="n"/>
      <c r="M190" s="57" t="n"/>
      <c r="N190" s="57" t="n"/>
      <c r="O190" s="57" t="n"/>
      <c r="AA190" s="640">
        <f>IF(G190=0, IF(OR(H190&gt;0,F190&gt;0),C190*F190,""),"")</f>
        <v/>
      </c>
      <c r="AB190" s="640">
        <f>IF(G190&gt;=1,IF(F190&gt;1,C190*(F190-2),""),"")</f>
        <v/>
      </c>
      <c r="AC190" s="640" t="n"/>
      <c r="AD190" s="911">
        <f>IF(E190="YES",IF(G190=1,"",""),IF(G190=1,C190,IF(G190=2,C190,IF(G190=0,"",""))))</f>
        <v/>
      </c>
      <c r="AE190" s="911">
        <f>IF(E190="YES",IF(G190=1,"",IF(H190=1,C190,"")),IF(H190=1,C190,IF(H190=2,C190,IF(H190=0,"",""))))</f>
        <v/>
      </c>
      <c r="AF190" s="911">
        <f>IF(E190="YES",IF(I190=1,C190,""),IF(I190=1,C190,IF(I190=2,C190,IF(I190=0,"",""))))</f>
        <v/>
      </c>
      <c r="AG190" s="192">
        <f>(C190*G190)+(C190*H190)+(C190*I190)</f>
        <v/>
      </c>
    </row>
    <row r="191">
      <c r="A191" s="109" t="n"/>
      <c r="B191" s="109" t="n"/>
      <c r="C191" s="109" t="n"/>
      <c r="J191" s="57" t="n"/>
      <c r="K191" s="57" t="n"/>
      <c r="L191" s="57" t="n"/>
      <c r="M191" s="57" t="n"/>
      <c r="N191" s="57" t="n"/>
      <c r="O191" s="57" t="n"/>
      <c r="AA191" s="640">
        <f>IF(G191=0, IF(OR(H191&gt;0,F191&gt;0),C191*F191,""),"")</f>
        <v/>
      </c>
      <c r="AB191" s="640">
        <f>IF(G191&gt;=1,IF(F191&gt;1,C191*(F191-2),""),"")</f>
        <v/>
      </c>
      <c r="AC191" s="640" t="n"/>
      <c r="AD191" s="911">
        <f>IF(E191="YES",IF(G191=1,"",""),IF(G191=1,C191,IF(G191=2,C191,IF(G191=0,"",""))))</f>
        <v/>
      </c>
      <c r="AE191" s="911">
        <f>IF(E191="YES",IF(G191=1,"",IF(H191=1,C191,"")),IF(H191=1,C191,IF(H191=2,C191,IF(H191=0,"",""))))</f>
        <v/>
      </c>
      <c r="AF191" s="911">
        <f>IF(E191="YES",IF(I191=1,C191,""),IF(I191=1,C191,IF(I191=2,C191,IF(I191=0,"",""))))</f>
        <v/>
      </c>
      <c r="AG191" s="192">
        <f>(C191*G191)+(C191*H191)+(C191*I191)</f>
        <v/>
      </c>
    </row>
    <row r="192">
      <c r="A192" s="109" t="n"/>
      <c r="B192" s="109" t="n"/>
      <c r="C192" s="109" t="n"/>
      <c r="J192" s="57" t="n"/>
      <c r="K192" s="57" t="n"/>
      <c r="L192" s="57" t="n"/>
      <c r="M192" s="57" t="n"/>
      <c r="N192" s="57" t="n"/>
      <c r="O192" s="57" t="n"/>
      <c r="AA192" s="640">
        <f>IF(G192=0, IF(OR(H192&gt;0,F192&gt;0),C192*F192,""),"")</f>
        <v/>
      </c>
      <c r="AB192" s="640">
        <f>IF(G192&gt;=1,IF(F192&gt;1,C192*(F192-2),""),"")</f>
        <v/>
      </c>
      <c r="AC192" s="640" t="n"/>
      <c r="AD192" s="911">
        <f>IF(E192="YES",IF(G192=1,"",""),IF(G192=1,C192,IF(G192=2,C192,IF(G192=0,"",""))))</f>
        <v/>
      </c>
      <c r="AE192" s="911">
        <f>IF(E192="YES",IF(G192=1,"",IF(H192=1,C192,"")),IF(H192=1,C192,IF(H192=2,C192,IF(H192=0,"",""))))</f>
        <v/>
      </c>
      <c r="AF192" s="911">
        <f>IF(E192="YES",IF(I192=1,C192,""),IF(I192=1,C192,IF(I192=2,C192,IF(I192=0,"",""))))</f>
        <v/>
      </c>
      <c r="AG192" s="192">
        <f>(C192*G192)+(C192*H192)+(C192*I192)</f>
        <v/>
      </c>
    </row>
    <row r="193">
      <c r="A193" s="109" t="n"/>
      <c r="B193" s="109" t="n"/>
      <c r="C193" s="109" t="n"/>
      <c r="J193" s="57" t="n"/>
      <c r="K193" s="57" t="n"/>
      <c r="L193" s="57" t="n"/>
      <c r="M193" s="57" t="n"/>
      <c r="N193" s="57" t="n"/>
      <c r="O193" s="57" t="n"/>
      <c r="AA193" s="640">
        <f>IF(G193=0, IF(OR(H193&gt;0,F193&gt;0),C193*F193,""),"")</f>
        <v/>
      </c>
      <c r="AB193" s="640">
        <f>IF(G193&gt;=1,IF(F193&gt;1,C193*(F193-2),""),"")</f>
        <v/>
      </c>
      <c r="AC193" s="640" t="n"/>
      <c r="AD193" s="911">
        <f>IF(E193="YES",IF(G193=1,"",""),IF(G193=1,C193,IF(G193=2,C193,IF(G193=0,"",""))))</f>
        <v/>
      </c>
      <c r="AE193" s="911">
        <f>IF(E193="YES",IF(G193=1,"",IF(H193=1,C193,"")),IF(H193=1,C193,IF(H193=2,C193,IF(H193=0,"",""))))</f>
        <v/>
      </c>
      <c r="AF193" s="911">
        <f>IF(E193="YES",IF(I193=1,C193,""),IF(I193=1,C193,IF(I193=2,C193,IF(I193=0,"",""))))</f>
        <v/>
      </c>
      <c r="AG193" s="192">
        <f>(C193*G193)+(C193*H193)+(C193*I193)</f>
        <v/>
      </c>
    </row>
    <row r="194">
      <c r="A194" s="109" t="n"/>
      <c r="B194" s="109" t="n"/>
      <c r="C194" s="109" t="n"/>
      <c r="J194" s="57" t="n"/>
      <c r="K194" s="57" t="n"/>
      <c r="L194" s="57" t="n"/>
      <c r="M194" s="57" t="n"/>
      <c r="N194" s="57" t="n"/>
      <c r="O194" s="57" t="n"/>
      <c r="AA194" s="640">
        <f>IF(G194=0, IF(OR(H194&gt;0,F194&gt;0),C194*F194,""),"")</f>
        <v/>
      </c>
      <c r="AB194" s="640">
        <f>IF(G194&gt;=1,IF(F194&gt;1,C194*(F194-2),""),"")</f>
        <v/>
      </c>
      <c r="AC194" s="640" t="n"/>
      <c r="AD194" s="911">
        <f>IF(E194="YES",IF(G194=1,"",""),IF(G194=1,C194,IF(G194=2,C194,IF(G194=0,"",""))))</f>
        <v/>
      </c>
      <c r="AE194" s="911">
        <f>IF(E194="YES",IF(G194=1,"",IF(H194=1,C194,"")),IF(H194=1,C194,IF(H194=2,C194,IF(H194=0,"",""))))</f>
        <v/>
      </c>
      <c r="AF194" s="911">
        <f>IF(E194="YES",IF(I194=1,C194,""),IF(I194=1,C194,IF(I194=2,C194,IF(I194=0,"",""))))</f>
        <v/>
      </c>
      <c r="AG194" s="192">
        <f>(C194*G194)+(C194*H194)+(C194*I194)</f>
        <v/>
      </c>
    </row>
    <row r="195">
      <c r="A195" s="109" t="n"/>
      <c r="B195" s="109" t="n"/>
      <c r="C195" s="109" t="n"/>
      <c r="J195" s="57" t="n"/>
      <c r="K195" s="57" t="n"/>
      <c r="L195" s="57" t="n"/>
      <c r="M195" s="57" t="n"/>
      <c r="N195" s="57" t="n"/>
      <c r="O195" s="57" t="n"/>
      <c r="AA195" s="640">
        <f>IF(G195=0, IF(OR(H195&gt;0,F195&gt;0),C195*F195,""),"")</f>
        <v/>
      </c>
      <c r="AB195" s="640">
        <f>IF(G195&gt;=1,IF(F195&gt;1,C195*(F195-2),""),"")</f>
        <v/>
      </c>
      <c r="AC195" s="640" t="n"/>
      <c r="AD195" s="911">
        <f>IF(E195="YES",IF(G195=1,"",""),IF(G195=1,C195,IF(G195=2,C195,IF(G195=0,"",""))))</f>
        <v/>
      </c>
      <c r="AE195" s="911">
        <f>IF(E195="YES",IF(G195=1,"",IF(H195=1,C195,"")),IF(H195=1,C195,IF(H195=2,C195,IF(H195=0,"",""))))</f>
        <v/>
      </c>
      <c r="AF195" s="911">
        <f>IF(E195="YES",IF(I195=1,C195,""),IF(I195=1,C195,IF(I195=2,C195,IF(I195=0,"",""))))</f>
        <v/>
      </c>
      <c r="AG195" s="192">
        <f>(C195*G195)+(C195*H195)+(C195*I195)</f>
        <v/>
      </c>
    </row>
    <row r="196">
      <c r="A196" s="109" t="n"/>
      <c r="B196" s="109" t="n"/>
      <c r="C196" s="109" t="n"/>
      <c r="J196" s="57" t="n"/>
      <c r="K196" s="57" t="n"/>
      <c r="L196" s="57" t="n"/>
      <c r="M196" s="57" t="n"/>
      <c r="N196" s="57" t="n"/>
      <c r="O196" s="57" t="n"/>
      <c r="AA196" s="640">
        <f>IF(G196=0, IF(OR(H196&gt;0,F196&gt;0),C196*F196,""),"")</f>
        <v/>
      </c>
      <c r="AB196" s="640">
        <f>IF(G196&gt;=1,IF(F196&gt;1,C196*(F196-2),""),"")</f>
        <v/>
      </c>
      <c r="AC196" s="640" t="n"/>
      <c r="AD196" s="911">
        <f>IF(E196="YES",IF(G196=1,"",""),IF(G196=1,C196,IF(G196=2,C196,IF(G196=0,"",""))))</f>
        <v/>
      </c>
      <c r="AE196" s="911">
        <f>IF(E196="YES",IF(G196=1,"",IF(H196=1,C196,"")),IF(H196=1,C196,IF(H196=2,C196,IF(H196=0,"",""))))</f>
        <v/>
      </c>
      <c r="AF196" s="911">
        <f>IF(E196="YES",IF(I196=1,C196,""),IF(I196=1,C196,IF(I196=2,C196,IF(I196=0,"",""))))</f>
        <v/>
      </c>
      <c r="AG196" s="192">
        <f>(C196*G196)+(C196*H196)+(C196*I196)</f>
        <v/>
      </c>
    </row>
    <row r="197">
      <c r="A197" s="109" t="n"/>
      <c r="B197" s="109" t="n"/>
      <c r="C197" s="109" t="n"/>
      <c r="J197" s="57" t="n"/>
      <c r="K197" s="57" t="n"/>
      <c r="L197" s="57" t="n"/>
      <c r="M197" s="57" t="n"/>
      <c r="N197" s="57" t="n"/>
      <c r="O197" s="57" t="n"/>
      <c r="AA197" s="640">
        <f>IF(G197=0, IF(OR(H197&gt;0,F197&gt;0),C197*F197,""),"")</f>
        <v/>
      </c>
      <c r="AB197" s="640">
        <f>IF(G197&gt;=1,IF(F197&gt;1,C197*(F197-2),""),"")</f>
        <v/>
      </c>
      <c r="AC197" s="640" t="n"/>
      <c r="AD197" s="911">
        <f>IF(E197="YES",IF(G197=1,"",""),IF(G197=1,C197,IF(G197=2,C197,IF(G197=0,"",""))))</f>
        <v/>
      </c>
      <c r="AE197" s="911">
        <f>IF(E197="YES",IF(G197=1,"",IF(H197=1,C197,"")),IF(H197=1,C197,IF(H197=2,C197,IF(H197=0,"",""))))</f>
        <v/>
      </c>
      <c r="AF197" s="911">
        <f>IF(E197="YES",IF(I197=1,C197,""),IF(I197=1,C197,IF(I197=2,C197,IF(I197=0,"",""))))</f>
        <v/>
      </c>
      <c r="AG197" s="192">
        <f>(C197*G197)+(C197*H197)+(C197*I197)</f>
        <v/>
      </c>
    </row>
    <row r="198">
      <c r="A198" s="109" t="n"/>
      <c r="B198" s="109" t="n"/>
      <c r="C198" s="109" t="n"/>
      <c r="J198" s="57" t="n"/>
      <c r="K198" s="57" t="n"/>
      <c r="L198" s="57" t="n"/>
      <c r="M198" s="57" t="n"/>
      <c r="N198" s="57" t="n"/>
      <c r="O198" s="57" t="n"/>
      <c r="AA198" s="640">
        <f>IF(G198=0, IF(OR(H198&gt;0,F198&gt;0),C198*F198,""),"")</f>
        <v/>
      </c>
      <c r="AB198" s="640">
        <f>IF(G198&gt;=1,IF(F198&gt;1,C198*(F198-2),""),"")</f>
        <v/>
      </c>
      <c r="AC198" s="640" t="n"/>
      <c r="AD198" s="911">
        <f>IF(E198="YES",IF(G198=1,"",""),IF(G198=1,C198,IF(G198=2,C198,IF(G198=0,"",""))))</f>
        <v/>
      </c>
      <c r="AE198" s="911">
        <f>IF(E198="YES",IF(G198=1,"",IF(H198=1,C198,"")),IF(H198=1,C198,IF(H198=2,C198,IF(H198=0,"",""))))</f>
        <v/>
      </c>
      <c r="AF198" s="911">
        <f>IF(E198="YES",IF(I198=1,C198,""),IF(I198=1,C198,IF(I198=2,C198,IF(I198=0,"",""))))</f>
        <v/>
      </c>
      <c r="AG198" s="192">
        <f>(C198*G198)+(C198*H198)+(C198*I198)</f>
        <v/>
      </c>
    </row>
    <row r="199">
      <c r="A199" s="109" t="n"/>
      <c r="B199" s="109" t="n"/>
      <c r="C199" s="109" t="n"/>
      <c r="J199" s="57" t="n"/>
      <c r="K199" s="57" t="n"/>
      <c r="L199" s="57" t="n"/>
      <c r="M199" s="57" t="n"/>
      <c r="N199" s="57" t="n"/>
      <c r="O199" s="57" t="n"/>
      <c r="AA199" s="640">
        <f>IF(G199=0, IF(OR(H199&gt;0,F199&gt;0),C199*F199,""),"")</f>
        <v/>
      </c>
      <c r="AB199" s="640">
        <f>IF(G199&gt;=1,IF(F199&gt;1,C199*(F199-2),""),"")</f>
        <v/>
      </c>
      <c r="AC199" s="640" t="n"/>
      <c r="AD199" s="911">
        <f>IF(E199="YES",IF(G199=1,"",""),IF(G199=1,C199,IF(G199=2,C199,IF(G199=0,"",""))))</f>
        <v/>
      </c>
      <c r="AE199" s="911">
        <f>IF(E199="YES",IF(G199=1,"",IF(H199=1,C199,"")),IF(H199=1,C199,IF(H199=2,C199,IF(H199=0,"",""))))</f>
        <v/>
      </c>
      <c r="AF199" s="911">
        <f>IF(E199="YES",IF(I199=1,C199,""),IF(I199=1,C199,IF(I199=2,C199,IF(I199=0,"",""))))</f>
        <v/>
      </c>
      <c r="AG199" s="192">
        <f>(C199*G199)+(C199*H199)+(C199*I199)</f>
        <v/>
      </c>
    </row>
    <row r="200">
      <c r="A200" s="109" t="n"/>
      <c r="B200" s="109" t="n"/>
      <c r="C200" s="109" t="n"/>
      <c r="J200" s="57" t="n"/>
      <c r="K200" s="57" t="n"/>
      <c r="L200" s="57" t="n"/>
      <c r="M200" s="57" t="n"/>
      <c r="N200" s="57" t="n"/>
      <c r="O200" s="57" t="n"/>
      <c r="AA200" s="640">
        <f>IF(G200=0, IF(OR(H200&gt;0,F200&gt;0),C200*F200,""),"")</f>
        <v/>
      </c>
      <c r="AB200" s="640">
        <f>IF(G200&gt;=1,IF(F200&gt;1,C200*(F200-2),""),"")</f>
        <v/>
      </c>
      <c r="AC200" s="640" t="n"/>
      <c r="AD200" s="911">
        <f>IF(E200="YES",IF(G200=1,"",""),IF(G200=1,C200,IF(G200=2,C200,IF(G200=0,"",""))))</f>
        <v/>
      </c>
      <c r="AE200" s="911">
        <f>IF(E200="YES",IF(G200=1,"",IF(H200=1,C200,"")),IF(H200=1,C200,IF(H200=2,C200,IF(H200=0,"",""))))</f>
        <v/>
      </c>
      <c r="AF200" s="911">
        <f>IF(E200="YES",IF(I200=1,C200,""),IF(I200=1,C200,IF(I200=2,C200,IF(I200=0,"",""))))</f>
        <v/>
      </c>
      <c r="AG200" s="192">
        <f>(C200*G200)+(C200*H200)+(C200*I200)</f>
        <v/>
      </c>
    </row>
    <row r="201">
      <c r="A201" s="109" t="n"/>
      <c r="B201" s="109" t="n"/>
      <c r="C201" s="109" t="n"/>
      <c r="J201" s="57" t="n"/>
      <c r="K201" s="57" t="n"/>
      <c r="L201" s="57" t="n"/>
      <c r="M201" s="57" t="n"/>
      <c r="N201" s="57" t="n"/>
      <c r="O201" s="57" t="n"/>
      <c r="AA201" s="640">
        <f>IF(G201=0, IF(OR(H201&gt;0,F201&gt;0),C201*F201,""),"")</f>
        <v/>
      </c>
      <c r="AB201" s="640">
        <f>IF(G201&gt;=1,IF(F201&gt;1,C201*(F201-2),""),"")</f>
        <v/>
      </c>
      <c r="AC201" s="640" t="n"/>
      <c r="AD201" s="911">
        <f>IF(E201="YES",IF(G201=1,"",""),IF(G201=1,C201,IF(G201=2,C201,IF(G201=0,"",""))))</f>
        <v/>
      </c>
      <c r="AE201" s="911">
        <f>IF(E201="YES",IF(G201=1,"",IF(H201=1,C201,"")),IF(H201=1,C201,IF(H201=2,C201,IF(H201=0,"",""))))</f>
        <v/>
      </c>
      <c r="AF201" s="911">
        <f>IF(E201="YES",IF(I201=1,C201,""),IF(I201=1,C201,IF(I201=2,C201,IF(I201=0,"",""))))</f>
        <v/>
      </c>
      <c r="AG201" s="192">
        <f>(C201*G201)+(C201*H201)+(C201*I201)</f>
        <v/>
      </c>
    </row>
    <row r="202">
      <c r="A202" s="109" t="n"/>
      <c r="B202" s="109" t="n"/>
      <c r="C202" s="109" t="n"/>
      <c r="J202" s="57" t="n"/>
      <c r="K202" s="57" t="n"/>
      <c r="L202" s="57" t="n"/>
      <c r="M202" s="57" t="n"/>
      <c r="N202" s="57" t="n"/>
      <c r="O202" s="57" t="n"/>
      <c r="AA202" s="640">
        <f>IF(G202=0, IF(OR(H202&gt;0,F202&gt;0),C202*F202,""),"")</f>
        <v/>
      </c>
      <c r="AB202" s="640">
        <f>IF(G202&gt;=1,IF(F202&gt;1,C202*(F202-2),""),"")</f>
        <v/>
      </c>
      <c r="AC202" s="640" t="n"/>
      <c r="AD202" s="911">
        <f>IF(E202="YES",IF(G202=1,"",""),IF(G202=1,C202,IF(G202=2,C202,IF(G202=0,"",""))))</f>
        <v/>
      </c>
      <c r="AE202" s="911">
        <f>IF(E202="YES",IF(G202=1,"",IF(H202=1,C202,"")),IF(H202=1,C202,IF(H202=2,C202,IF(H202=0,"",""))))</f>
        <v/>
      </c>
      <c r="AF202" s="911">
        <f>IF(E202="YES",IF(I202=1,C202,""),IF(I202=1,C202,IF(I202=2,C202,IF(I202=0,"",""))))</f>
        <v/>
      </c>
      <c r="AG202" s="192">
        <f>(C202*G202)+(C202*H202)+(C202*I202)</f>
        <v/>
      </c>
    </row>
    <row r="203">
      <c r="A203" s="109" t="n"/>
      <c r="B203" s="109" t="n"/>
      <c r="C203" s="109" t="n"/>
      <c r="J203" s="57" t="n"/>
      <c r="K203" s="57" t="n"/>
      <c r="L203" s="57" t="n"/>
      <c r="M203" s="57" t="n"/>
      <c r="N203" s="57" t="n"/>
      <c r="O203" s="57" t="n"/>
      <c r="AA203" s="640">
        <f>IF(G203=0, IF(OR(H203&gt;0,F203&gt;0),C203*F203,""),"")</f>
        <v/>
      </c>
      <c r="AB203" s="640">
        <f>IF(G203&gt;=1,IF(F203&gt;1,C203*(F203-2),""),"")</f>
        <v/>
      </c>
      <c r="AC203" s="640" t="n"/>
      <c r="AD203" s="911">
        <f>IF(E203="YES",IF(G203=1,"",""),IF(G203=1,C203,IF(G203=2,C203,IF(G203=0,"",""))))</f>
        <v/>
      </c>
      <c r="AE203" s="911">
        <f>IF(E203="YES",IF(G203=1,"",IF(H203=1,C203,"")),IF(H203=1,C203,IF(H203=2,C203,IF(H203=0,"",""))))</f>
        <v/>
      </c>
      <c r="AF203" s="911">
        <f>IF(E203="YES",IF(I203=1,C203,""),IF(I203=1,C203,IF(I203=2,C203,IF(I203=0,"",""))))</f>
        <v/>
      </c>
      <c r="AG203" s="192">
        <f>(C203*G203)+(C203*H203)+(C203*I203)</f>
        <v/>
      </c>
    </row>
    <row r="204">
      <c r="A204" s="109" t="n"/>
      <c r="B204" s="109" t="n"/>
      <c r="C204" s="109" t="n"/>
      <c r="J204" s="57" t="n"/>
      <c r="K204" s="57" t="n"/>
      <c r="L204" s="57" t="n"/>
      <c r="M204" s="57" t="n"/>
      <c r="N204" s="57" t="n"/>
      <c r="O204" s="57" t="n"/>
      <c r="AA204" s="640">
        <f>IF(G204=0, IF(OR(H204&gt;0,F204&gt;0),C204*F204,""),"")</f>
        <v/>
      </c>
      <c r="AB204" s="640">
        <f>IF(G204&gt;=1,IF(F204&gt;1,C204*(F204-2),""),"")</f>
        <v/>
      </c>
      <c r="AC204" s="640" t="n"/>
      <c r="AD204" s="911">
        <f>IF(E204="YES",IF(G204=1,"",""),IF(G204=1,C204,IF(G204=2,C204,IF(G204=0,"",""))))</f>
        <v/>
      </c>
      <c r="AE204" s="911">
        <f>IF(E204="YES",IF(G204=1,"",IF(H204=1,C204,"")),IF(H204=1,C204,IF(H204=2,C204,IF(H204=0,"",""))))</f>
        <v/>
      </c>
      <c r="AF204" s="911">
        <f>IF(E204="YES",IF(I204=1,C204,""),IF(I204=1,C204,IF(I204=2,C204,IF(I204=0,"",""))))</f>
        <v/>
      </c>
      <c r="AG204" s="192">
        <f>(C204*G204)+(C204*H204)+(C204*I204)</f>
        <v/>
      </c>
    </row>
    <row r="205">
      <c r="A205" s="109" t="n"/>
      <c r="B205" s="109" t="n"/>
      <c r="C205" s="109" t="n"/>
      <c r="J205" s="57" t="n"/>
      <c r="K205" s="57" t="n"/>
      <c r="L205" s="57" t="n"/>
      <c r="M205" s="57" t="n"/>
      <c r="N205" s="57" t="n"/>
      <c r="O205" s="57" t="n"/>
      <c r="AA205" s="640">
        <f>IF(G205=0, IF(OR(H205&gt;0,F205&gt;0),C205*F205,""),"")</f>
        <v/>
      </c>
      <c r="AB205" s="640">
        <f>IF(G205&gt;=1,IF(F205&gt;1,C205*(F205-2),""),"")</f>
        <v/>
      </c>
      <c r="AC205" s="640" t="n"/>
      <c r="AD205" s="911">
        <f>IF(E205="YES",IF(G205=1,"",""),IF(G205=1,C205,IF(G205=2,C205,IF(G205=0,"",""))))</f>
        <v/>
      </c>
      <c r="AE205" s="911">
        <f>IF(E205="YES",IF(G205=1,"",IF(H205=1,C205,"")),IF(H205=1,C205,IF(H205=2,C205,IF(H205=0,"",""))))</f>
        <v/>
      </c>
      <c r="AF205" s="911">
        <f>IF(E205="YES",IF(I205=1,C205,""),IF(I205=1,C205,IF(I205=2,C205,IF(I205=0,"",""))))</f>
        <v/>
      </c>
      <c r="AG205" s="192">
        <f>(C205*G205)+(C205*H205)+(C205*I205)</f>
        <v/>
      </c>
    </row>
    <row r="206">
      <c r="A206" s="109" t="n"/>
      <c r="B206" s="109" t="n"/>
      <c r="C206" s="109" t="n"/>
      <c r="J206" s="57" t="n"/>
      <c r="K206" s="57" t="n"/>
      <c r="L206" s="57" t="n"/>
      <c r="M206" s="57" t="n"/>
      <c r="N206" s="57" t="n"/>
      <c r="O206" s="57" t="n"/>
      <c r="AA206" s="640">
        <f>IF(G206=0, IF(OR(H206&gt;0,F206&gt;0),C206*F206,""),"")</f>
        <v/>
      </c>
      <c r="AB206" s="640">
        <f>IF(G206&gt;=1,IF(F206&gt;1,C206*(F206-2),""),"")</f>
        <v/>
      </c>
      <c r="AC206" s="640" t="n"/>
      <c r="AD206" s="911">
        <f>IF(E206="YES",IF(G206=1,"",""),IF(G206=1,C206,IF(G206=2,C206,IF(G206=0,"",""))))</f>
        <v/>
      </c>
      <c r="AE206" s="911">
        <f>IF(E206="YES",IF(G206=1,"",IF(H206=1,C206,"")),IF(H206=1,C206,IF(H206=2,C206,IF(H206=0,"",""))))</f>
        <v/>
      </c>
      <c r="AF206" s="911">
        <f>IF(E206="YES",IF(I206=1,C206,""),IF(I206=1,C206,IF(I206=2,C206,IF(I206=0,"",""))))</f>
        <v/>
      </c>
      <c r="AG206" s="192">
        <f>(C206*G206)+(C206*H206)+(C206*I206)</f>
        <v/>
      </c>
    </row>
    <row r="207">
      <c r="A207" s="109" t="n"/>
      <c r="B207" s="109" t="n"/>
      <c r="C207" s="109" t="n"/>
      <c r="J207" s="57" t="n"/>
      <c r="K207" s="57" t="n"/>
      <c r="L207" s="57" t="n"/>
      <c r="M207" s="57" t="n"/>
      <c r="N207" s="57" t="n"/>
      <c r="O207" s="57" t="n"/>
      <c r="AA207" s="640">
        <f>IF(G207=0, IF(OR(H207&gt;0,F207&gt;0),C207*F207,""),"")</f>
        <v/>
      </c>
      <c r="AB207" s="640">
        <f>IF(G207&gt;=1,IF(F207&gt;1,C207*(F207-2),""),"")</f>
        <v/>
      </c>
      <c r="AC207" s="640" t="n"/>
      <c r="AD207" s="911">
        <f>IF(E207="YES",IF(G207=1,"",""),IF(G207=1,C207,IF(G207=2,C207,IF(G207=0,"",""))))</f>
        <v/>
      </c>
      <c r="AE207" s="911">
        <f>IF(E207="YES",IF(G207=1,"",IF(H207=1,C207,"")),IF(H207=1,C207,IF(H207=2,C207,IF(H207=0,"",""))))</f>
        <v/>
      </c>
      <c r="AF207" s="911">
        <f>IF(E207="YES",IF(I207=1,C207,""),IF(I207=1,C207,IF(I207=2,C207,IF(I207=0,"",""))))</f>
        <v/>
      </c>
      <c r="AG207" s="192">
        <f>(C207*G207)+(C207*H207)+(C207*I207)</f>
        <v/>
      </c>
    </row>
    <row r="208">
      <c r="A208" s="109" t="n"/>
      <c r="B208" s="109" t="n"/>
      <c r="C208" s="109" t="n"/>
      <c r="J208" s="57" t="n"/>
      <c r="K208" s="57" t="n"/>
      <c r="L208" s="57" t="n"/>
      <c r="M208" s="57" t="n"/>
      <c r="N208" s="57" t="n"/>
      <c r="O208" s="57" t="n"/>
      <c r="AA208" s="640">
        <f>IF(G208=0, IF(OR(H208&gt;0,F208&gt;0),C208*F208,""),"")</f>
        <v/>
      </c>
      <c r="AB208" s="640">
        <f>IF(G208&gt;=1,IF(F208&gt;1,C208*(F208-2),""),"")</f>
        <v/>
      </c>
      <c r="AC208" s="640" t="n"/>
      <c r="AD208" s="911">
        <f>IF(E208="YES",IF(G208=1,"",""),IF(G208=1,C208,IF(G208=2,C208,IF(G208=0,"",""))))</f>
        <v/>
      </c>
      <c r="AE208" s="911">
        <f>IF(E208="YES",IF(G208=1,"",IF(H208=1,C208,"")),IF(H208=1,C208,IF(H208=2,C208,IF(H208=0,"",""))))</f>
        <v/>
      </c>
      <c r="AF208" s="911">
        <f>IF(E208="YES",IF(I208=1,C208,""),IF(I208=1,C208,IF(I208=2,C208,IF(I208=0,"",""))))</f>
        <v/>
      </c>
      <c r="AG208" s="192">
        <f>(C208*G208)+(C208*H208)+(C208*I208)</f>
        <v/>
      </c>
    </row>
    <row r="209">
      <c r="A209" s="109" t="n"/>
      <c r="B209" s="109" t="n"/>
      <c r="C209" s="109" t="n"/>
      <c r="J209" s="57" t="n"/>
      <c r="K209" s="57" t="n"/>
      <c r="L209" s="57" t="n"/>
      <c r="M209" s="57" t="n"/>
      <c r="N209" s="57" t="n"/>
      <c r="O209" s="57" t="n"/>
      <c r="AA209" s="640">
        <f>IF(G209=0, IF(OR(H209&gt;0,F209&gt;0),C209*F209,""),"")</f>
        <v/>
      </c>
      <c r="AB209" s="640">
        <f>IF(G209&gt;=1,IF(F209&gt;1,C209*(F209-2),""),"")</f>
        <v/>
      </c>
      <c r="AC209" s="640" t="n"/>
      <c r="AD209" s="911">
        <f>IF(E209="YES",IF(G209=1,"",""),IF(G209=1,C209,IF(G209=2,C209,IF(G209=0,"",""))))</f>
        <v/>
      </c>
      <c r="AE209" s="911">
        <f>IF(E209="YES",IF(G209=1,"",IF(H209=1,C209,"")),IF(H209=1,C209,IF(H209=2,C209,IF(H209=0,"",""))))</f>
        <v/>
      </c>
      <c r="AF209" s="911">
        <f>IF(E209="YES",IF(I209=1,C209,""),IF(I209=1,C209,IF(I209=2,C209,IF(I209=0,"",""))))</f>
        <v/>
      </c>
      <c r="AG209" s="192">
        <f>(C209*G209)+(C209*H209)+(C209*I209)</f>
        <v/>
      </c>
    </row>
    <row r="210">
      <c r="A210" s="109" t="n"/>
      <c r="B210" s="109" t="n"/>
      <c r="C210" s="109" t="n"/>
      <c r="J210" s="57" t="n"/>
      <c r="K210" s="57" t="n"/>
      <c r="L210" s="57" t="n"/>
      <c r="M210" s="57" t="n"/>
      <c r="N210" s="57" t="n"/>
      <c r="O210" s="57" t="n"/>
      <c r="AA210" s="640">
        <f>IF(G210=0, IF(OR(H210&gt;0,F210&gt;0),C210*F210,""),"")</f>
        <v/>
      </c>
      <c r="AB210" s="640">
        <f>IF(G210&gt;=1,IF(F210&gt;1,C210*(F210-2),""),"")</f>
        <v/>
      </c>
      <c r="AC210" s="640" t="n"/>
      <c r="AD210" s="911">
        <f>IF(E210="YES",IF(G210=1,"",""),IF(G210=1,C210,IF(G210=2,C210,IF(G210=0,"",""))))</f>
        <v/>
      </c>
      <c r="AE210" s="911">
        <f>IF(E210="YES",IF(G210=1,"",IF(H210=1,C210,"")),IF(H210=1,C210,IF(H210=2,C210,IF(H210=0,"",""))))</f>
        <v/>
      </c>
      <c r="AF210" s="911">
        <f>IF(E210="YES",IF(I210=1,C210,""),IF(I210=1,C210,IF(I210=2,C210,IF(I210=0,"",""))))</f>
        <v/>
      </c>
      <c r="AG210" s="192">
        <f>(C210*G210)+(C210*H210)+(C210*I210)</f>
        <v/>
      </c>
    </row>
    <row r="211">
      <c r="A211" s="109" t="n"/>
      <c r="B211" s="109" t="n"/>
      <c r="C211" s="109" t="n"/>
      <c r="J211" s="57" t="n"/>
      <c r="K211" s="57" t="n"/>
      <c r="L211" s="57" t="n"/>
      <c r="M211" s="57" t="n"/>
      <c r="N211" s="57" t="n"/>
      <c r="O211" s="57" t="n"/>
      <c r="AA211" s="640">
        <f>IF(G211=0, IF(OR(H211&gt;0,F211&gt;0),C211*F211,""),"")</f>
        <v/>
      </c>
      <c r="AB211" s="640">
        <f>IF(G211&gt;=1,IF(F211&gt;1,C211*(F211-2),""),"")</f>
        <v/>
      </c>
      <c r="AC211" s="640" t="n"/>
      <c r="AD211" s="911">
        <f>IF(E211="YES",IF(G211=1,"",""),IF(G211=1,C211,IF(G211=2,C211,IF(G211=0,"",""))))</f>
        <v/>
      </c>
      <c r="AE211" s="911">
        <f>IF(E211="YES",IF(G211=1,"",IF(H211=1,C211,"")),IF(H211=1,C211,IF(H211=2,C211,IF(H211=0,"",""))))</f>
        <v/>
      </c>
      <c r="AF211" s="911">
        <f>IF(E211="YES",IF(I211=1,C211,""),IF(I211=1,C211,IF(I211=2,C211,IF(I211=0,"",""))))</f>
        <v/>
      </c>
      <c r="AG211" s="192">
        <f>(C211*G211)+(C211*H211)+(C211*I211)</f>
        <v/>
      </c>
    </row>
    <row r="212">
      <c r="A212" s="109" t="n"/>
      <c r="B212" s="109" t="n"/>
      <c r="C212" s="109" t="n"/>
      <c r="J212" s="57" t="n"/>
      <c r="K212" s="57" t="n"/>
      <c r="L212" s="57" t="n"/>
      <c r="M212" s="57" t="n"/>
      <c r="N212" s="57" t="n"/>
      <c r="O212" s="57" t="n"/>
      <c r="AA212" s="640">
        <f>IF(G212=0, IF(OR(H212&gt;0,F212&gt;0),C212*F212,""),"")</f>
        <v/>
      </c>
      <c r="AB212" s="640">
        <f>IF(G212&gt;=1,IF(F212&gt;1,C212*(F212-2),""),"")</f>
        <v/>
      </c>
      <c r="AC212" s="640" t="n"/>
      <c r="AD212" s="911">
        <f>IF(E212="YES",IF(G212=1,"",""),IF(G212=1,C212,IF(G212=2,C212,IF(G212=0,"",""))))</f>
        <v/>
      </c>
      <c r="AE212" s="911">
        <f>IF(E212="YES",IF(G212=1,"",IF(H212=1,C212,"")),IF(H212=1,C212,IF(H212=2,C212,IF(H212=0,"",""))))</f>
        <v/>
      </c>
      <c r="AF212" s="911">
        <f>IF(E212="YES",IF(I212=1,C212,""),IF(I212=1,C212,IF(I212=2,C212,IF(I212=0,"",""))))</f>
        <v/>
      </c>
      <c r="AG212" s="192">
        <f>(C212*G212)+(C212*H212)+(C212*I212)</f>
        <v/>
      </c>
    </row>
    <row r="213">
      <c r="A213" s="109" t="n"/>
      <c r="B213" s="109" t="n"/>
      <c r="C213" s="109" t="n"/>
      <c r="J213" s="57" t="n"/>
      <c r="K213" s="57" t="n"/>
      <c r="L213" s="57" t="n"/>
      <c r="M213" s="57" t="n"/>
      <c r="N213" s="57" t="n"/>
      <c r="O213" s="57" t="n"/>
      <c r="AA213" s="640">
        <f>IF(G213=0, IF(OR(H213&gt;0,F213&gt;0),C213*F213,""),"")</f>
        <v/>
      </c>
      <c r="AB213" s="640">
        <f>IF(G213&gt;=1,IF(F213&gt;1,C213*(F213-2),""),"")</f>
        <v/>
      </c>
      <c r="AC213" s="640" t="n"/>
      <c r="AD213" s="911">
        <f>IF(E213="YES",IF(G213=1,"",""),IF(G213=1,C213,IF(G213=2,C213,IF(G213=0,"",""))))</f>
        <v/>
      </c>
      <c r="AE213" s="911">
        <f>IF(E213="YES",IF(G213=1,"",IF(H213=1,C213,"")),IF(H213=1,C213,IF(H213=2,C213,IF(H213=0,"",""))))</f>
        <v/>
      </c>
      <c r="AF213" s="911">
        <f>IF(E213="YES",IF(I213=1,C213,""),IF(I213=1,C213,IF(I213=2,C213,IF(I213=0,"",""))))</f>
        <v/>
      </c>
      <c r="AG213" s="192">
        <f>(C213*G213)+(C213*H213)+(C213*I213)</f>
        <v/>
      </c>
    </row>
    <row r="214">
      <c r="A214" s="109" t="n"/>
      <c r="B214" s="109" t="n"/>
      <c r="C214" s="109" t="n"/>
      <c r="J214" s="57" t="n"/>
      <c r="K214" s="57" t="n"/>
      <c r="L214" s="57" t="n"/>
      <c r="M214" s="57" t="n"/>
      <c r="N214" s="57" t="n"/>
      <c r="O214" s="57" t="n"/>
      <c r="AA214" s="640">
        <f>IF(G214=0, IF(OR(H214&gt;0,F214&gt;0),C214*F214,""),"")</f>
        <v/>
      </c>
      <c r="AB214" s="640">
        <f>IF(G214&gt;=1,IF(F214&gt;1,C214*(F214-2),""),"")</f>
        <v/>
      </c>
      <c r="AC214" s="640" t="n"/>
      <c r="AD214" s="911">
        <f>IF(E214="YES",IF(G214=1,"",""),IF(G214=1,C214,IF(G214=2,C214,IF(G214=0,"",""))))</f>
        <v/>
      </c>
      <c r="AE214" s="911">
        <f>IF(E214="YES",IF(G214=1,"",IF(H214=1,C214,"")),IF(H214=1,C214,IF(H214=2,C214,IF(H214=0,"",""))))</f>
        <v/>
      </c>
      <c r="AF214" s="911">
        <f>IF(E214="YES",IF(I214=1,C214,""),IF(I214=1,C214,IF(I214=2,C214,IF(I214=0,"",""))))</f>
        <v/>
      </c>
      <c r="AG214" s="192">
        <f>(C214*G214)+(C214*H214)+(C214*I214)</f>
        <v/>
      </c>
    </row>
    <row r="215">
      <c r="A215" s="109" t="n"/>
      <c r="B215" s="109" t="n"/>
      <c r="C215" s="109" t="n"/>
      <c r="J215" s="57" t="n"/>
      <c r="K215" s="57" t="n"/>
      <c r="L215" s="57" t="n"/>
      <c r="M215" s="57" t="n"/>
      <c r="N215" s="57" t="n"/>
      <c r="O215" s="57" t="n"/>
      <c r="AA215" s="640">
        <f>IF(G215=0, IF(OR(H215&gt;0,F215&gt;0),C215*F215,""),"")</f>
        <v/>
      </c>
      <c r="AB215" s="640">
        <f>IF(G215&gt;=1,IF(F215&gt;1,C215*(F215-2),""),"")</f>
        <v/>
      </c>
      <c r="AC215" s="640" t="n"/>
      <c r="AD215" s="911">
        <f>IF(E215="YES",IF(G215=1,"",""),IF(G215=1,C215,IF(G215=2,C215,IF(G215=0,"",""))))</f>
        <v/>
      </c>
      <c r="AE215" s="911">
        <f>IF(E215="YES",IF(G215=1,"",IF(H215=1,C215,"")),IF(H215=1,C215,IF(H215=2,C215,IF(H215=0,"",""))))</f>
        <v/>
      </c>
      <c r="AF215" s="911">
        <f>IF(E215="YES",IF(I215=1,C215,""),IF(I215=1,C215,IF(I215=2,C215,IF(I215=0,"",""))))</f>
        <v/>
      </c>
      <c r="AG215" s="192">
        <f>(C215*G215)+(C215*H215)+(C215*I215)</f>
        <v/>
      </c>
    </row>
    <row r="216">
      <c r="A216" s="109" t="n"/>
      <c r="B216" s="109" t="n"/>
      <c r="C216" s="109" t="n"/>
      <c r="J216" s="57" t="n"/>
      <c r="K216" s="57" t="n"/>
      <c r="L216" s="57" t="n"/>
      <c r="M216" s="57" t="n"/>
      <c r="N216" s="57" t="n"/>
      <c r="O216" s="57" t="n"/>
      <c r="AA216" s="640">
        <f>IF(G216=0, IF(OR(H216&gt;0,F216&gt;0),C216*F216,""),"")</f>
        <v/>
      </c>
      <c r="AB216" s="640">
        <f>IF(G216&gt;=1,IF(F216&gt;1,C216*(F216-2),""),"")</f>
        <v/>
      </c>
      <c r="AC216" s="640" t="n"/>
      <c r="AD216" s="911">
        <f>IF(E216="YES",IF(G216=1,"",""),IF(G216=1,C216,IF(G216=2,C216,IF(G216=0,"",""))))</f>
        <v/>
      </c>
      <c r="AE216" s="911">
        <f>IF(E216="YES",IF(G216=1,"",IF(H216=1,C216,"")),IF(H216=1,C216,IF(H216=2,C216,IF(H216=0,"",""))))</f>
        <v/>
      </c>
      <c r="AF216" s="911">
        <f>IF(E216="YES",IF(I216=1,C216,""),IF(I216=1,C216,IF(I216=2,C216,IF(I216=0,"",""))))</f>
        <v/>
      </c>
      <c r="AG216" s="192">
        <f>(C216*G216)+(C216*H216)+(C216*I216)</f>
        <v/>
      </c>
    </row>
    <row r="217">
      <c r="A217" s="109" t="n"/>
      <c r="B217" s="109" t="n"/>
      <c r="C217" s="109" t="n"/>
      <c r="J217" s="57" t="n"/>
      <c r="K217" s="57" t="n"/>
      <c r="L217" s="57" t="n"/>
      <c r="M217" s="57" t="n"/>
      <c r="N217" s="57" t="n"/>
      <c r="O217" s="57" t="n"/>
      <c r="AA217" s="640">
        <f>IF(G217=0, IF(OR(H217&gt;0,F217&gt;0),C217*F217,""),"")</f>
        <v/>
      </c>
      <c r="AB217" s="640">
        <f>IF(G217&gt;=1,IF(F217&gt;1,C217*(F217-2),""),"")</f>
        <v/>
      </c>
      <c r="AC217" s="640" t="n"/>
      <c r="AD217" s="911">
        <f>IF(E217="YES",IF(G217=1,"",""),IF(G217=1,C217,IF(G217=2,C217,IF(G217=0,"",""))))</f>
        <v/>
      </c>
      <c r="AE217" s="911">
        <f>IF(E217="YES",IF(G217=1,"",IF(H217=1,C217,"")),IF(H217=1,C217,IF(H217=2,C217,IF(H217=0,"",""))))</f>
        <v/>
      </c>
      <c r="AF217" s="911">
        <f>IF(E217="YES",IF(I217=1,C217,""),IF(I217=1,C217,IF(I217=2,C217,IF(I217=0,"",""))))</f>
        <v/>
      </c>
      <c r="AG217" s="192">
        <f>(C217*G217)+(C217*H217)+(C217*I217)</f>
        <v/>
      </c>
    </row>
    <row r="218">
      <c r="A218" s="109" t="n"/>
      <c r="B218" s="109" t="n"/>
      <c r="C218" s="109" t="n"/>
      <c r="J218" s="57" t="n"/>
      <c r="K218" s="57" t="n"/>
      <c r="L218" s="57" t="n"/>
      <c r="M218" s="57" t="n"/>
      <c r="N218" s="57" t="n"/>
      <c r="O218" s="57" t="n"/>
      <c r="AA218" s="640">
        <f>IF(G218=0, IF(OR(H218&gt;0,F218&gt;0),C218*F218,""),"")</f>
        <v/>
      </c>
      <c r="AB218" s="640">
        <f>IF(G218&gt;=1,IF(F218&gt;1,C218*(F218-2),""),"")</f>
        <v/>
      </c>
      <c r="AC218" s="640" t="n"/>
      <c r="AD218" s="911">
        <f>IF(E218="YES",IF(G218=1,"",""),IF(G218=1,C218,IF(G218=2,C218,IF(G218=0,"",""))))</f>
        <v/>
      </c>
      <c r="AE218" s="911">
        <f>IF(E218="YES",IF(G218=1,"",IF(H218=1,C218,"")),IF(H218=1,C218,IF(H218=2,C218,IF(H218=0,"",""))))</f>
        <v/>
      </c>
      <c r="AF218" s="911">
        <f>IF(E218="YES",IF(I218=1,C218,""),IF(I218=1,C218,IF(I218=2,C218,IF(I218=0,"",""))))</f>
        <v/>
      </c>
      <c r="AG218" s="192">
        <f>(C218*G218)+(C218*H218)+(C218*I218)</f>
        <v/>
      </c>
    </row>
    <row r="219">
      <c r="A219" s="109" t="n"/>
      <c r="B219" s="109" t="n"/>
      <c r="C219" s="109" t="n"/>
      <c r="J219" s="57" t="n"/>
      <c r="K219" s="57" t="n"/>
      <c r="L219" s="57" t="n"/>
      <c r="M219" s="57" t="n"/>
      <c r="N219" s="57" t="n"/>
      <c r="O219" s="57" t="n"/>
      <c r="AA219" s="640">
        <f>IF(G219=0, IF(OR(H219&gt;0,F219&gt;0),C219*F219,""),"")</f>
        <v/>
      </c>
      <c r="AB219" s="640">
        <f>IF(G219&gt;=1,IF(F219&gt;1,C219*(F219-2),""),"")</f>
        <v/>
      </c>
      <c r="AC219" s="640" t="n"/>
      <c r="AD219" s="911">
        <f>IF(E219="YES",IF(G219=1,"",""),IF(G219=1,C219,IF(G219=2,C219,IF(G219=0,"",""))))</f>
        <v/>
      </c>
      <c r="AE219" s="911">
        <f>IF(E219="YES",IF(G219=1,"",IF(H219=1,C219,"")),IF(H219=1,C219,IF(H219=2,C219,IF(H219=0,"",""))))</f>
        <v/>
      </c>
      <c r="AF219" s="911">
        <f>IF(E219="YES",IF(I219=1,C219,""),IF(I219=1,C219,IF(I219=2,C219,IF(I219=0,"",""))))</f>
        <v/>
      </c>
      <c r="AG219" s="192">
        <f>(C219*G219)+(C219*H219)+(C219*I219)</f>
        <v/>
      </c>
    </row>
    <row r="220">
      <c r="A220" s="109" t="n"/>
      <c r="B220" s="109" t="n"/>
      <c r="C220" s="109" t="n"/>
      <c r="J220" s="57" t="n"/>
      <c r="K220" s="57" t="n"/>
      <c r="L220" s="57" t="n"/>
      <c r="M220" s="57" t="n"/>
      <c r="N220" s="57" t="n"/>
      <c r="O220" s="57" t="n"/>
      <c r="AA220" s="640">
        <f>IF(G220=0, IF(OR(H220&gt;0,F220&gt;0),C220*F220,""),"")</f>
        <v/>
      </c>
      <c r="AB220" s="640">
        <f>IF(G220&gt;=1,IF(F220&gt;1,C220*(F220-2),""),"")</f>
        <v/>
      </c>
      <c r="AC220" s="640" t="n"/>
      <c r="AD220" s="911">
        <f>IF(E220="YES",IF(G220=1,"",""),IF(G220=1,C220,IF(G220=2,C220,IF(G220=0,"",""))))</f>
        <v/>
      </c>
      <c r="AE220" s="911">
        <f>IF(E220="YES",IF(G220=1,"",IF(H220=1,C220,"")),IF(H220=1,C220,IF(H220=2,C220,IF(H220=0,"",""))))</f>
        <v/>
      </c>
      <c r="AF220" s="911">
        <f>IF(E220="YES",IF(I220=1,C220,""),IF(I220=1,C220,IF(I220=2,C220,IF(I220=0,"",""))))</f>
        <v/>
      </c>
      <c r="AG220" s="192">
        <f>(C220*G220)+(C220*H220)+(C220*I220)</f>
        <v/>
      </c>
    </row>
    <row r="221">
      <c r="A221" s="109" t="n"/>
      <c r="B221" s="109" t="n"/>
      <c r="C221" s="109" t="n"/>
      <c r="J221" s="57" t="n"/>
      <c r="K221" s="57" t="n"/>
      <c r="L221" s="57" t="n"/>
      <c r="M221" s="57" t="n"/>
      <c r="N221" s="57" t="n"/>
      <c r="O221" s="57" t="n"/>
      <c r="AA221" s="640">
        <f>IF(G221=0, IF(OR(H221&gt;0,F221&gt;0),C221*F221,""),"")</f>
        <v/>
      </c>
      <c r="AB221" s="640">
        <f>IF(G221&gt;=1,IF(F221&gt;1,C221*(F221-2),""),"")</f>
        <v/>
      </c>
      <c r="AC221" s="640" t="n"/>
      <c r="AD221" s="911">
        <f>IF(E221="YES",IF(G221=1,"",""),IF(G221=1,C221,IF(G221=2,C221,IF(G221=0,"",""))))</f>
        <v/>
      </c>
      <c r="AE221" s="911">
        <f>IF(E221="YES",IF(G221=1,"",IF(H221=1,C221,"")),IF(H221=1,C221,IF(H221=2,C221,IF(H221=0,"",""))))</f>
        <v/>
      </c>
      <c r="AF221" s="911">
        <f>IF(E221="YES",IF(I221=1,C221,""),IF(I221=1,C221,IF(I221=2,C221,IF(I221=0,"",""))))</f>
        <v/>
      </c>
      <c r="AG221" s="192">
        <f>(C221*G221)+(C221*H221)+(C221*I221)</f>
        <v/>
      </c>
    </row>
    <row r="222">
      <c r="A222" s="109" t="n"/>
      <c r="B222" s="109" t="n"/>
      <c r="C222" s="109" t="n"/>
      <c r="J222" s="57" t="n"/>
      <c r="K222" s="57" t="n"/>
      <c r="L222" s="57" t="n"/>
      <c r="M222" s="57" t="n"/>
      <c r="N222" s="57" t="n"/>
      <c r="O222" s="57" t="n"/>
      <c r="AA222" s="640">
        <f>IF(G222=0, IF(OR(H222&gt;0,F222&gt;0),C222*F222,""),"")</f>
        <v/>
      </c>
      <c r="AB222" s="640">
        <f>IF(G222&gt;=1,IF(F222&gt;1,C222*(F222-2),""),"")</f>
        <v/>
      </c>
      <c r="AC222" s="640" t="n"/>
      <c r="AD222" s="911">
        <f>IF(E222="YES",IF(G222=1,"",""),IF(G222=1,C222,IF(G222=2,C222,IF(G222=0,"",""))))</f>
        <v/>
      </c>
      <c r="AE222" s="911">
        <f>IF(E222="YES",IF(G222=1,"",IF(H222=1,C222,"")),IF(H222=1,C222,IF(H222=2,C222,IF(H222=0,"",""))))</f>
        <v/>
      </c>
      <c r="AF222" s="911">
        <f>IF(E222="YES",IF(I222=1,C222,""),IF(I222=1,C222,IF(I222=2,C222,IF(I222=0,"",""))))</f>
        <v/>
      </c>
      <c r="AG222" s="192">
        <f>(C222*G222)+(C222*H222)+(C222*I222)</f>
        <v/>
      </c>
    </row>
    <row r="223">
      <c r="A223" s="109" t="n"/>
      <c r="B223" s="109" t="n"/>
      <c r="C223" s="109" t="n"/>
      <c r="J223" s="57" t="n"/>
      <c r="K223" s="57" t="n"/>
      <c r="L223" s="57" t="n"/>
      <c r="M223" s="57" t="n"/>
      <c r="N223" s="57" t="n"/>
      <c r="O223" s="57" t="n"/>
      <c r="AA223" s="640">
        <f>IF(G223=0, IF(OR(H223&gt;0,F223&gt;0),C223*F223,""),"")</f>
        <v/>
      </c>
      <c r="AB223" s="640">
        <f>IF(G223&gt;=1,IF(F223&gt;1,C223*(F223-2),""),"")</f>
        <v/>
      </c>
      <c r="AC223" s="640" t="n"/>
      <c r="AD223" s="911">
        <f>IF(E223="YES",IF(G223=1,"",""),IF(G223=1,C223,IF(G223=2,C223,IF(G223=0,"",""))))</f>
        <v/>
      </c>
      <c r="AE223" s="911">
        <f>IF(E223="YES",IF(G223=1,"",IF(H223=1,C223,"")),IF(H223=1,C223,IF(H223=2,C223,IF(H223=0,"",""))))</f>
        <v/>
      </c>
      <c r="AF223" s="911">
        <f>IF(E223="YES",IF(I223=1,C223,""),IF(I223=1,C223,IF(I223=2,C223,IF(I223=0,"",""))))</f>
        <v/>
      </c>
      <c r="AG223" s="192">
        <f>(C223*G223)+(C223*H223)+(C223*I223)</f>
        <v/>
      </c>
    </row>
    <row r="224">
      <c r="A224" s="109" t="n"/>
      <c r="B224" s="109" t="n"/>
      <c r="C224" s="109" t="n"/>
      <c r="J224" s="57" t="n"/>
      <c r="K224" s="57" t="n"/>
      <c r="L224" s="57" t="n"/>
      <c r="M224" s="57" t="n"/>
      <c r="N224" s="57" t="n"/>
      <c r="O224" s="57" t="n"/>
      <c r="AA224" s="640">
        <f>IF(G224=0, IF(OR(H224&gt;0,F224&gt;0),C224*F224,""),"")</f>
        <v/>
      </c>
      <c r="AB224" s="640">
        <f>IF(G224&gt;=1,IF(F224&gt;1,C224*(F224-2),""),"")</f>
        <v/>
      </c>
      <c r="AC224" s="640" t="n"/>
      <c r="AD224" s="911">
        <f>IF(E224="YES",IF(G224=1,"",""),IF(G224=1,C224,IF(G224=2,C224,IF(G224=0,"",""))))</f>
        <v/>
      </c>
      <c r="AE224" s="911">
        <f>IF(E224="YES",IF(G224=1,"",IF(H224=1,C224,"")),IF(H224=1,C224,IF(H224=2,C224,IF(H224=0,"",""))))</f>
        <v/>
      </c>
      <c r="AF224" s="911">
        <f>IF(E224="YES",IF(I224=1,C224,""),IF(I224=1,C224,IF(I224=2,C224,IF(I224=0,"",""))))</f>
        <v/>
      </c>
      <c r="AG224" s="192">
        <f>(C224*G224)+(C224*H224)+(C224*I224)</f>
        <v/>
      </c>
    </row>
    <row r="225">
      <c r="A225" s="109" t="n"/>
      <c r="B225" s="109" t="n"/>
      <c r="C225" s="109" t="n"/>
      <c r="J225" s="57" t="n"/>
      <c r="K225" s="57" t="n"/>
      <c r="L225" s="57" t="n"/>
      <c r="M225" s="57" t="n"/>
      <c r="N225" s="57" t="n"/>
      <c r="O225" s="57" t="n"/>
      <c r="AA225" s="640">
        <f>IF(G225=0, IF(OR(H225&gt;0,F225&gt;0),C225*F225,""),"")</f>
        <v/>
      </c>
      <c r="AB225" s="640">
        <f>IF(G225&gt;=1,IF(F225&gt;1,C225*(F225-2),""),"")</f>
        <v/>
      </c>
      <c r="AC225" s="640" t="n"/>
      <c r="AD225" s="911">
        <f>IF(E225="YES",IF(G225=1,"",""),IF(G225=1,C225,IF(G225=2,C225,IF(G225=0,"",""))))</f>
        <v/>
      </c>
      <c r="AE225" s="911">
        <f>IF(E225="YES",IF(G225=1,"",IF(H225=1,C225,"")),IF(H225=1,C225,IF(H225=2,C225,IF(H225=0,"",""))))</f>
        <v/>
      </c>
      <c r="AF225" s="911">
        <f>IF(E225="YES",IF(I225=1,C225,""),IF(I225=1,C225,IF(I225=2,C225,IF(I225=0,"",""))))</f>
        <v/>
      </c>
      <c r="AG225" s="192">
        <f>(C225*G225)+(C225*H225)+(C225*I225)</f>
        <v/>
      </c>
    </row>
    <row r="226">
      <c r="A226" s="109" t="n"/>
      <c r="B226" s="109" t="n"/>
      <c r="C226" s="109" t="n"/>
      <c r="J226" s="57" t="n"/>
      <c r="K226" s="57" t="n"/>
      <c r="L226" s="57" t="n"/>
      <c r="M226" s="57" t="n"/>
      <c r="N226" s="57" t="n"/>
      <c r="O226" s="57" t="n"/>
      <c r="AA226" s="640">
        <f>IF(G226=0, IF(OR(H226&gt;0,F226&gt;0),C226*F226,""),"")</f>
        <v/>
      </c>
      <c r="AB226" s="640">
        <f>IF(G226&gt;=1,IF(F226&gt;1,C226*(F226-2),""),"")</f>
        <v/>
      </c>
      <c r="AC226" s="640" t="n"/>
      <c r="AD226" s="911">
        <f>IF(E226="YES",IF(G226=1,"",""),IF(G226=1,C226,IF(G226=2,C226,IF(G226=0,"",""))))</f>
        <v/>
      </c>
      <c r="AE226" s="911">
        <f>IF(E226="YES",IF(G226=1,"",IF(H226=1,C226,"")),IF(H226=1,C226,IF(H226=2,C226,IF(H226=0,"",""))))</f>
        <v/>
      </c>
      <c r="AF226" s="911">
        <f>IF(E226="YES",IF(I226=1,C226,""),IF(I226=1,C226,IF(I226=2,C226,IF(I226=0,"",""))))</f>
        <v/>
      </c>
      <c r="AG226" s="192">
        <f>(C226*G226)+(C226*H226)+(C226*I226)</f>
        <v/>
      </c>
    </row>
    <row r="227">
      <c r="A227" s="109" t="n"/>
      <c r="B227" s="109" t="n"/>
      <c r="C227" s="109" t="n"/>
      <c r="J227" s="57" t="n"/>
      <c r="K227" s="57" t="n"/>
      <c r="L227" s="57" t="n"/>
      <c r="M227" s="57" t="n"/>
      <c r="N227" s="57" t="n"/>
      <c r="O227" s="57" t="n"/>
      <c r="AA227" s="640">
        <f>IF(G227=0, IF(OR(H227&gt;0,F227&gt;0),C227*F227,""),"")</f>
        <v/>
      </c>
      <c r="AB227" s="640">
        <f>IF(G227&gt;=1,IF(F227&gt;1,C227*(F227-2),""),"")</f>
        <v/>
      </c>
      <c r="AC227" s="640" t="n"/>
      <c r="AD227" s="911">
        <f>IF(E227="YES",IF(G227=1,"",""),IF(G227=1,C227,IF(G227=2,C227,IF(G227=0,"",""))))</f>
        <v/>
      </c>
      <c r="AE227" s="911">
        <f>IF(E227="YES",IF(G227=1,"",IF(H227=1,C227,"")),IF(H227=1,C227,IF(H227=2,C227,IF(H227=0,"",""))))</f>
        <v/>
      </c>
      <c r="AF227" s="911">
        <f>IF(E227="YES",IF(I227=1,C227,""),IF(I227=1,C227,IF(I227=2,C227,IF(I227=0,"",""))))</f>
        <v/>
      </c>
      <c r="AG227" s="192">
        <f>(C227*G227)+(C227*H227)+(C227*I227)</f>
        <v/>
      </c>
    </row>
    <row r="228">
      <c r="A228" s="109" t="n"/>
      <c r="B228" s="109" t="n"/>
      <c r="C228" s="109" t="n"/>
      <c r="J228" s="57" t="n"/>
      <c r="K228" s="57" t="n"/>
      <c r="L228" s="57" t="n"/>
      <c r="M228" s="57" t="n"/>
      <c r="N228" s="57" t="n"/>
      <c r="O228" s="57" t="n"/>
      <c r="AA228" s="640">
        <f>IF(G228=0, IF(OR(H228&gt;0,F228&gt;0),C228*F228,""),"")</f>
        <v/>
      </c>
      <c r="AB228" s="640">
        <f>IF(G228&gt;=1,IF(F228&gt;1,C228*(F228-2),""),"")</f>
        <v/>
      </c>
      <c r="AC228" s="640" t="n"/>
      <c r="AD228" s="911">
        <f>IF(E228="YES",IF(G228=1,"",""),IF(G228=1,C228,IF(G228=2,C228,IF(G228=0,"",""))))</f>
        <v/>
      </c>
      <c r="AE228" s="911">
        <f>IF(E228="YES",IF(G228=1,"",IF(H228=1,C228,"")),IF(H228=1,C228,IF(H228=2,C228,IF(H228=0,"",""))))</f>
        <v/>
      </c>
      <c r="AF228" s="911">
        <f>IF(E228="YES",IF(I228=1,C228,""),IF(I228=1,C228,IF(I228=2,C228,IF(I228=0,"",""))))</f>
        <v/>
      </c>
      <c r="AG228" s="192">
        <f>(C228*G228)+(C228*H228)+(C228*I228)</f>
        <v/>
      </c>
    </row>
    <row r="229">
      <c r="A229" s="109" t="n"/>
      <c r="B229" s="109" t="n"/>
      <c r="C229" s="109" t="n"/>
      <c r="J229" s="57" t="n"/>
      <c r="K229" s="57" t="n"/>
      <c r="L229" s="57" t="n"/>
      <c r="M229" s="57" t="n"/>
      <c r="N229" s="57" t="n"/>
      <c r="O229" s="57" t="n"/>
      <c r="AA229" s="640">
        <f>IF(G229=0, IF(OR(H229&gt;0,F229&gt;0),C229*F229,""),"")</f>
        <v/>
      </c>
      <c r="AB229" s="640">
        <f>IF(G229&gt;=1,IF(F229&gt;1,C229*(F229-2),""),"")</f>
        <v/>
      </c>
      <c r="AC229" s="640" t="n"/>
      <c r="AD229" s="911">
        <f>IF(E229="YES",IF(G229=1,"",""),IF(G229=1,C229,IF(G229=2,C229,IF(G229=0,"",""))))</f>
        <v/>
      </c>
      <c r="AE229" s="911">
        <f>IF(E229="YES",IF(G229=1,"",IF(H229=1,C229,"")),IF(H229=1,C229,IF(H229=2,C229,IF(H229=0,"",""))))</f>
        <v/>
      </c>
      <c r="AF229" s="911">
        <f>IF(E229="YES",IF(I229=1,C229,""),IF(I229=1,C229,IF(I229=2,C229,IF(I229=0,"",""))))</f>
        <v/>
      </c>
      <c r="AG229" s="192">
        <f>(C229*G229)+(C229*H229)+(C229*I229)</f>
        <v/>
      </c>
    </row>
    <row r="230">
      <c r="A230" s="109" t="n"/>
      <c r="B230" s="109" t="n"/>
      <c r="C230" s="109" t="n"/>
      <c r="J230" s="57" t="n"/>
      <c r="K230" s="57" t="n"/>
      <c r="L230" s="57" t="n"/>
      <c r="M230" s="57" t="n"/>
      <c r="N230" s="57" t="n"/>
      <c r="O230" s="57" t="n"/>
      <c r="AA230" s="640">
        <f>IF(G230=0, IF(OR(H230&gt;0,F230&gt;0),C230*F230,""),"")</f>
        <v/>
      </c>
      <c r="AB230" s="640">
        <f>IF(G230&gt;=1,IF(F230&gt;1,C230*(F230-2),""),"")</f>
        <v/>
      </c>
      <c r="AC230" s="640" t="n"/>
      <c r="AD230" s="911">
        <f>IF(E230="YES",IF(G230=1,"",""),IF(G230=1,C230,IF(G230=2,C230,IF(G230=0,"",""))))</f>
        <v/>
      </c>
      <c r="AE230" s="911">
        <f>IF(E230="YES",IF(G230=1,"",IF(H230=1,C230,"")),IF(H230=1,C230,IF(H230=2,C230,IF(H230=0,"",""))))</f>
        <v/>
      </c>
      <c r="AF230" s="911">
        <f>IF(E230="YES",IF(I230=1,C230,""),IF(I230=1,C230,IF(I230=2,C230,IF(I230=0,"",""))))</f>
        <v/>
      </c>
      <c r="AG230" s="192">
        <f>(C230*G230)+(C230*H230)+(C230*I230)</f>
        <v/>
      </c>
    </row>
    <row r="231">
      <c r="A231" s="109" t="n"/>
      <c r="B231" s="109" t="n"/>
      <c r="C231" s="109" t="n"/>
      <c r="J231" s="57" t="n"/>
      <c r="K231" s="57" t="n"/>
      <c r="L231" s="57" t="n"/>
      <c r="M231" s="57" t="n"/>
      <c r="N231" s="57" t="n"/>
      <c r="O231" s="57" t="n"/>
      <c r="AA231" s="640">
        <f>IF(G231=0, IF(OR(H231&gt;0,F231&gt;0),C231*F231,""),"")</f>
        <v/>
      </c>
      <c r="AB231" s="640">
        <f>IF(G231&gt;=1,IF(F231&gt;1,C231*(F231-2),""),"")</f>
        <v/>
      </c>
      <c r="AC231" s="640" t="n"/>
      <c r="AD231" s="911">
        <f>IF(E231="YES",IF(G231=1,"",""),IF(G231=1,C231,IF(G231=2,C231,IF(G231=0,"",""))))</f>
        <v/>
      </c>
      <c r="AE231" s="911">
        <f>IF(E231="YES",IF(G231=1,"",IF(H231=1,C231,"")),IF(H231=1,C231,IF(H231=2,C231,IF(H231=0,"",""))))</f>
        <v/>
      </c>
      <c r="AF231" s="911">
        <f>IF(E231="YES",IF(I231=1,C231,""),IF(I231=1,C231,IF(I231=2,C231,IF(I231=0,"",""))))</f>
        <v/>
      </c>
      <c r="AG231" s="192">
        <f>(C231*G231)+(C231*H231)+(C231*I231)</f>
        <v/>
      </c>
    </row>
    <row r="232">
      <c r="A232" s="109" t="n"/>
      <c r="B232" s="109" t="n"/>
      <c r="C232" s="109" t="n"/>
      <c r="J232" s="57" t="n"/>
      <c r="K232" s="57" t="n"/>
      <c r="L232" s="57" t="n"/>
      <c r="M232" s="57" t="n"/>
      <c r="N232" s="57" t="n"/>
      <c r="O232" s="57" t="n"/>
      <c r="AA232" s="640">
        <f>IF(G232=0, IF(OR(H232&gt;0,F232&gt;0),C232*F232,""),"")</f>
        <v/>
      </c>
      <c r="AB232" s="640">
        <f>IF(G232&gt;=1,IF(F232&gt;1,C232*(F232-2),""),"")</f>
        <v/>
      </c>
      <c r="AC232" s="640" t="n"/>
      <c r="AD232" s="911">
        <f>IF(E232="YES",IF(G232=1,"",""),IF(G232=1,C232,IF(G232=2,C232,IF(G232=0,"",""))))</f>
        <v/>
      </c>
      <c r="AE232" s="911">
        <f>IF(E232="YES",IF(G232=1,"",IF(H232=1,C232,"")),IF(H232=1,C232,IF(H232=2,C232,IF(H232=0,"",""))))</f>
        <v/>
      </c>
      <c r="AF232" s="911">
        <f>IF(E232="YES",IF(I232=1,C232,""),IF(I232=1,C232,IF(I232=2,C232,IF(I232=0,"",""))))</f>
        <v/>
      </c>
      <c r="AG232" s="192">
        <f>(C232*G232)+(C232*H232)+(C232*I232)</f>
        <v/>
      </c>
    </row>
    <row r="233">
      <c r="A233" s="109" t="n"/>
      <c r="B233" s="109" t="n"/>
      <c r="C233" s="109" t="n"/>
      <c r="J233" s="57" t="n"/>
      <c r="K233" s="57" t="n"/>
      <c r="L233" s="57" t="n"/>
      <c r="M233" s="57" t="n"/>
      <c r="N233" s="57" t="n"/>
      <c r="O233" s="57" t="n"/>
      <c r="AA233" s="640">
        <f>IF(G233=0, IF(OR(H233&gt;0,F233&gt;0),C233*F233,""),"")</f>
        <v/>
      </c>
      <c r="AB233" s="640">
        <f>IF(G233&gt;=1,IF(F233&gt;1,C233*(F233-2),""),"")</f>
        <v/>
      </c>
      <c r="AC233" s="640" t="n"/>
      <c r="AD233" s="911">
        <f>IF(E233="YES",IF(G233=1,"",""),IF(G233=1,C233,IF(G233=2,C233,IF(G233=0,"",""))))</f>
        <v/>
      </c>
      <c r="AE233" s="911">
        <f>IF(E233="YES",IF(G233=1,"",IF(H233=1,C233,"")),IF(H233=1,C233,IF(H233=2,C233,IF(H233=0,"",""))))</f>
        <v/>
      </c>
      <c r="AF233" s="911">
        <f>IF(E233="YES",IF(I233=1,C233,""),IF(I233=1,C233,IF(I233=2,C233,IF(I233=0,"",""))))</f>
        <v/>
      </c>
      <c r="AG233" s="192">
        <f>(C233*G233)+(C233*H233)+(C233*I233)</f>
        <v/>
      </c>
    </row>
    <row r="234">
      <c r="A234" s="109" t="n"/>
      <c r="B234" s="109" t="n"/>
      <c r="C234" s="109" t="n"/>
      <c r="J234" s="57" t="n"/>
      <c r="K234" s="57" t="n"/>
      <c r="L234" s="57" t="n"/>
      <c r="M234" s="57" t="n"/>
      <c r="N234" s="57" t="n"/>
      <c r="O234" s="57" t="n"/>
      <c r="AA234" s="640">
        <f>IF(G234=0, IF(OR(H234&gt;0,F234&gt;0),C234*F234,""),"")</f>
        <v/>
      </c>
      <c r="AB234" s="640">
        <f>IF(G234&gt;=1,IF(F234&gt;1,C234*(F234-2),""),"")</f>
        <v/>
      </c>
      <c r="AC234" s="640" t="n"/>
      <c r="AD234" s="911">
        <f>IF(E234="YES",IF(G234=1,"",""),IF(G234=1,C234,IF(G234=2,C234,IF(G234=0,"",""))))</f>
        <v/>
      </c>
      <c r="AE234" s="911">
        <f>IF(E234="YES",IF(G234=1,"",IF(H234=1,C234,"")),IF(H234=1,C234,IF(H234=2,C234,IF(H234=0,"",""))))</f>
        <v/>
      </c>
      <c r="AF234" s="911">
        <f>IF(E234="YES",IF(I234=1,C234,""),IF(I234=1,C234,IF(I234=2,C234,IF(I234=0,"",""))))</f>
        <v/>
      </c>
      <c r="AG234" s="192">
        <f>(C234*G234)+(C234*H234)+(C234*I234)</f>
        <v/>
      </c>
    </row>
    <row r="235">
      <c r="A235" s="109" t="n"/>
      <c r="B235" s="109" t="n"/>
      <c r="C235" s="109" t="n"/>
      <c r="J235" s="57" t="n"/>
      <c r="K235" s="57" t="n"/>
      <c r="L235" s="57" t="n"/>
      <c r="M235" s="57" t="n"/>
      <c r="N235" s="57" t="n"/>
      <c r="O235" s="57" t="n"/>
      <c r="AA235" s="640">
        <f>IF(G235=0, IF(OR(H235&gt;0,F235&gt;0),C235*F235,""),"")</f>
        <v/>
      </c>
      <c r="AB235" s="640">
        <f>IF(G235&gt;=1,IF(F235&gt;1,C235*(F235-2),""),"")</f>
        <v/>
      </c>
      <c r="AC235" s="640" t="n"/>
      <c r="AD235" s="911">
        <f>IF(E235="YES",IF(G235=1,"",""),IF(G235=1,C235,IF(G235=2,C235,IF(G235=0,"",""))))</f>
        <v/>
      </c>
      <c r="AE235" s="911">
        <f>IF(E235="YES",IF(G235=1,"",IF(H235=1,C235,"")),IF(H235=1,C235,IF(H235=2,C235,IF(H235=0,"",""))))</f>
        <v/>
      </c>
      <c r="AF235" s="911">
        <f>IF(E235="YES",IF(I235=1,C235,""),IF(I235=1,C235,IF(I235=2,C235,IF(I235=0,"",""))))</f>
        <v/>
      </c>
      <c r="AG235" s="192">
        <f>(C235*G235)+(C235*H235)+(C235*I235)</f>
        <v/>
      </c>
    </row>
    <row r="236">
      <c r="A236" s="109" t="n"/>
      <c r="B236" s="109" t="n"/>
      <c r="C236" s="109" t="n"/>
      <c r="J236" s="57" t="n"/>
      <c r="K236" s="57" t="n"/>
      <c r="L236" s="57" t="n"/>
      <c r="M236" s="57" t="n"/>
      <c r="N236" s="57" t="n"/>
      <c r="O236" s="57" t="n"/>
      <c r="AA236" s="640">
        <f>IF(G236=0, IF(OR(H236&gt;0,F236&gt;0),C236*F236,""),"")</f>
        <v/>
      </c>
      <c r="AB236" s="640">
        <f>IF(G236&gt;=1,IF(F236&gt;1,C236*(F236-2),""),"")</f>
        <v/>
      </c>
      <c r="AC236" s="640" t="n"/>
      <c r="AD236" s="911">
        <f>IF(E236="YES",IF(G236=1,"",""),IF(G236=1,C236,IF(G236=2,C236,IF(G236=0,"",""))))</f>
        <v/>
      </c>
      <c r="AE236" s="911">
        <f>IF(E236="YES",IF(G236=1,"",IF(H236=1,C236,"")),IF(H236=1,C236,IF(H236=2,C236,IF(H236=0,"",""))))</f>
        <v/>
      </c>
      <c r="AF236" s="911">
        <f>IF(E236="YES",IF(I236=1,C236,""),IF(I236=1,C236,IF(I236=2,C236,IF(I236=0,"",""))))</f>
        <v/>
      </c>
      <c r="AG236" s="192">
        <f>(C236*G236)+(C236*H236)+(C236*I236)</f>
        <v/>
      </c>
    </row>
    <row r="237">
      <c r="A237" s="109" t="n"/>
      <c r="B237" s="109" t="n"/>
      <c r="C237" s="109" t="n"/>
      <c r="J237" s="57" t="n"/>
      <c r="K237" s="57" t="n"/>
      <c r="L237" s="57" t="n"/>
      <c r="M237" s="57" t="n"/>
      <c r="N237" s="57" t="n"/>
      <c r="O237" s="57" t="n"/>
      <c r="AA237" s="640">
        <f>IF(G237=0, IF(OR(H237&gt;0,F237&gt;0),C237*F237,""),"")</f>
        <v/>
      </c>
      <c r="AB237" s="640">
        <f>IF(G237&gt;=1,IF(F237&gt;1,C237*(F237-2),""),"")</f>
        <v/>
      </c>
      <c r="AC237" s="640" t="n"/>
      <c r="AD237" s="911">
        <f>IF(E237="YES",IF(G237=1,"",""),IF(G237=1,C237,IF(G237=2,C237,IF(G237=0,"",""))))</f>
        <v/>
      </c>
      <c r="AE237" s="911">
        <f>IF(E237="YES",IF(G237=1,"",IF(H237=1,C237,"")),IF(H237=1,C237,IF(H237=2,C237,IF(H237=0,"",""))))</f>
        <v/>
      </c>
      <c r="AF237" s="911">
        <f>IF(E237="YES",IF(I237=1,C237,""),IF(I237=1,C237,IF(I237=2,C237,IF(I237=0,"",""))))</f>
        <v/>
      </c>
      <c r="AG237" s="192">
        <f>(C237*G237)+(C237*H237)+(C237*I237)</f>
        <v/>
      </c>
    </row>
    <row r="238">
      <c r="A238" s="109" t="n"/>
      <c r="B238" s="109" t="n"/>
      <c r="C238" s="109" t="n"/>
      <c r="J238" s="57" t="n"/>
      <c r="K238" s="57" t="n"/>
      <c r="L238" s="57" t="n"/>
      <c r="M238" s="57" t="n"/>
      <c r="N238" s="57" t="n"/>
      <c r="O238" s="57" t="n"/>
      <c r="AA238" s="640">
        <f>IF(G238=0, IF(OR(H238&gt;0,F238&gt;0),C238*F238,""),"")</f>
        <v/>
      </c>
      <c r="AB238" s="640">
        <f>IF(G238&gt;=1,IF(F238&gt;1,C238*(F238-2),""),"")</f>
        <v/>
      </c>
      <c r="AC238" s="640" t="n"/>
      <c r="AD238" s="911">
        <f>IF(E238="YES",IF(G238=1,"",""),IF(G238=1,C238,IF(G238=2,C238,IF(G238=0,"",""))))</f>
        <v/>
      </c>
      <c r="AE238" s="911">
        <f>IF(E238="YES",IF(G238=1,"",IF(H238=1,C238,"")),IF(H238=1,C238,IF(H238=2,C238,IF(H238=0,"",""))))</f>
        <v/>
      </c>
      <c r="AF238" s="911">
        <f>IF(E238="YES",IF(I238=1,C238,""),IF(I238=1,C238,IF(I238=2,C238,IF(I238=0,"",""))))</f>
        <v/>
      </c>
      <c r="AG238" s="192">
        <f>(C238*G238)+(C238*H238)+(C238*I238)</f>
        <v/>
      </c>
    </row>
    <row r="239">
      <c r="A239" s="109" t="n"/>
      <c r="B239" s="109" t="n"/>
      <c r="C239" s="109" t="n"/>
      <c r="J239" s="57" t="n"/>
      <c r="K239" s="57" t="n"/>
      <c r="L239" s="57" t="n"/>
      <c r="M239" s="57" t="n"/>
      <c r="N239" s="57" t="n"/>
      <c r="O239" s="57" t="n"/>
      <c r="AA239" s="640">
        <f>IF(G239=0, IF(OR(H239&gt;0,F239&gt;0),C239*F239,""),"")</f>
        <v/>
      </c>
      <c r="AB239" s="640">
        <f>IF(G239&gt;=1,IF(F239&gt;1,C239*(F239-2),""),"")</f>
        <v/>
      </c>
      <c r="AC239" s="640" t="n"/>
      <c r="AD239" s="911">
        <f>IF(E239="YES",IF(G239=1,"",""),IF(G239=1,C239,IF(G239=2,C239,IF(G239=0,"",""))))</f>
        <v/>
      </c>
      <c r="AE239" s="911">
        <f>IF(E239="YES",IF(G239=1,"",IF(H239=1,C239,"")),IF(H239=1,C239,IF(H239=2,C239,IF(H239=0,"",""))))</f>
        <v/>
      </c>
      <c r="AF239" s="911">
        <f>IF(E239="YES",IF(I239=1,C239,""),IF(I239=1,C239,IF(I239=2,C239,IF(I239=0,"",""))))</f>
        <v/>
      </c>
      <c r="AG239" s="192">
        <f>(C239*G239)+(C239*H239)+(C239*I239)</f>
        <v/>
      </c>
    </row>
    <row r="240">
      <c r="A240" s="109" t="n"/>
      <c r="B240" s="109" t="n"/>
      <c r="C240" s="109" t="n"/>
      <c r="J240" s="57" t="n"/>
      <c r="K240" s="57" t="n"/>
      <c r="L240" s="57" t="n"/>
      <c r="M240" s="57" t="n"/>
      <c r="N240" s="57" t="n"/>
      <c r="O240" s="57" t="n"/>
      <c r="AA240" s="640">
        <f>IF(G240=0, IF(OR(H240&gt;0,F240&gt;0),C240*F240,""),"")</f>
        <v/>
      </c>
      <c r="AB240" s="640">
        <f>IF(G240&gt;=1,IF(F240&gt;1,C240*(F240-2),""),"")</f>
        <v/>
      </c>
      <c r="AC240" s="640" t="n"/>
      <c r="AD240" s="911">
        <f>IF(E240="YES",IF(G240=1,"",""),IF(G240=1,C240,IF(G240=2,C240,IF(G240=0,"",""))))</f>
        <v/>
      </c>
      <c r="AE240" s="911">
        <f>IF(E240="YES",IF(G240=1,"",IF(H240=1,C240,"")),IF(H240=1,C240,IF(H240=2,C240,IF(H240=0,"",""))))</f>
        <v/>
      </c>
      <c r="AF240" s="911">
        <f>IF(E240="YES",IF(I240=1,C240,""),IF(I240=1,C240,IF(I240=2,C240,IF(I240=0,"",""))))</f>
        <v/>
      </c>
      <c r="AG240" s="192">
        <f>(C240*G240)+(C240*H240)+(C240*I240)</f>
        <v/>
      </c>
    </row>
    <row r="241">
      <c r="A241" s="109" t="n"/>
      <c r="B241" s="109" t="n"/>
      <c r="C241" s="109" t="n"/>
      <c r="J241" s="57" t="n"/>
      <c r="K241" s="57" t="n"/>
      <c r="L241" s="57" t="n"/>
      <c r="M241" s="57" t="n"/>
      <c r="N241" s="57" t="n"/>
      <c r="O241" s="57" t="n"/>
      <c r="AA241" s="640">
        <f>IF(G241=0, IF(OR(H241&gt;0,F241&gt;0),C241*F241,""),"")</f>
        <v/>
      </c>
      <c r="AB241" s="640">
        <f>IF(G241&gt;=1,IF(F241&gt;1,C241*(F241-2),""),"")</f>
        <v/>
      </c>
      <c r="AC241" s="640" t="n"/>
      <c r="AD241" s="911">
        <f>IF(E241="YES",IF(G241=1,"",""),IF(G241=1,C241,IF(G241=2,C241,IF(G241=0,"",""))))</f>
        <v/>
      </c>
      <c r="AE241" s="911">
        <f>IF(E241="YES",IF(G241=1,"",IF(H241=1,C241,"")),IF(H241=1,C241,IF(H241=2,C241,IF(H241=0,"",""))))</f>
        <v/>
      </c>
      <c r="AF241" s="911">
        <f>IF(E241="YES",IF(I241=1,C241,""),IF(I241=1,C241,IF(I241=2,C241,IF(I241=0,"",""))))</f>
        <v/>
      </c>
      <c r="AG241" s="192">
        <f>(C241*G241)+(C241*H241)+(C241*I241)</f>
        <v/>
      </c>
    </row>
    <row r="242">
      <c r="A242" s="109" t="n"/>
      <c r="B242" s="109" t="n"/>
      <c r="C242" s="109" t="n"/>
      <c r="J242" s="57" t="n"/>
      <c r="K242" s="57" t="n"/>
      <c r="L242" s="57" t="n"/>
      <c r="M242" s="57" t="n"/>
      <c r="N242" s="57" t="n"/>
      <c r="O242" s="57" t="n"/>
      <c r="AA242" s="640">
        <f>IF(G242=0, IF(OR(H242&gt;0,F242&gt;0),C242*F242,""),"")</f>
        <v/>
      </c>
      <c r="AB242" s="640">
        <f>IF(G242&gt;=1,IF(F242&gt;1,C242*(F242-2),""),"")</f>
        <v/>
      </c>
      <c r="AC242" s="640" t="n"/>
      <c r="AD242" s="911">
        <f>IF(E242="YES",IF(G242=1,"",""),IF(G242=1,C242,IF(G242=2,C242,IF(G242=0,"",""))))</f>
        <v/>
      </c>
      <c r="AE242" s="911">
        <f>IF(E242="YES",IF(G242=1,"",IF(H242=1,C242,"")),IF(H242=1,C242,IF(H242=2,C242,IF(H242=0,"",""))))</f>
        <v/>
      </c>
      <c r="AF242" s="911">
        <f>IF(E242="YES",IF(I242=1,C242,""),IF(I242=1,C242,IF(I242=2,C242,IF(I242=0,"",""))))</f>
        <v/>
      </c>
      <c r="AG242" s="192">
        <f>(C242*G242)+(C242*H242)+(C242*I242)</f>
        <v/>
      </c>
    </row>
    <row r="243">
      <c r="A243" s="109" t="n"/>
      <c r="B243" s="109" t="n"/>
      <c r="C243" s="109" t="n"/>
      <c r="J243" s="57" t="n"/>
      <c r="K243" s="57" t="n"/>
      <c r="L243" s="57" t="n"/>
      <c r="M243" s="57" t="n"/>
      <c r="N243" s="57" t="n"/>
      <c r="O243" s="57" t="n"/>
      <c r="AA243" s="640">
        <f>IF(G243=0, IF(OR(H243&gt;0,F243&gt;0),C243*F243,""),"")</f>
        <v/>
      </c>
      <c r="AB243" s="640">
        <f>IF(G243&gt;=1,IF(F243&gt;1,C243*(F243-2),""),"")</f>
        <v/>
      </c>
      <c r="AC243" s="640" t="n"/>
      <c r="AD243" s="911">
        <f>IF(E243="YES",IF(G243=1,"",""),IF(G243=1,C243,IF(G243=2,C243,IF(G243=0,"",""))))</f>
        <v/>
      </c>
      <c r="AE243" s="911">
        <f>IF(E243="YES",IF(G243=1,"",IF(H243=1,C243,"")),IF(H243=1,C243,IF(H243=2,C243,IF(H243=0,"",""))))</f>
        <v/>
      </c>
      <c r="AF243" s="911">
        <f>IF(E243="YES",IF(I243=1,C243,""),IF(I243=1,C243,IF(I243=2,C243,IF(I243=0,"",""))))</f>
        <v/>
      </c>
      <c r="AG243" s="192">
        <f>(C243*G243)+(C243*H243)+(C243*I243)</f>
        <v/>
      </c>
    </row>
    <row r="244">
      <c r="A244" s="109" t="n"/>
      <c r="B244" s="109" t="n"/>
      <c r="C244" s="109" t="n"/>
      <c r="J244" s="57" t="n"/>
      <c r="K244" s="57" t="n"/>
      <c r="L244" s="57" t="n"/>
      <c r="M244" s="57" t="n"/>
      <c r="N244" s="57" t="n"/>
      <c r="O244" s="57" t="n"/>
      <c r="AA244" s="640">
        <f>IF(G244=0, IF(OR(H244&gt;0,F244&gt;0),C244*F244,""),"")</f>
        <v/>
      </c>
      <c r="AB244" s="640">
        <f>IF(G244&gt;=1,IF(F244&gt;1,C244*(F244-2),""),"")</f>
        <v/>
      </c>
      <c r="AC244" s="640" t="n"/>
      <c r="AD244" s="911">
        <f>IF(E244="YES",IF(G244=1,"",""),IF(G244=1,C244,IF(G244=2,C244,IF(G244=0,"",""))))</f>
        <v/>
      </c>
      <c r="AE244" s="911">
        <f>IF(E244="YES",IF(G244=1,"",IF(H244=1,C244,"")),IF(H244=1,C244,IF(H244=2,C244,IF(H244=0,"",""))))</f>
        <v/>
      </c>
      <c r="AF244" s="911">
        <f>IF(E244="YES",IF(I244=1,C244,""),IF(I244=1,C244,IF(I244=2,C244,IF(I244=0,"",""))))</f>
        <v/>
      </c>
      <c r="AG244" s="192">
        <f>(C244*G244)+(C244*H244)+(C244*I244)</f>
        <v/>
      </c>
    </row>
    <row r="245">
      <c r="A245" s="109" t="n"/>
      <c r="B245" s="109" t="n"/>
      <c r="C245" s="109" t="n"/>
      <c r="J245" s="57" t="n"/>
      <c r="K245" s="57" t="n"/>
      <c r="L245" s="57" t="n"/>
      <c r="M245" s="57" t="n"/>
      <c r="N245" s="57" t="n"/>
      <c r="O245" s="57" t="n"/>
      <c r="AA245" s="640">
        <f>IF(G245=0, IF(OR(H245&gt;0,F245&gt;0),C245*F245,""),"")</f>
        <v/>
      </c>
      <c r="AB245" s="640">
        <f>IF(G245&gt;=1,IF(F245&gt;1,C245*(F245-2),""),"")</f>
        <v/>
      </c>
      <c r="AC245" s="640" t="n"/>
      <c r="AD245" s="911">
        <f>IF(E245="YES",IF(G245=1,"",""),IF(G245=1,C245,IF(G245=2,C245,IF(G245=0,"",""))))</f>
        <v/>
      </c>
      <c r="AE245" s="911">
        <f>IF(E245="YES",IF(G245=1,"",IF(H245=1,C245,"")),IF(H245=1,C245,IF(H245=2,C245,IF(H245=0,"",""))))</f>
        <v/>
      </c>
      <c r="AF245" s="911">
        <f>IF(E245="YES",IF(I245=1,C245,""),IF(I245=1,C245,IF(I245=2,C245,IF(I245=0,"",""))))</f>
        <v/>
      </c>
      <c r="AG245" s="192">
        <f>(C245*G245)+(C245*H245)+(C245*I245)</f>
        <v/>
      </c>
    </row>
    <row r="246">
      <c r="A246" s="109" t="n"/>
      <c r="B246" s="109" t="n"/>
      <c r="C246" s="109" t="n"/>
      <c r="J246" s="57" t="n"/>
      <c r="K246" s="57" t="n"/>
      <c r="L246" s="57" t="n"/>
      <c r="M246" s="57" t="n"/>
      <c r="N246" s="57" t="n"/>
      <c r="O246" s="57" t="n"/>
      <c r="AA246" s="640">
        <f>IF(G246=0, IF(OR(H246&gt;0,F246&gt;0),C246*F246,""),"")</f>
        <v/>
      </c>
      <c r="AB246" s="640">
        <f>IF(G246&gt;=1,IF(F246&gt;1,C246*(F246-2),""),"")</f>
        <v/>
      </c>
      <c r="AC246" s="640" t="n"/>
      <c r="AD246" s="911">
        <f>IF(E246="YES",IF(G246=1,"",""),IF(G246=1,C246,IF(G246=2,C246,IF(G246=0,"",""))))</f>
        <v/>
      </c>
      <c r="AE246" s="911">
        <f>IF(E246="YES",IF(G246=1,"",IF(H246=1,C246,"")),IF(H246=1,C246,IF(H246=2,C246,IF(H246=0,"",""))))</f>
        <v/>
      </c>
      <c r="AF246" s="911">
        <f>IF(E246="YES",IF(I246=1,C246,""),IF(I246=1,C246,IF(I246=2,C246,IF(I246=0,"",""))))</f>
        <v/>
      </c>
      <c r="AG246" s="192">
        <f>(C246*G246)+(C246*H246)+(C246*I246)</f>
        <v/>
      </c>
    </row>
    <row r="247">
      <c r="A247" s="109" t="n"/>
      <c r="B247" s="109" t="n"/>
      <c r="C247" s="109" t="n"/>
      <c r="J247" s="57" t="n"/>
      <c r="K247" s="57" t="n"/>
      <c r="L247" s="57" t="n"/>
      <c r="M247" s="57" t="n"/>
      <c r="N247" s="57" t="n"/>
      <c r="O247" s="57" t="n"/>
      <c r="AA247" s="640">
        <f>IF(G247=0, IF(OR(H247&gt;0,F247&gt;0),C247*F247,""),"")</f>
        <v/>
      </c>
      <c r="AB247" s="640">
        <f>IF(G247&gt;=1,IF(F247&gt;1,C247*(F247-2),""),"")</f>
        <v/>
      </c>
      <c r="AC247" s="640" t="n"/>
      <c r="AD247" s="911">
        <f>IF(E247="YES",IF(G247=1,"",""),IF(G247=1,C247,IF(G247=2,C247,IF(G247=0,"",""))))</f>
        <v/>
      </c>
      <c r="AE247" s="911">
        <f>IF(E247="YES",IF(G247=1,"",IF(H247=1,C247,"")),IF(H247=1,C247,IF(H247=2,C247,IF(H247=0,"",""))))</f>
        <v/>
      </c>
      <c r="AF247" s="911">
        <f>IF(E247="YES",IF(I247=1,C247,""),IF(I247=1,C247,IF(I247=2,C247,IF(I247=0,"",""))))</f>
        <v/>
      </c>
      <c r="AG247" s="192">
        <f>(C247*G247)+(C247*H247)+(C247*I247)</f>
        <v/>
      </c>
    </row>
    <row r="248">
      <c r="A248" s="109" t="n"/>
      <c r="B248" s="109" t="n"/>
      <c r="C248" s="109" t="n"/>
      <c r="J248" s="57" t="n"/>
      <c r="K248" s="57" t="n"/>
      <c r="L248" s="57" t="n"/>
      <c r="M248" s="57" t="n"/>
      <c r="N248" s="57" t="n"/>
      <c r="O248" s="57" t="n"/>
      <c r="AA248" s="640">
        <f>IF(G248=0, IF(OR(H248&gt;0,F248&gt;0),C248*F248,""),"")</f>
        <v/>
      </c>
      <c r="AB248" s="640">
        <f>IF(G248&gt;=1,IF(F248&gt;1,C248*(F248-2),""),"")</f>
        <v/>
      </c>
      <c r="AC248" s="640" t="n"/>
      <c r="AD248" s="911">
        <f>IF(E248="YES",IF(G248=1,"",""),IF(G248=1,C248,IF(G248=2,C248,IF(G248=0,"",""))))</f>
        <v/>
      </c>
      <c r="AE248" s="911">
        <f>IF(E248="YES",IF(G248=1,"",IF(H248=1,C248,"")),IF(H248=1,C248,IF(H248=2,C248,IF(H248=0,"",""))))</f>
        <v/>
      </c>
      <c r="AF248" s="911">
        <f>IF(E248="YES",IF(I248=1,C248,""),IF(I248=1,C248,IF(I248=2,C248,IF(I248=0,"",""))))</f>
        <v/>
      </c>
      <c r="AG248" s="192">
        <f>(C248*G248)+(C248*H248)+(C248*I248)</f>
        <v/>
      </c>
    </row>
    <row r="249">
      <c r="A249" s="109" t="n"/>
      <c r="B249" s="109" t="n"/>
      <c r="C249" s="109" t="n"/>
      <c r="J249" s="57" t="n"/>
      <c r="K249" s="57" t="n"/>
      <c r="L249" s="57" t="n"/>
      <c r="M249" s="57" t="n"/>
      <c r="N249" s="57" t="n"/>
      <c r="O249" s="57" t="n"/>
      <c r="AA249" s="640">
        <f>IF(G249=0, IF(OR(H249&gt;0,F249&gt;0),C249*F249,""),"")</f>
        <v/>
      </c>
      <c r="AB249" s="640">
        <f>IF(G249&gt;=1,IF(F249&gt;1,C249*(F249-2),""),"")</f>
        <v/>
      </c>
      <c r="AC249" s="640" t="n"/>
      <c r="AD249" s="911">
        <f>IF(E249="YES",IF(G249=1,"",""),IF(G249=1,C249,IF(G249=2,C249,IF(G249=0,"",""))))</f>
        <v/>
      </c>
      <c r="AE249" s="911">
        <f>IF(E249="YES",IF(G249=1,"",IF(H249=1,C249,"")),IF(H249=1,C249,IF(H249=2,C249,IF(H249=0,"",""))))</f>
        <v/>
      </c>
      <c r="AF249" s="911">
        <f>IF(E249="YES",IF(I249=1,C249,""),IF(I249=1,C249,IF(I249=2,C249,IF(I249=0,"",""))))</f>
        <v/>
      </c>
      <c r="AG249" s="192">
        <f>(C249*G249)+(C249*H249)+(C249*I249)</f>
        <v/>
      </c>
    </row>
    <row r="250">
      <c r="A250" s="109" t="n"/>
      <c r="B250" s="109" t="n"/>
      <c r="C250" s="109" t="n"/>
      <c r="J250" s="57" t="n"/>
      <c r="K250" s="57" t="n"/>
      <c r="L250" s="57" t="n"/>
      <c r="M250" s="57" t="n"/>
      <c r="N250" s="57" t="n"/>
      <c r="O250" s="57" t="n"/>
      <c r="AA250" s="640">
        <f>IF(G250=0, IF(OR(H250&gt;0,F250&gt;0),C250*F250,""),"")</f>
        <v/>
      </c>
      <c r="AB250" s="640">
        <f>IF(G250&gt;=1,IF(F250&gt;1,C250*(F250-2),""),"")</f>
        <v/>
      </c>
      <c r="AC250" s="640" t="n"/>
      <c r="AD250" s="911">
        <f>IF(E250="YES",IF(G250=1,"",""),IF(G250=1,C250,IF(G250=2,C250,IF(G250=0,"",""))))</f>
        <v/>
      </c>
      <c r="AE250" s="911">
        <f>IF(E250="YES",IF(G250=1,"",IF(H250=1,C250,"")),IF(H250=1,C250,IF(H250=2,C250,IF(H250=0,"",""))))</f>
        <v/>
      </c>
      <c r="AF250" s="911">
        <f>IF(E250="YES",IF(I250=1,C250,""),IF(I250=1,C250,IF(I250=2,C250,IF(I250=0,"",""))))</f>
        <v/>
      </c>
      <c r="AG250" s="192">
        <f>(C250*G250)+(C250*H250)+(C250*I250)</f>
        <v/>
      </c>
    </row>
    <row r="251">
      <c r="A251" s="109" t="n"/>
      <c r="B251" s="109" t="n"/>
      <c r="C251" s="109" t="n"/>
      <c r="J251" s="57" t="n"/>
      <c r="K251" s="57" t="n"/>
      <c r="L251" s="57" t="n"/>
      <c r="M251" s="57" t="n"/>
      <c r="N251" s="57" t="n"/>
      <c r="O251" s="57" t="n"/>
      <c r="AA251" s="640">
        <f>IF(G251=0, IF(OR(H251&gt;0,F251&gt;0),C251*F251,""),"")</f>
        <v/>
      </c>
      <c r="AB251" s="640">
        <f>IF(G251&gt;=1,IF(F251&gt;1,C251*(F251-2),""),"")</f>
        <v/>
      </c>
      <c r="AC251" s="640" t="n"/>
      <c r="AD251" s="911">
        <f>IF(E251="YES",IF(G251=1,"",""),IF(G251=1,C251,IF(G251=2,C251,IF(G251=0,"",""))))</f>
        <v/>
      </c>
      <c r="AE251" s="911">
        <f>IF(E251="YES",IF(G251=1,"",IF(H251=1,C251,"")),IF(H251=1,C251,IF(H251=2,C251,IF(H251=0,"",""))))</f>
        <v/>
      </c>
      <c r="AF251" s="911">
        <f>IF(E251="YES",IF(I251=1,C251,""),IF(I251=1,C251,IF(I251=2,C251,IF(I251=0,"",""))))</f>
        <v/>
      </c>
      <c r="AG251" s="192">
        <f>(C251*G251)+(C251*H251)+(C251*I251)</f>
        <v/>
      </c>
    </row>
    <row r="252">
      <c r="A252" s="109" t="n"/>
      <c r="B252" s="109" t="n"/>
      <c r="C252" s="109" t="n"/>
      <c r="J252" s="57" t="n"/>
      <c r="K252" s="57" t="n"/>
      <c r="L252" s="57" t="n"/>
      <c r="M252" s="57" t="n"/>
      <c r="N252" s="57" t="n"/>
      <c r="O252" s="57" t="n"/>
      <c r="AA252" s="640">
        <f>IF(G252=0, IF(OR(H252&gt;0,F252&gt;0),C252*F252,""),"")</f>
        <v/>
      </c>
      <c r="AB252" s="640">
        <f>IF(G252&gt;=1,IF(F252&gt;1,C252*(F252-2),""),"")</f>
        <v/>
      </c>
      <c r="AC252" s="640" t="n"/>
      <c r="AD252" s="911">
        <f>IF(E252="YES",IF(G252=1,"",""),IF(G252=1,C252,IF(G252=2,C252,IF(G252=0,"",""))))</f>
        <v/>
      </c>
      <c r="AE252" s="911">
        <f>IF(E252="YES",IF(G252=1,"",IF(H252=1,C252,"")),IF(H252=1,C252,IF(H252=2,C252,IF(H252=0,"",""))))</f>
        <v/>
      </c>
      <c r="AF252" s="911">
        <f>IF(E252="YES",IF(I252=1,C252,""),IF(I252=1,C252,IF(I252=2,C252,IF(I252=0,"",""))))</f>
        <v/>
      </c>
      <c r="AG252" s="192">
        <f>(C252*G252)+(C252*H252)+(C252*I252)</f>
        <v/>
      </c>
    </row>
    <row r="253">
      <c r="A253" s="109" t="n"/>
      <c r="B253" s="109" t="n"/>
      <c r="C253" s="109" t="n"/>
      <c r="J253" s="57" t="n"/>
      <c r="K253" s="57" t="n"/>
      <c r="L253" s="57" t="n"/>
      <c r="M253" s="57" t="n"/>
      <c r="N253" s="57" t="n"/>
      <c r="O253" s="57" t="n"/>
      <c r="AA253" s="640">
        <f>IF(G253=0, IF(OR(H253&gt;0,F253&gt;0),C253*F253,""),"")</f>
        <v/>
      </c>
      <c r="AB253" s="640">
        <f>IF(G253&gt;=1,IF(F253&gt;1,C253*(F253-2),""),"")</f>
        <v/>
      </c>
      <c r="AC253" s="640" t="n"/>
      <c r="AD253" s="911">
        <f>IF(E253="YES",IF(G253=1,"",""),IF(G253=1,C253,IF(G253=2,C253,IF(G253=0,"",""))))</f>
        <v/>
      </c>
      <c r="AE253" s="911">
        <f>IF(E253="YES",IF(G253=1,"",IF(H253=1,C253,"")),IF(H253=1,C253,IF(H253=2,C253,IF(H253=0,"",""))))</f>
        <v/>
      </c>
      <c r="AF253" s="911">
        <f>IF(E253="YES",IF(I253=1,C253,""),IF(I253=1,C253,IF(I253=2,C253,IF(I253=0,"",""))))</f>
        <v/>
      </c>
      <c r="AG253" s="192">
        <f>(C253*G253)+(C253*H253)+(C253*I253)</f>
        <v/>
      </c>
    </row>
    <row r="254">
      <c r="A254" s="109" t="n"/>
      <c r="B254" s="109" t="n"/>
      <c r="C254" s="109" t="n"/>
      <c r="J254" s="57" t="n"/>
      <c r="K254" s="57" t="n"/>
      <c r="L254" s="57" t="n"/>
      <c r="M254" s="57" t="n"/>
      <c r="N254" s="57" t="n"/>
      <c r="O254" s="57" t="n"/>
      <c r="AA254" s="640">
        <f>IF(G254=0, IF(OR(H254&gt;0,F254&gt;0),C254*F254,""),"")</f>
        <v/>
      </c>
      <c r="AB254" s="640">
        <f>IF(G254&gt;=1,IF(F254&gt;1,C254*(F254-2),""),"")</f>
        <v/>
      </c>
      <c r="AC254" s="640" t="n"/>
      <c r="AD254" s="911">
        <f>IF(E254="YES",IF(G254=1,"",""),IF(G254=1,C254,IF(G254=2,C254,IF(G254=0,"",""))))</f>
        <v/>
      </c>
      <c r="AE254" s="911">
        <f>IF(E254="YES",IF(G254=1,"",IF(H254=1,C254,"")),IF(H254=1,C254,IF(H254=2,C254,IF(H254=0,"",""))))</f>
        <v/>
      </c>
      <c r="AF254" s="911">
        <f>IF(E254="YES",IF(I254=1,C254,""),IF(I254=1,C254,IF(I254=2,C254,IF(I254=0,"",""))))</f>
        <v/>
      </c>
      <c r="AG254" s="192">
        <f>(C254*G254)+(C254*H254)+(C254*I254)</f>
        <v/>
      </c>
    </row>
    <row r="255">
      <c r="A255" s="109" t="n"/>
      <c r="B255" s="109" t="n"/>
      <c r="C255" s="109" t="n"/>
      <c r="J255" s="57" t="n"/>
      <c r="K255" s="57" t="n"/>
      <c r="L255" s="57" t="n"/>
      <c r="M255" s="57" t="n"/>
      <c r="N255" s="57" t="n"/>
      <c r="O255" s="57" t="n"/>
      <c r="AA255" s="640">
        <f>IF(G255=0, IF(OR(H255&gt;0,F255&gt;0),C255*F255,""),"")</f>
        <v/>
      </c>
      <c r="AB255" s="640">
        <f>IF(G255&gt;=1,IF(F255&gt;1,C255*(F255-2),""),"")</f>
        <v/>
      </c>
      <c r="AC255" s="640" t="n"/>
      <c r="AD255" s="911">
        <f>IF(E255="YES",IF(G255=1,"",""),IF(G255=1,C255,IF(G255=2,C255,IF(G255=0,"",""))))</f>
        <v/>
      </c>
      <c r="AE255" s="911">
        <f>IF(E255="YES",IF(G255=1,"",IF(H255=1,C255,"")),IF(H255=1,C255,IF(H255=2,C255,IF(H255=0,"",""))))</f>
        <v/>
      </c>
      <c r="AF255" s="911">
        <f>IF(E255="YES",IF(I255=1,C255,""),IF(I255=1,C255,IF(I255=2,C255,IF(I255=0,"",""))))</f>
        <v/>
      </c>
      <c r="AG255" s="192">
        <f>(C255*G255)+(C255*H255)+(C255*I255)</f>
        <v/>
      </c>
    </row>
    <row r="256">
      <c r="A256" s="109" t="n"/>
      <c r="B256" s="109" t="n"/>
      <c r="C256" s="109" t="n"/>
      <c r="J256" s="57" t="n"/>
      <c r="K256" s="57" t="n"/>
      <c r="L256" s="57" t="n"/>
      <c r="M256" s="57" t="n"/>
      <c r="N256" s="57" t="n"/>
      <c r="O256" s="57" t="n"/>
      <c r="AA256" s="640">
        <f>IF(G256=0, IF(OR(H256&gt;0,F256&gt;0),C256*F256,""),"")</f>
        <v/>
      </c>
      <c r="AB256" s="640">
        <f>IF(G256&gt;=1,IF(F256&gt;1,C256*(F256-2),""),"")</f>
        <v/>
      </c>
      <c r="AC256" s="640" t="n"/>
      <c r="AD256" s="911">
        <f>IF(E256="YES",IF(G256=1,"",""),IF(G256=1,C256,IF(G256=2,C256,IF(G256=0,"",""))))</f>
        <v/>
      </c>
      <c r="AE256" s="911">
        <f>IF(E256="YES",IF(G256=1,"",IF(H256=1,C256,"")),IF(H256=1,C256,IF(H256=2,C256,IF(H256=0,"",""))))</f>
        <v/>
      </c>
      <c r="AF256" s="911">
        <f>IF(E256="YES",IF(I256=1,C256,""),IF(I256=1,C256,IF(I256=2,C256,IF(I256=0,"",""))))</f>
        <v/>
      </c>
      <c r="AG256" s="192">
        <f>(C256*G256)+(C256*H256)+(C256*I256)</f>
        <v/>
      </c>
    </row>
    <row r="257">
      <c r="A257" s="109" t="n"/>
      <c r="B257" s="109" t="n"/>
      <c r="C257" s="109" t="n"/>
      <c r="J257" s="57" t="n"/>
      <c r="K257" s="57" t="n"/>
      <c r="L257" s="57" t="n"/>
      <c r="M257" s="57" t="n"/>
      <c r="N257" s="57" t="n"/>
      <c r="O257" s="57" t="n"/>
      <c r="AA257" s="640">
        <f>IF(G257=0, IF(OR(H257&gt;0,F257&gt;0),C257*F257,""),"")</f>
        <v/>
      </c>
      <c r="AB257" s="640">
        <f>IF(G257&gt;=1,IF(F257&gt;1,C257*(F257-2),""),"")</f>
        <v/>
      </c>
      <c r="AC257" s="640" t="n"/>
      <c r="AD257" s="911">
        <f>IF(E257="YES",IF(G257=1,"",""),IF(G257=1,C257,IF(G257=2,C257,IF(G257=0,"",""))))</f>
        <v/>
      </c>
      <c r="AE257" s="911">
        <f>IF(E257="YES",IF(G257=1,"",IF(H257=1,C257,"")),IF(H257=1,C257,IF(H257=2,C257,IF(H257=0,"",""))))</f>
        <v/>
      </c>
      <c r="AF257" s="911">
        <f>IF(E257="YES",IF(I257=1,C257,""),IF(I257=1,C257,IF(I257=2,C257,IF(I257=0,"",""))))</f>
        <v/>
      </c>
      <c r="AG257" s="192">
        <f>(C257*G257)+(C257*H257)+(C257*I257)</f>
        <v/>
      </c>
    </row>
    <row r="258">
      <c r="A258" s="109" t="n"/>
      <c r="B258" s="109" t="n"/>
      <c r="C258" s="109" t="n"/>
      <c r="J258" s="57" t="n"/>
      <c r="K258" s="57" t="n"/>
      <c r="L258" s="57" t="n"/>
      <c r="M258" s="57" t="n"/>
      <c r="N258" s="57" t="n"/>
      <c r="O258" s="57" t="n"/>
      <c r="AA258" s="640">
        <f>IF(G258=0, IF(OR(H258&gt;0,F258&gt;0),C258*F258,""),"")</f>
        <v/>
      </c>
      <c r="AB258" s="640">
        <f>IF(G258&gt;=1,IF(F258&gt;1,C258*(F258-2),""),"")</f>
        <v/>
      </c>
      <c r="AC258" s="640" t="n"/>
      <c r="AD258" s="911">
        <f>IF(E258="YES",IF(G258=1,"",""),IF(G258=1,C258,IF(G258=2,C258,IF(G258=0,"",""))))</f>
        <v/>
      </c>
      <c r="AE258" s="911">
        <f>IF(E258="YES",IF(G258=1,"",IF(H258=1,C258,"")),IF(H258=1,C258,IF(H258=2,C258,IF(H258=0,"",""))))</f>
        <v/>
      </c>
      <c r="AF258" s="911">
        <f>IF(E258="YES",IF(I258=1,C258,""),IF(I258=1,C258,IF(I258=2,C258,IF(I258=0,"",""))))</f>
        <v/>
      </c>
      <c r="AG258" s="192">
        <f>(C258*G258)+(C258*H258)+(C258*I258)</f>
        <v/>
      </c>
    </row>
    <row r="259">
      <c r="A259" s="109" t="n"/>
      <c r="B259" s="109" t="n"/>
      <c r="C259" s="109" t="n"/>
      <c r="J259" s="57" t="n"/>
      <c r="K259" s="57" t="n"/>
      <c r="L259" s="57" t="n"/>
      <c r="M259" s="57" t="n"/>
      <c r="N259" s="57" t="n"/>
      <c r="O259" s="57" t="n"/>
      <c r="AA259" s="640">
        <f>IF(G259=0, IF(OR(H259&gt;0,F259&gt;0),C259*F259,""),"")</f>
        <v/>
      </c>
      <c r="AB259" s="640">
        <f>IF(G259&gt;=1,IF(F259&gt;1,C259*(F259-2),""),"")</f>
        <v/>
      </c>
      <c r="AC259" s="640" t="n"/>
      <c r="AD259" s="911">
        <f>IF(E259="YES",IF(G259=1,"",""),IF(G259=1,C259,IF(G259=2,C259,IF(G259=0,"",""))))</f>
        <v/>
      </c>
      <c r="AE259" s="911">
        <f>IF(E259="YES",IF(G259=1,"",IF(H259=1,C259,"")),IF(H259=1,C259,IF(H259=2,C259,IF(H259=0,"",""))))</f>
        <v/>
      </c>
      <c r="AF259" s="911">
        <f>IF(E259="YES",IF(I259=1,C259,""),IF(I259=1,C259,IF(I259=2,C259,IF(I259=0,"",""))))</f>
        <v/>
      </c>
      <c r="AG259" s="192">
        <f>(C259*G259)+(C259*H259)+(C259*I259)</f>
        <v/>
      </c>
    </row>
    <row r="260">
      <c r="A260" s="109" t="n"/>
      <c r="B260" s="109" t="n"/>
      <c r="C260" s="109" t="n"/>
      <c r="J260" s="57" t="n"/>
      <c r="K260" s="57" t="n"/>
      <c r="L260" s="57" t="n"/>
      <c r="M260" s="57" t="n"/>
      <c r="N260" s="57" t="n"/>
      <c r="O260" s="57" t="n"/>
      <c r="AA260" s="640">
        <f>IF(G260=0, IF(OR(H260&gt;0,F260&gt;0),C260*F260,""),"")</f>
        <v/>
      </c>
      <c r="AB260" s="640">
        <f>IF(G260&gt;=1,IF(F260&gt;1,C260*(F260-2),""),"")</f>
        <v/>
      </c>
      <c r="AC260" s="640" t="n"/>
      <c r="AD260" s="911">
        <f>IF(E260="YES",IF(G260=1,"",""),IF(G260=1,C260,IF(G260=2,C260,IF(G260=0,"",""))))</f>
        <v/>
      </c>
      <c r="AE260" s="911">
        <f>IF(E260="YES",IF(G260=1,"",IF(H260=1,C260,"")),IF(H260=1,C260,IF(H260=2,C260,IF(H260=0,"",""))))</f>
        <v/>
      </c>
      <c r="AF260" s="911">
        <f>IF(E260="YES",IF(I260=1,C260,""),IF(I260=1,C260,IF(I260=2,C260,IF(I260=0,"",""))))</f>
        <v/>
      </c>
      <c r="AG260" s="192">
        <f>(C260*G260)+(C260*H260)+(C260*I260)</f>
        <v/>
      </c>
    </row>
    <row r="261">
      <c r="A261" s="109" t="n"/>
      <c r="B261" s="109" t="n"/>
      <c r="C261" s="109" t="n"/>
      <c r="J261" s="57" t="n"/>
      <c r="K261" s="57" t="n"/>
      <c r="L261" s="57" t="n"/>
      <c r="M261" s="57" t="n"/>
      <c r="N261" s="57" t="n"/>
      <c r="O261" s="57" t="n"/>
      <c r="AA261" s="640">
        <f>IF(G261=0, IF(OR(H261&gt;0,F261&gt;0),C261*F261,""),"")</f>
        <v/>
      </c>
      <c r="AB261" s="640">
        <f>IF(G261&gt;=1,IF(F261&gt;1,C261*(F261-2),""),"")</f>
        <v/>
      </c>
      <c r="AC261" s="640" t="n"/>
      <c r="AD261" s="911">
        <f>IF(E261="YES",IF(G261=1,"",""),IF(G261=1,C261,IF(G261=2,C261,IF(G261=0,"",""))))</f>
        <v/>
      </c>
      <c r="AE261" s="911">
        <f>IF(E261="YES",IF(G261=1,"",IF(H261=1,C261,"")),IF(H261=1,C261,IF(H261=2,C261,IF(H261=0,"",""))))</f>
        <v/>
      </c>
      <c r="AF261" s="911">
        <f>IF(E261="YES",IF(I261=1,C261,""),IF(I261=1,C261,IF(I261=2,C261,IF(I261=0,"",""))))</f>
        <v/>
      </c>
      <c r="AG261" s="192">
        <f>(C261*G261)+(C261*H261)+(C261*I261)</f>
        <v/>
      </c>
    </row>
    <row r="262">
      <c r="A262" s="109" t="n"/>
      <c r="B262" s="109" t="n"/>
      <c r="C262" s="109" t="n"/>
      <c r="J262" s="57" t="n"/>
      <c r="K262" s="57" t="n"/>
      <c r="L262" s="57" t="n"/>
      <c r="M262" s="57" t="n"/>
      <c r="N262" s="57" t="n"/>
      <c r="O262" s="57" t="n"/>
      <c r="AA262" s="640">
        <f>IF(G262=0, IF(OR(H262&gt;0,F262&gt;0),C262*F262,""),"")</f>
        <v/>
      </c>
      <c r="AB262" s="640">
        <f>IF(G262&gt;=1,IF(F262&gt;1,C262*(F262-2),""),"")</f>
        <v/>
      </c>
      <c r="AC262" s="640" t="n"/>
      <c r="AD262" s="911">
        <f>IF(E262="YES",IF(G262=1,"",""),IF(G262=1,C262,IF(G262=2,C262,IF(G262=0,"",""))))</f>
        <v/>
      </c>
      <c r="AE262" s="911">
        <f>IF(E262="YES",IF(G262=1,"",IF(H262=1,C262,"")),IF(H262=1,C262,IF(H262=2,C262,IF(H262=0,"",""))))</f>
        <v/>
      </c>
      <c r="AF262" s="911">
        <f>IF(E262="YES",IF(I262=1,C262,""),IF(I262=1,C262,IF(I262=2,C262,IF(I262=0,"",""))))</f>
        <v/>
      </c>
      <c r="AG262" s="192">
        <f>(C262*G262)+(C262*H262)+(C262*I262)</f>
        <v/>
      </c>
    </row>
    <row r="263">
      <c r="A263" s="109" t="n"/>
      <c r="B263" s="109" t="n"/>
      <c r="C263" s="109" t="n"/>
      <c r="J263" s="57" t="n"/>
      <c r="K263" s="57" t="n"/>
      <c r="L263" s="57" t="n"/>
      <c r="M263" s="57" t="n"/>
      <c r="N263" s="57" t="n"/>
      <c r="O263" s="57" t="n"/>
      <c r="AA263" s="640">
        <f>IF(G263=0, IF(OR(H263&gt;0,F263&gt;0),C263*F263,""),"")</f>
        <v/>
      </c>
      <c r="AB263" s="640">
        <f>IF(G263&gt;=1,IF(F263&gt;1,C263*(F263-2),""),"")</f>
        <v/>
      </c>
      <c r="AC263" s="640" t="n"/>
      <c r="AD263" s="911">
        <f>IF(E263="YES",IF(G263=1,"",""),IF(G263=1,C263,IF(G263=2,C263,IF(G263=0,"",""))))</f>
        <v/>
      </c>
      <c r="AE263" s="911">
        <f>IF(E263="YES",IF(G263=1,"",IF(H263=1,C263,"")),IF(H263=1,C263,IF(H263=2,C263,IF(H263=0,"",""))))</f>
        <v/>
      </c>
      <c r="AF263" s="911">
        <f>IF(E263="YES",IF(I263=1,C263,""),IF(I263=1,C263,IF(I263=2,C263,IF(I263=0,"",""))))</f>
        <v/>
      </c>
      <c r="AG263" s="192">
        <f>(C263*G263)+(C263*H263)+(C263*I263)</f>
        <v/>
      </c>
    </row>
    <row r="264">
      <c r="A264" s="109" t="n"/>
      <c r="B264" s="109" t="n"/>
      <c r="C264" s="109" t="n"/>
      <c r="J264" s="57" t="n"/>
      <c r="K264" s="57" t="n"/>
      <c r="L264" s="57" t="n"/>
      <c r="M264" s="57" t="n"/>
      <c r="N264" s="57" t="n"/>
      <c r="O264" s="57" t="n"/>
      <c r="AA264" s="640">
        <f>IF(G264=0, IF(OR(H264&gt;0,F264&gt;0),C264*F264,""),"")</f>
        <v/>
      </c>
      <c r="AB264" s="640">
        <f>IF(G264&gt;=1,IF(F264&gt;1,C264*(F264-2),""),"")</f>
        <v/>
      </c>
      <c r="AC264" s="640" t="n"/>
      <c r="AD264" s="911">
        <f>IF(E264="YES",IF(G264=1,"",""),IF(G264=1,C264,IF(G264=2,C264,IF(G264=0,"",""))))</f>
        <v/>
      </c>
      <c r="AE264" s="911">
        <f>IF(E264="YES",IF(G264=1,"",IF(H264=1,C264,"")),IF(H264=1,C264,IF(H264=2,C264,IF(H264=0,"",""))))</f>
        <v/>
      </c>
      <c r="AF264" s="911">
        <f>IF(E264="YES",IF(I264=1,C264,""),IF(I264=1,C264,IF(I264=2,C264,IF(I264=0,"",""))))</f>
        <v/>
      </c>
      <c r="AG264" s="192">
        <f>(C264*G264)+(C264*H264)+(C264*I264)</f>
        <v/>
      </c>
    </row>
    <row r="265">
      <c r="A265" s="109" t="n"/>
      <c r="B265" s="109" t="n"/>
      <c r="C265" s="109" t="n"/>
      <c r="J265" s="57" t="n"/>
      <c r="K265" s="57" t="n"/>
      <c r="L265" s="57" t="n"/>
      <c r="M265" s="57" t="n"/>
      <c r="N265" s="57" t="n"/>
      <c r="O265" s="57" t="n"/>
      <c r="AA265" s="640">
        <f>IF(G265=0, IF(OR(H265&gt;0,F265&gt;0),C265*F265,""),"")</f>
        <v/>
      </c>
      <c r="AB265" s="640">
        <f>IF(G265&gt;=1,IF(F265&gt;1,C265*(F265-2),""),"")</f>
        <v/>
      </c>
      <c r="AC265" s="640" t="n"/>
      <c r="AD265" s="911">
        <f>IF(E265="YES",IF(G265=1,"",""),IF(G265=1,C265,IF(G265=2,C265,IF(G265=0,"",""))))</f>
        <v/>
      </c>
      <c r="AE265" s="911">
        <f>IF(E265="YES",IF(G265=1,"",IF(H265=1,C265,"")),IF(H265=1,C265,IF(H265=2,C265,IF(H265=0,"",""))))</f>
        <v/>
      </c>
      <c r="AF265" s="911">
        <f>IF(E265="YES",IF(I265=1,C265,""),IF(I265=1,C265,IF(I265=2,C265,IF(I265=0,"",""))))</f>
        <v/>
      </c>
      <c r="AG265" s="192">
        <f>(C265*G265)+(C265*H265)+(C265*I265)</f>
        <v/>
      </c>
    </row>
    <row r="266">
      <c r="A266" s="109" t="n"/>
      <c r="B266" s="109" t="n"/>
      <c r="C266" s="109" t="n"/>
      <c r="J266" s="57" t="n"/>
      <c r="K266" s="57" t="n"/>
      <c r="L266" s="57" t="n"/>
      <c r="M266" s="57" t="n"/>
      <c r="N266" s="57" t="n"/>
      <c r="O266" s="57" t="n"/>
      <c r="AA266" s="640">
        <f>IF(G266=0, IF(OR(H266&gt;0,F266&gt;0),C266*F266,""),"")</f>
        <v/>
      </c>
      <c r="AB266" s="640">
        <f>IF(G266&gt;=1,IF(F266&gt;1,C266*(F266-2),""),"")</f>
        <v/>
      </c>
      <c r="AC266" s="640" t="n"/>
      <c r="AD266" s="911">
        <f>IF(E266="YES",IF(G266=1,"",""),IF(G266=1,C266,IF(G266=2,C266,IF(G266=0,"",""))))</f>
        <v/>
      </c>
      <c r="AE266" s="911">
        <f>IF(E266="YES",IF(G266=1,"",IF(H266=1,C266,"")),IF(H266=1,C266,IF(H266=2,C266,IF(H266=0,"",""))))</f>
        <v/>
      </c>
      <c r="AF266" s="911">
        <f>IF(E266="YES",IF(I266=1,C266,""),IF(I266=1,C266,IF(I266=2,C266,IF(I266=0,"",""))))</f>
        <v/>
      </c>
      <c r="AG266" s="192">
        <f>(C266*G266)+(C266*H266)+(C266*I266)</f>
        <v/>
      </c>
    </row>
    <row r="267">
      <c r="A267" s="109" t="n"/>
      <c r="B267" s="109" t="n"/>
      <c r="C267" s="109" t="n"/>
      <c r="J267" s="57" t="n"/>
      <c r="K267" s="57" t="n"/>
      <c r="L267" s="57" t="n"/>
      <c r="M267" s="57" t="n"/>
      <c r="N267" s="57" t="n"/>
      <c r="O267" s="57" t="n"/>
      <c r="AA267" s="640">
        <f>IF(G267=0, IF(OR(H267&gt;0,F267&gt;0),C267*F267,""),"")</f>
        <v/>
      </c>
      <c r="AB267" s="640">
        <f>IF(G267&gt;=1,IF(F267&gt;1,C267*(F267-2),""),"")</f>
        <v/>
      </c>
      <c r="AC267" s="640" t="n"/>
      <c r="AD267" s="911">
        <f>IF(E267="YES",IF(G267=1,"",""),IF(G267=1,C267,IF(G267=2,C267,IF(G267=0,"",""))))</f>
        <v/>
      </c>
      <c r="AE267" s="911">
        <f>IF(E267="YES",IF(G267=1,"",IF(H267=1,C267,"")),IF(H267=1,C267,IF(H267=2,C267,IF(H267=0,"",""))))</f>
        <v/>
      </c>
      <c r="AF267" s="911">
        <f>IF(E267="YES",IF(I267=1,C267,""),IF(I267=1,C267,IF(I267=2,C267,IF(I267=0,"",""))))</f>
        <v/>
      </c>
      <c r="AG267" s="192">
        <f>(C267*G267)+(C267*H267)+(C267*I267)</f>
        <v/>
      </c>
    </row>
    <row r="268">
      <c r="A268" s="109" t="n"/>
      <c r="B268" s="109" t="n"/>
      <c r="C268" s="109" t="n"/>
      <c r="J268" s="57" t="n"/>
      <c r="K268" s="57" t="n"/>
      <c r="L268" s="57" t="n"/>
      <c r="M268" s="57" t="n"/>
      <c r="N268" s="57" t="n"/>
      <c r="O268" s="57" t="n"/>
      <c r="AA268" s="640">
        <f>IF(G268=0, IF(OR(H268&gt;0,F268&gt;0),C268*F268,""),"")</f>
        <v/>
      </c>
      <c r="AB268" s="640">
        <f>IF(G268&gt;=1,IF(F268&gt;1,C268*(F268-2),""),"")</f>
        <v/>
      </c>
      <c r="AC268" s="640" t="n"/>
      <c r="AD268" s="911">
        <f>IF(E268="YES",IF(G268=1,"",""),IF(G268=1,C268,IF(G268=2,C268,IF(G268=0,"",""))))</f>
        <v/>
      </c>
      <c r="AE268" s="911">
        <f>IF(E268="YES",IF(G268=1,"",IF(H268=1,C268,"")),IF(H268=1,C268,IF(H268=2,C268,IF(H268=0,"",""))))</f>
        <v/>
      </c>
      <c r="AF268" s="911">
        <f>IF(E268="YES",IF(I268=1,C268,""),IF(I268=1,C268,IF(I268=2,C268,IF(I268=0,"",""))))</f>
        <v/>
      </c>
      <c r="AG268" s="192">
        <f>(C268*G268)+(C268*H268)+(C268*I268)</f>
        <v/>
      </c>
    </row>
    <row r="269">
      <c r="A269" s="109" t="n"/>
      <c r="B269" s="109" t="n"/>
      <c r="C269" s="109" t="n"/>
      <c r="J269" s="57" t="n"/>
      <c r="K269" s="57" t="n"/>
      <c r="L269" s="57" t="n"/>
      <c r="M269" s="57" t="n"/>
      <c r="N269" s="57" t="n"/>
      <c r="O269" s="57" t="n"/>
      <c r="AA269" s="640">
        <f>IF(G269=0, IF(OR(H269&gt;0,F269&gt;0),C269*F269,""),"")</f>
        <v/>
      </c>
      <c r="AB269" s="640">
        <f>IF(G269&gt;=1,IF(F269&gt;1,C269*(F269-2),""),"")</f>
        <v/>
      </c>
      <c r="AC269" s="640" t="n"/>
      <c r="AD269" s="911">
        <f>IF(E269="YES",IF(G269=1,"",""),IF(G269=1,C269,IF(G269=2,C269,IF(G269=0,"",""))))</f>
        <v/>
      </c>
      <c r="AE269" s="911">
        <f>IF(E269="YES",IF(G269=1,"",IF(H269=1,C269,"")),IF(H269=1,C269,IF(H269=2,C269,IF(H269=0,"",""))))</f>
        <v/>
      </c>
      <c r="AF269" s="911">
        <f>IF(E269="YES",IF(I269=1,C269,""),IF(I269=1,C269,IF(I269=2,C269,IF(I269=0,"",""))))</f>
        <v/>
      </c>
      <c r="AG269" s="192">
        <f>(C269*G269)+(C269*H269)+(C269*I269)</f>
        <v/>
      </c>
    </row>
    <row r="270">
      <c r="A270" s="109" t="n"/>
      <c r="B270" s="109" t="n"/>
      <c r="C270" s="109" t="n"/>
      <c r="J270" s="57" t="n"/>
      <c r="K270" s="57" t="n"/>
      <c r="L270" s="57" t="n"/>
      <c r="M270" s="57" t="n"/>
      <c r="N270" s="57" t="n"/>
      <c r="O270" s="57" t="n"/>
      <c r="AA270" s="640">
        <f>IF(G270=0, IF(OR(H270&gt;0,F270&gt;0),C270*F270,""),"")</f>
        <v/>
      </c>
      <c r="AB270" s="640">
        <f>IF(G270&gt;=1,IF(F270&gt;1,C270*(F270-2),""),"")</f>
        <v/>
      </c>
      <c r="AC270" s="640" t="n"/>
      <c r="AD270" s="911">
        <f>IF(E270="YES",IF(G270=1,"",""),IF(G270=1,C270,IF(G270=2,C270,IF(G270=0,"",""))))</f>
        <v/>
      </c>
      <c r="AE270" s="911">
        <f>IF(E270="YES",IF(G270=1,"",IF(H270=1,C270,"")),IF(H270=1,C270,IF(H270=2,C270,IF(H270=0,"",""))))</f>
        <v/>
      </c>
      <c r="AF270" s="911">
        <f>IF(E270="YES",IF(I270=1,C270,""),IF(I270=1,C270,IF(I270=2,C270,IF(I270=0,"",""))))</f>
        <v/>
      </c>
      <c r="AG270" s="192">
        <f>(C270*G270)+(C270*H270)+(C270*I270)</f>
        <v/>
      </c>
    </row>
    <row r="271">
      <c r="A271" s="109" t="n"/>
      <c r="B271" s="109" t="n"/>
      <c r="C271" s="109" t="n"/>
      <c r="J271" s="57" t="n"/>
      <c r="K271" s="57" t="n"/>
      <c r="L271" s="57" t="n"/>
      <c r="M271" s="57" t="n"/>
      <c r="N271" s="57" t="n"/>
      <c r="O271" s="57" t="n"/>
      <c r="AA271" s="640">
        <f>IF(G271=0, IF(OR(H271&gt;0,F271&gt;0),C271*F271,""),"")</f>
        <v/>
      </c>
      <c r="AB271" s="640">
        <f>IF(G271&gt;=1,IF(F271&gt;1,C271*(F271-2),""),"")</f>
        <v/>
      </c>
      <c r="AC271" s="640" t="n"/>
      <c r="AD271" s="911">
        <f>IF(E271="YES",IF(G271=1,"",""),IF(G271=1,C271,IF(G271=2,C271,IF(G271=0,"",""))))</f>
        <v/>
      </c>
      <c r="AE271" s="911">
        <f>IF(E271="YES",IF(G271=1,"",IF(H271=1,C271,"")),IF(H271=1,C271,IF(H271=2,C271,IF(H271=0,"",""))))</f>
        <v/>
      </c>
      <c r="AF271" s="911">
        <f>IF(E271="YES",IF(I271=1,C271,""),IF(I271=1,C271,IF(I271=2,C271,IF(I271=0,"",""))))</f>
        <v/>
      </c>
      <c r="AG271" s="192">
        <f>(C271*G271)+(C271*H271)+(C271*I271)</f>
        <v/>
      </c>
    </row>
    <row r="272">
      <c r="A272" s="109" t="n"/>
      <c r="B272" s="109" t="n"/>
      <c r="C272" s="109" t="n"/>
      <c r="J272" s="57" t="n"/>
      <c r="K272" s="57" t="n"/>
      <c r="L272" s="57" t="n"/>
      <c r="M272" s="57" t="n"/>
      <c r="N272" s="57" t="n"/>
      <c r="O272" s="57" t="n"/>
      <c r="AA272" s="640">
        <f>IF(G272=0, IF(OR(H272&gt;0,F272&gt;0),C272*F272,""),"")</f>
        <v/>
      </c>
      <c r="AB272" s="640">
        <f>IF(G272&gt;=1,IF(F272&gt;1,C272*(F272-2),""),"")</f>
        <v/>
      </c>
      <c r="AC272" s="640" t="n"/>
      <c r="AD272" s="911">
        <f>IF(E272="YES",IF(G272=1,"",""),IF(G272=1,C272,IF(G272=2,C272,IF(G272=0,"",""))))</f>
        <v/>
      </c>
      <c r="AE272" s="911">
        <f>IF(E272="YES",IF(G272=1,"",IF(H272=1,C272,"")),IF(H272=1,C272,IF(H272=2,C272,IF(H272=0,"",""))))</f>
        <v/>
      </c>
      <c r="AF272" s="911">
        <f>IF(E272="YES",IF(I272=1,C272,""),IF(I272=1,C272,IF(I272=2,C272,IF(I272=0,"",""))))</f>
        <v/>
      </c>
      <c r="AG272" s="192">
        <f>(C272*G272)+(C272*H272)+(C272*I272)</f>
        <v/>
      </c>
    </row>
    <row r="273">
      <c r="A273" s="57" t="n"/>
      <c r="B273" s="57" t="n"/>
      <c r="C273" s="109" t="n"/>
      <c r="F273" s="57" t="n"/>
      <c r="J273" s="57" t="n"/>
      <c r="K273" s="57" t="n"/>
      <c r="L273" s="57" t="n"/>
      <c r="M273" s="57" t="n"/>
      <c r="N273" s="57" t="n"/>
      <c r="O273" s="57" t="n"/>
      <c r="AA273" s="640">
        <f>IF(G273=0, IF(OR(H273&gt;0,F273&gt;0),C273*F273,""),"")</f>
        <v/>
      </c>
      <c r="AB273" s="640">
        <f>IF(G273&gt;=1,IF(F273&gt;1,C273*(F273-2),""),"")</f>
        <v/>
      </c>
      <c r="AC273" s="640" t="n"/>
      <c r="AD273" s="911">
        <f>IF(E273="YES",IF(G273=1,"",""),IF(G273=1,C273,IF(G273=2,C273,IF(G273=0,"",""))))</f>
        <v/>
      </c>
      <c r="AE273" s="911">
        <f>IF(E273="YES",IF(G273=1,"",IF(H273=1,C273,"")),IF(H273=1,C273,IF(H273=2,C273,IF(H273=0,"",""))))</f>
        <v/>
      </c>
      <c r="AF273" s="911">
        <f>IF(E273="YES",IF(I273=1,C273,""),IF(I273=1,C273,IF(I273=2,C273,IF(I273=0,"",""))))</f>
        <v/>
      </c>
      <c r="AG273" s="192">
        <f>(C273*G273)+(C273*H273)+(C273*I273)</f>
        <v/>
      </c>
    </row>
    <row r="274">
      <c r="A274" s="57" t="n"/>
      <c r="B274" s="57" t="n"/>
      <c r="C274" s="109" t="n"/>
      <c r="F274" s="57" t="n"/>
      <c r="J274" s="57" t="n"/>
      <c r="K274" s="57" t="n"/>
      <c r="L274" s="57" t="n"/>
      <c r="M274" s="57" t="n"/>
      <c r="N274" s="57" t="n"/>
      <c r="O274" s="57" t="n"/>
      <c r="AA274" s="640">
        <f>IF(G274=0, IF(OR(H274&gt;0,F274&gt;0),C274*F274,""),"")</f>
        <v/>
      </c>
      <c r="AB274" s="640">
        <f>IF(G274&gt;=1,IF(F274&gt;1,C274*(F274-2),""),"")</f>
        <v/>
      </c>
      <c r="AC274" s="640" t="n"/>
      <c r="AD274" s="911">
        <f>IF(E274="YES",IF(G274=1,"",""),IF(G274=1,C274,IF(G274=2,C274,IF(G274=0,"",""))))</f>
        <v/>
      </c>
      <c r="AE274" s="911">
        <f>IF(E274="YES",IF(G274=1,"",IF(H274=1,C274,"")),IF(H274=1,C274,IF(H274=2,C274,IF(H274=0,"",""))))</f>
        <v/>
      </c>
      <c r="AF274" s="911">
        <f>IF(E274="YES",IF(I274=1,C274,""),IF(I274=1,C274,IF(I274=2,C274,IF(I274=0,"",""))))</f>
        <v/>
      </c>
      <c r="AG274" s="192">
        <f>(C274*G274)+(C274*H274)+(C274*I274)</f>
        <v/>
      </c>
    </row>
    <row r="275">
      <c r="A275" s="57" t="n"/>
      <c r="B275" s="57" t="n"/>
      <c r="C275" s="109" t="n"/>
      <c r="F275" s="57" t="n"/>
      <c r="J275" s="57" t="n"/>
      <c r="K275" s="57" t="n"/>
      <c r="L275" s="57" t="n"/>
      <c r="M275" s="57" t="n"/>
      <c r="N275" s="57" t="n"/>
      <c r="O275" s="57" t="n"/>
      <c r="AA275" s="640">
        <f>IF(G275=0, IF(OR(H275&gt;0,F275&gt;0),C275*F275,""),"")</f>
        <v/>
      </c>
      <c r="AB275" s="640">
        <f>IF(G275&gt;=1,IF(F275&gt;1,C275*(F275-2),""),"")</f>
        <v/>
      </c>
      <c r="AC275" s="640" t="n"/>
      <c r="AD275" s="911">
        <f>IF(E275="YES",IF(G275=1,"",""),IF(G275=1,C275,IF(G275=2,C275,IF(G275=0,"",""))))</f>
        <v/>
      </c>
      <c r="AE275" s="911">
        <f>IF(E275="YES",IF(G275=1,"",IF(H275=1,C275,"")),IF(H275=1,C275,IF(H275=2,C275,IF(H275=0,"",""))))</f>
        <v/>
      </c>
      <c r="AF275" s="911">
        <f>IF(E275="YES",IF(I275=1,C275,""),IF(I275=1,C275,IF(I275=2,C275,IF(I275=0,"",""))))</f>
        <v/>
      </c>
      <c r="AG275" s="192">
        <f>(C275*G275)+(C275*H275)+(C275*I275)</f>
        <v/>
      </c>
    </row>
    <row r="276">
      <c r="A276" s="57" t="n"/>
      <c r="B276" s="57" t="n"/>
      <c r="C276" s="109" t="n"/>
      <c r="F276" s="57" t="n"/>
      <c r="J276" s="57" t="n"/>
      <c r="K276" s="57" t="n"/>
      <c r="L276" s="57" t="n"/>
      <c r="M276" s="57" t="n"/>
      <c r="N276" s="57" t="n"/>
      <c r="O276" s="57" t="n"/>
      <c r="AA276" s="640">
        <f>IF(G276=0, IF(OR(H276&gt;0,F276&gt;0),C276*F276,""),"")</f>
        <v/>
      </c>
      <c r="AB276" s="640">
        <f>IF(G276&gt;=1,IF(F276&gt;1,C276*(F276-2),""),"")</f>
        <v/>
      </c>
      <c r="AC276" s="640" t="n"/>
      <c r="AD276" s="911">
        <f>IF(E276="YES",IF(G276=1,"",""),IF(G276=1,C276,IF(G276=2,C276,IF(G276=0,"",""))))</f>
        <v/>
      </c>
      <c r="AE276" s="911">
        <f>IF(E276="YES",IF(G276=1,"",IF(H276=1,C276,"")),IF(H276=1,C276,IF(H276=2,C276,IF(H276=0,"",""))))</f>
        <v/>
      </c>
      <c r="AF276" s="911">
        <f>IF(E276="YES",IF(I276=1,C276,""),IF(I276=1,C276,IF(I276=2,C276,IF(I276=0,"",""))))</f>
        <v/>
      </c>
      <c r="AG276" s="192">
        <f>(C276*G276)+(C276*H276)+(C276*I276)</f>
        <v/>
      </c>
    </row>
    <row r="277">
      <c r="A277" s="57" t="n"/>
      <c r="B277" s="57" t="n"/>
      <c r="C277" s="109" t="n"/>
      <c r="F277" s="57" t="n"/>
      <c r="J277" s="57" t="n"/>
      <c r="K277" s="57" t="n"/>
      <c r="L277" s="57" t="n"/>
      <c r="M277" s="57" t="n"/>
      <c r="N277" s="57" t="n"/>
      <c r="O277" s="57" t="n"/>
      <c r="AA277" s="640">
        <f>IF(G277=0, IF(OR(H277&gt;0,F277&gt;0),C277*F277,""),"")</f>
        <v/>
      </c>
      <c r="AB277" s="640">
        <f>IF(G277&gt;=1,IF(F277&gt;1,C277*(F277-2),""),"")</f>
        <v/>
      </c>
      <c r="AC277" s="640" t="n"/>
      <c r="AD277" s="911">
        <f>IF(E277="YES",IF(G277=1,"",""),IF(G277=1,C277,IF(G277=2,C277,IF(G277=0,"",""))))</f>
        <v/>
      </c>
      <c r="AE277" s="911">
        <f>IF(E277="YES",IF(G277=1,"",IF(H277=1,C277,"")),IF(H277=1,C277,IF(H277=2,C277,IF(H277=0,"",""))))</f>
        <v/>
      </c>
      <c r="AF277" s="911">
        <f>IF(E277="YES",IF(I277=1,C277,""),IF(I277=1,C277,IF(I277=2,C277,IF(I277=0,"",""))))</f>
        <v/>
      </c>
      <c r="AG277" s="192">
        <f>(C277*G277)+(C277*H277)+(C277*I277)</f>
        <v/>
      </c>
    </row>
    <row r="278">
      <c r="A278" s="57" t="n"/>
      <c r="B278" s="57" t="n"/>
      <c r="C278" s="109" t="n"/>
      <c r="F278" s="57" t="n"/>
      <c r="J278" s="57" t="n"/>
      <c r="K278" s="57" t="n"/>
      <c r="L278" s="57" t="n"/>
      <c r="M278" s="57" t="n"/>
      <c r="N278" s="57" t="n"/>
      <c r="O278" s="57" t="n"/>
      <c r="AA278" s="640">
        <f>IF(G278=0, IF(OR(H278&gt;0,F278&gt;0),C278*F278,""),"")</f>
        <v/>
      </c>
      <c r="AB278" s="640">
        <f>IF(G278&gt;=1,IF(F278&gt;1,C278*(F278-2),""),"")</f>
        <v/>
      </c>
      <c r="AC278" s="640" t="n"/>
      <c r="AD278" s="911">
        <f>IF(E278="YES",IF(G278=1,"",""),IF(G278=1,C278,IF(G278=2,C278,IF(G278=0,"",""))))</f>
        <v/>
      </c>
      <c r="AE278" s="911">
        <f>IF(E278="YES",IF(G278=1,"",IF(H278=1,C278,"")),IF(H278=1,C278,IF(H278=2,C278,IF(H278=0,"",""))))</f>
        <v/>
      </c>
      <c r="AF278" s="911">
        <f>IF(E278="YES",IF(I278=1,C278,""),IF(I278=1,C278,IF(I278=2,C278,IF(I278=0,"",""))))</f>
        <v/>
      </c>
      <c r="AG278" s="192">
        <f>(C278*G278)+(C278*H278)+(C278*I278)</f>
        <v/>
      </c>
    </row>
    <row r="279">
      <c r="A279" s="57" t="n"/>
      <c r="B279" s="57" t="n"/>
      <c r="C279" s="109" t="n"/>
      <c r="F279" s="57" t="n"/>
      <c r="J279" s="57" t="n"/>
      <c r="K279" s="57" t="n"/>
      <c r="L279" s="57" t="n"/>
      <c r="M279" s="57" t="n"/>
      <c r="N279" s="57" t="n"/>
      <c r="O279" s="57" t="n"/>
      <c r="AA279" s="640">
        <f>IF(G279=0, IF(OR(H279&gt;0,F279&gt;0),C279*F279,""),"")</f>
        <v/>
      </c>
      <c r="AB279" s="640">
        <f>IF(G279&gt;=1,IF(F279&gt;1,C279*(F279-2),""),"")</f>
        <v/>
      </c>
      <c r="AC279" s="640" t="n"/>
      <c r="AD279" s="911">
        <f>IF(E279="YES",IF(G279=1,"",""),IF(G279=1,C279,IF(G279=2,C279,IF(G279=0,"",""))))</f>
        <v/>
      </c>
      <c r="AE279" s="911">
        <f>IF(E279="YES",IF(G279=1,"",IF(H279=1,C279,"")),IF(H279=1,C279,IF(H279=2,C279,IF(H279=0,"",""))))</f>
        <v/>
      </c>
      <c r="AF279" s="911">
        <f>IF(E279="YES",IF(I279=1,C279,""),IF(I279=1,C279,IF(I279=2,C279,IF(I279=0,"",""))))</f>
        <v/>
      </c>
      <c r="AG279" s="192">
        <f>(C279*G279)+(C279*H279)+(C279*I279)</f>
        <v/>
      </c>
    </row>
    <row r="280">
      <c r="A280" s="57" t="n"/>
      <c r="B280" s="57" t="n"/>
      <c r="C280" s="109" t="n"/>
      <c r="F280" s="57" t="n"/>
      <c r="J280" s="57" t="n"/>
      <c r="K280" s="57" t="n"/>
      <c r="L280" s="57" t="n"/>
      <c r="M280" s="57" t="n"/>
      <c r="N280" s="57" t="n"/>
      <c r="O280" s="57" t="n"/>
      <c r="AA280" s="640">
        <f>IF(G280=0, IF(OR(H280&gt;0,F280&gt;0),C280*F280,""),"")</f>
        <v/>
      </c>
      <c r="AB280" s="640">
        <f>IF(G280&gt;=1,IF(F280&gt;1,C280*(F280-2),""),"")</f>
        <v/>
      </c>
      <c r="AC280" s="640" t="n"/>
      <c r="AD280" s="911">
        <f>IF(E280="YES",IF(G280=1,"",""),IF(G280=1,C280,IF(G280=2,C280,IF(G280=0,"",""))))</f>
        <v/>
      </c>
      <c r="AE280" s="911">
        <f>IF(E280="YES",IF(G280=1,"",IF(H280=1,C280,"")),IF(H280=1,C280,IF(H280=2,C280,IF(H280=0,"",""))))</f>
        <v/>
      </c>
      <c r="AF280" s="911">
        <f>IF(E280="YES",IF(I280=1,C280,""),IF(I280=1,C280,IF(I280=2,C280,IF(I280=0,"",""))))</f>
        <v/>
      </c>
      <c r="AG280" s="192">
        <f>(C280*G280)+(C280*H280)+(C280*I280)</f>
        <v/>
      </c>
    </row>
    <row r="281">
      <c r="A281" s="57" t="n"/>
      <c r="B281" s="57" t="n"/>
      <c r="C281" s="109" t="n"/>
      <c r="F281" s="57" t="n"/>
      <c r="J281" s="57" t="n"/>
      <c r="K281" s="57" t="n"/>
      <c r="L281" s="57" t="n"/>
      <c r="M281" s="57" t="n"/>
      <c r="N281" s="57" t="n"/>
      <c r="O281" s="57" t="n"/>
      <c r="AA281" s="640">
        <f>IF(G281=0, IF(OR(H281&gt;0,F281&gt;0),C281*F281,""),"")</f>
        <v/>
      </c>
      <c r="AB281" s="640">
        <f>IF(G281&gt;=1,IF(F281&gt;1,C281*(F281-2),""),"")</f>
        <v/>
      </c>
      <c r="AC281" s="640" t="n"/>
      <c r="AD281" s="911">
        <f>IF(E281="YES",IF(G281=1,"",""),IF(G281=1,C281,IF(G281=2,C281,IF(G281=0,"",""))))</f>
        <v/>
      </c>
      <c r="AE281" s="911">
        <f>IF(E281="YES",IF(G281=1,"",IF(H281=1,C281,"")),IF(H281=1,C281,IF(H281=2,C281,IF(H281=0,"",""))))</f>
        <v/>
      </c>
      <c r="AF281" s="911">
        <f>IF(E281="YES",IF(I281=1,C281,""),IF(I281=1,C281,IF(I281=2,C281,IF(I281=0,"",""))))</f>
        <v/>
      </c>
      <c r="AG281" s="192">
        <f>(C281*G281)+(C281*H281)+(C281*I281)</f>
        <v/>
      </c>
    </row>
    <row r="282">
      <c r="A282" s="57" t="n"/>
      <c r="B282" s="57" t="n"/>
      <c r="C282" s="109" t="n"/>
      <c r="F282" s="57" t="n"/>
      <c r="J282" s="57" t="n"/>
      <c r="K282" s="57" t="n"/>
      <c r="L282" s="57" t="n"/>
      <c r="M282" s="57" t="n"/>
      <c r="N282" s="57" t="n"/>
      <c r="O282" s="57" t="n"/>
      <c r="AA282" s="640">
        <f>IF(G282=0, IF(OR(H282&gt;0,F282&gt;0),C282*F282,""),"")</f>
        <v/>
      </c>
      <c r="AB282" s="640">
        <f>IF(G282&gt;=1,IF(F282&gt;1,C282*(F282-2),""),"")</f>
        <v/>
      </c>
      <c r="AC282" s="640" t="n"/>
      <c r="AD282" s="911">
        <f>IF(E282="YES",IF(G282=1,"",""),IF(G282=1,C282,IF(G282=2,C282,IF(G282=0,"",""))))</f>
        <v/>
      </c>
      <c r="AE282" s="911">
        <f>IF(E282="YES",IF(G282=1,"",IF(H282=1,C282,"")),IF(H282=1,C282,IF(H282=2,C282,IF(H282=0,"",""))))</f>
        <v/>
      </c>
      <c r="AF282" s="911">
        <f>IF(E282="YES",IF(I282=1,C282,""),IF(I282=1,C282,IF(I282=2,C282,IF(I282=0,"",""))))</f>
        <v/>
      </c>
      <c r="AG282" s="192">
        <f>(C282*G282)+(C282*H282)+(C282*I282)</f>
        <v/>
      </c>
    </row>
    <row r="283">
      <c r="A283" s="57" t="n"/>
      <c r="B283" s="57" t="n"/>
      <c r="C283" s="109" t="n"/>
      <c r="F283" s="57" t="n"/>
      <c r="J283" s="57" t="n"/>
      <c r="K283" s="57" t="n"/>
      <c r="L283" s="57" t="n"/>
      <c r="M283" s="57" t="n"/>
      <c r="N283" s="57" t="n"/>
      <c r="O283" s="57" t="n"/>
      <c r="AA283" s="640">
        <f>IF(G283=0, IF(OR(H283&gt;0,F283&gt;0),C283*F283,""),"")</f>
        <v/>
      </c>
      <c r="AB283" s="640">
        <f>IF(G283&gt;=1,IF(F283&gt;1,C283*(F283-2),""),"")</f>
        <v/>
      </c>
      <c r="AC283" s="640" t="n"/>
      <c r="AD283" s="911">
        <f>IF(E283="YES",IF(G283=1,"",""),IF(G283=1,C283,IF(G283=2,C283,IF(G283=0,"",""))))</f>
        <v/>
      </c>
      <c r="AE283" s="911">
        <f>IF(E283="YES",IF(G283=1,"",IF(H283=1,C283,"")),IF(H283=1,C283,IF(H283=2,C283,IF(H283=0,"",""))))</f>
        <v/>
      </c>
      <c r="AF283" s="911">
        <f>IF(E283="YES",IF(I283=1,C283,""),IF(I283=1,C283,IF(I283=2,C283,IF(I283=0,"",""))))</f>
        <v/>
      </c>
      <c r="AG283" s="192">
        <f>(C283*G283)+(C283*H283)+(C283*I283)</f>
        <v/>
      </c>
    </row>
    <row r="284">
      <c r="A284" s="57" t="n"/>
      <c r="B284" s="57" t="n"/>
      <c r="C284" s="109" t="n"/>
      <c r="F284" s="57" t="n"/>
      <c r="J284" s="57" t="n"/>
      <c r="K284" s="57" t="n"/>
      <c r="L284" s="57" t="n"/>
      <c r="M284" s="57" t="n"/>
      <c r="N284" s="57" t="n"/>
      <c r="O284" s="57" t="n"/>
      <c r="AA284" s="640">
        <f>IF(G284=0, IF(OR(H284&gt;0,F284&gt;0),C284*F284,""),"")</f>
        <v/>
      </c>
      <c r="AB284" s="640">
        <f>IF(G284&gt;=1,IF(F284&gt;1,C284*(F284-2),""),"")</f>
        <v/>
      </c>
      <c r="AC284" s="640" t="n"/>
      <c r="AD284" s="911">
        <f>IF(E284="YES",IF(G284=1,"",""),IF(G284=1,C284,IF(G284=2,C284,IF(G284=0,"",""))))</f>
        <v/>
      </c>
      <c r="AE284" s="911">
        <f>IF(E284="YES",IF(G284=1,"",IF(H284=1,C284,"")),IF(H284=1,C284,IF(H284=2,C284,IF(H284=0,"",""))))</f>
        <v/>
      </c>
      <c r="AF284" s="911">
        <f>IF(E284="YES",IF(I284=1,C284,""),IF(I284=1,C284,IF(I284=2,C284,IF(I284=0,"",""))))</f>
        <v/>
      </c>
      <c r="AG284" s="192">
        <f>(C284*G284)+(C284*H284)+(C284*I284)</f>
        <v/>
      </c>
    </row>
    <row r="285">
      <c r="A285" s="57" t="n"/>
      <c r="B285" s="57" t="n"/>
      <c r="C285" s="109" t="n"/>
      <c r="F285" s="57" t="n"/>
      <c r="J285" s="57" t="n"/>
      <c r="K285" s="57" t="n"/>
      <c r="L285" s="57" t="n"/>
      <c r="M285" s="57" t="n"/>
      <c r="N285" s="57" t="n"/>
      <c r="O285" s="57" t="n"/>
      <c r="AA285" s="640">
        <f>IF(G285=0, IF(OR(H285&gt;0,F285&gt;0),C285*F285,""),"")</f>
        <v/>
      </c>
      <c r="AB285" s="640">
        <f>IF(G285&gt;=1,IF(F285&gt;1,C285*(F285-2),""),"")</f>
        <v/>
      </c>
      <c r="AC285" s="640" t="n"/>
      <c r="AD285" s="911">
        <f>IF(E285="YES",IF(G285=1,"",""),IF(G285=1,C285,IF(G285=2,C285,IF(G285=0,"",""))))</f>
        <v/>
      </c>
      <c r="AE285" s="911">
        <f>IF(E285="YES",IF(G285=1,"",IF(H285=1,C285,"")),IF(H285=1,C285,IF(H285=2,C285,IF(H285=0,"",""))))</f>
        <v/>
      </c>
      <c r="AF285" s="911">
        <f>IF(E285="YES",IF(I285=1,C285,""),IF(I285=1,C285,IF(I285=2,C285,IF(I285=0,"",""))))</f>
        <v/>
      </c>
      <c r="AG285" s="192">
        <f>(C285*G285)+(C285*H285)+(C285*I285)</f>
        <v/>
      </c>
    </row>
    <row r="286">
      <c r="A286" s="57" t="n"/>
      <c r="B286" s="57" t="n"/>
      <c r="C286" s="109" t="n"/>
      <c r="F286" s="57" t="n"/>
      <c r="J286" s="57" t="n"/>
      <c r="K286" s="57" t="n"/>
      <c r="L286" s="57" t="n"/>
      <c r="M286" s="57" t="n"/>
      <c r="N286" s="57" t="n"/>
      <c r="O286" s="57" t="n"/>
      <c r="AA286" s="640">
        <f>IF(G286=0, IF(OR(H286&gt;0,F286&gt;0),C286*F286,""),"")</f>
        <v/>
      </c>
      <c r="AB286" s="640">
        <f>IF(G286&gt;=1,IF(F286&gt;1,C286*(F286-2),""),"")</f>
        <v/>
      </c>
      <c r="AC286" s="640" t="n"/>
      <c r="AD286" s="911">
        <f>IF(E286="YES",IF(G286=1,"",""),IF(G286=1,C286,IF(G286=2,C286,IF(G286=0,"",""))))</f>
        <v/>
      </c>
      <c r="AE286" s="911">
        <f>IF(E286="YES",IF(G286=1,"",IF(H286=1,C286,"")),IF(H286=1,C286,IF(H286=2,C286,IF(H286=0,"",""))))</f>
        <v/>
      </c>
      <c r="AF286" s="911">
        <f>IF(E286="YES",IF(I286=1,C286,""),IF(I286=1,C286,IF(I286=2,C286,IF(I286=0,"",""))))</f>
        <v/>
      </c>
      <c r="AG286" s="192">
        <f>(C286*G286)+(C286*H286)+(C286*I286)</f>
        <v/>
      </c>
    </row>
    <row r="287">
      <c r="A287" s="57" t="n"/>
      <c r="B287" s="57" t="n"/>
      <c r="C287" s="109" t="n"/>
      <c r="F287" s="57" t="n"/>
      <c r="J287" s="57" t="n"/>
      <c r="K287" s="57" t="n"/>
      <c r="L287" s="57" t="n"/>
      <c r="M287" s="57" t="n"/>
      <c r="N287" s="57" t="n"/>
      <c r="O287" s="57" t="n"/>
      <c r="AA287" s="640">
        <f>IF(G287=0, IF(OR(H287&gt;0,F287&gt;0),C287*F287,""),"")</f>
        <v/>
      </c>
      <c r="AB287" s="640">
        <f>IF(G287&gt;=1,IF(F287&gt;1,C287*(F287-2),""),"")</f>
        <v/>
      </c>
      <c r="AC287" s="640" t="n"/>
      <c r="AD287" s="911">
        <f>IF(E287="YES",IF(G287=1,"",""),IF(G287=1,C287,IF(G287=2,C287,IF(G287=0,"",""))))</f>
        <v/>
      </c>
      <c r="AE287" s="911">
        <f>IF(E287="YES",IF(G287=1,"",IF(H287=1,C287,"")),IF(H287=1,C287,IF(H287=2,C287,IF(H287=0,"",""))))</f>
        <v/>
      </c>
      <c r="AF287" s="911">
        <f>IF(E287="YES",IF(I287=1,C287,""),IF(I287=1,C287,IF(I287=2,C287,IF(I287=0,"",""))))</f>
        <v/>
      </c>
      <c r="AG287" s="192">
        <f>(C287*G287)+(C287*H287)+(C287*I287)</f>
        <v/>
      </c>
    </row>
    <row r="288">
      <c r="A288" s="57" t="n"/>
      <c r="B288" s="57" t="n"/>
      <c r="C288" s="109" t="n"/>
      <c r="F288" s="57" t="n"/>
      <c r="J288" s="57" t="n"/>
      <c r="K288" s="57" t="n"/>
      <c r="L288" s="57" t="n"/>
      <c r="M288" s="57" t="n"/>
      <c r="N288" s="57" t="n"/>
      <c r="O288" s="57" t="n"/>
      <c r="AA288" s="640">
        <f>IF(G288=0, IF(OR(H288&gt;0,F288&gt;0),C288*F288,""),"")</f>
        <v/>
      </c>
      <c r="AB288" s="640">
        <f>IF(G288&gt;=1,IF(F288&gt;1,C288*(F288-2),""),"")</f>
        <v/>
      </c>
      <c r="AC288" s="640" t="n"/>
      <c r="AD288" s="911">
        <f>IF(E288="YES",IF(G288=1,"",""),IF(G288=1,C288,IF(G288=2,C288,IF(G288=0,"",""))))</f>
        <v/>
      </c>
      <c r="AE288" s="911">
        <f>IF(E288="YES",IF(G288=1,"",IF(H288=1,C288,"")),IF(H288=1,C288,IF(H288=2,C288,IF(H288=0,"",""))))</f>
        <v/>
      </c>
      <c r="AF288" s="911">
        <f>IF(E288="YES",IF(I288=1,C288,""),IF(I288=1,C288,IF(I288=2,C288,IF(I288=0,"",""))))</f>
        <v/>
      </c>
      <c r="AG288" s="192">
        <f>(C288*G288)+(C288*H288)+(C288*I288)</f>
        <v/>
      </c>
    </row>
    <row r="289">
      <c r="A289" s="57" t="n"/>
      <c r="B289" s="57" t="n"/>
      <c r="C289" s="109" t="n"/>
      <c r="F289" s="57" t="n"/>
      <c r="J289" s="57" t="n"/>
      <c r="K289" s="57" t="n"/>
      <c r="L289" s="57" t="n"/>
      <c r="M289" s="57" t="n"/>
      <c r="N289" s="57" t="n"/>
      <c r="O289" s="57" t="n"/>
      <c r="AA289" s="640">
        <f>IF(G289=0, IF(OR(H289&gt;0,F289&gt;0),C289*F289,""),"")</f>
        <v/>
      </c>
      <c r="AB289" s="640">
        <f>IF(G289&gt;=1,IF(F289&gt;1,C289*(F289-2),""),"")</f>
        <v/>
      </c>
      <c r="AC289" s="640" t="n"/>
      <c r="AD289" s="911">
        <f>IF(E289="YES",IF(G289=1,"",""),IF(G289=1,C289,IF(G289=2,C289,IF(G289=0,"",""))))</f>
        <v/>
      </c>
      <c r="AE289" s="911">
        <f>IF(E289="YES",IF(G289=1,"",IF(H289=1,C289,"")),IF(H289=1,C289,IF(H289=2,C289,IF(H289=0,"",""))))</f>
        <v/>
      </c>
      <c r="AF289" s="911">
        <f>IF(E289="YES",IF(I289=1,C289,""),IF(I289=1,C289,IF(I289=2,C289,IF(I289=0,"",""))))</f>
        <v/>
      </c>
      <c r="AG289" s="192">
        <f>(C289*G289)+(C289*H289)+(C289*I289)</f>
        <v/>
      </c>
    </row>
    <row r="290">
      <c r="A290" s="57" t="n"/>
      <c r="B290" s="57" t="n"/>
      <c r="C290" s="109" t="n"/>
      <c r="F290" s="57" t="n"/>
      <c r="J290" s="57" t="n"/>
      <c r="K290" s="57" t="n"/>
      <c r="L290" s="57" t="n"/>
      <c r="M290" s="57" t="n"/>
      <c r="N290" s="57" t="n"/>
      <c r="O290" s="57" t="n"/>
      <c r="AA290" s="640">
        <f>IF(G290=0, IF(OR(H290&gt;0,F290&gt;0),C290*F290,""),"")</f>
        <v/>
      </c>
      <c r="AB290" s="640">
        <f>IF(G290&gt;=1,IF(F290&gt;1,C290*(F290-2),""),"")</f>
        <v/>
      </c>
      <c r="AC290" s="640" t="n"/>
      <c r="AD290" s="911">
        <f>IF(E290="YES",IF(G290=1,"",""),IF(G290=1,C290,IF(G290=2,C290,IF(G290=0,"",""))))</f>
        <v/>
      </c>
      <c r="AE290" s="911">
        <f>IF(E290="YES",IF(G290=1,"",IF(H290=1,C290,"")),IF(H290=1,C290,IF(H290=2,C290,IF(H290=0,"",""))))</f>
        <v/>
      </c>
      <c r="AF290" s="911">
        <f>IF(E290="YES",IF(I290=1,C290,""),IF(I290=1,C290,IF(I290=2,C290,IF(I290=0,"",""))))</f>
        <v/>
      </c>
      <c r="AG290" s="192">
        <f>(C290*G290)+(C290*H290)+(C290*I290)</f>
        <v/>
      </c>
    </row>
    <row r="291">
      <c r="A291" s="57" t="n"/>
      <c r="B291" s="57" t="n"/>
      <c r="C291" s="109" t="n"/>
      <c r="F291" s="57" t="n"/>
      <c r="J291" s="57" t="n"/>
      <c r="K291" s="57" t="n"/>
      <c r="L291" s="57" t="n"/>
      <c r="M291" s="57" t="n"/>
      <c r="N291" s="57" t="n"/>
      <c r="O291" s="57" t="n"/>
      <c r="AA291" s="640">
        <f>IF(G291=0, IF(OR(H291&gt;0,F291&gt;0),C291*F291,""),"")</f>
        <v/>
      </c>
      <c r="AB291" s="640">
        <f>IF(G291&gt;=1,IF(F291&gt;1,C291*(F291-2),""),"")</f>
        <v/>
      </c>
      <c r="AC291" s="640" t="n"/>
      <c r="AD291" s="911">
        <f>IF(E291="YES",IF(G291=1,"",""),IF(G291=1,C291,IF(G291=2,C291,IF(G291=0,"",""))))</f>
        <v/>
      </c>
      <c r="AE291" s="911">
        <f>IF(E291="YES",IF(G291=1,"",IF(H291=1,C291,"")),IF(H291=1,C291,IF(H291=2,C291,IF(H291=0,"",""))))</f>
        <v/>
      </c>
      <c r="AF291" s="911">
        <f>IF(E291="YES",IF(I291=1,C291,""),IF(I291=1,C291,IF(I291=2,C291,IF(I291=0,"",""))))</f>
        <v/>
      </c>
      <c r="AG291" s="192">
        <f>(C291*G291)+(C291*H291)+(C291*I291)</f>
        <v/>
      </c>
    </row>
    <row r="292">
      <c r="A292" s="57" t="n"/>
      <c r="B292" s="57" t="n"/>
      <c r="C292" s="109" t="n"/>
      <c r="F292" s="57" t="n"/>
      <c r="J292" s="57" t="n"/>
      <c r="K292" s="57" t="n"/>
      <c r="L292" s="57" t="n"/>
      <c r="M292" s="57" t="n"/>
      <c r="N292" s="57" t="n"/>
      <c r="O292" s="57" t="n"/>
      <c r="AA292" s="640">
        <f>IF(G292=0, IF(OR(H292&gt;0,F292&gt;0),C292*F292,""),"")</f>
        <v/>
      </c>
      <c r="AB292" s="640">
        <f>IF(G292&gt;=1,IF(F292&gt;1,C292*(F292-2),""),"")</f>
        <v/>
      </c>
      <c r="AC292" s="640" t="n"/>
      <c r="AD292" s="911">
        <f>IF(E292="YES",IF(G292=1,"",""),IF(G292=1,C292,IF(G292=2,C292,IF(G292=0,"",""))))</f>
        <v/>
      </c>
      <c r="AE292" s="911">
        <f>IF(E292="YES",IF(G292=1,"",IF(H292=1,C292,"")),IF(H292=1,C292,IF(H292=2,C292,IF(H292=0,"",""))))</f>
        <v/>
      </c>
      <c r="AF292" s="911">
        <f>IF(E292="YES",IF(I292=1,C292,""),IF(I292=1,C292,IF(I292=2,C292,IF(I292=0,"",""))))</f>
        <v/>
      </c>
      <c r="AG292" s="192">
        <f>(C292*G292)+(C292*H292)+(C292*I292)</f>
        <v/>
      </c>
    </row>
    <row r="293">
      <c r="A293" s="57" t="n"/>
      <c r="B293" s="57" t="n"/>
      <c r="C293" s="109" t="n"/>
      <c r="F293" s="57" t="n"/>
      <c r="J293" s="57" t="n"/>
      <c r="K293" s="57" t="n"/>
      <c r="L293" s="57" t="n"/>
      <c r="M293" s="57" t="n"/>
      <c r="N293" s="57" t="n"/>
      <c r="O293" s="57" t="n"/>
      <c r="AA293" s="640">
        <f>IF(G293=0, IF(OR(H293&gt;0,F293&gt;0),C293*F293,""),"")</f>
        <v/>
      </c>
      <c r="AB293" s="640">
        <f>IF(G293&gt;=1,IF(F293&gt;1,C293*(F293-2),""),"")</f>
        <v/>
      </c>
      <c r="AC293" s="640" t="n"/>
      <c r="AD293" s="911">
        <f>IF(E293="YES",IF(G293=1,"",""),IF(G293=1,C293,IF(G293=2,C293,IF(G293=0,"",""))))</f>
        <v/>
      </c>
      <c r="AE293" s="911">
        <f>IF(E293="YES",IF(G293=1,"",IF(H293=1,C293,"")),IF(H293=1,C293,IF(H293=2,C293,IF(H293=0,"",""))))</f>
        <v/>
      </c>
      <c r="AF293" s="911">
        <f>IF(E293="YES",IF(I293=1,C293,""),IF(I293=1,C293,IF(I293=2,C293,IF(I293=0,"",""))))</f>
        <v/>
      </c>
      <c r="AG293" s="192">
        <f>(C293*G293)+(C293*H293)+(C293*I293)</f>
        <v/>
      </c>
    </row>
    <row r="294">
      <c r="A294" s="57" t="n"/>
      <c r="B294" s="57" t="n"/>
      <c r="C294" s="109" t="n"/>
      <c r="F294" s="57" t="n"/>
      <c r="J294" s="57" t="n"/>
      <c r="K294" s="57" t="n"/>
      <c r="L294" s="57" t="n"/>
      <c r="M294" s="57" t="n"/>
      <c r="N294" s="57" t="n"/>
      <c r="O294" s="57" t="n"/>
      <c r="AA294" s="640">
        <f>IF(G294=0, IF(OR(H294&gt;0,F294&gt;0),C294*F294,""),"")</f>
        <v/>
      </c>
      <c r="AB294" s="640">
        <f>IF(G294&gt;=1,IF(F294&gt;1,C294*(F294-2),""),"")</f>
        <v/>
      </c>
      <c r="AC294" s="640" t="n"/>
      <c r="AD294" s="911">
        <f>IF(E294="YES",IF(G294=1,"",""),IF(G294=1,C294,IF(G294=2,C294,IF(G294=0,"",""))))</f>
        <v/>
      </c>
      <c r="AE294" s="911">
        <f>IF(E294="YES",IF(G294=1,"",IF(H294=1,C294,"")),IF(H294=1,C294,IF(H294=2,C294,IF(H294=0,"",""))))</f>
        <v/>
      </c>
      <c r="AF294" s="911">
        <f>IF(E294="YES",IF(I294=1,C294,""),IF(I294=1,C294,IF(I294=2,C294,IF(I294=0,"",""))))</f>
        <v/>
      </c>
      <c r="AG294" s="192">
        <f>(C294*G294)+(C294*H294)+(C294*I294)</f>
        <v/>
      </c>
    </row>
    <row r="295">
      <c r="A295" s="57" t="n"/>
      <c r="B295" s="57" t="n"/>
      <c r="C295" s="109" t="n"/>
      <c r="F295" s="57" t="n"/>
      <c r="J295" s="57" t="n"/>
      <c r="K295" s="57" t="n"/>
      <c r="L295" s="57" t="n"/>
      <c r="M295" s="57" t="n"/>
      <c r="N295" s="57" t="n"/>
      <c r="O295" s="57" t="n"/>
      <c r="AA295" s="640">
        <f>IF(G295=0, IF(OR(H295&gt;0,F295&gt;0),C295*F295,""),"")</f>
        <v/>
      </c>
      <c r="AB295" s="640">
        <f>IF(G295&gt;=1,IF(F295&gt;1,C295*(F295-2),""),"")</f>
        <v/>
      </c>
      <c r="AC295" s="640" t="n"/>
      <c r="AD295" s="911">
        <f>IF(E295="YES",IF(G295=1,"",""),IF(G295=1,C295,IF(G295=2,C295,IF(G295=0,"",""))))</f>
        <v/>
      </c>
      <c r="AE295" s="911">
        <f>IF(E295="YES",IF(G295=1,"",IF(H295=1,C295,"")),IF(H295=1,C295,IF(H295=2,C295,IF(H295=0,"",""))))</f>
        <v/>
      </c>
      <c r="AF295" s="911">
        <f>IF(E295="YES",IF(I295=1,C295,""),IF(I295=1,C295,IF(I295=2,C295,IF(I295=0,"",""))))</f>
        <v/>
      </c>
      <c r="AG295" s="192">
        <f>(C295*G295)+(C295*H295)+(C295*I295)</f>
        <v/>
      </c>
    </row>
    <row r="296">
      <c r="A296" s="57" t="n"/>
      <c r="B296" s="57" t="n"/>
      <c r="C296" s="109" t="n"/>
      <c r="F296" s="57" t="n"/>
      <c r="J296" s="57" t="n"/>
      <c r="K296" s="57" t="n"/>
      <c r="L296" s="57" t="n"/>
      <c r="M296" s="57" t="n"/>
      <c r="N296" s="57" t="n"/>
      <c r="O296" s="57" t="n"/>
      <c r="AA296" s="640">
        <f>IF(G296=0, IF(OR(H296&gt;0,F296&gt;0),C296*F296,""),"")</f>
        <v/>
      </c>
      <c r="AB296" s="640">
        <f>IF(G296&gt;=1,IF(F296&gt;1,C296*(F296-2),""),"")</f>
        <v/>
      </c>
      <c r="AC296" s="640" t="n"/>
      <c r="AD296" s="911">
        <f>IF(E296="YES",IF(G296=1,"",""),IF(G296=1,C296,IF(G296=2,C296,IF(G296=0,"",""))))</f>
        <v/>
      </c>
      <c r="AE296" s="911">
        <f>IF(E296="YES",IF(G296=1,"",IF(H296=1,C296,"")),IF(H296=1,C296,IF(H296=2,C296,IF(H296=0,"",""))))</f>
        <v/>
      </c>
      <c r="AF296" s="911">
        <f>IF(E296="YES",IF(I296=1,C296,""),IF(I296=1,C296,IF(I296=2,C296,IF(I296=0,"",""))))</f>
        <v/>
      </c>
      <c r="AG296" s="192">
        <f>(C296*G296)+(C296*H296)+(C296*I296)</f>
        <v/>
      </c>
    </row>
    <row r="297">
      <c r="A297" s="57" t="n"/>
      <c r="B297" s="57" t="n"/>
      <c r="C297" s="109" t="n"/>
      <c r="F297" s="57" t="n"/>
      <c r="J297" s="57" t="n"/>
      <c r="K297" s="57" t="n"/>
      <c r="L297" s="57" t="n"/>
      <c r="M297" s="57" t="n"/>
      <c r="N297" s="57" t="n"/>
      <c r="O297" s="57" t="n"/>
      <c r="AA297" s="640">
        <f>IF(G297=0, IF(OR(H297&gt;0,F297&gt;0),C297*F297,""),"")</f>
        <v/>
      </c>
      <c r="AB297" s="640">
        <f>IF(G297&gt;=1,IF(F297&gt;1,C297*(F297-2),""),"")</f>
        <v/>
      </c>
      <c r="AC297" s="640" t="n"/>
      <c r="AD297" s="911">
        <f>IF(E297="YES",IF(G297=1,"",""),IF(G297=1,C297,IF(G297=2,C297,IF(G297=0,"",""))))</f>
        <v/>
      </c>
      <c r="AE297" s="911">
        <f>IF(E297="YES",IF(G297=1,"",IF(H297=1,C297,"")),IF(H297=1,C297,IF(H297=2,C297,IF(H297=0,"",""))))</f>
        <v/>
      </c>
      <c r="AF297" s="911">
        <f>IF(E297="YES",IF(I297=1,C297,""),IF(I297=1,C297,IF(I297=2,C297,IF(I297=0,"",""))))</f>
        <v/>
      </c>
      <c r="AG297" s="192">
        <f>(C297*G297)+(C297*H297)+(C297*I297)</f>
        <v/>
      </c>
    </row>
    <row r="298">
      <c r="A298" s="57" t="n"/>
      <c r="B298" s="57" t="n"/>
      <c r="C298" s="109" t="n"/>
      <c r="F298" s="57" t="n"/>
      <c r="J298" s="57" t="n"/>
      <c r="K298" s="57" t="n"/>
      <c r="L298" s="57" t="n"/>
      <c r="M298" s="57" t="n"/>
      <c r="N298" s="57" t="n"/>
      <c r="O298" s="57" t="n"/>
      <c r="AA298" s="640">
        <f>IF(G298=0, IF(OR(H298&gt;0,F298&gt;0),C298*F298,""),"")</f>
        <v/>
      </c>
      <c r="AB298" s="640">
        <f>IF(G298&gt;=1,IF(F298&gt;1,C298*(F298-2),""),"")</f>
        <v/>
      </c>
      <c r="AC298" s="640" t="n"/>
      <c r="AD298" s="911">
        <f>IF(E298="YES",IF(G298=1,"",""),IF(G298=1,C298,IF(G298=2,C298,IF(G298=0,"",""))))</f>
        <v/>
      </c>
      <c r="AE298" s="911">
        <f>IF(E298="YES",IF(G298=1,"",IF(H298=1,C298,"")),IF(H298=1,C298,IF(H298=2,C298,IF(H298=0,"",""))))</f>
        <v/>
      </c>
      <c r="AF298" s="911">
        <f>IF(E298="YES",IF(I298=1,C298,""),IF(I298=1,C298,IF(I298=2,C298,IF(I298=0,"",""))))</f>
        <v/>
      </c>
      <c r="AG298" s="192">
        <f>(C298*G298)+(C298*H298)+(C298*I298)</f>
        <v/>
      </c>
    </row>
    <row r="299">
      <c r="A299" s="57" t="n"/>
      <c r="B299" s="57" t="n"/>
      <c r="C299" s="109" t="n"/>
      <c r="F299" s="57" t="n"/>
      <c r="J299" s="57" t="n"/>
      <c r="K299" s="57" t="n"/>
      <c r="L299" s="57" t="n"/>
      <c r="M299" s="57" t="n"/>
      <c r="N299" s="57" t="n"/>
      <c r="O299" s="57" t="n"/>
      <c r="AA299" s="640">
        <f>IF(G299=0, IF(OR(H299&gt;0,F299&gt;0),C299*F299,""),"")</f>
        <v/>
      </c>
      <c r="AB299" s="640">
        <f>IF(G299&gt;=1,IF(F299&gt;1,C299*(F299-2),""),"")</f>
        <v/>
      </c>
      <c r="AC299" s="640" t="n"/>
      <c r="AD299" s="911">
        <f>IF(E299="YES",IF(G299=1,"",""),IF(G299=1,C299,IF(G299=2,C299,IF(G299=0,"",""))))</f>
        <v/>
      </c>
      <c r="AE299" s="911">
        <f>IF(E299="YES",IF(G299=1,"",IF(H299=1,C299,"")),IF(H299=1,C299,IF(H299=2,C299,IF(H299=0,"",""))))</f>
        <v/>
      </c>
      <c r="AF299" s="911">
        <f>IF(E299="YES",IF(I299=1,C299,""),IF(I299=1,C299,IF(I299=2,C299,IF(I299=0,"",""))))</f>
        <v/>
      </c>
      <c r="AG299" s="192">
        <f>(C299*G299)+(C299*H299)+(C299*I299)</f>
        <v/>
      </c>
    </row>
    <row r="300">
      <c r="A300" s="57" t="n"/>
      <c r="B300" s="57" t="n"/>
      <c r="C300" s="109" t="n"/>
      <c r="F300" s="57" t="n"/>
      <c r="J300" s="57" t="n"/>
      <c r="K300" s="57" t="n"/>
      <c r="L300" s="57" t="n"/>
      <c r="M300" s="57" t="n"/>
      <c r="N300" s="57" t="n"/>
      <c r="O300" s="57" t="n"/>
      <c r="AA300" s="640">
        <f>IF(G300=0, IF(OR(H300&gt;0,F300&gt;0),C300*F300,""),"")</f>
        <v/>
      </c>
      <c r="AB300" s="640">
        <f>IF(G300&gt;=1,IF(F300&gt;1,C300*(F300-2),""),"")</f>
        <v/>
      </c>
      <c r="AC300" s="640" t="n"/>
      <c r="AD300" s="911">
        <f>IF(E300="YES",IF(G300=1,"",""),IF(G300=1,C300,IF(G300=2,C300,IF(G300=0,"",""))))</f>
        <v/>
      </c>
      <c r="AE300" s="911">
        <f>IF(E300="YES",IF(G300=1,"",IF(H300=1,C300,"")),IF(H300=1,C300,IF(H300=2,C300,IF(H300=0,"",""))))</f>
        <v/>
      </c>
      <c r="AF300" s="911">
        <f>IF(E300="YES",IF(I300=1,C300,""),IF(I300=1,C300,IF(I300=2,C300,IF(I300=0,"",""))))</f>
        <v/>
      </c>
      <c r="AG300" s="192">
        <f>(C300*G300)+(C300*H300)+(C300*I300)</f>
        <v/>
      </c>
    </row>
    <row r="301">
      <c r="A301" s="57" t="n"/>
      <c r="B301" s="57" t="n"/>
      <c r="C301" s="109" t="n"/>
      <c r="F301" s="57" t="n"/>
      <c r="J301" s="57" t="n"/>
      <c r="K301" s="57" t="n"/>
      <c r="L301" s="57" t="n"/>
      <c r="M301" s="57" t="n"/>
      <c r="N301" s="57" t="n"/>
      <c r="O301" s="57" t="n"/>
      <c r="AA301" s="640">
        <f>IF(G301=0, IF(OR(H301&gt;0,F301&gt;0),C301*F301,""),"")</f>
        <v/>
      </c>
      <c r="AB301" s="640">
        <f>IF(G301&gt;=1,IF(F301&gt;1,C301*(F301-2),""),"")</f>
        <v/>
      </c>
      <c r="AC301" s="640" t="n"/>
      <c r="AD301" s="911">
        <f>IF(E301="YES",IF(G301=1,"",""),IF(G301=1,C301,IF(G301=2,C301,IF(G301=0,"",""))))</f>
        <v/>
      </c>
      <c r="AE301" s="911">
        <f>IF(E301="YES",IF(G301=1,"",IF(H301=1,C301,"")),IF(H301=1,C301,IF(H301=2,C301,IF(H301=0,"",""))))</f>
        <v/>
      </c>
      <c r="AF301" s="911">
        <f>IF(E301="YES",IF(I301=1,C301,""),IF(I301=1,C301,IF(I301=2,C301,IF(I301=0,"",""))))</f>
        <v/>
      </c>
      <c r="AG301" s="192">
        <f>(C301*G301)+(C301*H301)+(C301*I301)</f>
        <v/>
      </c>
    </row>
    <row r="302">
      <c r="A302" s="57" t="n"/>
      <c r="B302" s="57" t="n"/>
      <c r="C302" s="109" t="n"/>
      <c r="F302" s="57" t="n"/>
      <c r="J302" s="57" t="n"/>
      <c r="K302" s="57" t="n"/>
      <c r="L302" s="57" t="n"/>
      <c r="M302" s="57" t="n"/>
      <c r="N302" s="57" t="n"/>
      <c r="O302" s="57" t="n"/>
      <c r="AA302" s="640">
        <f>IF(G302=0, IF(OR(H302&gt;0,F302&gt;0),C302*F302,""),"")</f>
        <v/>
      </c>
      <c r="AB302" s="640">
        <f>IF(G302&gt;=1,IF(F302&gt;1,C302*(F302-2),""),"")</f>
        <v/>
      </c>
      <c r="AC302" s="640" t="n"/>
      <c r="AD302" s="911">
        <f>IF(E302="YES",IF(G302=1,"",""),IF(G302=1,C302,IF(G302=2,C302,IF(G302=0,"",""))))</f>
        <v/>
      </c>
      <c r="AE302" s="911">
        <f>IF(E302="YES",IF(G302=1,"",IF(H302=1,C302,"")),IF(H302=1,C302,IF(H302=2,C302,IF(H302=0,"",""))))</f>
        <v/>
      </c>
      <c r="AF302" s="911">
        <f>IF(E302="YES",IF(I302=1,C302,""),IF(I302=1,C302,IF(I302=2,C302,IF(I302=0,"",""))))</f>
        <v/>
      </c>
      <c r="AG302" s="192">
        <f>(C302*G302)+(C302*H302)+(C302*I302)</f>
        <v/>
      </c>
    </row>
    <row r="303">
      <c r="A303" s="57" t="n"/>
      <c r="B303" s="57" t="n"/>
      <c r="C303" s="109" t="n"/>
      <c r="F303" s="57" t="n"/>
      <c r="J303" s="57" t="n"/>
      <c r="K303" s="57" t="n"/>
      <c r="L303" s="57" t="n"/>
      <c r="M303" s="57" t="n"/>
      <c r="N303" s="57" t="n"/>
      <c r="O303" s="57" t="n"/>
      <c r="AA303" s="640">
        <f>IF(G303=0, IF(OR(H303&gt;0,F303&gt;0),C303*F303,""),"")</f>
        <v/>
      </c>
      <c r="AB303" s="640">
        <f>IF(G303&gt;=1,IF(F303&gt;1,C303*(F303-2),""),"")</f>
        <v/>
      </c>
      <c r="AC303" s="640" t="n"/>
      <c r="AD303" s="911">
        <f>IF(E303="YES",IF(G303=1,"",""),IF(G303=1,C303,IF(G303=2,C303,IF(G303=0,"",""))))</f>
        <v/>
      </c>
      <c r="AE303" s="911">
        <f>IF(E303="YES",IF(G303=1,"",IF(H303=1,C303,"")),IF(H303=1,C303,IF(H303=2,C303,IF(H303=0,"",""))))</f>
        <v/>
      </c>
      <c r="AF303" s="911">
        <f>IF(E303="YES",IF(I303=1,C303,""),IF(I303=1,C303,IF(I303=2,C303,IF(I303=0,"",""))))</f>
        <v/>
      </c>
      <c r="AG303" s="192">
        <f>(C303*G303)+(C303*H303)+(C303*I303)</f>
        <v/>
      </c>
    </row>
    <row r="304">
      <c r="A304" s="57" t="n"/>
      <c r="B304" s="57" t="n"/>
      <c r="C304" s="109" t="n"/>
      <c r="F304" s="57" t="n"/>
      <c r="J304" s="57" t="n"/>
      <c r="K304" s="57" t="n"/>
      <c r="L304" s="57" t="n"/>
      <c r="M304" s="57" t="n"/>
      <c r="N304" s="57" t="n"/>
      <c r="O304" s="57" t="n"/>
      <c r="AA304" s="640">
        <f>IF(G304=0, IF(OR(H304&gt;0,F304&gt;0),C304*F304,""),"")</f>
        <v/>
      </c>
      <c r="AB304" s="640">
        <f>IF(G304&gt;=1,IF(F304&gt;1,C304*(F304-2),""),"")</f>
        <v/>
      </c>
      <c r="AC304" s="640" t="n"/>
      <c r="AD304" s="911">
        <f>IF(E304="YES",IF(G304=1,"",""),IF(G304=1,C304,IF(G304=2,C304,IF(G304=0,"",""))))</f>
        <v/>
      </c>
      <c r="AE304" s="911">
        <f>IF(E304="YES",IF(G304=1,"",IF(H304=1,C304,"")),IF(H304=1,C304,IF(H304=2,C304,IF(H304=0,"",""))))</f>
        <v/>
      </c>
      <c r="AF304" s="911">
        <f>IF(E304="YES",IF(I304=1,C304,""),IF(I304=1,C304,IF(I304=2,C304,IF(I304=0,"",""))))</f>
        <v/>
      </c>
      <c r="AG304" s="192">
        <f>(C304*G304)+(C304*H304)+(C304*I304)</f>
        <v/>
      </c>
    </row>
    <row r="305">
      <c r="A305" s="57" t="n"/>
      <c r="B305" s="57" t="n"/>
      <c r="C305" s="109" t="n"/>
      <c r="F305" s="57" t="n"/>
      <c r="J305" s="57" t="n"/>
      <c r="K305" s="57" t="n"/>
      <c r="L305" s="57" t="n"/>
      <c r="M305" s="57" t="n"/>
      <c r="N305" s="57" t="n"/>
      <c r="O305" s="57" t="n"/>
      <c r="AA305" s="640">
        <f>IF(G305=0, IF(OR(H305&gt;0,F305&gt;0),C305*F305,""),"")</f>
        <v/>
      </c>
      <c r="AB305" s="640">
        <f>IF(G305&gt;=1,IF(F305&gt;1,C305*(F305-2),""),"")</f>
        <v/>
      </c>
      <c r="AC305" s="640" t="n"/>
      <c r="AD305" s="911">
        <f>IF(E305="YES",IF(G305=1,"",""),IF(G305=1,C305,IF(G305=2,C305,IF(G305=0,"",""))))</f>
        <v/>
      </c>
      <c r="AE305" s="911">
        <f>IF(E305="YES",IF(G305=1,"",IF(H305=1,C305,"")),IF(H305=1,C305,IF(H305=2,C305,IF(H305=0,"",""))))</f>
        <v/>
      </c>
      <c r="AF305" s="911">
        <f>IF(E305="YES",IF(I305=1,C305,""),IF(I305=1,C305,IF(I305=2,C305,IF(I305=0,"",""))))</f>
        <v/>
      </c>
      <c r="AG305" s="192">
        <f>(C305*G305)+(C305*H305)+(C305*I305)</f>
        <v/>
      </c>
    </row>
    <row r="306">
      <c r="A306" s="57" t="n"/>
      <c r="B306" s="57" t="n"/>
      <c r="C306" s="109" t="n"/>
      <c r="F306" s="57" t="n"/>
      <c r="J306" s="57" t="n"/>
      <c r="K306" s="57" t="n"/>
      <c r="L306" s="57" t="n"/>
      <c r="M306" s="57" t="n"/>
      <c r="N306" s="57" t="n"/>
      <c r="O306" s="57" t="n"/>
      <c r="AA306" s="640">
        <f>IF(G306=0, IF(OR(H306&gt;0,F306&gt;0),C306*F306,""),"")</f>
        <v/>
      </c>
      <c r="AB306" s="640">
        <f>IF(G306&gt;=1,IF(F306&gt;1,C306*(F306-2),""),"")</f>
        <v/>
      </c>
      <c r="AC306" s="640" t="n"/>
      <c r="AD306" s="911">
        <f>IF(E306="YES",IF(G306=1,"",""),IF(G306=1,C306,IF(G306=2,C306,IF(G306=0,"",""))))</f>
        <v/>
      </c>
      <c r="AE306" s="911">
        <f>IF(E306="YES",IF(G306=1,"",IF(H306=1,C306,"")),IF(H306=1,C306,IF(H306=2,C306,IF(H306=0,"",""))))</f>
        <v/>
      </c>
      <c r="AF306" s="911">
        <f>IF(E306="YES",IF(I306=1,C306,""),IF(I306=1,C306,IF(I306=2,C306,IF(I306=0,"",""))))</f>
        <v/>
      </c>
      <c r="AG306" s="192">
        <f>(C306*G306)+(C306*H306)+(C306*I306)</f>
        <v/>
      </c>
    </row>
    <row r="307">
      <c r="A307" s="57" t="n"/>
      <c r="B307" s="57" t="n"/>
      <c r="C307" s="109" t="n"/>
      <c r="F307" s="57" t="n"/>
      <c r="J307" s="57" t="n"/>
      <c r="K307" s="57" t="n"/>
      <c r="L307" s="57" t="n"/>
      <c r="M307" s="57" t="n"/>
      <c r="N307" s="57" t="n"/>
      <c r="O307" s="57" t="n"/>
      <c r="AA307" s="640">
        <f>IF(G307=0, IF(OR(H307&gt;0,F307&gt;0),C307*F307,""),"")</f>
        <v/>
      </c>
      <c r="AB307" s="640">
        <f>IF(G307&gt;=1,IF(F307&gt;1,C307*(F307-2),""),"")</f>
        <v/>
      </c>
      <c r="AC307" s="640" t="n"/>
      <c r="AD307" s="911">
        <f>IF(E307="YES",IF(G307=1,"",""),IF(G307=1,C307,IF(G307=2,C307,IF(G307=0,"",""))))</f>
        <v/>
      </c>
      <c r="AE307" s="911">
        <f>IF(E307="YES",IF(G307=1,"",IF(H307=1,C307,"")),IF(H307=1,C307,IF(H307=2,C307,IF(H307=0,"",""))))</f>
        <v/>
      </c>
      <c r="AF307" s="911">
        <f>IF(E307="YES",IF(I307=1,C307,""),IF(I307=1,C307,IF(I307=2,C307,IF(I307=0,"",""))))</f>
        <v/>
      </c>
      <c r="AG307" s="192">
        <f>(C307*G307)+(C307*H307)+(C307*I307)</f>
        <v/>
      </c>
    </row>
    <row r="308">
      <c r="A308" s="57" t="n"/>
      <c r="B308" s="57" t="n"/>
      <c r="C308" s="109" t="n"/>
      <c r="F308" s="57" t="n"/>
      <c r="J308" s="57" t="n"/>
      <c r="K308" s="57" t="n"/>
      <c r="L308" s="57" t="n"/>
      <c r="M308" s="57" t="n"/>
      <c r="N308" s="57" t="n"/>
      <c r="O308" s="57" t="n"/>
      <c r="AA308" s="640">
        <f>IF(G308=0, IF(OR(H308&gt;0,F308&gt;0),C308*F308,""),"")</f>
        <v/>
      </c>
      <c r="AB308" s="640">
        <f>IF(G308&gt;=1,IF(F308&gt;1,C308*(F308-2),""),"")</f>
        <v/>
      </c>
      <c r="AC308" s="640" t="n"/>
      <c r="AD308" s="911">
        <f>IF(E308="YES",IF(G308=1,"",""),IF(G308=1,C308,IF(G308=2,C308,IF(G308=0,"",""))))</f>
        <v/>
      </c>
      <c r="AE308" s="911">
        <f>IF(E308="YES",IF(G308=1,"",IF(H308=1,C308,"")),IF(H308=1,C308,IF(H308=2,C308,IF(H308=0,"",""))))</f>
        <v/>
      </c>
      <c r="AF308" s="911">
        <f>IF(E308="YES",IF(I308=1,C308,""),IF(I308=1,C308,IF(I308=2,C308,IF(I308=0,"",""))))</f>
        <v/>
      </c>
      <c r="AG308" s="192">
        <f>(C308*G308)+(C308*H308)+(C308*I308)</f>
        <v/>
      </c>
    </row>
    <row r="309">
      <c r="A309" s="57" t="n"/>
      <c r="B309" s="57" t="n"/>
      <c r="C309" s="109" t="n"/>
      <c r="F309" s="57" t="n"/>
      <c r="J309" s="57" t="n"/>
      <c r="K309" s="57" t="n"/>
      <c r="L309" s="57" t="n"/>
      <c r="M309" s="57" t="n"/>
      <c r="N309" s="57" t="n"/>
      <c r="O309" s="57" t="n"/>
      <c r="AA309" s="640">
        <f>IF(G309=0, IF(OR(H309&gt;0,F309&gt;0),C309*F309,""),"")</f>
        <v/>
      </c>
      <c r="AB309" s="640">
        <f>IF(G309&gt;=1,IF(F309&gt;1,C309*(F309-2),""),"")</f>
        <v/>
      </c>
      <c r="AC309" s="640" t="n"/>
      <c r="AD309" s="911">
        <f>IF(E309="YES",IF(G309=1,"",""),IF(G309=1,C309,IF(G309=2,C309,IF(G309=0,"",""))))</f>
        <v/>
      </c>
      <c r="AE309" s="911">
        <f>IF(E309="YES",IF(G309=1,"",IF(H309=1,C309,"")),IF(H309=1,C309,IF(H309=2,C309,IF(H309=0,"",""))))</f>
        <v/>
      </c>
      <c r="AF309" s="911">
        <f>IF(E309="YES",IF(I309=1,C309,""),IF(I309=1,C309,IF(I309=2,C309,IF(I309=0,"",""))))</f>
        <v/>
      </c>
      <c r="AG309" s="192">
        <f>(C309*G309)+(C309*H309)+(C309*I309)</f>
        <v/>
      </c>
    </row>
    <row r="310">
      <c r="A310" s="57" t="n"/>
      <c r="B310" s="57" t="n"/>
      <c r="C310" s="109" t="n"/>
      <c r="F310" s="57" t="n"/>
      <c r="J310" s="57" t="n"/>
      <c r="K310" s="57" t="n"/>
      <c r="L310" s="57" t="n"/>
      <c r="M310" s="57" t="n"/>
      <c r="N310" s="57" t="n"/>
      <c r="O310" s="57" t="n"/>
      <c r="AA310" s="640">
        <f>IF(G310=0, IF(OR(H310&gt;0,F310&gt;0),C310*F310,""),"")</f>
        <v/>
      </c>
      <c r="AB310" s="640">
        <f>IF(G310&gt;=1,IF(F310&gt;1,C310*(F310-2),""),"")</f>
        <v/>
      </c>
      <c r="AC310" s="640" t="n"/>
      <c r="AD310" s="911">
        <f>IF(E310="YES",IF(G310=1,"",""),IF(G310=1,C310,IF(G310=2,C310,IF(G310=0,"",""))))</f>
        <v/>
      </c>
      <c r="AE310" s="911">
        <f>IF(E310="YES",IF(G310=1,"",IF(H310=1,C310,"")),IF(H310=1,C310,IF(H310=2,C310,IF(H310=0,"",""))))</f>
        <v/>
      </c>
      <c r="AF310" s="911">
        <f>IF(E310="YES",IF(I310=1,C310,""),IF(I310=1,C310,IF(I310=2,C310,IF(I310=0,"",""))))</f>
        <v/>
      </c>
      <c r="AG310" s="192">
        <f>(C310*G310)+(C310*H310)+(C310*I310)</f>
        <v/>
      </c>
    </row>
    <row r="311">
      <c r="A311" s="57" t="n"/>
      <c r="B311" s="57" t="n"/>
      <c r="C311" s="109" t="n"/>
      <c r="F311" s="57" t="n"/>
      <c r="J311" s="57" t="n"/>
      <c r="K311" s="57" t="n"/>
      <c r="L311" s="57" t="n"/>
      <c r="M311" s="57" t="n"/>
      <c r="N311" s="57" t="n"/>
      <c r="O311" s="57" t="n"/>
      <c r="AA311" s="640">
        <f>IF(G311=0, IF(OR(H311&gt;0,F311&gt;0),C311*F311,""),"")</f>
        <v/>
      </c>
      <c r="AB311" s="640">
        <f>IF(G311&gt;=1,IF(F311&gt;1,C311*(F311-2),""),"")</f>
        <v/>
      </c>
      <c r="AC311" s="640" t="n"/>
      <c r="AD311" s="911">
        <f>IF(E311="YES",IF(G311=1,"",""),IF(G311=1,C311,IF(G311=2,C311,IF(G311=0,"",""))))</f>
        <v/>
      </c>
      <c r="AE311" s="911">
        <f>IF(E311="YES",IF(G311=1,"",IF(H311=1,C311,"")),IF(H311=1,C311,IF(H311=2,C311,IF(H311=0,"",""))))</f>
        <v/>
      </c>
      <c r="AF311" s="911">
        <f>IF(E311="YES",IF(I311=1,C311,""),IF(I311=1,C311,IF(I311=2,C311,IF(I311=0,"",""))))</f>
        <v/>
      </c>
      <c r="AG311" s="192">
        <f>(C311*G311)+(C311*H311)+(C311*I311)</f>
        <v/>
      </c>
    </row>
    <row r="312">
      <c r="A312" s="57" t="n"/>
      <c r="B312" s="57" t="n"/>
      <c r="C312" s="109" t="n"/>
      <c r="F312" s="57" t="n"/>
      <c r="J312" s="57" t="n"/>
      <c r="K312" s="57" t="n"/>
      <c r="L312" s="57" t="n"/>
      <c r="M312" s="57" t="n"/>
      <c r="N312" s="57" t="n"/>
      <c r="O312" s="57" t="n"/>
      <c r="AA312" s="640">
        <f>IF(G312=0, IF(OR(H312&gt;0,F312&gt;0),C312*F312,""),"")</f>
        <v/>
      </c>
      <c r="AB312" s="640">
        <f>IF(G312&gt;=1,IF(F312&gt;1,C312*(F312-2),""),"")</f>
        <v/>
      </c>
      <c r="AC312" s="640" t="n"/>
      <c r="AD312" s="911">
        <f>IF(E312="YES",IF(G312=1,"",""),IF(G312=1,C312,IF(G312=2,C312,IF(G312=0,"",""))))</f>
        <v/>
      </c>
      <c r="AE312" s="911">
        <f>IF(E312="YES",IF(G312=1,"",IF(H312=1,C312,"")),IF(H312=1,C312,IF(H312=2,C312,IF(H312=0,"",""))))</f>
        <v/>
      </c>
      <c r="AF312" s="911">
        <f>IF(E312="YES",IF(I312=1,C312,""),IF(I312=1,C312,IF(I312=2,C312,IF(I312=0,"",""))))</f>
        <v/>
      </c>
      <c r="AG312" s="192">
        <f>(C312*G312)+(C312*H312)+(C312*I312)</f>
        <v/>
      </c>
    </row>
    <row r="313">
      <c r="A313" s="57" t="n"/>
      <c r="B313" s="57" t="n"/>
      <c r="C313" s="109" t="n"/>
      <c r="F313" s="57" t="n"/>
      <c r="J313" s="57" t="n"/>
      <c r="K313" s="57" t="n"/>
      <c r="L313" s="57" t="n"/>
      <c r="M313" s="57" t="n"/>
      <c r="N313" s="57" t="n"/>
      <c r="O313" s="57" t="n"/>
      <c r="AA313" s="640">
        <f>IF(G313=0, IF(OR(H313&gt;0,F313&gt;0),C313*F313,""),"")</f>
        <v/>
      </c>
      <c r="AB313" s="640">
        <f>IF(G313&gt;=1,IF(F313&gt;1,C313*(F313-2),""),"")</f>
        <v/>
      </c>
      <c r="AC313" s="640" t="n"/>
      <c r="AD313" s="911">
        <f>IF(E313="YES",IF(G313=1,"",""),IF(G313=1,C313,IF(G313=2,C313,IF(G313=0,"",""))))</f>
        <v/>
      </c>
      <c r="AE313" s="911">
        <f>IF(E313="YES",IF(G313=1,"",IF(H313=1,C313,"")),IF(H313=1,C313,IF(H313=2,C313,IF(H313=0,"",""))))</f>
        <v/>
      </c>
      <c r="AF313" s="911">
        <f>IF(E313="YES",IF(I313=1,C313,""),IF(I313=1,C313,IF(I313=2,C313,IF(I313=0,"",""))))</f>
        <v/>
      </c>
      <c r="AG313" s="192">
        <f>(C313*G313)+(C313*H313)+(C313*I313)</f>
        <v/>
      </c>
    </row>
    <row r="314">
      <c r="A314" s="57" t="n"/>
      <c r="B314" s="57" t="n"/>
      <c r="C314" s="109" t="n"/>
      <c r="F314" s="57" t="n"/>
      <c r="J314" s="57" t="n"/>
      <c r="K314" s="57" t="n"/>
      <c r="L314" s="57" t="n"/>
      <c r="M314" s="57" t="n"/>
      <c r="N314" s="57" t="n"/>
      <c r="O314" s="57" t="n"/>
      <c r="AA314" s="640">
        <f>IF(G314=0, IF(OR(H314&gt;0,F314&gt;0),C314*F314,""),"")</f>
        <v/>
      </c>
      <c r="AB314" s="640">
        <f>IF(G314&gt;=1,IF(F314&gt;1,C314*(F314-2),""),"")</f>
        <v/>
      </c>
      <c r="AC314" s="640" t="n"/>
      <c r="AD314" s="911">
        <f>IF(E314="YES",IF(G314=1,"",""),IF(G314=1,C314,IF(G314=2,C314,IF(G314=0,"",""))))</f>
        <v/>
      </c>
      <c r="AE314" s="911">
        <f>IF(E314="YES",IF(G314=1,"",IF(H314=1,C314,"")),IF(H314=1,C314,IF(H314=2,C314,IF(H314=0,"",""))))</f>
        <v/>
      </c>
      <c r="AF314" s="911">
        <f>IF(E314="YES",IF(I314=1,C314,""),IF(I314=1,C314,IF(I314=2,C314,IF(I314=0,"",""))))</f>
        <v/>
      </c>
      <c r="AG314" s="192">
        <f>(C314*G314)+(C314*H314)+(C314*I314)</f>
        <v/>
      </c>
    </row>
    <row r="315">
      <c r="A315" s="57" t="n"/>
      <c r="B315" s="57" t="n"/>
      <c r="C315" s="109" t="n"/>
      <c r="F315" s="57" t="n"/>
      <c r="J315" s="57" t="n"/>
      <c r="K315" s="57" t="n"/>
      <c r="L315" s="57" t="n"/>
      <c r="M315" s="57" t="n"/>
      <c r="N315" s="57" t="n"/>
      <c r="O315" s="57" t="n"/>
      <c r="AA315" s="640">
        <f>IF(G315=0, IF(OR(H315&gt;0,F315&gt;0),C315*F315,""),"")</f>
        <v/>
      </c>
      <c r="AB315" s="640">
        <f>IF(G315&gt;=1,IF(F315&gt;1,C315*(F315-2),""),"")</f>
        <v/>
      </c>
      <c r="AC315" s="640" t="n"/>
      <c r="AD315" s="911">
        <f>IF(E315="YES",IF(G315=1,"",""),IF(G315=1,C315,IF(G315=2,C315,IF(G315=0,"",""))))</f>
        <v/>
      </c>
      <c r="AE315" s="911">
        <f>IF(E315="YES",IF(G315=1,"",IF(H315=1,C315,"")),IF(H315=1,C315,IF(H315=2,C315,IF(H315=0,"",""))))</f>
        <v/>
      </c>
      <c r="AF315" s="911">
        <f>IF(E315="YES",IF(I315=1,C315,""),IF(I315=1,C315,IF(I315=2,C315,IF(I315=0,"",""))))</f>
        <v/>
      </c>
      <c r="AG315" s="192">
        <f>(C315*G315)+(C315*H315)+(C315*I315)</f>
        <v/>
      </c>
    </row>
    <row r="316">
      <c r="A316" s="57" t="n"/>
      <c r="B316" s="57" t="n"/>
      <c r="C316" s="109" t="n"/>
      <c r="F316" s="57" t="n"/>
      <c r="J316" s="57" t="n"/>
      <c r="K316" s="57" t="n"/>
      <c r="L316" s="57" t="n"/>
      <c r="M316" s="57" t="n"/>
      <c r="N316" s="57" t="n"/>
      <c r="O316" s="57" t="n"/>
      <c r="AA316" s="640">
        <f>IF(G316=0, IF(OR(H316&gt;0,F316&gt;0),C316*F316,""),"")</f>
        <v/>
      </c>
      <c r="AB316" s="640">
        <f>IF(G316&gt;=1,IF(F316&gt;1,C316*(F316-2),""),"")</f>
        <v/>
      </c>
      <c r="AC316" s="640" t="n"/>
      <c r="AD316" s="911">
        <f>IF(E316="YES",IF(G316=1,"",""),IF(G316=1,C316,IF(G316=2,C316,IF(G316=0,"",""))))</f>
        <v/>
      </c>
      <c r="AE316" s="911">
        <f>IF(E316="YES",IF(G316=1,"",IF(H316=1,C316,"")),IF(H316=1,C316,IF(H316=2,C316,IF(H316=0,"",""))))</f>
        <v/>
      </c>
      <c r="AF316" s="911">
        <f>IF(E316="YES",IF(I316=1,C316,""),IF(I316=1,C316,IF(I316=2,C316,IF(I316=0,"",""))))</f>
        <v/>
      </c>
      <c r="AG316" s="192">
        <f>(C316*G316)+(C316*H316)+(C316*I316)</f>
        <v/>
      </c>
    </row>
    <row r="317">
      <c r="A317" s="57" t="n"/>
      <c r="B317" s="57" t="n"/>
      <c r="C317" s="109" t="n"/>
      <c r="F317" s="57" t="n"/>
      <c r="J317" s="57" t="n"/>
      <c r="K317" s="57" t="n"/>
      <c r="L317" s="57" t="n"/>
      <c r="M317" s="57" t="n"/>
      <c r="N317" s="57" t="n"/>
      <c r="O317" s="57" t="n"/>
      <c r="AA317" s="640">
        <f>IF(G317=0, IF(OR(H317&gt;0,F317&gt;0),C317*F317,""),"")</f>
        <v/>
      </c>
      <c r="AB317" s="640">
        <f>IF(G317&gt;=1,IF(F317&gt;1,C317*(F317-2),""),"")</f>
        <v/>
      </c>
      <c r="AC317" s="640" t="n"/>
      <c r="AD317" s="911">
        <f>IF(E317="YES",IF(G317=1,"",""),IF(G317=1,C317,IF(G317=2,C317,IF(G317=0,"",""))))</f>
        <v/>
      </c>
      <c r="AE317" s="911">
        <f>IF(E317="YES",IF(G317=1,"",IF(H317=1,C317,"")),IF(H317=1,C317,IF(H317=2,C317,IF(H317=0,"",""))))</f>
        <v/>
      </c>
      <c r="AF317" s="911">
        <f>IF(E317="YES",IF(I317=1,C317,""),IF(I317=1,C317,IF(I317=2,C317,IF(I317=0,"",""))))</f>
        <v/>
      </c>
      <c r="AG317" s="192">
        <f>(C317*G317)+(C317*H317)+(C317*I317)</f>
        <v/>
      </c>
    </row>
    <row r="318">
      <c r="A318" s="57" t="n"/>
      <c r="B318" s="57" t="n"/>
      <c r="C318" s="109" t="n"/>
      <c r="F318" s="57" t="n"/>
      <c r="J318" s="57" t="n"/>
      <c r="K318" s="57" t="n"/>
      <c r="L318" s="57" t="n"/>
      <c r="M318" s="57" t="n"/>
      <c r="N318" s="57" t="n"/>
      <c r="O318" s="57" t="n"/>
      <c r="AA318" s="640">
        <f>IF(G318=0, IF(OR(H318&gt;0,F318&gt;0),C318*F318,""),"")</f>
        <v/>
      </c>
      <c r="AB318" s="640">
        <f>IF(G318&gt;=1,IF(F318&gt;1,C318*(F318-2),""),"")</f>
        <v/>
      </c>
      <c r="AC318" s="640" t="n"/>
      <c r="AD318" s="911">
        <f>IF(E318="YES",IF(G318=1,"",""),IF(G318=1,C318,IF(G318=2,C318,IF(G318=0,"",""))))</f>
        <v/>
      </c>
      <c r="AE318" s="911">
        <f>IF(E318="YES",IF(G318=1,"",IF(H318=1,C318,"")),IF(H318=1,C318,IF(H318=2,C318,IF(H318=0,"",""))))</f>
        <v/>
      </c>
      <c r="AF318" s="911">
        <f>IF(E318="YES",IF(I318=1,C318,""),IF(I318=1,C318,IF(I318=2,C318,IF(I318=0,"",""))))</f>
        <v/>
      </c>
      <c r="AG318" s="192">
        <f>(C318*G318)+(C318*H318)+(C318*I318)</f>
        <v/>
      </c>
    </row>
    <row r="319">
      <c r="A319" s="57" t="n"/>
      <c r="B319" s="57" t="n"/>
      <c r="C319" s="109" t="n"/>
      <c r="F319" s="57" t="n"/>
      <c r="J319" s="57" t="n"/>
      <c r="K319" s="57" t="n"/>
      <c r="L319" s="57" t="n"/>
      <c r="M319" s="57" t="n"/>
      <c r="N319" s="57" t="n"/>
      <c r="O319" s="57" t="n"/>
      <c r="AA319" s="640">
        <f>IF(G319=0, IF(OR(H319&gt;0,F319&gt;0),C319*F319,""),"")</f>
        <v/>
      </c>
      <c r="AB319" s="640">
        <f>IF(G319&gt;=1,IF(F319&gt;1,C319*(F319-2),""),"")</f>
        <v/>
      </c>
      <c r="AC319" s="640" t="n"/>
      <c r="AD319" s="911">
        <f>IF(E319="YES",IF(G319=1,"",""),IF(G319=1,C319,IF(G319=2,C319,IF(G319=0,"",""))))</f>
        <v/>
      </c>
      <c r="AE319" s="911">
        <f>IF(E319="YES",IF(G319=1,"",IF(H319=1,C319,"")),IF(H319=1,C319,IF(H319=2,C319,IF(H319=0,"",""))))</f>
        <v/>
      </c>
      <c r="AF319" s="911">
        <f>IF(E319="YES",IF(I319=1,C319,""),IF(I319=1,C319,IF(I319=2,C319,IF(I319=0,"",""))))</f>
        <v/>
      </c>
      <c r="AG319" s="192">
        <f>(C319*G319)+(C319*H319)+(C319*I319)</f>
        <v/>
      </c>
    </row>
    <row r="320">
      <c r="A320" s="57" t="n"/>
      <c r="B320" s="57" t="n"/>
      <c r="C320" s="109" t="n"/>
      <c r="F320" s="57" t="n"/>
      <c r="J320" s="57" t="n"/>
      <c r="K320" s="57" t="n"/>
      <c r="L320" s="57" t="n"/>
      <c r="M320" s="57" t="n"/>
      <c r="N320" s="57" t="n"/>
      <c r="O320" s="57" t="n"/>
      <c r="AA320" s="640">
        <f>IF(G320=0, IF(OR(H320&gt;0,F320&gt;0),C320*F320,""),"")</f>
        <v/>
      </c>
      <c r="AB320" s="640">
        <f>IF(G320&gt;=1,IF(F320&gt;1,C320*(F320-2),""),"")</f>
        <v/>
      </c>
      <c r="AC320" s="640" t="n"/>
      <c r="AD320" s="911">
        <f>IF(E320="YES",IF(G320=1,"",""),IF(G320=1,C320,IF(G320=2,C320,IF(G320=0,"",""))))</f>
        <v/>
      </c>
      <c r="AE320" s="911">
        <f>IF(E320="YES",IF(G320=1,"",IF(H320=1,C320,"")),IF(H320=1,C320,IF(H320=2,C320,IF(H320=0,"",""))))</f>
        <v/>
      </c>
      <c r="AF320" s="911">
        <f>IF(E320="YES",IF(I320=1,C320,""),IF(I320=1,C320,IF(I320=2,C320,IF(I320=0,"",""))))</f>
        <v/>
      </c>
      <c r="AG320" s="192">
        <f>(C320*G320)+(C320*H320)+(C320*I320)</f>
        <v/>
      </c>
    </row>
    <row r="321">
      <c r="A321" s="57" t="n"/>
      <c r="B321" s="57" t="n"/>
      <c r="C321" s="109" t="n"/>
      <c r="F321" s="57" t="n"/>
      <c r="J321" s="57" t="n"/>
      <c r="K321" s="57" t="n"/>
      <c r="L321" s="57" t="n"/>
      <c r="M321" s="57" t="n"/>
      <c r="N321" s="57" t="n"/>
      <c r="O321" s="57" t="n"/>
      <c r="AA321" s="640">
        <f>IF(G321=0, IF(OR(H321&gt;0,F321&gt;0),C321*F321,""),"")</f>
        <v/>
      </c>
      <c r="AB321" s="640">
        <f>IF(G321&gt;=1,IF(F321&gt;1,C321*(F321-2),""),"")</f>
        <v/>
      </c>
      <c r="AC321" s="640" t="n"/>
      <c r="AD321" s="911">
        <f>IF(E321="YES",IF(G321=1,"",""),IF(G321=1,C321,IF(G321=2,C321,IF(G321=0,"",""))))</f>
        <v/>
      </c>
      <c r="AE321" s="911">
        <f>IF(E321="YES",IF(G321=1,"",IF(H321=1,C321,"")),IF(H321=1,C321,IF(H321=2,C321,IF(H321=0,"",""))))</f>
        <v/>
      </c>
      <c r="AF321" s="911">
        <f>IF(E321="YES",IF(I321=1,C321,""),IF(I321=1,C321,IF(I321=2,C321,IF(I321=0,"",""))))</f>
        <v/>
      </c>
      <c r="AG321" s="192">
        <f>(C321*G321)+(C321*H321)+(C321*I321)</f>
        <v/>
      </c>
    </row>
    <row r="322">
      <c r="A322" s="57" t="n"/>
      <c r="B322" s="57" t="n"/>
      <c r="C322" s="109" t="n"/>
      <c r="F322" s="57" t="n"/>
      <c r="J322" s="57" t="n"/>
      <c r="K322" s="57" t="n"/>
      <c r="L322" s="57" t="n"/>
      <c r="M322" s="57" t="n"/>
      <c r="N322" s="57" t="n"/>
      <c r="O322" s="57" t="n"/>
      <c r="AA322" s="640">
        <f>IF(G322=0, IF(OR(H322&gt;0,F322&gt;0),C322*F322,""),"")</f>
        <v/>
      </c>
      <c r="AB322" s="640">
        <f>IF(G322&gt;=1,IF(F322&gt;1,C322*(F322-2),""),"")</f>
        <v/>
      </c>
      <c r="AC322" s="640" t="n"/>
      <c r="AD322" s="911">
        <f>IF(E322="YES",IF(G322=1,"",""),IF(G322=1,C322,IF(G322=2,C322,IF(G322=0,"",""))))</f>
        <v/>
      </c>
      <c r="AE322" s="911">
        <f>IF(E322="YES",IF(G322=1,"",IF(H322=1,C322,"")),IF(H322=1,C322,IF(H322=2,C322,IF(H322=0,"",""))))</f>
        <v/>
      </c>
      <c r="AF322" s="911">
        <f>IF(E322="YES",IF(I322=1,C322,""),IF(I322=1,C322,IF(I322=2,C322,IF(I322=0,"",""))))</f>
        <v/>
      </c>
      <c r="AG322" s="192">
        <f>(C322*G322)+(C322*H322)+(C322*I322)</f>
        <v/>
      </c>
    </row>
    <row r="323">
      <c r="A323" s="57" t="n"/>
      <c r="B323" s="57" t="n"/>
      <c r="C323" s="109" t="n"/>
      <c r="F323" s="57" t="n"/>
      <c r="J323" s="57" t="n"/>
      <c r="K323" s="57" t="n"/>
      <c r="L323" s="57" t="n"/>
      <c r="M323" s="57" t="n"/>
      <c r="N323" s="57" t="n"/>
      <c r="O323" s="57" t="n"/>
      <c r="AA323" s="640">
        <f>IF(G323=0, IF(OR(H323&gt;0,F323&gt;0),C323*F323,""),"")</f>
        <v/>
      </c>
      <c r="AB323" s="640">
        <f>IF(G323&gt;=1,IF(F323&gt;1,C323*(F323-2),""),"")</f>
        <v/>
      </c>
      <c r="AC323" s="640" t="n"/>
      <c r="AD323" s="911">
        <f>IF(E323="YES",IF(G323=1,"",""),IF(G323=1,C323,IF(G323=2,C323,IF(G323=0,"",""))))</f>
        <v/>
      </c>
      <c r="AE323" s="911">
        <f>IF(E323="YES",IF(G323=1,"",IF(H323=1,C323,"")),IF(H323=1,C323,IF(H323=2,C323,IF(H323=0,"",""))))</f>
        <v/>
      </c>
      <c r="AF323" s="911">
        <f>IF(E323="YES",IF(I323=1,C323,""),IF(I323=1,C323,IF(I323=2,C323,IF(I323=0,"",""))))</f>
        <v/>
      </c>
      <c r="AG323" s="192">
        <f>(C323*G323)+(C323*H323)+(C323*I323)</f>
        <v/>
      </c>
    </row>
    <row r="324">
      <c r="A324" s="57" t="n"/>
      <c r="B324" s="57" t="n"/>
      <c r="C324" s="109" t="n"/>
      <c r="F324" s="57" t="n"/>
      <c r="J324" s="57" t="n"/>
      <c r="K324" s="57" t="n"/>
      <c r="L324" s="57" t="n"/>
      <c r="M324" s="57" t="n"/>
      <c r="N324" s="57" t="n"/>
      <c r="O324" s="57" t="n"/>
      <c r="AA324" s="640">
        <f>IF(G324=0, IF(OR(H324&gt;0,F324&gt;0),C324*F324,""),"")</f>
        <v/>
      </c>
      <c r="AB324" s="640">
        <f>IF(G324&gt;=1,IF(F324&gt;1,C324*(F324-2),""),"")</f>
        <v/>
      </c>
      <c r="AC324" s="640" t="n"/>
      <c r="AD324" s="911">
        <f>IF(E324="YES",IF(G324=1,"",""),IF(G324=1,C324,IF(G324=2,C324,IF(G324=0,"",""))))</f>
        <v/>
      </c>
      <c r="AE324" s="911">
        <f>IF(E324="YES",IF(G324=1,"",IF(H324=1,C324,"")),IF(H324=1,C324,IF(H324=2,C324,IF(H324=0,"",""))))</f>
        <v/>
      </c>
      <c r="AF324" s="911">
        <f>IF(E324="YES",IF(I324=1,C324,""),IF(I324=1,C324,IF(I324=2,C324,IF(I324=0,"",""))))</f>
        <v/>
      </c>
      <c r="AG324" s="192">
        <f>(C324*G324)+(C324*H324)+(C324*I324)</f>
        <v/>
      </c>
    </row>
    <row r="325">
      <c r="A325" s="57" t="n"/>
      <c r="B325" s="57" t="n"/>
      <c r="C325" s="109" t="n"/>
      <c r="F325" s="57" t="n"/>
      <c r="J325" s="57" t="n"/>
      <c r="K325" s="57" t="n"/>
      <c r="L325" s="57" t="n"/>
      <c r="M325" s="57" t="n"/>
      <c r="N325" s="57" t="n"/>
      <c r="O325" s="57" t="n"/>
      <c r="AA325" s="640">
        <f>IF(G325=0, IF(OR(H325&gt;0,F325&gt;0),C325*F325,""),"")</f>
        <v/>
      </c>
      <c r="AB325" s="640">
        <f>IF(G325&gt;=1,IF(F325&gt;1,C325*(F325-2),""),"")</f>
        <v/>
      </c>
      <c r="AC325" s="640" t="n"/>
      <c r="AD325" s="911">
        <f>IF(E325="YES",IF(G325=1,"",""),IF(G325=1,C325,IF(G325=2,C325,IF(G325=0,"",""))))</f>
        <v/>
      </c>
      <c r="AE325" s="911">
        <f>IF(E325="YES",IF(G325=1,"",IF(H325=1,C325,"")),IF(H325=1,C325,IF(H325=2,C325,IF(H325=0,"",""))))</f>
        <v/>
      </c>
      <c r="AF325" s="911">
        <f>IF(E325="YES",IF(I325=1,C325,""),IF(I325=1,C325,IF(I325=2,C325,IF(I325=0,"",""))))</f>
        <v/>
      </c>
      <c r="AG325" s="192">
        <f>(C325*G325)+(C325*H325)+(C325*I325)</f>
        <v/>
      </c>
    </row>
    <row r="326">
      <c r="A326" s="57" t="n"/>
      <c r="B326" s="57" t="n"/>
      <c r="C326" s="109" t="n"/>
      <c r="F326" s="57" t="n"/>
      <c r="J326" s="57" t="n"/>
      <c r="K326" s="57" t="n"/>
      <c r="L326" s="57" t="n"/>
      <c r="M326" s="57" t="n"/>
      <c r="N326" s="57" t="n"/>
      <c r="O326" s="57" t="n"/>
      <c r="AA326" s="640">
        <f>IF(G326=0, IF(OR(H326&gt;0,F326&gt;0),C326*F326,""),"")</f>
        <v/>
      </c>
      <c r="AB326" s="640">
        <f>IF(G326&gt;=1,IF(F326&gt;1,C326*(F326-2),""),"")</f>
        <v/>
      </c>
      <c r="AC326" s="640" t="n"/>
      <c r="AD326" s="911">
        <f>IF(E326="YES",IF(G326=1,"",""),IF(G326=1,C326,IF(G326=2,C326,IF(G326=0,"",""))))</f>
        <v/>
      </c>
      <c r="AE326" s="911">
        <f>IF(E326="YES",IF(G326=1,"",IF(H326=1,C326,"")),IF(H326=1,C326,IF(H326=2,C326,IF(H326=0,"",""))))</f>
        <v/>
      </c>
      <c r="AF326" s="911">
        <f>IF(E326="YES",IF(I326=1,C326,""),IF(I326=1,C326,IF(I326=2,C326,IF(I326=0,"",""))))</f>
        <v/>
      </c>
      <c r="AG326" s="192">
        <f>(C326*G326)+(C326*H326)+(C326*I326)</f>
        <v/>
      </c>
    </row>
    <row r="327">
      <c r="A327" s="57" t="n"/>
      <c r="B327" s="57" t="n"/>
      <c r="C327" s="109" t="n"/>
      <c r="F327" s="57" t="n"/>
      <c r="J327" s="57" t="n"/>
      <c r="K327" s="57" t="n"/>
      <c r="L327" s="57" t="n"/>
      <c r="M327" s="57" t="n"/>
      <c r="N327" s="57" t="n"/>
      <c r="O327" s="57" t="n"/>
      <c r="AA327" s="640">
        <f>IF(G327=0, IF(OR(H327&gt;0,F327&gt;0),C327*F327,""),"")</f>
        <v/>
      </c>
      <c r="AB327" s="640">
        <f>IF(G327&gt;=1,IF(F327&gt;1,C327*(F327-2),""),"")</f>
        <v/>
      </c>
      <c r="AC327" s="640" t="n"/>
      <c r="AD327" s="911">
        <f>IF(E327="YES",IF(G327=1,"",""),IF(G327=1,C327,IF(G327=2,C327,IF(G327=0,"",""))))</f>
        <v/>
      </c>
      <c r="AE327" s="911">
        <f>IF(E327="YES",IF(G327=1,"",IF(H327=1,C327,"")),IF(H327=1,C327,IF(H327=2,C327,IF(H327=0,"",""))))</f>
        <v/>
      </c>
      <c r="AF327" s="911">
        <f>IF(E327="YES",IF(I327=1,C327,""),IF(I327=1,C327,IF(I327=2,C327,IF(I327=0,"",""))))</f>
        <v/>
      </c>
      <c r="AG327" s="192">
        <f>(C327*G327)+(C327*H327)+(C327*I327)</f>
        <v/>
      </c>
    </row>
    <row r="328">
      <c r="A328" s="57" t="n"/>
      <c r="B328" s="57" t="n"/>
      <c r="C328" s="109" t="n"/>
      <c r="F328" s="57" t="n"/>
      <c r="J328" s="57" t="n"/>
      <c r="K328" s="57" t="n"/>
      <c r="L328" s="57" t="n"/>
      <c r="M328" s="57" t="n"/>
      <c r="N328" s="57" t="n"/>
      <c r="O328" s="57" t="n"/>
      <c r="AA328" s="640">
        <f>IF(G328=0, IF(OR(H328&gt;0,F328&gt;0),C328*F328,""),"")</f>
        <v/>
      </c>
      <c r="AB328" s="640">
        <f>IF(G328&gt;=1,IF(F328&gt;1,C328*(F328-2),""),"")</f>
        <v/>
      </c>
      <c r="AC328" s="640" t="n"/>
      <c r="AD328" s="911">
        <f>IF(E328="YES",IF(G328=1,"",""),IF(G328=1,C328,IF(G328=2,C328,IF(G328=0,"",""))))</f>
        <v/>
      </c>
      <c r="AE328" s="911">
        <f>IF(E328="YES",IF(G328=1,"",IF(H328=1,C328,"")),IF(H328=1,C328,IF(H328=2,C328,IF(H328=0,"",""))))</f>
        <v/>
      </c>
      <c r="AF328" s="911">
        <f>IF(E328="YES",IF(I328=1,C328,""),IF(I328=1,C328,IF(I328=2,C328,IF(I328=0,"",""))))</f>
        <v/>
      </c>
      <c r="AG328" s="192">
        <f>(C328*G328)+(C328*H328)+(C328*I328)</f>
        <v/>
      </c>
    </row>
    <row r="329">
      <c r="A329" s="57" t="n"/>
      <c r="B329" s="57" t="n"/>
      <c r="C329" s="109" t="n"/>
      <c r="F329" s="57" t="n"/>
      <c r="J329" s="57" t="n"/>
      <c r="K329" s="57" t="n"/>
      <c r="L329" s="57" t="n"/>
      <c r="M329" s="57" t="n"/>
      <c r="N329" s="57" t="n"/>
      <c r="O329" s="57" t="n"/>
      <c r="AA329" s="640">
        <f>IF(G329=0, IF(OR(H329&gt;0,F329&gt;0),C329*F329,""),"")</f>
        <v/>
      </c>
      <c r="AB329" s="640">
        <f>IF(G329&gt;=1,IF(F329&gt;1,C329*(F329-2),""),"")</f>
        <v/>
      </c>
      <c r="AC329" s="640" t="n"/>
      <c r="AD329" s="911">
        <f>IF(E329="YES",IF(G329=1,"",""),IF(G329=1,C329,IF(G329=2,C329,IF(G329=0,"",""))))</f>
        <v/>
      </c>
      <c r="AE329" s="911">
        <f>IF(E329="YES",IF(G329=1,"",IF(H329=1,C329,"")),IF(H329=1,C329,IF(H329=2,C329,IF(H329=0,"",""))))</f>
        <v/>
      </c>
      <c r="AF329" s="911">
        <f>IF(E329="YES",IF(I329=1,C329,""),IF(I329=1,C329,IF(I329=2,C329,IF(I329=0,"",""))))</f>
        <v/>
      </c>
      <c r="AG329" s="192">
        <f>(C329*G329)+(C329*H329)+(C329*I329)</f>
        <v/>
      </c>
    </row>
    <row r="330">
      <c r="A330" s="57" t="n"/>
      <c r="B330" s="57" t="n"/>
      <c r="C330" s="109" t="n"/>
      <c r="F330" s="57" t="n"/>
      <c r="J330" s="57" t="n"/>
      <c r="K330" s="57" t="n"/>
      <c r="L330" s="57" t="n"/>
      <c r="M330" s="57" t="n"/>
      <c r="N330" s="57" t="n"/>
      <c r="O330" s="57" t="n"/>
      <c r="AA330" s="640">
        <f>IF(G330=0, IF(OR(H330&gt;0,F330&gt;0),C330*F330,""),"")</f>
        <v/>
      </c>
      <c r="AB330" s="640">
        <f>IF(G330&gt;=1,IF(F330&gt;1,C330*(F330-2),""),"")</f>
        <v/>
      </c>
      <c r="AC330" s="640" t="n"/>
      <c r="AD330" s="911">
        <f>IF(E330="YES",IF(G330=1,"",""),IF(G330=1,C330,IF(G330=2,C330,IF(G330=0,"",""))))</f>
        <v/>
      </c>
      <c r="AE330" s="911">
        <f>IF(E330="YES",IF(G330=1,"",IF(H330=1,C330,"")),IF(H330=1,C330,IF(H330=2,C330,IF(H330=0,"",""))))</f>
        <v/>
      </c>
      <c r="AF330" s="911">
        <f>IF(E330="YES",IF(I330=1,C330,""),IF(I330=1,C330,IF(I330=2,C330,IF(I330=0,"",""))))</f>
        <v/>
      </c>
      <c r="AG330" s="192">
        <f>(C330*G330)+(C330*H330)+(C330*I330)</f>
        <v/>
      </c>
    </row>
    <row r="331">
      <c r="A331" s="57" t="n"/>
      <c r="B331" s="57" t="n"/>
      <c r="C331" s="109" t="n"/>
      <c r="F331" s="57" t="n"/>
      <c r="J331" s="57" t="n"/>
      <c r="K331" s="57" t="n"/>
      <c r="L331" s="57" t="n"/>
      <c r="M331" s="57" t="n"/>
      <c r="N331" s="57" t="n"/>
      <c r="O331" s="57" t="n"/>
      <c r="AA331" s="640">
        <f>IF(G331=0, IF(OR(H331&gt;0,F331&gt;0),C331*F331,""),"")</f>
        <v/>
      </c>
      <c r="AB331" s="640">
        <f>IF(G331&gt;=1,IF(F331&gt;1,C331*(F331-2),""),"")</f>
        <v/>
      </c>
      <c r="AC331" s="640" t="n"/>
      <c r="AD331" s="911">
        <f>IF(E331="YES",IF(G331=1,"",""),IF(G331=1,C331,IF(G331=2,C331,IF(G331=0,"",""))))</f>
        <v/>
      </c>
      <c r="AE331" s="911">
        <f>IF(E331="YES",IF(G331=1,"",IF(H331=1,C331,"")),IF(H331=1,C331,IF(H331=2,C331,IF(H331=0,"",""))))</f>
        <v/>
      </c>
      <c r="AF331" s="911">
        <f>IF(E331="YES",IF(I331=1,C331,""),IF(I331=1,C331,IF(I331=2,C331,IF(I331=0,"",""))))</f>
        <v/>
      </c>
      <c r="AG331" s="192">
        <f>(C331*G331)+(C331*H331)+(C331*I331)</f>
        <v/>
      </c>
    </row>
    <row r="332">
      <c r="A332" s="57" t="n"/>
      <c r="B332" s="57" t="n"/>
      <c r="C332" s="109" t="n"/>
      <c r="F332" s="57" t="n"/>
      <c r="J332" s="57" t="n"/>
      <c r="K332" s="57" t="n"/>
      <c r="L332" s="57" t="n"/>
      <c r="M332" s="57" t="n"/>
      <c r="N332" s="57" t="n"/>
      <c r="O332" s="57" t="n"/>
      <c r="AA332" s="640">
        <f>IF(G332=0, IF(OR(H332&gt;0,F332&gt;0),C332*F332,""),"")</f>
        <v/>
      </c>
      <c r="AB332" s="640">
        <f>IF(G332&gt;=1,IF(F332&gt;1,C332*(F332-2),""),"")</f>
        <v/>
      </c>
      <c r="AC332" s="640" t="n"/>
      <c r="AD332" s="911">
        <f>IF(E332="YES",IF(G332=1,"",""),IF(G332=1,C332,IF(G332=2,C332,IF(G332=0,"",""))))</f>
        <v/>
      </c>
      <c r="AE332" s="911">
        <f>IF(E332="YES",IF(G332=1,"",IF(H332=1,C332,"")),IF(H332=1,C332,IF(H332=2,C332,IF(H332=0,"",""))))</f>
        <v/>
      </c>
      <c r="AF332" s="911">
        <f>IF(E332="YES",IF(I332=1,C332,""),IF(I332=1,C332,IF(I332=2,C332,IF(I332=0,"",""))))</f>
        <v/>
      </c>
      <c r="AG332" s="192">
        <f>(C332*G332)+(C332*H332)+(C332*I332)</f>
        <v/>
      </c>
    </row>
    <row r="333">
      <c r="A333" s="57" t="n"/>
      <c r="B333" s="57" t="n"/>
      <c r="C333" s="109" t="n"/>
      <c r="F333" s="57" t="n"/>
      <c r="J333" s="57" t="n"/>
      <c r="K333" s="57" t="n"/>
      <c r="L333" s="57" t="n"/>
      <c r="M333" s="57" t="n"/>
      <c r="N333" s="57" t="n"/>
      <c r="O333" s="57" t="n"/>
      <c r="AA333" s="640">
        <f>IF(G333=0, IF(OR(H333&gt;0,F333&gt;0),C333*F333,""),"")</f>
        <v/>
      </c>
      <c r="AB333" s="640">
        <f>IF(G333&gt;=1,IF(F333&gt;1,C333*(F333-2),""),"")</f>
        <v/>
      </c>
      <c r="AC333" s="640" t="n"/>
      <c r="AD333" s="911">
        <f>IF(E333="YES",IF(G333=1,"",""),IF(G333=1,C333,IF(G333=2,C333,IF(G333=0,"",""))))</f>
        <v/>
      </c>
      <c r="AE333" s="911">
        <f>IF(E333="YES",IF(G333=1,"",IF(H333=1,C333,"")),IF(H333=1,C333,IF(H333=2,C333,IF(H333=0,"",""))))</f>
        <v/>
      </c>
      <c r="AF333" s="911">
        <f>IF(E333="YES",IF(I333=1,C333,""),IF(I333=1,C333,IF(I333=2,C333,IF(I333=0,"",""))))</f>
        <v/>
      </c>
      <c r="AG333" s="192">
        <f>(C333*G333)+(C333*H333)+(C333*I333)</f>
        <v/>
      </c>
    </row>
    <row r="334">
      <c r="A334" s="57" t="n"/>
      <c r="B334" s="57" t="n"/>
      <c r="C334" s="109" t="n"/>
      <c r="F334" s="57" t="n"/>
      <c r="J334" s="57" t="n"/>
      <c r="K334" s="57" t="n"/>
      <c r="L334" s="57" t="n"/>
      <c r="M334" s="57" t="n"/>
      <c r="N334" s="57" t="n"/>
      <c r="O334" s="57" t="n"/>
      <c r="AA334" s="640">
        <f>IF(G334=0, IF(OR(H334&gt;0,F334&gt;0),C334*F334,""),"")</f>
        <v/>
      </c>
      <c r="AB334" s="640">
        <f>IF(G334&gt;=1,IF(F334&gt;1,C334*(F334-2),""),"")</f>
        <v/>
      </c>
      <c r="AC334" s="640" t="n"/>
      <c r="AD334" s="911">
        <f>IF(E334="YES",IF(G334=1,"",""),IF(G334=1,C334,IF(G334=2,C334,IF(G334=0,"",""))))</f>
        <v/>
      </c>
      <c r="AE334" s="911">
        <f>IF(E334="YES",IF(G334=1,"",IF(H334=1,C334,"")),IF(H334=1,C334,IF(H334=2,C334,IF(H334=0,"",""))))</f>
        <v/>
      </c>
      <c r="AF334" s="911">
        <f>IF(E334="YES",IF(I334=1,C334,""),IF(I334=1,C334,IF(I334=2,C334,IF(I334=0,"",""))))</f>
        <v/>
      </c>
      <c r="AG334" s="192">
        <f>(C334*G334)+(C334*H334)+(C334*I334)</f>
        <v/>
      </c>
    </row>
    <row r="335">
      <c r="A335" s="57" t="n"/>
      <c r="B335" s="57" t="n"/>
      <c r="C335" s="109" t="n"/>
      <c r="F335" s="57" t="n"/>
      <c r="J335" s="57" t="n"/>
      <c r="K335" s="57" t="n"/>
      <c r="L335" s="57" t="n"/>
      <c r="M335" s="57" t="n"/>
      <c r="N335" s="57" t="n"/>
      <c r="O335" s="57" t="n"/>
      <c r="AA335" s="640">
        <f>IF(G335=0, IF(OR(H335&gt;0,F335&gt;0),C335*F335,""),"")</f>
        <v/>
      </c>
      <c r="AB335" s="640">
        <f>IF(G335&gt;=1,IF(F335&gt;1,C335*(F335-2),""),"")</f>
        <v/>
      </c>
      <c r="AC335" s="640" t="n"/>
      <c r="AD335" s="911">
        <f>IF(E335="YES",IF(G335=1,"",""),IF(G335=1,C335,IF(G335=2,C335,IF(G335=0,"",""))))</f>
        <v/>
      </c>
      <c r="AE335" s="911">
        <f>IF(E335="YES",IF(G335=1,"",IF(H335=1,C335,"")),IF(H335=1,C335,IF(H335=2,C335,IF(H335=0,"",""))))</f>
        <v/>
      </c>
      <c r="AF335" s="911">
        <f>IF(E335="YES",IF(I335=1,C335,""),IF(I335=1,C335,IF(I335=2,C335,IF(I335=0,"",""))))</f>
        <v/>
      </c>
      <c r="AG335" s="192">
        <f>(C335*G335)+(C335*H335)+(C335*I335)</f>
        <v/>
      </c>
    </row>
    <row r="336">
      <c r="A336" s="57" t="n"/>
      <c r="B336" s="57" t="n"/>
      <c r="C336" s="109" t="n"/>
      <c r="F336" s="57" t="n"/>
      <c r="J336" s="57" t="n"/>
      <c r="K336" s="57" t="n"/>
      <c r="L336" s="57" t="n"/>
      <c r="M336" s="57" t="n"/>
      <c r="N336" s="57" t="n"/>
      <c r="O336" s="57" t="n"/>
      <c r="AA336" s="640">
        <f>IF(G336=0, IF(OR(H336&gt;0,F336&gt;0),C336*F336,""),"")</f>
        <v/>
      </c>
      <c r="AB336" s="640">
        <f>IF(G336&gt;=1,IF(F336&gt;1,C336*(F336-2),""),"")</f>
        <v/>
      </c>
      <c r="AC336" s="640" t="n"/>
      <c r="AD336" s="911">
        <f>IF(E336="YES",IF(G336=1,"",""),IF(G336=1,C336,IF(G336=2,C336,IF(G336=0,"",""))))</f>
        <v/>
      </c>
      <c r="AE336" s="911">
        <f>IF(E336="YES",IF(G336=1,"",IF(H336=1,C336,"")),IF(H336=1,C336,IF(H336=2,C336,IF(H336=0,"",""))))</f>
        <v/>
      </c>
      <c r="AF336" s="911">
        <f>IF(E336="YES",IF(I336=1,C336,""),IF(I336=1,C336,IF(I336=2,C336,IF(I336=0,"",""))))</f>
        <v/>
      </c>
      <c r="AG336" s="192">
        <f>(C336*G336)+(C336*H336)+(C336*I336)</f>
        <v/>
      </c>
    </row>
    <row r="337">
      <c r="A337" s="57" t="n"/>
      <c r="B337" s="57" t="n"/>
      <c r="C337" s="109" t="n"/>
      <c r="F337" s="57" t="n"/>
      <c r="J337" s="57" t="n"/>
      <c r="K337" s="57" t="n"/>
      <c r="L337" s="57" t="n"/>
      <c r="M337" s="57" t="n"/>
      <c r="N337" s="57" t="n"/>
      <c r="O337" s="57" t="n"/>
      <c r="AA337" s="640">
        <f>IF(G337=0, IF(OR(H337&gt;0,F337&gt;0),C337*F337,""),"")</f>
        <v/>
      </c>
      <c r="AB337" s="640">
        <f>IF(G337&gt;=1,IF(F337&gt;1,C337*(F337-2),""),"")</f>
        <v/>
      </c>
      <c r="AC337" s="640" t="n"/>
      <c r="AD337" s="911">
        <f>IF(E337="YES",IF(G337=1,"",""),IF(G337=1,C337,IF(G337=2,C337,IF(G337=0,"",""))))</f>
        <v/>
      </c>
      <c r="AE337" s="911">
        <f>IF(E337="YES",IF(G337=1,"",IF(H337=1,C337,"")),IF(H337=1,C337,IF(H337=2,C337,IF(H337=0,"",""))))</f>
        <v/>
      </c>
      <c r="AF337" s="911">
        <f>IF(E337="YES",IF(I337=1,C337,""),IF(I337=1,C337,IF(I337=2,C337,IF(I337=0,"",""))))</f>
        <v/>
      </c>
      <c r="AG337" s="192">
        <f>(C337*G337)+(C337*H337)+(C337*I337)</f>
        <v/>
      </c>
    </row>
    <row r="338">
      <c r="A338" s="57" t="n"/>
      <c r="B338" s="57" t="n"/>
      <c r="C338" s="109" t="n"/>
      <c r="F338" s="57" t="n"/>
      <c r="J338" s="57" t="n"/>
      <c r="K338" s="57" t="n"/>
      <c r="L338" s="57" t="n"/>
      <c r="M338" s="57" t="n"/>
      <c r="N338" s="57" t="n"/>
      <c r="O338" s="57" t="n"/>
      <c r="AA338" s="640">
        <f>IF(G338=0, IF(OR(H338&gt;0,F338&gt;0),C338*F338,""),"")</f>
        <v/>
      </c>
      <c r="AB338" s="640">
        <f>IF(G338&gt;=1,IF(F338&gt;1,C338*(F338-2),""),"")</f>
        <v/>
      </c>
      <c r="AC338" s="640" t="n"/>
      <c r="AD338" s="911">
        <f>IF(E338="YES",IF(G338=1,"",""),IF(G338=1,C338,IF(G338=2,C338,IF(G338=0,"",""))))</f>
        <v/>
      </c>
      <c r="AE338" s="911">
        <f>IF(E338="YES",IF(G338=1,"",IF(H338=1,C338,"")),IF(H338=1,C338,IF(H338=2,C338,IF(H338=0,"",""))))</f>
        <v/>
      </c>
      <c r="AF338" s="911">
        <f>IF(E338="YES",IF(I338=1,C338,""),IF(I338=1,C338,IF(I338=2,C338,IF(I338=0,"",""))))</f>
        <v/>
      </c>
      <c r="AG338" s="192">
        <f>(C338*G338)+(C338*H338)+(C338*I338)</f>
        <v/>
      </c>
    </row>
    <row r="339">
      <c r="A339" s="57" t="n"/>
      <c r="B339" s="57" t="n"/>
      <c r="C339" s="109" t="n"/>
      <c r="F339" s="57" t="n"/>
      <c r="J339" s="57" t="n"/>
      <c r="K339" s="57" t="n"/>
      <c r="L339" s="57" t="n"/>
      <c r="M339" s="57" t="n"/>
      <c r="N339" s="57" t="n"/>
      <c r="O339" s="57" t="n"/>
      <c r="AA339" s="640">
        <f>IF(G339=0, IF(OR(H339&gt;0,F339&gt;0),C339*F339,""),"")</f>
        <v/>
      </c>
      <c r="AB339" s="640">
        <f>IF(G339&gt;=1,IF(F339&gt;1,C339*(F339-2),""),"")</f>
        <v/>
      </c>
      <c r="AC339" s="640" t="n"/>
      <c r="AD339" s="911">
        <f>IF(E339="YES",IF(G339=1,"",""),IF(G339=1,C339,IF(G339=2,C339,IF(G339=0,"",""))))</f>
        <v/>
      </c>
      <c r="AE339" s="911">
        <f>IF(E339="YES",IF(G339=1,"",IF(H339=1,C339,"")),IF(H339=1,C339,IF(H339=2,C339,IF(H339=0,"",""))))</f>
        <v/>
      </c>
      <c r="AF339" s="911">
        <f>IF(E339="YES",IF(I339=1,C339,""),IF(I339=1,C339,IF(I339=2,C339,IF(I339=0,"",""))))</f>
        <v/>
      </c>
      <c r="AG339" s="192">
        <f>(C339*G339)+(C339*H339)+(C339*I339)</f>
        <v/>
      </c>
    </row>
    <row r="340">
      <c r="A340" s="57" t="n"/>
      <c r="B340" s="57" t="n"/>
      <c r="C340" s="109" t="n"/>
      <c r="F340" s="57" t="n"/>
      <c r="J340" s="57" t="n"/>
      <c r="K340" s="57" t="n"/>
      <c r="L340" s="57" t="n"/>
      <c r="M340" s="57" t="n"/>
      <c r="N340" s="57" t="n"/>
      <c r="O340" s="57" t="n"/>
      <c r="AA340" s="640">
        <f>IF(G340=0, IF(OR(H340&gt;0,F340&gt;0),C340*F340,""),"")</f>
        <v/>
      </c>
      <c r="AB340" s="640">
        <f>IF(G340&gt;=1,IF(F340&gt;1,C340*(F340-2),""),"")</f>
        <v/>
      </c>
      <c r="AC340" s="640" t="n"/>
      <c r="AD340" s="911">
        <f>IF(E340="YES",IF(G340=1,"",""),IF(G340=1,C340,IF(G340=2,C340,IF(G340=0,"",""))))</f>
        <v/>
      </c>
      <c r="AE340" s="911">
        <f>IF(E340="YES",IF(G340=1,"",IF(H340=1,C340,"")),IF(H340=1,C340,IF(H340=2,C340,IF(H340=0,"",""))))</f>
        <v/>
      </c>
      <c r="AF340" s="911">
        <f>IF(E340="YES",IF(I340=1,C340,""),IF(I340=1,C340,IF(I340=2,C340,IF(I340=0,"",""))))</f>
        <v/>
      </c>
      <c r="AG340" s="192">
        <f>(C340*G340)+(C340*H340)+(C340*I340)</f>
        <v/>
      </c>
    </row>
    <row r="341">
      <c r="A341" s="57" t="n"/>
      <c r="B341" s="57" t="n"/>
      <c r="C341" s="109" t="n"/>
      <c r="F341" s="57" t="n"/>
      <c r="J341" s="57" t="n"/>
      <c r="K341" s="57" t="n"/>
      <c r="L341" s="57" t="n"/>
      <c r="M341" s="57" t="n"/>
      <c r="N341" s="57" t="n"/>
      <c r="O341" s="57" t="n"/>
      <c r="AA341" s="640">
        <f>IF(G341=0, IF(OR(H341&gt;0,F341&gt;0),C341*F341,""),"")</f>
        <v/>
      </c>
      <c r="AB341" s="640">
        <f>IF(G341&gt;=1,IF(F341&gt;1,C341*(F341-2),""),"")</f>
        <v/>
      </c>
      <c r="AC341" s="640" t="n"/>
      <c r="AD341" s="911">
        <f>IF(E341="YES",IF(G341=1,"",""),IF(G341=1,C341,IF(G341=2,C341,IF(G341=0,"",""))))</f>
        <v/>
      </c>
      <c r="AE341" s="911">
        <f>IF(E341="YES",IF(G341=1,"",IF(H341=1,C341,"")),IF(H341=1,C341,IF(H341=2,C341,IF(H341=0,"",""))))</f>
        <v/>
      </c>
      <c r="AF341" s="911">
        <f>IF(E341="YES",IF(I341=1,C341,""),IF(I341=1,C341,IF(I341=2,C341,IF(I341=0,"",""))))</f>
        <v/>
      </c>
      <c r="AG341" s="192">
        <f>(C341*G341)+(C341*H341)+(C341*I341)</f>
        <v/>
      </c>
    </row>
    <row r="342">
      <c r="A342" s="57" t="n"/>
      <c r="B342" s="57" t="n"/>
      <c r="C342" s="109" t="n"/>
      <c r="F342" s="57" t="n"/>
      <c r="J342" s="57" t="n"/>
      <c r="K342" s="57" t="n"/>
      <c r="L342" s="57" t="n"/>
      <c r="M342" s="57" t="n"/>
      <c r="N342" s="57" t="n"/>
      <c r="O342" s="57" t="n"/>
      <c r="AA342" s="640">
        <f>IF(G342=0, IF(OR(H342&gt;0,F342&gt;0),C342*F342,""),"")</f>
        <v/>
      </c>
      <c r="AB342" s="640">
        <f>IF(G342&gt;=1,IF(F342&gt;1,C342*(F342-2),""),"")</f>
        <v/>
      </c>
      <c r="AC342" s="640" t="n"/>
      <c r="AD342" s="911">
        <f>IF(E342="YES",IF(G342=1,"",""),IF(G342=1,C342,IF(G342=2,C342,IF(G342=0,"",""))))</f>
        <v/>
      </c>
      <c r="AE342" s="911">
        <f>IF(E342="YES",IF(G342=1,"",IF(H342=1,C342,"")),IF(H342=1,C342,IF(H342=2,C342,IF(H342=0,"",""))))</f>
        <v/>
      </c>
      <c r="AF342" s="911">
        <f>IF(E342="YES",IF(I342=1,C342,""),IF(I342=1,C342,IF(I342=2,C342,IF(I342=0,"",""))))</f>
        <v/>
      </c>
      <c r="AG342" s="192">
        <f>(C342*G342)+(C342*H342)+(C342*I342)</f>
        <v/>
      </c>
    </row>
    <row r="343">
      <c r="A343" s="57" t="n"/>
      <c r="B343" s="57" t="n"/>
      <c r="C343" s="109" t="n"/>
      <c r="F343" s="57" t="n"/>
      <c r="J343" s="57" t="n"/>
      <c r="K343" s="57" t="n"/>
      <c r="L343" s="57" t="n"/>
      <c r="M343" s="57" t="n"/>
      <c r="N343" s="57" t="n"/>
      <c r="O343" s="57" t="n"/>
      <c r="AA343" s="640">
        <f>IF(G343=0, IF(OR(H343&gt;0,F343&gt;0),C343*F343,""),"")</f>
        <v/>
      </c>
      <c r="AB343" s="640">
        <f>IF(G343&gt;=1,IF(F343&gt;1,C343*(F343-2),""),"")</f>
        <v/>
      </c>
      <c r="AC343" s="640" t="n"/>
      <c r="AD343" s="911">
        <f>IF(E343="YES",IF(G343=1,"",""),IF(G343=1,C343,IF(G343=2,C343,IF(G343=0,"",""))))</f>
        <v/>
      </c>
      <c r="AE343" s="911">
        <f>IF(E343="YES",IF(G343=1,"",IF(H343=1,C343,"")),IF(H343=1,C343,IF(H343=2,C343,IF(H343=0,"",""))))</f>
        <v/>
      </c>
      <c r="AF343" s="911">
        <f>IF(E343="YES",IF(I343=1,C343,""),IF(I343=1,C343,IF(I343=2,C343,IF(I343=0,"",""))))</f>
        <v/>
      </c>
      <c r="AG343" s="192">
        <f>(C343*G343)+(C343*H343)+(C343*I343)</f>
        <v/>
      </c>
    </row>
    <row r="344">
      <c r="A344" s="57" t="n"/>
      <c r="B344" s="57" t="n"/>
      <c r="C344" s="109" t="n"/>
      <c r="F344" s="57" t="n"/>
      <c r="J344" s="57" t="n"/>
      <c r="K344" s="57" t="n"/>
      <c r="L344" s="57" t="n"/>
      <c r="M344" s="57" t="n"/>
      <c r="N344" s="57" t="n"/>
      <c r="O344" s="57" t="n"/>
      <c r="AA344" s="640">
        <f>IF(G344=0, IF(OR(H344&gt;0,F344&gt;0),C344*F344,""),"")</f>
        <v/>
      </c>
      <c r="AB344" s="640">
        <f>IF(G344&gt;=1,IF(F344&gt;1,C344*(F344-2),""),"")</f>
        <v/>
      </c>
      <c r="AC344" s="640" t="n"/>
      <c r="AD344" s="911">
        <f>IF(E344="YES",IF(G344=1,"",""),IF(G344=1,C344,IF(G344=2,C344,IF(G344=0,"",""))))</f>
        <v/>
      </c>
      <c r="AE344" s="911">
        <f>IF(E344="YES",IF(G344=1,"",IF(H344=1,C344,"")),IF(H344=1,C344,IF(H344=2,C344,IF(H344=0,"",""))))</f>
        <v/>
      </c>
      <c r="AF344" s="911">
        <f>IF(E344="YES",IF(I344=1,C344,""),IF(I344=1,C344,IF(I344=2,C344,IF(I344=0,"",""))))</f>
        <v/>
      </c>
      <c r="AG344" s="192">
        <f>(C344*G344)+(C344*H344)+(C344*I344)</f>
        <v/>
      </c>
    </row>
    <row r="345">
      <c r="A345" s="57" t="n"/>
      <c r="B345" s="57" t="n"/>
      <c r="C345" s="109" t="n"/>
      <c r="F345" s="57" t="n"/>
      <c r="J345" s="57" t="n"/>
      <c r="K345" s="57" t="n"/>
      <c r="L345" s="57" t="n"/>
      <c r="M345" s="57" t="n"/>
      <c r="N345" s="57" t="n"/>
      <c r="O345" s="57" t="n"/>
      <c r="AA345" s="640">
        <f>IF(G345=0, IF(OR(H345&gt;0,F345&gt;0),C345*F345,""),"")</f>
        <v/>
      </c>
      <c r="AB345" s="640">
        <f>IF(G345&gt;=1,IF(F345&gt;1,C345*(F345-2),""),"")</f>
        <v/>
      </c>
      <c r="AC345" s="640" t="n"/>
      <c r="AD345" s="911">
        <f>IF(E345="YES",IF(G345=1,"",""),IF(G345=1,C345,IF(G345=2,C345,IF(G345=0,"",""))))</f>
        <v/>
      </c>
      <c r="AE345" s="911">
        <f>IF(E345="YES",IF(G345=1,"",IF(H345=1,C345,"")),IF(H345=1,C345,IF(H345=2,C345,IF(H345=0,"",""))))</f>
        <v/>
      </c>
      <c r="AF345" s="911">
        <f>IF(E345="YES",IF(I345=1,C345,""),IF(I345=1,C345,IF(I345=2,C345,IF(I345=0,"",""))))</f>
        <v/>
      </c>
      <c r="AG345" s="192">
        <f>(C345*G345)+(C345*H345)+(C345*I345)</f>
        <v/>
      </c>
    </row>
    <row r="346">
      <c r="A346" s="57" t="n"/>
      <c r="B346" s="57" t="n"/>
      <c r="C346" s="109" t="n"/>
      <c r="F346" s="57" t="n"/>
      <c r="J346" s="57" t="n"/>
      <c r="K346" s="57" t="n"/>
      <c r="L346" s="57" t="n"/>
      <c r="M346" s="57" t="n"/>
      <c r="N346" s="57" t="n"/>
      <c r="O346" s="57" t="n"/>
      <c r="AA346" s="640">
        <f>IF(G346=0, IF(OR(H346&gt;0,F346&gt;0),C346*F346,""),"")</f>
        <v/>
      </c>
      <c r="AB346" s="640">
        <f>IF(G346&gt;=1,IF(F346&gt;1,C346*(F346-2),""),"")</f>
        <v/>
      </c>
      <c r="AC346" s="640" t="n"/>
      <c r="AD346" s="911">
        <f>IF(E346="YES",IF(G346=1,"",""),IF(G346=1,C346,IF(G346=2,C346,IF(G346=0,"",""))))</f>
        <v/>
      </c>
      <c r="AE346" s="911">
        <f>IF(E346="YES",IF(G346=1,"",IF(H346=1,C346,"")),IF(H346=1,C346,IF(H346=2,C346,IF(H346=0,"",""))))</f>
        <v/>
      </c>
      <c r="AF346" s="911">
        <f>IF(E346="YES",IF(I346=1,C346,""),IF(I346=1,C346,IF(I346=2,C346,IF(I346=0,"",""))))</f>
        <v/>
      </c>
      <c r="AG346" s="192">
        <f>(C346*G346)+(C346*H346)+(C346*I346)</f>
        <v/>
      </c>
    </row>
    <row r="347">
      <c r="A347" s="57" t="n"/>
      <c r="B347" s="57" t="n"/>
      <c r="C347" s="109" t="n"/>
      <c r="F347" s="57" t="n"/>
      <c r="J347" s="57" t="n"/>
      <c r="K347" s="57" t="n"/>
      <c r="L347" s="57" t="n"/>
      <c r="M347" s="57" t="n"/>
      <c r="N347" s="57" t="n"/>
      <c r="O347" s="57" t="n"/>
      <c r="AA347" s="640">
        <f>IF(G347=0, IF(OR(H347&gt;0,F347&gt;0),C347*F347,""),"")</f>
        <v/>
      </c>
      <c r="AB347" s="640">
        <f>IF(G347&gt;=1,IF(F347&gt;1,C347*(F347-2),""),"")</f>
        <v/>
      </c>
      <c r="AC347" s="640" t="n"/>
      <c r="AD347" s="911">
        <f>IF(E347="YES",IF(G347=1,"",""),IF(G347=1,C347,IF(G347=2,C347,IF(G347=0,"",""))))</f>
        <v/>
      </c>
      <c r="AE347" s="911">
        <f>IF(E347="YES",IF(G347=1,"",IF(H347=1,C347,"")),IF(H347=1,C347,IF(H347=2,C347,IF(H347=0,"",""))))</f>
        <v/>
      </c>
      <c r="AF347" s="911">
        <f>IF(E347="YES",IF(I347=1,C347,""),IF(I347=1,C347,IF(I347=2,C347,IF(I347=0,"",""))))</f>
        <v/>
      </c>
      <c r="AG347" s="192">
        <f>(C347*G347)+(C347*H347)+(C347*I347)</f>
        <v/>
      </c>
    </row>
    <row r="348">
      <c r="A348" s="57" t="n"/>
      <c r="B348" s="57" t="n"/>
      <c r="C348" s="109" t="n"/>
      <c r="F348" s="57" t="n"/>
      <c r="J348" s="57" t="n"/>
      <c r="K348" s="57" t="n"/>
      <c r="L348" s="57" t="n"/>
      <c r="M348" s="57" t="n"/>
      <c r="N348" s="57" t="n"/>
      <c r="O348" s="57" t="n"/>
      <c r="AA348" s="640">
        <f>IF(G348=0, IF(OR(H348&gt;0,F348&gt;0),C348*F348,""),"")</f>
        <v/>
      </c>
      <c r="AB348" s="640">
        <f>IF(G348&gt;=1,IF(F348&gt;1,C348*(F348-2),""),"")</f>
        <v/>
      </c>
      <c r="AC348" s="640" t="n"/>
      <c r="AD348" s="911">
        <f>IF(E348="YES",IF(G348=1,"",""),IF(G348=1,C348,IF(G348=2,C348,IF(G348=0,"",""))))</f>
        <v/>
      </c>
      <c r="AE348" s="911">
        <f>IF(E348="YES",IF(G348=1,"",IF(H348=1,C348,"")),IF(H348=1,C348,IF(H348=2,C348,IF(H348=0,"",""))))</f>
        <v/>
      </c>
      <c r="AF348" s="911">
        <f>IF(E348="YES",IF(I348=1,C348,""),IF(I348=1,C348,IF(I348=2,C348,IF(I348=0,"",""))))</f>
        <v/>
      </c>
      <c r="AG348" s="192">
        <f>(C348*G348)+(C348*H348)+(C348*I348)</f>
        <v/>
      </c>
    </row>
    <row r="349">
      <c r="A349" s="57" t="n"/>
      <c r="B349" s="57" t="n"/>
      <c r="C349" s="109" t="n"/>
      <c r="F349" s="57" t="n"/>
      <c r="J349" s="57" t="n"/>
      <c r="K349" s="57" t="n"/>
      <c r="L349" s="57" t="n"/>
      <c r="M349" s="57" t="n"/>
      <c r="N349" s="57" t="n"/>
      <c r="O349" s="57" t="n"/>
      <c r="AA349" s="640">
        <f>IF(G349=0, IF(OR(H349&gt;0,F349&gt;0),C349*F349,""),"")</f>
        <v/>
      </c>
      <c r="AB349" s="640">
        <f>IF(G349&gt;=1,IF(F349&gt;1,C349*(F349-2),""),"")</f>
        <v/>
      </c>
      <c r="AC349" s="640" t="n"/>
      <c r="AD349" s="911">
        <f>IF(E349="YES",IF(G349=1,"",""),IF(G349=1,C349,IF(G349=2,C349,IF(G349=0,"",""))))</f>
        <v/>
      </c>
      <c r="AE349" s="911">
        <f>IF(E349="YES",IF(G349=1,"",IF(H349=1,C349,"")),IF(H349=1,C349,IF(H349=2,C349,IF(H349=0,"",""))))</f>
        <v/>
      </c>
      <c r="AF349" s="911">
        <f>IF(E349="YES",IF(I349=1,C349,""),IF(I349=1,C349,IF(I349=2,C349,IF(I349=0,"",""))))</f>
        <v/>
      </c>
      <c r="AG349" s="192">
        <f>(C349*G349)+(C349*H349)+(C349*I349)</f>
        <v/>
      </c>
    </row>
    <row r="350">
      <c r="A350" s="57" t="n"/>
      <c r="B350" s="57" t="n"/>
      <c r="C350" s="109" t="n"/>
      <c r="F350" s="57" t="n"/>
      <c r="J350" s="57" t="n"/>
      <c r="K350" s="57" t="n"/>
      <c r="L350" s="57" t="n"/>
      <c r="M350" s="57" t="n"/>
      <c r="N350" s="57" t="n"/>
      <c r="O350" s="57" t="n"/>
      <c r="AA350" s="640">
        <f>IF(G350=0, IF(OR(H350&gt;0,F350&gt;0),C350*F350,""),"")</f>
        <v/>
      </c>
      <c r="AB350" s="640">
        <f>IF(G350&gt;=1,IF(F350&gt;1,C350*(F350-2),""),"")</f>
        <v/>
      </c>
      <c r="AC350" s="640" t="n"/>
      <c r="AD350" s="911">
        <f>IF(E350="YES",IF(G350=1,"",""),IF(G350=1,C350,IF(G350=2,C350,IF(G350=0,"",""))))</f>
        <v/>
      </c>
      <c r="AE350" s="911">
        <f>IF(E350="YES",IF(G350=1,"",IF(H350=1,C350,"")),IF(H350=1,C350,IF(H350=2,C350,IF(H350=0,"",""))))</f>
        <v/>
      </c>
      <c r="AF350" s="911">
        <f>IF(E350="YES",IF(I350=1,C350,""),IF(I350=1,C350,IF(I350=2,C350,IF(I350=0,"",""))))</f>
        <v/>
      </c>
      <c r="AG350" s="192">
        <f>(C350*G350)+(C350*H350)+(C350*I350)</f>
        <v/>
      </c>
    </row>
    <row r="351">
      <c r="A351" s="57" t="n"/>
      <c r="B351" s="57" t="n"/>
      <c r="C351" s="109" t="n"/>
      <c r="F351" s="57" t="n"/>
      <c r="J351" s="57" t="n"/>
      <c r="K351" s="57" t="n"/>
      <c r="L351" s="57" t="n"/>
      <c r="M351" s="57" t="n"/>
      <c r="N351" s="57" t="n"/>
      <c r="O351" s="57" t="n"/>
      <c r="AA351" s="640">
        <f>IF(G351=0, IF(OR(H351&gt;0,F351&gt;0),C351*F351,""),"")</f>
        <v/>
      </c>
      <c r="AB351" s="640">
        <f>IF(G351&gt;=1,IF(F351&gt;1,C351*(F351-2),""),"")</f>
        <v/>
      </c>
      <c r="AC351" s="640" t="n"/>
      <c r="AD351" s="911">
        <f>IF(E351="YES",IF(G351=1,"",""),IF(G351=1,C351,IF(G351=2,C351,IF(G351=0,"",""))))</f>
        <v/>
      </c>
      <c r="AE351" s="911">
        <f>IF(E351="YES",IF(G351=1,"",IF(H351=1,C351,"")),IF(H351=1,C351,IF(H351=2,C351,IF(H351=0,"",""))))</f>
        <v/>
      </c>
      <c r="AF351" s="911">
        <f>IF(E351="YES",IF(I351=1,C351,""),IF(I351=1,C351,IF(I351=2,C351,IF(I351=0,"",""))))</f>
        <v/>
      </c>
      <c r="AG351" s="192">
        <f>(C351*G351)+(C351*H351)+(C351*I351)</f>
        <v/>
      </c>
    </row>
    <row r="352">
      <c r="A352" s="57" t="n"/>
      <c r="B352" s="57" t="n"/>
      <c r="C352" s="109" t="n"/>
      <c r="F352" s="57" t="n"/>
      <c r="J352" s="57" t="n"/>
      <c r="K352" s="57" t="n"/>
      <c r="L352" s="57" t="n"/>
      <c r="M352" s="57" t="n"/>
      <c r="N352" s="57" t="n"/>
      <c r="O352" s="57" t="n"/>
      <c r="AA352" s="640">
        <f>IF(G352=0, IF(OR(H352&gt;0,F352&gt;0),C352*F352,""),"")</f>
        <v/>
      </c>
      <c r="AB352" s="640">
        <f>IF(G352&gt;=1,IF(F352&gt;1,C352*(F352-2),""),"")</f>
        <v/>
      </c>
      <c r="AC352" s="640" t="n"/>
      <c r="AD352" s="911">
        <f>IF(E352="YES",IF(G352=1,"",""),IF(G352=1,C352,IF(G352=2,C352,IF(G352=0,"",""))))</f>
        <v/>
      </c>
      <c r="AE352" s="911">
        <f>IF(E352="YES",IF(G352=1,"",IF(H352=1,C352,"")),IF(H352=1,C352,IF(H352=2,C352,IF(H352=0,"",""))))</f>
        <v/>
      </c>
      <c r="AF352" s="911">
        <f>IF(E352="YES",IF(I352=1,C352,""),IF(I352=1,C352,IF(I352=2,C352,IF(I352=0,"",""))))</f>
        <v/>
      </c>
      <c r="AG352" s="192">
        <f>(C352*G352)+(C352*H352)+(C352*I352)</f>
        <v/>
      </c>
    </row>
    <row r="353">
      <c r="A353" s="57" t="n"/>
      <c r="B353" s="57" t="n"/>
      <c r="C353" s="109" t="n"/>
      <c r="F353" s="57" t="n"/>
      <c r="J353" s="57" t="n"/>
      <c r="K353" s="57" t="n"/>
      <c r="L353" s="57" t="n"/>
      <c r="M353" s="57" t="n"/>
      <c r="N353" s="57" t="n"/>
      <c r="O353" s="57" t="n"/>
      <c r="AA353" s="640">
        <f>IF(G353=0, IF(OR(H353&gt;0,F353&gt;0),C353*F353,""),"")</f>
        <v/>
      </c>
      <c r="AB353" s="640">
        <f>IF(G353&gt;=1,IF(F353&gt;1,C353*(F353-2),""),"")</f>
        <v/>
      </c>
      <c r="AC353" s="640" t="n"/>
      <c r="AD353" s="911">
        <f>IF(E353="YES",IF(G353=1,"",""),IF(G353=1,C353,IF(G353=2,C353,IF(G353=0,"",""))))</f>
        <v/>
      </c>
      <c r="AE353" s="911">
        <f>IF(E353="YES",IF(G353=1,"",IF(H353=1,C353,"")),IF(H353=1,C353,IF(H353=2,C353,IF(H353=0,"",""))))</f>
        <v/>
      </c>
      <c r="AF353" s="911">
        <f>IF(E353="YES",IF(I353=1,C353,""),IF(I353=1,C353,IF(I353=2,C353,IF(I353=0,"",""))))</f>
        <v/>
      </c>
      <c r="AG353" s="192">
        <f>(C353*G353)+(C353*H353)+(C353*I353)</f>
        <v/>
      </c>
    </row>
    <row r="354">
      <c r="A354" s="57" t="n"/>
      <c r="B354" s="57" t="n"/>
      <c r="C354" s="109" t="n"/>
      <c r="F354" s="57" t="n"/>
      <c r="J354" s="57" t="n"/>
      <c r="K354" s="57" t="n"/>
      <c r="L354" s="57" t="n"/>
      <c r="M354" s="57" t="n"/>
      <c r="N354" s="57" t="n"/>
      <c r="O354" s="57" t="n"/>
      <c r="AA354" s="640">
        <f>IF(G354=0, IF(OR(H354&gt;0,F354&gt;0),C354*F354,""),"")</f>
        <v/>
      </c>
      <c r="AB354" s="640">
        <f>IF(G354&gt;=1,IF(F354&gt;1,C354*(F354-2),""),"")</f>
        <v/>
      </c>
      <c r="AC354" s="640" t="n"/>
      <c r="AD354" s="911">
        <f>IF(E354="YES",IF(G354=1,"",""),IF(G354=1,C354,IF(G354=2,C354,IF(G354=0,"",""))))</f>
        <v/>
      </c>
      <c r="AE354" s="911">
        <f>IF(E354="YES",IF(G354=1,"",IF(H354=1,C354,"")),IF(H354=1,C354,IF(H354=2,C354,IF(H354=0,"",""))))</f>
        <v/>
      </c>
      <c r="AF354" s="911">
        <f>IF(E354="YES",IF(I354=1,C354,""),IF(I354=1,C354,IF(I354=2,C354,IF(I354=0,"",""))))</f>
        <v/>
      </c>
      <c r="AG354" s="192">
        <f>(C354*G354)+(C354*H354)+(C354*I354)</f>
        <v/>
      </c>
    </row>
    <row r="355">
      <c r="A355" s="57" t="n"/>
      <c r="B355" s="57" t="n"/>
      <c r="C355" s="109" t="n"/>
      <c r="F355" s="57" t="n"/>
      <c r="J355" s="57" t="n"/>
      <c r="K355" s="57" t="n"/>
      <c r="L355" s="57" t="n"/>
      <c r="M355" s="57" t="n"/>
      <c r="N355" s="57" t="n"/>
      <c r="O355" s="57" t="n"/>
      <c r="AA355" s="640">
        <f>IF(G355=0, IF(OR(H355&gt;0,F355&gt;0),C355*F355,""),"")</f>
        <v/>
      </c>
      <c r="AB355" s="640">
        <f>IF(G355&gt;=1,IF(F355&gt;1,C355*(F355-2),""),"")</f>
        <v/>
      </c>
      <c r="AC355" s="640" t="n"/>
      <c r="AD355" s="911">
        <f>IF(E355="YES",IF(G355=1,"",""),IF(G355=1,C355,IF(G355=2,C355,IF(G355=0,"",""))))</f>
        <v/>
      </c>
      <c r="AE355" s="911">
        <f>IF(E355="YES",IF(G355=1,"",IF(H355=1,C355,"")),IF(H355=1,C355,IF(H355=2,C355,IF(H355=0,"",""))))</f>
        <v/>
      </c>
      <c r="AF355" s="911">
        <f>IF(E355="YES",IF(I355=1,C355,""),IF(I355=1,C355,IF(I355=2,C355,IF(I355=0,"",""))))</f>
        <v/>
      </c>
      <c r="AG355" s="192">
        <f>(C355*G355)+(C355*H355)+(C355*I355)</f>
        <v/>
      </c>
    </row>
    <row r="356">
      <c r="A356" s="57" t="n"/>
      <c r="B356" s="57" t="n"/>
      <c r="C356" s="109" t="n"/>
      <c r="F356" s="57" t="n"/>
      <c r="J356" s="57" t="n"/>
      <c r="K356" s="57" t="n"/>
      <c r="L356" s="57" t="n"/>
      <c r="M356" s="57" t="n"/>
      <c r="N356" s="57" t="n"/>
      <c r="O356" s="57" t="n"/>
      <c r="AA356" s="640">
        <f>IF(G356=0, IF(OR(H356&gt;0,F356&gt;0),C356*F356,""),"")</f>
        <v/>
      </c>
      <c r="AB356" s="640">
        <f>IF(G356&gt;=1,IF(F356&gt;1,C356*(F356-2),""),"")</f>
        <v/>
      </c>
      <c r="AC356" s="640" t="n"/>
      <c r="AD356" s="911">
        <f>IF(E356="YES",IF(G356=1,"",""),IF(G356=1,C356,IF(G356=2,C356,IF(G356=0,"",""))))</f>
        <v/>
      </c>
      <c r="AE356" s="911">
        <f>IF(E356="YES",IF(G356=1,"",IF(H356=1,C356,"")),IF(H356=1,C356,IF(H356=2,C356,IF(H356=0,"",""))))</f>
        <v/>
      </c>
      <c r="AF356" s="911">
        <f>IF(E356="YES",IF(I356=1,C356,""),IF(I356=1,C356,IF(I356=2,C356,IF(I356=0,"",""))))</f>
        <v/>
      </c>
      <c r="AG356" s="192">
        <f>(C356*G356)+(C356*H356)+(C356*I356)</f>
        <v/>
      </c>
    </row>
    <row r="357">
      <c r="A357" s="57" t="n"/>
      <c r="B357" s="57" t="n"/>
      <c r="C357" s="109" t="n"/>
      <c r="F357" s="57" t="n"/>
      <c r="J357" s="57" t="n"/>
      <c r="K357" s="57" t="n"/>
      <c r="L357" s="57" t="n"/>
      <c r="M357" s="57" t="n"/>
      <c r="N357" s="57" t="n"/>
      <c r="O357" s="57" t="n"/>
      <c r="AA357" s="640">
        <f>IF(G357=0, IF(OR(H357&gt;0,F357&gt;0),C357*F357,""),"")</f>
        <v/>
      </c>
      <c r="AB357" s="640">
        <f>IF(G357&gt;=1,IF(F357&gt;1,C357*(F357-2),""),"")</f>
        <v/>
      </c>
      <c r="AC357" s="640" t="n"/>
      <c r="AD357" s="911">
        <f>IF(E357="YES",IF(G357=1,"",""),IF(G357=1,C357,IF(G357=2,C357,IF(G357=0,"",""))))</f>
        <v/>
      </c>
      <c r="AE357" s="911">
        <f>IF(E357="YES",IF(G357=1,"",IF(H357=1,C357,"")),IF(H357=1,C357,IF(H357=2,C357,IF(H357=0,"",""))))</f>
        <v/>
      </c>
      <c r="AF357" s="911">
        <f>IF(E357="YES",IF(I357=1,C357,""),IF(I357=1,C357,IF(I357=2,C357,IF(I357=0,"",""))))</f>
        <v/>
      </c>
      <c r="AG357" s="192">
        <f>(C357*G357)+(C357*H357)+(C357*I357)</f>
        <v/>
      </c>
    </row>
    <row r="358">
      <c r="A358" s="57" t="n"/>
      <c r="B358" s="57" t="n"/>
      <c r="C358" s="109" t="n"/>
      <c r="F358" s="57" t="n"/>
      <c r="J358" s="57" t="n"/>
      <c r="K358" s="57" t="n"/>
      <c r="L358" s="57" t="n"/>
      <c r="M358" s="57" t="n"/>
      <c r="N358" s="57" t="n"/>
      <c r="O358" s="57" t="n"/>
      <c r="AA358" s="640">
        <f>IF(G358=0, IF(OR(H358&gt;0,F358&gt;0),C358*F358,""),"")</f>
        <v/>
      </c>
      <c r="AB358" s="640">
        <f>IF(G358&gt;=1,IF(F358&gt;1,C358*(F358-2),""),"")</f>
        <v/>
      </c>
      <c r="AC358" s="640" t="n"/>
      <c r="AD358" s="911">
        <f>IF(E358="YES",IF(G358=1,"",""),IF(G358=1,C358,IF(G358=2,C358,IF(G358=0,"",""))))</f>
        <v/>
      </c>
      <c r="AE358" s="911">
        <f>IF(E358="YES",IF(G358=1,"",IF(H358=1,C358,"")),IF(H358=1,C358,IF(H358=2,C358,IF(H358=0,"",""))))</f>
        <v/>
      </c>
      <c r="AF358" s="911">
        <f>IF(E358="YES",IF(I358=1,C358,""),IF(I358=1,C358,IF(I358=2,C358,IF(I358=0,"",""))))</f>
        <v/>
      </c>
      <c r="AG358" s="192">
        <f>(C358*G358)+(C358*H358)+(C358*I358)</f>
        <v/>
      </c>
    </row>
    <row r="359">
      <c r="A359" s="57" t="n"/>
      <c r="B359" s="57" t="n"/>
      <c r="C359" s="109" t="n"/>
      <c r="F359" s="57" t="n"/>
      <c r="J359" s="57" t="n"/>
      <c r="K359" s="57" t="n"/>
      <c r="L359" s="57" t="n"/>
      <c r="M359" s="57" t="n"/>
      <c r="N359" s="57" t="n"/>
      <c r="O359" s="57" t="n"/>
      <c r="AA359" s="640">
        <f>IF(G359=0, IF(OR(H359&gt;0,F359&gt;0),C359*F359,""),"")</f>
        <v/>
      </c>
      <c r="AB359" s="640">
        <f>IF(G359&gt;=1,IF(F359&gt;1,C359*(F359-2),""),"")</f>
        <v/>
      </c>
      <c r="AC359" s="640" t="n"/>
      <c r="AD359" s="911">
        <f>IF(E359="YES",IF(G359=1,"",""),IF(G359=1,C359,IF(G359=2,C359,IF(G359=0,"",""))))</f>
        <v/>
      </c>
      <c r="AE359" s="911">
        <f>IF(E359="YES",IF(G359=1,"",IF(H359=1,C359,"")),IF(H359=1,C359,IF(H359=2,C359,IF(H359=0,"",""))))</f>
        <v/>
      </c>
      <c r="AF359" s="911">
        <f>IF(E359="YES",IF(I359=1,C359,""),IF(I359=1,C359,IF(I359=2,C359,IF(I359=0,"",""))))</f>
        <v/>
      </c>
      <c r="AG359" s="192">
        <f>(C359*G359)+(C359*H359)+(C359*I359)</f>
        <v/>
      </c>
    </row>
    <row r="360">
      <c r="A360" s="57" t="n"/>
      <c r="B360" s="57" t="n"/>
      <c r="C360" s="109" t="n"/>
      <c r="F360" s="57" t="n"/>
      <c r="J360" s="57" t="n"/>
      <c r="K360" s="57" t="n"/>
      <c r="L360" s="57" t="n"/>
      <c r="M360" s="57" t="n"/>
      <c r="N360" s="57" t="n"/>
      <c r="O360" s="57" t="n"/>
      <c r="AA360" s="640">
        <f>IF(G360=0, IF(OR(H360&gt;0,F360&gt;0),C360*F360,""),"")</f>
        <v/>
      </c>
      <c r="AB360" s="640">
        <f>IF(G360&gt;=1,IF(F360&gt;1,C360*(F360-2),""),"")</f>
        <v/>
      </c>
      <c r="AC360" s="640" t="n"/>
      <c r="AD360" s="911">
        <f>IF(E360="YES",IF(G360=1,"",""),IF(G360=1,C360,IF(G360=2,C360,IF(G360=0,"",""))))</f>
        <v/>
      </c>
      <c r="AE360" s="911">
        <f>IF(E360="YES",IF(G360=1,"",IF(H360=1,C360,"")),IF(H360=1,C360,IF(H360=2,C360,IF(H360=0,"",""))))</f>
        <v/>
      </c>
      <c r="AF360" s="911">
        <f>IF(E360="YES",IF(I360=1,C360,""),IF(I360=1,C360,IF(I360=2,C360,IF(I360=0,"",""))))</f>
        <v/>
      </c>
      <c r="AG360" s="192">
        <f>(C360*G360)+(C360*H360)+(C360*I360)</f>
        <v/>
      </c>
    </row>
    <row r="361">
      <c r="A361" s="57" t="n"/>
      <c r="B361" s="57" t="n"/>
      <c r="C361" s="109" t="n"/>
      <c r="F361" s="57" t="n"/>
      <c r="J361" s="57" t="n"/>
      <c r="K361" s="57" t="n"/>
      <c r="L361" s="57" t="n"/>
      <c r="M361" s="57" t="n"/>
      <c r="N361" s="57" t="n"/>
      <c r="O361" s="57" t="n"/>
      <c r="AA361" s="640">
        <f>IF(G361=0, IF(OR(H361&gt;0,F361&gt;0),C361*F361,""),"")</f>
        <v/>
      </c>
      <c r="AB361" s="640">
        <f>IF(G361&gt;=1,IF(F361&gt;1,C361*(F361-2),""),"")</f>
        <v/>
      </c>
      <c r="AC361" s="640" t="n"/>
      <c r="AD361" s="911">
        <f>IF(E361="YES",IF(G361=1,"",""),IF(G361=1,C361,IF(G361=2,C361,IF(G361=0,"",""))))</f>
        <v/>
      </c>
      <c r="AE361" s="911">
        <f>IF(E361="YES",IF(G361=1,"",IF(H361=1,C361,"")),IF(H361=1,C361,IF(H361=2,C361,IF(H361=0,"",""))))</f>
        <v/>
      </c>
      <c r="AF361" s="911">
        <f>IF(E361="YES",IF(I361=1,C361,""),IF(I361=1,C361,IF(I361=2,C361,IF(I361=0,"",""))))</f>
        <v/>
      </c>
      <c r="AG361" s="192">
        <f>(C361*G361)+(C361*H361)+(C361*I361)</f>
        <v/>
      </c>
    </row>
    <row r="362">
      <c r="A362" s="57" t="n"/>
      <c r="B362" s="57" t="n"/>
      <c r="C362" s="109" t="n"/>
      <c r="F362" s="57" t="n"/>
      <c r="J362" s="57" t="n"/>
      <c r="K362" s="57" t="n"/>
      <c r="L362" s="57" t="n"/>
      <c r="M362" s="57" t="n"/>
      <c r="N362" s="57" t="n"/>
      <c r="O362" s="57" t="n"/>
      <c r="AA362" s="640">
        <f>IF(G362=0, IF(OR(H362&gt;0,F362&gt;0),C362*F362,""),"")</f>
        <v/>
      </c>
      <c r="AB362" s="640">
        <f>IF(G362&gt;=1,IF(F362&gt;1,C362*(F362-2),""),"")</f>
        <v/>
      </c>
      <c r="AC362" s="640" t="n"/>
      <c r="AD362" s="911">
        <f>IF(E362="YES",IF(G362=1,"",""),IF(G362=1,C362,IF(G362=2,C362,IF(G362=0,"",""))))</f>
        <v/>
      </c>
      <c r="AE362" s="911">
        <f>IF(E362="YES",IF(G362=1,"",IF(H362=1,C362,"")),IF(H362=1,C362,IF(H362=2,C362,IF(H362=0,"",""))))</f>
        <v/>
      </c>
      <c r="AF362" s="911">
        <f>IF(E362="YES",IF(I362=1,C362,""),IF(I362=1,C362,IF(I362=2,C362,IF(I362=0,"",""))))</f>
        <v/>
      </c>
      <c r="AG362" s="192">
        <f>(C362*G362)+(C362*H362)+(C362*I362)</f>
        <v/>
      </c>
    </row>
    <row r="363">
      <c r="A363" s="57" t="n"/>
      <c r="B363" s="57" t="n"/>
      <c r="C363" s="109" t="n"/>
      <c r="F363" s="57" t="n"/>
      <c r="J363" s="57" t="n"/>
      <c r="K363" s="57" t="n"/>
      <c r="L363" s="57" t="n"/>
      <c r="M363" s="57" t="n"/>
      <c r="N363" s="57" t="n"/>
      <c r="O363" s="57" t="n"/>
      <c r="AA363" s="640">
        <f>IF(G363=0, IF(OR(H363&gt;0,F363&gt;0),C363*F363,""),"")</f>
        <v/>
      </c>
      <c r="AB363" s="640">
        <f>IF(G363&gt;=1,IF(F363&gt;1,C363*(F363-2),""),"")</f>
        <v/>
      </c>
      <c r="AC363" s="640" t="n"/>
      <c r="AD363" s="911">
        <f>IF(E363="YES",IF(G363=1,"",""),IF(G363=1,C363,IF(G363=2,C363,IF(G363=0,"",""))))</f>
        <v/>
      </c>
      <c r="AE363" s="911">
        <f>IF(E363="YES",IF(G363=1,"",IF(H363=1,C363,"")),IF(H363=1,C363,IF(H363=2,C363,IF(H363=0,"",""))))</f>
        <v/>
      </c>
      <c r="AF363" s="911">
        <f>IF(E363="YES",IF(I363=1,C363,""),IF(I363=1,C363,IF(I363=2,C363,IF(I363=0,"",""))))</f>
        <v/>
      </c>
      <c r="AG363" s="192">
        <f>(C363*G363)+(C363*H363)+(C363*I363)</f>
        <v/>
      </c>
    </row>
    <row r="364">
      <c r="A364" s="57" t="n"/>
      <c r="B364" s="57" t="n"/>
      <c r="C364" s="109" t="n"/>
      <c r="F364" s="57" t="n"/>
      <c r="J364" s="57" t="n"/>
      <c r="K364" s="57" t="n"/>
      <c r="L364" s="57" t="n"/>
      <c r="M364" s="57" t="n"/>
      <c r="N364" s="57" t="n"/>
      <c r="O364" s="57" t="n"/>
      <c r="AA364" s="640">
        <f>IF(G364=0, IF(OR(H364&gt;0,F364&gt;0),C364*F364,""),"")</f>
        <v/>
      </c>
      <c r="AB364" s="640">
        <f>IF(G364&gt;=1,IF(F364&gt;1,C364*(F364-2),""),"")</f>
        <v/>
      </c>
      <c r="AC364" s="640" t="n"/>
      <c r="AD364" s="911">
        <f>IF(E364="YES",IF(G364=1,"",""),IF(G364=1,C364,IF(G364=2,C364,IF(G364=0,"",""))))</f>
        <v/>
      </c>
      <c r="AE364" s="911">
        <f>IF(E364="YES",IF(G364=1,"",IF(H364=1,C364,"")),IF(H364=1,C364,IF(H364=2,C364,IF(H364=0,"",""))))</f>
        <v/>
      </c>
      <c r="AF364" s="911">
        <f>IF(E364="YES",IF(I364=1,C364,""),IF(I364=1,C364,IF(I364=2,C364,IF(I364=0,"",""))))</f>
        <v/>
      </c>
      <c r="AG364" s="192">
        <f>(C364*G364)+(C364*H364)+(C364*I364)</f>
        <v/>
      </c>
    </row>
    <row r="365">
      <c r="A365" s="57" t="n"/>
      <c r="B365" s="57" t="n"/>
      <c r="C365" s="109" t="n"/>
      <c r="F365" s="57" t="n"/>
      <c r="J365" s="57" t="n"/>
      <c r="K365" s="57" t="n"/>
      <c r="L365" s="57" t="n"/>
      <c r="M365" s="57" t="n"/>
      <c r="N365" s="57" t="n"/>
      <c r="O365" s="57" t="n"/>
      <c r="AA365" s="640">
        <f>IF(G365=0, IF(OR(H365&gt;0,F365&gt;0),C365*F365,""),"")</f>
        <v/>
      </c>
      <c r="AB365" s="640">
        <f>IF(G365&gt;=1,IF(F365&gt;1,C365*(F365-2),""),"")</f>
        <v/>
      </c>
      <c r="AC365" s="640" t="n"/>
      <c r="AD365" s="911">
        <f>IF(E365="YES",IF(G365=1,"",""),IF(G365=1,C365,IF(G365=2,C365,IF(G365=0,"",""))))</f>
        <v/>
      </c>
      <c r="AE365" s="911">
        <f>IF(E365="YES",IF(G365=1,"",IF(H365=1,C365,"")),IF(H365=1,C365,IF(H365=2,C365,IF(H365=0,"",""))))</f>
        <v/>
      </c>
      <c r="AF365" s="911">
        <f>IF(E365="YES",IF(I365=1,C365,""),IF(I365=1,C365,IF(I365=2,C365,IF(I365=0,"",""))))</f>
        <v/>
      </c>
      <c r="AG365" s="192">
        <f>(C365*G365)+(C365*H365)+(C365*I365)</f>
        <v/>
      </c>
    </row>
    <row r="366">
      <c r="A366" s="57" t="n"/>
      <c r="B366" s="57" t="n"/>
      <c r="C366" s="109" t="n"/>
      <c r="F366" s="57" t="n"/>
      <c r="J366" s="57" t="n"/>
      <c r="K366" s="57" t="n"/>
      <c r="L366" s="57" t="n"/>
      <c r="M366" s="57" t="n"/>
      <c r="N366" s="57" t="n"/>
      <c r="O366" s="57" t="n"/>
      <c r="AA366" s="640">
        <f>IF(G366=0, IF(OR(H366&gt;0,F366&gt;0),C366*F366,""),"")</f>
        <v/>
      </c>
      <c r="AB366" s="640">
        <f>IF(G366&gt;=1,IF(F366&gt;1,C366*(F366-2),""),"")</f>
        <v/>
      </c>
      <c r="AC366" s="640" t="n"/>
      <c r="AD366" s="911">
        <f>IF(E366="YES",IF(G366=1,"",""),IF(G366=1,C366,IF(G366=2,C366,IF(G366=0,"",""))))</f>
        <v/>
      </c>
      <c r="AE366" s="911">
        <f>IF(E366="YES",IF(G366=1,"",IF(H366=1,C366,"")),IF(H366=1,C366,IF(H366=2,C366,IF(H366=0,"",""))))</f>
        <v/>
      </c>
      <c r="AF366" s="911">
        <f>IF(E366="YES",IF(I366=1,C366,""),IF(I366=1,C366,IF(I366=2,C366,IF(I366=0,"",""))))</f>
        <v/>
      </c>
      <c r="AG366" s="192">
        <f>(C366*G366)+(C366*H366)+(C366*I366)</f>
        <v/>
      </c>
    </row>
    <row r="367">
      <c r="A367" s="57" t="n"/>
      <c r="B367" s="57" t="n"/>
      <c r="C367" s="109" t="n"/>
      <c r="F367" s="57" t="n"/>
      <c r="J367" s="57" t="n"/>
      <c r="K367" s="57" t="n"/>
      <c r="L367" s="57" t="n"/>
      <c r="M367" s="57" t="n"/>
      <c r="N367" s="57" t="n"/>
      <c r="O367" s="57" t="n"/>
      <c r="AA367" s="640">
        <f>IF(G367=0, IF(OR(H367&gt;0,F367&gt;0),C367*F367,""),"")</f>
        <v/>
      </c>
      <c r="AB367" s="640">
        <f>IF(G367&gt;=1,IF(F367&gt;1,C367*(F367-2),""),"")</f>
        <v/>
      </c>
      <c r="AC367" s="640" t="n"/>
      <c r="AD367" s="911">
        <f>IF(E367="YES",IF(G367=1,"",""),IF(G367=1,C367,IF(G367=2,C367,IF(G367=0,"",""))))</f>
        <v/>
      </c>
      <c r="AE367" s="911">
        <f>IF(E367="YES",IF(G367=1,"",IF(H367=1,C367,"")),IF(H367=1,C367,IF(H367=2,C367,IF(H367=0,"",""))))</f>
        <v/>
      </c>
      <c r="AF367" s="911">
        <f>IF(E367="YES",IF(I367=1,C367,""),IF(I367=1,C367,IF(I367=2,C367,IF(I367=0,"",""))))</f>
        <v/>
      </c>
      <c r="AG367" s="192">
        <f>(C367*G367)+(C367*H367)+(C367*I367)</f>
        <v/>
      </c>
    </row>
    <row r="368">
      <c r="A368" s="57" t="n"/>
      <c r="B368" s="57" t="n"/>
      <c r="C368" s="109" t="n"/>
      <c r="F368" s="57" t="n"/>
      <c r="J368" s="57" t="n"/>
      <c r="K368" s="57" t="n"/>
      <c r="L368" s="57" t="n"/>
      <c r="M368" s="57" t="n"/>
      <c r="N368" s="57" t="n"/>
      <c r="O368" s="57" t="n"/>
      <c r="AA368" s="640">
        <f>IF(G368=0, IF(OR(H368&gt;0,F368&gt;0),C368*F368,""),"")</f>
        <v/>
      </c>
      <c r="AB368" s="640">
        <f>IF(G368&gt;=1,IF(F368&gt;1,C368*(F368-2),""),"")</f>
        <v/>
      </c>
      <c r="AC368" s="640" t="n"/>
      <c r="AD368" s="911">
        <f>IF(E368="YES",IF(G368=1,"",""),IF(G368=1,C368,IF(G368=2,C368,IF(G368=0,"",""))))</f>
        <v/>
      </c>
      <c r="AE368" s="911">
        <f>IF(E368="YES",IF(G368=1,"",IF(H368=1,C368,"")),IF(H368=1,C368,IF(H368=2,C368,IF(H368=0,"",""))))</f>
        <v/>
      </c>
      <c r="AF368" s="911">
        <f>IF(E368="YES",IF(I368=1,C368,""),IF(I368=1,C368,IF(I368=2,C368,IF(I368=0,"",""))))</f>
        <v/>
      </c>
      <c r="AG368" s="192">
        <f>(C368*G368)+(C368*H368)+(C368*I368)</f>
        <v/>
      </c>
    </row>
    <row r="369">
      <c r="A369" s="57" t="n"/>
      <c r="B369" s="57" t="n"/>
      <c r="C369" s="109" t="n"/>
      <c r="F369" s="57" t="n"/>
      <c r="J369" s="57" t="n"/>
      <c r="K369" s="57" t="n"/>
      <c r="L369" s="57" t="n"/>
      <c r="M369" s="57" t="n"/>
      <c r="N369" s="57" t="n"/>
      <c r="O369" s="57" t="n"/>
      <c r="AA369" s="640">
        <f>IF(G369=0, IF(OR(H369&gt;0,F369&gt;0),C369*F369,""),"")</f>
        <v/>
      </c>
      <c r="AB369" s="640">
        <f>IF(G369&gt;=1,IF(F369&gt;1,C369*(F369-2),""),"")</f>
        <v/>
      </c>
      <c r="AC369" s="640" t="n"/>
      <c r="AD369" s="911">
        <f>IF(E369="YES",IF(G369=1,"",""),IF(G369=1,C369,IF(G369=2,C369,IF(G369=0,"",""))))</f>
        <v/>
      </c>
      <c r="AE369" s="911">
        <f>IF(E369="YES",IF(G369=1,"",IF(H369=1,C369,"")),IF(H369=1,C369,IF(H369=2,C369,IF(H369=0,"",""))))</f>
        <v/>
      </c>
      <c r="AF369" s="911">
        <f>IF(E369="YES",IF(I369=1,C369,""),IF(I369=1,C369,IF(I369=2,C369,IF(I369=0,"",""))))</f>
        <v/>
      </c>
      <c r="AG369" s="192">
        <f>(C369*G369)+(C369*H369)+(C369*I369)</f>
        <v/>
      </c>
    </row>
    <row r="370">
      <c r="A370" s="57" t="n"/>
      <c r="B370" s="57" t="n"/>
      <c r="C370" s="109" t="n"/>
      <c r="F370" s="57" t="n"/>
      <c r="J370" s="57" t="n"/>
      <c r="K370" s="57" t="n"/>
      <c r="L370" s="57" t="n"/>
      <c r="M370" s="57" t="n"/>
      <c r="N370" s="57" t="n"/>
      <c r="O370" s="57" t="n"/>
      <c r="AA370" s="640">
        <f>IF(G370=0, IF(OR(H370&gt;0,F370&gt;0),C370*F370,""),"")</f>
        <v/>
      </c>
      <c r="AB370" s="640">
        <f>IF(G370&gt;=1,IF(F370&gt;1,C370*(F370-2),""),"")</f>
        <v/>
      </c>
      <c r="AC370" s="640" t="n"/>
      <c r="AD370" s="911">
        <f>IF(E370="YES",IF(G370=1,"",""),IF(G370=1,C370,IF(G370=2,C370,IF(G370=0,"",""))))</f>
        <v/>
      </c>
      <c r="AE370" s="911">
        <f>IF(E370="YES",IF(G370=1,"",IF(H370=1,C370,"")),IF(H370=1,C370,IF(H370=2,C370,IF(H370=0,"",""))))</f>
        <v/>
      </c>
      <c r="AF370" s="911">
        <f>IF(E370="YES",IF(I370=1,C370,""),IF(I370=1,C370,IF(I370=2,C370,IF(I370=0,"",""))))</f>
        <v/>
      </c>
      <c r="AG370" s="192">
        <f>(C370*G370)+(C370*H370)+(C370*I370)</f>
        <v/>
      </c>
    </row>
    <row r="371">
      <c r="A371" s="57" t="n"/>
      <c r="B371" s="57" t="n"/>
      <c r="C371" s="109" t="n"/>
      <c r="F371" s="57" t="n"/>
      <c r="J371" s="57" t="n"/>
      <c r="K371" s="57" t="n"/>
      <c r="L371" s="57" t="n"/>
      <c r="M371" s="57" t="n"/>
      <c r="N371" s="57" t="n"/>
      <c r="O371" s="57" t="n"/>
      <c r="AA371" s="640">
        <f>IF(G371=0, IF(OR(H371&gt;0,F371&gt;0),C371*F371,""),"")</f>
        <v/>
      </c>
      <c r="AB371" s="640">
        <f>IF(G371&gt;=1,IF(F371&gt;1,C371*(F371-2),""),"")</f>
        <v/>
      </c>
      <c r="AC371" s="640" t="n"/>
      <c r="AD371" s="911">
        <f>IF(E371="YES",IF(G371=1,"",""),IF(G371=1,C371,IF(G371=2,C371,IF(G371=0,"",""))))</f>
        <v/>
      </c>
      <c r="AE371" s="911">
        <f>IF(E371="YES",IF(G371=1,"",IF(H371=1,C371,"")),IF(H371=1,C371,IF(H371=2,C371,IF(H371=0,"",""))))</f>
        <v/>
      </c>
      <c r="AF371" s="911">
        <f>IF(E371="YES",IF(I371=1,C371,""),IF(I371=1,C371,IF(I371=2,C371,IF(I371=0,"",""))))</f>
        <v/>
      </c>
      <c r="AG371" s="192">
        <f>(C371*G371)+(C371*H371)+(C371*I371)</f>
        <v/>
      </c>
    </row>
    <row r="372">
      <c r="A372" s="57" t="n"/>
      <c r="B372" s="57" t="n"/>
      <c r="C372" s="109" t="n"/>
      <c r="F372" s="57" t="n"/>
      <c r="J372" s="57" t="n"/>
      <c r="K372" s="57" t="n"/>
      <c r="L372" s="57" t="n"/>
      <c r="M372" s="57" t="n"/>
      <c r="N372" s="57" t="n"/>
      <c r="O372" s="57" t="n"/>
      <c r="AA372" s="640">
        <f>IF(G372=0, IF(OR(H372&gt;0,F372&gt;0),C372*F372,""),"")</f>
        <v/>
      </c>
      <c r="AB372" s="640">
        <f>IF(G372&gt;=1,IF(F372&gt;1,C372*(F372-2),""),"")</f>
        <v/>
      </c>
      <c r="AC372" s="640" t="n"/>
      <c r="AD372" s="911">
        <f>IF(E372="YES",IF(G372=1,"",""),IF(G372=1,C372,IF(G372=2,C372,IF(G372=0,"",""))))</f>
        <v/>
      </c>
      <c r="AE372" s="911">
        <f>IF(E372="YES",IF(G372=1,"",IF(H372=1,C372,"")),IF(H372=1,C372,IF(H372=2,C372,IF(H372=0,"",""))))</f>
        <v/>
      </c>
      <c r="AF372" s="911">
        <f>IF(E372="YES",IF(I372=1,C372,""),IF(I372=1,C372,IF(I372=2,C372,IF(I372=0,"",""))))</f>
        <v/>
      </c>
      <c r="AG372" s="192">
        <f>(C372*G372)+(C372*H372)+(C372*I372)</f>
        <v/>
      </c>
    </row>
    <row r="373">
      <c r="A373" s="57" t="n"/>
      <c r="B373" s="57" t="n"/>
      <c r="C373" s="109" t="n"/>
      <c r="F373" s="57" t="n"/>
      <c r="J373" s="57" t="n"/>
      <c r="K373" s="57" t="n"/>
      <c r="L373" s="57" t="n"/>
      <c r="M373" s="57" t="n"/>
      <c r="N373" s="57" t="n"/>
      <c r="O373" s="57" t="n"/>
      <c r="AA373" s="640">
        <f>IF(G373=0, IF(OR(H373&gt;0,F373&gt;0),C373*F373,""),"")</f>
        <v/>
      </c>
      <c r="AB373" s="640">
        <f>IF(G373&gt;=1,IF(F373&gt;1,C373*(F373-2),""),"")</f>
        <v/>
      </c>
      <c r="AC373" s="640" t="n"/>
      <c r="AD373" s="911">
        <f>IF(E373="YES",IF(G373=1,"",""),IF(G373=1,C373,IF(G373=2,C373,IF(G373=0,"",""))))</f>
        <v/>
      </c>
      <c r="AE373" s="911">
        <f>IF(E373="YES",IF(G373=1,"",IF(H373=1,C373,"")),IF(H373=1,C373,IF(H373=2,C373,IF(H373=0,"",""))))</f>
        <v/>
      </c>
      <c r="AF373" s="911">
        <f>IF(E373="YES",IF(I373=1,C373,""),IF(I373=1,C373,IF(I373=2,C373,IF(I373=0,"",""))))</f>
        <v/>
      </c>
      <c r="AG373" s="192">
        <f>(C373*G373)+(C373*H373)+(C373*I373)</f>
        <v/>
      </c>
    </row>
    <row r="374">
      <c r="A374" s="57" t="n"/>
      <c r="B374" s="57" t="n"/>
      <c r="C374" s="109" t="n"/>
      <c r="F374" s="57" t="n"/>
      <c r="J374" s="57" t="n"/>
      <c r="K374" s="57" t="n"/>
      <c r="L374" s="57" t="n"/>
      <c r="M374" s="57" t="n"/>
      <c r="N374" s="57" t="n"/>
      <c r="O374" s="57" t="n"/>
      <c r="AA374" s="640">
        <f>IF(G374=0, IF(OR(H374&gt;0,F374&gt;0),C374*F374,""),"")</f>
        <v/>
      </c>
      <c r="AB374" s="640">
        <f>IF(G374&gt;=1,IF(F374&gt;1,C374*(F374-2),""),"")</f>
        <v/>
      </c>
      <c r="AC374" s="640" t="n"/>
      <c r="AD374" s="911">
        <f>IF(E374="YES",IF(G374=1,"",""),IF(G374=1,C374,IF(G374=2,C374,IF(G374=0,"",""))))</f>
        <v/>
      </c>
      <c r="AE374" s="911">
        <f>IF(E374="YES",IF(G374=1,"",IF(H374=1,C374,"")),IF(H374=1,C374,IF(H374=2,C374,IF(H374=0,"",""))))</f>
        <v/>
      </c>
      <c r="AF374" s="911">
        <f>IF(E374="YES",IF(I374=1,C374,""),IF(I374=1,C374,IF(I374=2,C374,IF(I374=0,"",""))))</f>
        <v/>
      </c>
      <c r="AG374" s="192">
        <f>(C374*G374)+(C374*H374)+(C374*I374)</f>
        <v/>
      </c>
    </row>
    <row r="375">
      <c r="A375" s="57" t="n"/>
      <c r="B375" s="57" t="n"/>
      <c r="C375" s="109" t="n"/>
      <c r="F375" s="57" t="n"/>
      <c r="J375" s="57" t="n"/>
      <c r="K375" s="57" t="n"/>
      <c r="L375" s="57" t="n"/>
      <c r="M375" s="57" t="n"/>
      <c r="N375" s="57" t="n"/>
      <c r="O375" s="57" t="n"/>
      <c r="AA375" s="640">
        <f>IF(G375=0, IF(OR(H375&gt;0,F375&gt;0),C375*F375,""),"")</f>
        <v/>
      </c>
      <c r="AB375" s="640">
        <f>IF(G375&gt;=1,IF(F375&gt;1,C375*(F375-2),""),"")</f>
        <v/>
      </c>
      <c r="AC375" s="640" t="n"/>
      <c r="AD375" s="911">
        <f>IF(E375="YES",IF(G375=1,"",""),IF(G375=1,C375,IF(G375=2,C375,IF(G375=0,"",""))))</f>
        <v/>
      </c>
      <c r="AE375" s="911">
        <f>IF(E375="YES",IF(G375=1,"",IF(H375=1,C375,"")),IF(H375=1,C375,IF(H375=2,C375,IF(H375=0,"",""))))</f>
        <v/>
      </c>
      <c r="AF375" s="911">
        <f>IF(E375="YES",IF(I375=1,C375,""),IF(I375=1,C375,IF(I375=2,C375,IF(I375=0,"",""))))</f>
        <v/>
      </c>
      <c r="AG375" s="192">
        <f>(C375*G375)+(C375*H375)+(C375*I375)</f>
        <v/>
      </c>
    </row>
    <row r="376">
      <c r="A376" s="57" t="n"/>
      <c r="B376" s="57" t="n"/>
      <c r="C376" s="109" t="n"/>
      <c r="F376" s="57" t="n"/>
      <c r="J376" s="57" t="n"/>
      <c r="K376" s="57" t="n"/>
      <c r="L376" s="57" t="n"/>
      <c r="M376" s="57" t="n"/>
      <c r="N376" s="57" t="n"/>
      <c r="O376" s="57" t="n"/>
      <c r="AA376" s="640">
        <f>IF(G376=0, IF(OR(H376&gt;0,F376&gt;0),C376*F376,""),"")</f>
        <v/>
      </c>
      <c r="AB376" s="640">
        <f>IF(G376&gt;=1,IF(F376&gt;1,C376*(F376-2),""),"")</f>
        <v/>
      </c>
      <c r="AC376" s="640" t="n"/>
      <c r="AD376" s="911">
        <f>IF(E376="YES",IF(G376=1,"",""),IF(G376=1,C376,IF(G376=2,C376,IF(G376=0,"",""))))</f>
        <v/>
      </c>
      <c r="AE376" s="911">
        <f>IF(E376="YES",IF(G376=1,"",IF(H376=1,C376,"")),IF(H376=1,C376,IF(H376=2,C376,IF(H376=0,"",""))))</f>
        <v/>
      </c>
      <c r="AF376" s="911">
        <f>IF(E376="YES",IF(I376=1,C376,""),IF(I376=1,C376,IF(I376=2,C376,IF(I376=0,"",""))))</f>
        <v/>
      </c>
      <c r="AG376" s="192">
        <f>(C376*G376)+(C376*H376)+(C376*I376)</f>
        <v/>
      </c>
    </row>
    <row r="377">
      <c r="A377" s="57" t="n"/>
      <c r="B377" s="57" t="n"/>
      <c r="C377" s="109" t="n"/>
      <c r="F377" s="57" t="n"/>
      <c r="J377" s="57" t="n"/>
      <c r="K377" s="57" t="n"/>
      <c r="L377" s="57" t="n"/>
      <c r="M377" s="57" t="n"/>
      <c r="N377" s="57" t="n"/>
      <c r="O377" s="57" t="n"/>
      <c r="AA377" s="640">
        <f>IF(G377=0, IF(OR(H377&gt;0,F377&gt;0),C377*F377,""),"")</f>
        <v/>
      </c>
      <c r="AB377" s="640">
        <f>IF(G377&gt;=1,IF(F377&gt;1,C377*(F377-2),""),"")</f>
        <v/>
      </c>
      <c r="AC377" s="640" t="n"/>
      <c r="AD377" s="911">
        <f>IF(E377="YES",IF(G377=1,"",""),IF(G377=1,C377,IF(G377=2,C377,IF(G377=0,"",""))))</f>
        <v/>
      </c>
      <c r="AE377" s="911">
        <f>IF(E377="YES",IF(G377=1,"",IF(H377=1,C377,"")),IF(H377=1,C377,IF(H377=2,C377,IF(H377=0,"",""))))</f>
        <v/>
      </c>
      <c r="AF377" s="911">
        <f>IF(E377="YES",IF(I377=1,C377,""),IF(I377=1,C377,IF(I377=2,C377,IF(I377=0,"",""))))</f>
        <v/>
      </c>
      <c r="AG377" s="192">
        <f>(C377*G377)+(C377*H377)+(C377*I377)</f>
        <v/>
      </c>
    </row>
    <row r="378">
      <c r="A378" s="57" t="n"/>
      <c r="B378" s="57" t="n"/>
      <c r="C378" s="109" t="n"/>
      <c r="F378" s="57" t="n"/>
      <c r="J378" s="57" t="n"/>
      <c r="K378" s="57" t="n"/>
      <c r="L378" s="57" t="n"/>
      <c r="M378" s="57" t="n"/>
      <c r="N378" s="57" t="n"/>
      <c r="O378" s="57" t="n"/>
      <c r="AA378" s="640">
        <f>IF(G378=0, IF(OR(H378&gt;0,F378&gt;0),C378*F378,""),"")</f>
        <v/>
      </c>
      <c r="AB378" s="640">
        <f>IF(G378&gt;=1,IF(F378&gt;1,C378*(F378-2),""),"")</f>
        <v/>
      </c>
      <c r="AC378" s="640" t="n"/>
      <c r="AD378" s="911">
        <f>IF(E378="YES",IF(G378=1,"",""),IF(G378=1,C378,IF(G378=2,C378,IF(G378=0,"",""))))</f>
        <v/>
      </c>
      <c r="AE378" s="911">
        <f>IF(E378="YES",IF(G378=1,"",IF(H378=1,C378,"")),IF(H378=1,C378,IF(H378=2,C378,IF(H378=0,"",""))))</f>
        <v/>
      </c>
      <c r="AF378" s="911">
        <f>IF(E378="YES",IF(I378=1,C378,""),IF(I378=1,C378,IF(I378=2,C378,IF(I378=0,"",""))))</f>
        <v/>
      </c>
      <c r="AG378" s="192">
        <f>(C378*G378)+(C378*H378)+(C378*I378)</f>
        <v/>
      </c>
    </row>
    <row r="379">
      <c r="A379" s="57" t="n"/>
      <c r="B379" s="57" t="n"/>
      <c r="C379" s="109" t="n"/>
      <c r="F379" s="57" t="n"/>
      <c r="J379" s="57" t="n"/>
      <c r="K379" s="57" t="n"/>
      <c r="L379" s="57" t="n"/>
      <c r="M379" s="57" t="n"/>
      <c r="N379" s="57" t="n"/>
      <c r="O379" s="57" t="n"/>
      <c r="AA379" s="640">
        <f>IF(G379=0, IF(OR(H379&gt;0,F379&gt;0),C379*F379,""),"")</f>
        <v/>
      </c>
      <c r="AB379" s="640">
        <f>IF(G379&gt;=1,IF(F379&gt;1,C379*(F379-2),""),"")</f>
        <v/>
      </c>
      <c r="AC379" s="640" t="n"/>
      <c r="AD379" s="911">
        <f>IF(E379="YES",IF(G379=1,"",""),IF(G379=1,C379,IF(G379=2,C379,IF(G379=0,"",""))))</f>
        <v/>
      </c>
      <c r="AE379" s="911">
        <f>IF(E379="YES",IF(G379=1,"",IF(H379=1,C379,"")),IF(H379=1,C379,IF(H379=2,C379,IF(H379=0,"",""))))</f>
        <v/>
      </c>
      <c r="AF379" s="911">
        <f>IF(E379="YES",IF(I379=1,C379,""),IF(I379=1,C379,IF(I379=2,C379,IF(I379=0,"",""))))</f>
        <v/>
      </c>
      <c r="AG379" s="192">
        <f>(C379*G379)+(C379*H379)+(C379*I379)</f>
        <v/>
      </c>
    </row>
    <row r="380">
      <c r="A380" s="57" t="n"/>
      <c r="B380" s="57" t="n"/>
      <c r="C380" s="109" t="n"/>
      <c r="F380" s="57" t="n"/>
      <c r="J380" s="57" t="n"/>
      <c r="K380" s="57" t="n"/>
      <c r="L380" s="57" t="n"/>
      <c r="M380" s="57" t="n"/>
      <c r="N380" s="57" t="n"/>
      <c r="O380" s="57" t="n"/>
      <c r="AA380" s="640">
        <f>IF(G380=0, IF(OR(H380&gt;0,F380&gt;0),C380*F380,""),"")</f>
        <v/>
      </c>
      <c r="AB380" s="640">
        <f>IF(G380&gt;=1,IF(F380&gt;1,C380*(F380-2),""),"")</f>
        <v/>
      </c>
      <c r="AC380" s="640" t="n"/>
      <c r="AD380" s="911">
        <f>IF(E380="YES",IF(G380=1,"",""),IF(G380=1,C380,IF(G380=2,C380,IF(G380=0,"",""))))</f>
        <v/>
      </c>
      <c r="AE380" s="911">
        <f>IF(E380="YES",IF(G380=1,"",IF(H380=1,C380,"")),IF(H380=1,C380,IF(H380=2,C380,IF(H380=0,"",""))))</f>
        <v/>
      </c>
      <c r="AF380" s="911">
        <f>IF(E380="YES",IF(I380=1,C380,""),IF(I380=1,C380,IF(I380=2,C380,IF(I380=0,"",""))))</f>
        <v/>
      </c>
      <c r="AG380" s="192">
        <f>(C380*G380)+(C380*H380)+(C380*I380)</f>
        <v/>
      </c>
    </row>
    <row r="381">
      <c r="A381" s="57" t="n"/>
      <c r="B381" s="57" t="n"/>
      <c r="C381" s="109" t="n"/>
      <c r="F381" s="57" t="n"/>
      <c r="J381" s="57" t="n"/>
      <c r="K381" s="57" t="n"/>
      <c r="L381" s="57" t="n"/>
      <c r="M381" s="57" t="n"/>
      <c r="N381" s="57" t="n"/>
      <c r="O381" s="57" t="n"/>
      <c r="AA381" s="640">
        <f>IF(G381=0, IF(OR(H381&gt;0,F381&gt;0),C381*F381,""),"")</f>
        <v/>
      </c>
      <c r="AB381" s="640">
        <f>IF(G381&gt;=1,IF(F381&gt;1,C381*(F381-2),""),"")</f>
        <v/>
      </c>
      <c r="AC381" s="640" t="n"/>
      <c r="AD381" s="911">
        <f>IF(E381="YES",IF(G381=1,"",""),IF(G381=1,C381,IF(G381=2,C381,IF(G381=0,"",""))))</f>
        <v/>
      </c>
      <c r="AE381" s="911">
        <f>IF(E381="YES",IF(G381=1,"",IF(H381=1,C381,"")),IF(H381=1,C381,IF(H381=2,C381,IF(H381=0,"",""))))</f>
        <v/>
      </c>
      <c r="AF381" s="911">
        <f>IF(E381="YES",IF(I381=1,C381,""),IF(I381=1,C381,IF(I381=2,C381,IF(I381=0,"",""))))</f>
        <v/>
      </c>
      <c r="AG381" s="192">
        <f>(C381*G381)+(C381*H381)+(C381*I381)</f>
        <v/>
      </c>
    </row>
    <row r="382">
      <c r="A382" s="57" t="n"/>
      <c r="B382" s="57" t="n"/>
      <c r="C382" s="109" t="n"/>
      <c r="F382" s="57" t="n"/>
      <c r="J382" s="57" t="n"/>
      <c r="K382" s="57" t="n"/>
      <c r="L382" s="57" t="n"/>
      <c r="M382" s="57" t="n"/>
      <c r="N382" s="57" t="n"/>
      <c r="O382" s="57" t="n"/>
      <c r="AA382" s="640">
        <f>IF(G382=0, IF(OR(H382&gt;0,F382&gt;0),C382*F382,""),"")</f>
        <v/>
      </c>
      <c r="AB382" s="640">
        <f>IF(G382&gt;=1,IF(F382&gt;1,C382*(F382-2),""),"")</f>
        <v/>
      </c>
      <c r="AC382" s="640" t="n"/>
      <c r="AD382" s="911">
        <f>IF(E382="YES",IF(G382=1,"",""),IF(G382=1,C382,IF(G382=2,C382,IF(G382=0,"",""))))</f>
        <v/>
      </c>
      <c r="AE382" s="911">
        <f>IF(E382="YES",IF(G382=1,"",IF(H382=1,C382,"")),IF(H382=1,C382,IF(H382=2,C382,IF(H382=0,"",""))))</f>
        <v/>
      </c>
      <c r="AF382" s="911">
        <f>IF(E382="YES",IF(I382=1,C382,""),IF(I382=1,C382,IF(I382=2,C382,IF(I382=0,"",""))))</f>
        <v/>
      </c>
      <c r="AG382" s="192">
        <f>(C382*G382)+(C382*H382)+(C382*I382)</f>
        <v/>
      </c>
    </row>
    <row r="383">
      <c r="A383" s="57" t="n"/>
      <c r="B383" s="57" t="n"/>
      <c r="C383" s="109" t="n"/>
      <c r="F383" s="57" t="n"/>
      <c r="J383" s="57" t="n"/>
      <c r="K383" s="57" t="n"/>
      <c r="L383" s="57" t="n"/>
      <c r="M383" s="57" t="n"/>
      <c r="N383" s="57" t="n"/>
      <c r="O383" s="57" t="n"/>
      <c r="AA383" s="640">
        <f>IF(G383=0, IF(OR(H383&gt;0,F383&gt;0),C383*F383,""),"")</f>
        <v/>
      </c>
      <c r="AB383" s="640">
        <f>IF(G383&gt;=1,IF(F383&gt;1,C383*(F383-2),""),"")</f>
        <v/>
      </c>
      <c r="AC383" s="640" t="n"/>
      <c r="AD383" s="911">
        <f>IF(E383="YES",IF(G383=1,"",""),IF(G383=1,C383,IF(G383=2,C383,IF(G383=0,"",""))))</f>
        <v/>
      </c>
      <c r="AE383" s="911">
        <f>IF(E383="YES",IF(G383=1,"",IF(H383=1,C383,"")),IF(H383=1,C383,IF(H383=2,C383,IF(H383=0,"",""))))</f>
        <v/>
      </c>
      <c r="AF383" s="911">
        <f>IF(E383="YES",IF(I383=1,C383,""),IF(I383=1,C383,IF(I383=2,C383,IF(I383=0,"",""))))</f>
        <v/>
      </c>
      <c r="AG383" s="192">
        <f>(C383*G383)+(C383*H383)+(C383*I383)</f>
        <v/>
      </c>
    </row>
    <row r="384">
      <c r="A384" s="57" t="n"/>
      <c r="B384" s="57" t="n"/>
      <c r="C384" s="109" t="n"/>
      <c r="F384" s="57" t="n"/>
      <c r="J384" s="57" t="n"/>
      <c r="K384" s="57" t="n"/>
      <c r="L384" s="57" t="n"/>
      <c r="M384" s="57" t="n"/>
      <c r="N384" s="57" t="n"/>
      <c r="O384" s="57" t="n"/>
      <c r="AA384" s="640">
        <f>IF(G384=0, IF(OR(H384&gt;0,F384&gt;0),C384*F384,""),"")</f>
        <v/>
      </c>
      <c r="AB384" s="640">
        <f>IF(G384&gt;=1,IF(F384&gt;1,C384*(F384-2),""),"")</f>
        <v/>
      </c>
      <c r="AC384" s="640" t="n"/>
      <c r="AD384" s="911">
        <f>IF(E384="YES",IF(G384=1,"",""),IF(G384=1,C384,IF(G384=2,C384,IF(G384=0,"",""))))</f>
        <v/>
      </c>
      <c r="AE384" s="911">
        <f>IF(E384="YES",IF(G384=1,"",IF(H384=1,C384,"")),IF(H384=1,C384,IF(H384=2,C384,IF(H384=0,"",""))))</f>
        <v/>
      </c>
      <c r="AF384" s="911">
        <f>IF(E384="YES",IF(I384=1,C384,""),IF(I384=1,C384,IF(I384=2,C384,IF(I384=0,"",""))))</f>
        <v/>
      </c>
      <c r="AG384" s="192">
        <f>(C384*G384)+(C384*H384)+(C384*I384)</f>
        <v/>
      </c>
    </row>
    <row r="385">
      <c r="A385" s="57" t="n"/>
      <c r="B385" s="57" t="n"/>
      <c r="C385" s="109" t="n"/>
      <c r="F385" s="57" t="n"/>
      <c r="J385" s="57" t="n"/>
      <c r="K385" s="57" t="n"/>
      <c r="L385" s="57" t="n"/>
      <c r="M385" s="57" t="n"/>
      <c r="N385" s="57" t="n"/>
      <c r="O385" s="57" t="n"/>
      <c r="AA385" s="640">
        <f>IF(G385=0, IF(OR(H385&gt;0,F385&gt;0),C385*F385,""),"")</f>
        <v/>
      </c>
      <c r="AB385" s="640">
        <f>IF(G385&gt;=1,IF(F385&gt;1,C385*(F385-2),""),"")</f>
        <v/>
      </c>
      <c r="AC385" s="640" t="n"/>
      <c r="AD385" s="911">
        <f>IF(E385="YES",IF(G385=1,"",""),IF(G385=1,C385,IF(G385=2,C385,IF(G385=0,"",""))))</f>
        <v/>
      </c>
      <c r="AE385" s="911">
        <f>IF(E385="YES",IF(G385=1,"",IF(H385=1,C385,"")),IF(H385=1,C385,IF(H385=2,C385,IF(H385=0,"",""))))</f>
        <v/>
      </c>
      <c r="AF385" s="911">
        <f>IF(E385="YES",IF(I385=1,C385,""),IF(I385=1,C385,IF(I385=2,C385,IF(I385=0,"",""))))</f>
        <v/>
      </c>
      <c r="AG385" s="192">
        <f>(C385*G385)+(C385*H385)+(C385*I385)</f>
        <v/>
      </c>
    </row>
    <row r="386">
      <c r="A386" s="57" t="n"/>
      <c r="B386" s="57" t="n"/>
      <c r="C386" s="109" t="n"/>
      <c r="F386" s="57" t="n"/>
      <c r="J386" s="57" t="n"/>
      <c r="K386" s="57" t="n"/>
      <c r="L386" s="57" t="n"/>
      <c r="M386" s="57" t="n"/>
      <c r="N386" s="57" t="n"/>
      <c r="O386" s="57" t="n"/>
      <c r="AA386" s="640">
        <f>IF(G386=0, IF(OR(H386&gt;0,F386&gt;0),C386*F386,""),"")</f>
        <v/>
      </c>
      <c r="AB386" s="640">
        <f>IF(G386&gt;=1,IF(F386&gt;1,C386*(F386-2),""),"")</f>
        <v/>
      </c>
      <c r="AC386" s="640" t="n"/>
      <c r="AD386" s="911">
        <f>IF(E386="YES",IF(G386=1,"",""),IF(G386=1,C386,IF(G386=2,C386,IF(G386=0,"",""))))</f>
        <v/>
      </c>
      <c r="AE386" s="911">
        <f>IF(E386="YES",IF(G386=1,"",IF(H386=1,C386,"")),IF(H386=1,C386,IF(H386=2,C386,IF(H386=0,"",""))))</f>
        <v/>
      </c>
      <c r="AF386" s="911">
        <f>IF(E386="YES",IF(I386=1,C386,""),IF(I386=1,C386,IF(I386=2,C386,IF(I386=0,"",""))))</f>
        <v/>
      </c>
      <c r="AG386" s="192">
        <f>(C386*G386)+(C386*H386)+(C386*I386)</f>
        <v/>
      </c>
    </row>
    <row r="387">
      <c r="A387" s="57" t="n"/>
      <c r="B387" s="57" t="n"/>
      <c r="C387" s="109" t="n"/>
      <c r="F387" s="57" t="n"/>
      <c r="J387" s="57" t="n"/>
      <c r="K387" s="57" t="n"/>
      <c r="L387" s="57" t="n"/>
      <c r="M387" s="57" t="n"/>
      <c r="N387" s="57" t="n"/>
      <c r="O387" s="57" t="n"/>
      <c r="AA387" s="640">
        <f>IF(G387=0, IF(OR(H387&gt;0,F387&gt;0),C387*F387,""),"")</f>
        <v/>
      </c>
      <c r="AB387" s="640">
        <f>IF(G387&gt;=1,IF(F387&gt;1,C387*(F387-2),""),"")</f>
        <v/>
      </c>
      <c r="AC387" s="640" t="n"/>
      <c r="AD387" s="911">
        <f>IF(E387="YES",IF(G387=1,"",""),IF(G387=1,C387,IF(G387=2,C387,IF(G387=0,"",""))))</f>
        <v/>
      </c>
      <c r="AE387" s="911">
        <f>IF(E387="YES",IF(G387=1,"",IF(H387=1,C387,"")),IF(H387=1,C387,IF(H387=2,C387,IF(H387=0,"",""))))</f>
        <v/>
      </c>
      <c r="AF387" s="911">
        <f>IF(E387="YES",IF(I387=1,C387,""),IF(I387=1,C387,IF(I387=2,C387,IF(I387=0,"",""))))</f>
        <v/>
      </c>
      <c r="AG387" s="192">
        <f>(C387*G387)+(C387*H387)+(C387*I387)</f>
        <v/>
      </c>
    </row>
    <row r="388">
      <c r="A388" s="57" t="n"/>
      <c r="B388" s="57" t="n"/>
      <c r="C388" s="109" t="n"/>
      <c r="F388" s="57" t="n"/>
      <c r="J388" s="57" t="n"/>
      <c r="K388" s="57" t="n"/>
      <c r="L388" s="57" t="n"/>
      <c r="M388" s="57" t="n"/>
      <c r="N388" s="57" t="n"/>
      <c r="O388" s="57" t="n"/>
      <c r="AA388" s="640">
        <f>IF(G388=0, IF(OR(H388&gt;0,F388&gt;0),C388*F388,""),"")</f>
        <v/>
      </c>
      <c r="AB388" s="640">
        <f>IF(G388&gt;=1,IF(F388&gt;1,C388*(F388-2),""),"")</f>
        <v/>
      </c>
      <c r="AC388" s="640" t="n"/>
      <c r="AD388" s="911">
        <f>IF(E388="YES",IF(G388=1,"",""),IF(G388=1,C388,IF(G388=2,C388,IF(G388=0,"",""))))</f>
        <v/>
      </c>
      <c r="AE388" s="911">
        <f>IF(E388="YES",IF(G388=1,"",IF(H388=1,C388,"")),IF(H388=1,C388,IF(H388=2,C388,IF(H388=0,"",""))))</f>
        <v/>
      </c>
      <c r="AF388" s="911">
        <f>IF(E388="YES",IF(I388=1,C388,""),IF(I388=1,C388,IF(I388=2,C388,IF(I388=0,"",""))))</f>
        <v/>
      </c>
      <c r="AG388" s="192">
        <f>(C388*G388)+(C388*H388)+(C388*I388)</f>
        <v/>
      </c>
    </row>
    <row r="389">
      <c r="A389" s="57" t="n"/>
      <c r="B389" s="57" t="n"/>
      <c r="C389" s="109" t="n"/>
      <c r="F389" s="57" t="n"/>
      <c r="J389" s="57" t="n"/>
      <c r="K389" s="57" t="n"/>
      <c r="L389" s="57" t="n"/>
      <c r="M389" s="57" t="n"/>
      <c r="N389" s="57" t="n"/>
      <c r="O389" s="57" t="n"/>
      <c r="AA389" s="640">
        <f>IF(G389=0, IF(OR(H389&gt;0,F389&gt;0),C389*F389,""),"")</f>
        <v/>
      </c>
      <c r="AB389" s="640">
        <f>IF(G389&gt;=1,IF(F389&gt;1,C389*(F389-2),""),"")</f>
        <v/>
      </c>
      <c r="AC389" s="640" t="n"/>
      <c r="AD389" s="911">
        <f>IF(E389="YES",IF(G389=1,"",""),IF(G389=1,C389,IF(G389=2,C389,IF(G389=0,"",""))))</f>
        <v/>
      </c>
      <c r="AE389" s="911">
        <f>IF(E389="YES",IF(G389=1,"",IF(H389=1,C389,"")),IF(H389=1,C389,IF(H389=2,C389,IF(H389=0,"",""))))</f>
        <v/>
      </c>
      <c r="AF389" s="911">
        <f>IF(E389="YES",IF(I389=1,C389,""),IF(I389=1,C389,IF(I389=2,C389,IF(I389=0,"",""))))</f>
        <v/>
      </c>
      <c r="AG389" s="192">
        <f>(C389*G389)+(C389*H389)+(C389*I389)</f>
        <v/>
      </c>
    </row>
    <row r="390">
      <c r="A390" s="57" t="n"/>
      <c r="B390" s="57" t="n"/>
      <c r="C390" s="109" t="n"/>
      <c r="F390" s="57" t="n"/>
      <c r="J390" s="57" t="n"/>
      <c r="K390" s="57" t="n"/>
      <c r="L390" s="57" t="n"/>
      <c r="M390" s="57" t="n"/>
      <c r="N390" s="57" t="n"/>
      <c r="O390" s="57" t="n"/>
      <c r="AA390" s="640">
        <f>IF(G390=0, IF(OR(H390&gt;0,F390&gt;0),C390*F390,""),"")</f>
        <v/>
      </c>
      <c r="AB390" s="640">
        <f>IF(G390&gt;=1,IF(F390&gt;1,C390*(F390-2),""),"")</f>
        <v/>
      </c>
      <c r="AC390" s="640" t="n"/>
      <c r="AD390" s="911">
        <f>IF(E390="YES",IF(G390=1,"",""),IF(G390=1,C390,IF(G390=2,C390,IF(G390=0,"",""))))</f>
        <v/>
      </c>
      <c r="AE390" s="911">
        <f>IF(E390="YES",IF(G390=1,"",IF(H390=1,C390,"")),IF(H390=1,C390,IF(H390=2,C390,IF(H390=0,"",""))))</f>
        <v/>
      </c>
      <c r="AF390" s="911">
        <f>IF(E390="YES",IF(I390=1,C390,""),IF(I390=1,C390,IF(I390=2,C390,IF(I390=0,"",""))))</f>
        <v/>
      </c>
      <c r="AG390" s="192">
        <f>(C390*G390)+(C390*H390)+(C390*I390)</f>
        <v/>
      </c>
    </row>
    <row r="391">
      <c r="A391" s="57" t="n"/>
      <c r="B391" s="57" t="n"/>
      <c r="C391" s="109" t="n"/>
      <c r="F391" s="57" t="n"/>
      <c r="J391" s="57" t="n"/>
      <c r="K391" s="57" t="n"/>
      <c r="L391" s="57" t="n"/>
      <c r="M391" s="57" t="n"/>
      <c r="N391" s="57" t="n"/>
      <c r="O391" s="57" t="n"/>
      <c r="AA391" s="640">
        <f>IF(G391=0, IF(OR(H391&gt;0,F391&gt;0),C391*F391,""),"")</f>
        <v/>
      </c>
      <c r="AB391" s="640">
        <f>IF(G391&gt;=1,IF(F391&gt;1,C391*(F391-2),""),"")</f>
        <v/>
      </c>
      <c r="AC391" s="640" t="n"/>
      <c r="AD391" s="911">
        <f>IF(E391="YES",IF(G391=1,"",""),IF(G391=1,C391,IF(G391=2,C391,IF(G391=0,"",""))))</f>
        <v/>
      </c>
      <c r="AE391" s="911">
        <f>IF(E391="YES",IF(G391=1,"",IF(H391=1,C391,"")),IF(H391=1,C391,IF(H391=2,C391,IF(H391=0,"",""))))</f>
        <v/>
      </c>
      <c r="AF391" s="911">
        <f>IF(E391="YES",IF(I391=1,C391,""),IF(I391=1,C391,IF(I391=2,C391,IF(I391=0,"",""))))</f>
        <v/>
      </c>
      <c r="AG391" s="192">
        <f>(C391*G391)+(C391*H391)+(C391*I391)</f>
        <v/>
      </c>
    </row>
    <row r="392">
      <c r="A392" s="57" t="n"/>
      <c r="B392" s="57" t="n"/>
      <c r="C392" s="109" t="n"/>
      <c r="F392" s="57" t="n"/>
      <c r="J392" s="57" t="n"/>
      <c r="K392" s="57" t="n"/>
      <c r="L392" s="57" t="n"/>
      <c r="M392" s="57" t="n"/>
      <c r="N392" s="57" t="n"/>
      <c r="O392" s="57" t="n"/>
      <c r="AA392" s="640">
        <f>IF(G392=0, IF(OR(H392&gt;0,F392&gt;0),C392*F392,""),"")</f>
        <v/>
      </c>
      <c r="AB392" s="640">
        <f>IF(G392&gt;=1,IF(F392&gt;1,C392*(F392-2),""),"")</f>
        <v/>
      </c>
      <c r="AC392" s="640" t="n"/>
      <c r="AD392" s="911">
        <f>IF(E392="YES",IF(G392=1,"",""),IF(G392=1,C392,IF(G392=2,C392,IF(G392=0,"",""))))</f>
        <v/>
      </c>
      <c r="AE392" s="911">
        <f>IF(E392="YES",IF(G392=1,"",IF(H392=1,C392,"")),IF(H392=1,C392,IF(H392=2,C392,IF(H392=0,"",""))))</f>
        <v/>
      </c>
      <c r="AF392" s="911">
        <f>IF(E392="YES",IF(I392=1,C392,""),IF(I392=1,C392,IF(I392=2,C392,IF(I392=0,"",""))))</f>
        <v/>
      </c>
      <c r="AG392" s="192">
        <f>(C392*G392)+(C392*H392)+(C392*I392)</f>
        <v/>
      </c>
    </row>
    <row r="393">
      <c r="A393" s="57" t="n"/>
      <c r="B393" s="57" t="n"/>
      <c r="C393" s="109" t="n"/>
      <c r="F393" s="57" t="n"/>
      <c r="J393" s="57" t="n"/>
      <c r="K393" s="57" t="n"/>
      <c r="L393" s="57" t="n"/>
      <c r="M393" s="57" t="n"/>
      <c r="N393" s="57" t="n"/>
      <c r="O393" s="57" t="n"/>
      <c r="AA393" s="640">
        <f>IF(G393=0, IF(OR(H393&gt;0,F393&gt;0),C393*F393,""),"")</f>
        <v/>
      </c>
      <c r="AB393" s="640">
        <f>IF(G393&gt;=1,IF(F393&gt;1,C393*(F393-2),""),"")</f>
        <v/>
      </c>
      <c r="AC393" s="640" t="n"/>
      <c r="AD393" s="911">
        <f>IF(E393="YES",IF(G393=1,"",""),IF(G393=1,C393,IF(G393=2,C393,IF(G393=0,"",""))))</f>
        <v/>
      </c>
      <c r="AE393" s="911">
        <f>IF(E393="YES",IF(G393=1,"",IF(H393=1,C393,"")),IF(H393=1,C393,IF(H393=2,C393,IF(H393=0,"",""))))</f>
        <v/>
      </c>
      <c r="AF393" s="911">
        <f>IF(E393="YES",IF(I393=1,C393,""),IF(I393=1,C393,IF(I393=2,C393,IF(I393=0,"",""))))</f>
        <v/>
      </c>
      <c r="AG393" s="192">
        <f>(C393*G393)+(C393*H393)+(C393*I393)</f>
        <v/>
      </c>
    </row>
    <row r="394">
      <c r="A394" s="57" t="n"/>
      <c r="B394" s="57" t="n"/>
      <c r="C394" s="109" t="n"/>
      <c r="F394" s="57" t="n"/>
      <c r="J394" s="57" t="n"/>
      <c r="K394" s="57" t="n"/>
      <c r="L394" s="57" t="n"/>
      <c r="M394" s="57" t="n"/>
      <c r="N394" s="57" t="n"/>
      <c r="O394" s="57" t="n"/>
      <c r="AA394" s="640">
        <f>IF(G394=0, IF(OR(H394&gt;0,F394&gt;0),C394*F394,""),"")</f>
        <v/>
      </c>
      <c r="AB394" s="640">
        <f>IF(G394&gt;=1,IF(F394&gt;1,C394*(F394-2),""),"")</f>
        <v/>
      </c>
      <c r="AC394" s="640" t="n"/>
      <c r="AD394" s="911">
        <f>IF(E394="YES",IF(G394=1,"",""),IF(G394=1,C394,IF(G394=2,C394,IF(G394=0,"",""))))</f>
        <v/>
      </c>
      <c r="AE394" s="911">
        <f>IF(E394="YES",IF(G394=1,"",IF(H394=1,C394,"")),IF(H394=1,C394,IF(H394=2,C394,IF(H394=0,"",""))))</f>
        <v/>
      </c>
      <c r="AF394" s="911">
        <f>IF(E394="YES",IF(I394=1,C394,""),IF(I394=1,C394,IF(I394=2,C394,IF(I394=0,"",""))))</f>
        <v/>
      </c>
      <c r="AG394" s="192">
        <f>(C394*G394)+(C394*H394)+(C394*I394)</f>
        <v/>
      </c>
    </row>
    <row r="395">
      <c r="A395" s="57" t="n"/>
      <c r="B395" s="57" t="n"/>
      <c r="C395" s="109" t="n"/>
      <c r="F395" s="57" t="n"/>
      <c r="J395" s="57" t="n"/>
      <c r="K395" s="57" t="n"/>
      <c r="L395" s="57" t="n"/>
      <c r="M395" s="57" t="n"/>
      <c r="N395" s="57" t="n"/>
      <c r="O395" s="57" t="n"/>
      <c r="AA395" s="640">
        <f>IF(G395=0, IF(OR(H395&gt;0,F395&gt;0),C395*F395,""),"")</f>
        <v/>
      </c>
      <c r="AB395" s="640">
        <f>IF(G395&gt;=1,IF(F395&gt;1,C395*(F395-2),""),"")</f>
        <v/>
      </c>
      <c r="AC395" s="640" t="n"/>
      <c r="AD395" s="911">
        <f>IF(E395="YES",IF(G395=1,"",""),IF(G395=1,C395,IF(G395=2,C395,IF(G395=0,"",""))))</f>
        <v/>
      </c>
      <c r="AE395" s="911">
        <f>IF(E395="YES",IF(G395=1,"",IF(H395=1,C395,"")),IF(H395=1,C395,IF(H395=2,C395,IF(H395=0,"",""))))</f>
        <v/>
      </c>
      <c r="AF395" s="911">
        <f>IF(E395="YES",IF(I395=1,C395,""),IF(I395=1,C395,IF(I395=2,C395,IF(I395=0,"",""))))</f>
        <v/>
      </c>
      <c r="AG395" s="192">
        <f>(C395*G395)+(C395*H395)+(C395*I395)</f>
        <v/>
      </c>
    </row>
    <row r="396">
      <c r="A396" s="57" t="n"/>
      <c r="B396" s="57" t="n"/>
      <c r="C396" s="109" t="n"/>
      <c r="F396" s="57" t="n"/>
      <c r="J396" s="57" t="n"/>
      <c r="K396" s="57" t="n"/>
      <c r="L396" s="57" t="n"/>
      <c r="M396" s="57" t="n"/>
      <c r="N396" s="57" t="n"/>
      <c r="O396" s="57" t="n"/>
      <c r="AA396" s="640">
        <f>IF(G396=0, IF(OR(H396&gt;0,F396&gt;0),C396*F396,""),"")</f>
        <v/>
      </c>
      <c r="AB396" s="640">
        <f>IF(G396&gt;=1,IF(F396&gt;1,C396*(F396-2),""),"")</f>
        <v/>
      </c>
      <c r="AC396" s="640" t="n"/>
      <c r="AD396" s="911">
        <f>IF(E396="YES",IF(G396=1,"",""),IF(G396=1,C396,IF(G396=2,C396,IF(G396=0,"",""))))</f>
        <v/>
      </c>
      <c r="AE396" s="911">
        <f>IF(E396="YES",IF(G396=1,"",IF(H396=1,C396,"")),IF(H396=1,C396,IF(H396=2,C396,IF(H396=0,"",""))))</f>
        <v/>
      </c>
      <c r="AF396" s="911">
        <f>IF(E396="YES",IF(I396=1,C396,""),IF(I396=1,C396,IF(I396=2,C396,IF(I396=0,"",""))))</f>
        <v/>
      </c>
      <c r="AG396" s="192">
        <f>(C396*G396)+(C396*H396)+(C396*I396)</f>
        <v/>
      </c>
    </row>
    <row r="397">
      <c r="A397" s="57" t="n"/>
      <c r="B397" s="57" t="n"/>
      <c r="C397" s="109" t="n"/>
      <c r="F397" s="57" t="n"/>
      <c r="J397" s="57" t="n"/>
      <c r="K397" s="57" t="n"/>
      <c r="L397" s="57" t="n"/>
      <c r="M397" s="57" t="n"/>
      <c r="N397" s="57" t="n"/>
      <c r="O397" s="57" t="n"/>
      <c r="AA397" s="640">
        <f>IF(G397=0, IF(OR(H397&gt;0,F397&gt;0),C397*F397,""),"")</f>
        <v/>
      </c>
      <c r="AB397" s="640">
        <f>IF(G397&gt;=1,IF(F397&gt;1,C397*(F397-2),""),"")</f>
        <v/>
      </c>
      <c r="AC397" s="640" t="n"/>
      <c r="AD397" s="911">
        <f>IF(E397="YES",IF(G397=1,"",""),IF(G397=1,C397,IF(G397=2,C397,IF(G397=0,"",""))))</f>
        <v/>
      </c>
      <c r="AE397" s="911">
        <f>IF(E397="YES",IF(G397=1,"",IF(H397=1,C397,"")),IF(H397=1,C397,IF(H397=2,C397,IF(H397=0,"",""))))</f>
        <v/>
      </c>
      <c r="AF397" s="911">
        <f>IF(E397="YES",IF(I397=1,C397,""),IF(I397=1,C397,IF(I397=2,C397,IF(I397=0,"",""))))</f>
        <v/>
      </c>
      <c r="AG397" s="192">
        <f>(C397*G397)+(C397*H397)+(C397*I397)</f>
        <v/>
      </c>
    </row>
    <row r="398">
      <c r="A398" s="57" t="n"/>
      <c r="B398" s="57" t="n"/>
      <c r="C398" s="109" t="n"/>
      <c r="F398" s="57" t="n"/>
      <c r="J398" s="57" t="n"/>
      <c r="K398" s="57" t="n"/>
      <c r="L398" s="57" t="n"/>
      <c r="M398" s="57" t="n"/>
      <c r="N398" s="57" t="n"/>
      <c r="O398" s="57" t="n"/>
      <c r="AA398" s="640">
        <f>IF(G398=0, IF(OR(H398&gt;0,F398&gt;0),C398*F398,""),"")</f>
        <v/>
      </c>
      <c r="AB398" s="640">
        <f>IF(G398&gt;=1,IF(F398&gt;1,C398*(F398-2),""),"")</f>
        <v/>
      </c>
      <c r="AC398" s="640" t="n"/>
      <c r="AD398" s="911">
        <f>IF(E398="YES",IF(G398=1,"",""),IF(G398=1,C398,IF(G398=2,C398,IF(G398=0,"",""))))</f>
        <v/>
      </c>
      <c r="AE398" s="911">
        <f>IF(E398="YES",IF(G398=1,"",IF(H398=1,C398,"")),IF(H398=1,C398,IF(H398=2,C398,IF(H398=0,"",""))))</f>
        <v/>
      </c>
      <c r="AF398" s="911">
        <f>IF(E398="YES",IF(I398=1,C398,""),IF(I398=1,C398,IF(I398=2,C398,IF(I398=0,"",""))))</f>
        <v/>
      </c>
      <c r="AG398" s="192">
        <f>(C398*G398)+(C398*H398)+(C398*I398)</f>
        <v/>
      </c>
    </row>
    <row r="399">
      <c r="A399" s="57" t="n"/>
      <c r="B399" s="57" t="n"/>
      <c r="C399" s="109" t="n"/>
      <c r="F399" s="57" t="n"/>
      <c r="J399" s="57" t="n"/>
      <c r="K399" s="57" t="n"/>
      <c r="L399" s="57" t="n"/>
      <c r="M399" s="57" t="n"/>
      <c r="N399" s="57" t="n"/>
      <c r="O399" s="57" t="n"/>
      <c r="AA399" s="640">
        <f>IF(G399=0, IF(OR(H399&gt;0,F399&gt;0),C399*F399,""),"")</f>
        <v/>
      </c>
      <c r="AB399" s="640">
        <f>IF(G399&gt;=1,IF(F399&gt;1,C399*(F399-2),""),"")</f>
        <v/>
      </c>
      <c r="AC399" s="640" t="n"/>
      <c r="AD399" s="911">
        <f>IF(E399="YES",IF(G399=1,"",""),IF(G399=1,C399,IF(G399=2,C399,IF(G399=0,"",""))))</f>
        <v/>
      </c>
      <c r="AE399" s="911">
        <f>IF(E399="YES",IF(G399=1,"",IF(H399=1,C399,"")),IF(H399=1,C399,IF(H399=2,C399,IF(H399=0,"",""))))</f>
        <v/>
      </c>
      <c r="AF399" s="911">
        <f>IF(E399="YES",IF(I399=1,C399,""),IF(I399=1,C399,IF(I399=2,C399,IF(I399=0,"",""))))</f>
        <v/>
      </c>
      <c r="AG399" s="192">
        <f>(C399*G399)+(C399*H399)+(C399*I399)</f>
        <v/>
      </c>
    </row>
    <row r="400">
      <c r="A400" s="57" t="n"/>
      <c r="B400" s="57" t="n"/>
      <c r="C400" s="109" t="n"/>
      <c r="F400" s="57" t="n"/>
      <c r="J400" s="57" t="n"/>
      <c r="K400" s="57" t="n"/>
      <c r="L400" s="57" t="n"/>
      <c r="M400" s="57" t="n"/>
      <c r="N400" s="57" t="n"/>
      <c r="O400" s="57" t="n"/>
      <c r="AA400" s="640">
        <f>IF(G400=0, IF(OR(H400&gt;0,F400&gt;0),C400*F400,""),"")</f>
        <v/>
      </c>
      <c r="AB400" s="640">
        <f>IF(G400&gt;=1,IF(F400&gt;1,C400*(F400-2),""),"")</f>
        <v/>
      </c>
      <c r="AC400" s="640" t="n"/>
      <c r="AD400" s="911">
        <f>IF(E400="YES",IF(G400=1,"",""),IF(G400=1,C400,IF(G400=2,C400,IF(G400=0,"",""))))</f>
        <v/>
      </c>
      <c r="AE400" s="911">
        <f>IF(E400="YES",IF(G400=1,"",IF(H400=1,C400,"")),IF(H400=1,C400,IF(H400=2,C400,IF(H400=0,"",""))))</f>
        <v/>
      </c>
      <c r="AF400" s="911">
        <f>IF(E400="YES",IF(I400=1,C400,""),IF(I400=1,C400,IF(I400=2,C400,IF(I400=0,"",""))))</f>
        <v/>
      </c>
      <c r="AG400" s="192">
        <f>(C400*G400)+(C400*H400)+(C400*I400)</f>
        <v/>
      </c>
    </row>
    <row r="401">
      <c r="A401" s="57" t="n"/>
      <c r="B401" s="57" t="n"/>
      <c r="C401" s="109" t="n"/>
      <c r="F401" s="57" t="n"/>
      <c r="J401" s="57" t="n"/>
      <c r="K401" s="57" t="n"/>
      <c r="L401" s="57" t="n"/>
      <c r="M401" s="57" t="n"/>
      <c r="N401" s="57" t="n"/>
      <c r="O401" s="57" t="n"/>
      <c r="AA401" s="640">
        <f>IF(G401=0, IF(OR(H401&gt;0,F401&gt;0),C401*F401,""),"")</f>
        <v/>
      </c>
      <c r="AB401" s="640">
        <f>IF(G401&gt;=1,IF(F401&gt;1,C401*(F401-2),""),"")</f>
        <v/>
      </c>
      <c r="AC401" s="640" t="n"/>
      <c r="AD401" s="911">
        <f>IF(E401="YES",IF(G401=1,"",""),IF(G401=1,C401,IF(G401=2,C401,IF(G401=0,"",""))))</f>
        <v/>
      </c>
      <c r="AE401" s="911">
        <f>IF(E401="YES",IF(G401=1,"",IF(H401=1,C401,"")),IF(H401=1,C401,IF(H401=2,C401,IF(H401=0,"",""))))</f>
        <v/>
      </c>
      <c r="AF401" s="911">
        <f>IF(E401="YES",IF(I401=1,C401,""),IF(I401=1,C401,IF(I401=2,C401,IF(I401=0,"",""))))</f>
        <v/>
      </c>
      <c r="AG401" s="192">
        <f>(C401*G401)+(C401*H401)+(C401*I401)</f>
        <v/>
      </c>
    </row>
    <row r="402">
      <c r="A402" s="57" t="n"/>
      <c r="B402" s="57" t="n"/>
      <c r="C402" s="109" t="n"/>
      <c r="F402" s="57" t="n"/>
      <c r="J402" s="57" t="n"/>
      <c r="K402" s="57" t="n"/>
      <c r="L402" s="57" t="n"/>
      <c r="M402" s="57" t="n"/>
      <c r="N402" s="57" t="n"/>
      <c r="O402" s="57" t="n"/>
      <c r="AA402" s="640">
        <f>IF(G402=0, IF(OR(H402&gt;0,F402&gt;0),C402*F402,""),"")</f>
        <v/>
      </c>
      <c r="AB402" s="640">
        <f>IF(G402&gt;=1,IF(F402&gt;1,C402*(F402-2),""),"")</f>
        <v/>
      </c>
      <c r="AC402" s="640" t="n"/>
      <c r="AD402" s="911">
        <f>IF(E402="YES",IF(G402=1,"",""),IF(G402=1,C402,IF(G402=2,C402,IF(G402=0,"",""))))</f>
        <v/>
      </c>
      <c r="AE402" s="911">
        <f>IF(E402="YES",IF(G402=1,"",IF(H402=1,C402,"")),IF(H402=1,C402,IF(H402=2,C402,IF(H402=0,"",""))))</f>
        <v/>
      </c>
      <c r="AF402" s="911">
        <f>IF(E402="YES",IF(I402=1,C402,""),IF(I402=1,C402,IF(I402=2,C402,IF(I402=0,"",""))))</f>
        <v/>
      </c>
      <c r="AG402" s="192">
        <f>(C402*G402)+(C402*H402)+(C402*I402)</f>
        <v/>
      </c>
    </row>
    <row r="403">
      <c r="A403" s="57" t="n"/>
      <c r="B403" s="57" t="n"/>
      <c r="C403" s="109" t="n"/>
      <c r="F403" s="57" t="n"/>
      <c r="J403" s="57" t="n"/>
      <c r="K403" s="57" t="n"/>
      <c r="L403" s="57" t="n"/>
      <c r="M403" s="57" t="n"/>
      <c r="N403" s="57" t="n"/>
      <c r="O403" s="57" t="n"/>
      <c r="AA403" s="640">
        <f>IF(G403=0, IF(OR(H403&gt;0,F403&gt;0),C403*F403,""),"")</f>
        <v/>
      </c>
      <c r="AB403" s="640">
        <f>IF(G403&gt;=1,IF(F403&gt;1,C403*(F403-2),""),"")</f>
        <v/>
      </c>
      <c r="AC403" s="640" t="n"/>
      <c r="AD403" s="911">
        <f>IF(E403="YES",IF(G403=1,"",""),IF(G403=1,C403,IF(G403=2,C403,IF(G403=0,"",""))))</f>
        <v/>
      </c>
      <c r="AE403" s="911">
        <f>IF(E403="YES",IF(G403=1,"",IF(H403=1,C403,"")),IF(H403=1,C403,IF(H403=2,C403,IF(H403=0,"",""))))</f>
        <v/>
      </c>
      <c r="AF403" s="911">
        <f>IF(E403="YES",IF(I403=1,C403,""),IF(I403=1,C403,IF(I403=2,C403,IF(I403=0,"",""))))</f>
        <v/>
      </c>
      <c r="AG403" s="192">
        <f>(C403*G403)+(C403*H403)+(C403*I403)</f>
        <v/>
      </c>
    </row>
    <row r="404">
      <c r="A404" s="57" t="n"/>
      <c r="B404" s="57" t="n"/>
      <c r="C404" s="109" t="n"/>
      <c r="F404" s="57" t="n"/>
      <c r="J404" s="57" t="n"/>
      <c r="K404" s="57" t="n"/>
      <c r="L404" s="57" t="n"/>
      <c r="M404" s="57" t="n"/>
      <c r="N404" s="57" t="n"/>
      <c r="O404" s="57" t="n"/>
      <c r="AA404" s="640">
        <f>IF(G404=0, IF(OR(H404&gt;0,F404&gt;0),C404*F404,""),"")</f>
        <v/>
      </c>
      <c r="AB404" s="640">
        <f>IF(G404&gt;=1,IF(F404&gt;1,C404*(F404-2),""),"")</f>
        <v/>
      </c>
      <c r="AC404" s="640" t="n"/>
      <c r="AD404" s="911">
        <f>IF(E404="YES",IF(G404=1,"",""),IF(G404=1,C404,IF(G404=2,C404,IF(G404=0,"",""))))</f>
        <v/>
      </c>
      <c r="AE404" s="911">
        <f>IF(E404="YES",IF(G404=1,"",IF(H404=1,C404,"")),IF(H404=1,C404,IF(H404=2,C404,IF(H404=0,"",""))))</f>
        <v/>
      </c>
      <c r="AF404" s="911">
        <f>IF(E404="YES",IF(I404=1,C404,""),IF(I404=1,C404,IF(I404=2,C404,IF(I404=0,"",""))))</f>
        <v/>
      </c>
      <c r="AG404" s="192">
        <f>(C404*G404)+(C404*H404)+(C404*I404)</f>
        <v/>
      </c>
    </row>
    <row r="405">
      <c r="A405" s="57" t="n"/>
      <c r="B405" s="57" t="n"/>
      <c r="C405" s="109" t="n"/>
      <c r="F405" s="57" t="n"/>
      <c r="J405" s="57" t="n"/>
      <c r="K405" s="57" t="n"/>
      <c r="L405" s="57" t="n"/>
      <c r="M405" s="57" t="n"/>
      <c r="N405" s="57" t="n"/>
      <c r="O405" s="57" t="n"/>
      <c r="AA405" s="640">
        <f>IF(G405=0, IF(OR(H405&gt;0,F405&gt;0),C405*F405,""),"")</f>
        <v/>
      </c>
      <c r="AB405" s="640">
        <f>IF(G405&gt;=1,IF(F405&gt;1,C405*(F405-2),""),"")</f>
        <v/>
      </c>
      <c r="AC405" s="640" t="n"/>
      <c r="AD405" s="911">
        <f>IF(E405="YES",IF(G405=1,"",""),IF(G405=1,C405,IF(G405=2,C405,IF(G405=0,"",""))))</f>
        <v/>
      </c>
      <c r="AE405" s="911">
        <f>IF(E405="YES",IF(G405=1,"",IF(H405=1,C405,"")),IF(H405=1,C405,IF(H405=2,C405,IF(H405=0,"",""))))</f>
        <v/>
      </c>
      <c r="AF405" s="911">
        <f>IF(E405="YES",IF(I405=1,C405,""),IF(I405=1,C405,IF(I405=2,C405,IF(I405=0,"",""))))</f>
        <v/>
      </c>
      <c r="AG405" s="192">
        <f>(C405*G405)+(C405*H405)+(C405*I405)</f>
        <v/>
      </c>
    </row>
    <row r="406">
      <c r="A406" s="57" t="n"/>
      <c r="B406" s="57" t="n"/>
      <c r="C406" s="109" t="n"/>
      <c r="F406" s="57" t="n"/>
      <c r="J406" s="57" t="n"/>
      <c r="K406" s="57" t="n"/>
      <c r="L406" s="57" t="n"/>
      <c r="M406" s="57" t="n"/>
      <c r="N406" s="57" t="n"/>
      <c r="O406" s="57" t="n"/>
      <c r="AA406" s="640">
        <f>IF(G406=0, IF(OR(H406&gt;0,F406&gt;0),C406*F406,""),"")</f>
        <v/>
      </c>
      <c r="AB406" s="640">
        <f>IF(G406&gt;=1,IF(F406&gt;1,C406*(F406-2),""),"")</f>
        <v/>
      </c>
      <c r="AC406" s="640" t="n"/>
      <c r="AD406" s="911">
        <f>IF(E406="YES",IF(G406=1,"",""),IF(G406=1,C406,IF(G406=2,C406,IF(G406=0,"",""))))</f>
        <v/>
      </c>
      <c r="AE406" s="911">
        <f>IF(E406="YES",IF(G406=1,"",IF(H406=1,C406,"")),IF(H406=1,C406,IF(H406=2,C406,IF(H406=0,"",""))))</f>
        <v/>
      </c>
      <c r="AF406" s="911">
        <f>IF(E406="YES",IF(I406=1,C406,""),IF(I406=1,C406,IF(I406=2,C406,IF(I406=0,"",""))))</f>
        <v/>
      </c>
      <c r="AG406" s="192">
        <f>(C406*G406)+(C406*H406)+(C406*I406)</f>
        <v/>
      </c>
    </row>
    <row r="407">
      <c r="A407" s="57" t="n"/>
      <c r="B407" s="57" t="n"/>
      <c r="C407" s="109" t="n"/>
      <c r="F407" s="57" t="n"/>
      <c r="J407" s="57" t="n"/>
      <c r="K407" s="57" t="n"/>
      <c r="L407" s="57" t="n"/>
      <c r="M407" s="57" t="n"/>
      <c r="N407" s="57" t="n"/>
      <c r="O407" s="57" t="n"/>
      <c r="AA407" s="640">
        <f>IF(G407=0, IF(OR(H407&gt;0,F407&gt;0),C407*F407,""),"")</f>
        <v/>
      </c>
      <c r="AB407" s="640">
        <f>IF(G407&gt;=1,IF(F407&gt;1,C407*(F407-2),""),"")</f>
        <v/>
      </c>
      <c r="AC407" s="640" t="n"/>
      <c r="AD407" s="911">
        <f>IF(E407="YES",IF(G407=1,"",""),IF(G407=1,C407,IF(G407=2,C407,IF(G407=0,"",""))))</f>
        <v/>
      </c>
      <c r="AE407" s="911">
        <f>IF(E407="YES",IF(G407=1,"",IF(H407=1,C407,"")),IF(H407=1,C407,IF(H407=2,C407,IF(H407=0,"",""))))</f>
        <v/>
      </c>
      <c r="AF407" s="911">
        <f>IF(E407="YES",IF(I407=1,C407,""),IF(I407=1,C407,IF(I407=2,C407,IF(I407=0,"",""))))</f>
        <v/>
      </c>
      <c r="AG407" s="192">
        <f>(C407*G407)+(C407*H407)+(C407*I407)</f>
        <v/>
      </c>
    </row>
    <row r="408">
      <c r="A408" s="57" t="n"/>
      <c r="B408" s="57" t="n"/>
      <c r="C408" s="109" t="n"/>
      <c r="F408" s="57" t="n"/>
      <c r="J408" s="57" t="n"/>
      <c r="K408" s="57" t="n"/>
      <c r="L408" s="57" t="n"/>
      <c r="M408" s="57" t="n"/>
      <c r="N408" s="57" t="n"/>
      <c r="O408" s="57" t="n"/>
      <c r="AA408" s="640">
        <f>IF(G408=0, IF(OR(H408&gt;0,F408&gt;0),C408*F408,""),"")</f>
        <v/>
      </c>
      <c r="AB408" s="640">
        <f>IF(G408&gt;=1,IF(F408&gt;1,C408*(F408-2),""),"")</f>
        <v/>
      </c>
      <c r="AC408" s="640" t="n"/>
      <c r="AD408" s="911">
        <f>IF(E408="YES",IF(G408=1,"",""),IF(G408=1,C408,IF(G408=2,C408,IF(G408=0,"",""))))</f>
        <v/>
      </c>
      <c r="AE408" s="911">
        <f>IF(E408="YES",IF(G408=1,"",IF(H408=1,C408,"")),IF(H408=1,C408,IF(H408=2,C408,IF(H408=0,"",""))))</f>
        <v/>
      </c>
      <c r="AF408" s="911">
        <f>IF(E408="YES",IF(I408=1,C408,""),IF(I408=1,C408,IF(I408=2,C408,IF(I408=0,"",""))))</f>
        <v/>
      </c>
      <c r="AG408" s="192">
        <f>(C408*G408)+(C408*H408)+(C408*I408)</f>
        <v/>
      </c>
    </row>
    <row r="409">
      <c r="A409" s="57" t="n"/>
      <c r="B409" s="57" t="n"/>
      <c r="C409" s="109" t="n"/>
      <c r="F409" s="57" t="n"/>
      <c r="J409" s="57" t="n"/>
      <c r="K409" s="57" t="n"/>
      <c r="L409" s="57" t="n"/>
      <c r="M409" s="57" t="n"/>
      <c r="N409" s="57" t="n"/>
      <c r="O409" s="57" t="n"/>
      <c r="AA409" s="640">
        <f>IF(G409=0, IF(OR(H409&gt;0,F409&gt;0),C409*F409,""),"")</f>
        <v/>
      </c>
      <c r="AB409" s="640">
        <f>IF(G409&gt;=1,IF(F409&gt;1,C409*(F409-2),""),"")</f>
        <v/>
      </c>
      <c r="AC409" s="640" t="n"/>
      <c r="AD409" s="911">
        <f>IF(E409="YES",IF(G409=1,"",""),IF(G409=1,C409,IF(G409=2,C409,IF(G409=0,"",""))))</f>
        <v/>
      </c>
      <c r="AE409" s="911">
        <f>IF(E409="YES",IF(G409=1,"",IF(H409=1,C409,"")),IF(H409=1,C409,IF(H409=2,C409,IF(H409=0,"",""))))</f>
        <v/>
      </c>
      <c r="AF409" s="911">
        <f>IF(E409="YES",IF(I409=1,C409,""),IF(I409=1,C409,IF(I409=2,C409,IF(I409=0,"",""))))</f>
        <v/>
      </c>
      <c r="AG409" s="192">
        <f>(C409*G409)+(C409*H409)+(C409*I409)</f>
        <v/>
      </c>
    </row>
    <row r="410">
      <c r="A410" s="57" t="n"/>
      <c r="B410" s="57" t="n"/>
      <c r="C410" s="109" t="n"/>
      <c r="F410" s="57" t="n"/>
      <c r="J410" s="57" t="n"/>
      <c r="K410" s="57" t="n"/>
      <c r="L410" s="57" t="n"/>
      <c r="M410" s="57" t="n"/>
      <c r="N410" s="57" t="n"/>
      <c r="O410" s="57" t="n"/>
      <c r="AA410" s="640">
        <f>IF(G410=0, IF(OR(H410&gt;0,F410&gt;0),C410*F410,""),"")</f>
        <v/>
      </c>
      <c r="AB410" s="640">
        <f>IF(G410&gt;=1,IF(F410&gt;1,C410*(F410-2),""),"")</f>
        <v/>
      </c>
      <c r="AC410" s="640" t="n"/>
      <c r="AD410" s="911">
        <f>IF(E410="YES",IF(G410=1,"",""),IF(G410=1,C410,IF(G410=2,C410,IF(G410=0,"",""))))</f>
        <v/>
      </c>
      <c r="AE410" s="911">
        <f>IF(E410="YES",IF(G410=1,"",IF(H410=1,C410,"")),IF(H410=1,C410,IF(H410=2,C410,IF(H410=0,"",""))))</f>
        <v/>
      </c>
      <c r="AF410" s="911">
        <f>IF(E410="YES",IF(I410=1,C410,""),IF(I410=1,C410,IF(I410=2,C410,IF(I410=0,"",""))))</f>
        <v/>
      </c>
      <c r="AG410" s="192">
        <f>(C410*G410)+(C410*H410)+(C410*I410)</f>
        <v/>
      </c>
    </row>
    <row r="411">
      <c r="A411" s="57" t="n"/>
      <c r="B411" s="57" t="n"/>
      <c r="C411" s="109" t="n"/>
      <c r="F411" s="57" t="n"/>
      <c r="J411" s="57" t="n"/>
      <c r="K411" s="57" t="n"/>
      <c r="L411" s="57" t="n"/>
      <c r="M411" s="57" t="n"/>
      <c r="N411" s="57" t="n"/>
      <c r="O411" s="57" t="n"/>
      <c r="AA411" s="640">
        <f>IF(G411=0, IF(OR(H411&gt;0,F411&gt;0),C411*F411,""),"")</f>
        <v/>
      </c>
      <c r="AB411" s="640">
        <f>IF(G411&gt;=1,IF(F411&gt;1,C411*(F411-2),""),"")</f>
        <v/>
      </c>
      <c r="AC411" s="640" t="n"/>
      <c r="AD411" s="911">
        <f>IF(E411="YES",IF(G411=1,"",""),IF(G411=1,C411,IF(G411=2,C411,IF(G411=0,"",""))))</f>
        <v/>
      </c>
      <c r="AE411" s="911">
        <f>IF(E411="YES",IF(G411=1,"",IF(H411=1,C411,"")),IF(H411=1,C411,IF(H411=2,C411,IF(H411=0,"",""))))</f>
        <v/>
      </c>
      <c r="AF411" s="911">
        <f>IF(E411="YES",IF(I411=1,C411,""),IF(I411=1,C411,IF(I411=2,C411,IF(I411=0,"",""))))</f>
        <v/>
      </c>
      <c r="AG411" s="192">
        <f>(C411*G411)+(C411*H411)+(C411*I411)</f>
        <v/>
      </c>
    </row>
    <row r="412">
      <c r="A412" s="57" t="n"/>
      <c r="B412" s="57" t="n"/>
      <c r="C412" s="109" t="n"/>
      <c r="F412" s="57" t="n"/>
      <c r="J412" s="57" t="n"/>
      <c r="K412" s="57" t="n"/>
      <c r="L412" s="57" t="n"/>
      <c r="M412" s="57" t="n"/>
      <c r="N412" s="57" t="n"/>
      <c r="O412" s="57" t="n"/>
      <c r="AA412" s="640">
        <f>IF(G412=0, IF(OR(H412&gt;0,F412&gt;0),C412*F412,""),"")</f>
        <v/>
      </c>
      <c r="AB412" s="640">
        <f>IF(G412&gt;=1,IF(F412&gt;1,C412*(F412-2),""),"")</f>
        <v/>
      </c>
      <c r="AC412" s="640" t="n"/>
      <c r="AD412" s="911">
        <f>IF(E412="YES",IF(G412=1,"",""),IF(G412=1,C412,IF(G412=2,C412,IF(G412=0,"",""))))</f>
        <v/>
      </c>
      <c r="AE412" s="911">
        <f>IF(E412="YES",IF(G412=1,"",IF(H412=1,C412,"")),IF(H412=1,C412,IF(H412=2,C412,IF(H412=0,"",""))))</f>
        <v/>
      </c>
      <c r="AF412" s="911">
        <f>IF(E412="YES",IF(I412=1,C412,""),IF(I412=1,C412,IF(I412=2,C412,IF(I412=0,"",""))))</f>
        <v/>
      </c>
      <c r="AG412" s="192">
        <f>(C412*G412)+(C412*H412)+(C412*I412)</f>
        <v/>
      </c>
    </row>
    <row r="413">
      <c r="A413" s="57" t="n"/>
      <c r="B413" s="57" t="n"/>
      <c r="C413" s="109" t="n"/>
      <c r="F413" s="57" t="n"/>
      <c r="J413" s="57" t="n"/>
      <c r="K413" s="57" t="n"/>
      <c r="L413" s="57" t="n"/>
      <c r="M413" s="57" t="n"/>
      <c r="N413" s="57" t="n"/>
      <c r="O413" s="57" t="n"/>
      <c r="AA413" s="640">
        <f>IF(G413=0, IF(OR(H413&gt;0,F413&gt;0),C413*F413,""),"")</f>
        <v/>
      </c>
      <c r="AB413" s="640">
        <f>IF(G413&gt;=1,IF(F413&gt;1,C413*(F413-2),""),"")</f>
        <v/>
      </c>
      <c r="AC413" s="640" t="n"/>
      <c r="AD413" s="911">
        <f>IF(E413="YES",IF(G413=1,"",""),IF(G413=1,C413,IF(G413=2,C413,IF(G413=0,"",""))))</f>
        <v/>
      </c>
      <c r="AE413" s="911">
        <f>IF(E413="YES",IF(G413=1,"",IF(H413=1,C413,"")),IF(H413=1,C413,IF(H413=2,C413,IF(H413=0,"",""))))</f>
        <v/>
      </c>
      <c r="AF413" s="911">
        <f>IF(E413="YES",IF(I413=1,C413,""),IF(I413=1,C413,IF(I413=2,C413,IF(I413=0,"",""))))</f>
        <v/>
      </c>
      <c r="AG413" s="192">
        <f>(C413*G413)+(C413*H413)+(C413*I413)</f>
        <v/>
      </c>
    </row>
    <row r="414">
      <c r="A414" s="57" t="n"/>
      <c r="B414" s="57" t="n"/>
      <c r="C414" s="109" t="n"/>
      <c r="F414" s="57" t="n"/>
      <c r="J414" s="57" t="n"/>
      <c r="K414" s="57" t="n"/>
      <c r="L414" s="57" t="n"/>
      <c r="M414" s="57" t="n"/>
      <c r="N414" s="57" t="n"/>
      <c r="O414" s="57" t="n"/>
      <c r="AA414" s="640">
        <f>IF(G414=0, IF(OR(H414&gt;0,F414&gt;0),C414*F414,""),"")</f>
        <v/>
      </c>
      <c r="AB414" s="640">
        <f>IF(G414&gt;=1,IF(F414&gt;1,C414*(F414-2),""),"")</f>
        <v/>
      </c>
      <c r="AC414" s="640" t="n"/>
      <c r="AD414" s="911">
        <f>IF(E414="YES",IF(G414=1,"",""),IF(G414=1,C414,IF(G414=2,C414,IF(G414=0,"",""))))</f>
        <v/>
      </c>
      <c r="AE414" s="911">
        <f>IF(E414="YES",IF(G414=1,"",IF(H414=1,C414,"")),IF(H414=1,C414,IF(H414=2,C414,IF(H414=0,"",""))))</f>
        <v/>
      </c>
      <c r="AF414" s="911">
        <f>IF(E414="YES",IF(I414=1,C414,""),IF(I414=1,C414,IF(I414=2,C414,IF(I414=0,"",""))))</f>
        <v/>
      </c>
      <c r="AG414" s="192">
        <f>(C414*G414)+(C414*H414)+(C414*I414)</f>
        <v/>
      </c>
    </row>
    <row r="415">
      <c r="A415" s="57" t="n"/>
      <c r="B415" s="57" t="n"/>
      <c r="C415" s="109" t="n"/>
      <c r="F415" s="57" t="n"/>
      <c r="J415" s="57" t="n"/>
      <c r="K415" s="57" t="n"/>
      <c r="L415" s="57" t="n"/>
      <c r="M415" s="57" t="n"/>
      <c r="N415" s="57" t="n"/>
      <c r="O415" s="57" t="n"/>
      <c r="AA415" s="640">
        <f>IF(G415=0, IF(OR(H415&gt;0,F415&gt;0),C415*F415,""),"")</f>
        <v/>
      </c>
      <c r="AB415" s="640">
        <f>IF(G415&gt;=1,IF(F415&gt;1,C415*(F415-2),""),"")</f>
        <v/>
      </c>
      <c r="AC415" s="640" t="n"/>
      <c r="AD415" s="911">
        <f>IF(E415="YES",IF(G415=1,"",""),IF(G415=1,C415,IF(G415=2,C415,IF(G415=0,"",""))))</f>
        <v/>
      </c>
      <c r="AE415" s="911">
        <f>IF(E415="YES",IF(G415=1,"",IF(H415=1,C415,"")),IF(H415=1,C415,IF(H415=2,C415,IF(H415=0,"",""))))</f>
        <v/>
      </c>
      <c r="AF415" s="911">
        <f>IF(E415="YES",IF(I415=1,C415,""),IF(I415=1,C415,IF(I415=2,C415,IF(I415=0,"",""))))</f>
        <v/>
      </c>
      <c r="AG415" s="192">
        <f>(C415*G415)+(C415*H415)+(C415*I415)</f>
        <v/>
      </c>
    </row>
    <row r="416">
      <c r="A416" s="57" t="n"/>
      <c r="B416" s="57" t="n"/>
      <c r="C416" s="109" t="n"/>
      <c r="F416" s="57" t="n"/>
      <c r="J416" s="57" t="n"/>
      <c r="K416" s="57" t="n"/>
      <c r="L416" s="57" t="n"/>
      <c r="M416" s="57" t="n"/>
      <c r="N416" s="57" t="n"/>
      <c r="O416" s="57" t="n"/>
      <c r="AA416" s="640">
        <f>IF(G416=0, IF(OR(H416&gt;0,F416&gt;0),C416*F416,""),"")</f>
        <v/>
      </c>
      <c r="AB416" s="640">
        <f>IF(G416&gt;=1,IF(F416&gt;1,C416*(F416-2),""),"")</f>
        <v/>
      </c>
      <c r="AC416" s="640" t="n"/>
      <c r="AD416" s="911">
        <f>IF(E416="YES",IF(G416=1,"",""),IF(G416=1,C416,IF(G416=2,C416,IF(G416=0,"",""))))</f>
        <v/>
      </c>
      <c r="AE416" s="911">
        <f>IF(E416="YES",IF(G416=1,"",IF(H416=1,C416,"")),IF(H416=1,C416,IF(H416=2,C416,IF(H416=0,"",""))))</f>
        <v/>
      </c>
      <c r="AF416" s="911">
        <f>IF(E416="YES",IF(I416=1,C416,""),IF(I416=1,C416,IF(I416=2,C416,IF(I416=0,"",""))))</f>
        <v/>
      </c>
      <c r="AG416" s="192">
        <f>(C416*G416)+(C416*H416)+(C416*I416)</f>
        <v/>
      </c>
    </row>
    <row r="417">
      <c r="A417" s="57" t="n"/>
      <c r="B417" s="57" t="n"/>
      <c r="C417" s="109" t="n"/>
      <c r="F417" s="57" t="n"/>
      <c r="J417" s="57" t="n"/>
      <c r="K417" s="57" t="n"/>
      <c r="L417" s="57" t="n"/>
      <c r="M417" s="57" t="n"/>
      <c r="N417" s="57" t="n"/>
      <c r="O417" s="57" t="n"/>
      <c r="AA417" s="640">
        <f>IF(G417=0, IF(OR(H417&gt;0,F417&gt;0),C417*F417,""),"")</f>
        <v/>
      </c>
      <c r="AB417" s="640">
        <f>IF(G417&gt;=1,IF(F417&gt;1,C417*(F417-2),""),"")</f>
        <v/>
      </c>
      <c r="AC417" s="640" t="n"/>
      <c r="AD417" s="911">
        <f>IF(E417="YES",IF(G417=1,"",""),IF(G417=1,C417,IF(G417=2,C417,IF(G417=0,"",""))))</f>
        <v/>
      </c>
      <c r="AE417" s="911">
        <f>IF(E417="YES",IF(G417=1,"",IF(H417=1,C417,"")),IF(H417=1,C417,IF(H417=2,C417,IF(H417=0,"",""))))</f>
        <v/>
      </c>
      <c r="AF417" s="911">
        <f>IF(E417="YES",IF(I417=1,C417,""),IF(I417=1,C417,IF(I417=2,C417,IF(I417=0,"",""))))</f>
        <v/>
      </c>
      <c r="AG417" s="192">
        <f>(C417*G417)+(C417*H417)+(C417*I417)</f>
        <v/>
      </c>
    </row>
    <row r="418">
      <c r="A418" s="57" t="n"/>
      <c r="B418" s="57" t="n"/>
      <c r="C418" s="109" t="n"/>
      <c r="F418" s="57" t="n"/>
      <c r="J418" s="57" t="n"/>
      <c r="K418" s="57" t="n"/>
      <c r="L418" s="57" t="n"/>
      <c r="M418" s="57" t="n"/>
      <c r="N418" s="57" t="n"/>
      <c r="O418" s="57" t="n"/>
      <c r="AA418" s="640">
        <f>IF(G418=0, IF(OR(H418&gt;0,F418&gt;0),C418*F418,""),"")</f>
        <v/>
      </c>
      <c r="AB418" s="640">
        <f>IF(G418&gt;=1,IF(F418&gt;1,C418*(F418-2),""),"")</f>
        <v/>
      </c>
      <c r="AC418" s="640" t="n"/>
      <c r="AD418" s="911">
        <f>IF(E418="YES",IF(G418=1,"",""),IF(G418=1,C418,IF(G418=2,C418,IF(G418=0,"",""))))</f>
        <v/>
      </c>
      <c r="AE418" s="911">
        <f>IF(E418="YES",IF(G418=1,"",IF(H418=1,C418,"")),IF(H418=1,C418,IF(H418=2,C418,IF(H418=0,"",""))))</f>
        <v/>
      </c>
      <c r="AF418" s="911">
        <f>IF(E418="YES",IF(I418=1,C418,""),IF(I418=1,C418,IF(I418=2,C418,IF(I418=0,"",""))))</f>
        <v/>
      </c>
      <c r="AG418" s="192">
        <f>(C418*G418)+(C418*H418)+(C418*I418)</f>
        <v/>
      </c>
    </row>
    <row r="419">
      <c r="A419" s="57" t="n"/>
      <c r="B419" s="57" t="n"/>
      <c r="C419" s="109" t="n"/>
      <c r="F419" s="57" t="n"/>
      <c r="J419" s="57" t="n"/>
      <c r="K419" s="57" t="n"/>
      <c r="L419" s="57" t="n"/>
      <c r="M419" s="57" t="n"/>
      <c r="N419" s="57" t="n"/>
      <c r="O419" s="57" t="n"/>
      <c r="AA419" s="640">
        <f>IF(G419=0, IF(OR(H419&gt;0,F419&gt;0),C419*F419,""),"")</f>
        <v/>
      </c>
      <c r="AB419" s="640">
        <f>IF(G419&gt;=1,IF(F419&gt;1,C419*(F419-2),""),"")</f>
        <v/>
      </c>
      <c r="AC419" s="640" t="n"/>
      <c r="AD419" s="911">
        <f>IF(E419="YES",IF(G419=1,"",""),IF(G419=1,C419,IF(G419=2,C419,IF(G419=0,"",""))))</f>
        <v/>
      </c>
      <c r="AE419" s="911">
        <f>IF(E419="YES",IF(G419=1,"",IF(H419=1,C419,"")),IF(H419=1,C419,IF(H419=2,C419,IF(H419=0,"",""))))</f>
        <v/>
      </c>
      <c r="AF419" s="911">
        <f>IF(E419="YES",IF(I419=1,C419,""),IF(I419=1,C419,IF(I419=2,C419,IF(I419=0,"",""))))</f>
        <v/>
      </c>
      <c r="AG419" s="192">
        <f>(C419*G419)+(C419*H419)+(C419*I419)</f>
        <v/>
      </c>
    </row>
    <row r="420">
      <c r="A420" s="57" t="n"/>
      <c r="B420" s="57" t="n"/>
      <c r="C420" s="109" t="n"/>
      <c r="F420" s="57" t="n"/>
      <c r="J420" s="57" t="n"/>
      <c r="K420" s="57" t="n"/>
      <c r="L420" s="57" t="n"/>
      <c r="M420" s="57" t="n"/>
      <c r="N420" s="57" t="n"/>
      <c r="O420" s="57" t="n"/>
      <c r="AA420" s="640">
        <f>IF(G420=0, IF(OR(H420&gt;0,F420&gt;0),C420*F420,""),"")</f>
        <v/>
      </c>
      <c r="AB420" s="640">
        <f>IF(G420&gt;=1,IF(F420&gt;1,C420*(F420-2),""),"")</f>
        <v/>
      </c>
      <c r="AC420" s="640" t="n"/>
      <c r="AD420" s="911">
        <f>IF(E420="YES",IF(G420=1,"",""),IF(G420=1,C420,IF(G420=2,C420,IF(G420=0,"",""))))</f>
        <v/>
      </c>
      <c r="AE420" s="911">
        <f>IF(E420="YES",IF(G420=1,"",IF(H420=1,C420,"")),IF(H420=1,C420,IF(H420=2,C420,IF(H420=0,"",""))))</f>
        <v/>
      </c>
      <c r="AF420" s="911">
        <f>IF(E420="YES",IF(I420=1,C420,""),IF(I420=1,C420,IF(I420=2,C420,IF(I420=0,"",""))))</f>
        <v/>
      </c>
      <c r="AG420" s="192">
        <f>(C420*G420)+(C420*H420)+(C420*I420)</f>
        <v/>
      </c>
    </row>
    <row r="421">
      <c r="A421" s="57" t="n"/>
      <c r="B421" s="57" t="n"/>
      <c r="C421" s="109" t="n"/>
      <c r="F421" s="57" t="n"/>
      <c r="J421" s="57" t="n"/>
      <c r="K421" s="57" t="n"/>
      <c r="L421" s="57" t="n"/>
      <c r="M421" s="57" t="n"/>
      <c r="N421" s="57" t="n"/>
      <c r="O421" s="57" t="n"/>
      <c r="AA421" s="640">
        <f>IF(G421=0, IF(OR(H421&gt;0,F421&gt;0),C421*F421,""),"")</f>
        <v/>
      </c>
      <c r="AB421" s="640">
        <f>IF(G421&gt;=1,IF(F421&gt;1,C421*(F421-2),""),"")</f>
        <v/>
      </c>
      <c r="AC421" s="640" t="n"/>
      <c r="AD421" s="911">
        <f>IF(E421="YES",IF(G421=1,"",""),IF(G421=1,C421,IF(G421=2,C421,IF(G421=0,"",""))))</f>
        <v/>
      </c>
      <c r="AE421" s="911">
        <f>IF(E421="YES",IF(G421=1,"",IF(H421=1,C421,"")),IF(H421=1,C421,IF(H421=2,C421,IF(H421=0,"",""))))</f>
        <v/>
      </c>
      <c r="AF421" s="911">
        <f>IF(E421="YES",IF(I421=1,C421,""),IF(I421=1,C421,IF(I421=2,C421,IF(I421=0,"",""))))</f>
        <v/>
      </c>
      <c r="AG421" s="192">
        <f>(C421*G421)+(C421*H421)+(C421*I421)</f>
        <v/>
      </c>
    </row>
    <row r="422">
      <c r="A422" s="57" t="n"/>
      <c r="B422" s="57" t="n"/>
      <c r="C422" s="109" t="n"/>
      <c r="F422" s="57" t="n"/>
      <c r="J422" s="57" t="n"/>
      <c r="K422" s="57" t="n"/>
      <c r="L422" s="57" t="n"/>
      <c r="M422" s="57" t="n"/>
      <c r="N422" s="57" t="n"/>
      <c r="O422" s="57" t="n"/>
      <c r="AA422" s="640">
        <f>IF(G422=0, IF(OR(H422&gt;0,F422&gt;0),C422*F422,""),"")</f>
        <v/>
      </c>
      <c r="AB422" s="640">
        <f>IF(G422&gt;=1,IF(F422&gt;1,C422*(F422-2),""),"")</f>
        <v/>
      </c>
      <c r="AC422" s="640" t="n"/>
      <c r="AD422" s="911">
        <f>IF(E422="YES",IF(G422=1,"",""),IF(G422=1,C422,IF(G422=2,C422,IF(G422=0,"",""))))</f>
        <v/>
      </c>
      <c r="AE422" s="911">
        <f>IF(E422="YES",IF(G422=1,"",IF(H422=1,C422,"")),IF(H422=1,C422,IF(H422=2,C422,IF(H422=0,"",""))))</f>
        <v/>
      </c>
      <c r="AF422" s="911">
        <f>IF(E422="YES",IF(I422=1,C422,""),IF(I422=1,C422,IF(I422=2,C422,IF(I422=0,"",""))))</f>
        <v/>
      </c>
      <c r="AG422" s="192">
        <f>(C422*G422)+(C422*H422)+(C422*I422)</f>
        <v/>
      </c>
    </row>
    <row r="423">
      <c r="A423" s="57" t="n"/>
      <c r="B423" s="57" t="n"/>
      <c r="C423" s="109" t="n"/>
      <c r="F423" s="57" t="n"/>
      <c r="J423" s="57" t="n"/>
      <c r="K423" s="57" t="n"/>
      <c r="L423" s="57" t="n"/>
      <c r="M423" s="57" t="n"/>
      <c r="N423" s="57" t="n"/>
      <c r="O423" s="57" t="n"/>
      <c r="AA423" s="640">
        <f>IF(G423=0, IF(OR(H423&gt;0,F423&gt;0),C423*F423,""),"")</f>
        <v/>
      </c>
      <c r="AB423" s="640">
        <f>IF(G423&gt;=1,IF(F423&gt;1,C423*(F423-2),""),"")</f>
        <v/>
      </c>
      <c r="AC423" s="640" t="n"/>
      <c r="AD423" s="911">
        <f>IF(E423="YES",IF(G423=1,"",""),IF(G423=1,C423,IF(G423=2,C423,IF(G423=0,"",""))))</f>
        <v/>
      </c>
      <c r="AE423" s="911">
        <f>IF(E423="YES",IF(G423=1,"",IF(H423=1,C423,"")),IF(H423=1,C423,IF(H423=2,C423,IF(H423=0,"",""))))</f>
        <v/>
      </c>
      <c r="AF423" s="911">
        <f>IF(E423="YES",IF(I423=1,C423,""),IF(I423=1,C423,IF(I423=2,C423,IF(I423=0,"",""))))</f>
        <v/>
      </c>
      <c r="AG423" s="192">
        <f>(C423*G423)+(C423*H423)+(C423*I423)</f>
        <v/>
      </c>
    </row>
    <row r="424">
      <c r="A424" s="57" t="n"/>
      <c r="B424" s="57" t="n"/>
      <c r="C424" s="109" t="n"/>
      <c r="F424" s="57" t="n"/>
      <c r="J424" s="57" t="n"/>
      <c r="K424" s="57" t="n"/>
      <c r="L424" s="57" t="n"/>
      <c r="M424" s="57" t="n"/>
      <c r="N424" s="57" t="n"/>
      <c r="O424" s="57" t="n"/>
      <c r="AA424" s="640">
        <f>IF(G424=0, IF(OR(H424&gt;0,F424&gt;0),C424*F424,""),"")</f>
        <v/>
      </c>
      <c r="AB424" s="640">
        <f>IF(G424&gt;=1,IF(F424&gt;1,C424*(F424-2),""),"")</f>
        <v/>
      </c>
      <c r="AC424" s="640" t="n"/>
      <c r="AD424" s="911">
        <f>IF(E424="YES",IF(G424=1,"",""),IF(G424=1,C424,IF(G424=2,C424,IF(G424=0,"",""))))</f>
        <v/>
      </c>
      <c r="AE424" s="911">
        <f>IF(E424="YES",IF(G424=1,"",IF(H424=1,C424,"")),IF(H424=1,C424,IF(H424=2,C424,IF(H424=0,"",""))))</f>
        <v/>
      </c>
      <c r="AF424" s="911">
        <f>IF(E424="YES",IF(I424=1,C424,""),IF(I424=1,C424,IF(I424=2,C424,IF(I424=0,"",""))))</f>
        <v/>
      </c>
      <c r="AG424" s="192">
        <f>(C424*G424)+(C424*H424)+(C424*I424)</f>
        <v/>
      </c>
    </row>
    <row r="425">
      <c r="A425" s="57" t="n"/>
      <c r="B425" s="57" t="n"/>
      <c r="C425" s="109" t="n"/>
      <c r="F425" s="57" t="n"/>
      <c r="J425" s="57" t="n"/>
      <c r="K425" s="57" t="n"/>
      <c r="L425" s="57" t="n"/>
      <c r="M425" s="57" t="n"/>
      <c r="N425" s="57" t="n"/>
      <c r="O425" s="57" t="n"/>
      <c r="AA425" s="640">
        <f>IF(G425=0, IF(OR(H425&gt;0,F425&gt;0),C425*F425,""),"")</f>
        <v/>
      </c>
      <c r="AB425" s="640">
        <f>IF(G425&gt;=1,IF(F425&gt;1,C425*(F425-2),""),"")</f>
        <v/>
      </c>
      <c r="AC425" s="640" t="n"/>
      <c r="AD425" s="911">
        <f>IF(E425="YES",IF(G425=1,"",""),IF(G425=1,C425,IF(G425=2,C425,IF(G425=0,"",""))))</f>
        <v/>
      </c>
      <c r="AE425" s="911">
        <f>IF(E425="YES",IF(G425=1,"",IF(H425=1,C425,"")),IF(H425=1,C425,IF(H425=2,C425,IF(H425=0,"",""))))</f>
        <v/>
      </c>
      <c r="AF425" s="911">
        <f>IF(E425="YES",IF(I425=1,C425,""),IF(I425=1,C425,IF(I425=2,C425,IF(I425=0,"",""))))</f>
        <v/>
      </c>
      <c r="AG425" s="192">
        <f>(C425*G425)+(C425*H425)+(C425*I425)</f>
        <v/>
      </c>
    </row>
    <row r="426">
      <c r="A426" s="57" t="n"/>
      <c r="B426" s="57" t="n"/>
      <c r="C426" s="109" t="n"/>
      <c r="F426" s="57" t="n"/>
      <c r="J426" s="57" t="n"/>
      <c r="K426" s="57" t="n"/>
      <c r="L426" s="57" t="n"/>
      <c r="M426" s="57" t="n"/>
      <c r="N426" s="57" t="n"/>
      <c r="O426" s="57" t="n"/>
      <c r="AA426" s="640">
        <f>IF(G426=0, IF(OR(H426&gt;0,F426&gt;0),C426*F426,""),"")</f>
        <v/>
      </c>
      <c r="AB426" s="640">
        <f>IF(G426&gt;=1,IF(F426&gt;1,C426*(F426-2),""),"")</f>
        <v/>
      </c>
      <c r="AC426" s="640" t="n"/>
      <c r="AD426" s="911">
        <f>IF(E426="YES",IF(G426=1,"",""),IF(G426=1,C426,IF(G426=2,C426,IF(G426=0,"",""))))</f>
        <v/>
      </c>
      <c r="AE426" s="911">
        <f>IF(E426="YES",IF(G426=1,"",IF(H426=1,C426,"")),IF(H426=1,C426,IF(H426=2,C426,IF(H426=0,"",""))))</f>
        <v/>
      </c>
      <c r="AF426" s="911">
        <f>IF(E426="YES",IF(I426=1,C426,""),IF(I426=1,C426,IF(I426=2,C426,IF(I426=0,"",""))))</f>
        <v/>
      </c>
      <c r="AG426" s="192">
        <f>(C426*G426)+(C426*H426)+(C426*I426)</f>
        <v/>
      </c>
    </row>
    <row r="427">
      <c r="A427" s="57" t="n"/>
      <c r="B427" s="57" t="n"/>
      <c r="C427" s="109" t="n"/>
      <c r="F427" s="57" t="n"/>
      <c r="J427" s="57" t="n"/>
      <c r="K427" s="57" t="n"/>
      <c r="L427" s="57" t="n"/>
      <c r="M427" s="57" t="n"/>
      <c r="N427" s="57" t="n"/>
      <c r="O427" s="57" t="n"/>
      <c r="AA427" s="640">
        <f>IF(G427=0, IF(OR(H427&gt;0,F427&gt;0),C427*F427,""),"")</f>
        <v/>
      </c>
      <c r="AB427" s="640">
        <f>IF(G427&gt;=1,IF(F427&gt;1,C427*(F427-2),""),"")</f>
        <v/>
      </c>
      <c r="AC427" s="640" t="n"/>
      <c r="AD427" s="911">
        <f>IF(E427="YES",IF(G427=1,"",""),IF(G427=1,C427,IF(G427=2,C427,IF(G427=0,"",""))))</f>
        <v/>
      </c>
      <c r="AE427" s="911">
        <f>IF(E427="YES",IF(G427=1,"",IF(H427=1,C427,"")),IF(H427=1,C427,IF(H427=2,C427,IF(H427=0,"",""))))</f>
        <v/>
      </c>
      <c r="AF427" s="911">
        <f>IF(E427="YES",IF(I427=1,C427,""),IF(I427=1,C427,IF(I427=2,C427,IF(I427=0,"",""))))</f>
        <v/>
      </c>
      <c r="AG427" s="192">
        <f>(C427*G427)+(C427*H427)+(C427*I427)</f>
        <v/>
      </c>
    </row>
    <row r="428">
      <c r="A428" s="57" t="n"/>
      <c r="B428" s="57" t="n"/>
      <c r="C428" s="109" t="n"/>
      <c r="F428" s="57" t="n"/>
      <c r="J428" s="57" t="n"/>
      <c r="K428" s="57" t="n"/>
      <c r="L428" s="57" t="n"/>
      <c r="M428" s="57" t="n"/>
      <c r="N428" s="57" t="n"/>
      <c r="O428" s="57" t="n"/>
      <c r="AA428" s="640">
        <f>IF(G428=0, IF(OR(H428&gt;0,F428&gt;0),C428*F428,""),"")</f>
        <v/>
      </c>
      <c r="AB428" s="640">
        <f>IF(G428&gt;=1,IF(F428&gt;1,C428*(F428-2),""),"")</f>
        <v/>
      </c>
      <c r="AC428" s="640" t="n"/>
      <c r="AD428" s="911">
        <f>IF(E428="YES",IF(G428=1,"",""),IF(G428=1,C428,IF(G428=2,C428,IF(G428=0,"",""))))</f>
        <v/>
      </c>
      <c r="AE428" s="911">
        <f>IF(E428="YES",IF(G428=1,"",IF(H428=1,C428,"")),IF(H428=1,C428,IF(H428=2,C428,IF(H428=0,"",""))))</f>
        <v/>
      </c>
      <c r="AF428" s="911">
        <f>IF(E428="YES",IF(I428=1,C428,""),IF(I428=1,C428,IF(I428=2,C428,IF(I428=0,"",""))))</f>
        <v/>
      </c>
      <c r="AG428" s="192">
        <f>(C428*G428)+(C428*H428)+(C428*I428)</f>
        <v/>
      </c>
    </row>
    <row r="429">
      <c r="A429" s="57" t="n"/>
      <c r="B429" s="57" t="n"/>
      <c r="C429" s="109" t="n"/>
      <c r="F429" s="57" t="n"/>
      <c r="J429" s="57" t="n"/>
      <c r="K429" s="57" t="n"/>
      <c r="L429" s="57" t="n"/>
      <c r="M429" s="57" t="n"/>
      <c r="N429" s="57" t="n"/>
      <c r="O429" s="57" t="n"/>
      <c r="AA429" s="640">
        <f>IF(G429=0, IF(OR(H429&gt;0,F429&gt;0),C429*F429,""),"")</f>
        <v/>
      </c>
      <c r="AB429" s="640">
        <f>IF(G429&gt;=1,IF(F429&gt;1,C429*(F429-2),""),"")</f>
        <v/>
      </c>
      <c r="AC429" s="640" t="n"/>
      <c r="AD429" s="911">
        <f>IF(E429="YES",IF(G429=1,"",""),IF(G429=1,C429,IF(G429=2,C429,IF(G429=0,"",""))))</f>
        <v/>
      </c>
      <c r="AE429" s="911">
        <f>IF(E429="YES",IF(G429=1,"",IF(H429=1,C429,"")),IF(H429=1,C429,IF(H429=2,C429,IF(H429=0,"",""))))</f>
        <v/>
      </c>
      <c r="AF429" s="911">
        <f>IF(E429="YES",IF(I429=1,C429,""),IF(I429=1,C429,IF(I429=2,C429,IF(I429=0,"",""))))</f>
        <v/>
      </c>
      <c r="AG429" s="192">
        <f>(C429*G429)+(C429*H429)+(C429*I429)</f>
        <v/>
      </c>
    </row>
    <row r="430">
      <c r="A430" s="57" t="n"/>
      <c r="B430" s="57" t="n"/>
      <c r="C430" s="109" t="n"/>
      <c r="F430" s="57" t="n"/>
      <c r="J430" s="57" t="n"/>
      <c r="K430" s="57" t="n"/>
      <c r="L430" s="57" t="n"/>
      <c r="M430" s="57" t="n"/>
      <c r="N430" s="57" t="n"/>
      <c r="O430" s="57" t="n"/>
      <c r="AA430" s="640">
        <f>IF(G430=0, IF(OR(H430&gt;0,F430&gt;0),C430*F430,""),"")</f>
        <v/>
      </c>
      <c r="AB430" s="640">
        <f>IF(G430&gt;=1,IF(F430&gt;1,C430*(F430-2),""),"")</f>
        <v/>
      </c>
      <c r="AC430" s="640" t="n"/>
      <c r="AD430" s="911">
        <f>IF(E430="YES",IF(G430=1,"",""),IF(G430=1,C430,IF(G430=2,C430,IF(G430=0,"",""))))</f>
        <v/>
      </c>
      <c r="AE430" s="911">
        <f>IF(E430="YES",IF(G430=1,"",IF(H430=1,C430,"")),IF(H430=1,C430,IF(H430=2,C430,IF(H430=0,"",""))))</f>
        <v/>
      </c>
      <c r="AF430" s="911">
        <f>IF(E430="YES",IF(I430=1,C430,""),IF(I430=1,C430,IF(I430=2,C430,IF(I430=0,"",""))))</f>
        <v/>
      </c>
      <c r="AG430" s="192">
        <f>(C430*G430)+(C430*H430)+(C430*I430)</f>
        <v/>
      </c>
    </row>
    <row r="431">
      <c r="A431" s="57" t="n"/>
      <c r="B431" s="57" t="n"/>
      <c r="C431" s="109" t="n"/>
      <c r="F431" s="57" t="n"/>
      <c r="J431" s="57" t="n"/>
      <c r="K431" s="57" t="n"/>
      <c r="L431" s="57" t="n"/>
      <c r="M431" s="57" t="n"/>
      <c r="N431" s="57" t="n"/>
      <c r="O431" s="57" t="n"/>
      <c r="AA431" s="640">
        <f>IF(G431=0, IF(OR(H431&gt;0,F431&gt;0),C431*F431,""),"")</f>
        <v/>
      </c>
      <c r="AB431" s="640">
        <f>IF(G431&gt;=1,IF(F431&gt;1,C431*(F431-2),""),"")</f>
        <v/>
      </c>
      <c r="AC431" s="640" t="n"/>
      <c r="AD431" s="911">
        <f>IF(E431="YES",IF(G431=1,"",""),IF(G431=1,C431,IF(G431=2,C431,IF(G431=0,"",""))))</f>
        <v/>
      </c>
      <c r="AE431" s="911">
        <f>IF(E431="YES",IF(G431=1,"",IF(H431=1,C431,"")),IF(H431=1,C431,IF(H431=2,C431,IF(H431=0,"",""))))</f>
        <v/>
      </c>
      <c r="AF431" s="911">
        <f>IF(E431="YES",IF(I431=1,C431,""),IF(I431=1,C431,IF(I431=2,C431,IF(I431=0,"",""))))</f>
        <v/>
      </c>
      <c r="AG431" s="192">
        <f>(C431*G431)+(C431*H431)+(C431*I431)</f>
        <v/>
      </c>
    </row>
    <row r="432">
      <c r="A432" s="57" t="n"/>
      <c r="B432" s="57" t="n"/>
      <c r="C432" s="109" t="n"/>
      <c r="F432" s="57" t="n"/>
      <c r="J432" s="57" t="n"/>
      <c r="K432" s="57" t="n"/>
      <c r="L432" s="57" t="n"/>
      <c r="M432" s="57" t="n"/>
      <c r="N432" s="57" t="n"/>
      <c r="O432" s="57" t="n"/>
      <c r="AA432" s="640">
        <f>IF(G432=0, IF(OR(H432&gt;0,F432&gt;0),C432*F432,""),"")</f>
        <v/>
      </c>
      <c r="AB432" s="640">
        <f>IF(G432&gt;=1,IF(F432&gt;1,C432*(F432-2),""),"")</f>
        <v/>
      </c>
      <c r="AC432" s="640" t="n"/>
      <c r="AD432" s="911">
        <f>IF(E432="YES",IF(G432=1,"",""),IF(G432=1,C432,IF(G432=2,C432,IF(G432=0,"",""))))</f>
        <v/>
      </c>
      <c r="AE432" s="911">
        <f>IF(E432="YES",IF(G432=1,"",IF(H432=1,C432,"")),IF(H432=1,C432,IF(H432=2,C432,IF(H432=0,"",""))))</f>
        <v/>
      </c>
      <c r="AF432" s="911">
        <f>IF(E432="YES",IF(I432=1,C432,""),IF(I432=1,C432,IF(I432=2,C432,IF(I432=0,"",""))))</f>
        <v/>
      </c>
      <c r="AG432" s="192">
        <f>(C432*G432)+(C432*H432)+(C432*I432)</f>
        <v/>
      </c>
    </row>
    <row r="433">
      <c r="A433" s="57" t="n"/>
      <c r="B433" s="57" t="n"/>
      <c r="C433" s="109" t="n"/>
      <c r="F433" s="57" t="n"/>
      <c r="J433" s="57" t="n"/>
      <c r="K433" s="57" t="n"/>
      <c r="L433" s="57" t="n"/>
      <c r="M433" s="57" t="n"/>
      <c r="N433" s="57" t="n"/>
      <c r="O433" s="57" t="n"/>
      <c r="AA433" s="640">
        <f>IF(G433=0, IF(OR(H433&gt;0,F433&gt;0),C433*F433,""),"")</f>
        <v/>
      </c>
      <c r="AB433" s="640">
        <f>IF(G433&gt;=1,IF(F433&gt;1,C433*(F433-2),""),"")</f>
        <v/>
      </c>
      <c r="AC433" s="640" t="n"/>
      <c r="AD433" s="911">
        <f>IF(E433="YES",IF(G433=1,"",""),IF(G433=1,C433,IF(G433=2,C433,IF(G433=0,"",""))))</f>
        <v/>
      </c>
      <c r="AE433" s="911">
        <f>IF(E433="YES",IF(G433=1,"",IF(H433=1,C433,"")),IF(H433=1,C433,IF(H433=2,C433,IF(H433=0,"",""))))</f>
        <v/>
      </c>
      <c r="AF433" s="911">
        <f>IF(E433="YES",IF(I433=1,C433,""),IF(I433=1,C433,IF(I433=2,C433,IF(I433=0,"",""))))</f>
        <v/>
      </c>
      <c r="AG433" s="192">
        <f>(C433*G433)+(C433*H433)+(C433*I433)</f>
        <v/>
      </c>
    </row>
    <row r="434">
      <c r="A434" s="57" t="n"/>
      <c r="B434" s="57" t="n"/>
      <c r="C434" s="109" t="n"/>
      <c r="F434" s="57" t="n"/>
      <c r="J434" s="57" t="n"/>
      <c r="K434" s="57" t="n"/>
      <c r="L434" s="57" t="n"/>
      <c r="M434" s="57" t="n"/>
      <c r="N434" s="57" t="n"/>
      <c r="O434" s="57" t="n"/>
      <c r="AA434" s="640">
        <f>IF(G434=0, IF(OR(H434&gt;0,F434&gt;0),C434*F434,""),"")</f>
        <v/>
      </c>
      <c r="AB434" s="640">
        <f>IF(G434&gt;=1,IF(F434&gt;1,C434*(F434-2),""),"")</f>
        <v/>
      </c>
      <c r="AC434" s="640" t="n"/>
      <c r="AD434" s="911">
        <f>IF(E434="YES",IF(G434=1,"",""),IF(G434=1,C434,IF(G434=2,C434,IF(G434=0,"",""))))</f>
        <v/>
      </c>
      <c r="AE434" s="911">
        <f>IF(E434="YES",IF(G434=1,"",IF(H434=1,C434,"")),IF(H434=1,C434,IF(H434=2,C434,IF(H434=0,"",""))))</f>
        <v/>
      </c>
      <c r="AF434" s="911">
        <f>IF(E434="YES",IF(I434=1,C434,""),IF(I434=1,C434,IF(I434=2,C434,IF(I434=0,"",""))))</f>
        <v/>
      </c>
      <c r="AG434" s="192">
        <f>(C434*G434)+(C434*H434)+(C434*I434)</f>
        <v/>
      </c>
    </row>
    <row r="435">
      <c r="A435" s="57" t="n"/>
      <c r="B435" s="57" t="n"/>
      <c r="C435" s="109" t="n"/>
      <c r="F435" s="57" t="n"/>
      <c r="J435" s="57" t="n"/>
      <c r="K435" s="57" t="n"/>
      <c r="L435" s="57" t="n"/>
      <c r="M435" s="57" t="n"/>
      <c r="N435" s="57" t="n"/>
      <c r="O435" s="57" t="n"/>
      <c r="AA435" s="640">
        <f>IF(G435=0, IF(OR(H435&gt;0,F435&gt;0),C435*F435,""),"")</f>
        <v/>
      </c>
      <c r="AB435" s="640">
        <f>IF(G435&gt;=1,IF(F435&gt;1,C435*(F435-2),""),"")</f>
        <v/>
      </c>
      <c r="AC435" s="640" t="n"/>
      <c r="AD435" s="911">
        <f>IF(E435="YES",IF(G435=1,"",""),IF(G435=1,C435,IF(G435=2,C435,IF(G435=0,"",""))))</f>
        <v/>
      </c>
      <c r="AE435" s="911">
        <f>IF(E435="YES",IF(G435=1,"",IF(H435=1,C435,"")),IF(H435=1,C435,IF(H435=2,C435,IF(H435=0,"",""))))</f>
        <v/>
      </c>
      <c r="AF435" s="911">
        <f>IF(E435="YES",IF(I435=1,C435,""),IF(I435=1,C435,IF(I435=2,C435,IF(I435=0,"",""))))</f>
        <v/>
      </c>
      <c r="AG435" s="192">
        <f>(C435*G435)+(C435*H435)+(C435*I435)</f>
        <v/>
      </c>
    </row>
    <row r="436">
      <c r="A436" s="57" t="n"/>
      <c r="B436" s="57" t="n"/>
      <c r="C436" s="109" t="n"/>
      <c r="F436" s="57" t="n"/>
      <c r="J436" s="57" t="n"/>
      <c r="K436" s="57" t="n"/>
      <c r="L436" s="57" t="n"/>
      <c r="M436" s="57" t="n"/>
      <c r="N436" s="57" t="n"/>
      <c r="O436" s="57" t="n"/>
      <c r="AA436" s="640">
        <f>IF(G436=0, IF(OR(H436&gt;0,F436&gt;0),C436*F436,""),"")</f>
        <v/>
      </c>
      <c r="AB436" s="640">
        <f>IF(G436&gt;=1,IF(F436&gt;1,C436*(F436-2),""),"")</f>
        <v/>
      </c>
      <c r="AC436" s="640" t="n"/>
      <c r="AD436" s="911">
        <f>IF(E436="YES",IF(G436=1,"",""),IF(G436=1,C436,IF(G436=2,C436,IF(G436=0,"",""))))</f>
        <v/>
      </c>
      <c r="AE436" s="911">
        <f>IF(E436="YES",IF(G436=1,"",IF(H436=1,C436,"")),IF(H436=1,C436,IF(H436=2,C436,IF(H436=0,"",""))))</f>
        <v/>
      </c>
      <c r="AF436" s="911">
        <f>IF(E436="YES",IF(I436=1,C436,""),IF(I436=1,C436,IF(I436=2,C436,IF(I436=0,"",""))))</f>
        <v/>
      </c>
      <c r="AG436" s="192">
        <f>(C436*G436)+(C436*H436)+(C436*I436)</f>
        <v/>
      </c>
    </row>
    <row r="437">
      <c r="A437" s="57" t="n"/>
      <c r="B437" s="57" t="n"/>
      <c r="C437" s="109" t="n"/>
      <c r="F437" s="57" t="n"/>
      <c r="J437" s="57" t="n"/>
      <c r="K437" s="57" t="n"/>
      <c r="L437" s="57" t="n"/>
      <c r="M437" s="57" t="n"/>
      <c r="N437" s="57" t="n"/>
      <c r="O437" s="57" t="n"/>
      <c r="AA437" s="640">
        <f>IF(G437=0, IF(OR(H437&gt;0,F437&gt;0),C437*F437,""),"")</f>
        <v/>
      </c>
      <c r="AB437" s="640">
        <f>IF(G437&gt;=1,IF(F437&gt;1,C437*(F437-2),""),"")</f>
        <v/>
      </c>
      <c r="AC437" s="640" t="n"/>
      <c r="AD437" s="911">
        <f>IF(E437="YES",IF(G437=1,"",""),IF(G437=1,C437,IF(G437=2,C437,IF(G437=0,"",""))))</f>
        <v/>
      </c>
      <c r="AE437" s="911">
        <f>IF(E437="YES",IF(G437=1,"",IF(H437=1,C437,"")),IF(H437=1,C437,IF(H437=2,C437,IF(H437=0,"",""))))</f>
        <v/>
      </c>
      <c r="AF437" s="911">
        <f>IF(E437="YES",IF(I437=1,C437,""),IF(I437=1,C437,IF(I437=2,C437,IF(I437=0,"",""))))</f>
        <v/>
      </c>
      <c r="AG437" s="192">
        <f>(C437*G437)+(C437*H437)+(C437*I437)</f>
        <v/>
      </c>
    </row>
    <row r="438">
      <c r="A438" s="57" t="n"/>
      <c r="B438" s="57" t="n"/>
      <c r="C438" s="109" t="n"/>
      <c r="F438" s="57" t="n"/>
      <c r="J438" s="57" t="n"/>
      <c r="K438" s="57" t="n"/>
      <c r="L438" s="57" t="n"/>
      <c r="M438" s="57" t="n"/>
      <c r="N438" s="57" t="n"/>
      <c r="O438" s="57" t="n"/>
      <c r="AA438" s="640">
        <f>IF(G438=0, IF(OR(H438&gt;0,F438&gt;0),C438*F438,""),"")</f>
        <v/>
      </c>
      <c r="AB438" s="640">
        <f>IF(G438&gt;=1,IF(F438&gt;1,C438*(F438-2),""),"")</f>
        <v/>
      </c>
      <c r="AC438" s="640" t="n"/>
      <c r="AD438" s="911">
        <f>IF(E438="YES",IF(G438=1,"",""),IF(G438=1,C438,IF(G438=2,C438,IF(G438=0,"",""))))</f>
        <v/>
      </c>
      <c r="AE438" s="911">
        <f>IF(E438="YES",IF(G438=1,"",IF(H438=1,C438,"")),IF(H438=1,C438,IF(H438=2,C438,IF(H438=0,"",""))))</f>
        <v/>
      </c>
      <c r="AF438" s="911">
        <f>IF(E438="YES",IF(I438=1,C438,""),IF(I438=1,C438,IF(I438=2,C438,IF(I438=0,"",""))))</f>
        <v/>
      </c>
      <c r="AG438" s="192">
        <f>(C438*G438)+(C438*H438)+(C438*I438)</f>
        <v/>
      </c>
    </row>
    <row r="439">
      <c r="A439" s="57" t="n"/>
      <c r="B439" s="57" t="n"/>
      <c r="C439" s="109" t="n"/>
      <c r="F439" s="57" t="n"/>
      <c r="J439" s="57" t="n"/>
      <c r="K439" s="57" t="n"/>
      <c r="L439" s="57" t="n"/>
      <c r="M439" s="57" t="n"/>
      <c r="N439" s="57" t="n"/>
      <c r="O439" s="57" t="n"/>
      <c r="AA439" s="640">
        <f>IF(G439=0, IF(OR(H439&gt;0,F439&gt;0),C439*F439,""),"")</f>
        <v/>
      </c>
      <c r="AB439" s="640">
        <f>IF(G439&gt;=1,IF(F439&gt;1,C439*(F439-2),""),"")</f>
        <v/>
      </c>
      <c r="AC439" s="640" t="n"/>
      <c r="AD439" s="911">
        <f>IF(E439="YES",IF(G439=1,"",""),IF(G439=1,C439,IF(G439=2,C439,IF(G439=0,"",""))))</f>
        <v/>
      </c>
      <c r="AE439" s="911">
        <f>IF(E439="YES",IF(G439=1,"",IF(H439=1,C439,"")),IF(H439=1,C439,IF(H439=2,C439,IF(H439=0,"",""))))</f>
        <v/>
      </c>
      <c r="AF439" s="911">
        <f>IF(E439="YES",IF(I439=1,C439,""),IF(I439=1,C439,IF(I439=2,C439,IF(I439=0,"",""))))</f>
        <v/>
      </c>
      <c r="AG439" s="192">
        <f>(C439*G439)+(C439*H439)+(C439*I439)</f>
        <v/>
      </c>
    </row>
    <row r="440">
      <c r="A440" s="57" t="n"/>
      <c r="B440" s="57" t="n"/>
      <c r="C440" s="109" t="n"/>
      <c r="F440" s="57" t="n"/>
      <c r="J440" s="57" t="n"/>
      <c r="K440" s="57" t="n"/>
      <c r="L440" s="57" t="n"/>
      <c r="M440" s="57" t="n"/>
      <c r="N440" s="57" t="n"/>
      <c r="O440" s="57" t="n"/>
      <c r="AA440" s="640">
        <f>IF(G440=0, IF(OR(H440&gt;0,F440&gt;0),C440*F440,""),"")</f>
        <v/>
      </c>
      <c r="AB440" s="640">
        <f>IF(G440&gt;=1,IF(F440&gt;1,C440*(F440-2),""),"")</f>
        <v/>
      </c>
      <c r="AC440" s="640" t="n"/>
      <c r="AD440" s="911">
        <f>IF(E440="YES",IF(G440=1,"",""),IF(G440=1,C440,IF(G440=2,C440,IF(G440=0,"",""))))</f>
        <v/>
      </c>
      <c r="AE440" s="911">
        <f>IF(E440="YES",IF(G440=1,"",IF(H440=1,C440,"")),IF(H440=1,C440,IF(H440=2,C440,IF(H440=0,"",""))))</f>
        <v/>
      </c>
      <c r="AF440" s="911">
        <f>IF(E440="YES",IF(I440=1,C440,""),IF(I440=1,C440,IF(I440=2,C440,IF(I440=0,"",""))))</f>
        <v/>
      </c>
      <c r="AG440" s="192">
        <f>(C440*G440)+(C440*H440)+(C440*I440)</f>
        <v/>
      </c>
    </row>
    <row r="441">
      <c r="A441" s="57" t="n"/>
      <c r="B441" s="57" t="n"/>
      <c r="C441" s="109" t="n"/>
      <c r="F441" s="57" t="n"/>
      <c r="J441" s="57" t="n"/>
      <c r="K441" s="57" t="n"/>
      <c r="L441" s="57" t="n"/>
      <c r="M441" s="57" t="n"/>
      <c r="N441" s="57" t="n"/>
      <c r="O441" s="57" t="n"/>
      <c r="AA441" s="640">
        <f>IF(G441=0, IF(OR(H441&gt;0,F441&gt;0),C441*F441,""),"")</f>
        <v/>
      </c>
      <c r="AB441" s="640">
        <f>IF(G441&gt;=1,IF(F441&gt;1,C441*(F441-2),""),"")</f>
        <v/>
      </c>
      <c r="AC441" s="640" t="n"/>
      <c r="AD441" s="911">
        <f>IF(E441="YES",IF(G441=1,"",""),IF(G441=1,C441,IF(G441=2,C441,IF(G441=0,"",""))))</f>
        <v/>
      </c>
      <c r="AE441" s="911">
        <f>IF(E441="YES",IF(G441=1,"",IF(H441=1,C441,"")),IF(H441=1,C441,IF(H441=2,C441,IF(H441=0,"",""))))</f>
        <v/>
      </c>
      <c r="AF441" s="911">
        <f>IF(E441="YES",IF(I441=1,C441,""),IF(I441=1,C441,IF(I441=2,C441,IF(I441=0,"",""))))</f>
        <v/>
      </c>
      <c r="AG441" s="192">
        <f>(C441*G441)+(C441*H441)+(C441*I441)</f>
        <v/>
      </c>
    </row>
    <row r="442">
      <c r="A442" s="57" t="n"/>
      <c r="B442" s="57" t="n"/>
      <c r="C442" s="109" t="n"/>
      <c r="F442" s="57" t="n"/>
      <c r="J442" s="57" t="n"/>
      <c r="K442" s="57" t="n"/>
      <c r="L442" s="57" t="n"/>
      <c r="M442" s="57" t="n"/>
      <c r="N442" s="57" t="n"/>
      <c r="O442" s="57" t="n"/>
      <c r="AA442" s="640">
        <f>IF(G442=0, IF(OR(H442&gt;0,F442&gt;0),C442*F442,""),"")</f>
        <v/>
      </c>
      <c r="AB442" s="640">
        <f>IF(G442&gt;=1,IF(F442&gt;1,C442*(F442-2),""),"")</f>
        <v/>
      </c>
      <c r="AC442" s="640" t="n"/>
      <c r="AD442" s="911">
        <f>IF(E442="YES",IF(G442=1,"",""),IF(G442=1,C442,IF(G442=2,C442,IF(G442=0,"",""))))</f>
        <v/>
      </c>
      <c r="AE442" s="911">
        <f>IF(E442="YES",IF(G442=1,"",IF(H442=1,C442,"")),IF(H442=1,C442,IF(H442=2,C442,IF(H442=0,"",""))))</f>
        <v/>
      </c>
      <c r="AF442" s="911">
        <f>IF(E442="YES",IF(I442=1,C442,""),IF(I442=1,C442,IF(I442=2,C442,IF(I442=0,"",""))))</f>
        <v/>
      </c>
      <c r="AG442" s="192">
        <f>(C442*G442)+(C442*H442)+(C442*I442)</f>
        <v/>
      </c>
    </row>
    <row r="443">
      <c r="A443" s="57" t="n"/>
      <c r="B443" s="57" t="n"/>
      <c r="C443" s="109" t="n"/>
      <c r="F443" s="57" t="n"/>
      <c r="J443" s="57" t="n"/>
      <c r="K443" s="57" t="n"/>
      <c r="L443" s="57" t="n"/>
      <c r="M443" s="57" t="n"/>
      <c r="N443" s="57" t="n"/>
      <c r="O443" s="57" t="n"/>
      <c r="AA443" s="640">
        <f>IF(G443=0, IF(OR(H443&gt;0,F443&gt;0),C443*F443,""),"")</f>
        <v/>
      </c>
      <c r="AB443" s="640">
        <f>IF(G443&gt;=1,IF(F443&gt;1,C443*(F443-2),""),"")</f>
        <v/>
      </c>
      <c r="AC443" s="640" t="n"/>
      <c r="AD443" s="911">
        <f>IF(E443="YES",IF(G443=1,"",""),IF(G443=1,C443,IF(G443=2,C443,IF(G443=0,"",""))))</f>
        <v/>
      </c>
      <c r="AE443" s="911">
        <f>IF(E443="YES",IF(G443=1,"",IF(H443=1,C443,"")),IF(H443=1,C443,IF(H443=2,C443,IF(H443=0,"",""))))</f>
        <v/>
      </c>
      <c r="AF443" s="911">
        <f>IF(E443="YES",IF(I443=1,C443,""),IF(I443=1,C443,IF(I443=2,C443,IF(I443=0,"",""))))</f>
        <v/>
      </c>
      <c r="AG443" s="192">
        <f>(C443*G443)+(C443*H443)+(C443*I443)</f>
        <v/>
      </c>
    </row>
    <row r="444">
      <c r="A444" s="57" t="n"/>
      <c r="B444" s="57" t="n"/>
      <c r="C444" s="109" t="n"/>
      <c r="F444" s="57" t="n"/>
      <c r="J444" s="57" t="n"/>
      <c r="K444" s="57" t="n"/>
      <c r="L444" s="57" t="n"/>
      <c r="M444" s="57" t="n"/>
      <c r="N444" s="57" t="n"/>
      <c r="O444" s="57" t="n"/>
      <c r="AA444" s="640">
        <f>IF(G444=0, IF(OR(H444&gt;0,F444&gt;0),C444*F444,""),"")</f>
        <v/>
      </c>
      <c r="AB444" s="640">
        <f>IF(G444&gt;=1,IF(F444&gt;1,C444*(F444-2),""),"")</f>
        <v/>
      </c>
      <c r="AC444" s="640" t="n"/>
      <c r="AD444" s="911">
        <f>IF(E444="YES",IF(G444=1,"",""),IF(G444=1,C444,IF(G444=2,C444,IF(G444=0,"",""))))</f>
        <v/>
      </c>
      <c r="AE444" s="911">
        <f>IF(E444="YES",IF(G444=1,"",IF(H444=1,C444,"")),IF(H444=1,C444,IF(H444=2,C444,IF(H444=0,"",""))))</f>
        <v/>
      </c>
      <c r="AF444" s="911">
        <f>IF(E444="YES",IF(I444=1,C444,""),IF(I444=1,C444,IF(I444=2,C444,IF(I444=0,"",""))))</f>
        <v/>
      </c>
      <c r="AG444" s="192">
        <f>(C444*G444)+(C444*H444)+(C444*I444)</f>
        <v/>
      </c>
    </row>
    <row r="445">
      <c r="A445" s="57" t="n"/>
      <c r="B445" s="57" t="n"/>
      <c r="C445" s="109" t="n"/>
      <c r="F445" s="57" t="n"/>
      <c r="J445" s="57" t="n"/>
      <c r="K445" s="57" t="n"/>
      <c r="L445" s="57" t="n"/>
      <c r="M445" s="57" t="n"/>
      <c r="N445" s="57" t="n"/>
      <c r="O445" s="57" t="n"/>
      <c r="AA445" s="640">
        <f>IF(G445=0, IF(OR(H445&gt;0,F445&gt;0),C445*F445,""),"")</f>
        <v/>
      </c>
      <c r="AB445" s="640">
        <f>IF(G445&gt;=1,IF(F445&gt;1,C445*(F445-2),""),"")</f>
        <v/>
      </c>
      <c r="AC445" s="640" t="n"/>
      <c r="AD445" s="911">
        <f>IF(E445="YES",IF(G445=1,"",""),IF(G445=1,C445,IF(G445=2,C445,IF(G445=0,"",""))))</f>
        <v/>
      </c>
      <c r="AE445" s="911">
        <f>IF(E445="YES",IF(G445=1,"",IF(H445=1,C445,"")),IF(H445=1,C445,IF(H445=2,C445,IF(H445=0,"",""))))</f>
        <v/>
      </c>
      <c r="AF445" s="911">
        <f>IF(E445="YES",IF(I445=1,C445,""),IF(I445=1,C445,IF(I445=2,C445,IF(I445=0,"",""))))</f>
        <v/>
      </c>
      <c r="AG445" s="192">
        <f>(C445*G445)+(C445*H445)+(C445*I445)</f>
        <v/>
      </c>
    </row>
    <row r="446">
      <c r="A446" s="57" t="n"/>
      <c r="B446" s="57" t="n"/>
      <c r="C446" s="109" t="n"/>
      <c r="F446" s="57" t="n"/>
      <c r="J446" s="57" t="n"/>
      <c r="K446" s="57" t="n"/>
      <c r="L446" s="57" t="n"/>
      <c r="M446" s="57" t="n"/>
      <c r="N446" s="57" t="n"/>
      <c r="O446" s="57" t="n"/>
      <c r="AA446" s="640">
        <f>IF(G446=0, IF(OR(H446&gt;0,F446&gt;0),C446*F446,""),"")</f>
        <v/>
      </c>
      <c r="AB446" s="640">
        <f>IF(G446&gt;=1,IF(F446&gt;1,C446*(F446-2),""),"")</f>
        <v/>
      </c>
      <c r="AC446" s="640" t="n"/>
      <c r="AD446" s="911">
        <f>IF(E446="YES",IF(G446=1,"",""),IF(G446=1,C446,IF(G446=2,C446,IF(G446=0,"",""))))</f>
        <v/>
      </c>
      <c r="AE446" s="911">
        <f>IF(E446="YES",IF(G446=1,"",IF(H446=1,C446,"")),IF(H446=1,C446,IF(H446=2,C446,IF(H446=0,"",""))))</f>
        <v/>
      </c>
      <c r="AF446" s="911">
        <f>IF(E446="YES",IF(I446=1,C446,""),IF(I446=1,C446,IF(I446=2,C446,IF(I446=0,"",""))))</f>
        <v/>
      </c>
      <c r="AG446" s="192">
        <f>(C446*G446)+(C446*H446)+(C446*I446)</f>
        <v/>
      </c>
    </row>
    <row r="447">
      <c r="A447" s="57" t="n"/>
      <c r="B447" s="57" t="n"/>
      <c r="C447" s="109" t="n"/>
      <c r="F447" s="57" t="n"/>
      <c r="J447" s="57" t="n"/>
      <c r="K447" s="57" t="n"/>
      <c r="L447" s="57" t="n"/>
      <c r="M447" s="57" t="n"/>
      <c r="N447" s="57" t="n"/>
      <c r="O447" s="57" t="n"/>
      <c r="AA447" s="640">
        <f>IF(G447=0, IF(OR(H447&gt;0,F447&gt;0),C447*F447,""),"")</f>
        <v/>
      </c>
      <c r="AB447" s="640">
        <f>IF(G447&gt;=1,IF(F447&gt;1,C447*(F447-2),""),"")</f>
        <v/>
      </c>
      <c r="AC447" s="640" t="n"/>
      <c r="AD447" s="911">
        <f>IF(E447="YES",IF(G447=1,"",""),IF(G447=1,C447,IF(G447=2,C447,IF(G447=0,"",""))))</f>
        <v/>
      </c>
      <c r="AE447" s="911">
        <f>IF(E447="YES",IF(G447=1,"",IF(H447=1,C447,"")),IF(H447=1,C447,IF(H447=2,C447,IF(H447=0,"",""))))</f>
        <v/>
      </c>
      <c r="AF447" s="911">
        <f>IF(E447="YES",IF(I447=1,C447,""),IF(I447=1,C447,IF(I447=2,C447,IF(I447=0,"",""))))</f>
        <v/>
      </c>
      <c r="AG447" s="192">
        <f>(C447*G447)+(C447*H447)+(C447*I447)</f>
        <v/>
      </c>
    </row>
    <row r="448">
      <c r="A448" s="57" t="n"/>
      <c r="B448" s="57" t="n"/>
      <c r="C448" s="109" t="n"/>
      <c r="F448" s="57" t="n"/>
      <c r="J448" s="57" t="n"/>
      <c r="K448" s="57" t="n"/>
      <c r="L448" s="57" t="n"/>
      <c r="M448" s="57" t="n"/>
      <c r="N448" s="57" t="n"/>
      <c r="O448" s="57" t="n"/>
      <c r="AA448" s="640">
        <f>IF(G448=0, IF(OR(H448&gt;0,F448&gt;0),C448*F448,""),"")</f>
        <v/>
      </c>
      <c r="AB448" s="640">
        <f>IF(G448&gt;=1,IF(F448&gt;1,C448*(F448-2),""),"")</f>
        <v/>
      </c>
      <c r="AC448" s="640" t="n"/>
      <c r="AD448" s="911">
        <f>IF(E448="YES",IF(G448=1,"",""),IF(G448=1,C448,IF(G448=2,C448,IF(G448=0,"",""))))</f>
        <v/>
      </c>
      <c r="AE448" s="911">
        <f>IF(E448="YES",IF(G448=1,"",IF(H448=1,C448,"")),IF(H448=1,C448,IF(H448=2,C448,IF(H448=0,"",""))))</f>
        <v/>
      </c>
      <c r="AF448" s="911">
        <f>IF(E448="YES",IF(I448=1,C448,""),IF(I448=1,C448,IF(I448=2,C448,IF(I448=0,"",""))))</f>
        <v/>
      </c>
      <c r="AG448" s="192">
        <f>(C448*G448)+(C448*H448)+(C448*I448)</f>
        <v/>
      </c>
    </row>
    <row r="449">
      <c r="A449" s="57" t="n"/>
      <c r="B449" s="57" t="n"/>
      <c r="C449" s="109" t="n"/>
      <c r="F449" s="57" t="n"/>
      <c r="J449" s="57" t="n"/>
      <c r="K449" s="57" t="n"/>
      <c r="L449" s="57" t="n"/>
      <c r="M449" s="57" t="n"/>
      <c r="N449" s="57" t="n"/>
      <c r="O449" s="57" t="n"/>
      <c r="AA449" s="640">
        <f>IF(G449=0, IF(OR(H449&gt;0,F449&gt;0),C449*F449,""),"")</f>
        <v/>
      </c>
      <c r="AB449" s="640">
        <f>IF(G449&gt;=1,IF(F449&gt;1,C449*(F449-2),""),"")</f>
        <v/>
      </c>
      <c r="AC449" s="640" t="n"/>
      <c r="AD449" s="911">
        <f>IF(E449="YES",IF(G449=1,"",""),IF(G449=1,C449,IF(G449=2,C449,IF(G449=0,"",""))))</f>
        <v/>
      </c>
      <c r="AE449" s="911">
        <f>IF(E449="YES",IF(G449=1,"",IF(H449=1,C449,"")),IF(H449=1,C449,IF(H449=2,C449,IF(H449=0,"",""))))</f>
        <v/>
      </c>
      <c r="AF449" s="911">
        <f>IF(E449="YES",IF(I449=1,C449,""),IF(I449=1,C449,IF(I449=2,C449,IF(I449=0,"",""))))</f>
        <v/>
      </c>
      <c r="AG449" s="192">
        <f>(C449*G449)+(C449*H449)+(C449*I449)</f>
        <v/>
      </c>
    </row>
    <row r="450">
      <c r="A450" s="57" t="n"/>
      <c r="B450" s="57" t="n"/>
      <c r="C450" s="109" t="n"/>
      <c r="F450" s="57" t="n"/>
      <c r="J450" s="57" t="n"/>
      <c r="K450" s="57" t="n"/>
      <c r="L450" s="57" t="n"/>
      <c r="M450" s="57" t="n"/>
      <c r="N450" s="57" t="n"/>
      <c r="O450" s="57" t="n"/>
      <c r="AA450" s="640">
        <f>IF(G450=0, IF(OR(H450&gt;0,F450&gt;0),C450*F450,""),"")</f>
        <v/>
      </c>
      <c r="AB450" s="640">
        <f>IF(G450&gt;=1,IF(F450&gt;1,C450*(F450-2),""),"")</f>
        <v/>
      </c>
      <c r="AC450" s="640" t="n"/>
      <c r="AD450" s="911">
        <f>IF(E450="YES",IF(G450=1,"",""),IF(G450=1,C450,IF(G450=2,C450,IF(G450=0,"",""))))</f>
        <v/>
      </c>
      <c r="AE450" s="911">
        <f>IF(E450="YES",IF(G450=1,"",IF(H450=1,C450,"")),IF(H450=1,C450,IF(H450=2,C450,IF(H450=0,"",""))))</f>
        <v/>
      </c>
      <c r="AF450" s="911">
        <f>IF(E450="YES",IF(I450=1,C450,""),IF(I450=1,C450,IF(I450=2,C450,IF(I450=0,"",""))))</f>
        <v/>
      </c>
      <c r="AG450" s="192">
        <f>(C450*G450)+(C450*H450)+(C450*I450)</f>
        <v/>
      </c>
    </row>
    <row r="451">
      <c r="A451" s="57" t="n"/>
      <c r="B451" s="57" t="n"/>
      <c r="C451" s="109" t="n"/>
      <c r="F451" s="57" t="n"/>
      <c r="J451" s="57" t="n"/>
      <c r="K451" s="57" t="n"/>
      <c r="L451" s="57" t="n"/>
      <c r="M451" s="57" t="n"/>
      <c r="N451" s="57" t="n"/>
      <c r="O451" s="57" t="n"/>
      <c r="AA451" s="640">
        <f>IF(G451=0, IF(OR(H451&gt;0,F451&gt;0),C451*F451,""),"")</f>
        <v/>
      </c>
      <c r="AB451" s="640">
        <f>IF(G451&gt;=1,IF(F451&gt;1,C451*(F451-2),""),"")</f>
        <v/>
      </c>
      <c r="AC451" s="640" t="n"/>
      <c r="AD451" s="911">
        <f>IF(E451="YES",IF(G451=1,"",""),IF(G451=1,C451,IF(G451=2,C451,IF(G451=0,"",""))))</f>
        <v/>
      </c>
      <c r="AE451" s="911">
        <f>IF(E451="YES",IF(G451=1,"",IF(H451=1,C451,"")),IF(H451=1,C451,IF(H451=2,C451,IF(H451=0,"",""))))</f>
        <v/>
      </c>
      <c r="AF451" s="911">
        <f>IF(E451="YES",IF(I451=1,C451,""),IF(I451=1,C451,IF(I451=2,C451,IF(I451=0,"",""))))</f>
        <v/>
      </c>
      <c r="AG451" s="192">
        <f>(C451*G451)+(C451*H451)+(C451*I451)</f>
        <v/>
      </c>
    </row>
    <row r="452">
      <c r="A452" s="57" t="n"/>
      <c r="B452" s="57" t="n"/>
      <c r="C452" s="109" t="n"/>
      <c r="F452" s="57" t="n"/>
      <c r="J452" s="57" t="n"/>
      <c r="K452" s="57" t="n"/>
      <c r="L452" s="57" t="n"/>
      <c r="M452" s="57" t="n"/>
      <c r="N452" s="57" t="n"/>
      <c r="O452" s="57" t="n"/>
      <c r="AA452" s="640">
        <f>IF(G452=0, IF(OR(H452&gt;0,F452&gt;0),C452*F452,""),"")</f>
        <v/>
      </c>
      <c r="AB452" s="640">
        <f>IF(G452&gt;=1,IF(F452&gt;1,C452*(F452-2),""),"")</f>
        <v/>
      </c>
      <c r="AC452" s="640" t="n"/>
      <c r="AD452" s="911">
        <f>IF(E452="YES",IF(G452=1,"",""),IF(G452=1,C452,IF(G452=2,C452,IF(G452=0,"",""))))</f>
        <v/>
      </c>
      <c r="AE452" s="911">
        <f>IF(E452="YES",IF(G452=1,"",IF(H452=1,C452,"")),IF(H452=1,C452,IF(H452=2,C452,IF(H452=0,"",""))))</f>
        <v/>
      </c>
      <c r="AF452" s="911">
        <f>IF(E452="YES",IF(I452=1,C452,""),IF(I452=1,C452,IF(I452=2,C452,IF(I452=0,"",""))))</f>
        <v/>
      </c>
      <c r="AG452" s="192">
        <f>(C452*G452)+(C452*H452)+(C452*I452)</f>
        <v/>
      </c>
    </row>
    <row r="453">
      <c r="A453" s="57" t="n"/>
      <c r="B453" s="57" t="n"/>
      <c r="C453" s="109" t="n"/>
      <c r="F453" s="57" t="n"/>
      <c r="J453" s="57" t="n"/>
      <c r="K453" s="57" t="n"/>
      <c r="L453" s="57" t="n"/>
      <c r="M453" s="57" t="n"/>
      <c r="N453" s="57" t="n"/>
      <c r="O453" s="57" t="n"/>
      <c r="AA453" s="640">
        <f>IF(G453=0, IF(OR(H453&gt;0,F453&gt;0),C453*F453,""),"")</f>
        <v/>
      </c>
      <c r="AB453" s="640">
        <f>IF(G453&gt;=1,IF(F453&gt;1,C453*(F453-2),""),"")</f>
        <v/>
      </c>
      <c r="AC453" s="640" t="n"/>
      <c r="AD453" s="911">
        <f>IF(E453="YES",IF(G453=1,"",""),IF(G453=1,C453,IF(G453=2,C453,IF(G453=0,"",""))))</f>
        <v/>
      </c>
      <c r="AE453" s="911">
        <f>IF(E453="YES",IF(G453=1,"",IF(H453=1,C453,"")),IF(H453=1,C453,IF(H453=2,C453,IF(H453=0,"",""))))</f>
        <v/>
      </c>
      <c r="AF453" s="911">
        <f>IF(E453="YES",IF(I453=1,C453,""),IF(I453=1,C453,IF(I453=2,C453,IF(I453=0,"",""))))</f>
        <v/>
      </c>
      <c r="AG453" s="192">
        <f>(C453*G453)+(C453*H453)+(C453*I453)</f>
        <v/>
      </c>
    </row>
    <row r="454">
      <c r="A454" s="57" t="n"/>
      <c r="B454" s="57" t="n"/>
      <c r="C454" s="109" t="n"/>
      <c r="F454" s="57" t="n"/>
      <c r="J454" s="57" t="n"/>
      <c r="K454" s="57" t="n"/>
      <c r="L454" s="57" t="n"/>
      <c r="M454" s="57" t="n"/>
      <c r="N454" s="57" t="n"/>
      <c r="O454" s="57" t="n"/>
      <c r="AA454" s="640">
        <f>IF(G454=0, IF(OR(H454&gt;0,F454&gt;0),C454*F454,""),"")</f>
        <v/>
      </c>
      <c r="AB454" s="640">
        <f>IF(G454&gt;=1,IF(F454&gt;1,C454*(F454-2),""),"")</f>
        <v/>
      </c>
      <c r="AC454" s="640" t="n"/>
      <c r="AD454" s="911">
        <f>IF(E454="YES",IF(G454=1,"",""),IF(G454=1,C454,IF(G454=2,C454,IF(G454=0,"",""))))</f>
        <v/>
      </c>
      <c r="AE454" s="911">
        <f>IF(E454="YES",IF(G454=1,"",IF(H454=1,C454,"")),IF(H454=1,C454,IF(H454=2,C454,IF(H454=0,"",""))))</f>
        <v/>
      </c>
      <c r="AF454" s="911">
        <f>IF(E454="YES",IF(I454=1,C454,""),IF(I454=1,C454,IF(I454=2,C454,IF(I454=0,"",""))))</f>
        <v/>
      </c>
      <c r="AG454" s="192">
        <f>(C454*G454)+(C454*H454)+(C454*I454)</f>
        <v/>
      </c>
    </row>
    <row r="455">
      <c r="A455" s="57" t="n"/>
      <c r="B455" s="57" t="n"/>
      <c r="C455" s="109" t="n"/>
      <c r="F455" s="57" t="n"/>
      <c r="J455" s="57" t="n"/>
      <c r="K455" s="57" t="n"/>
      <c r="L455" s="57" t="n"/>
      <c r="M455" s="57" t="n"/>
      <c r="N455" s="57" t="n"/>
      <c r="O455" s="57" t="n"/>
      <c r="AA455" s="640">
        <f>IF(G455=0, IF(OR(H455&gt;0,F455&gt;0),C455*F455,""),"")</f>
        <v/>
      </c>
      <c r="AB455" s="640">
        <f>IF(G455&gt;=1,IF(F455&gt;1,C455*(F455-2),""),"")</f>
        <v/>
      </c>
      <c r="AC455" s="640" t="n"/>
      <c r="AD455" s="911">
        <f>IF(E455="YES",IF(G455=1,"",""),IF(G455=1,C455,IF(G455=2,C455,IF(G455=0,"",""))))</f>
        <v/>
      </c>
      <c r="AE455" s="911">
        <f>IF(E455="YES",IF(G455=1,"",IF(H455=1,C455,"")),IF(H455=1,C455,IF(H455=2,C455,IF(H455=0,"",""))))</f>
        <v/>
      </c>
      <c r="AF455" s="911">
        <f>IF(E455="YES",IF(I455=1,C455,""),IF(I455=1,C455,IF(I455=2,C455,IF(I455=0,"",""))))</f>
        <v/>
      </c>
      <c r="AG455" s="192">
        <f>(C455*G455)+(C455*H455)+(C455*I455)</f>
        <v/>
      </c>
    </row>
    <row r="456">
      <c r="A456" s="57" t="n"/>
      <c r="B456" s="57" t="n"/>
      <c r="C456" s="109" t="n"/>
      <c r="F456" s="57" t="n"/>
      <c r="J456" s="57" t="n"/>
      <c r="K456" s="57" t="n"/>
      <c r="L456" s="57" t="n"/>
      <c r="M456" s="57" t="n"/>
      <c r="N456" s="57" t="n"/>
      <c r="O456" s="57" t="n"/>
      <c r="AA456" s="640">
        <f>IF(G456=0, IF(OR(H456&gt;0,F456&gt;0),C456*F456,""),"")</f>
        <v/>
      </c>
      <c r="AB456" s="640">
        <f>IF(G456&gt;=1,IF(F456&gt;1,C456*(F456-2),""),"")</f>
        <v/>
      </c>
      <c r="AC456" s="640" t="n"/>
      <c r="AD456" s="911">
        <f>IF(E456="YES",IF(G456=1,"",""),IF(G456=1,C456,IF(G456=2,C456,IF(G456=0,"",""))))</f>
        <v/>
      </c>
      <c r="AE456" s="911">
        <f>IF(E456="YES",IF(G456=1,"",IF(H456=1,C456,"")),IF(H456=1,C456,IF(H456=2,C456,IF(H456=0,"",""))))</f>
        <v/>
      </c>
      <c r="AF456" s="911">
        <f>IF(E456="YES",IF(I456=1,C456,""),IF(I456=1,C456,IF(I456=2,C456,IF(I456=0,"",""))))</f>
        <v/>
      </c>
      <c r="AG456" s="192">
        <f>(C456*G456)+(C456*H456)+(C456*I456)</f>
        <v/>
      </c>
    </row>
    <row r="457">
      <c r="A457" s="57" t="n"/>
      <c r="B457" s="57" t="n"/>
      <c r="C457" s="109" t="n"/>
      <c r="F457" s="57" t="n"/>
      <c r="J457" s="57" t="n"/>
      <c r="K457" s="57" t="n"/>
      <c r="L457" s="57" t="n"/>
      <c r="M457" s="57" t="n"/>
      <c r="N457" s="57" t="n"/>
      <c r="O457" s="57" t="n"/>
      <c r="AA457" s="640">
        <f>IF(G457=0, IF(OR(H457&gt;0,F457&gt;0),C457*F457,""),"")</f>
        <v/>
      </c>
      <c r="AB457" s="640">
        <f>IF(G457&gt;=1,IF(F457&gt;1,C457*(F457-2),""),"")</f>
        <v/>
      </c>
      <c r="AC457" s="640" t="n"/>
      <c r="AD457" s="911">
        <f>IF(E457="YES",IF(G457=1,"",""),IF(G457=1,C457,IF(G457=2,C457,IF(G457=0,"",""))))</f>
        <v/>
      </c>
      <c r="AE457" s="911">
        <f>IF(E457="YES",IF(G457=1,"",IF(H457=1,C457,"")),IF(H457=1,C457,IF(H457=2,C457,IF(H457=0,"",""))))</f>
        <v/>
      </c>
      <c r="AF457" s="911">
        <f>IF(E457="YES",IF(I457=1,C457,""),IF(I457=1,C457,IF(I457=2,C457,IF(I457=0,"",""))))</f>
        <v/>
      </c>
      <c r="AG457" s="192">
        <f>(C457*G457)+(C457*H457)+(C457*I457)</f>
        <v/>
      </c>
    </row>
    <row r="458">
      <c r="A458" s="57" t="n"/>
      <c r="B458" s="57" t="n"/>
      <c r="C458" s="109" t="n"/>
      <c r="F458" s="57" t="n"/>
      <c r="J458" s="57" t="n"/>
      <c r="K458" s="57" t="n"/>
      <c r="L458" s="57" t="n"/>
      <c r="M458" s="57" t="n"/>
      <c r="N458" s="57" t="n"/>
      <c r="O458" s="57" t="n"/>
      <c r="AA458" s="640">
        <f>IF(G458=0, IF(OR(H458&gt;0,F458&gt;0),C458*F458,""),"")</f>
        <v/>
      </c>
      <c r="AB458" s="640">
        <f>IF(G458&gt;=1,IF(F458&gt;1,C458*(F458-2),""),"")</f>
        <v/>
      </c>
      <c r="AC458" s="640" t="n"/>
      <c r="AD458" s="911">
        <f>IF(E458="YES",IF(G458=1,"",""),IF(G458=1,C458,IF(G458=2,C458,IF(G458=0,"",""))))</f>
        <v/>
      </c>
      <c r="AE458" s="911">
        <f>IF(E458="YES",IF(G458=1,"",IF(H458=1,C458,"")),IF(H458=1,C458,IF(H458=2,C458,IF(H458=0,"",""))))</f>
        <v/>
      </c>
      <c r="AF458" s="911">
        <f>IF(E458="YES",IF(I458=1,C458,""),IF(I458=1,C458,IF(I458=2,C458,IF(I458=0,"",""))))</f>
        <v/>
      </c>
      <c r="AG458" s="192">
        <f>(C458*G458)+(C458*H458)+(C458*I458)</f>
        <v/>
      </c>
    </row>
    <row r="459">
      <c r="A459" s="57" t="n"/>
      <c r="B459" s="57" t="n"/>
      <c r="C459" s="109" t="n"/>
      <c r="F459" s="57" t="n"/>
      <c r="J459" s="57" t="n"/>
      <c r="K459" s="57" t="n"/>
      <c r="L459" s="57" t="n"/>
      <c r="M459" s="57" t="n"/>
      <c r="N459" s="57" t="n"/>
      <c r="O459" s="57" t="n"/>
      <c r="AA459" s="640">
        <f>IF(G459=0, IF(OR(H459&gt;0,F459&gt;0),C459*F459,""),"")</f>
        <v/>
      </c>
      <c r="AB459" s="640">
        <f>IF(G459&gt;=1,IF(F459&gt;1,C459*(F459-2),""),"")</f>
        <v/>
      </c>
      <c r="AC459" s="640" t="n"/>
      <c r="AD459" s="911">
        <f>IF(E459="YES",IF(G459=1,"",""),IF(G459=1,C459,IF(G459=2,C459,IF(G459=0,"",""))))</f>
        <v/>
      </c>
      <c r="AE459" s="911">
        <f>IF(E459="YES",IF(G459=1,"",IF(H459=1,C459,"")),IF(H459=1,C459,IF(H459=2,C459,IF(H459=0,"",""))))</f>
        <v/>
      </c>
      <c r="AF459" s="911">
        <f>IF(E459="YES",IF(I459=1,C459,""),IF(I459=1,C459,IF(I459=2,C459,IF(I459=0,"",""))))</f>
        <v/>
      </c>
      <c r="AG459" s="192">
        <f>(C459*G459)+(C459*H459)+(C459*I459)</f>
        <v/>
      </c>
    </row>
    <row r="460">
      <c r="A460" s="57" t="n"/>
      <c r="B460" s="57" t="n"/>
      <c r="C460" s="109" t="n"/>
      <c r="F460" s="57" t="n"/>
      <c r="J460" s="57" t="n"/>
      <c r="K460" s="57" t="n"/>
      <c r="L460" s="57" t="n"/>
      <c r="M460" s="57" t="n"/>
      <c r="N460" s="57" t="n"/>
      <c r="O460" s="57" t="n"/>
      <c r="AA460" s="640">
        <f>IF(G460=0, IF(OR(H460&gt;0,F460&gt;0),C460*F460,""),"")</f>
        <v/>
      </c>
      <c r="AB460" s="640">
        <f>IF(G460&gt;=1,IF(F460&gt;1,C460*(F460-2),""),"")</f>
        <v/>
      </c>
      <c r="AC460" s="640" t="n"/>
      <c r="AD460" s="911">
        <f>IF(E460="YES",IF(G460=1,"",""),IF(G460=1,C460,IF(G460=2,C460,IF(G460=0,"",""))))</f>
        <v/>
      </c>
      <c r="AE460" s="911">
        <f>IF(E460="YES",IF(G460=1,"",IF(H460=1,C460,"")),IF(H460=1,C460,IF(H460=2,C460,IF(H460=0,"",""))))</f>
        <v/>
      </c>
      <c r="AF460" s="911">
        <f>IF(E460="YES",IF(I460=1,C460,""),IF(I460=1,C460,IF(I460=2,C460,IF(I460=0,"",""))))</f>
        <v/>
      </c>
      <c r="AG460" s="192">
        <f>(C460*G460)+(C460*H460)+(C460*I460)</f>
        <v/>
      </c>
    </row>
    <row r="461">
      <c r="A461" s="57" t="n"/>
      <c r="B461" s="57" t="n"/>
      <c r="C461" s="109" t="n"/>
      <c r="F461" s="57" t="n"/>
      <c r="J461" s="57" t="n"/>
      <c r="K461" s="57" t="n"/>
      <c r="L461" s="57" t="n"/>
      <c r="M461" s="57" t="n"/>
      <c r="N461" s="57" t="n"/>
      <c r="O461" s="57" t="n"/>
      <c r="AA461" s="640">
        <f>IF(G461=0, IF(OR(H461&gt;0,F461&gt;0),C461*F461,""),"")</f>
        <v/>
      </c>
      <c r="AB461" s="640">
        <f>IF(G461&gt;=1,IF(F461&gt;1,C461*(F461-2),""),"")</f>
        <v/>
      </c>
      <c r="AC461" s="640" t="n"/>
      <c r="AD461" s="911">
        <f>IF(E461="YES",IF(G461=1,"",""),IF(G461=1,C461,IF(G461=2,C461,IF(G461=0,"",""))))</f>
        <v/>
      </c>
      <c r="AE461" s="911">
        <f>IF(E461="YES",IF(G461=1,"",IF(H461=1,C461,"")),IF(H461=1,C461,IF(H461=2,C461,IF(H461=0,"",""))))</f>
        <v/>
      </c>
      <c r="AF461" s="911">
        <f>IF(E461="YES",IF(I461=1,C461,""),IF(I461=1,C461,IF(I461=2,C461,IF(I461=0,"",""))))</f>
        <v/>
      </c>
      <c r="AG461" s="192">
        <f>(C461*G461)+(C461*H461)+(C461*I461)</f>
        <v/>
      </c>
    </row>
    <row r="462">
      <c r="A462" s="57" t="n"/>
      <c r="B462" s="57" t="n"/>
      <c r="C462" s="109" t="n"/>
      <c r="F462" s="57" t="n"/>
      <c r="J462" s="57" t="n"/>
      <c r="K462" s="57" t="n"/>
      <c r="L462" s="57" t="n"/>
      <c r="M462" s="57" t="n"/>
      <c r="N462" s="57" t="n"/>
      <c r="O462" s="57" t="n"/>
      <c r="AA462" s="640">
        <f>IF(G462=0, IF(OR(H462&gt;0,F462&gt;0),C462*F462,""),"")</f>
        <v/>
      </c>
      <c r="AB462" s="640">
        <f>IF(G462&gt;=1,IF(F462&gt;1,C462*(F462-2),""),"")</f>
        <v/>
      </c>
      <c r="AC462" s="640" t="n"/>
      <c r="AD462" s="911">
        <f>IF(E462="YES",IF(G462=1,"",""),IF(G462=1,C462,IF(G462=2,C462,IF(G462=0,"",""))))</f>
        <v/>
      </c>
      <c r="AE462" s="911">
        <f>IF(E462="YES",IF(G462=1,"",IF(H462=1,C462,"")),IF(H462=1,C462,IF(H462=2,C462,IF(H462=0,"",""))))</f>
        <v/>
      </c>
      <c r="AF462" s="911">
        <f>IF(E462="YES",IF(I462=1,C462,""),IF(I462=1,C462,IF(I462=2,C462,IF(I462=0,"",""))))</f>
        <v/>
      </c>
      <c r="AG462" s="192">
        <f>(C462*G462)+(C462*H462)+(C462*I462)</f>
        <v/>
      </c>
    </row>
    <row r="463">
      <c r="A463" s="57" t="n"/>
      <c r="B463" s="57" t="n"/>
      <c r="C463" s="109" t="n"/>
      <c r="F463" s="57" t="n"/>
      <c r="J463" s="57" t="n"/>
      <c r="K463" s="57" t="n"/>
      <c r="L463" s="57" t="n"/>
      <c r="M463" s="57" t="n"/>
      <c r="N463" s="57" t="n"/>
      <c r="O463" s="57" t="n"/>
      <c r="AA463" s="640">
        <f>IF(G463=0, IF(OR(H463&gt;0,F463&gt;0),C463*F463,""),"")</f>
        <v/>
      </c>
      <c r="AB463" s="640">
        <f>IF(G463&gt;=1,IF(F463&gt;1,C463*(F463-2),""),"")</f>
        <v/>
      </c>
      <c r="AC463" s="640" t="n"/>
      <c r="AD463" s="911">
        <f>IF(E463="YES",IF(G463=1,"",""),IF(G463=1,C463,IF(G463=2,C463,IF(G463=0,"",""))))</f>
        <v/>
      </c>
      <c r="AE463" s="911">
        <f>IF(E463="YES",IF(G463=1,"",IF(H463=1,C463,"")),IF(H463=1,C463,IF(H463=2,C463,IF(H463=0,"",""))))</f>
        <v/>
      </c>
      <c r="AF463" s="911">
        <f>IF(E463="YES",IF(I463=1,C463,""),IF(I463=1,C463,IF(I463=2,C463,IF(I463=0,"",""))))</f>
        <v/>
      </c>
      <c r="AG463" s="192">
        <f>(C463*G463)+(C463*H463)+(C463*I463)</f>
        <v/>
      </c>
    </row>
    <row r="464">
      <c r="A464" s="57" t="n"/>
      <c r="B464" s="57" t="n"/>
      <c r="C464" s="109" t="n"/>
      <c r="F464" s="57" t="n"/>
      <c r="J464" s="57" t="n"/>
      <c r="K464" s="57" t="n"/>
      <c r="L464" s="57" t="n"/>
      <c r="M464" s="57" t="n"/>
      <c r="N464" s="57" t="n"/>
      <c r="O464" s="57" t="n"/>
      <c r="AA464" s="640">
        <f>IF(G464=0, IF(OR(H464&gt;0,F464&gt;0),C464*F464,""),"")</f>
        <v/>
      </c>
      <c r="AB464" s="640">
        <f>IF(G464&gt;=1,IF(F464&gt;1,C464*(F464-2),""),"")</f>
        <v/>
      </c>
      <c r="AC464" s="640" t="n"/>
      <c r="AD464" s="911">
        <f>IF(E464="YES",IF(G464=1,"",""),IF(G464=1,C464,IF(G464=2,C464,IF(G464=0,"",""))))</f>
        <v/>
      </c>
      <c r="AE464" s="911">
        <f>IF(E464="YES",IF(G464=1,"",IF(H464=1,C464,"")),IF(H464=1,C464,IF(H464=2,C464,IF(H464=0,"",""))))</f>
        <v/>
      </c>
      <c r="AF464" s="911">
        <f>IF(E464="YES",IF(I464=1,C464,""),IF(I464=1,C464,IF(I464=2,C464,IF(I464=0,"",""))))</f>
        <v/>
      </c>
      <c r="AG464" s="192">
        <f>(C464*G464)+(C464*H464)+(C464*I464)</f>
        <v/>
      </c>
    </row>
    <row r="465">
      <c r="A465" s="57" t="n"/>
      <c r="B465" s="57" t="n"/>
      <c r="C465" s="109" t="n"/>
      <c r="F465" s="57" t="n"/>
      <c r="J465" s="57" t="n"/>
      <c r="K465" s="57" t="n"/>
      <c r="L465" s="57" t="n"/>
      <c r="M465" s="57" t="n"/>
      <c r="N465" s="57" t="n"/>
      <c r="O465" s="57" t="n"/>
      <c r="AA465" s="640">
        <f>IF(G465=0, IF(OR(H465&gt;0,F465&gt;0),C465*F465,""),"")</f>
        <v/>
      </c>
      <c r="AB465" s="640">
        <f>IF(G465&gt;=1,IF(F465&gt;1,C465*(F465-2),""),"")</f>
        <v/>
      </c>
      <c r="AC465" s="640" t="n"/>
      <c r="AD465" s="911">
        <f>IF(E465="YES",IF(G465=1,"",""),IF(G465=1,C465,IF(G465=2,C465,IF(G465=0,"",""))))</f>
        <v/>
      </c>
      <c r="AE465" s="911">
        <f>IF(E465="YES",IF(G465=1,"",IF(H465=1,C465,"")),IF(H465=1,C465,IF(H465=2,C465,IF(H465=0,"",""))))</f>
        <v/>
      </c>
      <c r="AF465" s="911">
        <f>IF(E465="YES",IF(I465=1,C465,""),IF(I465=1,C465,IF(I465=2,C465,IF(I465=0,"",""))))</f>
        <v/>
      </c>
      <c r="AG465" s="192">
        <f>(C465*G465)+(C465*H465)+(C465*I465)</f>
        <v/>
      </c>
    </row>
    <row r="466">
      <c r="A466" s="57" t="n"/>
      <c r="B466" s="57" t="n"/>
      <c r="C466" s="109" t="n"/>
      <c r="F466" s="57" t="n"/>
      <c r="J466" s="57" t="n"/>
      <c r="K466" s="57" t="n"/>
      <c r="L466" s="57" t="n"/>
      <c r="M466" s="57" t="n"/>
      <c r="N466" s="57" t="n"/>
      <c r="O466" s="57" t="n"/>
      <c r="AA466" s="640">
        <f>IF(G466=0, IF(OR(H466&gt;0,F466&gt;0),C466*F466,""),"")</f>
        <v/>
      </c>
      <c r="AB466" s="640">
        <f>IF(G466&gt;=1,IF(F466&gt;1,C466*(F466-2),""),"")</f>
        <v/>
      </c>
      <c r="AC466" s="640" t="n"/>
      <c r="AD466" s="911">
        <f>IF(E466="YES",IF(G466=1,"",""),IF(G466=1,C466,IF(G466=2,C466,IF(G466=0,"",""))))</f>
        <v/>
      </c>
      <c r="AE466" s="911">
        <f>IF(E466="YES",IF(G466=1,"",IF(H466=1,C466,"")),IF(H466=1,C466,IF(H466=2,C466,IF(H466=0,"",""))))</f>
        <v/>
      </c>
      <c r="AF466" s="911">
        <f>IF(E466="YES",IF(I466=1,C466,""),IF(I466=1,C466,IF(I466=2,C466,IF(I466=0,"",""))))</f>
        <v/>
      </c>
      <c r="AG466" s="192">
        <f>(C466*G466)+(C466*H466)+(C466*I466)</f>
        <v/>
      </c>
    </row>
    <row r="467">
      <c r="A467" s="57" t="n"/>
      <c r="B467" s="57" t="n"/>
      <c r="C467" s="109" t="n"/>
      <c r="F467" s="57" t="n"/>
      <c r="J467" s="57" t="n"/>
      <c r="K467" s="57" t="n"/>
      <c r="L467" s="57" t="n"/>
      <c r="M467" s="57" t="n"/>
      <c r="N467" s="57" t="n"/>
      <c r="O467" s="57" t="n"/>
      <c r="AA467" s="640">
        <f>IF(G467=0, IF(OR(H467&gt;0,F467&gt;0),C467*F467,""),"")</f>
        <v/>
      </c>
      <c r="AB467" s="640">
        <f>IF(G467&gt;=1,IF(F467&gt;1,C467*(F467-2),""),"")</f>
        <v/>
      </c>
      <c r="AC467" s="640" t="n"/>
      <c r="AD467" s="911">
        <f>IF(E467="YES",IF(G467=1,"",""),IF(G467=1,C467,IF(G467=2,C467,IF(G467=0,"",""))))</f>
        <v/>
      </c>
      <c r="AE467" s="911">
        <f>IF(E467="YES",IF(G467=1,"",IF(H467=1,C467,"")),IF(H467=1,C467,IF(H467=2,C467,IF(H467=0,"",""))))</f>
        <v/>
      </c>
      <c r="AF467" s="911">
        <f>IF(E467="YES",IF(I467=1,C467,""),IF(I467=1,C467,IF(I467=2,C467,IF(I467=0,"",""))))</f>
        <v/>
      </c>
      <c r="AG467" s="192">
        <f>(C467*G467)+(C467*H467)+(C467*I467)</f>
        <v/>
      </c>
    </row>
    <row r="468">
      <c r="A468" s="57" t="n"/>
      <c r="B468" s="57" t="n"/>
      <c r="C468" s="109" t="n"/>
      <c r="F468" s="57" t="n"/>
      <c r="J468" s="57" t="n"/>
      <c r="K468" s="57" t="n"/>
      <c r="L468" s="57" t="n"/>
      <c r="M468" s="57" t="n"/>
      <c r="N468" s="57" t="n"/>
      <c r="O468" s="57" t="n"/>
      <c r="AA468" s="640">
        <f>IF(G468=0, IF(OR(H468&gt;0,F468&gt;0),C468*F468,""),"")</f>
        <v/>
      </c>
      <c r="AB468" s="640">
        <f>IF(G468&gt;=1,IF(F468&gt;1,C468*(F468-2),""),"")</f>
        <v/>
      </c>
      <c r="AC468" s="640" t="n"/>
      <c r="AD468" s="911">
        <f>IF(E468="YES",IF(G468=1,"",""),IF(G468=1,C468,IF(G468=2,C468,IF(G468=0,"",""))))</f>
        <v/>
      </c>
      <c r="AE468" s="911">
        <f>IF(E468="YES",IF(G468=1,"",IF(H468=1,C468,"")),IF(H468=1,C468,IF(H468=2,C468,IF(H468=0,"",""))))</f>
        <v/>
      </c>
      <c r="AF468" s="911">
        <f>IF(E468="YES",IF(I468=1,C468,""),IF(I468=1,C468,IF(I468=2,C468,IF(I468=0,"",""))))</f>
        <v/>
      </c>
      <c r="AG468" s="192">
        <f>(C468*G468)+(C468*H468)+(C468*I468)</f>
        <v/>
      </c>
    </row>
    <row r="469">
      <c r="A469" s="57" t="n"/>
      <c r="B469" s="57" t="n"/>
      <c r="C469" s="109" t="n"/>
      <c r="F469" s="57" t="n"/>
      <c r="J469" s="57" t="n"/>
      <c r="K469" s="57" t="n"/>
      <c r="L469" s="57" t="n"/>
      <c r="M469" s="57" t="n"/>
      <c r="N469" s="57" t="n"/>
      <c r="O469" s="57" t="n"/>
      <c r="AA469" s="640">
        <f>IF(G469=0, IF(OR(H469&gt;0,F469&gt;0),C469*F469,""),"")</f>
        <v/>
      </c>
      <c r="AB469" s="640">
        <f>IF(G469&gt;=1,IF(F469&gt;1,C469*(F469-2),""),"")</f>
        <v/>
      </c>
      <c r="AC469" s="640" t="n"/>
      <c r="AD469" s="911">
        <f>IF(E469="YES",IF(G469=1,"",""),IF(G469=1,C469,IF(G469=2,C469,IF(G469=0,"",""))))</f>
        <v/>
      </c>
      <c r="AE469" s="911">
        <f>IF(E469="YES",IF(G469=1,"",IF(H469=1,C469,"")),IF(H469=1,C469,IF(H469=2,C469,IF(H469=0,"",""))))</f>
        <v/>
      </c>
      <c r="AF469" s="911">
        <f>IF(E469="YES",IF(I469=1,C469,""),IF(I469=1,C469,IF(I469=2,C469,IF(I469=0,"",""))))</f>
        <v/>
      </c>
      <c r="AG469" s="192">
        <f>(C469*G469)+(C469*H469)+(C469*I469)</f>
        <v/>
      </c>
    </row>
    <row r="470">
      <c r="A470" s="57" t="n"/>
      <c r="B470" s="57" t="n"/>
      <c r="C470" s="109" t="n"/>
      <c r="F470" s="57" t="n"/>
      <c r="J470" s="57" t="n"/>
      <c r="K470" s="57" t="n"/>
      <c r="L470" s="57" t="n"/>
      <c r="M470" s="57" t="n"/>
      <c r="N470" s="57" t="n"/>
      <c r="O470" s="57" t="n"/>
      <c r="AA470" s="640">
        <f>IF(G470=0, IF(OR(H470&gt;0,F470&gt;0),C470*F470,""),"")</f>
        <v/>
      </c>
      <c r="AB470" s="640">
        <f>IF(G470&gt;=1,IF(F470&gt;1,C470*(F470-2),""),"")</f>
        <v/>
      </c>
      <c r="AC470" s="640" t="n"/>
      <c r="AD470" s="911">
        <f>IF(E470="YES",IF(G470=1,"",""),IF(G470=1,C470,IF(G470=2,C470,IF(G470=0,"",""))))</f>
        <v/>
      </c>
      <c r="AE470" s="911">
        <f>IF(E470="YES",IF(G470=1,"",IF(H470=1,C470,"")),IF(H470=1,C470,IF(H470=2,C470,IF(H470=0,"",""))))</f>
        <v/>
      </c>
      <c r="AF470" s="911">
        <f>IF(E470="YES",IF(I470=1,C470,""),IF(I470=1,C470,IF(I470=2,C470,IF(I470=0,"",""))))</f>
        <v/>
      </c>
      <c r="AG470" s="192">
        <f>(C470*G470)+(C470*H470)+(C470*I470)</f>
        <v/>
      </c>
    </row>
    <row r="471">
      <c r="A471" s="57" t="n"/>
      <c r="B471" s="57" t="n"/>
      <c r="C471" s="109" t="n"/>
      <c r="F471" s="57" t="n"/>
      <c r="J471" s="57" t="n"/>
      <c r="K471" s="57" t="n"/>
      <c r="L471" s="57" t="n"/>
      <c r="M471" s="57" t="n"/>
      <c r="N471" s="57" t="n"/>
      <c r="O471" s="57" t="n"/>
      <c r="AA471" s="640">
        <f>IF(G471=0, IF(OR(H471&gt;0,F471&gt;0),C471*F471,""),"")</f>
        <v/>
      </c>
      <c r="AB471" s="640">
        <f>IF(G471&gt;=1,IF(F471&gt;1,C471*(F471-2),""),"")</f>
        <v/>
      </c>
      <c r="AC471" s="640" t="n"/>
      <c r="AD471" s="911">
        <f>IF(E471="YES",IF(G471=1,"",""),IF(G471=1,C471,IF(G471=2,C471,IF(G471=0,"",""))))</f>
        <v/>
      </c>
      <c r="AE471" s="911">
        <f>IF(E471="YES",IF(G471=1,"",IF(H471=1,C471,"")),IF(H471=1,C471,IF(H471=2,C471,IF(H471=0,"",""))))</f>
        <v/>
      </c>
      <c r="AF471" s="911">
        <f>IF(E471="YES",IF(I471=1,C471,""),IF(I471=1,C471,IF(I471=2,C471,IF(I471=0,"",""))))</f>
        <v/>
      </c>
      <c r="AG471" s="192">
        <f>(C471*G471)+(C471*H471)+(C471*I471)</f>
        <v/>
      </c>
    </row>
    <row r="472">
      <c r="A472" s="57" t="n"/>
      <c r="B472" s="57" t="n"/>
      <c r="C472" s="109" t="n"/>
      <c r="F472" s="57" t="n"/>
      <c r="J472" s="57" t="n"/>
      <c r="K472" s="57" t="n"/>
      <c r="L472" s="57" t="n"/>
      <c r="M472" s="57" t="n"/>
      <c r="N472" s="57" t="n"/>
      <c r="O472" s="57" t="n"/>
      <c r="AA472" s="640">
        <f>IF(G472=0, IF(OR(H472&gt;0,F472&gt;0),C472*F472,""),"")</f>
        <v/>
      </c>
      <c r="AB472" s="640">
        <f>IF(G472&gt;=1,IF(F472&gt;1,C472*(F472-2),""),"")</f>
        <v/>
      </c>
      <c r="AC472" s="640" t="n"/>
      <c r="AD472" s="911">
        <f>IF(E472="YES",IF(G472=1,"",""),IF(G472=1,C472,IF(G472=2,C472,IF(G472=0,"",""))))</f>
        <v/>
      </c>
      <c r="AE472" s="911">
        <f>IF(E472="YES",IF(G472=1,"",IF(H472=1,C472,"")),IF(H472=1,C472,IF(H472=2,C472,IF(H472=0,"",""))))</f>
        <v/>
      </c>
      <c r="AF472" s="911">
        <f>IF(E472="YES",IF(I472=1,C472,""),IF(I472=1,C472,IF(I472=2,C472,IF(I472=0,"",""))))</f>
        <v/>
      </c>
      <c r="AG472" s="192">
        <f>(C472*G472)+(C472*H472)+(C472*I472)</f>
        <v/>
      </c>
    </row>
    <row r="473">
      <c r="A473" s="57" t="n"/>
      <c r="B473" s="57" t="n"/>
      <c r="C473" s="109" t="n"/>
      <c r="F473" s="57" t="n"/>
      <c r="J473" s="57" t="n"/>
      <c r="K473" s="57" t="n"/>
      <c r="L473" s="57" t="n"/>
      <c r="M473" s="57" t="n"/>
      <c r="N473" s="57" t="n"/>
      <c r="O473" s="57" t="n"/>
      <c r="AA473" s="640">
        <f>IF(G473=0, IF(OR(H473&gt;0,F473&gt;0),C473*F473,""),"")</f>
        <v/>
      </c>
      <c r="AB473" s="640">
        <f>IF(G473&gt;=1,IF(F473&gt;1,C473*(F473-2),""),"")</f>
        <v/>
      </c>
      <c r="AC473" s="640" t="n"/>
      <c r="AD473" s="911">
        <f>IF(E473="YES",IF(G473=1,"",""),IF(G473=1,C473,IF(G473=2,C473,IF(G473=0,"",""))))</f>
        <v/>
      </c>
      <c r="AE473" s="911">
        <f>IF(E473="YES",IF(G473=1,"",IF(H473=1,C473,"")),IF(H473=1,C473,IF(H473=2,C473,IF(H473=0,"",""))))</f>
        <v/>
      </c>
      <c r="AF473" s="911">
        <f>IF(E473="YES",IF(I473=1,C473,""),IF(I473=1,C473,IF(I473=2,C473,IF(I473=0,"",""))))</f>
        <v/>
      </c>
      <c r="AG473" s="192">
        <f>(C473*G473)+(C473*H473)+(C473*I473)</f>
        <v/>
      </c>
    </row>
    <row r="474">
      <c r="A474" s="57" t="n"/>
      <c r="B474" s="57" t="n"/>
      <c r="C474" s="109" t="n"/>
      <c r="F474" s="57" t="n"/>
      <c r="J474" s="57" t="n"/>
      <c r="K474" s="57" t="n"/>
      <c r="L474" s="57" t="n"/>
      <c r="M474" s="57" t="n"/>
      <c r="N474" s="57" t="n"/>
      <c r="O474" s="57" t="n"/>
      <c r="AA474" s="640">
        <f>IF(G474=0, IF(OR(H474&gt;0,F474&gt;0),C474*F474,""),"")</f>
        <v/>
      </c>
      <c r="AB474" s="640">
        <f>IF(G474&gt;=1,IF(F474&gt;1,C474*(F474-2),""),"")</f>
        <v/>
      </c>
      <c r="AC474" s="640" t="n"/>
      <c r="AD474" s="911">
        <f>IF(E474="YES",IF(G474=1,"",""),IF(G474=1,C474,IF(G474=2,C474,IF(G474=0,"",""))))</f>
        <v/>
      </c>
      <c r="AE474" s="911">
        <f>IF(E474="YES",IF(G474=1,"",IF(H474=1,C474,"")),IF(H474=1,C474,IF(H474=2,C474,IF(H474=0,"",""))))</f>
        <v/>
      </c>
      <c r="AF474" s="911">
        <f>IF(E474="YES",IF(I474=1,C474,""),IF(I474=1,C474,IF(I474=2,C474,IF(I474=0,"",""))))</f>
        <v/>
      </c>
      <c r="AG474" s="192">
        <f>(C474*G474)+(C474*H474)+(C474*I474)</f>
        <v/>
      </c>
    </row>
    <row r="475">
      <c r="A475" s="57" t="n"/>
      <c r="B475" s="57" t="n"/>
      <c r="C475" s="109" t="n"/>
      <c r="F475" s="57" t="n"/>
      <c r="J475" s="57" t="n"/>
      <c r="K475" s="57" t="n"/>
      <c r="L475" s="57" t="n"/>
      <c r="M475" s="57" t="n"/>
      <c r="N475" s="57" t="n"/>
      <c r="O475" s="57" t="n"/>
      <c r="AA475" s="640">
        <f>IF(G475=0, IF(OR(H475&gt;0,F475&gt;0),C475*F475,""),"")</f>
        <v/>
      </c>
      <c r="AB475" s="640">
        <f>IF(G475&gt;=1,IF(F475&gt;1,C475*(F475-2),""),"")</f>
        <v/>
      </c>
      <c r="AC475" s="640" t="n"/>
      <c r="AD475" s="911">
        <f>IF(E475="YES",IF(G475=1,"",""),IF(G475=1,C475,IF(G475=2,C475,IF(G475=0,"",""))))</f>
        <v/>
      </c>
      <c r="AE475" s="911">
        <f>IF(E475="YES",IF(G475=1,"",IF(H475=1,C475,"")),IF(H475=1,C475,IF(H475=2,C475,IF(H475=0,"",""))))</f>
        <v/>
      </c>
      <c r="AF475" s="911">
        <f>IF(E475="YES",IF(I475=1,C475,""),IF(I475=1,C475,IF(I475=2,C475,IF(I475=0,"",""))))</f>
        <v/>
      </c>
      <c r="AG475" s="192">
        <f>(C475*G475)+(C475*H475)+(C475*I475)</f>
        <v/>
      </c>
    </row>
    <row r="476">
      <c r="A476" s="57" t="n"/>
      <c r="B476" s="57" t="n"/>
      <c r="C476" s="109" t="n"/>
      <c r="F476" s="57" t="n"/>
      <c r="J476" s="57" t="n"/>
      <c r="K476" s="57" t="n"/>
      <c r="L476" s="57" t="n"/>
      <c r="M476" s="57" t="n"/>
      <c r="N476" s="57" t="n"/>
      <c r="O476" s="57" t="n"/>
      <c r="AA476" s="640">
        <f>IF(G476=0, IF(OR(H476&gt;0,F476&gt;0),C476*F476,""),"")</f>
        <v/>
      </c>
      <c r="AB476" s="640">
        <f>IF(G476&gt;=1,IF(F476&gt;1,C476*(F476-2),""),"")</f>
        <v/>
      </c>
      <c r="AC476" s="640" t="n"/>
      <c r="AD476" s="911">
        <f>IF(E476="YES",IF(G476=1,"",""),IF(G476=1,C476,IF(G476=2,C476,IF(G476=0,"",""))))</f>
        <v/>
      </c>
      <c r="AE476" s="911">
        <f>IF(E476="YES",IF(G476=1,"",IF(H476=1,C476,"")),IF(H476=1,C476,IF(H476=2,C476,IF(H476=0,"",""))))</f>
        <v/>
      </c>
      <c r="AF476" s="911">
        <f>IF(E476="YES",IF(I476=1,C476,""),IF(I476=1,C476,IF(I476=2,C476,IF(I476=0,"",""))))</f>
        <v/>
      </c>
      <c r="AG476" s="192">
        <f>(C476*G476)+(C476*H476)+(C476*I476)</f>
        <v/>
      </c>
    </row>
    <row r="477">
      <c r="A477" s="57" t="n"/>
      <c r="B477" s="57" t="n"/>
      <c r="C477" s="109" t="n"/>
      <c r="F477" s="57" t="n"/>
      <c r="J477" s="57" t="n"/>
      <c r="K477" s="57" t="n"/>
      <c r="L477" s="57" t="n"/>
      <c r="M477" s="57" t="n"/>
      <c r="N477" s="57" t="n"/>
      <c r="O477" s="57" t="n"/>
      <c r="AA477" s="640">
        <f>IF(G477=0, IF(OR(H477&gt;0,F477&gt;0),C477*F477,""),"")</f>
        <v/>
      </c>
      <c r="AB477" s="640">
        <f>IF(G477&gt;=1,IF(F477&gt;1,C477*(F477-2),""),"")</f>
        <v/>
      </c>
      <c r="AC477" s="640" t="n"/>
      <c r="AD477" s="911">
        <f>IF(E477="YES",IF(G477=1,"",""),IF(G477=1,C477,IF(G477=2,C477,IF(G477=0,"",""))))</f>
        <v/>
      </c>
      <c r="AE477" s="911">
        <f>IF(E477="YES",IF(G477=1,"",IF(H477=1,C477,"")),IF(H477=1,C477,IF(H477=2,C477,IF(H477=0,"",""))))</f>
        <v/>
      </c>
      <c r="AF477" s="911">
        <f>IF(E477="YES",IF(I477=1,C477,""),IF(I477=1,C477,IF(I477=2,C477,IF(I477=0,"",""))))</f>
        <v/>
      </c>
      <c r="AG477" s="192">
        <f>(C477*G477)+(C477*H477)+(C477*I477)</f>
        <v/>
      </c>
    </row>
    <row r="478">
      <c r="A478" s="57" t="n"/>
      <c r="B478" s="57" t="n"/>
      <c r="C478" s="109" t="n"/>
      <c r="F478" s="57" t="n"/>
      <c r="J478" s="57" t="n"/>
      <c r="K478" s="57" t="n"/>
      <c r="L478" s="57" t="n"/>
      <c r="M478" s="57" t="n"/>
      <c r="N478" s="57" t="n"/>
      <c r="O478" s="57" t="n"/>
      <c r="AA478" s="640">
        <f>IF(G478=0, IF(OR(H478&gt;0,F478&gt;0),C478*F478,""),"")</f>
        <v/>
      </c>
      <c r="AB478" s="640">
        <f>IF(G478&gt;=1,IF(F478&gt;1,C478*(F478-2),""),"")</f>
        <v/>
      </c>
      <c r="AC478" s="640" t="n"/>
      <c r="AD478" s="911">
        <f>IF(E478="YES",IF(G478=1,"",""),IF(G478=1,C478,IF(G478=2,C478,IF(G478=0,"",""))))</f>
        <v/>
      </c>
      <c r="AE478" s="911">
        <f>IF(E478="YES",IF(G478=1,"",IF(H478=1,C478,"")),IF(H478=1,C478,IF(H478=2,C478,IF(H478=0,"",""))))</f>
        <v/>
      </c>
      <c r="AF478" s="911">
        <f>IF(E478="YES",IF(I478=1,C478,""),IF(I478=1,C478,IF(I478=2,C478,IF(I478=0,"",""))))</f>
        <v/>
      </c>
      <c r="AG478" s="192">
        <f>(C478*G478)+(C478*H478)+(C478*I478)</f>
        <v/>
      </c>
    </row>
    <row r="479">
      <c r="A479" s="57" t="n"/>
      <c r="B479" s="57" t="n"/>
      <c r="C479" s="109" t="n"/>
      <c r="F479" s="57" t="n"/>
      <c r="J479" s="57" t="n"/>
      <c r="K479" s="57" t="n"/>
      <c r="L479" s="57" t="n"/>
      <c r="M479" s="57" t="n"/>
      <c r="N479" s="57" t="n"/>
      <c r="O479" s="57" t="n"/>
      <c r="AA479" s="640">
        <f>IF(G479=0, IF(OR(H479&gt;0,F479&gt;0),C479*F479,""),"")</f>
        <v/>
      </c>
      <c r="AB479" s="640">
        <f>IF(G479&gt;=1,IF(F479&gt;1,C479*(F479-2),""),"")</f>
        <v/>
      </c>
      <c r="AC479" s="640" t="n"/>
      <c r="AD479" s="911">
        <f>IF(E479="YES",IF(G479=1,"",""),IF(G479=1,C479,IF(G479=2,C479,IF(G479=0,"",""))))</f>
        <v/>
      </c>
      <c r="AE479" s="911">
        <f>IF(E479="YES",IF(G479=1,"",IF(H479=1,C479,"")),IF(H479=1,C479,IF(H479=2,C479,IF(H479=0,"",""))))</f>
        <v/>
      </c>
      <c r="AF479" s="911">
        <f>IF(E479="YES",IF(I479=1,C479,""),IF(I479=1,C479,IF(I479=2,C479,IF(I479=0,"",""))))</f>
        <v/>
      </c>
      <c r="AG479" s="192">
        <f>(C479*G479)+(C479*H479)+(C479*I479)</f>
        <v/>
      </c>
    </row>
    <row r="480">
      <c r="A480" s="57" t="n"/>
      <c r="B480" s="57" t="n"/>
      <c r="C480" s="109" t="n"/>
      <c r="F480" s="57" t="n"/>
      <c r="J480" s="57" t="n"/>
      <c r="K480" s="57" t="n"/>
      <c r="L480" s="57" t="n"/>
      <c r="M480" s="57" t="n"/>
      <c r="N480" s="57" t="n"/>
      <c r="O480" s="57" t="n"/>
      <c r="AA480" s="640">
        <f>IF(G480=0, IF(OR(H480&gt;0,F480&gt;0),C480*F480,""),"")</f>
        <v/>
      </c>
      <c r="AB480" s="640">
        <f>IF(G480&gt;=1,IF(F480&gt;1,C480*(F480-2),""),"")</f>
        <v/>
      </c>
      <c r="AC480" s="640" t="n"/>
      <c r="AD480" s="911">
        <f>IF(E480="YES",IF(G480=1,"",""),IF(G480=1,C480,IF(G480=2,C480,IF(G480=0,"",""))))</f>
        <v/>
      </c>
      <c r="AE480" s="911">
        <f>IF(E480="YES",IF(G480=1,"",IF(H480=1,C480,"")),IF(H480=1,C480,IF(H480=2,C480,IF(H480=0,"",""))))</f>
        <v/>
      </c>
      <c r="AF480" s="911">
        <f>IF(E480="YES",IF(I480=1,C480,""),IF(I480=1,C480,IF(I480=2,C480,IF(I480=0,"",""))))</f>
        <v/>
      </c>
      <c r="AG480" s="192">
        <f>(C480*G480)+(C480*H480)+(C480*I480)</f>
        <v/>
      </c>
    </row>
    <row r="481">
      <c r="A481" s="57" t="n"/>
      <c r="B481" s="57" t="n"/>
      <c r="C481" s="109" t="n"/>
      <c r="F481" s="57" t="n"/>
      <c r="J481" s="57" t="n"/>
      <c r="K481" s="57" t="n"/>
      <c r="L481" s="57" t="n"/>
      <c r="M481" s="57" t="n"/>
      <c r="N481" s="57" t="n"/>
      <c r="O481" s="57" t="n"/>
      <c r="AA481" s="640">
        <f>IF(G481=0, IF(OR(H481&gt;0,F481&gt;0),C481*F481,""),"")</f>
        <v/>
      </c>
      <c r="AB481" s="640">
        <f>IF(G481&gt;=1,IF(F481&gt;1,C481*(F481-2),""),"")</f>
        <v/>
      </c>
      <c r="AC481" s="640" t="n"/>
      <c r="AD481" s="911">
        <f>IF(E481="YES",IF(G481=1,"",""),IF(G481=1,C481,IF(G481=2,C481,IF(G481=0,"",""))))</f>
        <v/>
      </c>
      <c r="AE481" s="911">
        <f>IF(E481="YES",IF(G481=1,"",IF(H481=1,C481,"")),IF(H481=1,C481,IF(H481=2,C481,IF(H481=0,"",""))))</f>
        <v/>
      </c>
      <c r="AF481" s="911">
        <f>IF(E481="YES",IF(I481=1,C481,""),IF(I481=1,C481,IF(I481=2,C481,IF(I481=0,"",""))))</f>
        <v/>
      </c>
      <c r="AG481" s="192">
        <f>(C481*G481)+(C481*H481)+(C481*I481)</f>
        <v/>
      </c>
    </row>
    <row r="482">
      <c r="A482" s="57" t="n"/>
      <c r="B482" s="57" t="n"/>
      <c r="C482" s="109" t="n"/>
      <c r="F482" s="57" t="n"/>
      <c r="J482" s="57" t="n"/>
      <c r="K482" s="57" t="n"/>
      <c r="L482" s="57" t="n"/>
      <c r="M482" s="57" t="n"/>
      <c r="N482" s="57" t="n"/>
      <c r="O482" s="57" t="n"/>
      <c r="AA482" s="640">
        <f>IF(G482=0, IF(OR(H482&gt;0,F482&gt;0),C482*F482,""),"")</f>
        <v/>
      </c>
      <c r="AB482" s="640">
        <f>IF(G482&gt;=1,IF(F482&gt;1,C482*(F482-2),""),"")</f>
        <v/>
      </c>
      <c r="AC482" s="640" t="n"/>
      <c r="AD482" s="911">
        <f>IF(E482="YES",IF(G482=1,"",""),IF(G482=1,C482,IF(G482=2,C482,IF(G482=0,"",""))))</f>
        <v/>
      </c>
      <c r="AE482" s="911">
        <f>IF(E482="YES",IF(G482=1,"",IF(H482=1,C482,"")),IF(H482=1,C482,IF(H482=2,C482,IF(H482=0,"",""))))</f>
        <v/>
      </c>
      <c r="AF482" s="911">
        <f>IF(E482="YES",IF(I482=1,C482,""),IF(I482=1,C482,IF(I482=2,C482,IF(I482=0,"",""))))</f>
        <v/>
      </c>
      <c r="AG482" s="192">
        <f>(C482*G482)+(C482*H482)+(C482*I482)</f>
        <v/>
      </c>
    </row>
    <row r="483">
      <c r="A483" s="57" t="n"/>
      <c r="B483" s="57" t="n"/>
      <c r="C483" s="109" t="n"/>
      <c r="F483" s="57" t="n"/>
      <c r="J483" s="57" t="n"/>
      <c r="K483" s="57" t="n"/>
      <c r="L483" s="57" t="n"/>
      <c r="M483" s="57" t="n"/>
      <c r="N483" s="57" t="n"/>
      <c r="O483" s="57" t="n"/>
      <c r="AA483" s="640">
        <f>IF(G483=0, IF(OR(H483&gt;0,F483&gt;0),C483*F483,""),"")</f>
        <v/>
      </c>
      <c r="AB483" s="640">
        <f>IF(G483&gt;=1,IF(F483&gt;1,C483*(F483-2),""),"")</f>
        <v/>
      </c>
      <c r="AC483" s="640" t="n"/>
      <c r="AD483" s="911">
        <f>IF(E483="YES",IF(G483=1,"",""),IF(G483=1,C483,IF(G483=2,C483,IF(G483=0,"",""))))</f>
        <v/>
      </c>
      <c r="AE483" s="911">
        <f>IF(E483="YES",IF(G483=1,"",IF(H483=1,C483,"")),IF(H483=1,C483,IF(H483=2,C483,IF(H483=0,"",""))))</f>
        <v/>
      </c>
      <c r="AF483" s="911">
        <f>IF(E483="YES",IF(I483=1,C483,""),IF(I483=1,C483,IF(I483=2,C483,IF(I483=0,"",""))))</f>
        <v/>
      </c>
      <c r="AG483" s="192">
        <f>(C483*G483)+(C483*H483)+(C483*I483)</f>
        <v/>
      </c>
    </row>
    <row r="484">
      <c r="A484" s="57" t="n"/>
      <c r="B484" s="57" t="n"/>
      <c r="C484" s="109" t="n"/>
      <c r="F484" s="57" t="n"/>
      <c r="J484" s="57" t="n"/>
      <c r="K484" s="57" t="n"/>
      <c r="L484" s="57" t="n"/>
      <c r="M484" s="57" t="n"/>
      <c r="N484" s="57" t="n"/>
      <c r="O484" s="57" t="n"/>
      <c r="AA484" s="640">
        <f>IF(G484=0, IF(OR(H484&gt;0,F484&gt;0),C484*F484,""),"")</f>
        <v/>
      </c>
      <c r="AB484" s="640">
        <f>IF(G484&gt;=1,IF(F484&gt;1,C484*(F484-2),""),"")</f>
        <v/>
      </c>
      <c r="AC484" s="640" t="n"/>
      <c r="AD484" s="911">
        <f>IF(E484="YES",IF(G484=1,"",""),IF(G484=1,C484,IF(G484=2,C484,IF(G484=0,"",""))))</f>
        <v/>
      </c>
      <c r="AE484" s="911">
        <f>IF(E484="YES",IF(G484=1,"",IF(H484=1,C484,"")),IF(H484=1,C484,IF(H484=2,C484,IF(H484=0,"",""))))</f>
        <v/>
      </c>
      <c r="AF484" s="911">
        <f>IF(E484="YES",IF(I484=1,C484,""),IF(I484=1,C484,IF(I484=2,C484,IF(I484=0,"",""))))</f>
        <v/>
      </c>
      <c r="AG484" s="192">
        <f>(C484*G484)+(C484*H484)+(C484*I484)</f>
        <v/>
      </c>
    </row>
    <row r="485">
      <c r="A485" s="57" t="n"/>
      <c r="B485" s="57" t="n"/>
      <c r="C485" s="109" t="n"/>
      <c r="F485" s="57" t="n"/>
      <c r="J485" s="57" t="n"/>
      <c r="K485" s="57" t="n"/>
      <c r="L485" s="57" t="n"/>
      <c r="M485" s="57" t="n"/>
      <c r="N485" s="57" t="n"/>
      <c r="O485" s="57" t="n"/>
      <c r="AA485" s="640">
        <f>IF(G485=0, IF(OR(H485&gt;0,F485&gt;0),C485*F485,""),"")</f>
        <v/>
      </c>
      <c r="AB485" s="640">
        <f>IF(G485&gt;=1,IF(F485&gt;1,C485*(F485-2),""),"")</f>
        <v/>
      </c>
      <c r="AC485" s="640" t="n"/>
      <c r="AD485" s="911">
        <f>IF(E485="YES",IF(G485=1,"",""),IF(G485=1,C485,IF(G485=2,C485,IF(G485=0,"",""))))</f>
        <v/>
      </c>
      <c r="AE485" s="911">
        <f>IF(E485="YES",IF(G485=1,"",IF(H485=1,C485,"")),IF(H485=1,C485,IF(H485=2,C485,IF(H485=0,"",""))))</f>
        <v/>
      </c>
      <c r="AF485" s="911">
        <f>IF(E485="YES",IF(I485=1,C485,""),IF(I485=1,C485,IF(I485=2,C485,IF(I485=0,"",""))))</f>
        <v/>
      </c>
      <c r="AG485" s="192">
        <f>(C485*G485)+(C485*H485)+(C485*I485)</f>
        <v/>
      </c>
    </row>
    <row r="486">
      <c r="A486" s="57" t="n"/>
      <c r="B486" s="57" t="n"/>
      <c r="C486" s="109" t="n"/>
      <c r="F486" s="57" t="n"/>
      <c r="J486" s="57" t="n"/>
      <c r="K486" s="57" t="n"/>
      <c r="L486" s="57" t="n"/>
      <c r="M486" s="57" t="n"/>
      <c r="N486" s="57" t="n"/>
      <c r="O486" s="57" t="n"/>
      <c r="AA486" s="640">
        <f>IF(G486=0, IF(OR(H486&gt;0,F486&gt;0),C486*F486,""),"")</f>
        <v/>
      </c>
      <c r="AB486" s="640">
        <f>IF(G486&gt;=1,IF(F486&gt;1,C486*(F486-2),""),"")</f>
        <v/>
      </c>
      <c r="AC486" s="640" t="n"/>
      <c r="AD486" s="911">
        <f>IF(E486="YES",IF(G486=1,"",""),IF(G486=1,C486,IF(G486=2,C486,IF(G486=0,"",""))))</f>
        <v/>
      </c>
      <c r="AE486" s="911">
        <f>IF(E486="YES",IF(G486=1,"",IF(H486=1,C486,"")),IF(H486=1,C486,IF(H486=2,C486,IF(H486=0,"",""))))</f>
        <v/>
      </c>
      <c r="AF486" s="911">
        <f>IF(E486="YES",IF(I486=1,C486,""),IF(I486=1,C486,IF(I486=2,C486,IF(I486=0,"",""))))</f>
        <v/>
      </c>
      <c r="AG486" s="192">
        <f>(C486*G486)+(C486*H486)+(C486*I486)</f>
        <v/>
      </c>
    </row>
    <row r="487">
      <c r="A487" s="57" t="n"/>
      <c r="B487" s="57" t="n"/>
      <c r="C487" s="109" t="n"/>
      <c r="F487" s="57" t="n"/>
      <c r="J487" s="57" t="n"/>
      <c r="K487" s="57" t="n"/>
      <c r="L487" s="57" t="n"/>
      <c r="M487" s="57" t="n"/>
      <c r="N487" s="57" t="n"/>
      <c r="O487" s="57" t="n"/>
      <c r="AA487" s="640">
        <f>IF(G487=0, IF(OR(H487&gt;0,F487&gt;0),C487*F487,""),"")</f>
        <v/>
      </c>
      <c r="AB487" s="640">
        <f>IF(G487&gt;=1,IF(F487&gt;1,C487*(F487-2),""),"")</f>
        <v/>
      </c>
      <c r="AC487" s="640" t="n"/>
      <c r="AD487" s="911">
        <f>IF(E487="YES",IF(G487=1,"",""),IF(G487=1,C487,IF(G487=2,C487,IF(G487=0,"",""))))</f>
        <v/>
      </c>
      <c r="AE487" s="911">
        <f>IF(E487="YES",IF(G487=1,"",IF(H487=1,C487,"")),IF(H487=1,C487,IF(H487=2,C487,IF(H487=0,"",""))))</f>
        <v/>
      </c>
      <c r="AF487" s="911">
        <f>IF(E487="YES",IF(I487=1,C487,""),IF(I487=1,C487,IF(I487=2,C487,IF(I487=0,"",""))))</f>
        <v/>
      </c>
      <c r="AG487" s="192">
        <f>(C487*G487)+(C487*H487)+(C487*I487)</f>
        <v/>
      </c>
    </row>
    <row r="488">
      <c r="A488" s="57" t="n"/>
      <c r="B488" s="57" t="n"/>
      <c r="C488" s="109" t="n"/>
      <c r="F488" s="57" t="n"/>
      <c r="J488" s="57" t="n"/>
      <c r="K488" s="57" t="n"/>
      <c r="L488" s="57" t="n"/>
      <c r="M488" s="57" t="n"/>
      <c r="N488" s="57" t="n"/>
      <c r="O488" s="57" t="n"/>
      <c r="AA488" s="640">
        <f>IF(G488=0, IF(OR(H488&gt;0,F488&gt;0),C488*F488,""),"")</f>
        <v/>
      </c>
      <c r="AB488" s="640">
        <f>IF(G488&gt;=1,IF(F488&gt;1,C488*(F488-2),""),"")</f>
        <v/>
      </c>
      <c r="AC488" s="640" t="n"/>
      <c r="AD488" s="911">
        <f>IF(E488="YES",IF(G488=1,"",""),IF(G488=1,C488,IF(G488=2,C488,IF(G488=0,"",""))))</f>
        <v/>
      </c>
      <c r="AE488" s="911">
        <f>IF(E488="YES",IF(G488=1,"",IF(H488=1,C488,"")),IF(H488=1,C488,IF(H488=2,C488,IF(H488=0,"",""))))</f>
        <v/>
      </c>
      <c r="AF488" s="911">
        <f>IF(E488="YES",IF(I488=1,C488,""),IF(I488=1,C488,IF(I488=2,C488,IF(I488=0,"",""))))</f>
        <v/>
      </c>
      <c r="AG488" s="192">
        <f>(C488*G488)+(C488*H488)+(C488*I488)</f>
        <v/>
      </c>
    </row>
    <row r="489">
      <c r="A489" s="57" t="n"/>
      <c r="B489" s="57" t="n"/>
      <c r="C489" s="109" t="n"/>
      <c r="F489" s="57" t="n"/>
      <c r="J489" s="57" t="n"/>
      <c r="K489" s="57" t="n"/>
      <c r="L489" s="57" t="n"/>
      <c r="M489" s="57" t="n"/>
      <c r="N489" s="57" t="n"/>
      <c r="O489" s="57" t="n"/>
      <c r="AA489" s="640">
        <f>IF(G489=0, IF(OR(H489&gt;0,F489&gt;0),C489*F489,""),"")</f>
        <v/>
      </c>
      <c r="AB489" s="640">
        <f>IF(G489&gt;=1,IF(F489&gt;1,C489*(F489-2),""),"")</f>
        <v/>
      </c>
      <c r="AC489" s="640" t="n"/>
      <c r="AD489" s="911">
        <f>IF(E489="YES",IF(G489=1,"",""),IF(G489=1,C489,IF(G489=2,C489,IF(G489=0,"",""))))</f>
        <v/>
      </c>
      <c r="AE489" s="911">
        <f>IF(E489="YES",IF(G489=1,"",IF(H489=1,C489,"")),IF(H489=1,C489,IF(H489=2,C489,IF(H489=0,"",""))))</f>
        <v/>
      </c>
      <c r="AF489" s="911">
        <f>IF(E489="YES",IF(I489=1,C489,""),IF(I489=1,C489,IF(I489=2,C489,IF(I489=0,"",""))))</f>
        <v/>
      </c>
      <c r="AG489" s="192">
        <f>(C489*G489)+(C489*H489)+(C489*I489)</f>
        <v/>
      </c>
    </row>
    <row r="490">
      <c r="A490" s="57" t="n"/>
      <c r="B490" s="57" t="n"/>
      <c r="C490" s="109" t="n"/>
      <c r="F490" s="57" t="n"/>
      <c r="J490" s="57" t="n"/>
      <c r="K490" s="57" t="n"/>
      <c r="L490" s="57" t="n"/>
      <c r="M490" s="57" t="n"/>
      <c r="N490" s="57" t="n"/>
      <c r="O490" s="57" t="n"/>
      <c r="AA490" s="640">
        <f>IF(G490=0, IF(OR(H490&gt;0,F490&gt;0),C490*F490,""),"")</f>
        <v/>
      </c>
      <c r="AB490" s="640">
        <f>IF(G490&gt;=1,IF(F490&gt;1,C490*(F490-2),""),"")</f>
        <v/>
      </c>
      <c r="AC490" s="640" t="n"/>
      <c r="AD490" s="911">
        <f>IF(E490="YES",IF(G490=1,"",""),IF(G490=1,C490,IF(G490=2,C490,IF(G490=0,"",""))))</f>
        <v/>
      </c>
      <c r="AE490" s="911">
        <f>IF(E490="YES",IF(G490=1,"",IF(H490=1,C490,"")),IF(H490=1,C490,IF(H490=2,C490,IF(H490=0,"",""))))</f>
        <v/>
      </c>
      <c r="AF490" s="911">
        <f>IF(E490="YES",IF(I490=1,C490,""),IF(I490=1,C490,IF(I490=2,C490,IF(I490=0,"",""))))</f>
        <v/>
      </c>
      <c r="AG490" s="192">
        <f>(C490*G490)+(C490*H490)+(C490*I490)</f>
        <v/>
      </c>
    </row>
    <row r="491">
      <c r="A491" s="57" t="n"/>
      <c r="B491" s="57" t="n"/>
      <c r="C491" s="109" t="n"/>
      <c r="F491" s="57" t="n"/>
      <c r="J491" s="57" t="n"/>
      <c r="K491" s="57" t="n"/>
      <c r="L491" s="57" t="n"/>
      <c r="M491" s="57" t="n"/>
      <c r="N491" s="57" t="n"/>
      <c r="O491" s="57" t="n"/>
      <c r="AA491" s="640">
        <f>IF(G491=0, IF(OR(H491&gt;0,F491&gt;0),C491*F491,""),"")</f>
        <v/>
      </c>
      <c r="AB491" s="640">
        <f>IF(G491&gt;=1,IF(F491&gt;1,C491*(F491-2),""),"")</f>
        <v/>
      </c>
      <c r="AC491" s="640" t="n"/>
      <c r="AD491" s="911">
        <f>IF(E491="YES",IF(G491=1,"",""),IF(G491=1,C491,IF(G491=2,C491,IF(G491=0,"",""))))</f>
        <v/>
      </c>
      <c r="AE491" s="911">
        <f>IF(E491="YES",IF(G491=1,"",IF(H491=1,C491,"")),IF(H491=1,C491,IF(H491=2,C491,IF(H491=0,"",""))))</f>
        <v/>
      </c>
      <c r="AF491" s="911">
        <f>IF(E491="YES",IF(I491=1,C491,""),IF(I491=1,C491,IF(I491=2,C491,IF(I491=0,"",""))))</f>
        <v/>
      </c>
      <c r="AG491" s="192">
        <f>(C491*G491)+(C491*H491)+(C491*I491)</f>
        <v/>
      </c>
    </row>
    <row r="492">
      <c r="A492" s="57" t="n"/>
      <c r="B492" s="57" t="n"/>
      <c r="C492" s="109" t="n"/>
      <c r="F492" s="57" t="n"/>
      <c r="J492" s="57" t="n"/>
      <c r="K492" s="57" t="n"/>
      <c r="L492" s="57" t="n"/>
      <c r="M492" s="57" t="n"/>
      <c r="N492" s="57" t="n"/>
      <c r="O492" s="57" t="n"/>
      <c r="AA492" s="640">
        <f>IF(G492=0, IF(OR(H492&gt;0,F492&gt;0),C492*F492,""),"")</f>
        <v/>
      </c>
      <c r="AB492" s="640">
        <f>IF(G492&gt;=1,IF(F492&gt;1,C492*(F492-2),""),"")</f>
        <v/>
      </c>
      <c r="AC492" s="640" t="n"/>
      <c r="AD492" s="911">
        <f>IF(E492="YES",IF(G492=1,"",""),IF(G492=1,C492,IF(G492=2,C492,IF(G492=0,"",""))))</f>
        <v/>
      </c>
      <c r="AE492" s="911">
        <f>IF(E492="YES",IF(G492=1,"",IF(H492=1,C492,"")),IF(H492=1,C492,IF(H492=2,C492,IF(H492=0,"",""))))</f>
        <v/>
      </c>
      <c r="AF492" s="911">
        <f>IF(E492="YES",IF(I492=1,C492,""),IF(I492=1,C492,IF(I492=2,C492,IF(I492=0,"",""))))</f>
        <v/>
      </c>
      <c r="AG492" s="192">
        <f>(C492*G492)+(C492*H492)+(C492*I492)</f>
        <v/>
      </c>
    </row>
    <row r="493">
      <c r="A493" s="57" t="n"/>
      <c r="B493" s="57" t="n"/>
      <c r="C493" s="109" t="n"/>
      <c r="F493" s="57" t="n"/>
      <c r="J493" s="57" t="n"/>
      <c r="K493" s="57" t="n"/>
      <c r="L493" s="57" t="n"/>
      <c r="M493" s="57" t="n"/>
      <c r="N493" s="57" t="n"/>
      <c r="O493" s="57" t="n"/>
      <c r="AA493" s="640">
        <f>IF(G493=0, IF(OR(H493&gt;0,F493&gt;0),C493*F493,""),"")</f>
        <v/>
      </c>
      <c r="AB493" s="640">
        <f>IF(G493&gt;=1,IF(F493&gt;1,C493*(F493-2),""),"")</f>
        <v/>
      </c>
      <c r="AC493" s="640" t="n"/>
      <c r="AD493" s="911">
        <f>IF(E493="YES",IF(G493=1,"",""),IF(G493=1,C493,IF(G493=2,C493,IF(G493=0,"",""))))</f>
        <v/>
      </c>
      <c r="AE493" s="911">
        <f>IF(E493="YES",IF(G493=1,"",IF(H493=1,C493,"")),IF(H493=1,C493,IF(H493=2,C493,IF(H493=0,"",""))))</f>
        <v/>
      </c>
      <c r="AF493" s="911">
        <f>IF(E493="YES",IF(I493=1,C493,""),IF(I493=1,C493,IF(I493=2,C493,IF(I493=0,"",""))))</f>
        <v/>
      </c>
      <c r="AG493" s="192">
        <f>(C493*G493)+(C493*H493)+(C493*I493)</f>
        <v/>
      </c>
    </row>
    <row r="494">
      <c r="A494" s="57" t="n"/>
      <c r="B494" s="57" t="n"/>
      <c r="C494" s="109" t="n"/>
      <c r="F494" s="57" t="n"/>
      <c r="J494" s="57" t="n"/>
      <c r="K494" s="57" t="n"/>
      <c r="L494" s="57" t="n"/>
      <c r="M494" s="57" t="n"/>
      <c r="N494" s="57" t="n"/>
      <c r="O494" s="57" t="n"/>
      <c r="AA494" s="640">
        <f>IF(G494=0, IF(OR(H494&gt;0,F494&gt;0),C494*F494,""),"")</f>
        <v/>
      </c>
      <c r="AB494" s="640">
        <f>IF(G494&gt;=1,IF(F494&gt;1,C494*(F494-2),""),"")</f>
        <v/>
      </c>
      <c r="AC494" s="640" t="n"/>
      <c r="AD494" s="911">
        <f>IF(E494="YES",IF(G494=1,"",""),IF(G494=1,C494,IF(G494=2,C494,IF(G494=0,"",""))))</f>
        <v/>
      </c>
      <c r="AE494" s="911">
        <f>IF(E494="YES",IF(G494=1,"",IF(H494=1,C494,"")),IF(H494=1,C494,IF(H494=2,C494,IF(H494=0,"",""))))</f>
        <v/>
      </c>
      <c r="AF494" s="911">
        <f>IF(E494="YES",IF(I494=1,C494,""),IF(I494=1,C494,IF(I494=2,C494,IF(I494=0,"",""))))</f>
        <v/>
      </c>
      <c r="AG494" s="192">
        <f>(C494*G494)+(C494*H494)+(C494*I494)</f>
        <v/>
      </c>
    </row>
    <row r="495">
      <c r="A495" s="57" t="n"/>
      <c r="B495" s="57" t="n"/>
      <c r="C495" s="109" t="n"/>
      <c r="F495" s="57" t="n"/>
      <c r="J495" s="57" t="n"/>
      <c r="K495" s="57" t="n"/>
      <c r="L495" s="57" t="n"/>
      <c r="M495" s="57" t="n"/>
      <c r="N495" s="57" t="n"/>
      <c r="O495" s="57" t="n"/>
      <c r="AA495" s="640">
        <f>IF(G495=0, IF(OR(H495&gt;0,F495&gt;0),C495*F495,""),"")</f>
        <v/>
      </c>
      <c r="AB495" s="640">
        <f>IF(G495&gt;=1,IF(F495&gt;1,C495*(F495-2),""),"")</f>
        <v/>
      </c>
      <c r="AC495" s="640" t="n"/>
      <c r="AD495" s="911">
        <f>IF(E495="YES",IF(G495=1,"",""),IF(G495=1,C495,IF(G495=2,C495,IF(G495=0,"",""))))</f>
        <v/>
      </c>
      <c r="AE495" s="911">
        <f>IF(E495="YES",IF(G495=1,"",IF(H495=1,C495,"")),IF(H495=1,C495,IF(H495=2,C495,IF(H495=0,"",""))))</f>
        <v/>
      </c>
      <c r="AF495" s="911">
        <f>IF(E495="YES",IF(I495=1,C495,""),IF(I495=1,C495,IF(I495=2,C495,IF(I495=0,"",""))))</f>
        <v/>
      </c>
      <c r="AG495" s="192">
        <f>(C495*G495)+(C495*H495)+(C495*I495)</f>
        <v/>
      </c>
    </row>
    <row r="496">
      <c r="A496" s="57" t="n"/>
      <c r="B496" s="57" t="n"/>
      <c r="C496" s="109" t="n"/>
      <c r="F496" s="57" t="n"/>
      <c r="J496" s="57" t="n"/>
      <c r="K496" s="57" t="n"/>
      <c r="L496" s="57" t="n"/>
      <c r="M496" s="57" t="n"/>
      <c r="N496" s="57" t="n"/>
      <c r="O496" s="57" t="n"/>
      <c r="AA496" s="640">
        <f>IF(G496=0, IF(OR(H496&gt;0,F496&gt;0),C496*F496,""),"")</f>
        <v/>
      </c>
      <c r="AB496" s="640">
        <f>IF(G496&gt;=1,IF(F496&gt;1,C496*(F496-2),""),"")</f>
        <v/>
      </c>
      <c r="AC496" s="640" t="n"/>
      <c r="AD496" s="911">
        <f>IF(E496="YES",IF(G496=1,"",""),IF(G496=1,C496,IF(G496=2,C496,IF(G496=0,"",""))))</f>
        <v/>
      </c>
      <c r="AE496" s="911">
        <f>IF(E496="YES",IF(G496=1,"",IF(H496=1,C496,"")),IF(H496=1,C496,IF(H496=2,C496,IF(H496=0,"",""))))</f>
        <v/>
      </c>
      <c r="AF496" s="911">
        <f>IF(E496="YES",IF(I496=1,C496,""),IF(I496=1,C496,IF(I496=2,C496,IF(I496=0,"",""))))</f>
        <v/>
      </c>
      <c r="AG496" s="192">
        <f>(C496*G496)+(C496*H496)+(C496*I496)</f>
        <v/>
      </c>
    </row>
    <row r="497">
      <c r="A497" s="57" t="n"/>
      <c r="B497" s="57" t="n"/>
      <c r="C497" s="109" t="n"/>
      <c r="F497" s="57" t="n"/>
      <c r="J497" s="57" t="n"/>
      <c r="K497" s="57" t="n"/>
      <c r="L497" s="57" t="n"/>
      <c r="M497" s="57" t="n"/>
      <c r="N497" s="57" t="n"/>
      <c r="O497" s="57" t="n"/>
      <c r="AA497" s="640">
        <f>IF(G497=0, IF(OR(H497&gt;0,F497&gt;0),C497*F497,""),"")</f>
        <v/>
      </c>
      <c r="AB497" s="640">
        <f>IF(G497&gt;=1,IF(F497&gt;1,C497*(F497-2),""),"")</f>
        <v/>
      </c>
      <c r="AC497" s="640" t="n"/>
      <c r="AD497" s="911">
        <f>IF(E497="YES",IF(G497=1,"",""),IF(G497=1,C497,IF(G497=2,C497,IF(G497=0,"",""))))</f>
        <v/>
      </c>
      <c r="AE497" s="911">
        <f>IF(E497="YES",IF(G497=1,"",IF(H497=1,C497,"")),IF(H497=1,C497,IF(H497=2,C497,IF(H497=0,"",""))))</f>
        <v/>
      </c>
      <c r="AF497" s="911">
        <f>IF(E497="YES",IF(I497=1,C497,""),IF(I497=1,C497,IF(I497=2,C497,IF(I497=0,"",""))))</f>
        <v/>
      </c>
      <c r="AG497" s="192">
        <f>(C497*G497)+(C497*H497)+(C497*I497)</f>
        <v/>
      </c>
    </row>
    <row r="498">
      <c r="A498" s="57" t="n"/>
      <c r="B498" s="57" t="n"/>
      <c r="C498" s="109" t="n"/>
      <c r="F498" s="57" t="n"/>
      <c r="J498" s="57" t="n"/>
      <c r="K498" s="57" t="n"/>
      <c r="L498" s="57" t="n"/>
      <c r="M498" s="57" t="n"/>
      <c r="N498" s="57" t="n"/>
      <c r="O498" s="57" t="n"/>
      <c r="AA498" s="640">
        <f>IF(G498=0, IF(OR(H498&gt;0,F498&gt;0),C498*F498,""),"")</f>
        <v/>
      </c>
      <c r="AB498" s="640">
        <f>IF(G498&gt;=1,IF(F498&gt;1,C498*(F498-2),""),"")</f>
        <v/>
      </c>
      <c r="AC498" s="640" t="n"/>
      <c r="AD498" s="911">
        <f>IF(E498="YES",IF(G498=1,"",""),IF(G498=1,C498,IF(G498=2,C498,IF(G498=0,"",""))))</f>
        <v/>
      </c>
      <c r="AE498" s="911">
        <f>IF(E498="YES",IF(G498=1,"",IF(H498=1,C498,"")),IF(H498=1,C498,IF(H498=2,C498,IF(H498=0,"",""))))</f>
        <v/>
      </c>
      <c r="AF498" s="911">
        <f>IF(E498="YES",IF(I498=1,C498,""),IF(I498=1,C498,IF(I498=2,C498,IF(I498=0,"",""))))</f>
        <v/>
      </c>
      <c r="AG498" s="192">
        <f>(C498*G498)+(C498*H498)+(C498*I498)</f>
        <v/>
      </c>
    </row>
    <row r="499">
      <c r="A499" s="57" t="n"/>
      <c r="B499" s="57" t="n"/>
      <c r="C499" s="109" t="n"/>
      <c r="F499" s="57" t="n"/>
      <c r="J499" s="57" t="n"/>
      <c r="K499" s="57" t="n"/>
      <c r="L499" s="57" t="n"/>
      <c r="M499" s="57" t="n"/>
      <c r="N499" s="57" t="n"/>
      <c r="O499" s="57" t="n"/>
      <c r="AA499" s="640">
        <f>IF(G499=0, IF(OR(H499&gt;0,F499&gt;0),C499*F499,""),"")</f>
        <v/>
      </c>
      <c r="AB499" s="640">
        <f>IF(G499&gt;=1,IF(F499&gt;1,C499*(F499-2),""),"")</f>
        <v/>
      </c>
      <c r="AC499" s="640" t="n"/>
      <c r="AD499" s="911">
        <f>IF(E499="YES",IF(G499=1,"",""),IF(G499=1,C499,IF(G499=2,C499,IF(G499=0,"",""))))</f>
        <v/>
      </c>
      <c r="AE499" s="911">
        <f>IF(E499="YES",IF(G499=1,"",IF(H499=1,C499,"")),IF(H499=1,C499,IF(H499=2,C499,IF(H499=0,"",""))))</f>
        <v/>
      </c>
      <c r="AF499" s="911">
        <f>IF(E499="YES",IF(I499=1,C499,""),IF(I499=1,C499,IF(I499=2,C499,IF(I499=0,"",""))))</f>
        <v/>
      </c>
      <c r="AG499" s="192">
        <f>(C499*G499)+(C499*H499)+(C499*I499)</f>
        <v/>
      </c>
    </row>
    <row r="500">
      <c r="A500" s="57" t="n"/>
      <c r="B500" s="57" t="n"/>
      <c r="C500" s="109" t="n"/>
      <c r="F500" s="57" t="n"/>
      <c r="J500" s="57" t="n"/>
      <c r="K500" s="57" t="n"/>
      <c r="L500" s="57" t="n"/>
      <c r="M500" s="57" t="n"/>
      <c r="N500" s="57" t="n"/>
      <c r="O500" s="57" t="n"/>
      <c r="AA500" s="640">
        <f>IF(G500=0, IF(OR(H500&gt;0,F500&gt;0),C500*F500,""),"")</f>
        <v/>
      </c>
      <c r="AB500" s="640">
        <f>IF(G500&gt;=1,IF(F500&gt;1,C500*(F500-2),""),"")</f>
        <v/>
      </c>
      <c r="AC500" s="640" t="n"/>
      <c r="AD500" s="911">
        <f>IF(E500="YES",IF(G500=1,"",""),IF(G500=1,C500,IF(G500=2,C500,IF(G500=0,"",""))))</f>
        <v/>
      </c>
      <c r="AE500" s="911">
        <f>IF(E500="YES",IF(G500=1,"",IF(H500=1,C500,"")),IF(H500=1,C500,IF(H500=2,C500,IF(H500=0,"",""))))</f>
        <v/>
      </c>
      <c r="AF500" s="911">
        <f>IF(E500="YES",IF(I500=1,C500,""),IF(I500=1,C500,IF(I500=2,C500,IF(I500=0,"",""))))</f>
        <v/>
      </c>
      <c r="AG500" s="192">
        <f>(C500*G500)+(C500*H500)+(C500*I500)</f>
        <v/>
      </c>
    </row>
    <row r="501">
      <c r="AA501" s="640">
        <f>IF(G501=0, IF(OR(H501&gt;0,F501&gt;0),C501*F501,""),"")</f>
        <v/>
      </c>
      <c r="AB501" s="640">
        <f>IF(G501&gt;=1,IF(F501&gt;1,C501*(F501-2),""),"")</f>
        <v/>
      </c>
      <c r="AC501" s="640" t="n"/>
      <c r="AD501" s="911">
        <f>IF(E501="YES",IF(G501=1,"",""),IF(G501=1,C501,IF(G501=2,C501,IF(G501=0,"",""))))</f>
        <v/>
      </c>
      <c r="AE501" s="911">
        <f>IF(E501="YES",IF(G501=1,"",IF(H501=1,C501,"")),IF(H501=1,C501,IF(H501=2,C501,IF(H501=0,"",""))))</f>
        <v/>
      </c>
      <c r="AF501" s="911">
        <f>IF(E501="YES",IF(I501=1,C501,""),IF(I501=1,C501,IF(I501=2,C501,IF(I501=0,"",""))))</f>
        <v/>
      </c>
      <c r="AG501" s="192">
        <f>(C501*G501)+(C501*H501)+(C501*I501)</f>
        <v/>
      </c>
    </row>
    <row r="502">
      <c r="AA502" s="640">
        <f>IF(G502=0, IF(OR(H502&gt;0,F502&gt;0),C502*F502,""),"")</f>
        <v/>
      </c>
      <c r="AB502" s="640">
        <f>IF(G502&gt;=1,IF(F502&gt;1,C502*(F502-2),""),"")</f>
        <v/>
      </c>
      <c r="AC502" s="640" t="n"/>
      <c r="AD502" s="911">
        <f>IF(E502="YES",IF(G502=1,"",""),IF(G502=1,C502,IF(G502=2,C502,IF(G502=0,"",""))))</f>
        <v/>
      </c>
      <c r="AE502" s="911">
        <f>IF(E502="YES",IF(G502=1,"",IF(H502=1,C502,"")),IF(H502=1,C502,IF(H502=2,C502,IF(H502=0,"",""))))</f>
        <v/>
      </c>
      <c r="AF502" s="911">
        <f>IF(E502="YES",IF(I502=1,C502,""),IF(I502=1,C502,IF(I502=2,C502,IF(I502=0,"",""))))</f>
        <v/>
      </c>
      <c r="AG502" s="192">
        <f>(C502*G502)+(C502*H502)+(C502*I502)</f>
        <v/>
      </c>
    </row>
    <row r="503">
      <c r="AA503" s="640">
        <f>IF(G503=0, IF(OR(H503&gt;0,F503&gt;0),C503*F503,""),"")</f>
        <v/>
      </c>
      <c r="AB503" s="640">
        <f>IF(G503&gt;=1,IF(F503&gt;1,C503*(F503-2),""),"")</f>
        <v/>
      </c>
      <c r="AC503" s="640" t="n"/>
      <c r="AD503" s="911">
        <f>IF(E503="YES",IF(G503=1,"",""),IF(G503=1,C503,IF(G503=2,C503,IF(G503=0,"",""))))</f>
        <v/>
      </c>
      <c r="AE503" s="911">
        <f>IF(E503="YES",IF(G503=1,"",IF(H503=1,C503,"")),IF(H503=1,C503,IF(H503=2,C503,IF(H503=0,"",""))))</f>
        <v/>
      </c>
      <c r="AF503" s="911">
        <f>IF(E503="YES",IF(I503=1,C503,""),IF(I503=1,C503,IF(I503=2,C503,IF(I503=0,"",""))))</f>
        <v/>
      </c>
      <c r="AG503" s="192">
        <f>(C503*G503)+(C503*H503)+(C503*I503)</f>
        <v/>
      </c>
    </row>
    <row r="504">
      <c r="AA504" s="640">
        <f>IF(G504=0, IF(OR(H504&gt;0,F504&gt;0),C504*F504,""),"")</f>
        <v/>
      </c>
      <c r="AB504" s="640">
        <f>IF(G504&gt;=1,IF(F504&gt;1,C504*(F504-2),""),"")</f>
        <v/>
      </c>
      <c r="AC504" s="640" t="n"/>
      <c r="AD504" s="911">
        <f>IF(E504="YES",IF(G504=1,"",""),IF(G504=1,C504,IF(G504=2,C504,IF(G504=0,"",""))))</f>
        <v/>
      </c>
      <c r="AE504" s="911">
        <f>IF(E504="YES",IF(G504=1,"",IF(H504=1,C504,"")),IF(H504=1,C504,IF(H504=2,C504,IF(H504=0,"",""))))</f>
        <v/>
      </c>
      <c r="AF504" s="911">
        <f>IF(E504="YES",IF(I504=1,C504,""),IF(I504=1,C504,IF(I504=2,C504,IF(I504=0,"",""))))</f>
        <v/>
      </c>
      <c r="AG504" s="192">
        <f>(C504*G504)+(C504*H504)+(C504*I504)</f>
        <v/>
      </c>
    </row>
    <row r="505">
      <c r="AA505" s="640">
        <f>IF(G505=0, IF(OR(H505&gt;0,F505&gt;0),C505*F505,""),"")</f>
        <v/>
      </c>
      <c r="AB505" s="640">
        <f>IF(G505&gt;=1,IF(F505&gt;1,C505*(F505-2),""),"")</f>
        <v/>
      </c>
      <c r="AC505" s="640" t="n"/>
      <c r="AD505" s="911">
        <f>IF(E505="YES",IF(G505=1,"",""),IF(G505=1,C505,IF(G505=2,C505,IF(G505=0,"",""))))</f>
        <v/>
      </c>
      <c r="AE505" s="911">
        <f>IF(E505="YES",IF(G505=1,"",IF(H505=1,C505,"")),IF(H505=1,C505,IF(H505=2,C505,IF(H505=0,"",""))))</f>
        <v/>
      </c>
      <c r="AF505" s="911">
        <f>IF(E505="YES",IF(I505=1,C505,""),IF(I505=1,C505,IF(I505=2,C505,IF(I505=0,"",""))))</f>
        <v/>
      </c>
      <c r="AG505" s="192">
        <f>(C505*G505)+(C505*H505)+(C505*I505)</f>
        <v/>
      </c>
    </row>
    <row r="506">
      <c r="AA506" s="640">
        <f>IF(G506=0, IF(OR(H506&gt;0,F506&gt;0),C506*F506,""),"")</f>
        <v/>
      </c>
      <c r="AB506" s="640">
        <f>IF(G506&gt;=1,IF(F506&gt;1,C506*(F506-2),""),"")</f>
        <v/>
      </c>
      <c r="AC506" s="640" t="n"/>
      <c r="AD506" s="911">
        <f>IF(E506="YES",IF(G506=1,"",""),IF(G506=1,C506,IF(G506=2,C506,IF(G506=0,"",""))))</f>
        <v/>
      </c>
      <c r="AE506" s="911">
        <f>IF(E506="YES",IF(G506=1,"",IF(H506=1,C506,"")),IF(H506=1,C506,IF(H506=2,C506,IF(H506=0,"",""))))</f>
        <v/>
      </c>
      <c r="AF506" s="911">
        <f>IF(E506="YES",IF(I506=1,C506,""),IF(I506=1,C506,IF(I506=2,C506,IF(I506=0,"",""))))</f>
        <v/>
      </c>
      <c r="AG506" s="192">
        <f>(C506*G506)+(C506*H506)+(C506*I506)</f>
        <v/>
      </c>
    </row>
    <row r="507">
      <c r="AA507" s="640">
        <f>IF(G507=0, IF(OR(H507&gt;0,F507&gt;0),C507*F507,""),"")</f>
        <v/>
      </c>
      <c r="AB507" s="640">
        <f>IF(G507&gt;=1,IF(F507&gt;1,C507*(F507-2),""),"")</f>
        <v/>
      </c>
      <c r="AC507" s="640" t="n"/>
      <c r="AD507" s="911">
        <f>IF(E507="YES",IF(G507=1,"",""),IF(G507=1,C507,IF(G507=2,C507,IF(G507=0,"",""))))</f>
        <v/>
      </c>
      <c r="AE507" s="911">
        <f>IF(E507="YES",IF(G507=1,"",IF(H507=1,C507,"")),IF(H507=1,C507,IF(H507=2,C507,IF(H507=0,"",""))))</f>
        <v/>
      </c>
      <c r="AF507" s="911">
        <f>IF(E507="YES",IF(I507=1,C507,""),IF(I507=1,C507,IF(I507=2,C507,IF(I507=0,"",""))))</f>
        <v/>
      </c>
      <c r="AG507" s="192">
        <f>(C507*G507)+(C507*H507)+(C507*I507)</f>
        <v/>
      </c>
    </row>
    <row r="508">
      <c r="AA508" s="640">
        <f>IF(G508=0, IF(OR(H508&gt;0,F508&gt;0),C508*F508,""),"")</f>
        <v/>
      </c>
      <c r="AB508" s="640">
        <f>IF(G508&gt;=1,IF(F508&gt;1,C508*(F508-2),""),"")</f>
        <v/>
      </c>
      <c r="AC508" s="640" t="n"/>
      <c r="AD508" s="911">
        <f>IF(E508="YES",IF(G508=1,"",""),IF(G508=1,C508,IF(G508=2,C508,IF(G508=0,"",""))))</f>
        <v/>
      </c>
      <c r="AE508" s="911">
        <f>IF(E508="YES",IF(G508=1,"",IF(H508=1,C508,"")),IF(H508=1,C508,IF(H508=2,C508,IF(H508=0,"",""))))</f>
        <v/>
      </c>
      <c r="AF508" s="911">
        <f>IF(E508="YES",IF(I508=1,C508,""),IF(I508=1,C508,IF(I508=2,C508,IF(I508=0,"",""))))</f>
        <v/>
      </c>
      <c r="AG508" s="192">
        <f>(C508*G508)+(C508*H508)+(C508*I508)</f>
        <v/>
      </c>
    </row>
    <row r="509">
      <c r="AA509" s="640">
        <f>IF(G509=0, IF(OR(H509&gt;0,F509&gt;0),C509*F509,""),"")</f>
        <v/>
      </c>
      <c r="AB509" s="640">
        <f>IF(G509&gt;=1,IF(F509&gt;1,C509*(F509-2),""),"")</f>
        <v/>
      </c>
      <c r="AC509" s="640" t="n"/>
      <c r="AD509" s="911">
        <f>IF(E509="YES",IF(G509=1,"",""),IF(G509=1,C509,IF(G509=2,C509,IF(G509=0,"",""))))</f>
        <v/>
      </c>
      <c r="AE509" s="911">
        <f>IF(E509="YES",IF(G509=1,"",IF(H509=1,C509,"")),IF(H509=1,C509,IF(H509=2,C509,IF(H509=0,"",""))))</f>
        <v/>
      </c>
      <c r="AF509" s="911">
        <f>IF(E509="YES",IF(I509=1,C509,""),IF(I509=1,C509,IF(I509=2,C509,IF(I509=0,"",""))))</f>
        <v/>
      </c>
      <c r="AG509" s="192">
        <f>(C509*G509)+(C509*H509)+(C509*I509)</f>
        <v/>
      </c>
    </row>
    <row r="510">
      <c r="AA510" s="640">
        <f>IF(G510=0, IF(OR(H510&gt;0,F510&gt;0),C510*F510,""),"")</f>
        <v/>
      </c>
      <c r="AB510" s="640">
        <f>IF(G510&gt;=1,IF(F510&gt;1,C510*(F510-2),""),"")</f>
        <v/>
      </c>
      <c r="AC510" s="640" t="n"/>
      <c r="AD510" s="911">
        <f>IF(E510="YES",IF(G510=1,"",""),IF(G510=1,C510,IF(G510=2,C510,IF(G510=0,"",""))))</f>
        <v/>
      </c>
      <c r="AE510" s="911">
        <f>IF(E510="YES",IF(G510=1,"",IF(H510=1,C510,"")),IF(H510=1,C510,IF(H510=2,C510,IF(H510=0,"",""))))</f>
        <v/>
      </c>
      <c r="AF510" s="911">
        <f>IF(E510="YES",IF(I510=1,C510,""),IF(I510=1,C510,IF(I510=2,C510,IF(I510=0,"",""))))</f>
        <v/>
      </c>
      <c r="AG510" s="192">
        <f>(C510*G510)+(C510*H510)+(C510*I510)</f>
        <v/>
      </c>
    </row>
    <row r="511">
      <c r="AA511" s="640">
        <f>IF(G511=0, IF(OR(H511&gt;0,F511&gt;0),C511*F511,""),"")</f>
        <v/>
      </c>
      <c r="AB511" s="640">
        <f>IF(G511&gt;=1,IF(F511&gt;1,C511*(F511-2),""),"")</f>
        <v/>
      </c>
      <c r="AC511" s="640" t="n"/>
      <c r="AD511" s="911">
        <f>IF(E511="YES",IF(G511=1,"",""),IF(G511=1,C511,IF(G511=2,C511,IF(G511=0,"",""))))</f>
        <v/>
      </c>
      <c r="AE511" s="911">
        <f>IF(E511="YES",IF(G511=1,"",IF(H511=1,C511,"")),IF(H511=1,C511,IF(H511=2,C511,IF(H511=0,"",""))))</f>
        <v/>
      </c>
      <c r="AF511" s="911">
        <f>IF(E511="YES",IF(I511=1,C511,""),IF(I511=1,C511,IF(I511=2,C511,IF(I511=0,"",""))))</f>
        <v/>
      </c>
      <c r="AG511" s="192">
        <f>(C511*G511)+(C511*H511)+(C511*I511)</f>
        <v/>
      </c>
    </row>
    <row r="512">
      <c r="AA512" s="640">
        <f>IF(G512=0, IF(OR(H512&gt;0,F512&gt;0),C512*F512,""),"")</f>
        <v/>
      </c>
      <c r="AB512" s="640">
        <f>IF(G512&gt;=1,IF(F512&gt;1,C512*(F512-2),""),"")</f>
        <v/>
      </c>
      <c r="AC512" s="640" t="n"/>
      <c r="AD512" s="911">
        <f>IF(E512="YES",IF(G512=1,"",""),IF(G512=1,C512,IF(G512=2,C512,IF(G512=0,"",""))))</f>
        <v/>
      </c>
      <c r="AE512" s="911">
        <f>IF(E512="YES",IF(G512=1,"",IF(H512=1,C512,"")),IF(H512=1,C512,IF(H512=2,C512,IF(H512=0,"",""))))</f>
        <v/>
      </c>
      <c r="AF512" s="911">
        <f>IF(E512="YES",IF(I512=1,C512,""),IF(I512=1,C512,IF(I512=2,C512,IF(I512=0,"",""))))</f>
        <v/>
      </c>
      <c r="AG512" s="192">
        <f>(C512*G512)+(C512*H512)+(C512*I512)</f>
        <v/>
      </c>
    </row>
    <row r="513">
      <c r="AA513" s="640">
        <f>IF(G513=0, IF(OR(H513&gt;0,F513&gt;0),C513*F513,""),"")</f>
        <v/>
      </c>
      <c r="AB513" s="640">
        <f>IF(G513&gt;=1,IF(F513&gt;1,C513*(F513-2),""),"")</f>
        <v/>
      </c>
      <c r="AC513" s="640" t="n"/>
      <c r="AD513" s="911">
        <f>IF(E513="YES",IF(G513=1,"",""),IF(G513=1,C513,IF(G513=2,C513,IF(G513=0,"",""))))</f>
        <v/>
      </c>
      <c r="AE513" s="911">
        <f>IF(E513="YES",IF(G513=1,"",IF(H513=1,C513,"")),IF(H513=1,C513,IF(H513=2,C513,IF(H513=0,"",""))))</f>
        <v/>
      </c>
      <c r="AF513" s="911">
        <f>IF(E513="YES",IF(I513=1,C513,""),IF(I513=1,C513,IF(I513=2,C513,IF(I513=0,"",""))))</f>
        <v/>
      </c>
      <c r="AG513" s="192">
        <f>(C513*G513)+(C513*H513)+(C513*I513)</f>
        <v/>
      </c>
    </row>
    <row r="514">
      <c r="AA514" s="640">
        <f>IF(G514=0, IF(OR(H514&gt;0,F514&gt;0),C514*F514,""),"")</f>
        <v/>
      </c>
      <c r="AB514" s="640">
        <f>IF(G514&gt;=1,IF(F514&gt;1,C514*(F514-2),""),"")</f>
        <v/>
      </c>
      <c r="AC514" s="640" t="n"/>
      <c r="AD514" s="911">
        <f>IF(E514="YES",IF(G514=1,"",""),IF(G514=1,C514,IF(G514=2,C514,IF(G514=0,"",""))))</f>
        <v/>
      </c>
      <c r="AE514" s="911">
        <f>IF(E514="YES",IF(G514=1,"",IF(H514=1,C514,"")),IF(H514=1,C514,IF(H514=2,C514,IF(H514=0,"",""))))</f>
        <v/>
      </c>
      <c r="AF514" s="911">
        <f>IF(E514="YES",IF(I514=1,C514,""),IF(I514=1,C514,IF(I514=2,C514,IF(I514=0,"",""))))</f>
        <v/>
      </c>
      <c r="AG514" s="192">
        <f>(C514*G514)+(C514*H514)+(C514*I514)</f>
        <v/>
      </c>
    </row>
    <row r="515">
      <c r="AA515" s="640">
        <f>IF(G515=0, IF(OR(H515&gt;0,F515&gt;0),C515*F515,""),"")</f>
        <v/>
      </c>
      <c r="AB515" s="640">
        <f>IF(G515&gt;=1,IF(F515&gt;1,C515*(F515-2),""),"")</f>
        <v/>
      </c>
      <c r="AC515" s="640" t="n"/>
      <c r="AD515" s="911">
        <f>IF(E515="YES",IF(G515=1,"",""),IF(G515=1,C515,IF(G515=2,C515,IF(G515=0,"",""))))</f>
        <v/>
      </c>
      <c r="AE515" s="911">
        <f>IF(E515="YES",IF(G515=1,"",IF(H515=1,C515,"")),IF(H515=1,C515,IF(H515=2,C515,IF(H515=0,"",""))))</f>
        <v/>
      </c>
      <c r="AF515" s="911">
        <f>IF(E515="YES",IF(I515=1,C515,""),IF(I515=1,C515,IF(I515=2,C515,IF(I515=0,"",""))))</f>
        <v/>
      </c>
      <c r="AG515" s="192">
        <f>(C515*G515)+(C515*H515)+(C515*I515)</f>
        <v/>
      </c>
    </row>
    <row r="516">
      <c r="AA516" s="640">
        <f>IF(G516=0, IF(OR(H516&gt;0,F516&gt;0),C516*F516,""),"")</f>
        <v/>
      </c>
      <c r="AB516" s="640">
        <f>IF(G516&gt;=1,IF(F516&gt;1,C516*(F516-2),""),"")</f>
        <v/>
      </c>
      <c r="AC516" s="640" t="n"/>
      <c r="AD516" s="911">
        <f>IF(E516="YES",IF(G516=1,"",""),IF(G516=1,C516,IF(G516=2,C516,IF(G516=0,"",""))))</f>
        <v/>
      </c>
      <c r="AE516" s="911">
        <f>IF(E516="YES",IF(G516=1,"",IF(H516=1,C516,"")),IF(H516=1,C516,IF(H516=2,C516,IF(H516=0,"",""))))</f>
        <v/>
      </c>
      <c r="AF516" s="911">
        <f>IF(E516="YES",IF(I516=1,C516,""),IF(I516=1,C516,IF(I516=2,C516,IF(I516=0,"",""))))</f>
        <v/>
      </c>
      <c r="AG516" s="192">
        <f>(C516*G516)+(C516*H516)+(C516*I516)</f>
        <v/>
      </c>
    </row>
    <row r="517">
      <c r="AA517" s="640">
        <f>IF(G517=0, IF(OR(H517&gt;0,F517&gt;0),C517*F517,""),"")</f>
        <v/>
      </c>
      <c r="AB517" s="640">
        <f>IF(G517&gt;=1,IF(F517&gt;1,C517*(F517-2),""),"")</f>
        <v/>
      </c>
      <c r="AC517" s="640" t="n"/>
      <c r="AD517" s="911">
        <f>IF(E517="YES",IF(G517=1,"",""),IF(G517=1,C517,IF(G517=2,C517,IF(G517=0,"",""))))</f>
        <v/>
      </c>
      <c r="AE517" s="911">
        <f>IF(E517="YES",IF(G517=1,"",IF(H517=1,C517,"")),IF(H517=1,C517,IF(H517=2,C517,IF(H517=0,"",""))))</f>
        <v/>
      </c>
      <c r="AF517" s="911">
        <f>IF(E517="YES",IF(I517=1,C517,""),IF(I517=1,C517,IF(I517=2,C517,IF(I517=0,"",""))))</f>
        <v/>
      </c>
      <c r="AG517" s="192">
        <f>(C517*G517)+(C517*H517)+(C517*I517)</f>
        <v/>
      </c>
    </row>
    <row r="518">
      <c r="AA518" s="640">
        <f>IF(G518=0, IF(OR(H518&gt;0,F518&gt;0),C518*F518,""),"")</f>
        <v/>
      </c>
      <c r="AB518" s="640">
        <f>IF(G518&gt;=1,IF(F518&gt;1,C518*(F518-2),""),"")</f>
        <v/>
      </c>
      <c r="AC518" s="640" t="n"/>
      <c r="AD518" s="911">
        <f>IF(E518="YES",IF(G518=1,"",""),IF(G518=1,C518,IF(G518=2,C518,IF(G518=0,"",""))))</f>
        <v/>
      </c>
      <c r="AE518" s="911">
        <f>IF(E518="YES",IF(G518=1,"",IF(H518=1,C518,"")),IF(H518=1,C518,IF(H518=2,C518,IF(H518=0,"",""))))</f>
        <v/>
      </c>
      <c r="AF518" s="911">
        <f>IF(E518="YES",IF(I518=1,C518,""),IF(I518=1,C518,IF(I518=2,C518,IF(I518=0,"",""))))</f>
        <v/>
      </c>
      <c r="AG518" s="192">
        <f>(C518*G518)+(C518*H518)+(C518*I518)</f>
        <v/>
      </c>
    </row>
    <row r="519">
      <c r="AA519" s="640">
        <f>IF(G519=0, IF(OR(H519&gt;0,F519&gt;0),C519*F519,""),"")</f>
        <v/>
      </c>
      <c r="AB519" s="640">
        <f>IF(G519&gt;=1,IF(F519&gt;1,C519*(F519-2),""),"")</f>
        <v/>
      </c>
      <c r="AC519" s="640" t="n"/>
      <c r="AD519" s="911">
        <f>IF(E519="YES",IF(G519=1,"",""),IF(G519=1,C519,IF(G519=2,C519,IF(G519=0,"",""))))</f>
        <v/>
      </c>
      <c r="AE519" s="911">
        <f>IF(E519="YES",IF(G519=1,"",IF(H519=1,C519,"")),IF(H519=1,C519,IF(H519=2,C519,IF(H519=0,"",""))))</f>
        <v/>
      </c>
      <c r="AF519" s="911">
        <f>IF(E519="YES",IF(I519=1,C519,""),IF(I519=1,C519,IF(I519=2,C519,IF(I519=0,"",""))))</f>
        <v/>
      </c>
      <c r="AG519" s="192">
        <f>(C519*G519)+(C519*H519)+(C519*I519)</f>
        <v/>
      </c>
    </row>
    <row r="520">
      <c r="AA520" s="640">
        <f>IF(G520=0, IF(OR(H520&gt;0,F520&gt;0),C520*F520,""),"")</f>
        <v/>
      </c>
      <c r="AB520" s="640">
        <f>IF(G520&gt;=1,IF(F520&gt;1,C520*(F520-2),""),"")</f>
        <v/>
      </c>
      <c r="AC520" s="640" t="n"/>
      <c r="AD520" s="911">
        <f>IF(E520="YES",IF(G520=1,"",""),IF(G520=1,C520,IF(G520=2,C520,IF(G520=0,"",""))))</f>
        <v/>
      </c>
      <c r="AE520" s="911">
        <f>IF(E520="YES",IF(G520=1,"",IF(H520=1,C520,"")),IF(H520=1,C520,IF(H520=2,C520,IF(H520=0,"",""))))</f>
        <v/>
      </c>
      <c r="AF520" s="911">
        <f>IF(E520="YES",IF(I520=1,C520,""),IF(I520=1,C520,IF(I520=2,C520,IF(I520=0,"",""))))</f>
        <v/>
      </c>
      <c r="AG520" s="192">
        <f>(C520*G520)+(C520*H520)+(C520*I520)</f>
        <v/>
      </c>
    </row>
    <row r="521">
      <c r="AA521" s="640">
        <f>IF(G521=0, IF(OR(H521&gt;0,F521&gt;0),C521*F521,""),"")</f>
        <v/>
      </c>
      <c r="AB521" s="640">
        <f>IF(G521&gt;=1,IF(F521&gt;1,C521*(F521-2),""),"")</f>
        <v/>
      </c>
      <c r="AC521" s="640" t="n"/>
      <c r="AD521" s="911">
        <f>IF(E521="YES",IF(G521=1,"",""),IF(G521=1,C521,IF(G521=2,C521,IF(G521=0,"",""))))</f>
        <v/>
      </c>
      <c r="AE521" s="911">
        <f>IF(E521="YES",IF(G521=1,"",IF(H521=1,C521,"")),IF(H521=1,C521,IF(H521=2,C521,IF(H521=0,"",""))))</f>
        <v/>
      </c>
      <c r="AF521" s="911">
        <f>IF(E521="YES",IF(I521=1,C521,""),IF(I521=1,C521,IF(I521=2,C521,IF(I521=0,"",""))))</f>
        <v/>
      </c>
      <c r="AG521" s="192">
        <f>(C521*G521)+(C521*H521)+(C521*I521)</f>
        <v/>
      </c>
    </row>
    <row r="522">
      <c r="AA522" s="640">
        <f>IF(G522=0, IF(OR(H522&gt;0,F522&gt;0),C522*F522,""),"")</f>
        <v/>
      </c>
      <c r="AB522" s="640">
        <f>IF(G522&gt;=1,IF(F522&gt;1,C522*(F522-2),""),"")</f>
        <v/>
      </c>
      <c r="AC522" s="640" t="n"/>
      <c r="AD522" s="911">
        <f>IF(E522="YES",IF(G522=1,"",""),IF(G522=1,C522,IF(G522=2,C522,IF(G522=0,"",""))))</f>
        <v/>
      </c>
      <c r="AE522" s="911">
        <f>IF(E522="YES",IF(G522=1,"",IF(H522=1,C522,"")),IF(H522=1,C522,IF(H522=2,C522,IF(H522=0,"",""))))</f>
        <v/>
      </c>
      <c r="AF522" s="911">
        <f>IF(E522="YES",IF(I522=1,C522,""),IF(I522=1,C522,IF(I522=2,C522,IF(I522=0,"",""))))</f>
        <v/>
      </c>
      <c r="AG522" s="192">
        <f>(C522*G522)+(C522*H522)+(C522*I522)</f>
        <v/>
      </c>
    </row>
    <row r="523">
      <c r="AA523" s="640">
        <f>IF(G523=0, IF(OR(H523&gt;0,F523&gt;0),C523*F523,""),"")</f>
        <v/>
      </c>
      <c r="AB523" s="640">
        <f>IF(G523&gt;=1,IF(F523&gt;1,C523*(F523-2),""),"")</f>
        <v/>
      </c>
      <c r="AC523" s="640" t="n"/>
      <c r="AD523" s="911">
        <f>IF(E523="YES",IF(G523=1,"",""),IF(G523=1,C523,IF(G523=2,C523,IF(G523=0,"",""))))</f>
        <v/>
      </c>
      <c r="AE523" s="911">
        <f>IF(E523="YES",IF(G523=1,"",IF(H523=1,C523,"")),IF(H523=1,C523,IF(H523=2,C523,IF(H523=0,"",""))))</f>
        <v/>
      </c>
      <c r="AF523" s="911">
        <f>IF(E523="YES",IF(I523=1,C523,""),IF(I523=1,C523,IF(I523=2,C523,IF(I523=0,"",""))))</f>
        <v/>
      </c>
      <c r="AG523" s="192">
        <f>(C523*G523)+(C523*H523)+(C523*I523)</f>
        <v/>
      </c>
    </row>
    <row r="524">
      <c r="AA524" s="640">
        <f>IF(G524=0, IF(OR(H524&gt;0,F524&gt;0),C524*F524,""),"")</f>
        <v/>
      </c>
      <c r="AB524" s="640">
        <f>IF(G524&gt;=1,IF(F524&gt;1,C524*(F524-2),""),"")</f>
        <v/>
      </c>
      <c r="AC524" s="640" t="n"/>
      <c r="AD524" s="911">
        <f>IF(E524="YES",IF(G524=1,"",""),IF(G524=1,C524,IF(G524=2,C524,IF(G524=0,"",""))))</f>
        <v/>
      </c>
      <c r="AE524" s="911">
        <f>IF(E524="YES",IF(G524=1,"",IF(H524=1,C524,"")),IF(H524=1,C524,IF(H524=2,C524,IF(H524=0,"",""))))</f>
        <v/>
      </c>
      <c r="AF524" s="911">
        <f>IF(E524="YES",IF(I524=1,C524,""),IF(I524=1,C524,IF(I524=2,C524,IF(I524=0,"",""))))</f>
        <v/>
      </c>
      <c r="AG524" s="192">
        <f>(C524*G524)+(C524*H524)+(C524*I524)</f>
        <v/>
      </c>
    </row>
    <row r="525">
      <c r="AA525" s="640">
        <f>IF(G525=0, IF(OR(H525&gt;0,F525&gt;0),C525*F525,""),"")</f>
        <v/>
      </c>
      <c r="AB525" s="640">
        <f>IF(G525&gt;=1,IF(F525&gt;1,C525*(F525-2),""),"")</f>
        <v/>
      </c>
      <c r="AC525" s="640" t="n"/>
      <c r="AD525" s="911">
        <f>IF(E525="YES",IF(G525=1,"",""),IF(G525=1,C525,IF(G525=2,C525,IF(G525=0,"",""))))</f>
        <v/>
      </c>
      <c r="AE525" s="911">
        <f>IF(E525="YES",IF(G525=1,"",IF(H525=1,C525,"")),IF(H525=1,C525,IF(H525=2,C525,IF(H525=0,"",""))))</f>
        <v/>
      </c>
      <c r="AF525" s="911">
        <f>IF(E525="YES",IF(I525=1,C525,""),IF(I525=1,C525,IF(I525=2,C525,IF(I525=0,"",""))))</f>
        <v/>
      </c>
      <c r="AG525" s="192">
        <f>(C525*G525)+(C525*H525)+(C525*I525)</f>
        <v/>
      </c>
    </row>
    <row r="526">
      <c r="AA526" s="640">
        <f>IF(G526=0, IF(OR(H526&gt;0,F526&gt;0),C526*F526,""),"")</f>
        <v/>
      </c>
      <c r="AB526" s="640">
        <f>IF(G526&gt;=1,IF(F526&gt;1,C526*(F526-2),""),"")</f>
        <v/>
      </c>
      <c r="AC526" s="640" t="n"/>
      <c r="AD526" s="911">
        <f>IF(E526="YES",IF(G526=1,"",""),IF(G526=1,C526,IF(G526=2,C526,IF(G526=0,"",""))))</f>
        <v/>
      </c>
      <c r="AE526" s="911">
        <f>IF(E526="YES",IF(G526=1,"",IF(H526=1,C526,"")),IF(H526=1,C526,IF(H526=2,C526,IF(H526=0,"",""))))</f>
        <v/>
      </c>
      <c r="AF526" s="911">
        <f>IF(E526="YES",IF(I526=1,C526,""),IF(I526=1,C526,IF(I526=2,C526,IF(I526=0,"",""))))</f>
        <v/>
      </c>
      <c r="AG526" s="192">
        <f>(C526*G526)+(C526*H526)+(C526*I526)</f>
        <v/>
      </c>
    </row>
    <row r="527">
      <c r="AA527" s="640">
        <f>IF(G527=0, IF(OR(H527&gt;0,F527&gt;0),C527*F527,""),"")</f>
        <v/>
      </c>
      <c r="AB527" s="640">
        <f>IF(G527&gt;=1,IF(F527&gt;1,C527*(F527-2),""),"")</f>
        <v/>
      </c>
      <c r="AC527" s="640" t="n"/>
      <c r="AD527" s="911">
        <f>IF(E527="YES",IF(G527=1,"",""),IF(G527=1,C527,IF(G527=2,C527,IF(G527=0,"",""))))</f>
        <v/>
      </c>
      <c r="AE527" s="911">
        <f>IF(E527="YES",IF(G527=1,"",IF(H527=1,C527,"")),IF(H527=1,C527,IF(H527=2,C527,IF(H527=0,"",""))))</f>
        <v/>
      </c>
      <c r="AF527" s="911">
        <f>IF(E527="YES",IF(I527=1,C527,""),IF(I527=1,C527,IF(I527=2,C527,IF(I527=0,"",""))))</f>
        <v/>
      </c>
      <c r="AG527" s="192">
        <f>(C527*G527)+(C527*H527)+(C527*I527)</f>
        <v/>
      </c>
    </row>
    <row r="528">
      <c r="AA528" s="640">
        <f>IF(G528=0, IF(OR(H528&gt;0,F528&gt;0),C528*F528,""),"")</f>
        <v/>
      </c>
      <c r="AB528" s="640">
        <f>IF(G528&gt;=1,IF(F528&gt;1,C528*(F528-2),""),"")</f>
        <v/>
      </c>
      <c r="AC528" s="640" t="n"/>
      <c r="AD528" s="911">
        <f>IF(E528="YES",IF(G528=1,"",""),IF(G528=1,C528,IF(G528=2,C528,IF(G528=0,"",""))))</f>
        <v/>
      </c>
      <c r="AE528" s="911">
        <f>IF(E528="YES",IF(G528=1,"",IF(H528=1,C528,"")),IF(H528=1,C528,IF(H528=2,C528,IF(H528=0,"",""))))</f>
        <v/>
      </c>
      <c r="AF528" s="911">
        <f>IF(E528="YES",IF(I528=1,C528,""),IF(I528=1,C528,IF(I528=2,C528,IF(I528=0,"",""))))</f>
        <v/>
      </c>
      <c r="AG528" s="192">
        <f>(C528*G528)+(C528*H528)+(C528*I528)</f>
        <v/>
      </c>
    </row>
    <row r="529">
      <c r="AA529" s="640">
        <f>IF(G529=0, IF(OR(H529&gt;0,F529&gt;0),C529*F529,""),"")</f>
        <v/>
      </c>
      <c r="AB529" s="640">
        <f>IF(G529&gt;=1,IF(F529&gt;1,C529*(F529-2),""),"")</f>
        <v/>
      </c>
      <c r="AC529" s="640" t="n"/>
      <c r="AD529" s="911">
        <f>IF(E529="YES",IF(G529=1,"",""),IF(G529=1,C529,IF(G529=2,C529,IF(G529=0,"",""))))</f>
        <v/>
      </c>
      <c r="AE529" s="911">
        <f>IF(E529="YES",IF(G529=1,"",IF(H529=1,C529,"")),IF(H529=1,C529,IF(H529=2,C529,IF(H529=0,"",""))))</f>
        <v/>
      </c>
      <c r="AF529" s="911">
        <f>IF(E529="YES",IF(I529=1,C529,""),IF(I529=1,C529,IF(I529=2,C529,IF(I529=0,"",""))))</f>
        <v/>
      </c>
      <c r="AG529" s="192">
        <f>(C529*G529)+(C529*H529)+(C529*I529)</f>
        <v/>
      </c>
    </row>
    <row r="530">
      <c r="AA530" s="640">
        <f>IF(G530=0, IF(OR(H530&gt;0,F530&gt;0),C530*F530,""),"")</f>
        <v/>
      </c>
      <c r="AB530" s="640">
        <f>IF(G530&gt;=1,IF(F530&gt;1,C530*(F530-2),""),"")</f>
        <v/>
      </c>
      <c r="AC530" s="640" t="n"/>
      <c r="AD530" s="911">
        <f>IF(E530="YES",IF(G530=1,"",""),IF(G530=1,C530,IF(G530=2,C530,IF(G530=0,"",""))))</f>
        <v/>
      </c>
      <c r="AE530" s="911">
        <f>IF(E530="YES",IF(G530=1,"",IF(H530=1,C530,"")),IF(H530=1,C530,IF(H530=2,C530,IF(H530=0,"",""))))</f>
        <v/>
      </c>
      <c r="AF530" s="911">
        <f>IF(E530="YES",IF(I530=1,C530,""),IF(I530=1,C530,IF(I530=2,C530,IF(I530=0,"",""))))</f>
        <v/>
      </c>
      <c r="AG530" s="192">
        <f>(C530*G530)+(C530*H530)+(C530*I530)</f>
        <v/>
      </c>
    </row>
    <row r="531">
      <c r="AA531" s="640">
        <f>IF(G531=0, IF(OR(H531&gt;0,F531&gt;0),C531*F531,""),"")</f>
        <v/>
      </c>
      <c r="AB531" s="640">
        <f>IF(G531&gt;=1,IF(F531&gt;1,C531*(F531-2),""),"")</f>
        <v/>
      </c>
      <c r="AC531" s="640" t="n"/>
      <c r="AD531" s="911">
        <f>IF(E531="YES",IF(G531=1,"",""),IF(G531=1,C531,IF(G531=2,C531,IF(G531=0,"",""))))</f>
        <v/>
      </c>
      <c r="AE531" s="911">
        <f>IF(E531="YES",IF(G531=1,"",IF(H531=1,C531,"")),IF(H531=1,C531,IF(H531=2,C531,IF(H531=0,"",""))))</f>
        <v/>
      </c>
      <c r="AF531" s="911">
        <f>IF(E531="YES",IF(I531=1,C531,""),IF(I531=1,C531,IF(I531=2,C531,IF(I531=0,"",""))))</f>
        <v/>
      </c>
      <c r="AG531" s="192">
        <f>(C531*G531)+(C531*H531)+(C531*I531)</f>
        <v/>
      </c>
    </row>
    <row r="532">
      <c r="AA532" s="640">
        <f>IF(G532=0, IF(OR(H532&gt;0,F532&gt;0),C532*F532,""),"")</f>
        <v/>
      </c>
      <c r="AB532" s="640">
        <f>IF(G532&gt;=1,IF(F532&gt;1,C532*(F532-2),""),"")</f>
        <v/>
      </c>
      <c r="AC532" s="640" t="n"/>
      <c r="AD532" s="911">
        <f>IF(E532="YES",IF(G532=1,"",""),IF(G532=1,C532,IF(G532=2,C532,IF(G532=0,"",""))))</f>
        <v/>
      </c>
      <c r="AE532" s="911">
        <f>IF(E532="YES",IF(G532=1,"",IF(H532=1,C532,"")),IF(H532=1,C532,IF(H532=2,C532,IF(H532=0,"",""))))</f>
        <v/>
      </c>
      <c r="AF532" s="911">
        <f>IF(E532="YES",IF(I532=1,C532,""),IF(I532=1,C532,IF(I532=2,C532,IF(I532=0,"",""))))</f>
        <v/>
      </c>
      <c r="AG532" s="192">
        <f>(C532*G532)+(C532*H532)+(C532*I532)</f>
        <v/>
      </c>
    </row>
    <row r="533">
      <c r="AA533" s="640">
        <f>IF(G533=0, IF(OR(H533&gt;0,F533&gt;0),C533*F533,""),"")</f>
        <v/>
      </c>
      <c r="AB533" s="640">
        <f>IF(G533&gt;=1,IF(F533&gt;1,C533*(F533-2),""),"")</f>
        <v/>
      </c>
      <c r="AC533" s="640" t="n"/>
      <c r="AD533" s="911">
        <f>IF(E533="YES",IF(G533=1,"",""),IF(G533=1,C533,IF(G533=2,C533,IF(G533=0,"",""))))</f>
        <v/>
      </c>
      <c r="AE533" s="911">
        <f>IF(E533="YES",IF(G533=1,"",IF(H533=1,C533,"")),IF(H533=1,C533,IF(H533=2,C533,IF(H533=0,"",""))))</f>
        <v/>
      </c>
      <c r="AF533" s="911">
        <f>IF(E533="YES",IF(I533=1,C533,""),IF(I533=1,C533,IF(I533=2,C533,IF(I533=0,"",""))))</f>
        <v/>
      </c>
      <c r="AG533" s="192">
        <f>(C533*G533)+(C533*H533)+(C533*I533)</f>
        <v/>
      </c>
    </row>
    <row r="534">
      <c r="AA534" s="640">
        <f>IF(G534=0, IF(OR(H534&gt;0,F534&gt;0),C534*F534,""),"")</f>
        <v/>
      </c>
      <c r="AB534" s="640">
        <f>IF(G534&gt;=1,IF(F534&gt;1,C534*(F534-2),""),"")</f>
        <v/>
      </c>
      <c r="AC534" s="640" t="n"/>
      <c r="AD534" s="911">
        <f>IF(E534="YES",IF(G534=1,"",""),IF(G534=1,C534,IF(G534=2,C534,IF(G534=0,"",""))))</f>
        <v/>
      </c>
      <c r="AE534" s="911">
        <f>IF(E534="YES",IF(G534=1,"",IF(H534=1,C534,"")),IF(H534=1,C534,IF(H534=2,C534,IF(H534=0,"",""))))</f>
        <v/>
      </c>
      <c r="AF534" s="911">
        <f>IF(E534="YES",IF(I534=1,C534,""),IF(I534=1,C534,IF(I534=2,C534,IF(I534=0,"",""))))</f>
        <v/>
      </c>
      <c r="AG534" s="192">
        <f>(C534*G534)+(C534*H534)+(C534*I534)</f>
        <v/>
      </c>
    </row>
    <row r="535">
      <c r="AA535" s="640">
        <f>IF(G535=0, IF(OR(H535&gt;0,F535&gt;0),C535*F535,""),"")</f>
        <v/>
      </c>
      <c r="AB535" s="640">
        <f>IF(G535&gt;=1,IF(F535&gt;1,C535*(F535-2),""),"")</f>
        <v/>
      </c>
      <c r="AC535" s="640" t="n"/>
      <c r="AD535" s="911">
        <f>IF(E535="YES",IF(G535=1,"",""),IF(G535=1,C535,IF(G535=2,C535,IF(G535=0,"",""))))</f>
        <v/>
      </c>
      <c r="AE535" s="911">
        <f>IF(E535="YES",IF(G535=1,"",IF(H535=1,C535,"")),IF(H535=1,C535,IF(H535=2,C535,IF(H535=0,"",""))))</f>
        <v/>
      </c>
      <c r="AF535" s="911">
        <f>IF(E535="YES",IF(I535=1,C535,""),IF(I535=1,C535,IF(I535=2,C535,IF(I535=0,"",""))))</f>
        <v/>
      </c>
      <c r="AG535" s="192">
        <f>(C535*G535)+(C535*H535)+(C535*I535)</f>
        <v/>
      </c>
    </row>
    <row r="536">
      <c r="AA536" s="640">
        <f>IF(G536=0, IF(OR(H536&gt;0,F536&gt;0),C536*F536,""),"")</f>
        <v/>
      </c>
      <c r="AB536" s="640">
        <f>IF(G536&gt;=1,IF(F536&gt;1,C536*(F536-2),""),"")</f>
        <v/>
      </c>
      <c r="AC536" s="640" t="n"/>
      <c r="AD536" s="911">
        <f>IF(E536="YES",IF(G536=1,"",""),IF(G536=1,C536,IF(G536=2,C536,IF(G536=0,"",""))))</f>
        <v/>
      </c>
      <c r="AE536" s="911">
        <f>IF(E536="YES",IF(G536=1,"",IF(H536=1,C536,"")),IF(H536=1,C536,IF(H536=2,C536,IF(H536=0,"",""))))</f>
        <v/>
      </c>
      <c r="AF536" s="911">
        <f>IF(E536="YES",IF(I536=1,C536,""),IF(I536=1,C536,IF(I536=2,C536,IF(I536=0,"",""))))</f>
        <v/>
      </c>
      <c r="AG536" s="192">
        <f>(C536*G536)+(C536*H536)+(C536*I536)</f>
        <v/>
      </c>
    </row>
    <row r="537">
      <c r="AA537" s="640">
        <f>IF(G537=0, IF(OR(H537&gt;0,F537&gt;0),C537*F537,""),"")</f>
        <v/>
      </c>
      <c r="AB537" s="640">
        <f>IF(G537&gt;=1,IF(F537&gt;1,C537*(F537-2),""),"")</f>
        <v/>
      </c>
      <c r="AC537" s="640" t="n"/>
      <c r="AD537" s="911">
        <f>IF(E537="YES",IF(G537=1,"",""),IF(G537=1,C537,IF(G537=2,C537,IF(G537=0,"",""))))</f>
        <v/>
      </c>
      <c r="AE537" s="911">
        <f>IF(E537="YES",IF(G537=1,"",IF(H537=1,C537,"")),IF(H537=1,C537,IF(H537=2,C537,IF(H537=0,"",""))))</f>
        <v/>
      </c>
      <c r="AF537" s="911">
        <f>IF(E537="YES",IF(I537=1,C537,""),IF(I537=1,C537,IF(I537=2,C537,IF(I537=0,"",""))))</f>
        <v/>
      </c>
      <c r="AG537" s="192">
        <f>(C537*G537)+(C537*H537)+(C537*I537)</f>
        <v/>
      </c>
    </row>
    <row r="538">
      <c r="AA538" s="640">
        <f>IF(G538=0, IF(OR(H538&gt;0,F538&gt;0),C538*F538,""),"")</f>
        <v/>
      </c>
      <c r="AB538" s="640">
        <f>IF(G538&gt;=1,IF(F538&gt;1,C538*(F538-2),""),"")</f>
        <v/>
      </c>
      <c r="AC538" s="640" t="n"/>
      <c r="AD538" s="911">
        <f>IF(E538="YES",IF(G538=1,"",""),IF(G538=1,C538,IF(G538=2,C538,IF(G538=0,"",""))))</f>
        <v/>
      </c>
      <c r="AE538" s="911">
        <f>IF(E538="YES",IF(G538=1,"",IF(H538=1,C538,"")),IF(H538=1,C538,IF(H538=2,C538,IF(H538=0,"",""))))</f>
        <v/>
      </c>
      <c r="AF538" s="911">
        <f>IF(E538="YES",IF(I538=1,C538,""),IF(I538=1,C538,IF(I538=2,C538,IF(I538=0,"",""))))</f>
        <v/>
      </c>
      <c r="AG538" s="192">
        <f>(C538*G538)+(C538*H538)+(C538*I538)</f>
        <v/>
      </c>
    </row>
    <row r="539">
      <c r="AA539" s="640">
        <f>IF(G539=0, IF(OR(H539&gt;0,F539&gt;0),C539*F539,""),"")</f>
        <v/>
      </c>
      <c r="AB539" s="640">
        <f>IF(G539&gt;=1,IF(F539&gt;1,C539*(F539-2),""),"")</f>
        <v/>
      </c>
      <c r="AC539" s="640" t="n"/>
      <c r="AD539" s="911">
        <f>IF(E539="YES",IF(G539=1,"",""),IF(G539=1,C539,IF(G539=2,C539,IF(G539=0,"",""))))</f>
        <v/>
      </c>
      <c r="AE539" s="911">
        <f>IF(E539="YES",IF(G539=1,"",IF(H539=1,C539,"")),IF(H539=1,C539,IF(H539=2,C539,IF(H539=0,"",""))))</f>
        <v/>
      </c>
      <c r="AF539" s="911">
        <f>IF(E539="YES",IF(I539=1,C539,""),IF(I539=1,C539,IF(I539=2,C539,IF(I539=0,"",""))))</f>
        <v/>
      </c>
      <c r="AG539" s="192">
        <f>(C539*G539)+(C539*H539)+(C539*I539)</f>
        <v/>
      </c>
    </row>
    <row r="540">
      <c r="AA540" s="640">
        <f>IF(G540=0, IF(OR(H540&gt;0,F540&gt;0),C540*F540,""),"")</f>
        <v/>
      </c>
      <c r="AB540" s="640">
        <f>IF(G540&gt;=1,IF(F540&gt;1,C540*(F540-2),""),"")</f>
        <v/>
      </c>
      <c r="AC540" s="640" t="n"/>
      <c r="AD540" s="911">
        <f>IF(E540="YES",IF(G540=1,"",""),IF(G540=1,C540,IF(G540=2,C540,IF(G540=0,"",""))))</f>
        <v/>
      </c>
      <c r="AE540" s="911">
        <f>IF(E540="YES",IF(G540=1,"",IF(H540=1,C540,"")),IF(H540=1,C540,IF(H540=2,C540,IF(H540=0,"",""))))</f>
        <v/>
      </c>
      <c r="AF540" s="911">
        <f>IF(E540="YES",IF(I540=1,C540,""),IF(I540=1,C540,IF(I540=2,C540,IF(I540=0,"",""))))</f>
        <v/>
      </c>
      <c r="AG540" s="192">
        <f>(C540*G540)+(C540*H540)+(C540*I540)</f>
        <v/>
      </c>
    </row>
    <row r="541">
      <c r="AA541" s="640">
        <f>IF(G541=0, IF(OR(H541&gt;0,F541&gt;0),C541*F541,""),"")</f>
        <v/>
      </c>
      <c r="AB541" s="640">
        <f>IF(G541&gt;=1,IF(F541&gt;1,C541*(F541-2),""),"")</f>
        <v/>
      </c>
      <c r="AC541" s="640" t="n"/>
      <c r="AD541" s="911">
        <f>IF(E541="YES",IF(G541=1,"",""),IF(G541=1,C541,IF(G541=2,C541,IF(G541=0,"",""))))</f>
        <v/>
      </c>
      <c r="AE541" s="911">
        <f>IF(E541="YES",IF(G541=1,"",IF(H541=1,C541,"")),IF(H541=1,C541,IF(H541=2,C541,IF(H541=0,"",""))))</f>
        <v/>
      </c>
      <c r="AF541" s="911">
        <f>IF(E541="YES",IF(I541=1,C541,""),IF(I541=1,C541,IF(I541=2,C541,IF(I541=0,"",""))))</f>
        <v/>
      </c>
      <c r="AG541" s="192">
        <f>(C541*G541)+(C541*H541)+(C541*I541)</f>
        <v/>
      </c>
    </row>
    <row r="542">
      <c r="AA542" s="640">
        <f>IF(G542=0, IF(OR(H542&gt;0,F542&gt;0),C542*F542,""),"")</f>
        <v/>
      </c>
      <c r="AB542" s="640">
        <f>IF(G542&gt;=1,IF(F542&gt;1,C542*(F542-2),""),"")</f>
        <v/>
      </c>
      <c r="AC542" s="640" t="n"/>
      <c r="AD542" s="911">
        <f>IF(E542="YES",IF(G542=1,"",""),IF(G542=1,C542,IF(G542=2,C542,IF(G542=0,"",""))))</f>
        <v/>
      </c>
      <c r="AE542" s="911">
        <f>IF(E542="YES",IF(G542=1,"",IF(H542=1,C542,"")),IF(H542=1,C542,IF(H542=2,C542,IF(H542=0,"",""))))</f>
        <v/>
      </c>
      <c r="AF542" s="911">
        <f>IF(E542="YES",IF(I542=1,C542,""),IF(I542=1,C542,IF(I542=2,C542,IF(I542=0,"",""))))</f>
        <v/>
      </c>
      <c r="AG542" s="192">
        <f>(C542*G542)+(C542*H542)+(C542*I542)</f>
        <v/>
      </c>
    </row>
    <row r="543">
      <c r="AA543" s="640">
        <f>IF(G543=0, IF(OR(H543&gt;0,F543&gt;0),C543*F543,""),"")</f>
        <v/>
      </c>
      <c r="AB543" s="640">
        <f>IF(G543&gt;=1,IF(F543&gt;1,C543*(F543-2),""),"")</f>
        <v/>
      </c>
      <c r="AC543" s="640" t="n"/>
      <c r="AD543" s="911">
        <f>IF(E543="YES",IF(G543=1,"",""),IF(G543=1,C543,IF(G543=2,C543,IF(G543=0,"",""))))</f>
        <v/>
      </c>
      <c r="AE543" s="911">
        <f>IF(E543="YES",IF(G543=1,"",IF(H543=1,C543,"")),IF(H543=1,C543,IF(H543=2,C543,IF(H543=0,"",""))))</f>
        <v/>
      </c>
      <c r="AF543" s="911">
        <f>IF(E543="YES",IF(I543=1,C543,""),IF(I543=1,C543,IF(I543=2,C543,IF(I543=0,"",""))))</f>
        <v/>
      </c>
      <c r="AG543" s="192">
        <f>(C543*G543)+(C543*H543)+(C543*I543)</f>
        <v/>
      </c>
    </row>
    <row r="544">
      <c r="AA544" s="640">
        <f>IF(G544=0, IF(OR(H544&gt;0,F544&gt;0),C544*F544,""),"")</f>
        <v/>
      </c>
      <c r="AB544" s="640">
        <f>IF(G544&gt;=1,IF(F544&gt;1,C544*(F544-2),""),"")</f>
        <v/>
      </c>
      <c r="AC544" s="640" t="n"/>
      <c r="AD544" s="911">
        <f>IF(E544="YES",IF(G544=1,"",""),IF(G544=1,C544,IF(G544=2,C544,IF(G544=0,"",""))))</f>
        <v/>
      </c>
      <c r="AE544" s="911">
        <f>IF(E544="YES",IF(G544=1,"",IF(H544=1,C544,"")),IF(H544=1,C544,IF(H544=2,C544,IF(H544=0,"",""))))</f>
        <v/>
      </c>
      <c r="AF544" s="911">
        <f>IF(E544="YES",IF(I544=1,C544,""),IF(I544=1,C544,IF(I544=2,C544,IF(I544=0,"",""))))</f>
        <v/>
      </c>
      <c r="AG544" s="192">
        <f>(C544*G544)+(C544*H544)+(C544*I544)</f>
        <v/>
      </c>
    </row>
    <row r="545">
      <c r="AA545" s="640">
        <f>IF(G545=0, IF(OR(H545&gt;0,F545&gt;0),C545*F545,""),"")</f>
        <v/>
      </c>
      <c r="AB545" s="640">
        <f>IF(G545&gt;=1,IF(F545&gt;1,C545*(F545-2),""),"")</f>
        <v/>
      </c>
      <c r="AC545" s="640" t="n"/>
      <c r="AD545" s="911">
        <f>IF(E545="YES",IF(G545=1,"",""),IF(G545=1,C545,IF(G545=2,C545,IF(G545=0,"",""))))</f>
        <v/>
      </c>
      <c r="AE545" s="911">
        <f>IF(E545="YES",IF(G545=1,"",IF(H545=1,C545,"")),IF(H545=1,C545,IF(H545=2,C545,IF(H545=0,"",""))))</f>
        <v/>
      </c>
      <c r="AF545" s="911">
        <f>IF(E545="YES",IF(I545=1,C545,""),IF(I545=1,C545,IF(I545=2,C545,IF(I545=0,"",""))))</f>
        <v/>
      </c>
      <c r="AG545" s="192">
        <f>(C545*G545)+(C545*H545)+(C545*I545)</f>
        <v/>
      </c>
    </row>
    <row r="546">
      <c r="AA546" s="640">
        <f>IF(G546=0, IF(OR(H546&gt;0,F546&gt;0),C546*F546,""),"")</f>
        <v/>
      </c>
      <c r="AB546" s="640">
        <f>IF(G546&gt;=1,IF(F546&gt;1,C546*(F546-2),""),"")</f>
        <v/>
      </c>
      <c r="AC546" s="640" t="n"/>
      <c r="AD546" s="911">
        <f>IF(E546="YES",IF(G546=1,"",""),IF(G546=1,C546,IF(G546=2,C546,IF(G546=0,"",""))))</f>
        <v/>
      </c>
      <c r="AE546" s="911">
        <f>IF(E546="YES",IF(G546=1,"",IF(H546=1,C546,"")),IF(H546=1,C546,IF(H546=2,C546,IF(H546=0,"",""))))</f>
        <v/>
      </c>
      <c r="AF546" s="911">
        <f>IF(E546="YES",IF(I546=1,C546,""),IF(I546=1,C546,IF(I546=2,C546,IF(I546=0,"",""))))</f>
        <v/>
      </c>
      <c r="AG546" s="192">
        <f>(C546*G546)+(C546*H546)+(C546*I546)</f>
        <v/>
      </c>
    </row>
    <row r="547">
      <c r="AA547" s="640">
        <f>IF(G547=0, IF(OR(H547&gt;0,F547&gt;0),C547*F547,""),"")</f>
        <v/>
      </c>
      <c r="AB547" s="640">
        <f>IF(G547&gt;=1,IF(F547&gt;1,C547*(F547-2),""),"")</f>
        <v/>
      </c>
      <c r="AC547" s="640" t="n"/>
      <c r="AD547" s="911">
        <f>IF(E547="YES",IF(G547=1,"",""),IF(G547=1,C547,IF(G547=2,C547,IF(G547=0,"",""))))</f>
        <v/>
      </c>
      <c r="AE547" s="911">
        <f>IF(E547="YES",IF(G547=1,"",IF(H547=1,C547,"")),IF(H547=1,C547,IF(H547=2,C547,IF(H547=0,"",""))))</f>
        <v/>
      </c>
      <c r="AF547" s="911">
        <f>IF(E547="YES",IF(I547=1,C547,""),IF(I547=1,C547,IF(I547=2,C547,IF(I547=0,"",""))))</f>
        <v/>
      </c>
      <c r="AG547" s="192">
        <f>(C547*G547)+(C547*H547)+(C547*I547)</f>
        <v/>
      </c>
    </row>
    <row r="548">
      <c r="AA548" s="640">
        <f>IF(G548=0, IF(OR(H548&gt;0,F548&gt;0),C548*F548,""),"")</f>
        <v/>
      </c>
      <c r="AB548" s="640">
        <f>IF(G548&gt;=1,IF(F548&gt;1,C548*(F548-2),""),"")</f>
        <v/>
      </c>
      <c r="AC548" s="640" t="n"/>
      <c r="AD548" s="911">
        <f>IF(E548="YES",IF(G548=1,"",""),IF(G548=1,C548,IF(G548=2,C548,IF(G548=0,"",""))))</f>
        <v/>
      </c>
      <c r="AE548" s="911">
        <f>IF(E548="YES",IF(G548=1,"",IF(H548=1,C548,"")),IF(H548=1,C548,IF(H548=2,C548,IF(H548=0,"",""))))</f>
        <v/>
      </c>
      <c r="AF548" s="911">
        <f>IF(E548="YES",IF(I548=1,C548,""),IF(I548=1,C548,IF(I548=2,C548,IF(I548=0,"",""))))</f>
        <v/>
      </c>
      <c r="AG548" s="192">
        <f>(C548*G548)+(C548*H548)+(C548*I548)</f>
        <v/>
      </c>
    </row>
    <row r="549">
      <c r="AA549" s="640">
        <f>IF(G549=0, IF(OR(H549&gt;0,F549&gt;0),C549*F549,""),"")</f>
        <v/>
      </c>
      <c r="AB549" s="640">
        <f>IF(G549&gt;=1,IF(F549&gt;1,C549*(F549-2),""),"")</f>
        <v/>
      </c>
      <c r="AC549" s="640" t="n"/>
      <c r="AD549" s="911">
        <f>IF(E549="YES",IF(G549=1,"",""),IF(G549=1,C549,IF(G549=2,C549,IF(G549=0,"",""))))</f>
        <v/>
      </c>
      <c r="AE549" s="911">
        <f>IF(E549="YES",IF(G549=1,"",IF(H549=1,C549,"")),IF(H549=1,C549,IF(H549=2,C549,IF(H549=0,"",""))))</f>
        <v/>
      </c>
      <c r="AF549" s="911">
        <f>IF(E549="YES",IF(I549=1,C549,""),IF(I549=1,C549,IF(I549=2,C549,IF(I549=0,"",""))))</f>
        <v/>
      </c>
      <c r="AG549" s="192">
        <f>(C549*G549)+(C549*H549)+(C549*I549)</f>
        <v/>
      </c>
    </row>
    <row r="550">
      <c r="AA550" s="640">
        <f>IF(G550=0, IF(OR(H550&gt;0,F550&gt;0),C550*F550,""),"")</f>
        <v/>
      </c>
      <c r="AB550" s="640">
        <f>IF(G550&gt;=1,IF(F550&gt;1,C550*(F550-2),""),"")</f>
        <v/>
      </c>
      <c r="AC550" s="640" t="n"/>
      <c r="AD550" s="911">
        <f>IF(E550="YES",IF(G550=1,"",""),IF(G550=1,C550,IF(G550=2,C550,IF(G550=0,"",""))))</f>
        <v/>
      </c>
      <c r="AE550" s="911">
        <f>IF(E550="YES",IF(G550=1,"",IF(H550=1,C550,"")),IF(H550=1,C550,IF(H550=2,C550,IF(H550=0,"",""))))</f>
        <v/>
      </c>
      <c r="AF550" s="911">
        <f>IF(E550="YES",IF(I550=1,C550,""),IF(I550=1,C550,IF(I550=2,C550,IF(I550=0,"",""))))</f>
        <v/>
      </c>
      <c r="AG550" s="192">
        <f>(C550*G550)+(C550*H550)+(C550*I550)</f>
        <v/>
      </c>
    </row>
    <row r="551">
      <c r="AA551" s="640">
        <f>IF(G551=0, IF(OR(H551&gt;0,F551&gt;0),C551*F551,""),"")</f>
        <v/>
      </c>
      <c r="AB551" s="640">
        <f>IF(G551&gt;=1,IF(F551&gt;1,C551*(F551-2),""),"")</f>
        <v/>
      </c>
      <c r="AC551" s="640" t="n"/>
      <c r="AD551" s="911">
        <f>IF(E551="YES",IF(G551=1,"",""),IF(G551=1,C551,IF(G551=2,C551,IF(G551=0,"",""))))</f>
        <v/>
      </c>
      <c r="AE551" s="911">
        <f>IF(E551="YES",IF(G551=1,"",IF(H551=1,C551,"")),IF(H551=1,C551,IF(H551=2,C551,IF(H551=0,"",""))))</f>
        <v/>
      </c>
      <c r="AF551" s="911">
        <f>IF(E551="YES",IF(I551=1,C551,""),IF(I551=1,C551,IF(I551=2,C551,IF(I551=0,"",""))))</f>
        <v/>
      </c>
      <c r="AG551" s="192">
        <f>(C551*G551)+(C551*H551)+(C551*I551)</f>
        <v/>
      </c>
    </row>
    <row r="552">
      <c r="AA552" s="640">
        <f>IF(G552=0, IF(OR(H552&gt;0,F552&gt;0),C552*F552,""),"")</f>
        <v/>
      </c>
      <c r="AB552" s="640">
        <f>IF(G552&gt;=1,IF(F552&gt;1,C552*(F552-2),""),"")</f>
        <v/>
      </c>
      <c r="AC552" s="640" t="n"/>
      <c r="AD552" s="911">
        <f>IF(E552="YES",IF(G552=1,"",""),IF(G552=1,C552,IF(G552=2,C552,IF(G552=0,"",""))))</f>
        <v/>
      </c>
      <c r="AE552" s="911">
        <f>IF(E552="YES",IF(G552=1,"",IF(H552=1,C552,"")),IF(H552=1,C552,IF(H552=2,C552,IF(H552=0,"",""))))</f>
        <v/>
      </c>
      <c r="AF552" s="911">
        <f>IF(E552="YES",IF(I552=1,C552,""),IF(I552=1,C552,IF(I552=2,C552,IF(I552=0,"",""))))</f>
        <v/>
      </c>
      <c r="AG552" s="192">
        <f>(C552*G552)+(C552*H552)+(C552*I552)</f>
        <v/>
      </c>
    </row>
    <row r="553">
      <c r="AA553" s="640">
        <f>IF(G553=0, IF(OR(H553&gt;0,F553&gt;0),C553*F553,""),"")</f>
        <v/>
      </c>
      <c r="AB553" s="640">
        <f>IF(G553&gt;=1,IF(F553&gt;1,C553*(F553-2),""),"")</f>
        <v/>
      </c>
      <c r="AC553" s="640" t="n"/>
      <c r="AD553" s="911">
        <f>IF(E553="YES",IF(G553=1,"",""),IF(G553=1,C553,IF(G553=2,C553,IF(G553=0,"",""))))</f>
        <v/>
      </c>
      <c r="AE553" s="911">
        <f>IF(E553="YES",IF(G553=1,"",IF(H553=1,C553,"")),IF(H553=1,C553,IF(H553=2,C553,IF(H553=0,"",""))))</f>
        <v/>
      </c>
      <c r="AF553" s="911">
        <f>IF(E553="YES",IF(I553=1,C553,""),IF(I553=1,C553,IF(I553=2,C553,IF(I553=0,"",""))))</f>
        <v/>
      </c>
      <c r="AG553" s="192">
        <f>(C553*G553)+(C553*H553)+(C553*I553)</f>
        <v/>
      </c>
    </row>
    <row r="554">
      <c r="AA554" s="640">
        <f>IF(G554=0, IF(OR(H554&gt;0,F554&gt;0),C554*F554,""),"")</f>
        <v/>
      </c>
      <c r="AB554" s="640">
        <f>IF(G554&gt;=1,IF(F554&gt;1,C554*(F554-2),""),"")</f>
        <v/>
      </c>
      <c r="AC554" s="640" t="n"/>
      <c r="AD554" s="911">
        <f>IF(E554="YES",IF(G554=1,"",""),IF(G554=1,C554,IF(G554=2,C554,IF(G554=0,"",""))))</f>
        <v/>
      </c>
      <c r="AE554" s="911">
        <f>IF(E554="YES",IF(G554=1,"",IF(H554=1,C554,"")),IF(H554=1,C554,IF(H554=2,C554,IF(H554=0,"",""))))</f>
        <v/>
      </c>
      <c r="AF554" s="911">
        <f>IF(E554="YES",IF(I554=1,C554,""),IF(I554=1,C554,IF(I554=2,C554,IF(I554=0,"",""))))</f>
        <v/>
      </c>
      <c r="AG554" s="192">
        <f>(C554*G554)+(C554*H554)+(C554*I554)</f>
        <v/>
      </c>
    </row>
    <row r="555">
      <c r="AA555" s="640">
        <f>IF(G555=0, IF(OR(H555&gt;0,F555&gt;0),C555*F555,""),"")</f>
        <v/>
      </c>
      <c r="AB555" s="640">
        <f>IF(G555&gt;=1,IF(F555&gt;1,C555*(F555-2),""),"")</f>
        <v/>
      </c>
      <c r="AC555" s="640" t="n"/>
      <c r="AD555" s="911">
        <f>IF(E555="YES",IF(G555=1,"",""),IF(G555=1,C555,IF(G555=2,C555,IF(G555=0,"",""))))</f>
        <v/>
      </c>
      <c r="AE555" s="911">
        <f>IF(E555="YES",IF(G555=1,"",IF(H555=1,C555,"")),IF(H555=1,C555,IF(H555=2,C555,IF(H555=0,"",""))))</f>
        <v/>
      </c>
      <c r="AF555" s="911">
        <f>IF(E555="YES",IF(I555=1,C555,""),IF(I555=1,C555,IF(I555=2,C555,IF(I555=0,"",""))))</f>
        <v/>
      </c>
      <c r="AG555" s="192">
        <f>(C555*G555)+(C555*H555)+(C555*I555)</f>
        <v/>
      </c>
    </row>
    <row r="556">
      <c r="AA556" s="640">
        <f>IF(G556=0, IF(OR(H556&gt;0,F556&gt;0),C556*F556,""),"")</f>
        <v/>
      </c>
      <c r="AB556" s="640">
        <f>IF(G556&gt;=1,IF(F556&gt;1,C556*(F556-2),""),"")</f>
        <v/>
      </c>
      <c r="AC556" s="640" t="n"/>
      <c r="AD556" s="911">
        <f>IF(E556="YES",IF(G556=1,"",""),IF(G556=1,C556,IF(G556=2,C556,IF(G556=0,"",""))))</f>
        <v/>
      </c>
      <c r="AE556" s="911">
        <f>IF(E556="YES",IF(G556=1,"",IF(H556=1,C556,"")),IF(H556=1,C556,IF(H556=2,C556,IF(H556=0,"",""))))</f>
        <v/>
      </c>
      <c r="AF556" s="911">
        <f>IF(E556="YES",IF(I556=1,C556,""),IF(I556=1,C556,IF(I556=2,C556,IF(I556=0,"",""))))</f>
        <v/>
      </c>
      <c r="AG556" s="192">
        <f>(C556*G556)+(C556*H556)+(C556*I556)</f>
        <v/>
      </c>
    </row>
    <row r="557">
      <c r="AA557" s="640">
        <f>IF(G557=0, IF(OR(H557&gt;0,F557&gt;0),C557*F557,""),"")</f>
        <v/>
      </c>
      <c r="AB557" s="640">
        <f>IF(G557&gt;=1,IF(F557&gt;1,C557*(F557-2),""),"")</f>
        <v/>
      </c>
      <c r="AC557" s="640" t="n"/>
      <c r="AD557" s="911">
        <f>IF(E557="YES",IF(G557=1,"",""),IF(G557=1,C557,IF(G557=2,C557,IF(G557=0,"",""))))</f>
        <v/>
      </c>
      <c r="AE557" s="911">
        <f>IF(E557="YES",IF(G557=1,"",IF(H557=1,C557,"")),IF(H557=1,C557,IF(H557=2,C557,IF(H557=0,"",""))))</f>
        <v/>
      </c>
      <c r="AF557" s="911">
        <f>IF(E557="YES",IF(I557=1,C557,""),IF(I557=1,C557,IF(I557=2,C557,IF(I557=0,"",""))))</f>
        <v/>
      </c>
      <c r="AG557" s="192">
        <f>(C557*G557)+(C557*H557)+(C557*I557)</f>
        <v/>
      </c>
    </row>
    <row r="558">
      <c r="AA558" s="640">
        <f>IF(G558=0, IF(OR(H558&gt;0,F558&gt;0),C558*F558,""),"")</f>
        <v/>
      </c>
      <c r="AB558" s="640">
        <f>IF(G558&gt;=1,IF(F558&gt;1,C558*(F558-2),""),"")</f>
        <v/>
      </c>
      <c r="AC558" s="640" t="n"/>
      <c r="AD558" s="911">
        <f>IF(E558="YES",IF(G558=1,"",""),IF(G558=1,C558,IF(G558=2,C558,IF(G558=0,"",""))))</f>
        <v/>
      </c>
      <c r="AE558" s="911">
        <f>IF(E558="YES",IF(G558=1,"",IF(H558=1,C558,"")),IF(H558=1,C558,IF(H558=2,C558,IF(H558=0,"",""))))</f>
        <v/>
      </c>
      <c r="AF558" s="911">
        <f>IF(E558="YES",IF(I558=1,C558,""),IF(I558=1,C558,IF(I558=2,C558,IF(I558=0,"",""))))</f>
        <v/>
      </c>
      <c r="AG558" s="192">
        <f>(C558*G558)+(C558*H558)+(C558*I558)</f>
        <v/>
      </c>
    </row>
    <row r="559">
      <c r="AA559" s="640">
        <f>IF(G559=0, IF(OR(H559&gt;0,F559&gt;0),C559*F559,""),"")</f>
        <v/>
      </c>
      <c r="AB559" s="640">
        <f>IF(G559&gt;=1,IF(F559&gt;1,C559*(F559-2),""),"")</f>
        <v/>
      </c>
      <c r="AC559" s="640" t="n"/>
      <c r="AD559" s="911">
        <f>IF(E559="YES",IF(G559=1,"",""),IF(G559=1,C559,IF(G559=2,C559,IF(G559=0,"",""))))</f>
        <v/>
      </c>
      <c r="AE559" s="911">
        <f>IF(E559="YES",IF(G559=1,"",IF(H559=1,C559,"")),IF(H559=1,C559,IF(H559=2,C559,IF(H559=0,"",""))))</f>
        <v/>
      </c>
      <c r="AF559" s="911">
        <f>IF(E559="YES",IF(I559=1,C559,""),IF(I559=1,C559,IF(I559=2,C559,IF(I559=0,"",""))))</f>
        <v/>
      </c>
      <c r="AG559" s="192">
        <f>(C559*G559)+(C559*H559)+(C559*I559)</f>
        <v/>
      </c>
    </row>
    <row r="560">
      <c r="AA560" s="640">
        <f>IF(G560=0, IF(OR(H560&gt;0,F560&gt;0),C560*F560,""),"")</f>
        <v/>
      </c>
      <c r="AB560" s="640">
        <f>IF(G560&gt;=1,IF(F560&gt;1,C560*(F560-2),""),"")</f>
        <v/>
      </c>
      <c r="AC560" s="640" t="n"/>
      <c r="AD560" s="911">
        <f>IF(E560="YES",IF(G560=1,"",""),IF(G560=1,C560,IF(G560=2,C560,IF(G560=0,"",""))))</f>
        <v/>
      </c>
      <c r="AE560" s="911">
        <f>IF(E560="YES",IF(G560=1,"",IF(H560=1,C560,"")),IF(H560=1,C560,IF(H560=2,C560,IF(H560=0,"",""))))</f>
        <v/>
      </c>
      <c r="AF560" s="911">
        <f>IF(E560="YES",IF(I560=1,C560,""),IF(I560=1,C560,IF(I560=2,C560,IF(I560=0,"",""))))</f>
        <v/>
      </c>
      <c r="AG560" s="192">
        <f>(C560*G560)+(C560*H560)+(C560*I560)</f>
        <v/>
      </c>
    </row>
    <row r="561">
      <c r="AA561" s="640">
        <f>IF(G561=0, IF(OR(H561&gt;0,F561&gt;0),C561*F561,""),"")</f>
        <v/>
      </c>
      <c r="AB561" s="640">
        <f>IF(G561&gt;=1,IF(F561&gt;1,C561*(F561-2),""),"")</f>
        <v/>
      </c>
      <c r="AC561" s="640" t="n"/>
      <c r="AD561" s="911">
        <f>IF(E561="YES",IF(G561=1,"",""),IF(G561=1,C561,IF(G561=2,C561,IF(G561=0,"",""))))</f>
        <v/>
      </c>
      <c r="AE561" s="911">
        <f>IF(E561="YES",IF(G561=1,"",IF(H561=1,C561,"")),IF(H561=1,C561,IF(H561=2,C561,IF(H561=0,"",""))))</f>
        <v/>
      </c>
      <c r="AF561" s="911">
        <f>IF(E561="YES",IF(I561=1,C561,""),IF(I561=1,C561,IF(I561=2,C561,IF(I561=0,"",""))))</f>
        <v/>
      </c>
      <c r="AG561" s="192">
        <f>(C561*G561)+(C561*H561)+(C561*I561)</f>
        <v/>
      </c>
    </row>
    <row r="562">
      <c r="AA562" s="640">
        <f>IF(G562=0, IF(OR(H562&gt;0,F562&gt;0),C562*F562,""),"")</f>
        <v/>
      </c>
      <c r="AB562" s="640">
        <f>IF(G562&gt;=1,IF(F562&gt;1,C562*(F562-2),""),"")</f>
        <v/>
      </c>
      <c r="AC562" s="640" t="n"/>
      <c r="AD562" s="911">
        <f>IF(E562="YES",IF(G562=1,"",""),IF(G562=1,C562,IF(G562=2,C562,IF(G562=0,"",""))))</f>
        <v/>
      </c>
      <c r="AE562" s="911">
        <f>IF(E562="YES",IF(G562=1,"",IF(H562=1,C562,"")),IF(H562=1,C562,IF(H562=2,C562,IF(H562=0,"",""))))</f>
        <v/>
      </c>
      <c r="AF562" s="911">
        <f>IF(E562="YES",IF(I562=1,C562,""),IF(I562=1,C562,IF(I562=2,C562,IF(I562=0,"",""))))</f>
        <v/>
      </c>
      <c r="AG562" s="192">
        <f>(C562*G562)+(C562*H562)+(C562*I562)</f>
        <v/>
      </c>
    </row>
    <row r="563">
      <c r="AA563" s="640">
        <f>IF(G563=0, IF(OR(H563&gt;0,F563&gt;0),C563*F563,""),"")</f>
        <v/>
      </c>
      <c r="AB563" s="640">
        <f>IF(G563&gt;=1,IF(F563&gt;1,C563*(F563-2),""),"")</f>
        <v/>
      </c>
      <c r="AC563" s="640" t="n"/>
      <c r="AD563" s="911">
        <f>IF(E563="YES",IF(G563=1,"",""),IF(G563=1,C563,IF(G563=2,C563,IF(G563=0,"",""))))</f>
        <v/>
      </c>
      <c r="AE563" s="911">
        <f>IF(E563="YES",IF(G563=1,"",IF(H563=1,C563,"")),IF(H563=1,C563,IF(H563=2,C563,IF(H563=0,"",""))))</f>
        <v/>
      </c>
      <c r="AF563" s="911">
        <f>IF(E563="YES",IF(I563=1,C563,""),IF(I563=1,C563,IF(I563=2,C563,IF(I563=0,"",""))))</f>
        <v/>
      </c>
      <c r="AG563" s="192">
        <f>(C563*G563)+(C563*H563)+(C563*I563)</f>
        <v/>
      </c>
    </row>
    <row r="564">
      <c r="AA564" s="640">
        <f>IF(G564=0, IF(OR(H564&gt;0,F564&gt;0),C564*F564,""),"")</f>
        <v/>
      </c>
      <c r="AB564" s="640">
        <f>IF(G564&gt;=1,IF(F564&gt;1,C564*(F564-2),""),"")</f>
        <v/>
      </c>
      <c r="AC564" s="640" t="n"/>
      <c r="AD564" s="911">
        <f>IF(E564="YES",IF(G564=1,"",""),IF(G564=1,C564,IF(G564=2,C564,IF(G564=0,"",""))))</f>
        <v/>
      </c>
      <c r="AE564" s="911">
        <f>IF(E564="YES",IF(G564=1,"",IF(H564=1,C564,"")),IF(H564=1,C564,IF(H564=2,C564,IF(H564=0,"",""))))</f>
        <v/>
      </c>
      <c r="AF564" s="911">
        <f>IF(E564="YES",IF(I564=1,C564,""),IF(I564=1,C564,IF(I564=2,C564,IF(I564=0,"",""))))</f>
        <v/>
      </c>
      <c r="AG564" s="192">
        <f>(C564*G564)+(C564*H564)+(C564*I564)</f>
        <v/>
      </c>
    </row>
    <row r="565">
      <c r="AA565" s="640">
        <f>IF(G565=0, IF(OR(H565&gt;0,F565&gt;0),C565*F565,""),"")</f>
        <v/>
      </c>
      <c r="AB565" s="640">
        <f>IF(G565&gt;=1,IF(F565&gt;1,C565*(F565-2),""),"")</f>
        <v/>
      </c>
      <c r="AC565" s="640" t="n"/>
      <c r="AD565" s="911">
        <f>IF(E565="YES",IF(G565=1,"",""),IF(G565=1,C565,IF(G565=2,C565,IF(G565=0,"",""))))</f>
        <v/>
      </c>
      <c r="AE565" s="911">
        <f>IF(E565="YES",IF(G565=1,"",IF(H565=1,C565,"")),IF(H565=1,C565,IF(H565=2,C565,IF(H565=0,"",""))))</f>
        <v/>
      </c>
      <c r="AF565" s="911">
        <f>IF(E565="YES",IF(I565=1,C565,""),IF(I565=1,C565,IF(I565=2,C565,IF(I565=0,"",""))))</f>
        <v/>
      </c>
      <c r="AG565" s="192">
        <f>(C565*G565)+(C565*H565)+(C565*I565)</f>
        <v/>
      </c>
    </row>
    <row r="566">
      <c r="AA566" s="640">
        <f>IF(G566=0, IF(OR(H566&gt;0,F566&gt;0),C566*F566,""),"")</f>
        <v/>
      </c>
      <c r="AB566" s="640">
        <f>IF(G566&gt;=1,IF(F566&gt;1,C566*(F566-2),""),"")</f>
        <v/>
      </c>
      <c r="AC566" s="640" t="n"/>
      <c r="AD566" s="911">
        <f>IF(E566="YES",IF(G566=1,"",""),IF(G566=1,C566,IF(G566=2,C566,IF(G566=0,"",""))))</f>
        <v/>
      </c>
      <c r="AE566" s="911">
        <f>IF(E566="YES",IF(G566=1,"",IF(H566=1,C566,"")),IF(H566=1,C566,IF(H566=2,C566,IF(H566=0,"",""))))</f>
        <v/>
      </c>
      <c r="AF566" s="911">
        <f>IF(E566="YES",IF(I566=1,C566,""),IF(I566=1,C566,IF(I566=2,C566,IF(I566=0,"",""))))</f>
        <v/>
      </c>
      <c r="AG566" s="192">
        <f>(C566*G566)+(C566*H566)+(C566*I566)</f>
        <v/>
      </c>
    </row>
    <row r="567">
      <c r="AA567" s="640">
        <f>IF(G567=0, IF(OR(H567&gt;0,F567&gt;0),C567*F567,""),"")</f>
        <v/>
      </c>
      <c r="AB567" s="640">
        <f>IF(G567&gt;=1,IF(F567&gt;1,C567*(F567-2),""),"")</f>
        <v/>
      </c>
      <c r="AC567" s="640" t="n"/>
      <c r="AD567" s="911">
        <f>IF(E567="YES",IF(G567=1,"",""),IF(G567=1,C567,IF(G567=2,C567,IF(G567=0,"",""))))</f>
        <v/>
      </c>
      <c r="AE567" s="911">
        <f>IF(E567="YES",IF(G567=1,"",IF(H567=1,C567,"")),IF(H567=1,C567,IF(H567=2,C567,IF(H567=0,"",""))))</f>
        <v/>
      </c>
      <c r="AF567" s="911">
        <f>IF(E567="YES",IF(I567=1,C567,""),IF(I567=1,C567,IF(I567=2,C567,IF(I567=0,"",""))))</f>
        <v/>
      </c>
      <c r="AG567" s="192">
        <f>(C567*G567)+(C567*H567)+(C567*I567)</f>
        <v/>
      </c>
    </row>
    <row r="568">
      <c r="AA568" s="640">
        <f>IF(G568=0, IF(OR(H568&gt;0,F568&gt;0),C568*F568,""),"")</f>
        <v/>
      </c>
      <c r="AB568" s="640">
        <f>IF(G568&gt;=1,IF(F568&gt;1,C568*(F568-2),""),"")</f>
        <v/>
      </c>
      <c r="AC568" s="640" t="n"/>
      <c r="AD568" s="911">
        <f>IF(E568="YES",IF(G568=1,"",""),IF(G568=1,C568,IF(G568=2,C568,IF(G568=0,"",""))))</f>
        <v/>
      </c>
      <c r="AE568" s="911">
        <f>IF(E568="YES",IF(G568=1,"",IF(H568=1,C568,"")),IF(H568=1,C568,IF(H568=2,C568,IF(H568=0,"",""))))</f>
        <v/>
      </c>
      <c r="AF568" s="911">
        <f>IF(E568="YES",IF(I568=1,C568,""),IF(I568=1,C568,IF(I568=2,C568,IF(I568=0,"",""))))</f>
        <v/>
      </c>
      <c r="AG568" s="192">
        <f>(C568*G568)+(C568*H568)+(C568*I568)</f>
        <v/>
      </c>
    </row>
    <row r="569">
      <c r="AA569" s="640">
        <f>IF(G569=0, IF(OR(H569&gt;0,F569&gt;0),C569*F569,""),"")</f>
        <v/>
      </c>
      <c r="AB569" s="640">
        <f>IF(G569&gt;=1,IF(F569&gt;1,C569*(F569-2),""),"")</f>
        <v/>
      </c>
      <c r="AC569" s="640" t="n"/>
      <c r="AD569" s="911">
        <f>IF(E569="YES",IF(G569=1,"",""),IF(G569=1,C569,IF(G569=2,C569,IF(G569=0,"",""))))</f>
        <v/>
      </c>
      <c r="AE569" s="911">
        <f>IF(E569="YES",IF(G569=1,"",IF(H569=1,C569,"")),IF(H569=1,C569,IF(H569=2,C569,IF(H569=0,"",""))))</f>
        <v/>
      </c>
      <c r="AF569" s="911">
        <f>IF(E569="YES",IF(I569=1,C569,""),IF(I569=1,C569,IF(I569=2,C569,IF(I569=0,"",""))))</f>
        <v/>
      </c>
      <c r="AG569" s="192">
        <f>(C569*G569)+(C569*H569)+(C569*I569)</f>
        <v/>
      </c>
    </row>
    <row r="570">
      <c r="AA570" s="640">
        <f>IF(G570=0, IF(OR(H570&gt;0,F570&gt;0),C570*F570,""),"")</f>
        <v/>
      </c>
      <c r="AB570" s="640">
        <f>IF(G570&gt;=1,IF(F570&gt;1,C570*(F570-2),""),"")</f>
        <v/>
      </c>
      <c r="AC570" s="640" t="n"/>
      <c r="AD570" s="911">
        <f>IF(E570="YES",IF(G570=1,"",""),IF(G570=1,C570,IF(G570=2,C570,IF(G570=0,"",""))))</f>
        <v/>
      </c>
      <c r="AE570" s="911">
        <f>IF(E570="YES",IF(G570=1,"",IF(H570=1,C570,"")),IF(H570=1,C570,IF(H570=2,C570,IF(H570=0,"",""))))</f>
        <v/>
      </c>
      <c r="AF570" s="911">
        <f>IF(E570="YES",IF(I570=1,C570,""),IF(I570=1,C570,IF(I570=2,C570,IF(I570=0,"",""))))</f>
        <v/>
      </c>
      <c r="AG570" s="192">
        <f>(C570*G570)+(C570*H570)+(C570*I570)</f>
        <v/>
      </c>
    </row>
    <row r="571">
      <c r="AA571" s="640">
        <f>IF(G571=0, IF(OR(H571&gt;0,F571&gt;0),C571*F571,""),"")</f>
        <v/>
      </c>
      <c r="AB571" s="640">
        <f>IF(G571&gt;=1,IF(F571&gt;1,C571*(F571-2),""),"")</f>
        <v/>
      </c>
      <c r="AC571" s="640" t="n"/>
      <c r="AD571" s="911">
        <f>IF(E571="YES",IF(G571=1,"",""),IF(G571=1,C571,IF(G571=2,C571,IF(G571=0,"",""))))</f>
        <v/>
      </c>
      <c r="AE571" s="911">
        <f>IF(E571="YES",IF(G571=1,"",IF(H571=1,C571,"")),IF(H571=1,C571,IF(H571=2,C571,IF(H571=0,"",""))))</f>
        <v/>
      </c>
      <c r="AF571" s="911">
        <f>IF(E571="YES",IF(I571=1,C571,""),IF(I571=1,C571,IF(I571=2,C571,IF(I571=0,"",""))))</f>
        <v/>
      </c>
      <c r="AG571" s="192">
        <f>(C571*G571)+(C571*H571)+(C571*I571)</f>
        <v/>
      </c>
    </row>
    <row r="572">
      <c r="AA572" s="640">
        <f>IF(G572=0, IF(OR(H572&gt;0,F572&gt;0),C572*F572,""),"")</f>
        <v/>
      </c>
      <c r="AB572" s="640">
        <f>IF(G572&gt;=1,IF(F572&gt;1,C572*(F572-2),""),"")</f>
        <v/>
      </c>
      <c r="AC572" s="640" t="n"/>
      <c r="AD572" s="911">
        <f>IF(E572="YES",IF(G572=1,"",""),IF(G572=1,C572,IF(G572=2,C572,IF(G572=0,"",""))))</f>
        <v/>
      </c>
      <c r="AE572" s="911">
        <f>IF(E572="YES",IF(G572=1,"",IF(H572=1,C572,"")),IF(H572=1,C572,IF(H572=2,C572,IF(H572=0,"",""))))</f>
        <v/>
      </c>
      <c r="AF572" s="911">
        <f>IF(E572="YES",IF(I572=1,C572,""),IF(I572=1,C572,IF(I572=2,C572,IF(I572=0,"",""))))</f>
        <v/>
      </c>
      <c r="AG572" s="192">
        <f>(C572*G572)+(C572*H572)+(C572*I572)</f>
        <v/>
      </c>
    </row>
    <row r="573">
      <c r="AA573" s="640">
        <f>IF(G573=0, IF(OR(H573&gt;0,F573&gt;0),C573*F573,""),"")</f>
        <v/>
      </c>
      <c r="AB573" s="640">
        <f>IF(G573&gt;=1,IF(F573&gt;1,C573*(F573-2),""),"")</f>
        <v/>
      </c>
      <c r="AC573" s="640" t="n"/>
      <c r="AD573" s="911">
        <f>IF(E573="YES",IF(G573=1,"",""),IF(G573=1,C573,IF(G573=2,C573,IF(G573=0,"",""))))</f>
        <v/>
      </c>
      <c r="AE573" s="911">
        <f>IF(E573="YES",IF(G573=1,"",IF(H573=1,C573,"")),IF(H573=1,C573,IF(H573=2,C573,IF(H573=0,"",""))))</f>
        <v/>
      </c>
      <c r="AF573" s="911">
        <f>IF(E573="YES",IF(I573=1,C573,""),IF(I573=1,C573,IF(I573=2,C573,IF(I573=0,"",""))))</f>
        <v/>
      </c>
      <c r="AG573" s="192">
        <f>(C573*G573)+(C573*H573)+(C573*I573)</f>
        <v/>
      </c>
    </row>
    <row r="574">
      <c r="AA574" s="640">
        <f>IF(G574=0, IF(OR(H574&gt;0,F574&gt;0),C574*F574,""),"")</f>
        <v/>
      </c>
      <c r="AB574" s="640">
        <f>IF(G574&gt;=1,IF(F574&gt;1,C574*(F574-2),""),"")</f>
        <v/>
      </c>
      <c r="AC574" s="640" t="n"/>
      <c r="AD574" s="911">
        <f>IF(E574="YES",IF(G574=1,"",""),IF(G574=1,C574,IF(G574=2,C574,IF(G574=0,"",""))))</f>
        <v/>
      </c>
      <c r="AE574" s="911">
        <f>IF(E574="YES",IF(G574=1,"",IF(H574=1,C574,"")),IF(H574=1,C574,IF(H574=2,C574,IF(H574=0,"",""))))</f>
        <v/>
      </c>
      <c r="AF574" s="911">
        <f>IF(E574="YES",IF(I574=1,C574,""),IF(I574=1,C574,IF(I574=2,C574,IF(I574=0,"",""))))</f>
        <v/>
      </c>
      <c r="AG574" s="192">
        <f>(C574*G574)+(C574*H574)+(C574*I574)</f>
        <v/>
      </c>
    </row>
    <row r="575">
      <c r="AA575" s="640">
        <f>IF(G575=0, IF(OR(H575&gt;0,F575&gt;0),C575*F575,""),"")</f>
        <v/>
      </c>
      <c r="AB575" s="640">
        <f>IF(G575&gt;=1,IF(F575&gt;1,C575*(F575-2),""),"")</f>
        <v/>
      </c>
      <c r="AC575" s="640" t="n"/>
      <c r="AD575" s="911">
        <f>IF(E575="YES",IF(G575=1,"",""),IF(G575=1,C575,IF(G575=2,C575,IF(G575=0,"",""))))</f>
        <v/>
      </c>
      <c r="AE575" s="911">
        <f>IF(E575="YES",IF(G575=1,"",IF(H575=1,C575,"")),IF(H575=1,C575,IF(H575=2,C575,IF(H575=0,"",""))))</f>
        <v/>
      </c>
      <c r="AF575" s="911">
        <f>IF(E575="YES",IF(I575=1,C575,""),IF(I575=1,C575,IF(I575=2,C575,IF(I575=0,"",""))))</f>
        <v/>
      </c>
      <c r="AG575" s="192">
        <f>(C575*G575)+(C575*H575)+(C575*I575)</f>
        <v/>
      </c>
    </row>
    <row r="576">
      <c r="AA576" s="640">
        <f>IF(G576=0, IF(OR(H576&gt;0,F576&gt;0),C576*F576,""),"")</f>
        <v/>
      </c>
      <c r="AB576" s="640">
        <f>IF(G576&gt;=1,IF(F576&gt;1,C576*(F576-2),""),"")</f>
        <v/>
      </c>
      <c r="AC576" s="640" t="n"/>
      <c r="AD576" s="911">
        <f>IF(E576="YES",IF(G576=1,"",""),IF(G576=1,C576,IF(G576=2,C576,IF(G576=0,"",""))))</f>
        <v/>
      </c>
      <c r="AE576" s="911">
        <f>IF(E576="YES",IF(G576=1,"",IF(H576=1,C576,"")),IF(H576=1,C576,IF(H576=2,C576,IF(H576=0,"",""))))</f>
        <v/>
      </c>
      <c r="AF576" s="911">
        <f>IF(E576="YES",IF(I576=1,C576,""),IF(I576=1,C576,IF(I576=2,C576,IF(I576=0,"",""))))</f>
        <v/>
      </c>
      <c r="AG576" s="192">
        <f>(C576*G576)+(C576*H576)+(C576*I576)</f>
        <v/>
      </c>
    </row>
    <row r="577">
      <c r="AA577" s="640">
        <f>IF(G577=0, IF(OR(H577&gt;0,F577&gt;0),C577*F577,""),"")</f>
        <v/>
      </c>
      <c r="AB577" s="640">
        <f>IF(G577&gt;=1,IF(F577&gt;1,C577*(F577-2),""),"")</f>
        <v/>
      </c>
      <c r="AC577" s="640" t="n"/>
      <c r="AD577" s="911">
        <f>IF(E577="YES",IF(G577=1,"",""),IF(G577=1,C577,IF(G577=2,C577,IF(G577=0,"",""))))</f>
        <v/>
      </c>
      <c r="AE577" s="911">
        <f>IF(E577="YES",IF(G577=1,"",IF(H577=1,C577,"")),IF(H577=1,C577,IF(H577=2,C577,IF(H577=0,"",""))))</f>
        <v/>
      </c>
      <c r="AF577" s="911">
        <f>IF(E577="YES",IF(I577=1,C577,""),IF(I577=1,C577,IF(I577=2,C577,IF(I577=0,"",""))))</f>
        <v/>
      </c>
      <c r="AG577" s="192">
        <f>(C577*G577)+(C577*H577)+(C577*I577)</f>
        <v/>
      </c>
    </row>
    <row r="578">
      <c r="AA578" s="640">
        <f>IF(G578=0, IF(OR(H578&gt;0,F578&gt;0),C578*F578,""),"")</f>
        <v/>
      </c>
      <c r="AB578" s="640">
        <f>IF(G578&gt;=1,IF(F578&gt;1,C578*(F578-2),""),"")</f>
        <v/>
      </c>
      <c r="AC578" s="640" t="n"/>
      <c r="AD578" s="911">
        <f>IF(E578="YES",IF(G578=1,"",""),IF(G578=1,C578,IF(G578=2,C578,IF(G578=0,"",""))))</f>
        <v/>
      </c>
      <c r="AE578" s="911">
        <f>IF(E578="YES",IF(G578=1,"",IF(H578=1,C578,"")),IF(H578=1,C578,IF(H578=2,C578,IF(H578=0,"",""))))</f>
        <v/>
      </c>
      <c r="AF578" s="911">
        <f>IF(E578="YES",IF(I578=1,C578,""),IF(I578=1,C578,IF(I578=2,C578,IF(I578=0,"",""))))</f>
        <v/>
      </c>
      <c r="AG578" s="192">
        <f>(C578*G578)+(C578*H578)+(C578*I578)</f>
        <v/>
      </c>
    </row>
    <row r="579">
      <c r="AA579" s="640">
        <f>IF(G579=0, IF(OR(H579&gt;0,F579&gt;0),C579*F579,""),"")</f>
        <v/>
      </c>
      <c r="AB579" s="640">
        <f>IF(G579&gt;=1,IF(F579&gt;1,C579*(F579-2),""),"")</f>
        <v/>
      </c>
      <c r="AC579" s="640" t="n"/>
      <c r="AD579" s="911">
        <f>IF(E579="YES",IF(G579=1,"",""),IF(G579=1,C579,IF(G579=2,C579,IF(G579=0,"",""))))</f>
        <v/>
      </c>
      <c r="AE579" s="911">
        <f>IF(E579="YES",IF(G579=1,"",IF(H579=1,C579,"")),IF(H579=1,C579,IF(H579=2,C579,IF(H579=0,"",""))))</f>
        <v/>
      </c>
      <c r="AF579" s="911">
        <f>IF(E579="YES",IF(I579=1,C579,""),IF(I579=1,C579,IF(I579=2,C579,IF(I579=0,"",""))))</f>
        <v/>
      </c>
      <c r="AG579" s="192">
        <f>(C579*G579)+(C579*H579)+(C579*I579)</f>
        <v/>
      </c>
    </row>
    <row r="580">
      <c r="AA580" s="640">
        <f>IF(G580=0, IF(OR(H580&gt;0,F580&gt;0),C580*F580,""),"")</f>
        <v/>
      </c>
      <c r="AB580" s="640">
        <f>IF(G580&gt;=1,IF(F580&gt;1,C580*(F580-2),""),"")</f>
        <v/>
      </c>
      <c r="AC580" s="640" t="n"/>
      <c r="AD580" s="911">
        <f>IF(E580="YES",IF(G580=1,"",""),IF(G580=1,C580,IF(G580=2,C580,IF(G580=0,"",""))))</f>
        <v/>
      </c>
      <c r="AE580" s="911">
        <f>IF(E580="YES",IF(G580=1,"",IF(H580=1,C580,"")),IF(H580=1,C580,IF(H580=2,C580,IF(H580=0,"",""))))</f>
        <v/>
      </c>
      <c r="AF580" s="911">
        <f>IF(E580="YES",IF(I580=1,C580,""),IF(I580=1,C580,IF(I580=2,C580,IF(I580=0,"",""))))</f>
        <v/>
      </c>
      <c r="AG580" s="192">
        <f>(C580*G580)+(C580*H580)+(C580*I580)</f>
        <v/>
      </c>
    </row>
    <row r="581">
      <c r="AA581" s="640">
        <f>IF(G581=0, IF(OR(H581&gt;0,F581&gt;0),C581*F581,""),"")</f>
        <v/>
      </c>
      <c r="AB581" s="640">
        <f>IF(G581&gt;=1,IF(F581&gt;1,C581*(F581-2),""),"")</f>
        <v/>
      </c>
      <c r="AC581" s="640" t="n"/>
      <c r="AD581" s="911">
        <f>IF(E581="YES",IF(G581=1,"",""),IF(G581=1,C581,IF(G581=2,C581,IF(G581=0,"",""))))</f>
        <v/>
      </c>
      <c r="AE581" s="911">
        <f>IF(E581="YES",IF(G581=1,"",IF(H581=1,C581,"")),IF(H581=1,C581,IF(H581=2,C581,IF(H581=0,"",""))))</f>
        <v/>
      </c>
      <c r="AF581" s="911">
        <f>IF(E581="YES",IF(I581=1,C581,""),IF(I581=1,C581,IF(I581=2,C581,IF(I581=0,"",""))))</f>
        <v/>
      </c>
      <c r="AG581" s="192">
        <f>(C581*G581)+(C581*H581)+(C581*I581)</f>
        <v/>
      </c>
    </row>
    <row r="582">
      <c r="AA582" s="640">
        <f>IF(G582=0, IF(OR(H582&gt;0,F582&gt;0),C582*F582,""),"")</f>
        <v/>
      </c>
      <c r="AB582" s="640">
        <f>IF(G582&gt;=1,IF(F582&gt;1,C582*(F582-2),""),"")</f>
        <v/>
      </c>
      <c r="AC582" s="640" t="n"/>
      <c r="AD582" s="911">
        <f>IF(E582="YES",IF(G582=1,"",""),IF(G582=1,C582,IF(G582=2,C582,IF(G582=0,"",""))))</f>
        <v/>
      </c>
      <c r="AE582" s="911">
        <f>IF(E582="YES",IF(G582=1,"",IF(H582=1,C582,"")),IF(H582=1,C582,IF(H582=2,C582,IF(H582=0,"",""))))</f>
        <v/>
      </c>
      <c r="AF582" s="911">
        <f>IF(E582="YES",IF(I582=1,C582,""),IF(I582=1,C582,IF(I582=2,C582,IF(I582=0,"",""))))</f>
        <v/>
      </c>
      <c r="AG582" s="192">
        <f>(C582*G582)+(C582*H582)+(C582*I582)</f>
        <v/>
      </c>
    </row>
    <row r="583">
      <c r="AA583" s="640">
        <f>IF(G583=0, IF(OR(H583&gt;0,F583&gt;0),C583*F583,""),"")</f>
        <v/>
      </c>
      <c r="AB583" s="640">
        <f>IF(G583&gt;=1,IF(F583&gt;1,C583*(F583-2),""),"")</f>
        <v/>
      </c>
      <c r="AC583" s="640" t="n"/>
      <c r="AD583" s="911">
        <f>IF(E583="YES",IF(G583=1,"",""),IF(G583=1,C583,IF(G583=2,C583,IF(G583=0,"",""))))</f>
        <v/>
      </c>
      <c r="AE583" s="911">
        <f>IF(E583="YES",IF(G583=1,"",IF(H583=1,C583,"")),IF(H583=1,C583,IF(H583=2,C583,IF(H583=0,"",""))))</f>
        <v/>
      </c>
      <c r="AF583" s="911">
        <f>IF(E583="YES",IF(I583=1,C583,""),IF(I583=1,C583,IF(I583=2,C583,IF(I583=0,"",""))))</f>
        <v/>
      </c>
      <c r="AG583" s="192">
        <f>(C583*G583)+(C583*H583)+(C583*I583)</f>
        <v/>
      </c>
    </row>
    <row r="584">
      <c r="AA584" s="640">
        <f>IF(G584=0, IF(OR(H584&gt;0,F584&gt;0),C584*F584,""),"")</f>
        <v/>
      </c>
      <c r="AB584" s="640">
        <f>IF(G584&gt;=1,IF(F584&gt;1,C584*(F584-2),""),"")</f>
        <v/>
      </c>
      <c r="AC584" s="640" t="n"/>
      <c r="AD584" s="911">
        <f>IF(E584="YES",IF(G584=1,"",""),IF(G584=1,C584,IF(G584=2,C584,IF(G584=0,"",""))))</f>
        <v/>
      </c>
      <c r="AE584" s="911">
        <f>IF(E584="YES",IF(G584=1,"",IF(H584=1,C584,"")),IF(H584=1,C584,IF(H584=2,C584,IF(H584=0,"",""))))</f>
        <v/>
      </c>
      <c r="AF584" s="911">
        <f>IF(E584="YES",IF(I584=1,C584,""),IF(I584=1,C584,IF(I584=2,C584,IF(I584=0,"",""))))</f>
        <v/>
      </c>
      <c r="AG584" s="192">
        <f>(C584*G584)+(C584*H584)+(C584*I584)</f>
        <v/>
      </c>
    </row>
    <row r="585">
      <c r="AA585" s="640">
        <f>IF(G585=0, IF(OR(H585&gt;0,F585&gt;0),C585*F585,""),"")</f>
        <v/>
      </c>
      <c r="AB585" s="640">
        <f>IF(G585&gt;=1,IF(F585&gt;1,C585*(F585-2),""),"")</f>
        <v/>
      </c>
      <c r="AC585" s="640" t="n"/>
      <c r="AD585" s="911">
        <f>IF(E585="YES",IF(G585=1,"",""),IF(G585=1,C585,IF(G585=2,C585,IF(G585=0,"",""))))</f>
        <v/>
      </c>
      <c r="AE585" s="911">
        <f>IF(E585="YES",IF(G585=1,"",IF(H585=1,C585,"")),IF(H585=1,C585,IF(H585=2,C585,IF(H585=0,"",""))))</f>
        <v/>
      </c>
      <c r="AF585" s="911">
        <f>IF(E585="YES",IF(I585=1,C585,""),IF(I585=1,C585,IF(I585=2,C585,IF(I585=0,"",""))))</f>
        <v/>
      </c>
      <c r="AG585" s="192">
        <f>(C585*G585)+(C585*H585)+(C585*I585)</f>
        <v/>
      </c>
    </row>
    <row r="586">
      <c r="AA586" s="640">
        <f>IF(G586=0, IF(OR(H586&gt;0,F586&gt;0),C586*F586,""),"")</f>
        <v/>
      </c>
      <c r="AB586" s="640">
        <f>IF(G586&gt;=1,IF(F586&gt;1,C586*(F586-2),""),"")</f>
        <v/>
      </c>
      <c r="AC586" s="640" t="n"/>
      <c r="AD586" s="911">
        <f>IF(E586="YES",IF(G586=1,"",""),IF(G586=1,C586,IF(G586=2,C586,IF(G586=0,"",""))))</f>
        <v/>
      </c>
      <c r="AE586" s="911">
        <f>IF(E586="YES",IF(G586=1,"",IF(H586=1,C586,"")),IF(H586=1,C586,IF(H586=2,C586,IF(H586=0,"",""))))</f>
        <v/>
      </c>
      <c r="AF586" s="911">
        <f>IF(E586="YES",IF(I586=1,C586,""),IF(I586=1,C586,IF(I586=2,C586,IF(I586=0,"",""))))</f>
        <v/>
      </c>
      <c r="AG586" s="192">
        <f>(C586*G586)+(C586*H586)+(C586*I586)</f>
        <v/>
      </c>
    </row>
    <row r="587">
      <c r="AA587" s="640">
        <f>IF(G587=0, IF(OR(H587&gt;0,F587&gt;0),C587*F587,""),"")</f>
        <v/>
      </c>
      <c r="AB587" s="640">
        <f>IF(G587&gt;=1,IF(F587&gt;1,C587*(F587-2),""),"")</f>
        <v/>
      </c>
      <c r="AC587" s="640" t="n"/>
      <c r="AD587" s="911">
        <f>IF(E587="YES",IF(G587=1,"",""),IF(G587=1,C587,IF(G587=2,C587,IF(G587=0,"",""))))</f>
        <v/>
      </c>
      <c r="AE587" s="911">
        <f>IF(E587="YES",IF(G587=1,"",IF(H587=1,C587,"")),IF(H587=1,C587,IF(H587=2,C587,IF(H587=0,"",""))))</f>
        <v/>
      </c>
      <c r="AF587" s="911">
        <f>IF(E587="YES",IF(I587=1,C587,""),IF(I587=1,C587,IF(I587=2,C587,IF(I587=0,"",""))))</f>
        <v/>
      </c>
      <c r="AG587" s="192">
        <f>(C587*G587)+(C587*H587)+(C587*I587)</f>
        <v/>
      </c>
    </row>
    <row r="588">
      <c r="AA588" s="640">
        <f>IF(G588=0, IF(OR(H588&gt;0,F588&gt;0),C588*F588,""),"")</f>
        <v/>
      </c>
      <c r="AB588" s="640">
        <f>IF(G588&gt;=1,IF(F588&gt;1,C588*(F588-2),""),"")</f>
        <v/>
      </c>
      <c r="AC588" s="640" t="n"/>
      <c r="AD588" s="911">
        <f>IF(E588="YES",IF(G588=1,"",""),IF(G588=1,C588,IF(G588=2,C588,IF(G588=0,"",""))))</f>
        <v/>
      </c>
      <c r="AE588" s="911">
        <f>IF(E588="YES",IF(G588=1,"",IF(H588=1,C588,"")),IF(H588=1,C588,IF(H588=2,C588,IF(H588=0,"",""))))</f>
        <v/>
      </c>
      <c r="AF588" s="911">
        <f>IF(E588="YES",IF(I588=1,C588,""),IF(I588=1,C588,IF(I588=2,C588,IF(I588=0,"",""))))</f>
        <v/>
      </c>
      <c r="AG588" s="192">
        <f>(C588*G588)+(C588*H588)+(C588*I588)</f>
        <v/>
      </c>
    </row>
    <row r="589">
      <c r="AA589" s="640">
        <f>IF(G589=0, IF(OR(H589&gt;0,F589&gt;0),C589*F589,""),"")</f>
        <v/>
      </c>
      <c r="AB589" s="640">
        <f>IF(G589&gt;=1,IF(F589&gt;1,C589*(F589-2),""),"")</f>
        <v/>
      </c>
      <c r="AC589" s="640" t="n"/>
      <c r="AD589" s="911">
        <f>IF(E589="YES",IF(G589=1,"",""),IF(G589=1,C589,IF(G589=2,C589,IF(G589=0,"",""))))</f>
        <v/>
      </c>
      <c r="AE589" s="911">
        <f>IF(E589="YES",IF(G589=1,"",IF(H589=1,C589,"")),IF(H589=1,C589,IF(H589=2,C589,IF(H589=0,"",""))))</f>
        <v/>
      </c>
      <c r="AF589" s="911">
        <f>IF(E589="YES",IF(I589=1,C589,""),IF(I589=1,C589,IF(I589=2,C589,IF(I589=0,"",""))))</f>
        <v/>
      </c>
      <c r="AG589" s="192">
        <f>(C589*G589)+(C589*H589)+(C589*I589)</f>
        <v/>
      </c>
    </row>
    <row r="590">
      <c r="AA590" s="640">
        <f>IF(G590=0, IF(OR(H590&gt;0,F590&gt;0),C590*F590,""),"")</f>
        <v/>
      </c>
      <c r="AB590" s="640">
        <f>IF(G590&gt;=1,IF(F590&gt;1,C590*(F590-2),""),"")</f>
        <v/>
      </c>
      <c r="AC590" s="640" t="n"/>
      <c r="AD590" s="911">
        <f>IF(E590="YES",IF(G590=1,"",""),IF(G590=1,C590,IF(G590=2,C590,IF(G590=0,"",""))))</f>
        <v/>
      </c>
      <c r="AE590" s="911">
        <f>IF(E590="YES",IF(G590=1,"",IF(H590=1,C590,"")),IF(H590=1,C590,IF(H590=2,C590,IF(H590=0,"",""))))</f>
        <v/>
      </c>
      <c r="AF590" s="911">
        <f>IF(E590="YES",IF(I590=1,C590,""),IF(I590=1,C590,IF(I590=2,C590,IF(I590=0,"",""))))</f>
        <v/>
      </c>
      <c r="AG590" s="192">
        <f>(C590*G590)+(C590*H590)+(C590*I590)</f>
        <v/>
      </c>
    </row>
    <row r="591">
      <c r="AA591" s="640">
        <f>IF(G591=0, IF(OR(H591&gt;0,F591&gt;0),C591*F591,""),"")</f>
        <v/>
      </c>
      <c r="AB591" s="640">
        <f>IF(G591&gt;=1,IF(F591&gt;1,C591*(F591-2),""),"")</f>
        <v/>
      </c>
      <c r="AC591" s="640" t="n"/>
      <c r="AD591" s="911">
        <f>IF(E591="YES",IF(G591=1,"",""),IF(G591=1,C591,IF(G591=2,C591,IF(G591=0,"",""))))</f>
        <v/>
      </c>
      <c r="AE591" s="911">
        <f>IF(E591="YES",IF(G591=1,"",IF(H591=1,C591,"")),IF(H591=1,C591,IF(H591=2,C591,IF(H591=0,"",""))))</f>
        <v/>
      </c>
      <c r="AF591" s="911">
        <f>IF(E591="YES",IF(I591=1,C591,""),IF(I591=1,C591,IF(I591=2,C591,IF(I591=0,"",""))))</f>
        <v/>
      </c>
      <c r="AG591" s="192">
        <f>(C591*G591)+(C591*H591)+(C591*I591)</f>
        <v/>
      </c>
    </row>
    <row r="592">
      <c r="AA592" s="640">
        <f>IF(G592=0, IF(OR(H592&gt;0,F592&gt;0),C592*F592,""),"")</f>
        <v/>
      </c>
      <c r="AB592" s="640">
        <f>IF(G592&gt;=1,IF(F592&gt;1,C592*(F592-2),""),"")</f>
        <v/>
      </c>
      <c r="AC592" s="640" t="n"/>
      <c r="AD592" s="911">
        <f>IF(E592="YES",IF(G592=1,"",""),IF(G592=1,C592,IF(G592=2,C592,IF(G592=0,"",""))))</f>
        <v/>
      </c>
      <c r="AE592" s="911">
        <f>IF(E592="YES",IF(G592=1,"",IF(H592=1,C592,"")),IF(H592=1,C592,IF(H592=2,C592,IF(H592=0,"",""))))</f>
        <v/>
      </c>
      <c r="AF592" s="911">
        <f>IF(E592="YES",IF(I592=1,C592,""),IF(I592=1,C592,IF(I592=2,C592,IF(I592=0,"",""))))</f>
        <v/>
      </c>
      <c r="AG592" s="192">
        <f>(C592*G592)+(C592*H592)+(C592*I592)</f>
        <v/>
      </c>
    </row>
    <row r="593">
      <c r="AA593" s="640">
        <f>IF(G593=0, IF(OR(H593&gt;0,F593&gt;0),C593*F593,""),"")</f>
        <v/>
      </c>
      <c r="AB593" s="640">
        <f>IF(G593&gt;=1,IF(F593&gt;1,C593*(F593-2),""),"")</f>
        <v/>
      </c>
      <c r="AC593" s="640" t="n"/>
      <c r="AD593" s="911">
        <f>IF(E593="YES",IF(G593=1,"",""),IF(G593=1,C593,IF(G593=2,C593,IF(G593=0,"",""))))</f>
        <v/>
      </c>
      <c r="AE593" s="911">
        <f>IF(E593="YES",IF(G593=1,"",IF(H593=1,C593,"")),IF(H593=1,C593,IF(H593=2,C593,IF(H593=0,"",""))))</f>
        <v/>
      </c>
      <c r="AF593" s="911">
        <f>IF(E593="YES",IF(I593=1,C593,""),IF(I593=1,C593,IF(I593=2,C593,IF(I593=0,"",""))))</f>
        <v/>
      </c>
      <c r="AG593" s="192">
        <f>(C593*G593)+(C593*H593)+(C593*I593)</f>
        <v/>
      </c>
    </row>
    <row r="594">
      <c r="AA594" s="640">
        <f>IF(G594=0, IF(OR(H594&gt;0,F594&gt;0),C594*F594,""),"")</f>
        <v/>
      </c>
      <c r="AB594" s="640">
        <f>IF(G594&gt;=1,IF(F594&gt;1,C594*(F594-2),""),"")</f>
        <v/>
      </c>
      <c r="AC594" s="640" t="n"/>
      <c r="AD594" s="911">
        <f>IF(E594="YES",IF(G594=1,"",""),IF(G594=1,C594,IF(G594=2,C594,IF(G594=0,"",""))))</f>
        <v/>
      </c>
      <c r="AE594" s="911">
        <f>IF(E594="YES",IF(G594=1,"",IF(H594=1,C594,"")),IF(H594=1,C594,IF(H594=2,C594,IF(H594=0,"",""))))</f>
        <v/>
      </c>
      <c r="AF594" s="911">
        <f>IF(E594="YES",IF(I594=1,C594,""),IF(I594=1,C594,IF(I594=2,C594,IF(I594=0,"",""))))</f>
        <v/>
      </c>
      <c r="AG594" s="192">
        <f>(C594*G594)+(C594*H594)+(C594*I594)</f>
        <v/>
      </c>
    </row>
    <row r="595">
      <c r="AA595" s="640">
        <f>IF(G595=0, IF(OR(H595&gt;0,F595&gt;0),C595*F595,""),"")</f>
        <v/>
      </c>
      <c r="AB595" s="640">
        <f>IF(G595&gt;=1,IF(F595&gt;1,C595*(F595-2),""),"")</f>
        <v/>
      </c>
      <c r="AC595" s="640" t="n"/>
      <c r="AD595" s="911">
        <f>IF(E595="YES",IF(G595=1,"",""),IF(G595=1,C595,IF(G595=2,C595,IF(G595=0,"",""))))</f>
        <v/>
      </c>
      <c r="AE595" s="911">
        <f>IF(E595="YES",IF(G595=1,"",IF(H595=1,C595,"")),IF(H595=1,C595,IF(H595=2,C595,IF(H595=0,"",""))))</f>
        <v/>
      </c>
      <c r="AF595" s="911">
        <f>IF(E595="YES",IF(I595=1,C595,""),IF(I595=1,C595,IF(I595=2,C595,IF(I595=0,"",""))))</f>
        <v/>
      </c>
      <c r="AG595" s="192">
        <f>(C595*G595)+(C595*H595)+(C595*I595)</f>
        <v/>
      </c>
    </row>
    <row r="596">
      <c r="AA596" s="640">
        <f>IF(G596=0, IF(OR(H596&gt;0,F596&gt;0),C596*F596,""),"")</f>
        <v/>
      </c>
      <c r="AB596" s="640">
        <f>IF(G596&gt;=1,IF(F596&gt;1,C596*(F596-2),""),"")</f>
        <v/>
      </c>
      <c r="AC596" s="640" t="n"/>
      <c r="AD596" s="911">
        <f>IF(E596="YES",IF(G596=1,"",""),IF(G596=1,C596,IF(G596=2,C596,IF(G596=0,"",""))))</f>
        <v/>
      </c>
      <c r="AE596" s="911">
        <f>IF(E596="YES",IF(G596=1,"",IF(H596=1,C596,"")),IF(H596=1,C596,IF(H596=2,C596,IF(H596=0,"",""))))</f>
        <v/>
      </c>
      <c r="AF596" s="911">
        <f>IF(E596="YES",IF(I596=1,C596,""),IF(I596=1,C596,IF(I596=2,C596,IF(I596=0,"",""))))</f>
        <v/>
      </c>
      <c r="AG596" s="192">
        <f>(C596*G596)+(C596*H596)+(C596*I596)</f>
        <v/>
      </c>
    </row>
    <row r="597">
      <c r="AA597" s="640">
        <f>IF(G597=0, IF(OR(H597&gt;0,F597&gt;0),C597*F597,""),"")</f>
        <v/>
      </c>
      <c r="AB597" s="640">
        <f>IF(G597&gt;=1,IF(F597&gt;1,C597*(F597-2),""),"")</f>
        <v/>
      </c>
      <c r="AC597" s="640" t="n"/>
      <c r="AD597" s="911">
        <f>IF(E597="YES",IF(G597=1,"",""),IF(G597=1,C597,IF(G597=2,C597,IF(G597=0,"",""))))</f>
        <v/>
      </c>
      <c r="AE597" s="911">
        <f>IF(E597="YES",IF(G597=1,"",IF(H597=1,C597,"")),IF(H597=1,C597,IF(H597=2,C597,IF(H597=0,"",""))))</f>
        <v/>
      </c>
      <c r="AF597" s="911">
        <f>IF(E597="YES",IF(I597=1,C597,""),IF(I597=1,C597,IF(I597=2,C597,IF(I597=0,"",""))))</f>
        <v/>
      </c>
      <c r="AG597" s="192">
        <f>(C597*G597)+(C597*H597)+(C597*I597)</f>
        <v/>
      </c>
    </row>
    <row r="598">
      <c r="AA598" s="640">
        <f>IF(G598=0, IF(OR(H598&gt;0,F598&gt;0),C598*F598,""),"")</f>
        <v/>
      </c>
      <c r="AB598" s="640">
        <f>IF(G598&gt;=1,IF(F598&gt;1,C598*(F598-2),""),"")</f>
        <v/>
      </c>
      <c r="AC598" s="640" t="n"/>
      <c r="AD598" s="911">
        <f>IF(E598="YES",IF(G598=1,"",""),IF(G598=1,C598,IF(G598=2,C598,IF(G598=0,"",""))))</f>
        <v/>
      </c>
      <c r="AE598" s="911">
        <f>IF(E598="YES",IF(G598=1,"",IF(H598=1,C598,"")),IF(H598=1,C598,IF(H598=2,C598,IF(H598=0,"",""))))</f>
        <v/>
      </c>
      <c r="AF598" s="911">
        <f>IF(E598="YES",IF(I598=1,C598,""),IF(I598=1,C598,IF(I598=2,C598,IF(I598=0,"",""))))</f>
        <v/>
      </c>
      <c r="AG598" s="192">
        <f>(C598*G598)+(C598*H598)+(C598*I598)</f>
        <v/>
      </c>
    </row>
    <row r="599">
      <c r="AA599" s="640">
        <f>IF(G599=0, IF(OR(H599&gt;0,F599&gt;0),C599*F599,""),"")</f>
        <v/>
      </c>
      <c r="AB599" s="640">
        <f>IF(G599&gt;=1,IF(F599&gt;1,C599*(F599-2),""),"")</f>
        <v/>
      </c>
      <c r="AC599" s="640" t="n"/>
      <c r="AD599" s="911">
        <f>IF(E599="YES",IF(G599=1,"",""),IF(G599=1,C599,IF(G599=2,C599,IF(G599=0,"",""))))</f>
        <v/>
      </c>
      <c r="AE599" s="911">
        <f>IF(E599="YES",IF(G599=1,"",IF(H599=1,C599,"")),IF(H599=1,C599,IF(H599=2,C599,IF(H599=0,"",""))))</f>
        <v/>
      </c>
      <c r="AF599" s="911">
        <f>IF(E599="YES",IF(I599=1,C599,""),IF(I599=1,C599,IF(I599=2,C599,IF(I599=0,"",""))))</f>
        <v/>
      </c>
      <c r="AG599" s="192">
        <f>(C599*G599)+(C599*H599)+(C599*I599)</f>
        <v/>
      </c>
    </row>
    <row r="600">
      <c r="AA600" s="640">
        <f>IF(G600=0, IF(OR(H600&gt;0,F600&gt;0),C600*F600,""),"")</f>
        <v/>
      </c>
      <c r="AB600" s="640">
        <f>IF(G600&gt;=1,IF(F600&gt;1,C600*(F600-2),""),"")</f>
        <v/>
      </c>
      <c r="AC600" s="640" t="n"/>
      <c r="AD600" s="911">
        <f>IF(E600="YES",IF(G600=1,"",""),IF(G600=1,C600,IF(G600=2,C600,IF(G600=0,"",""))))</f>
        <v/>
      </c>
      <c r="AE600" s="911">
        <f>IF(E600="YES",IF(G600=1,"",IF(H600=1,C600,"")),IF(H600=1,C600,IF(H600=2,C600,IF(H600=0,"",""))))</f>
        <v/>
      </c>
      <c r="AF600" s="911">
        <f>IF(E600="YES",IF(I600=1,C600,""),IF(I600=1,C600,IF(I600=2,C600,IF(I600=0,"",""))))</f>
        <v/>
      </c>
      <c r="AG600" s="192">
        <f>(C600*G600)+(C600*H600)+(C600*I600)</f>
        <v/>
      </c>
    </row>
    <row r="601">
      <c r="AA601" s="640">
        <f>IF(G601=0, IF(OR(H601&gt;0,F601&gt;0),C601*F601,""),"")</f>
        <v/>
      </c>
      <c r="AB601" s="640">
        <f>IF(G601&gt;=1,IF(F601&gt;1,C601*(F601-2),""),"")</f>
        <v/>
      </c>
      <c r="AC601" s="640" t="n"/>
      <c r="AD601" s="911">
        <f>IF(E601="YES",IF(G601=1,"",""),IF(G601=1,C601,IF(G601=2,C601,IF(G601=0,"",""))))</f>
        <v/>
      </c>
      <c r="AE601" s="911">
        <f>IF(E601="YES",IF(G601=1,"",IF(H601=1,C601,"")),IF(H601=1,C601,IF(H601=2,C601,IF(H601=0,"",""))))</f>
        <v/>
      </c>
      <c r="AF601" s="911">
        <f>IF(E601="YES",IF(I601=1,C601,""),IF(I601=1,C601,IF(I601=2,C601,IF(I601=0,"",""))))</f>
        <v/>
      </c>
      <c r="AG601" s="192">
        <f>(C601*G601)+(C601*H601)+(C601*I601)</f>
        <v/>
      </c>
    </row>
    <row r="602">
      <c r="AA602" s="640">
        <f>IF(G602=0, IF(OR(H602&gt;0,F602&gt;0),C602*F602,""),"")</f>
        <v/>
      </c>
      <c r="AB602" s="640">
        <f>IF(G602&gt;=1,IF(F602&gt;1,C602*(F602-2),""),"")</f>
        <v/>
      </c>
      <c r="AC602" s="640" t="n"/>
      <c r="AD602" s="911">
        <f>IF(E602="YES",IF(G602=1,"",""),IF(G602=1,C602,IF(G602=2,C602,IF(G602=0,"",""))))</f>
        <v/>
      </c>
      <c r="AE602" s="911">
        <f>IF(E602="YES",IF(G602=1,"",IF(H602=1,C602,"")),IF(H602=1,C602,IF(H602=2,C602,IF(H602=0,"",""))))</f>
        <v/>
      </c>
      <c r="AF602" s="911">
        <f>IF(E602="YES",IF(I602=1,C602,""),IF(I602=1,C602,IF(I602=2,C602,IF(I602=0,"",""))))</f>
        <v/>
      </c>
      <c r="AG602" s="192">
        <f>(C602*G602)+(C602*H602)+(C602*I602)</f>
        <v/>
      </c>
    </row>
    <row r="603">
      <c r="AA603" s="640">
        <f>IF(G603=0, IF(OR(H603&gt;0,F603&gt;0),C603*F603,""),"")</f>
        <v/>
      </c>
      <c r="AB603" s="640">
        <f>IF(G603&gt;=1,IF(F603&gt;1,C603*(F603-2),""),"")</f>
        <v/>
      </c>
      <c r="AC603" s="640" t="n"/>
      <c r="AD603" s="911">
        <f>IF(E603="YES",IF(G603=1,"",""),IF(G603=1,C603,IF(G603=2,C603,IF(G603=0,"",""))))</f>
        <v/>
      </c>
      <c r="AE603" s="911">
        <f>IF(E603="YES",IF(G603=1,"",IF(H603=1,C603,"")),IF(H603=1,C603,IF(H603=2,C603,IF(H603=0,"",""))))</f>
        <v/>
      </c>
      <c r="AF603" s="911">
        <f>IF(E603="YES",IF(I603=1,C603,""),IF(I603=1,C603,IF(I603=2,C603,IF(I603=0,"",""))))</f>
        <v/>
      </c>
      <c r="AG603" s="192">
        <f>(C603*G603)+(C603*H603)+(C603*I603)</f>
        <v/>
      </c>
    </row>
    <row r="604">
      <c r="AA604" s="640">
        <f>IF(G604=0, IF(OR(H604&gt;0,F604&gt;0),C604*F604,""),"")</f>
        <v/>
      </c>
      <c r="AB604" s="640">
        <f>IF(G604&gt;=1,IF(F604&gt;1,C604*(F604-2),""),"")</f>
        <v/>
      </c>
      <c r="AC604" s="640" t="n"/>
      <c r="AD604" s="911">
        <f>IF(E604="YES",IF(G604=1,"",""),IF(G604=1,C604,IF(G604=2,C604,IF(G604=0,"",""))))</f>
        <v/>
      </c>
      <c r="AE604" s="911">
        <f>IF(E604="YES",IF(G604=1,"",IF(H604=1,C604,"")),IF(H604=1,C604,IF(H604=2,C604,IF(H604=0,"",""))))</f>
        <v/>
      </c>
      <c r="AF604" s="911">
        <f>IF(E604="YES",IF(I604=1,C604,""),IF(I604=1,C604,IF(I604=2,C604,IF(I604=0,"",""))))</f>
        <v/>
      </c>
      <c r="AG604" s="192">
        <f>(C604*G604)+(C604*H604)+(C604*I604)</f>
        <v/>
      </c>
    </row>
    <row r="605">
      <c r="AA605" s="640">
        <f>IF(G605=0, IF(OR(H605&gt;0,F605&gt;0),C605*F605,""),"")</f>
        <v/>
      </c>
      <c r="AB605" s="640">
        <f>IF(G605&gt;=1,IF(F605&gt;1,C605*(F605-2),""),"")</f>
        <v/>
      </c>
      <c r="AC605" s="640" t="n"/>
      <c r="AD605" s="911">
        <f>IF(E605="YES",IF(G605=1,"",""),IF(G605=1,C605,IF(G605=2,C605,IF(G605=0,"",""))))</f>
        <v/>
      </c>
      <c r="AE605" s="911">
        <f>IF(E605="YES",IF(G605=1,"",IF(H605=1,C605,"")),IF(H605=1,C605,IF(H605=2,C605,IF(H605=0,"",""))))</f>
        <v/>
      </c>
      <c r="AF605" s="911">
        <f>IF(E605="YES",IF(I605=1,C605,""),IF(I605=1,C605,IF(I605=2,C605,IF(I605=0,"",""))))</f>
        <v/>
      </c>
      <c r="AG605" s="192">
        <f>(C605*G605)+(C605*H605)+(C605*I605)</f>
        <v/>
      </c>
    </row>
    <row r="606">
      <c r="AA606" s="640">
        <f>IF(G606=0, IF(OR(H606&gt;0,F606&gt;0),C606*F606,""),"")</f>
        <v/>
      </c>
      <c r="AB606" s="640">
        <f>IF(G606&gt;=1,IF(F606&gt;1,C606*(F606-2),""),"")</f>
        <v/>
      </c>
      <c r="AC606" s="640" t="n"/>
      <c r="AD606" s="911">
        <f>IF(E606="YES",IF(G606=1,"",""),IF(G606=1,C606,IF(G606=2,C606,IF(G606=0,"",""))))</f>
        <v/>
      </c>
      <c r="AE606" s="911">
        <f>IF(E606="YES",IF(G606=1,"",IF(H606=1,C606,"")),IF(H606=1,C606,IF(H606=2,C606,IF(H606=0,"",""))))</f>
        <v/>
      </c>
      <c r="AF606" s="911">
        <f>IF(E606="YES",IF(I606=1,C606,""),IF(I606=1,C606,IF(I606=2,C606,IF(I606=0,"",""))))</f>
        <v/>
      </c>
      <c r="AG606" s="192">
        <f>(C606*G606)+(C606*H606)+(C606*I606)</f>
        <v/>
      </c>
    </row>
    <row r="607">
      <c r="AA607" s="640">
        <f>IF(G607=0, IF(OR(H607&gt;0,F607&gt;0),C607*F607,""),"")</f>
        <v/>
      </c>
      <c r="AB607" s="640">
        <f>IF(G607&gt;=1,IF(F607&gt;1,C607*(F607-2),""),"")</f>
        <v/>
      </c>
      <c r="AC607" s="640" t="n"/>
      <c r="AD607" s="911">
        <f>IF(E607="YES",IF(G607=1,"",""),IF(G607=1,C607,IF(G607=2,C607,IF(G607=0,"",""))))</f>
        <v/>
      </c>
      <c r="AE607" s="911">
        <f>IF(E607="YES",IF(G607=1,"",IF(H607=1,C607,"")),IF(H607=1,C607,IF(H607=2,C607,IF(H607=0,"",""))))</f>
        <v/>
      </c>
      <c r="AF607" s="911">
        <f>IF(E607="YES",IF(I607=1,C607,""),IF(I607=1,C607,IF(I607=2,C607,IF(I607=0,"",""))))</f>
        <v/>
      </c>
      <c r="AG607" s="192">
        <f>(C607*G607)+(C607*H607)+(C607*I607)</f>
        <v/>
      </c>
    </row>
    <row r="608">
      <c r="AA608" s="640">
        <f>IF(G608=0, IF(OR(H608&gt;0,F608&gt;0),C608*F608,""),"")</f>
        <v/>
      </c>
      <c r="AB608" s="640">
        <f>IF(G608&gt;=1,IF(F608&gt;1,C608*(F608-2),""),"")</f>
        <v/>
      </c>
      <c r="AC608" s="640" t="n"/>
      <c r="AD608" s="911">
        <f>IF(E608="YES",IF(G608=1,"",""),IF(G608=1,C608,IF(G608=2,C608,IF(G608=0,"",""))))</f>
        <v/>
      </c>
      <c r="AE608" s="911">
        <f>IF(E608="YES",IF(G608=1,"",IF(H608=1,C608,"")),IF(H608=1,C608,IF(H608=2,C608,IF(H608=0,"",""))))</f>
        <v/>
      </c>
      <c r="AF608" s="911">
        <f>IF(E608="YES",IF(I608=1,C608,""),IF(I608=1,C608,IF(I608=2,C608,IF(I608=0,"",""))))</f>
        <v/>
      </c>
      <c r="AG608" s="192">
        <f>(C608*G608)+(C608*H608)+(C608*I608)</f>
        <v/>
      </c>
    </row>
    <row r="609">
      <c r="AA609" s="640">
        <f>IF(G609=0, IF(OR(H609&gt;0,F609&gt;0),C609*F609,""),"")</f>
        <v/>
      </c>
      <c r="AB609" s="640">
        <f>IF(G609&gt;=1,IF(F609&gt;1,C609*(F609-2),""),"")</f>
        <v/>
      </c>
      <c r="AC609" s="640" t="n"/>
      <c r="AD609" s="911">
        <f>IF(E609="YES",IF(G609=1,"",""),IF(G609=1,C609,IF(G609=2,C609,IF(G609=0,"",""))))</f>
        <v/>
      </c>
      <c r="AE609" s="911">
        <f>IF(E609="YES",IF(G609=1,"",IF(H609=1,C609,"")),IF(H609=1,C609,IF(H609=2,C609,IF(H609=0,"",""))))</f>
        <v/>
      </c>
      <c r="AF609" s="911">
        <f>IF(E609="YES",IF(I609=1,C609,""),IF(I609=1,C609,IF(I609=2,C609,IF(I609=0,"",""))))</f>
        <v/>
      </c>
      <c r="AG609" s="192">
        <f>(C609*G609)+(C609*H609)+(C609*I609)</f>
        <v/>
      </c>
    </row>
    <row r="610">
      <c r="AA610" s="640">
        <f>IF(G610=0, IF(OR(H610&gt;0,F610&gt;0),C610*F610,""),"")</f>
        <v/>
      </c>
      <c r="AB610" s="640">
        <f>IF(G610&gt;=1,IF(F610&gt;1,C610*(F610-2),""),"")</f>
        <v/>
      </c>
      <c r="AC610" s="640" t="n"/>
      <c r="AD610" s="911">
        <f>IF(E610="YES",IF(G610=1,"",""),IF(G610=1,C610,IF(G610=2,C610,IF(G610=0,"",""))))</f>
        <v/>
      </c>
      <c r="AE610" s="911">
        <f>IF(E610="YES",IF(G610=1,"",IF(H610=1,C610,"")),IF(H610=1,C610,IF(H610=2,C610,IF(H610=0,"",""))))</f>
        <v/>
      </c>
      <c r="AF610" s="911">
        <f>IF(E610="YES",IF(I610=1,C610,""),IF(I610=1,C610,IF(I610=2,C610,IF(I610=0,"",""))))</f>
        <v/>
      </c>
      <c r="AG610" s="192">
        <f>(C610*G610)+(C610*H610)+(C610*I610)</f>
        <v/>
      </c>
    </row>
    <row r="611">
      <c r="AA611" s="640">
        <f>IF(G611=0, IF(OR(H611&gt;0,F611&gt;0),C611*F611,""),"")</f>
        <v/>
      </c>
      <c r="AB611" s="640">
        <f>IF(G611&gt;=1,IF(F611&gt;1,C611*(F611-2),""),"")</f>
        <v/>
      </c>
      <c r="AC611" s="640" t="n"/>
      <c r="AD611" s="911">
        <f>IF(E611="YES",IF(G611=1,"",""),IF(G611=1,C611,IF(G611=2,C611,IF(G611=0,"",""))))</f>
        <v/>
      </c>
      <c r="AE611" s="911">
        <f>IF(E611="YES",IF(G611=1,"",IF(H611=1,C611,"")),IF(H611=1,C611,IF(H611=2,C611,IF(H611=0,"",""))))</f>
        <v/>
      </c>
      <c r="AF611" s="911">
        <f>IF(E611="YES",IF(I611=1,C611,""),IF(I611=1,C611,IF(I611=2,C611,IF(I611=0,"",""))))</f>
        <v/>
      </c>
      <c r="AG611" s="192">
        <f>(C611*G611)+(C611*H611)+(C611*I611)</f>
        <v/>
      </c>
    </row>
    <row r="612">
      <c r="AA612" s="640">
        <f>IF(G612=0, IF(OR(H612&gt;0,F612&gt;0),C612*F612,""),"")</f>
        <v/>
      </c>
      <c r="AB612" s="640">
        <f>IF(G612&gt;=1,IF(F612&gt;1,C612*(F612-2),""),"")</f>
        <v/>
      </c>
      <c r="AC612" s="640" t="n"/>
      <c r="AD612" s="911">
        <f>IF(E612="YES",IF(G612=1,"",""),IF(G612=1,C612,IF(G612=2,C612,IF(G612=0,"",""))))</f>
        <v/>
      </c>
      <c r="AE612" s="911">
        <f>IF(E612="YES",IF(G612=1,"",IF(H612=1,C612,"")),IF(H612=1,C612,IF(H612=2,C612,IF(H612=0,"",""))))</f>
        <v/>
      </c>
      <c r="AF612" s="911">
        <f>IF(E612="YES",IF(I612=1,C612,""),IF(I612=1,C612,IF(I612=2,C612,IF(I612=0,"",""))))</f>
        <v/>
      </c>
      <c r="AG612" s="192">
        <f>(C612*G612)+(C612*H612)+(C612*I612)</f>
        <v/>
      </c>
    </row>
    <row r="613">
      <c r="AA613" s="640">
        <f>IF(G613=0, IF(OR(H613&gt;0,F613&gt;0),C613*F613,""),"")</f>
        <v/>
      </c>
      <c r="AB613" s="640">
        <f>IF(G613&gt;=1,IF(F613&gt;1,C613*(F613-2),""),"")</f>
        <v/>
      </c>
      <c r="AC613" s="640" t="n"/>
      <c r="AD613" s="911">
        <f>IF(E613="YES",IF(G613=1,"",""),IF(G613=1,C613,IF(G613=2,C613,IF(G613=0,"",""))))</f>
        <v/>
      </c>
      <c r="AE613" s="911">
        <f>IF(E613="YES",IF(G613=1,"",IF(H613=1,C613,"")),IF(H613=1,C613,IF(H613=2,C613,IF(H613=0,"",""))))</f>
        <v/>
      </c>
      <c r="AF613" s="911">
        <f>IF(E613="YES",IF(I613=1,C613,""),IF(I613=1,C613,IF(I613=2,C613,IF(I613=0,"",""))))</f>
        <v/>
      </c>
      <c r="AG613" s="192">
        <f>(C613*G613)+(C613*H613)+(C613*I613)</f>
        <v/>
      </c>
    </row>
    <row r="614">
      <c r="AA614" s="640">
        <f>IF(G614=0, IF(OR(H614&gt;0,F614&gt;0),C614*F614,""),"")</f>
        <v/>
      </c>
      <c r="AB614" s="640">
        <f>IF(G614&gt;=1,IF(F614&gt;1,C614*(F614-2),""),"")</f>
        <v/>
      </c>
      <c r="AC614" s="640" t="n"/>
      <c r="AD614" s="911">
        <f>IF(E614="YES",IF(G614=1,"",""),IF(G614=1,C614,IF(G614=2,C614,IF(G614=0,"",""))))</f>
        <v/>
      </c>
      <c r="AE614" s="911">
        <f>IF(E614="YES",IF(G614=1,"",IF(H614=1,C614,"")),IF(H614=1,C614,IF(H614=2,C614,IF(H614=0,"",""))))</f>
        <v/>
      </c>
      <c r="AF614" s="911">
        <f>IF(E614="YES",IF(I614=1,C614,""),IF(I614=1,C614,IF(I614=2,C614,IF(I614=0,"",""))))</f>
        <v/>
      </c>
      <c r="AG614" s="192">
        <f>(C614*G614)+(C614*H614)+(C614*I614)</f>
        <v/>
      </c>
    </row>
    <row r="615">
      <c r="AA615" s="640">
        <f>IF(G615=0, IF(OR(H615&gt;0,F615&gt;0),C615*F615,""),"")</f>
        <v/>
      </c>
      <c r="AB615" s="640">
        <f>IF(G615&gt;=1,IF(F615&gt;1,C615*(F615-2),""),"")</f>
        <v/>
      </c>
      <c r="AC615" s="640" t="n"/>
      <c r="AD615" s="911">
        <f>IF(E615="YES",IF(G615=1,"",""),IF(G615=1,C615,IF(G615=2,C615,IF(G615=0,"",""))))</f>
        <v/>
      </c>
      <c r="AE615" s="911">
        <f>IF(E615="YES",IF(G615=1,"",IF(H615=1,C615,"")),IF(H615=1,C615,IF(H615=2,C615,IF(H615=0,"",""))))</f>
        <v/>
      </c>
      <c r="AF615" s="911">
        <f>IF(E615="YES",IF(I615=1,C615,""),IF(I615=1,C615,IF(I615=2,C615,IF(I615=0,"",""))))</f>
        <v/>
      </c>
      <c r="AG615" s="192">
        <f>(C615*G615)+(C615*H615)+(C615*I615)</f>
        <v/>
      </c>
    </row>
    <row r="616">
      <c r="AA616" s="640">
        <f>IF(G616=0, IF(OR(H616&gt;0,F616&gt;0),C616*F616,""),"")</f>
        <v/>
      </c>
      <c r="AB616" s="640">
        <f>IF(G616&gt;=1,IF(F616&gt;1,C616*(F616-2),""),"")</f>
        <v/>
      </c>
      <c r="AC616" s="640" t="n"/>
      <c r="AD616" s="911">
        <f>IF(E616="YES",IF(G616=1,"",""),IF(G616=1,C616,IF(G616=2,C616,IF(G616=0,"",""))))</f>
        <v/>
      </c>
      <c r="AE616" s="911">
        <f>IF(E616="YES",IF(G616=1,"",IF(H616=1,C616,"")),IF(H616=1,C616,IF(H616=2,C616,IF(H616=0,"",""))))</f>
        <v/>
      </c>
      <c r="AF616" s="911">
        <f>IF(E616="YES",IF(I616=1,C616,""),IF(I616=1,C616,IF(I616=2,C616,IF(I616=0,"",""))))</f>
        <v/>
      </c>
      <c r="AG616" s="192">
        <f>(C616*G616)+(C616*H616)+(C616*I616)</f>
        <v/>
      </c>
    </row>
    <row r="617">
      <c r="AA617" s="640">
        <f>IF(G617=0, IF(OR(H617&gt;0,F617&gt;0),C617*F617,""),"")</f>
        <v/>
      </c>
      <c r="AB617" s="640">
        <f>IF(G617&gt;=1,IF(F617&gt;1,C617*(F617-2),""),"")</f>
        <v/>
      </c>
      <c r="AC617" s="640" t="n"/>
      <c r="AD617" s="911">
        <f>IF(E617="YES",IF(G617=1,"",""),IF(G617=1,C617,IF(G617=2,C617,IF(G617=0,"",""))))</f>
        <v/>
      </c>
      <c r="AE617" s="911">
        <f>IF(E617="YES",IF(G617=1,"",IF(H617=1,C617,"")),IF(H617=1,C617,IF(H617=2,C617,IF(H617=0,"",""))))</f>
        <v/>
      </c>
      <c r="AF617" s="911">
        <f>IF(E617="YES",IF(I617=1,C617,""),IF(I617=1,C617,IF(I617=2,C617,IF(I617=0,"",""))))</f>
        <v/>
      </c>
      <c r="AG617" s="192">
        <f>(C617*G617)+(C617*H617)+(C617*I617)</f>
        <v/>
      </c>
    </row>
    <row r="618">
      <c r="AA618" s="640">
        <f>IF(G618=0, IF(OR(H618&gt;0,F618&gt;0),C618*F618,""),"")</f>
        <v/>
      </c>
      <c r="AB618" s="640">
        <f>IF(G618&gt;=1,IF(F618&gt;1,C618*(F618-2),""),"")</f>
        <v/>
      </c>
      <c r="AC618" s="640" t="n"/>
      <c r="AD618" s="911">
        <f>IF(E618="YES",IF(G618=1,"",""),IF(G618=1,C618,IF(G618=2,C618,IF(G618=0,"",""))))</f>
        <v/>
      </c>
      <c r="AE618" s="911">
        <f>IF(E618="YES",IF(G618=1,"",IF(H618=1,C618,"")),IF(H618=1,C618,IF(H618=2,C618,IF(H618=0,"",""))))</f>
        <v/>
      </c>
      <c r="AF618" s="911">
        <f>IF(E618="YES",IF(I618=1,C618,""),IF(I618=1,C618,IF(I618=2,C618,IF(I618=0,"",""))))</f>
        <v/>
      </c>
      <c r="AG618" s="192">
        <f>(C618*G618)+(C618*H618)+(C618*I618)</f>
        <v/>
      </c>
    </row>
    <row r="619">
      <c r="AA619" s="640">
        <f>IF(G619=0, IF(OR(H619&gt;0,F619&gt;0),C619*F619,""),"")</f>
        <v/>
      </c>
      <c r="AB619" s="640">
        <f>IF(G619&gt;=1,IF(F619&gt;1,C619*(F619-2),""),"")</f>
        <v/>
      </c>
      <c r="AC619" s="640" t="n"/>
      <c r="AD619" s="911">
        <f>IF(E619="YES",IF(G619=1,"",""),IF(G619=1,C619,IF(G619=2,C619,IF(G619=0,"",""))))</f>
        <v/>
      </c>
      <c r="AE619" s="911">
        <f>IF(E619="YES",IF(G619=1,"",IF(H619=1,C619,"")),IF(H619=1,C619,IF(H619=2,C619,IF(H619=0,"",""))))</f>
        <v/>
      </c>
      <c r="AF619" s="911">
        <f>IF(E619="YES",IF(I619=1,C619,""),IF(I619=1,C619,IF(I619=2,C619,IF(I619=0,"",""))))</f>
        <v/>
      </c>
      <c r="AG619" s="192">
        <f>(C619*G619)+(C619*H619)+(C619*I619)</f>
        <v/>
      </c>
    </row>
    <row r="620">
      <c r="AA620" s="640">
        <f>IF(G620=0, IF(OR(H620&gt;0,F620&gt;0),C620*F620,""),"")</f>
        <v/>
      </c>
      <c r="AB620" s="640">
        <f>IF(G620&gt;=1,IF(F620&gt;1,C620*(F620-2),""),"")</f>
        <v/>
      </c>
      <c r="AC620" s="640" t="n"/>
      <c r="AD620" s="911">
        <f>IF(E620="YES",IF(G620=1,"",""),IF(G620=1,C620,IF(G620=2,C620,IF(G620=0,"",""))))</f>
        <v/>
      </c>
      <c r="AE620" s="911">
        <f>IF(E620="YES",IF(G620=1,"",IF(H620=1,C620,"")),IF(H620=1,C620,IF(H620=2,C620,IF(H620=0,"",""))))</f>
        <v/>
      </c>
      <c r="AF620" s="911">
        <f>IF(E620="YES",IF(I620=1,C620,""),IF(I620=1,C620,IF(I620=2,C620,IF(I620=0,"",""))))</f>
        <v/>
      </c>
      <c r="AG620" s="192">
        <f>(C620*G620)+(C620*H620)+(C620*I620)</f>
        <v/>
      </c>
    </row>
    <row r="621">
      <c r="AA621" s="640">
        <f>IF(G621=0, IF(OR(H621&gt;0,F621&gt;0),C621*F621,""),"")</f>
        <v/>
      </c>
      <c r="AB621" s="640">
        <f>IF(G621&gt;=1,IF(F621&gt;1,C621*(F621-2),""),"")</f>
        <v/>
      </c>
      <c r="AC621" s="640" t="n"/>
      <c r="AD621" s="911">
        <f>IF(E621="YES",IF(G621=1,"",""),IF(G621=1,C621,IF(G621=2,C621,IF(G621=0,"",""))))</f>
        <v/>
      </c>
      <c r="AE621" s="911">
        <f>IF(E621="YES",IF(G621=1,"",IF(H621=1,C621,"")),IF(H621=1,C621,IF(H621=2,C621,IF(H621=0,"",""))))</f>
        <v/>
      </c>
      <c r="AF621" s="911">
        <f>IF(E621="YES",IF(I621=1,C621,""),IF(I621=1,C621,IF(I621=2,C621,IF(I621=0,"",""))))</f>
        <v/>
      </c>
      <c r="AG621" s="192">
        <f>(C621*G621)+(C621*H621)+(C621*I621)</f>
        <v/>
      </c>
    </row>
    <row r="622">
      <c r="AA622" s="640">
        <f>IF(G622=0, IF(OR(H622&gt;0,F622&gt;0),C622*F622,""),"")</f>
        <v/>
      </c>
      <c r="AB622" s="640">
        <f>IF(G622&gt;=1,IF(F622&gt;1,C622*(F622-2),""),"")</f>
        <v/>
      </c>
      <c r="AC622" s="640" t="n"/>
      <c r="AD622" s="911">
        <f>IF(E622="YES",IF(G622=1,"",""),IF(G622=1,C622,IF(G622=2,C622,IF(G622=0,"",""))))</f>
        <v/>
      </c>
      <c r="AE622" s="911">
        <f>IF(E622="YES",IF(G622=1,"",IF(H622=1,C622,"")),IF(H622=1,C622,IF(H622=2,C622,IF(H622=0,"",""))))</f>
        <v/>
      </c>
      <c r="AF622" s="911">
        <f>IF(E622="YES",IF(I622=1,C622,""),IF(I622=1,C622,IF(I622=2,C622,IF(I622=0,"",""))))</f>
        <v/>
      </c>
      <c r="AG622" s="192">
        <f>(C622*G622)+(C622*H622)+(C622*I622)</f>
        <v/>
      </c>
    </row>
    <row r="623">
      <c r="AA623" s="640">
        <f>IF(G623=0, IF(OR(H623&gt;0,F623&gt;0),C623*F623,""),"")</f>
        <v/>
      </c>
      <c r="AB623" s="640">
        <f>IF(G623&gt;=1,IF(F623&gt;1,C623*(F623-2),""),"")</f>
        <v/>
      </c>
      <c r="AC623" s="640" t="n"/>
      <c r="AD623" s="911">
        <f>IF(E623="YES",IF(G623=1,"",""),IF(G623=1,C623,IF(G623=2,C623,IF(G623=0,"",""))))</f>
        <v/>
      </c>
      <c r="AE623" s="911">
        <f>IF(E623="YES",IF(G623=1,"",IF(H623=1,C623,"")),IF(H623=1,C623,IF(H623=2,C623,IF(H623=0,"",""))))</f>
        <v/>
      </c>
      <c r="AF623" s="911">
        <f>IF(E623="YES",IF(I623=1,C623,""),IF(I623=1,C623,IF(I623=2,C623,IF(I623=0,"",""))))</f>
        <v/>
      </c>
      <c r="AG623" s="192">
        <f>(C623*G623)+(C623*H623)+(C623*I623)</f>
        <v/>
      </c>
    </row>
    <row r="624">
      <c r="AA624" s="640">
        <f>IF(G624=0, IF(OR(H624&gt;0,F624&gt;0),C624*F624,""),"")</f>
        <v/>
      </c>
      <c r="AB624" s="640">
        <f>IF(G624&gt;=1,IF(F624&gt;1,C624*(F624-2),""),"")</f>
        <v/>
      </c>
      <c r="AC624" s="640" t="n"/>
      <c r="AD624" s="911">
        <f>IF(E624="YES",IF(G624=1,"",""),IF(G624=1,C624,IF(G624=2,C624,IF(G624=0,"",""))))</f>
        <v/>
      </c>
      <c r="AE624" s="911">
        <f>IF(E624="YES",IF(G624=1,"",IF(H624=1,C624,"")),IF(H624=1,C624,IF(H624=2,C624,IF(H624=0,"",""))))</f>
        <v/>
      </c>
      <c r="AF624" s="911">
        <f>IF(E624="YES",IF(I624=1,C624,""),IF(I624=1,C624,IF(I624=2,C624,IF(I624=0,"",""))))</f>
        <v/>
      </c>
      <c r="AG624" s="192">
        <f>(C624*G624)+(C624*H624)+(C624*I624)</f>
        <v/>
      </c>
    </row>
    <row r="625">
      <c r="AA625" s="640">
        <f>IF(G625=0, IF(OR(H625&gt;0,F625&gt;0),C625*F625,""),"")</f>
        <v/>
      </c>
      <c r="AB625" s="640">
        <f>IF(G625&gt;=1,IF(F625&gt;1,C625*(F625-2),""),"")</f>
        <v/>
      </c>
      <c r="AC625" s="640" t="n"/>
      <c r="AD625" s="911">
        <f>IF(E625="YES",IF(G625=1,"",""),IF(G625=1,C625,IF(G625=2,C625,IF(G625=0,"",""))))</f>
        <v/>
      </c>
      <c r="AE625" s="911">
        <f>IF(E625="YES",IF(G625=1,"",IF(H625=1,C625,"")),IF(H625=1,C625,IF(H625=2,C625,IF(H625=0,"",""))))</f>
        <v/>
      </c>
      <c r="AF625" s="911">
        <f>IF(E625="YES",IF(I625=1,C625,""),IF(I625=1,C625,IF(I625=2,C625,IF(I625=0,"",""))))</f>
        <v/>
      </c>
      <c r="AG625" s="192">
        <f>(C625*G625)+(C625*H625)+(C625*I625)</f>
        <v/>
      </c>
    </row>
    <row r="626">
      <c r="AA626" s="640">
        <f>IF(G626=0, IF(OR(H626&gt;0,F626&gt;0),C626*F626,""),"")</f>
        <v/>
      </c>
      <c r="AB626" s="640">
        <f>IF(G626&gt;=1,IF(F626&gt;1,C626*(F626-2),""),"")</f>
        <v/>
      </c>
      <c r="AC626" s="640" t="n"/>
      <c r="AD626" s="911">
        <f>IF(E626="YES",IF(G626=1,"",""),IF(G626=1,C626,IF(G626=2,C626,IF(G626=0,"",""))))</f>
        <v/>
      </c>
      <c r="AE626" s="911">
        <f>IF(E626="YES",IF(G626=1,"",IF(H626=1,C626,"")),IF(H626=1,C626,IF(H626=2,C626,IF(H626=0,"",""))))</f>
        <v/>
      </c>
      <c r="AF626" s="911">
        <f>IF(E626="YES",IF(I626=1,C626,""),IF(I626=1,C626,IF(I626=2,C626,IF(I626=0,"",""))))</f>
        <v/>
      </c>
      <c r="AG626" s="192">
        <f>(C626*G626)+(C626*H626)+(C626*I626)</f>
        <v/>
      </c>
    </row>
    <row r="627">
      <c r="AA627" s="640">
        <f>IF(G627=0, IF(OR(H627&gt;0,F627&gt;0),C627*F627,""),"")</f>
        <v/>
      </c>
      <c r="AB627" s="640">
        <f>IF(G627&gt;=1,IF(F627&gt;1,C627*(F627-2),""),"")</f>
        <v/>
      </c>
      <c r="AC627" s="640" t="n"/>
      <c r="AD627" s="911">
        <f>IF(E627="YES",IF(G627=1,"",""),IF(G627=1,C627,IF(G627=2,C627,IF(G627=0,"",""))))</f>
        <v/>
      </c>
      <c r="AE627" s="911">
        <f>IF(E627="YES",IF(G627=1,"",IF(H627=1,C627,"")),IF(H627=1,C627,IF(H627=2,C627,IF(H627=0,"",""))))</f>
        <v/>
      </c>
      <c r="AF627" s="911">
        <f>IF(E627="YES",IF(I627=1,C627,""),IF(I627=1,C627,IF(I627=2,C627,IF(I627=0,"",""))))</f>
        <v/>
      </c>
      <c r="AG627" s="192">
        <f>(C627*G627)+(C627*H627)+(C627*I627)</f>
        <v/>
      </c>
    </row>
    <row r="628">
      <c r="AA628" s="640">
        <f>IF(G628=0, IF(OR(H628&gt;0,F628&gt;0),C628*F628,""),"")</f>
        <v/>
      </c>
      <c r="AB628" s="640">
        <f>IF(G628&gt;=1,IF(F628&gt;1,C628*(F628-2),""),"")</f>
        <v/>
      </c>
      <c r="AC628" s="640" t="n"/>
      <c r="AD628" s="911">
        <f>IF(E628="YES",IF(G628=1,"",""),IF(G628=1,C628,IF(G628=2,C628,IF(G628=0,"",""))))</f>
        <v/>
      </c>
      <c r="AE628" s="911">
        <f>IF(E628="YES",IF(G628=1,"",IF(H628=1,C628,"")),IF(H628=1,C628,IF(H628=2,C628,IF(H628=0,"",""))))</f>
        <v/>
      </c>
      <c r="AF628" s="911">
        <f>IF(E628="YES",IF(I628=1,C628,""),IF(I628=1,C628,IF(I628=2,C628,IF(I628=0,"",""))))</f>
        <v/>
      </c>
      <c r="AG628" s="192">
        <f>(C628*G628)+(C628*H628)+(C628*I628)</f>
        <v/>
      </c>
    </row>
    <row r="629">
      <c r="AA629" s="640">
        <f>IF(G629=0, IF(OR(H629&gt;0,F629&gt;0),C629*F629,""),"")</f>
        <v/>
      </c>
      <c r="AB629" s="640">
        <f>IF(G629&gt;=1,IF(F629&gt;1,C629*(F629-2),""),"")</f>
        <v/>
      </c>
      <c r="AC629" s="640" t="n"/>
      <c r="AD629" s="911">
        <f>IF(E629="YES",IF(G629=1,"",""),IF(G629=1,C629,IF(G629=2,C629,IF(G629=0,"",""))))</f>
        <v/>
      </c>
      <c r="AE629" s="911">
        <f>IF(E629="YES",IF(G629=1,"",IF(H629=1,C629,"")),IF(H629=1,C629,IF(H629=2,C629,IF(H629=0,"",""))))</f>
        <v/>
      </c>
      <c r="AF629" s="911">
        <f>IF(E629="YES",IF(I629=1,C629,""),IF(I629=1,C629,IF(I629=2,C629,IF(I629=0,"",""))))</f>
        <v/>
      </c>
      <c r="AG629" s="192">
        <f>(C629*G629)+(C629*H629)+(C629*I629)</f>
        <v/>
      </c>
    </row>
    <row r="630">
      <c r="AA630" s="640">
        <f>IF(G630=0, IF(OR(H630&gt;0,F630&gt;0),C630*F630,""),"")</f>
        <v/>
      </c>
      <c r="AB630" s="640">
        <f>IF(G630&gt;=1,IF(F630&gt;1,C630*(F630-2),""),"")</f>
        <v/>
      </c>
      <c r="AC630" s="640" t="n"/>
      <c r="AD630" s="911">
        <f>IF(E630="YES",IF(G630=1,"",""),IF(G630=1,C630,IF(G630=2,C630,IF(G630=0,"",""))))</f>
        <v/>
      </c>
      <c r="AE630" s="911">
        <f>IF(E630="YES",IF(G630=1,"",IF(H630=1,C630,"")),IF(H630=1,C630,IF(H630=2,C630,IF(H630=0,"",""))))</f>
        <v/>
      </c>
      <c r="AF630" s="911">
        <f>IF(E630="YES",IF(I630=1,C630,""),IF(I630=1,C630,IF(I630=2,C630,IF(I630=0,"",""))))</f>
        <v/>
      </c>
      <c r="AG630" s="192">
        <f>(C630*G630)+(C630*H630)+(C630*I630)</f>
        <v/>
      </c>
    </row>
    <row r="631">
      <c r="AA631" s="640">
        <f>IF(G631=0, IF(OR(H631&gt;0,F631&gt;0),C631*F631,""),"")</f>
        <v/>
      </c>
      <c r="AB631" s="640">
        <f>IF(G631&gt;=1,IF(F631&gt;1,C631*(F631-2),""),"")</f>
        <v/>
      </c>
      <c r="AC631" s="640" t="n"/>
      <c r="AD631" s="911">
        <f>IF(E631="YES",IF(G631=1,"",""),IF(G631=1,C631,IF(G631=2,C631,IF(G631=0,"",""))))</f>
        <v/>
      </c>
      <c r="AE631" s="911">
        <f>IF(E631="YES",IF(G631=1,"",IF(H631=1,C631,"")),IF(H631=1,C631,IF(H631=2,C631,IF(H631=0,"",""))))</f>
        <v/>
      </c>
      <c r="AF631" s="911">
        <f>IF(E631="YES",IF(I631=1,C631,""),IF(I631=1,C631,IF(I631=2,C631,IF(I631=0,"",""))))</f>
        <v/>
      </c>
      <c r="AG631" s="192">
        <f>(C631*G631)+(C631*H631)+(C631*I631)</f>
        <v/>
      </c>
    </row>
    <row r="632">
      <c r="AA632" s="640">
        <f>IF(G632=0, IF(OR(H632&gt;0,F632&gt;0),C632*F632,""),"")</f>
        <v/>
      </c>
      <c r="AB632" s="640">
        <f>IF(G632&gt;=1,IF(F632&gt;1,C632*(F632-2),""),"")</f>
        <v/>
      </c>
      <c r="AC632" s="640" t="n"/>
      <c r="AD632" s="911">
        <f>IF(E632="YES",IF(G632=1,"",""),IF(G632=1,C632,IF(G632=2,C632,IF(G632=0,"",""))))</f>
        <v/>
      </c>
      <c r="AE632" s="911">
        <f>IF(E632="YES",IF(G632=1,"",IF(H632=1,C632,"")),IF(H632=1,C632,IF(H632=2,C632,IF(H632=0,"",""))))</f>
        <v/>
      </c>
      <c r="AF632" s="911">
        <f>IF(E632="YES",IF(I632=1,C632,""),IF(I632=1,C632,IF(I632=2,C632,IF(I632=0,"",""))))</f>
        <v/>
      </c>
      <c r="AG632" s="192">
        <f>(C632*G632)+(C632*H632)+(C632*I632)</f>
        <v/>
      </c>
    </row>
    <row r="633">
      <c r="AA633" s="640">
        <f>IF(G633=0, IF(OR(H633&gt;0,F633&gt;0),C633*F633,""),"")</f>
        <v/>
      </c>
      <c r="AB633" s="640">
        <f>IF(G633&gt;=1,IF(F633&gt;1,C633*(F633-2),""),"")</f>
        <v/>
      </c>
      <c r="AC633" s="640" t="n"/>
      <c r="AD633" s="911">
        <f>IF(E633="YES",IF(G633=1,"",""),IF(G633=1,C633,IF(G633=2,C633,IF(G633=0,"",""))))</f>
        <v/>
      </c>
      <c r="AE633" s="911">
        <f>IF(E633="YES",IF(G633=1,"",IF(H633=1,C633,"")),IF(H633=1,C633,IF(H633=2,C633,IF(H633=0,"",""))))</f>
        <v/>
      </c>
      <c r="AF633" s="911">
        <f>IF(E633="YES",IF(I633=1,C633,""),IF(I633=1,C633,IF(I633=2,C633,IF(I633=0,"",""))))</f>
        <v/>
      </c>
      <c r="AG633" s="192">
        <f>(C633*G633)+(C633*H633)+(C633*I633)</f>
        <v/>
      </c>
    </row>
    <row r="634">
      <c r="AA634" s="640">
        <f>IF(G634=0, IF(OR(H634&gt;0,F634&gt;0),C634*F634,""),"")</f>
        <v/>
      </c>
      <c r="AB634" s="640">
        <f>IF(G634&gt;=1,IF(F634&gt;1,C634*(F634-2),""),"")</f>
        <v/>
      </c>
      <c r="AC634" s="640" t="n"/>
      <c r="AD634" s="911">
        <f>IF(E634="YES",IF(G634=1,"",""),IF(G634=1,C634,IF(G634=2,C634,IF(G634=0,"",""))))</f>
        <v/>
      </c>
      <c r="AE634" s="911">
        <f>IF(E634="YES",IF(G634=1,"",IF(H634=1,C634,"")),IF(H634=1,C634,IF(H634=2,C634,IF(H634=0,"",""))))</f>
        <v/>
      </c>
      <c r="AF634" s="911">
        <f>IF(E634="YES",IF(I634=1,C634,""),IF(I634=1,C634,IF(I634=2,C634,IF(I634=0,"",""))))</f>
        <v/>
      </c>
      <c r="AG634" s="192">
        <f>(C634*G634)+(C634*H634)+(C634*I634)</f>
        <v/>
      </c>
    </row>
    <row r="635">
      <c r="AA635" s="640">
        <f>IF(G635=0, IF(OR(H635&gt;0,F635&gt;0),C635*F635,""),"")</f>
        <v/>
      </c>
      <c r="AB635" s="640">
        <f>IF(G635&gt;=1,IF(F635&gt;1,C635*(F635-2),""),"")</f>
        <v/>
      </c>
      <c r="AC635" s="640" t="n"/>
      <c r="AD635" s="911">
        <f>IF(E635="YES",IF(G635=1,"",""),IF(G635=1,C635,IF(G635=2,C635,IF(G635=0,"",""))))</f>
        <v/>
      </c>
      <c r="AE635" s="911">
        <f>IF(E635="YES",IF(G635=1,"",IF(H635=1,C635,"")),IF(H635=1,C635,IF(H635=2,C635,IF(H635=0,"",""))))</f>
        <v/>
      </c>
      <c r="AF635" s="911">
        <f>IF(E635="YES",IF(I635=1,C635,""),IF(I635=1,C635,IF(I635=2,C635,IF(I635=0,"",""))))</f>
        <v/>
      </c>
      <c r="AG635" s="192">
        <f>(C635*G635)+(C635*H635)+(C635*I635)</f>
        <v/>
      </c>
    </row>
    <row r="636">
      <c r="AA636" s="640">
        <f>IF(G636=0, IF(OR(H636&gt;0,F636&gt;0),C636*F636,""),"")</f>
        <v/>
      </c>
      <c r="AB636" s="640">
        <f>IF(G636&gt;=1,IF(F636&gt;1,C636*(F636-2),""),"")</f>
        <v/>
      </c>
      <c r="AC636" s="640" t="n"/>
      <c r="AD636" s="911">
        <f>IF(E636="YES",IF(G636=1,"",""),IF(G636=1,C636,IF(G636=2,C636,IF(G636=0,"",""))))</f>
        <v/>
      </c>
      <c r="AE636" s="911">
        <f>IF(E636="YES",IF(G636=1,"",IF(H636=1,C636,"")),IF(H636=1,C636,IF(H636=2,C636,IF(H636=0,"",""))))</f>
        <v/>
      </c>
      <c r="AF636" s="911">
        <f>IF(E636="YES",IF(I636=1,C636,""),IF(I636=1,C636,IF(I636=2,C636,IF(I636=0,"",""))))</f>
        <v/>
      </c>
      <c r="AG636" s="192">
        <f>(C636*G636)+(C636*H636)+(C636*I636)</f>
        <v/>
      </c>
    </row>
    <row r="637">
      <c r="AA637" s="640">
        <f>IF(G637=0, IF(OR(H637&gt;0,F637&gt;0),C637*F637,""),"")</f>
        <v/>
      </c>
      <c r="AB637" s="640">
        <f>IF(G637&gt;=1,IF(F637&gt;1,C637*(F637-2),""),"")</f>
        <v/>
      </c>
      <c r="AC637" s="640" t="n"/>
      <c r="AD637" s="911">
        <f>IF(E637="YES",IF(G637=1,"",""),IF(G637=1,C637,IF(G637=2,C637,IF(G637=0,"",""))))</f>
        <v/>
      </c>
      <c r="AE637" s="911">
        <f>IF(E637="YES",IF(G637=1,"",IF(H637=1,C637,"")),IF(H637=1,C637,IF(H637=2,C637,IF(H637=0,"",""))))</f>
        <v/>
      </c>
      <c r="AF637" s="911">
        <f>IF(E637="YES",IF(I637=1,C637,""),IF(I637=1,C637,IF(I637=2,C637,IF(I637=0,"",""))))</f>
        <v/>
      </c>
      <c r="AG637" s="192">
        <f>(C637*G637)+(C637*H637)+(C637*I637)</f>
        <v/>
      </c>
    </row>
    <row r="638">
      <c r="AA638" s="640">
        <f>IF(G638=0, IF(OR(H638&gt;0,F638&gt;0),C638*F638,""),"")</f>
        <v/>
      </c>
      <c r="AB638" s="640">
        <f>IF(G638&gt;=1,IF(F638&gt;1,C638*(F638-2),""),"")</f>
        <v/>
      </c>
      <c r="AC638" s="640" t="n"/>
      <c r="AD638" s="911">
        <f>IF(E638="YES",IF(G638=1,"",""),IF(G638=1,C638,IF(G638=2,C638,IF(G638=0,"",""))))</f>
        <v/>
      </c>
      <c r="AE638" s="911">
        <f>IF(E638="YES",IF(G638=1,"",IF(H638=1,C638,"")),IF(H638=1,C638,IF(H638=2,C638,IF(H638=0,"",""))))</f>
        <v/>
      </c>
      <c r="AF638" s="911">
        <f>IF(E638="YES",IF(I638=1,C638,""),IF(I638=1,C638,IF(I638=2,C638,IF(I638=0,"",""))))</f>
        <v/>
      </c>
      <c r="AG638" s="192">
        <f>(C638*G638)+(C638*H638)+(C638*I638)</f>
        <v/>
      </c>
    </row>
    <row r="639">
      <c r="AA639" s="640">
        <f>IF(G639=0, IF(OR(H639&gt;0,F639&gt;0),C639*F639,""),"")</f>
        <v/>
      </c>
      <c r="AB639" s="640">
        <f>IF(G639&gt;=1,IF(F639&gt;1,C639*(F639-2),""),"")</f>
        <v/>
      </c>
      <c r="AC639" s="640" t="n"/>
      <c r="AD639" s="911">
        <f>IF(E639="YES",IF(G639=1,"",""),IF(G639=1,C639,IF(G639=2,C639,IF(G639=0,"",""))))</f>
        <v/>
      </c>
      <c r="AE639" s="911">
        <f>IF(E639="YES",IF(G639=1,"",IF(H639=1,C639,"")),IF(H639=1,C639,IF(H639=2,C639,IF(H639=0,"",""))))</f>
        <v/>
      </c>
      <c r="AF639" s="911">
        <f>IF(E639="YES",IF(I639=1,C639,""),IF(I639=1,C639,IF(I639=2,C639,IF(I639=0,"",""))))</f>
        <v/>
      </c>
      <c r="AG639" s="192">
        <f>(C639*G639)+(C639*H639)+(C639*I639)</f>
        <v/>
      </c>
    </row>
    <row r="640">
      <c r="AA640" s="640">
        <f>IF(G640=0, IF(OR(H640&gt;0,F640&gt;0),C640*F640,""),"")</f>
        <v/>
      </c>
      <c r="AB640" s="640">
        <f>IF(G640&gt;=1,IF(F640&gt;1,C640*(F640-2),""),"")</f>
        <v/>
      </c>
      <c r="AC640" s="640" t="n"/>
      <c r="AD640" s="911">
        <f>IF(E640="YES",IF(G640=1,"",""),IF(G640=1,C640,IF(G640=2,C640,IF(G640=0,"",""))))</f>
        <v/>
      </c>
      <c r="AE640" s="911">
        <f>IF(E640="YES",IF(G640=1,"",IF(H640=1,C640,"")),IF(H640=1,C640,IF(H640=2,C640,IF(H640=0,"",""))))</f>
        <v/>
      </c>
      <c r="AF640" s="911">
        <f>IF(E640="YES",IF(I640=1,C640,""),IF(I640=1,C640,IF(I640=2,C640,IF(I640=0,"",""))))</f>
        <v/>
      </c>
      <c r="AG640" s="192">
        <f>(C640*G640)+(C640*H640)+(C640*I640)</f>
        <v/>
      </c>
    </row>
    <row r="641">
      <c r="AA641" s="640">
        <f>IF(G641=0, IF(OR(H641&gt;0,F641&gt;0),C641*F641,""),"")</f>
        <v/>
      </c>
      <c r="AB641" s="640">
        <f>IF(G641&gt;=1,IF(F641&gt;1,C641*(F641-2),""),"")</f>
        <v/>
      </c>
      <c r="AC641" s="640" t="n"/>
      <c r="AD641" s="911">
        <f>IF(E641="YES",IF(G641=1,"",""),IF(G641=1,C641,IF(G641=2,C641,IF(G641=0,"",""))))</f>
        <v/>
      </c>
      <c r="AE641" s="911">
        <f>IF(E641="YES",IF(G641=1,"",IF(H641=1,C641,"")),IF(H641=1,C641,IF(H641=2,C641,IF(H641=0,"",""))))</f>
        <v/>
      </c>
      <c r="AF641" s="911">
        <f>IF(E641="YES",IF(I641=1,C641,""),IF(I641=1,C641,IF(I641=2,C641,IF(I641=0,"",""))))</f>
        <v/>
      </c>
      <c r="AG641" s="192">
        <f>(C641*G641)+(C641*H641)+(C641*I641)</f>
        <v/>
      </c>
    </row>
    <row r="642">
      <c r="AA642" s="640">
        <f>IF(G642=0, IF(OR(H642&gt;0,F642&gt;0),C642*F642,""),"")</f>
        <v/>
      </c>
      <c r="AB642" s="640">
        <f>IF(G642&gt;=1,IF(F642&gt;1,C642*(F642-2),""),"")</f>
        <v/>
      </c>
      <c r="AC642" s="640" t="n"/>
      <c r="AD642" s="911">
        <f>IF(E642="YES",IF(G642=1,"",""),IF(G642=1,C642,IF(G642=2,C642,IF(G642=0,"",""))))</f>
        <v/>
      </c>
      <c r="AE642" s="911">
        <f>IF(E642="YES",IF(G642=1,"",IF(H642=1,C642,"")),IF(H642=1,C642,IF(H642=2,C642,IF(H642=0,"",""))))</f>
        <v/>
      </c>
      <c r="AF642" s="911">
        <f>IF(E642="YES",IF(I642=1,C642,""),IF(I642=1,C642,IF(I642=2,C642,IF(I642=0,"",""))))</f>
        <v/>
      </c>
      <c r="AG642" s="192">
        <f>(C642*G642)+(C642*H642)+(C642*I642)</f>
        <v/>
      </c>
    </row>
    <row r="643">
      <c r="AA643" s="640">
        <f>IF(G643=0, IF(OR(H643&gt;0,F643&gt;0),C643*F643,""),"")</f>
        <v/>
      </c>
      <c r="AB643" s="640">
        <f>IF(G643&gt;=1,IF(F643&gt;1,C643*(F643-2),""),"")</f>
        <v/>
      </c>
      <c r="AC643" s="640" t="n"/>
      <c r="AD643" s="911">
        <f>IF(E643="YES",IF(G643=1,"",""),IF(G643=1,C643,IF(G643=2,C643,IF(G643=0,"",""))))</f>
        <v/>
      </c>
      <c r="AE643" s="911">
        <f>IF(E643="YES",IF(G643=1,"",IF(H643=1,C643,"")),IF(H643=1,C643,IF(H643=2,C643,IF(H643=0,"",""))))</f>
        <v/>
      </c>
      <c r="AF643" s="911">
        <f>IF(E643="YES",IF(I643=1,C643,""),IF(I643=1,C643,IF(I643=2,C643,IF(I643=0,"",""))))</f>
        <v/>
      </c>
      <c r="AG643" s="192">
        <f>(C643*G643)+(C643*H643)+(C643*I643)</f>
        <v/>
      </c>
    </row>
    <row r="644">
      <c r="AA644" s="640">
        <f>IF(G644=0, IF(OR(H644&gt;0,F644&gt;0),C644*F644,""),"")</f>
        <v/>
      </c>
      <c r="AB644" s="640">
        <f>IF(G644&gt;=1,IF(F644&gt;1,C644*(F644-2),""),"")</f>
        <v/>
      </c>
      <c r="AC644" s="640" t="n"/>
      <c r="AD644" s="911">
        <f>IF(E644="YES",IF(G644=1,"",""),IF(G644=1,C644,IF(G644=2,C644,IF(G644=0,"",""))))</f>
        <v/>
      </c>
      <c r="AE644" s="911">
        <f>IF(E644="YES",IF(G644=1,"",IF(H644=1,C644,"")),IF(H644=1,C644,IF(H644=2,C644,IF(H644=0,"",""))))</f>
        <v/>
      </c>
      <c r="AF644" s="911">
        <f>IF(E644="YES",IF(I644=1,C644,""),IF(I644=1,C644,IF(I644=2,C644,IF(I644=0,"",""))))</f>
        <v/>
      </c>
      <c r="AG644" s="192">
        <f>(C644*G644)+(C644*H644)+(C644*I644)</f>
        <v/>
      </c>
    </row>
    <row r="645">
      <c r="AA645" s="640">
        <f>IF(G645=0, IF(OR(H645&gt;0,F645&gt;0),C645*F645,""),"")</f>
        <v/>
      </c>
      <c r="AB645" s="640">
        <f>IF(G645&gt;=1,IF(F645&gt;1,C645*(F645-2),""),"")</f>
        <v/>
      </c>
      <c r="AC645" s="640" t="n"/>
      <c r="AD645" s="911">
        <f>IF(E645="YES",IF(G645=1,"",""),IF(G645=1,C645,IF(G645=2,C645,IF(G645=0,"",""))))</f>
        <v/>
      </c>
      <c r="AE645" s="911">
        <f>IF(E645="YES",IF(G645=1,"",IF(H645=1,C645,"")),IF(H645=1,C645,IF(H645=2,C645,IF(H645=0,"",""))))</f>
        <v/>
      </c>
      <c r="AF645" s="911">
        <f>IF(E645="YES",IF(I645=1,C645,""),IF(I645=1,C645,IF(I645=2,C645,IF(I645=0,"",""))))</f>
        <v/>
      </c>
      <c r="AG645" s="192">
        <f>(C645*G645)+(C645*H645)+(C645*I645)</f>
        <v/>
      </c>
    </row>
    <row r="646">
      <c r="AA646" s="640">
        <f>IF(G646=0, IF(OR(H646&gt;0,F646&gt;0),C646*F646,""),"")</f>
        <v/>
      </c>
      <c r="AB646" s="640">
        <f>IF(G646&gt;=1,IF(F646&gt;1,C646*(F646-2),""),"")</f>
        <v/>
      </c>
      <c r="AC646" s="640" t="n"/>
      <c r="AD646" s="911">
        <f>IF(E646="YES",IF(G646=1,"",""),IF(G646=1,C646,IF(G646=2,C646,IF(G646=0,"",""))))</f>
        <v/>
      </c>
      <c r="AE646" s="911">
        <f>IF(E646="YES",IF(G646=1,"",IF(H646=1,C646,"")),IF(H646=1,C646,IF(H646=2,C646,IF(H646=0,"",""))))</f>
        <v/>
      </c>
      <c r="AF646" s="911">
        <f>IF(E646="YES",IF(I646=1,C646,""),IF(I646=1,C646,IF(I646=2,C646,IF(I646=0,"",""))))</f>
        <v/>
      </c>
      <c r="AG646" s="192">
        <f>(C646*G646)+(C646*H646)+(C646*I646)</f>
        <v/>
      </c>
    </row>
    <row r="647">
      <c r="AA647" s="640">
        <f>IF(G647=0, IF(OR(H647&gt;0,F647&gt;0),C647*F647,""),"")</f>
        <v/>
      </c>
      <c r="AB647" s="640">
        <f>IF(G647&gt;=1,IF(F647&gt;1,C647*(F647-2),""),"")</f>
        <v/>
      </c>
      <c r="AC647" s="640" t="n"/>
      <c r="AD647" s="911">
        <f>IF(E647="YES",IF(G647=1,"",""),IF(G647=1,C647,IF(G647=2,C647,IF(G647=0,"",""))))</f>
        <v/>
      </c>
      <c r="AE647" s="911">
        <f>IF(E647="YES",IF(G647=1,"",IF(H647=1,C647,"")),IF(H647=1,C647,IF(H647=2,C647,IF(H647=0,"",""))))</f>
        <v/>
      </c>
      <c r="AF647" s="911">
        <f>IF(E647="YES",IF(I647=1,C647,""),IF(I647=1,C647,IF(I647=2,C647,IF(I647=0,"",""))))</f>
        <v/>
      </c>
      <c r="AG647" s="192">
        <f>(C647*G647)+(C647*H647)+(C647*I647)</f>
        <v/>
      </c>
    </row>
    <row r="648">
      <c r="AA648" s="640">
        <f>IF(G648=0, IF(OR(H648&gt;0,F648&gt;0),C648*F648,""),"")</f>
        <v/>
      </c>
      <c r="AB648" s="640">
        <f>IF(G648&gt;=1,IF(F648&gt;1,C648*(F648-2),""),"")</f>
        <v/>
      </c>
      <c r="AC648" s="640" t="n"/>
      <c r="AD648" s="911">
        <f>IF(E648="YES",IF(G648=1,"",""),IF(G648=1,C648,IF(G648=2,C648,IF(G648=0,"",""))))</f>
        <v/>
      </c>
      <c r="AE648" s="911">
        <f>IF(E648="YES",IF(G648=1,"",IF(H648=1,C648,"")),IF(H648=1,C648,IF(H648=2,C648,IF(H648=0,"",""))))</f>
        <v/>
      </c>
      <c r="AF648" s="911">
        <f>IF(E648="YES",IF(I648=1,C648,""),IF(I648=1,C648,IF(I648=2,C648,IF(I648=0,"",""))))</f>
        <v/>
      </c>
      <c r="AG648" s="192">
        <f>(C648*G648)+(C648*H648)+(C648*I648)</f>
        <v/>
      </c>
    </row>
    <row r="649">
      <c r="AA649" s="640">
        <f>IF(G649=0, IF(OR(H649&gt;0,F649&gt;0),C649*F649,""),"")</f>
        <v/>
      </c>
      <c r="AB649" s="640">
        <f>IF(G649&gt;=1,IF(F649&gt;1,C649*(F649-2),""),"")</f>
        <v/>
      </c>
      <c r="AC649" s="640" t="n"/>
      <c r="AD649" s="911">
        <f>IF(E649="YES",IF(G649=1,"",""),IF(G649=1,C649,IF(G649=2,C649,IF(G649=0,"",""))))</f>
        <v/>
      </c>
      <c r="AE649" s="911">
        <f>IF(E649="YES",IF(G649=1,"",IF(H649=1,C649,"")),IF(H649=1,C649,IF(H649=2,C649,IF(H649=0,"",""))))</f>
        <v/>
      </c>
      <c r="AF649" s="911">
        <f>IF(E649="YES",IF(I649=1,C649,""),IF(I649=1,C649,IF(I649=2,C649,IF(I649=0,"",""))))</f>
        <v/>
      </c>
      <c r="AG649" s="192">
        <f>(C649*G649)+(C649*H649)+(C649*I649)</f>
        <v/>
      </c>
    </row>
    <row r="650">
      <c r="AA650" s="640">
        <f>IF(G650=0, IF(OR(H650&gt;0,F650&gt;0),C650*F650,""),"")</f>
        <v/>
      </c>
      <c r="AB650" s="640">
        <f>IF(G650&gt;=1,IF(F650&gt;1,C650*(F650-2),""),"")</f>
        <v/>
      </c>
      <c r="AC650" s="640" t="n"/>
      <c r="AD650" s="911">
        <f>IF(E650="YES",IF(G650=1,"",""),IF(G650=1,C650,IF(G650=2,C650,IF(G650=0,"",""))))</f>
        <v/>
      </c>
      <c r="AE650" s="911">
        <f>IF(E650="YES",IF(G650=1,"",IF(H650=1,C650,"")),IF(H650=1,C650,IF(H650=2,C650,IF(H650=0,"",""))))</f>
        <v/>
      </c>
      <c r="AF650" s="911">
        <f>IF(E650="YES",IF(I650=1,C650,""),IF(I650=1,C650,IF(I650=2,C650,IF(I650=0,"",""))))</f>
        <v/>
      </c>
      <c r="AG650" s="192">
        <f>(C650*G650)+(C650*H650)+(C650*I650)</f>
        <v/>
      </c>
    </row>
    <row r="651">
      <c r="AA651" s="640">
        <f>IF(G651=0, IF(OR(H651&gt;0,F651&gt;0),C651*F651,""),"")</f>
        <v/>
      </c>
      <c r="AB651" s="640">
        <f>IF(G651&gt;=1,IF(F651&gt;1,C651*(F651-2),""),"")</f>
        <v/>
      </c>
      <c r="AC651" s="640" t="n"/>
      <c r="AD651" s="911">
        <f>IF(E651="YES",IF(G651=1,"",""),IF(G651=1,C651,IF(G651=2,C651,IF(G651=0,"",""))))</f>
        <v/>
      </c>
      <c r="AE651" s="911">
        <f>IF(E651="YES",IF(G651=1,"",IF(H651=1,C651,"")),IF(H651=1,C651,IF(H651=2,C651,IF(H651=0,"",""))))</f>
        <v/>
      </c>
      <c r="AF651" s="911">
        <f>IF(E651="YES",IF(I651=1,C651,""),IF(I651=1,C651,IF(I651=2,C651,IF(I651=0,"",""))))</f>
        <v/>
      </c>
      <c r="AG651" s="192">
        <f>(C651*G651)+(C651*H651)+(C651*I651)</f>
        <v/>
      </c>
    </row>
    <row r="652">
      <c r="AA652" s="640">
        <f>IF(G652=0, IF(OR(H652&gt;0,F652&gt;0),C652*F652,""),"")</f>
        <v/>
      </c>
      <c r="AB652" s="640">
        <f>IF(G652&gt;=1,IF(F652&gt;1,C652*(F652-2),""),"")</f>
        <v/>
      </c>
      <c r="AC652" s="640" t="n"/>
      <c r="AD652" s="911">
        <f>IF(E652="YES",IF(G652=1,"",""),IF(G652=1,C652,IF(G652=2,C652,IF(G652=0,"",""))))</f>
        <v/>
      </c>
      <c r="AE652" s="911">
        <f>IF(E652="YES",IF(G652=1,"",IF(H652=1,C652,"")),IF(H652=1,C652,IF(H652=2,C652,IF(H652=0,"",""))))</f>
        <v/>
      </c>
      <c r="AF652" s="911">
        <f>IF(E652="YES",IF(I652=1,C652,""),IF(I652=1,C652,IF(I652=2,C652,IF(I652=0,"",""))))</f>
        <v/>
      </c>
      <c r="AG652" s="192">
        <f>(C652*G652)+(C652*H652)+(C652*I652)</f>
        <v/>
      </c>
    </row>
    <row r="653">
      <c r="AA653" s="640">
        <f>IF(G653=0, IF(OR(H653&gt;0,F653&gt;0),C653*F653,""),"")</f>
        <v/>
      </c>
      <c r="AB653" s="640">
        <f>IF(G653&gt;=1,IF(F653&gt;1,C653*(F653-2),""),"")</f>
        <v/>
      </c>
      <c r="AC653" s="640" t="n"/>
      <c r="AD653" s="911">
        <f>IF(E653="YES",IF(G653=1,"",""),IF(G653=1,C653,IF(G653=2,C653,IF(G653=0,"",""))))</f>
        <v/>
      </c>
      <c r="AE653" s="911">
        <f>IF(E653="YES",IF(G653=1,"",IF(H653=1,C653,"")),IF(H653=1,C653,IF(H653=2,C653,IF(H653=0,"",""))))</f>
        <v/>
      </c>
      <c r="AF653" s="911">
        <f>IF(E653="YES",IF(I653=1,C653,""),IF(I653=1,C653,IF(I653=2,C653,IF(I653=0,"",""))))</f>
        <v/>
      </c>
      <c r="AG653" s="192">
        <f>(C653*G653)+(C653*H653)+(C653*I653)</f>
        <v/>
      </c>
    </row>
    <row r="654">
      <c r="AA654" s="640">
        <f>IF(G654=0, IF(OR(H654&gt;0,F654&gt;0),C654*F654,""),"")</f>
        <v/>
      </c>
      <c r="AB654" s="640">
        <f>IF(G654&gt;=1,IF(F654&gt;1,C654*(F654-2),""),"")</f>
        <v/>
      </c>
      <c r="AC654" s="640" t="n"/>
      <c r="AD654" s="911">
        <f>IF(E654="YES",IF(G654=1,"",""),IF(G654=1,C654,IF(G654=2,C654,IF(G654=0,"",""))))</f>
        <v/>
      </c>
      <c r="AE654" s="911">
        <f>IF(E654="YES",IF(G654=1,"",IF(H654=1,C654,"")),IF(H654=1,C654,IF(H654=2,C654,IF(H654=0,"",""))))</f>
        <v/>
      </c>
      <c r="AF654" s="911">
        <f>IF(E654="YES",IF(I654=1,C654,""),IF(I654=1,C654,IF(I654=2,C654,IF(I654=0,"",""))))</f>
        <v/>
      </c>
      <c r="AG654" s="192">
        <f>(C654*G654)+(C654*H654)+(C654*I654)</f>
        <v/>
      </c>
    </row>
    <row r="655">
      <c r="AA655" s="640">
        <f>IF(G655=0, IF(OR(H655&gt;0,F655&gt;0),C655*F655,""),"")</f>
        <v/>
      </c>
      <c r="AB655" s="640">
        <f>IF(G655&gt;=1,IF(F655&gt;1,C655*(F655-2),""),"")</f>
        <v/>
      </c>
      <c r="AC655" s="640" t="n"/>
      <c r="AD655" s="911">
        <f>IF(E655="YES",IF(G655=1,"",""),IF(G655=1,C655,IF(G655=2,C655,IF(G655=0,"",""))))</f>
        <v/>
      </c>
      <c r="AE655" s="911">
        <f>IF(E655="YES",IF(G655=1,"",IF(H655=1,C655,"")),IF(H655=1,C655,IF(H655=2,C655,IF(H655=0,"",""))))</f>
        <v/>
      </c>
      <c r="AF655" s="911">
        <f>IF(E655="YES",IF(I655=1,C655,""),IF(I655=1,C655,IF(I655=2,C655,IF(I655=0,"",""))))</f>
        <v/>
      </c>
      <c r="AG655" s="192">
        <f>(C655*G655)+(C655*H655)+(C655*I655)</f>
        <v/>
      </c>
    </row>
    <row r="656">
      <c r="AA656" s="640">
        <f>IF(G656=0, IF(OR(H656&gt;0,F656&gt;0),C656*F656,""),"")</f>
        <v/>
      </c>
      <c r="AB656" s="640">
        <f>IF(G656&gt;=1,IF(F656&gt;1,C656*(F656-2),""),"")</f>
        <v/>
      </c>
      <c r="AC656" s="640" t="n"/>
      <c r="AD656" s="911">
        <f>IF(E656="YES",IF(G656=1,"",""),IF(G656=1,C656,IF(G656=2,C656,IF(G656=0,"",""))))</f>
        <v/>
      </c>
      <c r="AE656" s="911">
        <f>IF(E656="YES",IF(G656=1,"",IF(H656=1,C656,"")),IF(H656=1,C656,IF(H656=2,C656,IF(H656=0,"",""))))</f>
        <v/>
      </c>
      <c r="AF656" s="911">
        <f>IF(E656="YES",IF(I656=1,C656,""),IF(I656=1,C656,IF(I656=2,C656,IF(I656=0,"",""))))</f>
        <v/>
      </c>
      <c r="AG656" s="192">
        <f>(C656*G656)+(C656*H656)+(C656*I656)</f>
        <v/>
      </c>
    </row>
    <row r="657">
      <c r="AA657" s="640">
        <f>IF(G657=0, IF(OR(H657&gt;0,F657&gt;0),C657*F657,""),"")</f>
        <v/>
      </c>
      <c r="AB657" s="640">
        <f>IF(G657&gt;=1,IF(F657&gt;1,C657*(F657-2),""),"")</f>
        <v/>
      </c>
      <c r="AC657" s="640" t="n"/>
      <c r="AD657" s="911">
        <f>IF(E657="YES",IF(G657=1,"",""),IF(G657=1,C657,IF(G657=2,C657,IF(G657=0,"",""))))</f>
        <v/>
      </c>
      <c r="AE657" s="911">
        <f>IF(E657="YES",IF(G657=1,"",IF(H657=1,C657,"")),IF(H657=1,C657,IF(H657=2,C657,IF(H657=0,"",""))))</f>
        <v/>
      </c>
      <c r="AF657" s="911">
        <f>IF(E657="YES",IF(I657=1,C657,""),IF(I657=1,C657,IF(I657=2,C657,IF(I657=0,"",""))))</f>
        <v/>
      </c>
      <c r="AG657" s="192">
        <f>(C657*G657)+(C657*H657)+(C657*I657)</f>
        <v/>
      </c>
    </row>
    <row r="658">
      <c r="AA658" s="640">
        <f>IF(G658=0, IF(OR(H658&gt;0,F658&gt;0),C658*F658,""),"")</f>
        <v/>
      </c>
      <c r="AB658" s="640">
        <f>IF(G658&gt;=1,IF(F658&gt;1,C658*(F658-2),""),"")</f>
        <v/>
      </c>
      <c r="AC658" s="640" t="n"/>
      <c r="AD658" s="911">
        <f>IF(E658="YES",IF(G658=1,"",""),IF(G658=1,C658,IF(G658=2,C658,IF(G658=0,"",""))))</f>
        <v/>
      </c>
      <c r="AE658" s="911">
        <f>IF(E658="YES",IF(G658=1,"",IF(H658=1,C658,"")),IF(H658=1,C658,IF(H658=2,C658,IF(H658=0,"",""))))</f>
        <v/>
      </c>
      <c r="AF658" s="911">
        <f>IF(E658="YES",IF(I658=1,C658,""),IF(I658=1,C658,IF(I658=2,C658,IF(I658=0,"",""))))</f>
        <v/>
      </c>
      <c r="AG658" s="192">
        <f>(C658*G658)+(C658*H658)+(C658*I658)</f>
        <v/>
      </c>
    </row>
    <row r="659">
      <c r="AA659" s="640">
        <f>IF(G659=0, IF(OR(H659&gt;0,F659&gt;0),C659*F659,""),"")</f>
        <v/>
      </c>
      <c r="AB659" s="640">
        <f>IF(G659&gt;=1,IF(F659&gt;1,C659*(F659-2),""),"")</f>
        <v/>
      </c>
      <c r="AC659" s="640" t="n"/>
      <c r="AD659" s="911">
        <f>IF(E659="YES",IF(G659=1,"",""),IF(G659=1,C659,IF(G659=2,C659,IF(G659=0,"",""))))</f>
        <v/>
      </c>
      <c r="AE659" s="911">
        <f>IF(E659="YES",IF(G659=1,"",IF(H659=1,C659,"")),IF(H659=1,C659,IF(H659=2,C659,IF(H659=0,"",""))))</f>
        <v/>
      </c>
      <c r="AF659" s="911">
        <f>IF(E659="YES",IF(I659=1,C659,""),IF(I659=1,C659,IF(I659=2,C659,IF(I659=0,"",""))))</f>
        <v/>
      </c>
      <c r="AG659" s="192">
        <f>(C659*G659)+(C659*H659)+(C659*I659)</f>
        <v/>
      </c>
    </row>
    <row r="660">
      <c r="AA660" s="640">
        <f>IF(G660=0, IF(OR(H660&gt;0,F660&gt;0),C660*F660,""),"")</f>
        <v/>
      </c>
      <c r="AB660" s="640">
        <f>IF(G660&gt;=1,IF(F660&gt;1,C660*(F660-2),""),"")</f>
        <v/>
      </c>
      <c r="AC660" s="640" t="n"/>
      <c r="AD660" s="911">
        <f>IF(E660="YES",IF(G660=1,"",""),IF(G660=1,C660,IF(G660=2,C660,IF(G660=0,"",""))))</f>
        <v/>
      </c>
      <c r="AE660" s="911">
        <f>IF(E660="YES",IF(G660=1,"",IF(H660=1,C660,"")),IF(H660=1,C660,IF(H660=2,C660,IF(H660=0,"",""))))</f>
        <v/>
      </c>
      <c r="AF660" s="911">
        <f>IF(E660="YES",IF(I660=1,C660,""),IF(I660=1,C660,IF(I660=2,C660,IF(I660=0,"",""))))</f>
        <v/>
      </c>
      <c r="AG660" s="192">
        <f>(C660*G660)+(C660*H660)+(C660*I660)</f>
        <v/>
      </c>
    </row>
    <row r="661">
      <c r="AA661" s="640">
        <f>IF(G661=0, IF(OR(H661&gt;0,F661&gt;0),C661*F661,""),"")</f>
        <v/>
      </c>
      <c r="AB661" s="640">
        <f>IF(G661&gt;=1,IF(F661&gt;1,C661*(F661-2),""),"")</f>
        <v/>
      </c>
      <c r="AC661" s="640" t="n"/>
      <c r="AD661" s="911">
        <f>IF(E661="YES",IF(G661=1,"",""),IF(G661=1,C661,IF(G661=2,C661,IF(G661=0,"",""))))</f>
        <v/>
      </c>
      <c r="AE661" s="911">
        <f>IF(E661="YES",IF(G661=1,"",IF(H661=1,C661,"")),IF(H661=1,C661,IF(H661=2,C661,IF(H661=0,"",""))))</f>
        <v/>
      </c>
      <c r="AF661" s="911">
        <f>IF(E661="YES",IF(I661=1,C661,""),IF(I661=1,C661,IF(I661=2,C661,IF(I661=0,"",""))))</f>
        <v/>
      </c>
      <c r="AG661" s="192">
        <f>(C661*G661)+(C661*H661)+(C661*I661)</f>
        <v/>
      </c>
    </row>
    <row r="662">
      <c r="AA662" s="640">
        <f>IF(G662=0, IF(OR(H662&gt;0,F662&gt;0),C662*F662,""),"")</f>
        <v/>
      </c>
      <c r="AB662" s="640">
        <f>IF(G662&gt;=1,IF(F662&gt;1,C662*(F662-2),""),"")</f>
        <v/>
      </c>
      <c r="AC662" s="640" t="n"/>
      <c r="AD662" s="911">
        <f>IF(E662="YES",IF(G662=1,"",""),IF(G662=1,C662,IF(G662=2,C662,IF(G662=0,"",""))))</f>
        <v/>
      </c>
      <c r="AE662" s="911">
        <f>IF(E662="YES",IF(G662=1,"",IF(H662=1,C662,"")),IF(H662=1,C662,IF(H662=2,C662,IF(H662=0,"",""))))</f>
        <v/>
      </c>
      <c r="AF662" s="911">
        <f>IF(E662="YES",IF(I662=1,C662,""),IF(I662=1,C662,IF(I662=2,C662,IF(I662=0,"",""))))</f>
        <v/>
      </c>
      <c r="AG662" s="192">
        <f>(C662*G662)+(C662*H662)+(C662*I662)</f>
        <v/>
      </c>
    </row>
    <row r="663">
      <c r="AA663" s="640">
        <f>IF(G663=0, IF(OR(H663&gt;0,F663&gt;0),C663*F663,""),"")</f>
        <v/>
      </c>
      <c r="AB663" s="640">
        <f>IF(G663&gt;=1,IF(F663&gt;1,C663*(F663-2),""),"")</f>
        <v/>
      </c>
      <c r="AC663" s="640" t="n"/>
      <c r="AD663" s="911">
        <f>IF(E663="YES",IF(G663=1,"",""),IF(G663=1,C663,IF(G663=2,C663,IF(G663=0,"",""))))</f>
        <v/>
      </c>
      <c r="AE663" s="911">
        <f>IF(E663="YES",IF(G663=1,"",IF(H663=1,C663,"")),IF(H663=1,C663,IF(H663=2,C663,IF(H663=0,"",""))))</f>
        <v/>
      </c>
      <c r="AF663" s="911">
        <f>IF(E663="YES",IF(I663=1,C663,""),IF(I663=1,C663,IF(I663=2,C663,IF(I663=0,"",""))))</f>
        <v/>
      </c>
      <c r="AG663" s="192">
        <f>(C663*G663)+(C663*H663)+(C663*I663)</f>
        <v/>
      </c>
    </row>
    <row r="664">
      <c r="AA664" s="640">
        <f>IF(G664=0, IF(OR(H664&gt;0,F664&gt;0),C664*F664,""),"")</f>
        <v/>
      </c>
      <c r="AB664" s="640">
        <f>IF(G664&gt;=1,IF(F664&gt;1,C664*(F664-2),""),"")</f>
        <v/>
      </c>
      <c r="AC664" s="640" t="n"/>
      <c r="AD664" s="911">
        <f>IF(E664="YES",IF(G664=1,"",""),IF(G664=1,C664,IF(G664=2,C664,IF(G664=0,"",""))))</f>
        <v/>
      </c>
      <c r="AE664" s="911">
        <f>IF(E664="YES",IF(G664=1,"",IF(H664=1,C664,"")),IF(H664=1,C664,IF(H664=2,C664,IF(H664=0,"",""))))</f>
        <v/>
      </c>
      <c r="AF664" s="911">
        <f>IF(E664="YES",IF(I664=1,C664,""),IF(I664=1,C664,IF(I664=2,C664,IF(I664=0,"",""))))</f>
        <v/>
      </c>
      <c r="AG664" s="192">
        <f>(C664*G664)+(C664*H664)+(C664*I664)</f>
        <v/>
      </c>
    </row>
    <row r="665">
      <c r="AA665" s="640">
        <f>IF(G665=0, IF(OR(H665&gt;0,F665&gt;0),C665*F665,""),"")</f>
        <v/>
      </c>
      <c r="AB665" s="640">
        <f>IF(G665&gt;=1,IF(F665&gt;1,C665*(F665-2),""),"")</f>
        <v/>
      </c>
      <c r="AC665" s="640" t="n"/>
      <c r="AD665" s="911">
        <f>IF(E665="YES",IF(G665=1,"",""),IF(G665=1,C665,IF(G665=2,C665,IF(G665=0,"",""))))</f>
        <v/>
      </c>
      <c r="AE665" s="911">
        <f>IF(E665="YES",IF(G665=1,"",IF(H665=1,C665,"")),IF(H665=1,C665,IF(H665=2,C665,IF(H665=0,"",""))))</f>
        <v/>
      </c>
      <c r="AF665" s="911">
        <f>IF(E665="YES",IF(I665=1,C665,""),IF(I665=1,C665,IF(I665=2,C665,IF(I665=0,"",""))))</f>
        <v/>
      </c>
      <c r="AG665" s="192">
        <f>(C665*G665)+(C665*H665)+(C665*I665)</f>
        <v/>
      </c>
    </row>
    <row r="666">
      <c r="AA666" s="640">
        <f>IF(G666=0, IF(OR(H666&gt;0,F666&gt;0),C666*F666,""),"")</f>
        <v/>
      </c>
      <c r="AB666" s="640">
        <f>IF(G666&gt;=1,IF(F666&gt;1,C666*(F666-2),""),"")</f>
        <v/>
      </c>
      <c r="AC666" s="640" t="n"/>
      <c r="AD666" s="911">
        <f>IF(E666="YES",IF(G666=1,"",""),IF(G666=1,C666,IF(G666=2,C666,IF(G666=0,"",""))))</f>
        <v/>
      </c>
      <c r="AE666" s="911">
        <f>IF(E666="YES",IF(G666=1,"",IF(H666=1,C666,"")),IF(H666=1,C666,IF(H666=2,C666,IF(H666=0,"",""))))</f>
        <v/>
      </c>
      <c r="AF666" s="911">
        <f>IF(E666="YES",IF(I666=1,C666,""),IF(I666=1,C666,IF(I666=2,C666,IF(I666=0,"",""))))</f>
        <v/>
      </c>
      <c r="AG666" s="192">
        <f>(C666*G666)+(C666*H666)+(C666*I666)</f>
        <v/>
      </c>
    </row>
    <row r="667">
      <c r="AA667" s="640">
        <f>IF(G667=0, IF(OR(H667&gt;0,F667&gt;0),C667*F667,""),"")</f>
        <v/>
      </c>
      <c r="AB667" s="640">
        <f>IF(G667&gt;=1,IF(F667&gt;1,C667*(F667-2),""),"")</f>
        <v/>
      </c>
      <c r="AC667" s="640" t="n"/>
      <c r="AD667" s="911">
        <f>IF(E667="YES",IF(G667=1,"",""),IF(G667=1,C667,IF(G667=2,C667,IF(G667=0,"",""))))</f>
        <v/>
      </c>
      <c r="AE667" s="911">
        <f>IF(E667="YES",IF(G667=1,"",IF(H667=1,C667,"")),IF(H667=1,C667,IF(H667=2,C667,IF(H667=0,"",""))))</f>
        <v/>
      </c>
      <c r="AF667" s="911">
        <f>IF(E667="YES",IF(I667=1,C667,""),IF(I667=1,C667,IF(I667=2,C667,IF(I667=0,"",""))))</f>
        <v/>
      </c>
      <c r="AG667" s="192">
        <f>(C667*G667)+(C667*H667)+(C667*I667)</f>
        <v/>
      </c>
    </row>
    <row r="668">
      <c r="AA668" s="640">
        <f>IF(G668=0, IF(OR(H668&gt;0,F668&gt;0),C668*F668,""),"")</f>
        <v/>
      </c>
      <c r="AB668" s="640">
        <f>IF(G668&gt;=1,IF(F668&gt;1,C668*(F668-2),""),"")</f>
        <v/>
      </c>
      <c r="AC668" s="640" t="n"/>
      <c r="AD668" s="911">
        <f>IF(E668="YES",IF(G668=1,"",""),IF(G668=1,C668,IF(G668=2,C668,IF(G668=0,"",""))))</f>
        <v/>
      </c>
      <c r="AE668" s="911">
        <f>IF(E668="YES",IF(G668=1,"",IF(H668=1,C668,"")),IF(H668=1,C668,IF(H668=2,C668,IF(H668=0,"",""))))</f>
        <v/>
      </c>
      <c r="AF668" s="911">
        <f>IF(E668="YES",IF(I668=1,C668,""),IF(I668=1,C668,IF(I668=2,C668,IF(I668=0,"",""))))</f>
        <v/>
      </c>
      <c r="AG668" s="192">
        <f>(C668*G668)+(C668*H668)+(C668*I668)</f>
        <v/>
      </c>
    </row>
    <row r="669">
      <c r="AA669" s="640">
        <f>IF(G669=0, IF(OR(H669&gt;0,F669&gt;0),C669*F669,""),"")</f>
        <v/>
      </c>
      <c r="AB669" s="640">
        <f>IF(G669&gt;=1,IF(F669&gt;1,C669*(F669-2),""),"")</f>
        <v/>
      </c>
      <c r="AC669" s="640" t="n"/>
      <c r="AD669" s="911">
        <f>IF(E669="YES",IF(G669=1,"",""),IF(G669=1,C669,IF(G669=2,C669,IF(G669=0,"",""))))</f>
        <v/>
      </c>
      <c r="AE669" s="911">
        <f>IF(E669="YES",IF(G669=1,"",IF(H669=1,C669,"")),IF(H669=1,C669,IF(H669=2,C669,IF(H669=0,"",""))))</f>
        <v/>
      </c>
      <c r="AF669" s="911">
        <f>IF(E669="YES",IF(I669=1,C669,""),IF(I669=1,C669,IF(I669=2,C669,IF(I669=0,"",""))))</f>
        <v/>
      </c>
      <c r="AG669" s="192">
        <f>(C669*G669)+(C669*H669)+(C669*I669)</f>
        <v/>
      </c>
    </row>
    <row r="670">
      <c r="AA670" s="640">
        <f>IF(G670=0, IF(OR(H670&gt;0,F670&gt;0),C670*F670,""),"")</f>
        <v/>
      </c>
      <c r="AB670" s="640">
        <f>IF(G670&gt;=1,IF(F670&gt;1,C670*(F670-2),""),"")</f>
        <v/>
      </c>
      <c r="AC670" s="640" t="n"/>
      <c r="AD670" s="911">
        <f>IF(E670="YES",IF(G670=1,"",""),IF(G670=1,C670,IF(G670=2,C670,IF(G670=0,"",""))))</f>
        <v/>
      </c>
      <c r="AE670" s="911">
        <f>IF(E670="YES",IF(G670=1,"",IF(H670=1,C670,"")),IF(H670=1,C670,IF(H670=2,C670,IF(H670=0,"",""))))</f>
        <v/>
      </c>
      <c r="AF670" s="911">
        <f>IF(E670="YES",IF(I670=1,C670,""),IF(I670=1,C670,IF(I670=2,C670,IF(I670=0,"",""))))</f>
        <v/>
      </c>
      <c r="AG670" s="192">
        <f>(C670*G670)+(C670*H670)+(C670*I670)</f>
        <v/>
      </c>
    </row>
    <row r="671">
      <c r="AA671" s="640">
        <f>IF(G671=0, IF(OR(H671&gt;0,F671&gt;0),C671*F671,""),"")</f>
        <v/>
      </c>
      <c r="AB671" s="640">
        <f>IF(G671&gt;=1,IF(F671&gt;1,C671*(F671-2),""),"")</f>
        <v/>
      </c>
      <c r="AC671" s="640" t="n"/>
      <c r="AD671" s="911">
        <f>IF(E671="YES",IF(G671=1,"",""),IF(G671=1,C671,IF(G671=2,C671,IF(G671=0,"",""))))</f>
        <v/>
      </c>
      <c r="AE671" s="911">
        <f>IF(E671="YES",IF(G671=1,"",IF(H671=1,C671,"")),IF(H671=1,C671,IF(H671=2,C671,IF(H671=0,"",""))))</f>
        <v/>
      </c>
      <c r="AF671" s="911">
        <f>IF(E671="YES",IF(I671=1,C671,""),IF(I671=1,C671,IF(I671=2,C671,IF(I671=0,"",""))))</f>
        <v/>
      </c>
      <c r="AG671" s="192">
        <f>(C671*G671)+(C671*H671)+(C671*I671)</f>
        <v/>
      </c>
    </row>
    <row r="672">
      <c r="AA672" s="640">
        <f>IF(G672=0, IF(OR(H672&gt;0,F672&gt;0),C672*F672,""),"")</f>
        <v/>
      </c>
      <c r="AB672" s="640">
        <f>IF(G672&gt;=1,IF(F672&gt;1,C672*(F672-2),""),"")</f>
        <v/>
      </c>
      <c r="AC672" s="640" t="n"/>
      <c r="AD672" s="911">
        <f>IF(E672="YES",IF(G672=1,"",""),IF(G672=1,C672,IF(G672=2,C672,IF(G672=0,"",""))))</f>
        <v/>
      </c>
      <c r="AE672" s="911">
        <f>IF(E672="YES",IF(G672=1,"",IF(H672=1,C672,"")),IF(H672=1,C672,IF(H672=2,C672,IF(H672=0,"",""))))</f>
        <v/>
      </c>
      <c r="AF672" s="911">
        <f>IF(E672="YES",IF(I672=1,C672,""),IF(I672=1,C672,IF(I672=2,C672,IF(I672=0,"",""))))</f>
        <v/>
      </c>
      <c r="AG672" s="192">
        <f>(C672*G672)+(C672*H672)+(C672*I672)</f>
        <v/>
      </c>
    </row>
    <row r="673">
      <c r="AA673" s="640">
        <f>IF(G673=0, IF(OR(H673&gt;0,F673&gt;0),C673*F673,""),"")</f>
        <v/>
      </c>
      <c r="AB673" s="640">
        <f>IF(G673&gt;=1,IF(F673&gt;1,C673*(F673-2),""),"")</f>
        <v/>
      </c>
      <c r="AC673" s="640" t="n"/>
      <c r="AD673" s="911">
        <f>IF(E673="YES",IF(G673=1,"",""),IF(G673=1,C673,IF(G673=2,C673,IF(G673=0,"",""))))</f>
        <v/>
      </c>
      <c r="AE673" s="911">
        <f>IF(E673="YES",IF(G673=1,"",IF(H673=1,C673,"")),IF(H673=1,C673,IF(H673=2,C673,IF(H673=0,"",""))))</f>
        <v/>
      </c>
      <c r="AF673" s="911">
        <f>IF(E673="YES",IF(I673=1,C673,""),IF(I673=1,C673,IF(I673=2,C673,IF(I673=0,"",""))))</f>
        <v/>
      </c>
      <c r="AG673" s="192">
        <f>(C673*G673)+(C673*H673)+(C673*I673)</f>
        <v/>
      </c>
    </row>
    <row r="674">
      <c r="AA674" s="640">
        <f>IF(G674=0, IF(OR(H674&gt;0,F674&gt;0),C674*F674,""),"")</f>
        <v/>
      </c>
      <c r="AB674" s="640">
        <f>IF(G674&gt;=1,IF(F674&gt;1,C674*(F674-2),""),"")</f>
        <v/>
      </c>
      <c r="AC674" s="640" t="n"/>
      <c r="AD674" s="911">
        <f>IF(E674="YES",IF(G674=1,"",""),IF(G674=1,C674,IF(G674=2,C674,IF(G674=0,"",""))))</f>
        <v/>
      </c>
      <c r="AE674" s="911">
        <f>IF(E674="YES",IF(G674=1,"",IF(H674=1,C674,"")),IF(H674=1,C674,IF(H674=2,C674,IF(H674=0,"",""))))</f>
        <v/>
      </c>
      <c r="AF674" s="911">
        <f>IF(E674="YES",IF(I674=1,C674,""),IF(I674=1,C674,IF(I674=2,C674,IF(I674=0,"",""))))</f>
        <v/>
      </c>
      <c r="AG674" s="192">
        <f>(C674*G674)+(C674*H674)+(C674*I674)</f>
        <v/>
      </c>
    </row>
    <row r="675">
      <c r="AA675" s="640">
        <f>IF(G675=0, IF(OR(H675&gt;0,F675&gt;0),C675*F675,""),"")</f>
        <v/>
      </c>
      <c r="AB675" s="640">
        <f>IF(G675&gt;=1,IF(F675&gt;1,C675*(F675-2),""),"")</f>
        <v/>
      </c>
      <c r="AC675" s="640" t="n"/>
      <c r="AD675" s="911">
        <f>IF(E675="YES",IF(G675=1,"",""),IF(G675=1,C675,IF(G675=2,C675,IF(G675=0,"",""))))</f>
        <v/>
      </c>
      <c r="AE675" s="911">
        <f>IF(E675="YES",IF(G675=1,"",IF(H675=1,C675,"")),IF(H675=1,C675,IF(H675=2,C675,IF(H675=0,"",""))))</f>
        <v/>
      </c>
      <c r="AF675" s="911">
        <f>IF(E675="YES",IF(I675=1,C675,""),IF(I675=1,C675,IF(I675=2,C675,IF(I675=0,"",""))))</f>
        <v/>
      </c>
      <c r="AG675" s="192">
        <f>(C675*G675)+(C675*H675)+(C675*I675)</f>
        <v/>
      </c>
    </row>
    <row r="676">
      <c r="AA676" s="640">
        <f>IF(G676=0, IF(OR(H676&gt;0,F676&gt;0),C676*F676,""),"")</f>
        <v/>
      </c>
      <c r="AB676" s="640">
        <f>IF(G676&gt;=1,IF(F676&gt;1,C676*(F676-2),""),"")</f>
        <v/>
      </c>
      <c r="AC676" s="640" t="n"/>
      <c r="AD676" s="911">
        <f>IF(E676="YES",IF(G676=1,"",""),IF(G676=1,C676,IF(G676=2,C676,IF(G676=0,"",""))))</f>
        <v/>
      </c>
      <c r="AE676" s="911">
        <f>IF(E676="YES",IF(G676=1,"",IF(H676=1,C676,"")),IF(H676=1,C676,IF(H676=2,C676,IF(H676=0,"",""))))</f>
        <v/>
      </c>
      <c r="AF676" s="911">
        <f>IF(E676="YES",IF(I676=1,C676,""),IF(I676=1,C676,IF(I676=2,C676,IF(I676=0,"",""))))</f>
        <v/>
      </c>
      <c r="AG676" s="192">
        <f>(C676*G676)+(C676*H676)+(C676*I676)</f>
        <v/>
      </c>
    </row>
    <row r="677">
      <c r="AA677" s="640">
        <f>IF(G677=0, IF(OR(H677&gt;0,F677&gt;0),C677*F677,""),"")</f>
        <v/>
      </c>
      <c r="AB677" s="640">
        <f>IF(G677&gt;=1,IF(F677&gt;1,C677*(F677-2),""),"")</f>
        <v/>
      </c>
      <c r="AC677" s="640" t="n"/>
      <c r="AD677" s="911">
        <f>IF(E677="YES",IF(G677=1,"",""),IF(G677=1,C677,IF(G677=2,C677,IF(G677=0,"",""))))</f>
        <v/>
      </c>
      <c r="AE677" s="911">
        <f>IF(E677="YES",IF(G677=1,"",IF(H677=1,C677,"")),IF(H677=1,C677,IF(H677=2,C677,IF(H677=0,"",""))))</f>
        <v/>
      </c>
      <c r="AF677" s="911">
        <f>IF(E677="YES",IF(I677=1,C677,""),IF(I677=1,C677,IF(I677=2,C677,IF(I677=0,"",""))))</f>
        <v/>
      </c>
      <c r="AG677" s="192">
        <f>(C677*G677)+(C677*H677)+(C677*I677)</f>
        <v/>
      </c>
    </row>
    <row r="678">
      <c r="AA678" s="640">
        <f>IF(G678=0, IF(OR(H678&gt;0,F678&gt;0),C678*F678,""),"")</f>
        <v/>
      </c>
      <c r="AB678" s="640">
        <f>IF(G678&gt;=1,IF(F678&gt;1,C678*(F678-2),""),"")</f>
        <v/>
      </c>
      <c r="AC678" s="640" t="n"/>
      <c r="AD678" s="911">
        <f>IF(E678="YES",IF(G678=1,"",""),IF(G678=1,C678,IF(G678=2,C678,IF(G678=0,"",""))))</f>
        <v/>
      </c>
      <c r="AE678" s="911">
        <f>IF(E678="YES",IF(G678=1,"",IF(H678=1,C678,"")),IF(H678=1,C678,IF(H678=2,C678,IF(H678=0,"",""))))</f>
        <v/>
      </c>
      <c r="AF678" s="911">
        <f>IF(E678="YES",IF(I678=1,C678,""),IF(I678=1,C678,IF(I678=2,C678,IF(I678=0,"",""))))</f>
        <v/>
      </c>
      <c r="AG678" s="192">
        <f>(C678*G678)+(C678*H678)+(C678*I678)</f>
        <v/>
      </c>
    </row>
    <row r="679">
      <c r="AA679" s="640">
        <f>IF(G679=0, IF(OR(H679&gt;0,F679&gt;0),C679*F679,""),"")</f>
        <v/>
      </c>
      <c r="AB679" s="640">
        <f>IF(G679&gt;=1,IF(F679&gt;1,C679*(F679-2),""),"")</f>
        <v/>
      </c>
      <c r="AC679" s="640" t="n"/>
      <c r="AD679" s="911">
        <f>IF(E679="YES",IF(G679=1,"",""),IF(G679=1,C679,IF(G679=2,C679,IF(G679=0,"",""))))</f>
        <v/>
      </c>
      <c r="AE679" s="911">
        <f>IF(E679="YES",IF(G679=1,"",IF(H679=1,C679,"")),IF(H679=1,C679,IF(H679=2,C679,IF(H679=0,"",""))))</f>
        <v/>
      </c>
      <c r="AF679" s="911">
        <f>IF(E679="YES",IF(I679=1,C679,""),IF(I679=1,C679,IF(I679=2,C679,IF(I679=0,"",""))))</f>
        <v/>
      </c>
      <c r="AG679" s="192">
        <f>(C679*G679)+(C679*H679)+(C679*I679)</f>
        <v/>
      </c>
    </row>
    <row r="680">
      <c r="AA680" s="640">
        <f>IF(G680=0, IF(OR(H680&gt;0,F680&gt;0),C680*F680,""),"")</f>
        <v/>
      </c>
      <c r="AB680" s="640">
        <f>IF(G680&gt;=1,IF(F680&gt;1,C680*(F680-2),""),"")</f>
        <v/>
      </c>
      <c r="AC680" s="640" t="n"/>
      <c r="AD680" s="911">
        <f>IF(E680="YES",IF(G680=1,"",""),IF(G680=1,C680,IF(G680=2,C680,IF(G680=0,"",""))))</f>
        <v/>
      </c>
      <c r="AE680" s="911">
        <f>IF(E680="YES",IF(G680=1,"",IF(H680=1,C680,"")),IF(H680=1,C680,IF(H680=2,C680,IF(H680=0,"",""))))</f>
        <v/>
      </c>
      <c r="AF680" s="911">
        <f>IF(E680="YES",IF(I680=1,C680,""),IF(I680=1,C680,IF(I680=2,C680,IF(I680=0,"",""))))</f>
        <v/>
      </c>
      <c r="AG680" s="192">
        <f>(C680*G680)+(C680*H680)+(C680*I680)</f>
        <v/>
      </c>
    </row>
    <row r="681">
      <c r="AA681" s="640">
        <f>IF(G681=0, IF(OR(H681&gt;0,F681&gt;0),C681*F681,""),"")</f>
        <v/>
      </c>
      <c r="AB681" s="640">
        <f>IF(G681&gt;=1,IF(F681&gt;1,C681*(F681-2),""),"")</f>
        <v/>
      </c>
      <c r="AC681" s="640" t="n"/>
      <c r="AD681" s="911">
        <f>IF(E681="YES",IF(G681=1,"",""),IF(G681=1,C681,IF(G681=2,C681,IF(G681=0,"",""))))</f>
        <v/>
      </c>
      <c r="AE681" s="911">
        <f>IF(E681="YES",IF(G681=1,"",IF(H681=1,C681,"")),IF(H681=1,C681,IF(H681=2,C681,IF(H681=0,"",""))))</f>
        <v/>
      </c>
      <c r="AF681" s="911">
        <f>IF(E681="YES",IF(I681=1,C681,""),IF(I681=1,C681,IF(I681=2,C681,IF(I681=0,"",""))))</f>
        <v/>
      </c>
      <c r="AG681" s="192">
        <f>(C681*G681)+(C681*H681)+(C681*I681)</f>
        <v/>
      </c>
    </row>
    <row r="682">
      <c r="AA682" s="640">
        <f>IF(G682=0, IF(OR(H682&gt;0,F682&gt;0),C682*F682,""),"")</f>
        <v/>
      </c>
      <c r="AB682" s="640">
        <f>IF(G682&gt;=1,IF(F682&gt;1,C682*(F682-2),""),"")</f>
        <v/>
      </c>
      <c r="AC682" s="640" t="n"/>
      <c r="AD682" s="911">
        <f>IF(E682="YES",IF(G682=1,"",""),IF(G682=1,C682,IF(G682=2,C682,IF(G682=0,"",""))))</f>
        <v/>
      </c>
      <c r="AE682" s="911">
        <f>IF(E682="YES",IF(G682=1,"",IF(H682=1,C682,"")),IF(H682=1,C682,IF(H682=2,C682,IF(H682=0,"",""))))</f>
        <v/>
      </c>
      <c r="AF682" s="911">
        <f>IF(E682="YES",IF(I682=1,C682,""),IF(I682=1,C682,IF(I682=2,C682,IF(I682=0,"",""))))</f>
        <v/>
      </c>
      <c r="AG682" s="192">
        <f>(C682*G682)+(C682*H682)+(C682*I682)</f>
        <v/>
      </c>
    </row>
    <row r="683">
      <c r="AA683" s="640">
        <f>IF(G683=0, IF(OR(H683&gt;0,F683&gt;0),C683*F683,""),"")</f>
        <v/>
      </c>
      <c r="AB683" s="640">
        <f>IF(G683&gt;=1,IF(F683&gt;1,C683*(F683-2),""),"")</f>
        <v/>
      </c>
      <c r="AC683" s="640" t="n"/>
      <c r="AD683" s="911">
        <f>IF(E683="YES",IF(G683=1,"",""),IF(G683=1,C683,IF(G683=2,C683,IF(G683=0,"",""))))</f>
        <v/>
      </c>
      <c r="AE683" s="911">
        <f>IF(E683="YES",IF(G683=1,"",IF(H683=1,C683,"")),IF(H683=1,C683,IF(H683=2,C683,IF(H683=0,"",""))))</f>
        <v/>
      </c>
      <c r="AF683" s="911">
        <f>IF(E683="YES",IF(I683=1,C683,""),IF(I683=1,C683,IF(I683=2,C683,IF(I683=0,"",""))))</f>
        <v/>
      </c>
      <c r="AG683" s="192">
        <f>(C683*G683)+(C683*H683)+(C683*I683)</f>
        <v/>
      </c>
    </row>
    <row r="684">
      <c r="AA684" s="640">
        <f>IF(G684=0, IF(OR(H684&gt;0,F684&gt;0),C684*F684,""),"")</f>
        <v/>
      </c>
      <c r="AB684" s="640">
        <f>IF(G684&gt;=1,IF(F684&gt;1,C684*(F684-2),""),"")</f>
        <v/>
      </c>
      <c r="AC684" s="640" t="n"/>
      <c r="AD684" s="911">
        <f>IF(E684="YES",IF(G684=1,"",""),IF(G684=1,C684,IF(G684=2,C684,IF(G684=0,"",""))))</f>
        <v/>
      </c>
      <c r="AE684" s="911">
        <f>IF(E684="YES",IF(G684=1,"",IF(H684=1,C684,"")),IF(H684=1,C684,IF(H684=2,C684,IF(H684=0,"",""))))</f>
        <v/>
      </c>
      <c r="AF684" s="911">
        <f>IF(E684="YES",IF(I684=1,C684,""),IF(I684=1,C684,IF(I684=2,C684,IF(I684=0,"",""))))</f>
        <v/>
      </c>
      <c r="AG684" s="192">
        <f>(C684*G684)+(C684*H684)+(C684*I684)</f>
        <v/>
      </c>
    </row>
    <row r="685">
      <c r="AA685" s="640">
        <f>IF(G685=0, IF(OR(H685&gt;0,F685&gt;0),C685*F685,""),"")</f>
        <v/>
      </c>
      <c r="AB685" s="640">
        <f>IF(G685&gt;=1,IF(F685&gt;1,C685*(F685-2),""),"")</f>
        <v/>
      </c>
      <c r="AC685" s="640" t="n"/>
      <c r="AD685" s="911">
        <f>IF(E685="YES",IF(G685=1,"",""),IF(G685=1,C685,IF(G685=2,C685,IF(G685=0,"",""))))</f>
        <v/>
      </c>
      <c r="AE685" s="911">
        <f>IF(E685="YES",IF(G685=1,"",IF(H685=1,C685,"")),IF(H685=1,C685,IF(H685=2,C685,IF(H685=0,"",""))))</f>
        <v/>
      </c>
      <c r="AF685" s="911">
        <f>IF(E685="YES",IF(I685=1,C685,""),IF(I685=1,C685,IF(I685=2,C685,IF(I685=0,"",""))))</f>
        <v/>
      </c>
      <c r="AG685" s="192">
        <f>(C685*G685)+(C685*H685)+(C685*I685)</f>
        <v/>
      </c>
    </row>
    <row r="686">
      <c r="AA686" s="640">
        <f>IF(G686=0, IF(OR(H686&gt;0,F686&gt;0),C686*F686,""),"")</f>
        <v/>
      </c>
      <c r="AB686" s="640">
        <f>IF(G686&gt;=1,IF(F686&gt;1,C686*(F686-2),""),"")</f>
        <v/>
      </c>
      <c r="AC686" s="640" t="n"/>
      <c r="AD686" s="911">
        <f>IF(E686="YES",IF(G686=1,"",""),IF(G686=1,C686,IF(G686=2,C686,IF(G686=0,"",""))))</f>
        <v/>
      </c>
      <c r="AE686" s="911">
        <f>IF(E686="YES",IF(G686=1,"",IF(H686=1,C686,"")),IF(H686=1,C686,IF(H686=2,C686,IF(H686=0,"",""))))</f>
        <v/>
      </c>
      <c r="AF686" s="911">
        <f>IF(E686="YES",IF(I686=1,C686,""),IF(I686=1,C686,IF(I686=2,C686,IF(I686=0,"",""))))</f>
        <v/>
      </c>
      <c r="AG686" s="192">
        <f>(C686*G686)+(C686*H686)+(C686*I686)</f>
        <v/>
      </c>
    </row>
    <row r="687">
      <c r="AA687" s="640">
        <f>IF(G687=0, IF(OR(H687&gt;0,F687&gt;0),C687*F687,""),"")</f>
        <v/>
      </c>
      <c r="AB687" s="640">
        <f>IF(G687&gt;=1,IF(F687&gt;1,C687*(F687-2),""),"")</f>
        <v/>
      </c>
      <c r="AC687" s="640" t="n"/>
      <c r="AD687" s="911">
        <f>IF(E687="YES",IF(G687=1,"",""),IF(G687=1,C687,IF(G687=2,C687,IF(G687=0,"",""))))</f>
        <v/>
      </c>
      <c r="AE687" s="911">
        <f>IF(E687="YES",IF(G687=1,"",IF(H687=1,C687,"")),IF(H687=1,C687,IF(H687=2,C687,IF(H687=0,"",""))))</f>
        <v/>
      </c>
      <c r="AF687" s="911">
        <f>IF(E687="YES",IF(I687=1,C687,""),IF(I687=1,C687,IF(I687=2,C687,IF(I687=0,"",""))))</f>
        <v/>
      </c>
      <c r="AG687" s="192">
        <f>(C687*G687)+(C687*H687)+(C687*I687)</f>
        <v/>
      </c>
    </row>
    <row r="688">
      <c r="AA688" s="640">
        <f>IF(G688=0, IF(OR(H688&gt;0,F688&gt;0),C688*F688,""),"")</f>
        <v/>
      </c>
      <c r="AB688" s="640">
        <f>IF(G688&gt;=1,IF(F688&gt;1,C688*(F688-2),""),"")</f>
        <v/>
      </c>
      <c r="AC688" s="640" t="n"/>
      <c r="AD688" s="911">
        <f>IF(E688="YES",IF(G688=1,"",""),IF(G688=1,C688,IF(G688=2,C688,IF(G688=0,"",""))))</f>
        <v/>
      </c>
      <c r="AE688" s="911">
        <f>IF(E688="YES",IF(G688=1,"",IF(H688=1,C688,"")),IF(H688=1,C688,IF(H688=2,C688,IF(H688=0,"",""))))</f>
        <v/>
      </c>
      <c r="AF688" s="911">
        <f>IF(E688="YES",IF(I688=1,C688,""),IF(I688=1,C688,IF(I688=2,C688,IF(I688=0,"",""))))</f>
        <v/>
      </c>
      <c r="AG688" s="192">
        <f>(C688*G688)+(C688*H688)+(C688*I688)</f>
        <v/>
      </c>
    </row>
    <row r="689">
      <c r="AA689" s="640">
        <f>IF(G689=0, IF(OR(H689&gt;0,F689&gt;0),C689*F689,""),"")</f>
        <v/>
      </c>
      <c r="AB689" s="640">
        <f>IF(G689&gt;=1,IF(F689&gt;1,C689*(F689-2),""),"")</f>
        <v/>
      </c>
      <c r="AC689" s="640" t="n"/>
      <c r="AD689" s="911">
        <f>IF(E689="YES",IF(G689=1,"",""),IF(G689=1,C689,IF(G689=2,C689,IF(G689=0,"",""))))</f>
        <v/>
      </c>
      <c r="AE689" s="911">
        <f>IF(E689="YES",IF(G689=1,"",IF(H689=1,C689,"")),IF(H689=1,C689,IF(H689=2,C689,IF(H689=0,"",""))))</f>
        <v/>
      </c>
      <c r="AF689" s="911">
        <f>IF(E689="YES",IF(I689=1,C689,""),IF(I689=1,C689,IF(I689=2,C689,IF(I689=0,"",""))))</f>
        <v/>
      </c>
      <c r="AG689" s="192">
        <f>(C689*G689)+(C689*H689)+(C689*I689)</f>
        <v/>
      </c>
    </row>
    <row r="690">
      <c r="AA690" s="640">
        <f>IF(G690=0, IF(OR(H690&gt;0,F690&gt;0),C690*F690,""),"")</f>
        <v/>
      </c>
      <c r="AB690" s="640">
        <f>IF(G690&gt;=1,IF(F690&gt;1,C690*(F690-2),""),"")</f>
        <v/>
      </c>
      <c r="AC690" s="640" t="n"/>
      <c r="AD690" s="911">
        <f>IF(E690="YES",IF(G690=1,"",""),IF(G690=1,C690,IF(G690=2,C690,IF(G690=0,"",""))))</f>
        <v/>
      </c>
      <c r="AE690" s="911">
        <f>IF(E690="YES",IF(G690=1,"",IF(H690=1,C690,"")),IF(H690=1,C690,IF(H690=2,C690,IF(H690=0,"",""))))</f>
        <v/>
      </c>
      <c r="AF690" s="911">
        <f>IF(E690="YES",IF(I690=1,C690,""),IF(I690=1,C690,IF(I690=2,C690,IF(I690=0,"",""))))</f>
        <v/>
      </c>
      <c r="AG690" s="192">
        <f>(C690*G690)+(C690*H690)+(C690*I690)</f>
        <v/>
      </c>
    </row>
    <row r="691">
      <c r="AA691" s="640">
        <f>IF(G691=0, IF(OR(H691&gt;0,F691&gt;0),C691*F691,""),"")</f>
        <v/>
      </c>
      <c r="AB691" s="640">
        <f>IF(G691&gt;=1,IF(F691&gt;1,C691*(F691-2),""),"")</f>
        <v/>
      </c>
      <c r="AC691" s="640" t="n"/>
      <c r="AD691" s="911">
        <f>IF(E691="YES",IF(G691=1,"",""),IF(G691=1,C691,IF(G691=2,C691,IF(G691=0,"",""))))</f>
        <v/>
      </c>
      <c r="AE691" s="911">
        <f>IF(E691="YES",IF(G691=1,"",IF(H691=1,C691,"")),IF(H691=1,C691,IF(H691=2,C691,IF(H691=0,"",""))))</f>
        <v/>
      </c>
      <c r="AF691" s="911">
        <f>IF(E691="YES",IF(I691=1,C691,""),IF(I691=1,C691,IF(I691=2,C691,IF(I691=0,"",""))))</f>
        <v/>
      </c>
      <c r="AG691" s="192">
        <f>(C691*G691)+(C691*H691)+(C691*I691)</f>
        <v/>
      </c>
    </row>
    <row r="692">
      <c r="AA692" s="640">
        <f>IF(G692=0, IF(OR(H692&gt;0,F692&gt;0),C692*F692,""),"")</f>
        <v/>
      </c>
      <c r="AB692" s="640">
        <f>IF(G692&gt;=1,IF(F692&gt;1,C692*(F692-2),""),"")</f>
        <v/>
      </c>
      <c r="AC692" s="640" t="n"/>
      <c r="AD692" s="911">
        <f>IF(E692="YES",IF(G692=1,"",""),IF(G692=1,C692,IF(G692=2,C692,IF(G692=0,"",""))))</f>
        <v/>
      </c>
      <c r="AE692" s="911">
        <f>IF(E692="YES",IF(G692=1,"",IF(H692=1,C692,"")),IF(H692=1,C692,IF(H692=2,C692,IF(H692=0,"",""))))</f>
        <v/>
      </c>
      <c r="AF692" s="911">
        <f>IF(E692="YES",IF(I692=1,C692,""),IF(I692=1,C692,IF(I692=2,C692,IF(I692=0,"",""))))</f>
        <v/>
      </c>
      <c r="AG692" s="192">
        <f>(C692*G692)+(C692*H692)+(C692*I692)</f>
        <v/>
      </c>
    </row>
    <row r="693">
      <c r="AA693" s="640">
        <f>IF(G693=0, IF(OR(H693&gt;0,F693&gt;0),C693*F693,""),"")</f>
        <v/>
      </c>
      <c r="AB693" s="640">
        <f>IF(G693&gt;=1,IF(F693&gt;1,C693*(F693-2),""),"")</f>
        <v/>
      </c>
      <c r="AC693" s="640" t="n"/>
      <c r="AD693" s="911">
        <f>IF(E693="YES",IF(G693=1,"",""),IF(G693=1,C693,IF(G693=2,C693,IF(G693=0,"",""))))</f>
        <v/>
      </c>
      <c r="AE693" s="911">
        <f>IF(E693="YES",IF(G693=1,"",IF(H693=1,C693,"")),IF(H693=1,C693,IF(H693=2,C693,IF(H693=0,"",""))))</f>
        <v/>
      </c>
      <c r="AF693" s="911">
        <f>IF(E693="YES",IF(I693=1,C693,""),IF(I693=1,C693,IF(I693=2,C693,IF(I693=0,"",""))))</f>
        <v/>
      </c>
      <c r="AG693" s="192">
        <f>(C693*G693)+(C693*H693)+(C693*I693)</f>
        <v/>
      </c>
    </row>
    <row r="694">
      <c r="AA694" s="640">
        <f>IF(G694=0, IF(OR(H694&gt;0,F694&gt;0),C694*F694,""),"")</f>
        <v/>
      </c>
      <c r="AB694" s="640">
        <f>IF(G694&gt;=1,IF(F694&gt;1,C694*(F694-2),""),"")</f>
        <v/>
      </c>
      <c r="AC694" s="640" t="n"/>
      <c r="AD694" s="911">
        <f>IF(E694="YES",IF(G694=1,"",""),IF(G694=1,C694,IF(G694=2,C694,IF(G694=0,"",""))))</f>
        <v/>
      </c>
      <c r="AE694" s="911">
        <f>IF(E694="YES",IF(G694=1,"",IF(H694=1,C694,"")),IF(H694=1,C694,IF(H694=2,C694,IF(H694=0,"",""))))</f>
        <v/>
      </c>
      <c r="AF694" s="911">
        <f>IF(E694="YES",IF(I694=1,C694,""),IF(I694=1,C694,IF(I694=2,C694,IF(I694=0,"",""))))</f>
        <v/>
      </c>
      <c r="AG694" s="192">
        <f>(C694*G694)+(C694*H694)+(C694*I694)</f>
        <v/>
      </c>
    </row>
    <row r="695">
      <c r="AA695" s="640">
        <f>IF(G695=0, IF(OR(H695&gt;0,F695&gt;0),C695*F695,""),"")</f>
        <v/>
      </c>
      <c r="AB695" s="640">
        <f>IF(G695&gt;=1,IF(F695&gt;1,C695*(F695-2),""),"")</f>
        <v/>
      </c>
      <c r="AC695" s="640" t="n"/>
      <c r="AD695" s="911">
        <f>IF(E695="YES",IF(G695=1,"",""),IF(G695=1,C695,IF(G695=2,C695,IF(G695=0,"",""))))</f>
        <v/>
      </c>
      <c r="AE695" s="911">
        <f>IF(E695="YES",IF(G695=1,"",IF(H695=1,C695,"")),IF(H695=1,C695,IF(H695=2,C695,IF(H695=0,"",""))))</f>
        <v/>
      </c>
      <c r="AF695" s="911">
        <f>IF(E695="YES",IF(I695=1,C695,""),IF(I695=1,C695,IF(I695=2,C695,IF(I695=0,"",""))))</f>
        <v/>
      </c>
      <c r="AG695" s="192">
        <f>(C695*G695)+(C695*H695)+(C695*I695)</f>
        <v/>
      </c>
    </row>
    <row r="696">
      <c r="AA696" s="640">
        <f>IF(G696=0, IF(OR(H696&gt;0,F696&gt;0),C696*F696,""),"")</f>
        <v/>
      </c>
      <c r="AB696" s="640">
        <f>IF(G696&gt;=1,IF(F696&gt;1,C696*(F696-2),""),"")</f>
        <v/>
      </c>
      <c r="AC696" s="640" t="n"/>
      <c r="AD696" s="911">
        <f>IF(E696="YES",IF(G696=1,"",""),IF(G696=1,C696,IF(G696=2,C696,IF(G696=0,"",""))))</f>
        <v/>
      </c>
      <c r="AE696" s="911">
        <f>IF(E696="YES",IF(G696=1,"",IF(H696=1,C696,"")),IF(H696=1,C696,IF(H696=2,C696,IF(H696=0,"",""))))</f>
        <v/>
      </c>
      <c r="AF696" s="911">
        <f>IF(E696="YES",IF(I696=1,C696,""),IF(I696=1,C696,IF(I696=2,C696,IF(I696=0,"",""))))</f>
        <v/>
      </c>
      <c r="AG696" s="192">
        <f>(C696*G696)+(C696*H696)+(C696*I696)</f>
        <v/>
      </c>
    </row>
    <row r="697">
      <c r="AA697" s="640">
        <f>IF(G697=0, IF(OR(H697&gt;0,F697&gt;0),C697*F697,""),"")</f>
        <v/>
      </c>
      <c r="AB697" s="640">
        <f>IF(G697&gt;=1,IF(F697&gt;1,C697*(F697-2),""),"")</f>
        <v/>
      </c>
      <c r="AC697" s="640" t="n"/>
      <c r="AD697" s="911">
        <f>IF(E697="YES",IF(G697=1,"",""),IF(G697=1,C697,IF(G697=2,C697,IF(G697=0,"",""))))</f>
        <v/>
      </c>
      <c r="AE697" s="911">
        <f>IF(E697="YES",IF(G697=1,"",IF(H697=1,C697,"")),IF(H697=1,C697,IF(H697=2,C697,IF(H697=0,"",""))))</f>
        <v/>
      </c>
      <c r="AF697" s="911">
        <f>IF(E697="YES",IF(I697=1,C697,""),IF(I697=1,C697,IF(I697=2,C697,IF(I697=0,"",""))))</f>
        <v/>
      </c>
      <c r="AG697" s="192">
        <f>(C697*G697)+(C697*H697)+(C697*I697)</f>
        <v/>
      </c>
    </row>
    <row r="698">
      <c r="AA698" s="640">
        <f>IF(G698=0, IF(OR(H698&gt;0,F698&gt;0),C698*F698,""),"")</f>
        <v/>
      </c>
      <c r="AB698" s="640">
        <f>IF(G698&gt;=1,IF(F698&gt;1,C698*(F698-2),""),"")</f>
        <v/>
      </c>
      <c r="AC698" s="640" t="n"/>
      <c r="AD698" s="911">
        <f>IF(E698="YES",IF(G698=1,"",""),IF(G698=1,C698,IF(G698=2,C698,IF(G698=0,"",""))))</f>
        <v/>
      </c>
      <c r="AE698" s="911">
        <f>IF(E698="YES",IF(G698=1,"",IF(H698=1,C698,"")),IF(H698=1,C698,IF(H698=2,C698,IF(H698=0,"",""))))</f>
        <v/>
      </c>
      <c r="AF698" s="911">
        <f>IF(E698="YES",IF(I698=1,C698,""),IF(I698=1,C698,IF(I698=2,C698,IF(I698=0,"",""))))</f>
        <v/>
      </c>
      <c r="AG698" s="192">
        <f>(C698*G698)+(C698*H698)+(C698*I698)</f>
        <v/>
      </c>
    </row>
    <row r="699">
      <c r="AA699" s="640">
        <f>IF(G699=0, IF(OR(H699&gt;0,F699&gt;0),C699*F699,""),"")</f>
        <v/>
      </c>
      <c r="AB699" s="640">
        <f>IF(G699&gt;=1,IF(F699&gt;1,C699*(F699-2),""),"")</f>
        <v/>
      </c>
      <c r="AC699" s="640" t="n"/>
      <c r="AD699" s="911">
        <f>IF(E699="YES",IF(G699=1,"",""),IF(G699=1,C699,IF(G699=2,C699,IF(G699=0,"",""))))</f>
        <v/>
      </c>
      <c r="AE699" s="911">
        <f>IF(E699="YES",IF(G699=1,"",IF(H699=1,C699,"")),IF(H699=1,C699,IF(H699=2,C699,IF(H699=0,"",""))))</f>
        <v/>
      </c>
      <c r="AF699" s="911">
        <f>IF(E699="YES",IF(I699=1,C699,""),IF(I699=1,C699,IF(I699=2,C699,IF(I699=0,"",""))))</f>
        <v/>
      </c>
      <c r="AG699" s="192">
        <f>(C699*G699)+(C699*H699)+(C699*I699)</f>
        <v/>
      </c>
    </row>
    <row r="700">
      <c r="AA700" s="640">
        <f>IF(G700=0, IF(OR(H700&gt;0,F700&gt;0),C700*F700,""),"")</f>
        <v/>
      </c>
      <c r="AB700" s="640">
        <f>IF(G700&gt;=1,IF(F700&gt;1,C700*(F700-2),""),"")</f>
        <v/>
      </c>
      <c r="AC700" s="640" t="n"/>
      <c r="AD700" s="911">
        <f>IF(E700="YES",IF(G700=1,"",""),IF(G700=1,C700,IF(G700=2,C700,IF(G700=0,"",""))))</f>
        <v/>
      </c>
      <c r="AE700" s="911">
        <f>IF(E700="YES",IF(G700=1,"",IF(H700=1,C700,"")),IF(H700=1,C700,IF(H700=2,C700,IF(H700=0,"",""))))</f>
        <v/>
      </c>
      <c r="AF700" s="911">
        <f>IF(E700="YES",IF(I700=1,C700,""),IF(I700=1,C700,IF(I700=2,C700,IF(I700=0,"",""))))</f>
        <v/>
      </c>
      <c r="AG700" s="192">
        <f>(C700*G700)+(C700*H700)+(C700*I700)</f>
        <v/>
      </c>
    </row>
    <row r="701">
      <c r="AA701" s="640">
        <f>IF(G701=0, IF(OR(H701&gt;0,F701&gt;0),C701*F701,""),"")</f>
        <v/>
      </c>
      <c r="AB701" s="640">
        <f>IF(G701&gt;=1,IF(F701&gt;1,C701*(F701-2),""),"")</f>
        <v/>
      </c>
      <c r="AC701" s="640" t="n"/>
      <c r="AD701" s="911">
        <f>IF(E701="YES",IF(G701=1,"",""),IF(G701=1,C701,IF(G701=2,C701,IF(G701=0,"",""))))</f>
        <v/>
      </c>
      <c r="AE701" s="911">
        <f>IF(E701="YES",IF(G701=1,"",IF(H701=1,C701,"")),IF(H701=1,C701,IF(H701=2,C701,IF(H701=0,"",""))))</f>
        <v/>
      </c>
      <c r="AF701" s="911">
        <f>IF(E701="YES",IF(I701=1,C701,""),IF(I701=1,C701,IF(I701=2,C701,IF(I701=0,"",""))))</f>
        <v/>
      </c>
      <c r="AG701" s="192">
        <f>(C701*G701)+(C701*H701)+(C701*I701)</f>
        <v/>
      </c>
    </row>
    <row r="702">
      <c r="AA702" s="640">
        <f>IF(G702=0, IF(OR(H702&gt;0,F702&gt;0),C702*F702,""),"")</f>
        <v/>
      </c>
      <c r="AB702" s="640">
        <f>IF(G702&gt;=1,IF(F702&gt;1,C702*(F702-2),""),"")</f>
        <v/>
      </c>
      <c r="AC702" s="640" t="n"/>
      <c r="AD702" s="911">
        <f>IF(E702="YES",IF(G702=1,"",""),IF(G702=1,C702,IF(G702=2,C702,IF(G702=0,"",""))))</f>
        <v/>
      </c>
      <c r="AE702" s="911">
        <f>IF(E702="YES",IF(G702=1,"",IF(H702=1,C702,"")),IF(H702=1,C702,IF(H702=2,C702,IF(H702=0,"",""))))</f>
        <v/>
      </c>
      <c r="AF702" s="911">
        <f>IF(E702="YES",IF(I702=1,C702,""),IF(I702=1,C702,IF(I702=2,C702,IF(I702=0,"",""))))</f>
        <v/>
      </c>
      <c r="AG702" s="192">
        <f>(C702*G702)+(C702*H702)+(C702*I702)</f>
        <v/>
      </c>
    </row>
    <row r="703">
      <c r="AA703" s="640">
        <f>IF(G703=0, IF(OR(H703&gt;0,F703&gt;0),C703*F703,""),"")</f>
        <v/>
      </c>
      <c r="AB703" s="640">
        <f>IF(G703&gt;=1,IF(F703&gt;1,C703*(F703-2),""),"")</f>
        <v/>
      </c>
      <c r="AC703" s="640" t="n"/>
      <c r="AD703" s="911">
        <f>IF(E703="YES",IF(G703=1,"",""),IF(G703=1,C703,IF(G703=2,C703,IF(G703=0,"",""))))</f>
        <v/>
      </c>
      <c r="AE703" s="911">
        <f>IF(E703="YES",IF(G703=1,"",IF(H703=1,C703,"")),IF(H703=1,C703,IF(H703=2,C703,IF(H703=0,"",""))))</f>
        <v/>
      </c>
      <c r="AF703" s="911">
        <f>IF(E703="YES",IF(I703=1,C703,""),IF(I703=1,C703,IF(I703=2,C703,IF(I703=0,"",""))))</f>
        <v/>
      </c>
      <c r="AG703" s="192">
        <f>(C703*G703)+(C703*H703)+(C703*I703)</f>
        <v/>
      </c>
    </row>
    <row r="704">
      <c r="AA704" s="640">
        <f>IF(G704=0, IF(OR(H704&gt;0,F704&gt;0),C704*F704,""),"")</f>
        <v/>
      </c>
      <c r="AB704" s="640">
        <f>IF(G704&gt;=1,IF(F704&gt;1,C704*(F704-2),""),"")</f>
        <v/>
      </c>
      <c r="AC704" s="640" t="n"/>
      <c r="AD704" s="911">
        <f>IF(E704="YES",IF(G704=1,"",""),IF(G704=1,C704,IF(G704=2,C704,IF(G704=0,"",""))))</f>
        <v/>
      </c>
      <c r="AE704" s="911">
        <f>IF(E704="YES",IF(G704=1,"",IF(H704=1,C704,"")),IF(H704=1,C704,IF(H704=2,C704,IF(H704=0,"",""))))</f>
        <v/>
      </c>
      <c r="AF704" s="911">
        <f>IF(E704="YES",IF(I704=1,C704,""),IF(I704=1,C704,IF(I704=2,C704,IF(I704=0,"",""))))</f>
        <v/>
      </c>
      <c r="AG704" s="192">
        <f>(C704*G704)+(C704*H704)+(C704*I704)</f>
        <v/>
      </c>
    </row>
    <row r="705">
      <c r="AA705" s="640">
        <f>IF(G705=0, IF(OR(H705&gt;0,F705&gt;0),C705*F705,""),"")</f>
        <v/>
      </c>
      <c r="AB705" s="640">
        <f>IF(G705&gt;=1,IF(F705&gt;1,C705*(F705-2),""),"")</f>
        <v/>
      </c>
      <c r="AC705" s="640" t="n"/>
      <c r="AD705" s="911">
        <f>IF(E705="YES",IF(G705=1,"",""),IF(G705=1,C705,IF(G705=2,C705,IF(G705=0,"",""))))</f>
        <v/>
      </c>
      <c r="AE705" s="911">
        <f>IF(E705="YES",IF(G705=1,"",IF(H705=1,C705,"")),IF(H705=1,C705,IF(H705=2,C705,IF(H705=0,"",""))))</f>
        <v/>
      </c>
      <c r="AF705" s="911">
        <f>IF(E705="YES",IF(I705=1,C705,""),IF(I705=1,C705,IF(I705=2,C705,IF(I705=0,"",""))))</f>
        <v/>
      </c>
      <c r="AG705" s="192">
        <f>(C705*G705)+(C705*H705)+(C705*I705)</f>
        <v/>
      </c>
    </row>
    <row r="706">
      <c r="AA706" s="640">
        <f>IF(G706=0, IF(OR(H706&gt;0,F706&gt;0),C706*F706,""),"")</f>
        <v/>
      </c>
      <c r="AB706" s="640">
        <f>IF(G706&gt;=1,IF(F706&gt;1,C706*(F706-2),""),"")</f>
        <v/>
      </c>
      <c r="AC706" s="640" t="n"/>
      <c r="AD706" s="911">
        <f>IF(E706="YES",IF(G706=1,"",""),IF(G706=1,C706,IF(G706=2,C706,IF(G706=0,"",""))))</f>
        <v/>
      </c>
      <c r="AE706" s="911">
        <f>IF(E706="YES",IF(G706=1,"",IF(H706=1,C706,"")),IF(H706=1,C706,IF(H706=2,C706,IF(H706=0,"",""))))</f>
        <v/>
      </c>
      <c r="AF706" s="911">
        <f>IF(E706="YES",IF(I706=1,C706,""),IF(I706=1,C706,IF(I706=2,C706,IF(I706=0,"",""))))</f>
        <v/>
      </c>
      <c r="AG706" s="192">
        <f>(C706*G706)+(C706*H706)+(C706*I706)</f>
        <v/>
      </c>
    </row>
    <row r="707">
      <c r="AA707" s="640">
        <f>IF(G707=0, IF(OR(H707&gt;0,F707&gt;0),C707*F707,""),"")</f>
        <v/>
      </c>
      <c r="AB707" s="640">
        <f>IF(G707&gt;=1,IF(F707&gt;1,C707*(F707-2),""),"")</f>
        <v/>
      </c>
      <c r="AC707" s="640" t="n"/>
      <c r="AD707" s="911">
        <f>IF(E707="YES",IF(G707=1,"",""),IF(G707=1,C707,IF(G707=2,C707,IF(G707=0,"",""))))</f>
        <v/>
      </c>
      <c r="AE707" s="911">
        <f>IF(E707="YES",IF(G707=1,"",IF(H707=1,C707,"")),IF(H707=1,C707,IF(H707=2,C707,IF(H707=0,"",""))))</f>
        <v/>
      </c>
      <c r="AF707" s="911">
        <f>IF(E707="YES",IF(I707=1,C707,""),IF(I707=1,C707,IF(I707=2,C707,IF(I707=0,"",""))))</f>
        <v/>
      </c>
      <c r="AG707" s="192">
        <f>(C707*G707)+(C707*H707)+(C707*I707)</f>
        <v/>
      </c>
    </row>
    <row r="708">
      <c r="AA708" s="640">
        <f>IF(G708=0, IF(OR(H708&gt;0,F708&gt;0),C708*F708,""),"")</f>
        <v/>
      </c>
      <c r="AB708" s="640">
        <f>IF(G708&gt;=1,IF(F708&gt;1,C708*(F708-2),""),"")</f>
        <v/>
      </c>
      <c r="AC708" s="640" t="n"/>
      <c r="AD708" s="911">
        <f>IF(E708="YES",IF(G708=1,"",""),IF(G708=1,C708,IF(G708=2,C708,IF(G708=0,"",""))))</f>
        <v/>
      </c>
      <c r="AE708" s="911">
        <f>IF(E708="YES",IF(G708=1,"",IF(H708=1,C708,"")),IF(H708=1,C708,IF(H708=2,C708,IF(H708=0,"",""))))</f>
        <v/>
      </c>
      <c r="AF708" s="911">
        <f>IF(E708="YES",IF(I708=1,C708,""),IF(I708=1,C708,IF(I708=2,C708,IF(I708=0,"",""))))</f>
        <v/>
      </c>
      <c r="AG708" s="192">
        <f>(C708*G708)+(C708*H708)+(C708*I708)</f>
        <v/>
      </c>
    </row>
    <row r="709">
      <c r="AA709" s="640">
        <f>IF(G709=0, IF(OR(H709&gt;0,F709&gt;0),C709*F709,""),"")</f>
        <v/>
      </c>
      <c r="AB709" s="640">
        <f>IF(G709&gt;=1,IF(F709&gt;1,C709*(F709-2),""),"")</f>
        <v/>
      </c>
      <c r="AC709" s="640" t="n"/>
      <c r="AD709" s="911">
        <f>IF(E709="YES",IF(G709=1,"",""),IF(G709=1,C709,IF(G709=2,C709,IF(G709=0,"",""))))</f>
        <v/>
      </c>
      <c r="AE709" s="911">
        <f>IF(E709="YES",IF(G709=1,"",IF(H709=1,C709,"")),IF(H709=1,C709,IF(H709=2,C709,IF(H709=0,"",""))))</f>
        <v/>
      </c>
      <c r="AF709" s="911">
        <f>IF(E709="YES",IF(I709=1,C709,""),IF(I709=1,C709,IF(I709=2,C709,IF(I709=0,"",""))))</f>
        <v/>
      </c>
      <c r="AG709" s="192">
        <f>(C709*G709)+(C709*H709)+(C709*I709)</f>
        <v/>
      </c>
    </row>
    <row r="710">
      <c r="AA710" s="640">
        <f>IF(G710=0, IF(OR(H710&gt;0,F710&gt;0),C710*F710,""),"")</f>
        <v/>
      </c>
      <c r="AB710" s="640">
        <f>IF(G710&gt;=1,IF(F710&gt;1,C710*(F710-2),""),"")</f>
        <v/>
      </c>
      <c r="AC710" s="640" t="n"/>
      <c r="AD710" s="911">
        <f>IF(E710="YES",IF(G710=1,"",""),IF(G710=1,C710,IF(G710=2,C710,IF(G710=0,"",""))))</f>
        <v/>
      </c>
      <c r="AE710" s="911">
        <f>IF(E710="YES",IF(G710=1,"",IF(H710=1,C710,"")),IF(H710=1,C710,IF(H710=2,C710,IF(H710=0,"",""))))</f>
        <v/>
      </c>
      <c r="AF710" s="911">
        <f>IF(E710="YES",IF(I710=1,C710,""),IF(I710=1,C710,IF(I710=2,C710,IF(I710=0,"",""))))</f>
        <v/>
      </c>
      <c r="AG710" s="192">
        <f>(C710*G710)+(C710*H710)+(C710*I710)</f>
        <v/>
      </c>
    </row>
    <row r="711">
      <c r="AA711" s="640">
        <f>IF(G711=0, IF(OR(H711&gt;0,F711&gt;0),C711*F711,""),"")</f>
        <v/>
      </c>
      <c r="AB711" s="640">
        <f>IF(G711&gt;=1,IF(F711&gt;1,C711*(F711-2),""),"")</f>
        <v/>
      </c>
      <c r="AC711" s="640" t="n"/>
      <c r="AD711" s="911">
        <f>IF(E711="YES",IF(G711=1,"",""),IF(G711=1,C711,IF(G711=2,C711,IF(G711=0,"",""))))</f>
        <v/>
      </c>
      <c r="AE711" s="911">
        <f>IF(E711="YES",IF(G711=1,"",IF(H711=1,C711,"")),IF(H711=1,C711,IF(H711=2,C711,IF(H711=0,"",""))))</f>
        <v/>
      </c>
      <c r="AF711" s="911">
        <f>IF(E711="YES",IF(I711=1,C711,""),IF(I711=1,C711,IF(I711=2,C711,IF(I711=0,"",""))))</f>
        <v/>
      </c>
      <c r="AG711" s="192">
        <f>(C711*G711)+(C711*H711)+(C711*I711)</f>
        <v/>
      </c>
    </row>
    <row r="712">
      <c r="AA712" s="640">
        <f>IF(G712=0, IF(OR(H712&gt;0,F712&gt;0),C712*F712,""),"")</f>
        <v/>
      </c>
      <c r="AB712" s="640">
        <f>IF(G712&gt;=1,IF(F712&gt;1,C712*(F712-2),""),"")</f>
        <v/>
      </c>
      <c r="AC712" s="640" t="n"/>
      <c r="AD712" s="911">
        <f>IF(E712="YES",IF(G712=1,"",""),IF(G712=1,C712,IF(G712=2,C712,IF(G712=0,"",""))))</f>
        <v/>
      </c>
      <c r="AE712" s="911">
        <f>IF(E712="YES",IF(G712=1,"",IF(H712=1,C712,"")),IF(H712=1,C712,IF(H712=2,C712,IF(H712=0,"",""))))</f>
        <v/>
      </c>
      <c r="AF712" s="911">
        <f>IF(E712="YES",IF(I712=1,C712,""),IF(I712=1,C712,IF(I712=2,C712,IF(I712=0,"",""))))</f>
        <v/>
      </c>
      <c r="AG712" s="192">
        <f>(C712*G712)+(C712*H712)+(C712*I712)</f>
        <v/>
      </c>
    </row>
    <row r="713">
      <c r="AA713" s="640">
        <f>IF(G713=0, IF(OR(H713&gt;0,F713&gt;0),C713*F713,""),"")</f>
        <v/>
      </c>
      <c r="AB713" s="640">
        <f>IF(G713&gt;=1,IF(F713&gt;1,C713*(F713-2),""),"")</f>
        <v/>
      </c>
      <c r="AC713" s="640" t="n"/>
      <c r="AD713" s="911">
        <f>IF(E713="YES",IF(G713=1,"",""),IF(G713=1,C713,IF(G713=2,C713,IF(G713=0,"",""))))</f>
        <v/>
      </c>
      <c r="AE713" s="911">
        <f>IF(E713="YES",IF(G713=1,"",IF(H713=1,C713,"")),IF(H713=1,C713,IF(H713=2,C713,IF(H713=0,"",""))))</f>
        <v/>
      </c>
      <c r="AF713" s="911">
        <f>IF(E713="YES",IF(I713=1,C713,""),IF(I713=1,C713,IF(I713=2,C713,IF(I713=0,"",""))))</f>
        <v/>
      </c>
      <c r="AG713" s="192">
        <f>(C713*G713)+(C713*H713)+(C713*I713)</f>
        <v/>
      </c>
    </row>
    <row r="714">
      <c r="AA714" s="640">
        <f>IF(G714=0, IF(OR(H714&gt;0,F714&gt;0),C714*F714,""),"")</f>
        <v/>
      </c>
      <c r="AB714" s="640">
        <f>IF(G714&gt;=1,IF(F714&gt;1,C714*(F714-2),""),"")</f>
        <v/>
      </c>
      <c r="AC714" s="640" t="n"/>
      <c r="AD714" s="911">
        <f>IF(E714="YES",IF(G714=1,"",""),IF(G714=1,C714,IF(G714=2,C714,IF(G714=0,"",""))))</f>
        <v/>
      </c>
      <c r="AE714" s="911">
        <f>IF(E714="YES",IF(G714=1,"",IF(H714=1,C714,"")),IF(H714=1,C714,IF(H714=2,C714,IF(H714=0,"",""))))</f>
        <v/>
      </c>
      <c r="AF714" s="911">
        <f>IF(E714="YES",IF(I714=1,C714,""),IF(I714=1,C714,IF(I714=2,C714,IF(I714=0,"",""))))</f>
        <v/>
      </c>
      <c r="AG714" s="192">
        <f>(C714*G714)+(C714*H714)+(C714*I714)</f>
        <v/>
      </c>
    </row>
    <row r="715">
      <c r="AA715" s="640">
        <f>IF(G715=0, IF(OR(H715&gt;0,F715&gt;0),C715*F715,""),"")</f>
        <v/>
      </c>
      <c r="AB715" s="640">
        <f>IF(G715&gt;=1,IF(F715&gt;1,C715*(F715-2),""),"")</f>
        <v/>
      </c>
      <c r="AC715" s="640" t="n"/>
      <c r="AD715" s="911">
        <f>IF(E715="YES",IF(G715=1,"",""),IF(G715=1,C715,IF(G715=2,C715,IF(G715=0,"",""))))</f>
        <v/>
      </c>
      <c r="AE715" s="911">
        <f>IF(E715="YES",IF(G715=1,"",IF(H715=1,C715,"")),IF(H715=1,C715,IF(H715=2,C715,IF(H715=0,"",""))))</f>
        <v/>
      </c>
      <c r="AF715" s="911">
        <f>IF(E715="YES",IF(I715=1,C715,""),IF(I715=1,C715,IF(I715=2,C715,IF(I715=0,"",""))))</f>
        <v/>
      </c>
      <c r="AG715" s="192">
        <f>(C715*G715)+(C715*H715)+(C715*I715)</f>
        <v/>
      </c>
    </row>
    <row r="716">
      <c r="AA716" s="640">
        <f>IF(G716=0, IF(OR(H716&gt;0,F716&gt;0),C716*F716,""),"")</f>
        <v/>
      </c>
      <c r="AB716" s="640">
        <f>IF(G716&gt;=1,IF(F716&gt;1,C716*(F716-2),""),"")</f>
        <v/>
      </c>
      <c r="AC716" s="640" t="n"/>
      <c r="AD716" s="911">
        <f>IF(E716="YES",IF(G716=1,"",""),IF(G716=1,C716,IF(G716=2,C716,IF(G716=0,"",""))))</f>
        <v/>
      </c>
      <c r="AE716" s="911">
        <f>IF(E716="YES",IF(G716=1,"",IF(H716=1,C716,"")),IF(H716=1,C716,IF(H716=2,C716,IF(H716=0,"",""))))</f>
        <v/>
      </c>
      <c r="AF716" s="911">
        <f>IF(E716="YES",IF(I716=1,C716,""),IF(I716=1,C716,IF(I716=2,C716,IF(I716=0,"",""))))</f>
        <v/>
      </c>
      <c r="AG716" s="192">
        <f>(C716*G716)+(C716*H716)+(C716*I716)</f>
        <v/>
      </c>
    </row>
    <row r="717">
      <c r="AA717" s="640">
        <f>IF(G717=0, IF(OR(H717&gt;0,F717&gt;0),C717*F717,""),"")</f>
        <v/>
      </c>
      <c r="AB717" s="640">
        <f>IF(G717&gt;=1,IF(F717&gt;1,C717*(F717-2),""),"")</f>
        <v/>
      </c>
      <c r="AC717" s="640" t="n"/>
      <c r="AD717" s="911">
        <f>IF(E717="YES",IF(G717=1,"",""),IF(G717=1,C717,IF(G717=2,C717,IF(G717=0,"",""))))</f>
        <v/>
      </c>
      <c r="AE717" s="911">
        <f>IF(E717="YES",IF(G717=1,"",IF(H717=1,C717,"")),IF(H717=1,C717,IF(H717=2,C717,IF(H717=0,"",""))))</f>
        <v/>
      </c>
      <c r="AF717" s="911">
        <f>IF(E717="YES",IF(I717=1,C717,""),IF(I717=1,C717,IF(I717=2,C717,IF(I717=0,"",""))))</f>
        <v/>
      </c>
      <c r="AG717" s="192">
        <f>(C717*G717)+(C717*H717)+(C717*I717)</f>
        <v/>
      </c>
    </row>
    <row r="718">
      <c r="AA718" s="640">
        <f>IF(G718=0, IF(OR(H718&gt;0,F718&gt;0),C718*F718,""),"")</f>
        <v/>
      </c>
      <c r="AB718" s="640">
        <f>IF(G718&gt;=1,IF(F718&gt;1,C718*(F718-2),""),"")</f>
        <v/>
      </c>
      <c r="AC718" s="640" t="n"/>
      <c r="AD718" s="911">
        <f>IF(E718="YES",IF(G718=1,"",""),IF(G718=1,C718,IF(G718=2,C718,IF(G718=0,"",""))))</f>
        <v/>
      </c>
      <c r="AE718" s="911">
        <f>IF(E718="YES",IF(G718=1,"",IF(H718=1,C718,"")),IF(H718=1,C718,IF(H718=2,C718,IF(H718=0,"",""))))</f>
        <v/>
      </c>
      <c r="AF718" s="911">
        <f>IF(E718="YES",IF(I718=1,C718,""),IF(I718=1,C718,IF(I718=2,C718,IF(I718=0,"",""))))</f>
        <v/>
      </c>
      <c r="AG718" s="192">
        <f>(C718*G718)+(C718*H718)+(C718*I718)</f>
        <v/>
      </c>
    </row>
    <row r="719">
      <c r="AA719" s="640">
        <f>IF(G719=0, IF(OR(H719&gt;0,F719&gt;0),C719*F719,""),"")</f>
        <v/>
      </c>
      <c r="AB719" s="640">
        <f>IF(G719&gt;=1,IF(F719&gt;1,C719*(F719-2),""),"")</f>
        <v/>
      </c>
      <c r="AC719" s="640" t="n"/>
      <c r="AD719" s="911">
        <f>IF(E719="YES",IF(G719=1,"",""),IF(G719=1,C719,IF(G719=2,C719,IF(G719=0,"",""))))</f>
        <v/>
      </c>
      <c r="AE719" s="911">
        <f>IF(E719="YES",IF(G719=1,"",IF(H719=1,C719,"")),IF(H719=1,C719,IF(H719=2,C719,IF(H719=0,"",""))))</f>
        <v/>
      </c>
      <c r="AF719" s="911">
        <f>IF(E719="YES",IF(I719=1,C719,""),IF(I719=1,C719,IF(I719=2,C719,IF(I719=0,"",""))))</f>
        <v/>
      </c>
      <c r="AG719" s="192">
        <f>(C719*G719)+(C719*H719)+(C719*I719)</f>
        <v/>
      </c>
    </row>
    <row r="720">
      <c r="AA720" s="640">
        <f>IF(G720=0, IF(OR(H720&gt;0,F720&gt;0),C720*F720,""),"")</f>
        <v/>
      </c>
      <c r="AB720" s="640">
        <f>IF(G720&gt;=1,IF(F720&gt;1,C720*(F720-2),""),"")</f>
        <v/>
      </c>
      <c r="AC720" s="640" t="n"/>
      <c r="AD720" s="911">
        <f>IF(E720="YES",IF(G720=1,"",""),IF(G720=1,C720,IF(G720=2,C720,IF(G720=0,"",""))))</f>
        <v/>
      </c>
      <c r="AE720" s="911">
        <f>IF(E720="YES",IF(G720=1,"",IF(H720=1,C720,"")),IF(H720=1,C720,IF(H720=2,C720,IF(H720=0,"",""))))</f>
        <v/>
      </c>
      <c r="AF720" s="911">
        <f>IF(E720="YES",IF(I720=1,C720,""),IF(I720=1,C720,IF(I720=2,C720,IF(I720=0,"",""))))</f>
        <v/>
      </c>
      <c r="AG720" s="192">
        <f>(C720*G720)+(C720*H720)+(C720*I720)</f>
        <v/>
      </c>
    </row>
    <row r="721">
      <c r="AA721" s="640">
        <f>IF(G721=0, IF(OR(H721&gt;0,F721&gt;0),C721*F721,""),"")</f>
        <v/>
      </c>
      <c r="AB721" s="640">
        <f>IF(G721&gt;=1,IF(F721&gt;1,C721*(F721-2),""),"")</f>
        <v/>
      </c>
      <c r="AC721" s="640" t="n"/>
      <c r="AD721" s="911">
        <f>IF(E721="YES",IF(G721=1,"",""),IF(G721=1,C721,IF(G721=2,C721,IF(G721=0,"",""))))</f>
        <v/>
      </c>
      <c r="AE721" s="911">
        <f>IF(E721="YES",IF(G721=1,"",IF(H721=1,C721,"")),IF(H721=1,C721,IF(H721=2,C721,IF(H721=0,"",""))))</f>
        <v/>
      </c>
      <c r="AF721" s="911">
        <f>IF(E721="YES",IF(I721=1,C721,""),IF(I721=1,C721,IF(I721=2,C721,IF(I721=0,"",""))))</f>
        <v/>
      </c>
      <c r="AG721" s="192">
        <f>(C721*G721)+(C721*H721)+(C721*I721)</f>
        <v/>
      </c>
    </row>
    <row r="722">
      <c r="AA722" s="640">
        <f>IF(G722=0, IF(OR(H722&gt;0,F722&gt;0),C722*F722,""),"")</f>
        <v/>
      </c>
      <c r="AB722" s="640">
        <f>IF(G722&gt;=1,IF(F722&gt;1,C722*(F722-2),""),"")</f>
        <v/>
      </c>
      <c r="AC722" s="640" t="n"/>
      <c r="AD722" s="911">
        <f>IF(E722="YES",IF(G722=1,"",""),IF(G722=1,C722,IF(G722=2,C722,IF(G722=0,"",""))))</f>
        <v/>
      </c>
      <c r="AE722" s="911">
        <f>IF(E722="YES",IF(G722=1,"",IF(H722=1,C722,"")),IF(H722=1,C722,IF(H722=2,C722,IF(H722=0,"",""))))</f>
        <v/>
      </c>
      <c r="AF722" s="911">
        <f>IF(E722="YES",IF(I722=1,C722,""),IF(I722=1,C722,IF(I722=2,C722,IF(I722=0,"",""))))</f>
        <v/>
      </c>
      <c r="AG722" s="192">
        <f>(C722*G722)+(C722*H722)+(C722*I722)</f>
        <v/>
      </c>
    </row>
    <row r="723">
      <c r="AA723" s="640">
        <f>IF(G723=0, IF(OR(H723&gt;0,F723&gt;0),C723*F723,""),"")</f>
        <v/>
      </c>
      <c r="AB723" s="640">
        <f>IF(G723&gt;=1,IF(F723&gt;1,C723*(F723-2),""),"")</f>
        <v/>
      </c>
      <c r="AC723" s="640" t="n"/>
      <c r="AD723" s="911">
        <f>IF(E723="YES",IF(G723=1,"",""),IF(G723=1,C723,IF(G723=2,C723,IF(G723=0,"",""))))</f>
        <v/>
      </c>
      <c r="AE723" s="911">
        <f>IF(E723="YES",IF(G723=1,"",IF(H723=1,C723,"")),IF(H723=1,C723,IF(H723=2,C723,IF(H723=0,"",""))))</f>
        <v/>
      </c>
      <c r="AF723" s="911">
        <f>IF(E723="YES",IF(I723=1,C723,""),IF(I723=1,C723,IF(I723=2,C723,IF(I723=0,"",""))))</f>
        <v/>
      </c>
      <c r="AG723" s="192">
        <f>(C723*G723)+(C723*H723)+(C723*I723)</f>
        <v/>
      </c>
    </row>
    <row r="724">
      <c r="AA724" s="640">
        <f>IF(G724=0, IF(OR(H724&gt;0,F724&gt;0),C724*F724,""),"")</f>
        <v/>
      </c>
      <c r="AB724" s="640">
        <f>IF(G724&gt;=1,IF(F724&gt;1,C724*(F724-2),""),"")</f>
        <v/>
      </c>
      <c r="AC724" s="640" t="n"/>
      <c r="AD724" s="911">
        <f>IF(E724="YES",IF(G724=1,"",""),IF(G724=1,C724,IF(G724=2,C724,IF(G724=0,"",""))))</f>
        <v/>
      </c>
      <c r="AE724" s="911">
        <f>IF(E724="YES",IF(G724=1,"",IF(H724=1,C724,"")),IF(H724=1,C724,IF(H724=2,C724,IF(H724=0,"",""))))</f>
        <v/>
      </c>
      <c r="AF724" s="911">
        <f>IF(E724="YES",IF(I724=1,C724,""),IF(I724=1,C724,IF(I724=2,C724,IF(I724=0,"",""))))</f>
        <v/>
      </c>
      <c r="AG724" s="192">
        <f>(C724*G724)+(C724*H724)+(C724*I724)</f>
        <v/>
      </c>
    </row>
    <row r="725">
      <c r="AA725" s="640">
        <f>IF(G725=0, IF(OR(H725&gt;0,F725&gt;0),C725*F725,""),"")</f>
        <v/>
      </c>
      <c r="AB725" s="640">
        <f>IF(G725&gt;=1,IF(F725&gt;1,C725*(F725-2),""),"")</f>
        <v/>
      </c>
      <c r="AC725" s="640" t="n"/>
      <c r="AD725" s="911">
        <f>IF(E725="YES",IF(G725=1,"",""),IF(G725=1,C725,IF(G725=2,C725,IF(G725=0,"",""))))</f>
        <v/>
      </c>
      <c r="AE725" s="911">
        <f>IF(E725="YES",IF(G725=1,"",IF(H725=1,C725,"")),IF(H725=1,C725,IF(H725=2,C725,IF(H725=0,"",""))))</f>
        <v/>
      </c>
      <c r="AF725" s="911">
        <f>IF(E725="YES",IF(I725=1,C725,""),IF(I725=1,C725,IF(I725=2,C725,IF(I725=0,"",""))))</f>
        <v/>
      </c>
      <c r="AG725" s="192">
        <f>(C725*G725)+(C725*H725)+(C725*I725)</f>
        <v/>
      </c>
    </row>
    <row r="726">
      <c r="AA726" s="640">
        <f>IF(G726=0, IF(OR(H726&gt;0,F726&gt;0),C726*F726,""),"")</f>
        <v/>
      </c>
      <c r="AB726" s="640">
        <f>IF(G726&gt;=1,IF(F726&gt;1,C726*(F726-2),""),"")</f>
        <v/>
      </c>
      <c r="AC726" s="640" t="n"/>
      <c r="AD726" s="911">
        <f>IF(E726="YES",IF(G726=1,"",""),IF(G726=1,C726,IF(G726=2,C726,IF(G726=0,"",""))))</f>
        <v/>
      </c>
      <c r="AE726" s="911">
        <f>IF(E726="YES",IF(G726=1,"",IF(H726=1,C726,"")),IF(H726=1,C726,IF(H726=2,C726,IF(H726=0,"",""))))</f>
        <v/>
      </c>
      <c r="AF726" s="911">
        <f>IF(E726="YES",IF(I726=1,C726,""),IF(I726=1,C726,IF(I726=2,C726,IF(I726=0,"",""))))</f>
        <v/>
      </c>
      <c r="AG726" s="192">
        <f>(C726*G726)+(C726*H726)+(C726*I726)</f>
        <v/>
      </c>
    </row>
    <row r="727">
      <c r="AA727" s="640">
        <f>IF(G727=0, IF(OR(H727&gt;0,F727&gt;0),C727*F727,""),"")</f>
        <v/>
      </c>
      <c r="AB727" s="640">
        <f>IF(G727&gt;=1,IF(F727&gt;1,C727*(F727-2),""),"")</f>
        <v/>
      </c>
      <c r="AC727" s="640" t="n"/>
      <c r="AD727" s="911">
        <f>IF(E727="YES",IF(G727=1,"",""),IF(G727=1,C727,IF(G727=2,C727,IF(G727=0,"",""))))</f>
        <v/>
      </c>
      <c r="AE727" s="911">
        <f>IF(E727="YES",IF(G727=1,"",IF(H727=1,C727,"")),IF(H727=1,C727,IF(H727=2,C727,IF(H727=0,"",""))))</f>
        <v/>
      </c>
      <c r="AF727" s="911">
        <f>IF(E727="YES",IF(I727=1,C727,""),IF(I727=1,C727,IF(I727=2,C727,IF(I727=0,"",""))))</f>
        <v/>
      </c>
      <c r="AG727" s="192">
        <f>(C727*G727)+(C727*H727)+(C727*I727)</f>
        <v/>
      </c>
    </row>
    <row r="728">
      <c r="AA728" s="640">
        <f>IF(G728=0, IF(OR(H728&gt;0,F728&gt;0),C728*F728,""),"")</f>
        <v/>
      </c>
      <c r="AB728" s="640">
        <f>IF(G728&gt;=1,IF(F728&gt;1,C728*(F728-2),""),"")</f>
        <v/>
      </c>
      <c r="AC728" s="640" t="n"/>
      <c r="AD728" s="911">
        <f>IF(E728="YES",IF(G728=1,"",""),IF(G728=1,C728,IF(G728=2,C728,IF(G728=0,"",""))))</f>
        <v/>
      </c>
      <c r="AE728" s="911">
        <f>IF(E728="YES",IF(G728=1,"",IF(H728=1,C728,"")),IF(H728=1,C728,IF(H728=2,C728,IF(H728=0,"",""))))</f>
        <v/>
      </c>
      <c r="AF728" s="911">
        <f>IF(E728="YES",IF(I728=1,C728,""),IF(I728=1,C728,IF(I728=2,C728,IF(I728=0,"",""))))</f>
        <v/>
      </c>
      <c r="AG728" s="192">
        <f>(C728*G728)+(C728*H728)+(C728*I728)</f>
        <v/>
      </c>
    </row>
    <row r="729">
      <c r="AA729" s="640">
        <f>IF(G729=0, IF(OR(H729&gt;0,F729&gt;0),C729*F729,""),"")</f>
        <v/>
      </c>
      <c r="AB729" s="640">
        <f>IF(G729&gt;=1,IF(F729&gt;1,C729*(F729-2),""),"")</f>
        <v/>
      </c>
      <c r="AC729" s="640" t="n"/>
      <c r="AD729" s="911">
        <f>IF(E729="YES",IF(G729=1,"",""),IF(G729=1,C729,IF(G729=2,C729,IF(G729=0,"",""))))</f>
        <v/>
      </c>
      <c r="AE729" s="911">
        <f>IF(E729="YES",IF(G729=1,"",IF(H729=1,C729,"")),IF(H729=1,C729,IF(H729=2,C729,IF(H729=0,"",""))))</f>
        <v/>
      </c>
      <c r="AF729" s="911">
        <f>IF(E729="YES",IF(I729=1,C729,""),IF(I729=1,C729,IF(I729=2,C729,IF(I729=0,"",""))))</f>
        <v/>
      </c>
      <c r="AG729" s="192">
        <f>(C729*G729)+(C729*H729)+(C729*I729)</f>
        <v/>
      </c>
    </row>
    <row r="730">
      <c r="AA730" s="640">
        <f>IF(G730=0, IF(OR(H730&gt;0,F730&gt;0),C730*F730,""),"")</f>
        <v/>
      </c>
      <c r="AB730" s="640">
        <f>IF(G730&gt;=1,IF(F730&gt;1,C730*(F730-2),""),"")</f>
        <v/>
      </c>
      <c r="AC730" s="640" t="n"/>
      <c r="AD730" s="911">
        <f>IF(E730="YES",IF(G730=1,"",""),IF(G730=1,C730,IF(G730=2,C730,IF(G730=0,"",""))))</f>
        <v/>
      </c>
      <c r="AE730" s="911">
        <f>IF(E730="YES",IF(G730=1,"",IF(H730=1,C730,"")),IF(H730=1,C730,IF(H730=2,C730,IF(H730=0,"",""))))</f>
        <v/>
      </c>
      <c r="AF730" s="911">
        <f>IF(E730="YES",IF(I730=1,C730,""),IF(I730=1,C730,IF(I730=2,C730,IF(I730=0,"",""))))</f>
        <v/>
      </c>
      <c r="AG730" s="192">
        <f>(C730*G730)+(C730*H730)+(C730*I730)</f>
        <v/>
      </c>
    </row>
    <row r="731">
      <c r="AA731" s="640">
        <f>IF(G731=0, IF(OR(H731&gt;0,F731&gt;0),C731*F731,""),"")</f>
        <v/>
      </c>
      <c r="AB731" s="640">
        <f>IF(G731&gt;=1,IF(F731&gt;1,C731*(F731-2),""),"")</f>
        <v/>
      </c>
      <c r="AC731" s="640" t="n"/>
      <c r="AD731" s="911">
        <f>IF(E731="YES",IF(G731=1,"",""),IF(G731=1,C731,IF(G731=2,C731,IF(G731=0,"",""))))</f>
        <v/>
      </c>
      <c r="AE731" s="911">
        <f>IF(E731="YES",IF(G731=1,"",IF(H731=1,C731,"")),IF(H731=1,C731,IF(H731=2,C731,IF(H731=0,"",""))))</f>
        <v/>
      </c>
      <c r="AF731" s="911">
        <f>IF(E731="YES",IF(I731=1,C731,""),IF(I731=1,C731,IF(I731=2,C731,IF(I731=0,"",""))))</f>
        <v/>
      </c>
      <c r="AG731" s="192">
        <f>(C731*G731)+(C731*H731)+(C731*I731)</f>
        <v/>
      </c>
    </row>
    <row r="732">
      <c r="AA732" s="640">
        <f>IF(G732=0, IF(OR(H732&gt;0,F732&gt;0),C732*F732,""),"")</f>
        <v/>
      </c>
      <c r="AB732" s="640">
        <f>IF(G732&gt;=1,IF(F732&gt;1,C732*(F732-2),""),"")</f>
        <v/>
      </c>
      <c r="AC732" s="640" t="n"/>
      <c r="AD732" s="911">
        <f>IF(E732="YES",IF(G732=1,"",""),IF(G732=1,C732,IF(G732=2,C732,IF(G732=0,"",""))))</f>
        <v/>
      </c>
      <c r="AE732" s="911">
        <f>IF(E732="YES",IF(G732=1,"",IF(H732=1,C732,"")),IF(H732=1,C732,IF(H732=2,C732,IF(H732=0,"",""))))</f>
        <v/>
      </c>
      <c r="AF732" s="911">
        <f>IF(E732="YES",IF(I732=1,C732,""),IF(I732=1,C732,IF(I732=2,C732,IF(I732=0,"",""))))</f>
        <v/>
      </c>
      <c r="AG732" s="192">
        <f>(C732*G732)+(C732*H732)+(C732*I732)</f>
        <v/>
      </c>
    </row>
    <row r="733">
      <c r="AA733" s="640">
        <f>IF(G733=0, IF(OR(H733&gt;0,F733&gt;0),C733*F733,""),"")</f>
        <v/>
      </c>
      <c r="AB733" s="640">
        <f>IF(G733&gt;=1,IF(F733&gt;1,C733*(F733-2),""),"")</f>
        <v/>
      </c>
      <c r="AC733" s="640" t="n"/>
      <c r="AD733" s="911">
        <f>IF(E733="YES",IF(G733=1,"",""),IF(G733=1,C733,IF(G733=2,C733,IF(G733=0,"",""))))</f>
        <v/>
      </c>
      <c r="AE733" s="911">
        <f>IF(E733="YES",IF(G733=1,"",IF(H733=1,C733,"")),IF(H733=1,C733,IF(H733=2,C733,IF(H733=0,"",""))))</f>
        <v/>
      </c>
      <c r="AF733" s="911">
        <f>IF(E733="YES",IF(I733=1,C733,""),IF(I733=1,C733,IF(I733=2,C733,IF(I733=0,"",""))))</f>
        <v/>
      </c>
      <c r="AG733" s="192">
        <f>(C733*G733)+(C733*H733)+(C733*I733)</f>
        <v/>
      </c>
    </row>
    <row r="734">
      <c r="AA734" s="640">
        <f>IF(G734=0, IF(OR(H734&gt;0,F734&gt;0),C734*F734,""),"")</f>
        <v/>
      </c>
      <c r="AB734" s="640">
        <f>IF(G734&gt;=1,IF(F734&gt;1,C734*(F734-2),""),"")</f>
        <v/>
      </c>
      <c r="AC734" s="640" t="n"/>
      <c r="AD734" s="911">
        <f>IF(E734="YES",IF(G734=1,"",""),IF(G734=1,C734,IF(G734=2,C734,IF(G734=0,"",""))))</f>
        <v/>
      </c>
      <c r="AE734" s="911">
        <f>IF(E734="YES",IF(G734=1,"",IF(H734=1,C734,"")),IF(H734=1,C734,IF(H734=2,C734,IF(H734=0,"",""))))</f>
        <v/>
      </c>
      <c r="AF734" s="911">
        <f>IF(E734="YES",IF(I734=1,C734,""),IF(I734=1,C734,IF(I734=2,C734,IF(I734=0,"",""))))</f>
        <v/>
      </c>
      <c r="AG734" s="192">
        <f>(C734*G734)+(C734*H734)+(C734*I734)</f>
        <v/>
      </c>
    </row>
    <row r="735">
      <c r="AA735" s="640">
        <f>IF(G735=0, IF(OR(H735&gt;0,F735&gt;0),C735*F735,""),"")</f>
        <v/>
      </c>
      <c r="AB735" s="640">
        <f>IF(G735&gt;=1,IF(F735&gt;1,C735*(F735-2),""),"")</f>
        <v/>
      </c>
      <c r="AC735" s="640" t="n"/>
      <c r="AD735" s="911">
        <f>IF(E735="YES",IF(G735=1,"",""),IF(G735=1,C735,IF(G735=2,C735,IF(G735=0,"",""))))</f>
        <v/>
      </c>
      <c r="AE735" s="911">
        <f>IF(E735="YES",IF(G735=1,"",IF(H735=1,C735,"")),IF(H735=1,C735,IF(H735=2,C735,IF(H735=0,"",""))))</f>
        <v/>
      </c>
      <c r="AF735" s="911">
        <f>IF(E735="YES",IF(I735=1,C735,""),IF(I735=1,C735,IF(I735=2,C735,IF(I735=0,"",""))))</f>
        <v/>
      </c>
      <c r="AG735" s="192">
        <f>(C735*G735)+(C735*H735)+(C735*I735)</f>
        <v/>
      </c>
    </row>
    <row r="736">
      <c r="AA736" s="640">
        <f>IF(G736=0, IF(OR(H736&gt;0,F736&gt;0),C736*F736,""),"")</f>
        <v/>
      </c>
      <c r="AB736" s="640">
        <f>IF(G736&gt;=1,IF(F736&gt;1,C736*(F736-2),""),"")</f>
        <v/>
      </c>
      <c r="AC736" s="640" t="n"/>
      <c r="AD736" s="911">
        <f>IF(E736="YES",IF(G736=1,"",""),IF(G736=1,C736,IF(G736=2,C736,IF(G736=0,"",""))))</f>
        <v/>
      </c>
      <c r="AE736" s="911">
        <f>IF(E736="YES",IF(G736=1,"",IF(H736=1,C736,"")),IF(H736=1,C736,IF(H736=2,C736,IF(H736=0,"",""))))</f>
        <v/>
      </c>
      <c r="AF736" s="911">
        <f>IF(E736="YES",IF(I736=1,C736,""),IF(I736=1,C736,IF(I736=2,C736,IF(I736=0,"",""))))</f>
        <v/>
      </c>
      <c r="AG736" s="192">
        <f>(C736*G736)+(C736*H736)+(C736*I736)</f>
        <v/>
      </c>
    </row>
    <row r="737">
      <c r="AA737" s="640">
        <f>IF(G737=0, IF(OR(H737&gt;0,F737&gt;0),C737*F737,""),"")</f>
        <v/>
      </c>
      <c r="AB737" s="640">
        <f>IF(G737&gt;=1,IF(F737&gt;1,C737*(F737-2),""),"")</f>
        <v/>
      </c>
      <c r="AC737" s="640" t="n"/>
      <c r="AD737" s="911">
        <f>IF(E737="YES",IF(G737=1,"",""),IF(G737=1,C737,IF(G737=2,C737,IF(G737=0,"",""))))</f>
        <v/>
      </c>
      <c r="AE737" s="911">
        <f>IF(E737="YES",IF(G737=1,"",IF(H737=1,C737,"")),IF(H737=1,C737,IF(H737=2,C737,IF(H737=0,"",""))))</f>
        <v/>
      </c>
      <c r="AF737" s="911">
        <f>IF(E737="YES",IF(I737=1,C737,""),IF(I737=1,C737,IF(I737=2,C737,IF(I737=0,"",""))))</f>
        <v/>
      </c>
      <c r="AG737" s="192">
        <f>(C737*G737)+(C737*H737)+(C737*I737)</f>
        <v/>
      </c>
    </row>
    <row r="738">
      <c r="AA738" s="640">
        <f>IF(G738=0, IF(OR(H738&gt;0,F738&gt;0),C738*F738,""),"")</f>
        <v/>
      </c>
      <c r="AB738" s="640">
        <f>IF(G738&gt;=1,IF(F738&gt;1,C738*(F738-2),""),"")</f>
        <v/>
      </c>
      <c r="AC738" s="640" t="n"/>
      <c r="AD738" s="911">
        <f>IF(E738="YES",IF(G738=1,"",""),IF(G738=1,C738,IF(G738=2,C738,IF(G738=0,"",""))))</f>
        <v/>
      </c>
      <c r="AE738" s="911">
        <f>IF(E738="YES",IF(G738=1,"",IF(H738=1,C738,"")),IF(H738=1,C738,IF(H738=2,C738,IF(H738=0,"",""))))</f>
        <v/>
      </c>
      <c r="AF738" s="911">
        <f>IF(E738="YES",IF(I738=1,C738,""),IF(I738=1,C738,IF(I738=2,C738,IF(I738=0,"",""))))</f>
        <v/>
      </c>
      <c r="AG738" s="192">
        <f>(C738*G738)+(C738*H738)+(C738*I738)</f>
        <v/>
      </c>
    </row>
    <row r="739">
      <c r="AA739" s="640">
        <f>IF(G739=0, IF(OR(H739&gt;0,F739&gt;0),C739*F739,""),"")</f>
        <v/>
      </c>
      <c r="AB739" s="640">
        <f>IF(G739&gt;=1,IF(F739&gt;1,C739*(F739-2),""),"")</f>
        <v/>
      </c>
      <c r="AC739" s="640" t="n"/>
      <c r="AD739" s="911">
        <f>IF(E739="YES",IF(G739=1,"",""),IF(G739=1,C739,IF(G739=2,C739,IF(G739=0,"",""))))</f>
        <v/>
      </c>
      <c r="AE739" s="911">
        <f>IF(E739="YES",IF(G739=1,"",IF(H739=1,C739,"")),IF(H739=1,C739,IF(H739=2,C739,IF(H739=0,"",""))))</f>
        <v/>
      </c>
      <c r="AF739" s="911">
        <f>IF(E739="YES",IF(I739=1,C739,""),IF(I739=1,C739,IF(I739=2,C739,IF(I739=0,"",""))))</f>
        <v/>
      </c>
      <c r="AG739" s="192">
        <f>(C739*G739)+(C739*H739)+(C739*I739)</f>
        <v/>
      </c>
    </row>
    <row r="740">
      <c r="AA740" s="640">
        <f>IF(G740=0, IF(OR(H740&gt;0,F740&gt;0),C740*F740,""),"")</f>
        <v/>
      </c>
      <c r="AB740" s="640">
        <f>IF(G740&gt;=1,IF(F740&gt;1,C740*(F740-2),""),"")</f>
        <v/>
      </c>
      <c r="AC740" s="640" t="n"/>
      <c r="AD740" s="911">
        <f>IF(E740="YES",IF(G740=1,"",""),IF(G740=1,C740,IF(G740=2,C740,IF(G740=0,"",""))))</f>
        <v/>
      </c>
      <c r="AE740" s="911">
        <f>IF(E740="YES",IF(G740=1,"",IF(H740=1,C740,"")),IF(H740=1,C740,IF(H740=2,C740,IF(H740=0,"",""))))</f>
        <v/>
      </c>
      <c r="AF740" s="911">
        <f>IF(E740="YES",IF(I740=1,C740,""),IF(I740=1,C740,IF(I740=2,C740,IF(I740=0,"",""))))</f>
        <v/>
      </c>
      <c r="AG740" s="192">
        <f>(C740*G740)+(C740*H740)+(C740*I740)</f>
        <v/>
      </c>
    </row>
    <row r="741">
      <c r="AA741" s="640">
        <f>IF(G741=0, IF(OR(H741&gt;0,F741&gt;0),C741*F741,""),"")</f>
        <v/>
      </c>
      <c r="AB741" s="640">
        <f>IF(G741&gt;=1,IF(F741&gt;1,C741*(F741-2),""),"")</f>
        <v/>
      </c>
      <c r="AC741" s="640" t="n"/>
      <c r="AD741" s="911">
        <f>IF(E741="YES",IF(G741=1,"",""),IF(G741=1,C741,IF(G741=2,C741,IF(G741=0,"",""))))</f>
        <v/>
      </c>
      <c r="AE741" s="911">
        <f>IF(E741="YES",IF(G741=1,"",IF(H741=1,C741,"")),IF(H741=1,C741,IF(H741=2,C741,IF(H741=0,"",""))))</f>
        <v/>
      </c>
      <c r="AF741" s="911">
        <f>IF(E741="YES",IF(I741=1,C741,""),IF(I741=1,C741,IF(I741=2,C741,IF(I741=0,"",""))))</f>
        <v/>
      </c>
      <c r="AG741" s="192">
        <f>(C741*G741)+(C741*H741)+(C741*I741)</f>
        <v/>
      </c>
    </row>
    <row r="742">
      <c r="AA742" s="640">
        <f>IF(G742=0, IF(OR(H742&gt;0,F742&gt;0),C742*F742,""),"")</f>
        <v/>
      </c>
      <c r="AB742" s="640">
        <f>IF(G742&gt;=1,IF(F742&gt;1,C742*(F742-2),""),"")</f>
        <v/>
      </c>
      <c r="AC742" s="640" t="n"/>
      <c r="AD742" s="911">
        <f>IF(E742="YES",IF(G742=1,"",""),IF(G742=1,C742,IF(G742=2,C742,IF(G742=0,"",""))))</f>
        <v/>
      </c>
      <c r="AE742" s="911">
        <f>IF(E742="YES",IF(G742=1,"",IF(H742=1,C742,"")),IF(H742=1,C742,IF(H742=2,C742,IF(H742=0,"",""))))</f>
        <v/>
      </c>
      <c r="AF742" s="911">
        <f>IF(E742="YES",IF(I742=1,C742,""),IF(I742=1,C742,IF(I742=2,C742,IF(I742=0,"",""))))</f>
        <v/>
      </c>
      <c r="AG742" s="192">
        <f>(C742*G742)+(C742*H742)+(C742*I742)</f>
        <v/>
      </c>
    </row>
    <row r="743">
      <c r="AA743" s="640">
        <f>IF(G743=0, IF(OR(H743&gt;0,F743&gt;0),C743*F743,""),"")</f>
        <v/>
      </c>
      <c r="AB743" s="640">
        <f>IF(G743&gt;=1,IF(F743&gt;1,C743*(F743-2),""),"")</f>
        <v/>
      </c>
      <c r="AC743" s="640" t="n"/>
      <c r="AD743" s="911">
        <f>IF(E743="YES",IF(G743=1,"",""),IF(G743=1,C743,IF(G743=2,C743,IF(G743=0,"",""))))</f>
        <v/>
      </c>
      <c r="AE743" s="911">
        <f>IF(E743="YES",IF(G743=1,"",IF(H743=1,C743,"")),IF(H743=1,C743,IF(H743=2,C743,IF(H743=0,"",""))))</f>
        <v/>
      </c>
      <c r="AF743" s="911">
        <f>IF(E743="YES",IF(I743=1,C743,""),IF(I743=1,C743,IF(I743=2,C743,IF(I743=0,"",""))))</f>
        <v/>
      </c>
      <c r="AG743" s="192">
        <f>(C743*G743)+(C743*H743)+(C743*I743)</f>
        <v/>
      </c>
    </row>
    <row r="744">
      <c r="AA744" s="640">
        <f>IF(G744=0, IF(OR(H744&gt;0,F744&gt;0),C744*F744,""),"")</f>
        <v/>
      </c>
      <c r="AB744" s="640">
        <f>IF(G744&gt;=1,IF(F744&gt;1,C744*(F744-2),""),"")</f>
        <v/>
      </c>
      <c r="AC744" s="640" t="n"/>
      <c r="AD744" s="911">
        <f>IF(E744="YES",IF(G744=1,"",""),IF(G744=1,C744,IF(G744=2,C744,IF(G744=0,"",""))))</f>
        <v/>
      </c>
      <c r="AE744" s="911">
        <f>IF(E744="YES",IF(G744=1,"",IF(H744=1,C744,"")),IF(H744=1,C744,IF(H744=2,C744,IF(H744=0,"",""))))</f>
        <v/>
      </c>
      <c r="AF744" s="911">
        <f>IF(E744="YES",IF(I744=1,C744,""),IF(I744=1,C744,IF(I744=2,C744,IF(I744=0,"",""))))</f>
        <v/>
      </c>
      <c r="AG744" s="192">
        <f>(C744*G744)+(C744*H744)+(C744*I744)</f>
        <v/>
      </c>
    </row>
    <row r="745">
      <c r="AA745" s="640">
        <f>IF(G745=0, IF(OR(H745&gt;0,F745&gt;0),C745*F745,""),"")</f>
        <v/>
      </c>
      <c r="AB745" s="640">
        <f>IF(G745&gt;=1,IF(F745&gt;1,C745*(F745-2),""),"")</f>
        <v/>
      </c>
      <c r="AC745" s="640" t="n"/>
      <c r="AD745" s="911">
        <f>IF(E745="YES",IF(G745=1,"",""),IF(G745=1,C745,IF(G745=2,C745,IF(G745=0,"",""))))</f>
        <v/>
      </c>
      <c r="AE745" s="911">
        <f>IF(E745="YES",IF(G745=1,"",IF(H745=1,C745,"")),IF(H745=1,C745,IF(H745=2,C745,IF(H745=0,"",""))))</f>
        <v/>
      </c>
      <c r="AF745" s="911">
        <f>IF(E745="YES",IF(I745=1,C745,""),IF(I745=1,C745,IF(I745=2,C745,IF(I745=0,"",""))))</f>
        <v/>
      </c>
      <c r="AG745" s="192">
        <f>(C745*G745)+(C745*H745)+(C745*I745)</f>
        <v/>
      </c>
    </row>
    <row r="746">
      <c r="AA746" s="640">
        <f>IF(G746=0, IF(OR(H746&gt;0,F746&gt;0),C746*F746,""),"")</f>
        <v/>
      </c>
      <c r="AB746" s="640">
        <f>IF(G746&gt;=1,IF(F746&gt;1,C746*(F746-2),""),"")</f>
        <v/>
      </c>
      <c r="AC746" s="640" t="n"/>
      <c r="AD746" s="911">
        <f>IF(E746="YES",IF(G746=1,"",""),IF(G746=1,C746,IF(G746=2,C746,IF(G746=0,"",""))))</f>
        <v/>
      </c>
      <c r="AE746" s="911">
        <f>IF(E746="YES",IF(G746=1,"",IF(H746=1,C746,"")),IF(H746=1,C746,IF(H746=2,C746,IF(H746=0,"",""))))</f>
        <v/>
      </c>
      <c r="AF746" s="911">
        <f>IF(E746="YES",IF(I746=1,C746,""),IF(I746=1,C746,IF(I746=2,C746,IF(I746=0,"",""))))</f>
        <v/>
      </c>
      <c r="AG746" s="192">
        <f>(C746*G746)+(C746*H746)+(C746*I746)</f>
        <v/>
      </c>
    </row>
    <row r="747">
      <c r="AA747" s="640">
        <f>IF(G747=0, IF(OR(H747&gt;0,F747&gt;0),C747*F747,""),"")</f>
        <v/>
      </c>
      <c r="AB747" s="640">
        <f>IF(G747&gt;=1,IF(F747&gt;1,C747*(F747-2),""),"")</f>
        <v/>
      </c>
      <c r="AC747" s="640" t="n"/>
      <c r="AD747" s="911">
        <f>IF(E747="YES",IF(G747=1,"",""),IF(G747=1,C747,IF(G747=2,C747,IF(G747=0,"",""))))</f>
        <v/>
      </c>
      <c r="AE747" s="911">
        <f>IF(E747="YES",IF(G747=1,"",IF(H747=1,C747,"")),IF(H747=1,C747,IF(H747=2,C747,IF(H747=0,"",""))))</f>
        <v/>
      </c>
      <c r="AF747" s="911">
        <f>IF(E747="YES",IF(I747=1,C747,""),IF(I747=1,C747,IF(I747=2,C747,IF(I747=0,"",""))))</f>
        <v/>
      </c>
      <c r="AG747" s="192">
        <f>(C747*G747)+(C747*H747)+(C747*I747)</f>
        <v/>
      </c>
    </row>
    <row r="748">
      <c r="AA748" s="640">
        <f>IF(G748=0, IF(OR(H748&gt;0,F748&gt;0),C748*F748,""),"")</f>
        <v/>
      </c>
      <c r="AB748" s="640">
        <f>IF(G748&gt;=1,IF(F748&gt;1,C748*(F748-2),""),"")</f>
        <v/>
      </c>
      <c r="AC748" s="640" t="n"/>
      <c r="AD748" s="911">
        <f>IF(E748="YES",IF(G748=1,"",""),IF(G748=1,C748,IF(G748=2,C748,IF(G748=0,"",""))))</f>
        <v/>
      </c>
      <c r="AE748" s="911">
        <f>IF(E748="YES",IF(G748=1,"",IF(H748=1,C748,"")),IF(H748=1,C748,IF(H748=2,C748,IF(H748=0,"",""))))</f>
        <v/>
      </c>
      <c r="AF748" s="911">
        <f>IF(E748="YES",IF(I748=1,C748,""),IF(I748=1,C748,IF(I748=2,C748,IF(I748=0,"",""))))</f>
        <v/>
      </c>
      <c r="AG748" s="192">
        <f>(C748*G748)+(C748*H748)+(C748*I748)</f>
        <v/>
      </c>
    </row>
    <row r="749">
      <c r="AA749" s="640">
        <f>IF(G749=0, IF(OR(H749&gt;0,F749&gt;0),C749*F749,""),"")</f>
        <v/>
      </c>
      <c r="AB749" s="640">
        <f>IF(G749&gt;=1,IF(F749&gt;1,C749*(F749-2),""),"")</f>
        <v/>
      </c>
      <c r="AC749" s="640" t="n"/>
      <c r="AD749" s="911">
        <f>IF(E749="YES",IF(G749=1,"",""),IF(G749=1,C749,IF(G749=2,C749,IF(G749=0,"",""))))</f>
        <v/>
      </c>
      <c r="AE749" s="911">
        <f>IF(E749="YES",IF(G749=1,"",IF(H749=1,C749,"")),IF(H749=1,C749,IF(H749=2,C749,IF(H749=0,"",""))))</f>
        <v/>
      </c>
      <c r="AF749" s="911">
        <f>IF(E749="YES",IF(I749=1,C749,""),IF(I749=1,C749,IF(I749=2,C749,IF(I749=0,"",""))))</f>
        <v/>
      </c>
      <c r="AG749" s="192">
        <f>(C749*G749)+(C749*H749)+(C749*I749)</f>
        <v/>
      </c>
    </row>
    <row r="750">
      <c r="AA750" s="640">
        <f>IF(G750=0, IF(OR(H750&gt;0,F750&gt;0),C750*F750,""),"")</f>
        <v/>
      </c>
      <c r="AB750" s="640">
        <f>IF(G750&gt;=1,IF(F750&gt;1,C750*(F750-2),""),"")</f>
        <v/>
      </c>
      <c r="AC750" s="640" t="n"/>
      <c r="AD750" s="911">
        <f>IF(E750="YES",IF(G750=1,"",""),IF(G750=1,C750,IF(G750=2,C750,IF(G750=0,"",""))))</f>
        <v/>
      </c>
      <c r="AE750" s="911">
        <f>IF(E750="YES",IF(G750=1,"",IF(H750=1,C750,"")),IF(H750=1,C750,IF(H750=2,C750,IF(H750=0,"",""))))</f>
        <v/>
      </c>
      <c r="AF750" s="911">
        <f>IF(E750="YES",IF(I750=1,C750,""),IF(I750=1,C750,IF(I750=2,C750,IF(I750=0,"",""))))</f>
        <v/>
      </c>
      <c r="AG750" s="192">
        <f>(C750*G750)+(C750*H750)+(C750*I750)</f>
        <v/>
      </c>
    </row>
    <row r="751">
      <c r="AA751" s="640">
        <f>IF(G751=0, IF(OR(H751&gt;0,F751&gt;0),C751*F751,""),"")</f>
        <v/>
      </c>
      <c r="AB751" s="640">
        <f>IF(G751&gt;=1,IF(F751&gt;1,C751*(F751-2),""),"")</f>
        <v/>
      </c>
      <c r="AC751" s="640" t="n"/>
      <c r="AD751" s="911">
        <f>IF(E751="YES",IF(G751=1,"",""),IF(G751=1,C751,IF(G751=2,C751,IF(G751=0,"",""))))</f>
        <v/>
      </c>
      <c r="AE751" s="911">
        <f>IF(E751="YES",IF(G751=1,"",IF(H751=1,C751,"")),IF(H751=1,C751,IF(H751=2,C751,IF(H751=0,"",""))))</f>
        <v/>
      </c>
      <c r="AF751" s="911">
        <f>IF(E751="YES",IF(I751=1,C751,""),IF(I751=1,C751,IF(I751=2,C751,IF(I751=0,"",""))))</f>
        <v/>
      </c>
      <c r="AG751" s="192">
        <f>(C751*G751)+(C751*H751)+(C751*I751)</f>
        <v/>
      </c>
    </row>
    <row r="752">
      <c r="AA752" s="640">
        <f>IF(G752=0, IF(OR(H752&gt;0,F752&gt;0),C752*F752,""),"")</f>
        <v/>
      </c>
      <c r="AB752" s="640">
        <f>IF(G752&gt;=1,IF(F752&gt;1,C752*(F752-2),""),"")</f>
        <v/>
      </c>
      <c r="AC752" s="640" t="n"/>
      <c r="AD752" s="911">
        <f>IF(E752="YES",IF(G752=1,"",""),IF(G752=1,C752,IF(G752=2,C752,IF(G752=0,"",""))))</f>
        <v/>
      </c>
      <c r="AE752" s="911">
        <f>IF(E752="YES",IF(G752=1,"",IF(H752=1,C752,"")),IF(H752=1,C752,IF(H752=2,C752,IF(H752=0,"",""))))</f>
        <v/>
      </c>
      <c r="AF752" s="911">
        <f>IF(E752="YES",IF(I752=1,C752,""),IF(I752=1,C752,IF(I752=2,C752,IF(I752=0,"",""))))</f>
        <v/>
      </c>
      <c r="AG752" s="192">
        <f>(C752*G752)+(C752*H752)+(C752*I752)</f>
        <v/>
      </c>
    </row>
    <row r="753">
      <c r="AA753" s="640">
        <f>IF(G753=0, IF(OR(H753&gt;0,F753&gt;0),C753*F753,""),"")</f>
        <v/>
      </c>
      <c r="AB753" s="640">
        <f>IF(G753&gt;=1,IF(F753&gt;1,C753*(F753-2),""),"")</f>
        <v/>
      </c>
      <c r="AC753" s="640" t="n"/>
      <c r="AD753" s="911">
        <f>IF(E753="YES",IF(G753=1,"",""),IF(G753=1,C753,IF(G753=2,C753,IF(G753=0,"",""))))</f>
        <v/>
      </c>
      <c r="AE753" s="911">
        <f>IF(E753="YES",IF(G753=1,"",IF(H753=1,C753,"")),IF(H753=1,C753,IF(H753=2,C753,IF(H753=0,"",""))))</f>
        <v/>
      </c>
      <c r="AF753" s="911">
        <f>IF(E753="YES",IF(I753=1,C753,""),IF(I753=1,C753,IF(I753=2,C753,IF(I753=0,"",""))))</f>
        <v/>
      </c>
      <c r="AG753" s="192">
        <f>(C753*G753)+(C753*H753)+(C753*I753)</f>
        <v/>
      </c>
    </row>
    <row r="754">
      <c r="AA754" s="640">
        <f>IF(G754=0, IF(OR(H754&gt;0,F754&gt;0),C754*F754,""),"")</f>
        <v/>
      </c>
      <c r="AB754" s="640">
        <f>IF(G754&gt;=1,IF(F754&gt;1,C754*(F754-2),""),"")</f>
        <v/>
      </c>
      <c r="AC754" s="640" t="n"/>
      <c r="AD754" s="911">
        <f>IF(E754="YES",IF(G754=1,"",""),IF(G754=1,C754,IF(G754=2,C754,IF(G754=0,"",""))))</f>
        <v/>
      </c>
      <c r="AE754" s="911">
        <f>IF(E754="YES",IF(G754=1,"",IF(H754=1,C754,"")),IF(H754=1,C754,IF(H754=2,C754,IF(H754=0,"",""))))</f>
        <v/>
      </c>
      <c r="AF754" s="911">
        <f>IF(E754="YES",IF(I754=1,C754,""),IF(I754=1,C754,IF(I754=2,C754,IF(I754=0,"",""))))</f>
        <v/>
      </c>
      <c r="AG754" s="192">
        <f>(C754*G754)+(C754*H754)+(C754*I754)</f>
        <v/>
      </c>
    </row>
    <row r="755">
      <c r="AA755" s="640">
        <f>IF(G755=0, IF(OR(H755&gt;0,F755&gt;0),C755*F755,""),"")</f>
        <v/>
      </c>
      <c r="AB755" s="640">
        <f>IF(G755&gt;=1,IF(F755&gt;1,C755*(F755-2),""),"")</f>
        <v/>
      </c>
      <c r="AC755" s="640" t="n"/>
      <c r="AD755" s="911">
        <f>IF(E755="YES",IF(G755=1,"",""),IF(G755=1,C755,IF(G755=2,C755,IF(G755=0,"",""))))</f>
        <v/>
      </c>
      <c r="AE755" s="911">
        <f>IF(E755="YES",IF(G755=1,"",IF(H755=1,C755,"")),IF(H755=1,C755,IF(H755=2,C755,IF(H755=0,"",""))))</f>
        <v/>
      </c>
      <c r="AF755" s="911">
        <f>IF(E755="YES",IF(I755=1,C755,""),IF(I755=1,C755,IF(I755=2,C755,IF(I755=0,"",""))))</f>
        <v/>
      </c>
      <c r="AG755" s="192">
        <f>(C755*G755)+(C755*H755)+(C755*I755)</f>
        <v/>
      </c>
    </row>
    <row r="756">
      <c r="AA756" s="640">
        <f>IF(G756=0, IF(OR(H756&gt;0,F756&gt;0),C756*F756,""),"")</f>
        <v/>
      </c>
      <c r="AB756" s="640">
        <f>IF(G756&gt;=1,IF(F756&gt;1,C756*(F756-2),""),"")</f>
        <v/>
      </c>
      <c r="AC756" s="640" t="n"/>
      <c r="AD756" s="911">
        <f>IF(E756="YES",IF(G756=1,"",""),IF(G756=1,C756,IF(G756=2,C756,IF(G756=0,"",""))))</f>
        <v/>
      </c>
      <c r="AE756" s="911">
        <f>IF(E756="YES",IF(G756=1,"",IF(H756=1,C756,"")),IF(H756=1,C756,IF(H756=2,C756,IF(H756=0,"",""))))</f>
        <v/>
      </c>
      <c r="AF756" s="911">
        <f>IF(E756="YES",IF(I756=1,C756,""),IF(I756=1,C756,IF(I756=2,C756,IF(I756=0,"",""))))</f>
        <v/>
      </c>
      <c r="AG756" s="192">
        <f>(C756*G756)+(C756*H756)+(C756*I756)</f>
        <v/>
      </c>
    </row>
    <row r="757">
      <c r="AA757" s="640">
        <f>IF(G757=0, IF(OR(H757&gt;0,F757&gt;0),C757*F757,""),"")</f>
        <v/>
      </c>
      <c r="AB757" s="640">
        <f>IF(G757&gt;=1,IF(F757&gt;1,C757*(F757-2),""),"")</f>
        <v/>
      </c>
      <c r="AC757" s="640" t="n"/>
      <c r="AD757" s="911">
        <f>IF(E757="YES",IF(G757=1,"",""),IF(G757=1,C757,IF(G757=2,C757,IF(G757=0,"",""))))</f>
        <v/>
      </c>
      <c r="AE757" s="911">
        <f>IF(E757="YES",IF(G757=1,"",IF(H757=1,C757,"")),IF(H757=1,C757,IF(H757=2,C757,IF(H757=0,"",""))))</f>
        <v/>
      </c>
      <c r="AF757" s="911">
        <f>IF(E757="YES",IF(I757=1,C757,""),IF(I757=1,C757,IF(I757=2,C757,IF(I757=0,"",""))))</f>
        <v/>
      </c>
      <c r="AG757" s="192">
        <f>(C757*G757)+(C757*H757)+(C757*I757)</f>
        <v/>
      </c>
    </row>
    <row r="758">
      <c r="AA758" s="640">
        <f>IF(G758=0, IF(OR(H758&gt;0,F758&gt;0),C758*F758,""),"")</f>
        <v/>
      </c>
      <c r="AB758" s="640">
        <f>IF(G758&gt;=1,IF(F758&gt;1,C758*(F758-2),""),"")</f>
        <v/>
      </c>
      <c r="AC758" s="640" t="n"/>
      <c r="AD758" s="911">
        <f>IF(E758="YES",IF(G758=1,"",""),IF(G758=1,C758,IF(G758=2,C758,IF(G758=0,"",""))))</f>
        <v/>
      </c>
      <c r="AE758" s="911">
        <f>IF(E758="YES",IF(G758=1,"",IF(H758=1,C758,"")),IF(H758=1,C758,IF(H758=2,C758,IF(H758=0,"",""))))</f>
        <v/>
      </c>
      <c r="AF758" s="911">
        <f>IF(E758="YES",IF(I758=1,C758,""),IF(I758=1,C758,IF(I758=2,C758,IF(I758=0,"",""))))</f>
        <v/>
      </c>
      <c r="AG758" s="192">
        <f>(C758*G758)+(C758*H758)+(C758*I758)</f>
        <v/>
      </c>
    </row>
    <row r="759">
      <c r="AA759" s="640">
        <f>IF(G759=0, IF(OR(H759&gt;0,F759&gt;0),C759*F759,""),"")</f>
        <v/>
      </c>
      <c r="AB759" s="640">
        <f>IF(G759&gt;=1,IF(F759&gt;1,C759*(F759-2),""),"")</f>
        <v/>
      </c>
      <c r="AC759" s="640" t="n"/>
      <c r="AD759" s="911">
        <f>IF(E759="YES",IF(G759=1,"",""),IF(G759=1,C759,IF(G759=2,C759,IF(G759=0,"",""))))</f>
        <v/>
      </c>
      <c r="AE759" s="911">
        <f>IF(E759="YES",IF(G759=1,"",IF(H759=1,C759,"")),IF(H759=1,C759,IF(H759=2,C759,IF(H759=0,"",""))))</f>
        <v/>
      </c>
      <c r="AF759" s="911">
        <f>IF(E759="YES",IF(I759=1,C759,""),IF(I759=1,C759,IF(I759=2,C759,IF(I759=0,"",""))))</f>
        <v/>
      </c>
      <c r="AG759" s="192">
        <f>(C759*G759)+(C759*H759)+(C759*I759)</f>
        <v/>
      </c>
    </row>
    <row r="760">
      <c r="AA760" s="640">
        <f>IF(G760=0, IF(OR(H760&gt;0,F760&gt;0),C760*F760,""),"")</f>
        <v/>
      </c>
      <c r="AB760" s="640">
        <f>IF(G760&gt;=1,IF(F760&gt;1,C760*(F760-2),""),"")</f>
        <v/>
      </c>
      <c r="AC760" s="640" t="n"/>
      <c r="AD760" s="911">
        <f>IF(E760="YES",IF(G760=1,"",""),IF(G760=1,C760,IF(G760=2,C760,IF(G760=0,"",""))))</f>
        <v/>
      </c>
      <c r="AE760" s="911">
        <f>IF(E760="YES",IF(G760=1,"",IF(H760=1,C760,"")),IF(H760=1,C760,IF(H760=2,C760,IF(H760=0,"",""))))</f>
        <v/>
      </c>
      <c r="AF760" s="911">
        <f>IF(E760="YES",IF(I760=1,C760,""),IF(I760=1,C760,IF(I760=2,C760,IF(I760=0,"",""))))</f>
        <v/>
      </c>
      <c r="AG760" s="192">
        <f>(C760*G760)+(C760*H760)+(C760*I760)</f>
        <v/>
      </c>
    </row>
    <row r="761">
      <c r="AA761" s="640">
        <f>IF(G761=0, IF(OR(H761&gt;0,F761&gt;0),C761*F761,""),"")</f>
        <v/>
      </c>
      <c r="AB761" s="640">
        <f>IF(G761&gt;=1,IF(F761&gt;1,C761*(F761-2),""),"")</f>
        <v/>
      </c>
      <c r="AC761" s="640" t="n"/>
      <c r="AD761" s="911">
        <f>IF(E761="YES",IF(G761=1,"",""),IF(G761=1,C761,IF(G761=2,C761,IF(G761=0,"",""))))</f>
        <v/>
      </c>
      <c r="AE761" s="911">
        <f>IF(E761="YES",IF(G761=1,"",IF(H761=1,C761,"")),IF(H761=1,C761,IF(H761=2,C761,IF(H761=0,"",""))))</f>
        <v/>
      </c>
      <c r="AF761" s="911">
        <f>IF(E761="YES",IF(I761=1,C761,""),IF(I761=1,C761,IF(I761=2,C761,IF(I761=0,"",""))))</f>
        <v/>
      </c>
      <c r="AG761" s="192">
        <f>(C761*G761)+(C761*H761)+(C761*I761)</f>
        <v/>
      </c>
    </row>
    <row r="762">
      <c r="AA762" s="640">
        <f>IF(G762=0, IF(OR(H762&gt;0,F762&gt;0),C762*F762,""),"")</f>
        <v/>
      </c>
      <c r="AB762" s="640">
        <f>IF(G762&gt;=1,IF(F762&gt;1,C762*(F762-2),""),"")</f>
        <v/>
      </c>
      <c r="AC762" s="640" t="n"/>
      <c r="AD762" s="911">
        <f>IF(E762="YES",IF(G762=1,"",""),IF(G762=1,C762,IF(G762=2,C762,IF(G762=0,"",""))))</f>
        <v/>
      </c>
      <c r="AE762" s="911">
        <f>IF(E762="YES",IF(G762=1,"",IF(H762=1,C762,"")),IF(H762=1,C762,IF(H762=2,C762,IF(H762=0,"",""))))</f>
        <v/>
      </c>
      <c r="AF762" s="911">
        <f>IF(E762="YES",IF(I762=1,C762,""),IF(I762=1,C762,IF(I762=2,C762,IF(I762=0,"",""))))</f>
        <v/>
      </c>
      <c r="AG762" s="192">
        <f>(C762*G762)+(C762*H762)+(C762*I762)</f>
        <v/>
      </c>
    </row>
    <row r="763">
      <c r="AA763" s="640">
        <f>IF(G763=0, IF(OR(H763&gt;0,F763&gt;0),C763*F763,""),"")</f>
        <v/>
      </c>
      <c r="AB763" s="640">
        <f>IF(G763&gt;=1,IF(F763&gt;1,C763*(F763-2),""),"")</f>
        <v/>
      </c>
      <c r="AC763" s="640" t="n"/>
      <c r="AD763" s="911">
        <f>IF(E763="YES",IF(G763=1,"",""),IF(G763=1,C763,IF(G763=2,C763,IF(G763=0,"",""))))</f>
        <v/>
      </c>
      <c r="AE763" s="911">
        <f>IF(E763="YES",IF(G763=1,"",IF(H763=1,C763,"")),IF(H763=1,C763,IF(H763=2,C763,IF(H763=0,"",""))))</f>
        <v/>
      </c>
      <c r="AF763" s="911">
        <f>IF(E763="YES",IF(I763=1,C763,""),IF(I763=1,C763,IF(I763=2,C763,IF(I763=0,"",""))))</f>
        <v/>
      </c>
      <c r="AG763" s="192">
        <f>(C763*G763)+(C763*H763)+(C763*I763)</f>
        <v/>
      </c>
    </row>
    <row r="764">
      <c r="AA764" s="640">
        <f>IF(G764=0, IF(OR(H764&gt;0,F764&gt;0),C764*F764,""),"")</f>
        <v/>
      </c>
      <c r="AB764" s="640">
        <f>IF(G764&gt;=1,IF(F764&gt;1,C764*(F764-2),""),"")</f>
        <v/>
      </c>
      <c r="AC764" s="640" t="n"/>
      <c r="AD764" s="911">
        <f>IF(E764="YES",IF(G764=1,"",""),IF(G764=1,C764,IF(G764=2,C764,IF(G764=0,"",""))))</f>
        <v/>
      </c>
      <c r="AE764" s="911">
        <f>IF(E764="YES",IF(G764=1,"",IF(H764=1,C764,"")),IF(H764=1,C764,IF(H764=2,C764,IF(H764=0,"",""))))</f>
        <v/>
      </c>
      <c r="AF764" s="911">
        <f>IF(E764="YES",IF(I764=1,C764,""),IF(I764=1,C764,IF(I764=2,C764,IF(I764=0,"",""))))</f>
        <v/>
      </c>
      <c r="AG764" s="192">
        <f>(C764*G764)+(C764*H764)+(C764*I764)</f>
        <v/>
      </c>
    </row>
    <row r="765">
      <c r="AA765" s="640">
        <f>IF(G765=0, IF(OR(H765&gt;0,F765&gt;0),C765*F765,""),"")</f>
        <v/>
      </c>
      <c r="AB765" s="640">
        <f>IF(G765&gt;=1,IF(F765&gt;1,C765*(F765-2),""),"")</f>
        <v/>
      </c>
      <c r="AC765" s="640" t="n"/>
      <c r="AD765" s="911">
        <f>IF(E765="YES",IF(G765=1,"",""),IF(G765=1,C765,IF(G765=2,C765,IF(G765=0,"",""))))</f>
        <v/>
      </c>
      <c r="AE765" s="911">
        <f>IF(E765="YES",IF(G765=1,"",IF(H765=1,C765,"")),IF(H765=1,C765,IF(H765=2,C765,IF(H765=0,"",""))))</f>
        <v/>
      </c>
      <c r="AF765" s="911">
        <f>IF(E765="YES",IF(I765=1,C765,""),IF(I765=1,C765,IF(I765=2,C765,IF(I765=0,"",""))))</f>
        <v/>
      </c>
      <c r="AG765" s="192">
        <f>(C765*G765)+(C765*H765)+(C765*I765)</f>
        <v/>
      </c>
    </row>
    <row r="766">
      <c r="AA766" s="640">
        <f>IF(G766=0, IF(OR(H766&gt;0,F766&gt;0),C766*F766,""),"")</f>
        <v/>
      </c>
      <c r="AB766" s="640">
        <f>IF(G766&gt;=1,IF(F766&gt;1,C766*(F766-2),""),"")</f>
        <v/>
      </c>
      <c r="AC766" s="640" t="n"/>
      <c r="AD766" s="911">
        <f>IF(E766="YES",IF(G766=1,"",""),IF(G766=1,C766,IF(G766=2,C766,IF(G766=0,"",""))))</f>
        <v/>
      </c>
      <c r="AE766" s="911">
        <f>IF(E766="YES",IF(G766=1,"",IF(H766=1,C766,"")),IF(H766=1,C766,IF(H766=2,C766,IF(H766=0,"",""))))</f>
        <v/>
      </c>
      <c r="AF766" s="911">
        <f>IF(E766="YES",IF(I766=1,C766,""),IF(I766=1,C766,IF(I766=2,C766,IF(I766=0,"",""))))</f>
        <v/>
      </c>
      <c r="AG766" s="192">
        <f>(C766*G766)+(C766*H766)+(C766*I766)</f>
        <v/>
      </c>
    </row>
    <row r="767">
      <c r="AA767" s="640">
        <f>IF(G767=0, IF(OR(H767&gt;0,F767&gt;0),C767*F767,""),"")</f>
        <v/>
      </c>
      <c r="AB767" s="640">
        <f>IF(G767&gt;=1,IF(F767&gt;1,C767*(F767-2),""),"")</f>
        <v/>
      </c>
      <c r="AC767" s="640" t="n"/>
      <c r="AD767" s="911">
        <f>IF(E767="YES",IF(G767=1,"",""),IF(G767=1,C767,IF(G767=2,C767,IF(G767=0,"",""))))</f>
        <v/>
      </c>
      <c r="AE767" s="911">
        <f>IF(E767="YES",IF(G767=1,"",IF(H767=1,C767,"")),IF(H767=1,C767,IF(H767=2,C767,IF(H767=0,"",""))))</f>
        <v/>
      </c>
      <c r="AF767" s="911">
        <f>IF(E767="YES",IF(I767=1,C767,""),IF(I767=1,C767,IF(I767=2,C767,IF(I767=0,"",""))))</f>
        <v/>
      </c>
      <c r="AG767" s="192">
        <f>(C767*G767)+(C767*H767)+(C767*I767)</f>
        <v/>
      </c>
    </row>
    <row r="768">
      <c r="AA768" s="640">
        <f>IF(G768=0, IF(OR(H768&gt;0,F768&gt;0),C768*F768,""),"")</f>
        <v/>
      </c>
      <c r="AB768" s="640">
        <f>IF(G768&gt;=1,IF(F768&gt;1,C768*(F768-2),""),"")</f>
        <v/>
      </c>
      <c r="AC768" s="640" t="n"/>
      <c r="AD768" s="911">
        <f>IF(E768="YES",IF(G768=1,"",""),IF(G768=1,C768,IF(G768=2,C768,IF(G768=0,"",""))))</f>
        <v/>
      </c>
      <c r="AE768" s="911">
        <f>IF(E768="YES",IF(G768=1,"",IF(H768=1,C768,"")),IF(H768=1,C768,IF(H768=2,C768,IF(H768=0,"",""))))</f>
        <v/>
      </c>
      <c r="AF768" s="911">
        <f>IF(E768="YES",IF(I768=1,C768,""),IF(I768=1,C768,IF(I768=2,C768,IF(I768=0,"",""))))</f>
        <v/>
      </c>
      <c r="AG768" s="192">
        <f>(C768*G768)+(C768*H768)+(C768*I768)</f>
        <v/>
      </c>
    </row>
    <row r="769">
      <c r="AA769" s="640">
        <f>IF(G769=0, IF(OR(H769&gt;0,F769&gt;0),C769*F769,""),"")</f>
        <v/>
      </c>
      <c r="AB769" s="640">
        <f>IF(G769&gt;=1,IF(F769&gt;1,C769*(F769-2),""),"")</f>
        <v/>
      </c>
      <c r="AC769" s="640" t="n"/>
      <c r="AD769" s="911">
        <f>IF(E769="YES",IF(G769=1,"",""),IF(G769=1,C769,IF(G769=2,C769,IF(G769=0,"",""))))</f>
        <v/>
      </c>
      <c r="AE769" s="911">
        <f>IF(E769="YES",IF(G769=1,"",IF(H769=1,C769,"")),IF(H769=1,C769,IF(H769=2,C769,IF(H769=0,"",""))))</f>
        <v/>
      </c>
      <c r="AF769" s="911">
        <f>IF(E769="YES",IF(I769=1,C769,""),IF(I769=1,C769,IF(I769=2,C769,IF(I769=0,"",""))))</f>
        <v/>
      </c>
      <c r="AG769" s="192">
        <f>(C769*G769)+(C769*H769)+(C769*I769)</f>
        <v/>
      </c>
    </row>
    <row r="770">
      <c r="AA770" s="640">
        <f>IF(G770=0, IF(OR(H770&gt;0,F770&gt;0),C770*F770,""),"")</f>
        <v/>
      </c>
      <c r="AB770" s="640">
        <f>IF(G770&gt;=1,IF(F770&gt;1,C770*(F770-2),""),"")</f>
        <v/>
      </c>
      <c r="AC770" s="640" t="n"/>
      <c r="AD770" s="911">
        <f>IF(E770="YES",IF(G770=1,"",""),IF(G770=1,C770,IF(G770=2,C770,IF(G770=0,"",""))))</f>
        <v/>
      </c>
      <c r="AE770" s="911">
        <f>IF(E770="YES",IF(G770=1,"",IF(H770=1,C770,"")),IF(H770=1,C770,IF(H770=2,C770,IF(H770=0,"",""))))</f>
        <v/>
      </c>
      <c r="AF770" s="911">
        <f>IF(E770="YES",IF(I770=1,C770,""),IF(I770=1,C770,IF(I770=2,C770,IF(I770=0,"",""))))</f>
        <v/>
      </c>
      <c r="AG770" s="192">
        <f>(C770*G770)+(C770*H770)+(C770*I770)</f>
        <v/>
      </c>
    </row>
    <row r="771">
      <c r="AA771" s="640">
        <f>IF(G771=0, IF(OR(H771&gt;0,F771&gt;0),C771*F771,""),"")</f>
        <v/>
      </c>
      <c r="AB771" s="640">
        <f>IF(G771&gt;=1,IF(F771&gt;1,C771*(F771-2),""),"")</f>
        <v/>
      </c>
      <c r="AC771" s="640" t="n"/>
      <c r="AD771" s="911">
        <f>IF(E771="YES",IF(G771=1,"",""),IF(G771=1,C771,IF(G771=2,C771,IF(G771=0,"",""))))</f>
        <v/>
      </c>
      <c r="AE771" s="911">
        <f>IF(E771="YES",IF(G771=1,"",IF(H771=1,C771,"")),IF(H771=1,C771,IF(H771=2,C771,IF(H771=0,"",""))))</f>
        <v/>
      </c>
      <c r="AF771" s="911">
        <f>IF(E771="YES",IF(I771=1,C771,""),IF(I771=1,C771,IF(I771=2,C771,IF(I771=0,"",""))))</f>
        <v/>
      </c>
      <c r="AG771" s="192">
        <f>(C771*G771)+(C771*H771)+(C771*I771)</f>
        <v/>
      </c>
    </row>
    <row r="772">
      <c r="AA772" s="640">
        <f>IF(G772=0, IF(OR(H772&gt;0,F772&gt;0),C772*F772,""),"")</f>
        <v/>
      </c>
      <c r="AB772" s="640">
        <f>IF(G772&gt;=1,IF(F772&gt;1,C772*(F772-2),""),"")</f>
        <v/>
      </c>
      <c r="AC772" s="640" t="n"/>
      <c r="AD772" s="911">
        <f>IF(E772="YES",IF(G772=1,"",""),IF(G772=1,C772,IF(G772=2,C772,IF(G772=0,"",""))))</f>
        <v/>
      </c>
      <c r="AE772" s="911">
        <f>IF(E772="YES",IF(G772=1,"",IF(H772=1,C772,"")),IF(H772=1,C772,IF(H772=2,C772,IF(H772=0,"",""))))</f>
        <v/>
      </c>
      <c r="AF772" s="911">
        <f>IF(E772="YES",IF(I772=1,C772,""),IF(I772=1,C772,IF(I772=2,C772,IF(I772=0,"",""))))</f>
        <v/>
      </c>
      <c r="AG772" s="192">
        <f>(C772*G772)+(C772*H772)+(C772*I772)</f>
        <v/>
      </c>
    </row>
    <row r="773">
      <c r="AA773" s="640">
        <f>IF(G773=0, IF(OR(H773&gt;0,F773&gt;0),C773*F773,""),"")</f>
        <v/>
      </c>
      <c r="AB773" s="640">
        <f>IF(G773&gt;=1,IF(F773&gt;1,C773*(F773-2),""),"")</f>
        <v/>
      </c>
      <c r="AC773" s="640" t="n"/>
      <c r="AD773" s="911">
        <f>IF(E773="YES",IF(G773=1,"",""),IF(G773=1,C773,IF(G773=2,C773,IF(G773=0,"",""))))</f>
        <v/>
      </c>
      <c r="AE773" s="911">
        <f>IF(E773="YES",IF(G773=1,"",IF(H773=1,C773,"")),IF(H773=1,C773,IF(H773=2,C773,IF(H773=0,"",""))))</f>
        <v/>
      </c>
      <c r="AF773" s="911">
        <f>IF(E773="YES",IF(I773=1,C773,""),IF(I773=1,C773,IF(I773=2,C773,IF(I773=0,"",""))))</f>
        <v/>
      </c>
      <c r="AG773" s="192">
        <f>(C773*G773)+(C773*H773)+(C773*I773)</f>
        <v/>
      </c>
    </row>
    <row r="774">
      <c r="AA774" s="640">
        <f>IF(G774=0, IF(OR(H774&gt;0,F774&gt;0),C774*F774,""),"")</f>
        <v/>
      </c>
      <c r="AB774" s="640">
        <f>IF(G774&gt;=1,IF(F774&gt;1,C774*(F774-2),""),"")</f>
        <v/>
      </c>
      <c r="AC774" s="640" t="n"/>
      <c r="AD774" s="911">
        <f>IF(E774="YES",IF(G774=1,"",""),IF(G774=1,C774,IF(G774=2,C774,IF(G774=0,"",""))))</f>
        <v/>
      </c>
      <c r="AE774" s="911">
        <f>IF(E774="YES",IF(G774=1,"",IF(H774=1,C774,"")),IF(H774=1,C774,IF(H774=2,C774,IF(H774=0,"",""))))</f>
        <v/>
      </c>
      <c r="AF774" s="911">
        <f>IF(E774="YES",IF(I774=1,C774,""),IF(I774=1,C774,IF(I774=2,C774,IF(I774=0,"",""))))</f>
        <v/>
      </c>
      <c r="AG774" s="192">
        <f>(C774*G774)+(C774*H774)+(C774*I774)</f>
        <v/>
      </c>
    </row>
    <row r="775">
      <c r="AA775" s="640">
        <f>IF(G775=0, IF(OR(H775&gt;0,F775&gt;0),C775*F775,""),"")</f>
        <v/>
      </c>
      <c r="AB775" s="640">
        <f>IF(G775&gt;=1,IF(F775&gt;1,C775*(F775-2),""),"")</f>
        <v/>
      </c>
      <c r="AC775" s="640" t="n"/>
      <c r="AD775" s="911">
        <f>IF(E775="YES",IF(G775=1,"",""),IF(G775=1,C775,IF(G775=2,C775,IF(G775=0,"",""))))</f>
        <v/>
      </c>
      <c r="AE775" s="911">
        <f>IF(E775="YES",IF(G775=1,"",IF(H775=1,C775,"")),IF(H775=1,C775,IF(H775=2,C775,IF(H775=0,"",""))))</f>
        <v/>
      </c>
      <c r="AF775" s="911">
        <f>IF(E775="YES",IF(I775=1,C775,""),IF(I775=1,C775,IF(I775=2,C775,IF(I775=0,"",""))))</f>
        <v/>
      </c>
      <c r="AG775" s="192">
        <f>(C775*G775)+(C775*H775)+(C775*I775)</f>
        <v/>
      </c>
    </row>
    <row r="776">
      <c r="AA776" s="640">
        <f>IF(G776=0, IF(OR(H776&gt;0,F776&gt;0),C776*F776,""),"")</f>
        <v/>
      </c>
      <c r="AB776" s="640">
        <f>IF(G776&gt;=1,IF(F776&gt;1,C776*(F776-2),""),"")</f>
        <v/>
      </c>
      <c r="AC776" s="640" t="n"/>
      <c r="AD776" s="911">
        <f>IF(E776="YES",IF(G776=1,"",""),IF(G776=1,C776,IF(G776=2,C776,IF(G776=0,"",""))))</f>
        <v/>
      </c>
      <c r="AE776" s="911">
        <f>IF(E776="YES",IF(G776=1,"",IF(H776=1,C776,"")),IF(H776=1,C776,IF(H776=2,C776,IF(H776=0,"",""))))</f>
        <v/>
      </c>
      <c r="AF776" s="911">
        <f>IF(E776="YES",IF(I776=1,C776,""),IF(I776=1,C776,IF(I776=2,C776,IF(I776=0,"",""))))</f>
        <v/>
      </c>
      <c r="AG776" s="192">
        <f>(C776*G776)+(C776*H776)+(C776*I776)</f>
        <v/>
      </c>
    </row>
    <row r="777">
      <c r="AA777" s="640">
        <f>IF(G777=0, IF(OR(H777&gt;0,F777&gt;0),C777*F777,""),"")</f>
        <v/>
      </c>
      <c r="AB777" s="640">
        <f>IF(G777&gt;=1,IF(F777&gt;1,C777*(F777-2),""),"")</f>
        <v/>
      </c>
      <c r="AC777" s="640" t="n"/>
      <c r="AD777" s="911">
        <f>IF(E777="YES",IF(G777=1,"",""),IF(G777=1,C777,IF(G777=2,C777,IF(G777=0,"",""))))</f>
        <v/>
      </c>
      <c r="AE777" s="911">
        <f>IF(E777="YES",IF(G777=1,"",IF(H777=1,C777,"")),IF(H777=1,C777,IF(H777=2,C777,IF(H777=0,"",""))))</f>
        <v/>
      </c>
      <c r="AF777" s="911">
        <f>IF(E777="YES",IF(I777=1,C777,""),IF(I777=1,C777,IF(I777=2,C777,IF(I777=0,"",""))))</f>
        <v/>
      </c>
      <c r="AG777" s="192">
        <f>(C777*G777)+(C777*H777)+(C777*I777)</f>
        <v/>
      </c>
    </row>
    <row r="778">
      <c r="AA778" s="640">
        <f>IF(G778=0, IF(OR(H778&gt;0,F778&gt;0),C778*F778,""),"")</f>
        <v/>
      </c>
      <c r="AB778" s="640">
        <f>IF(G778&gt;=1,IF(F778&gt;1,C778*(F778-2),""),"")</f>
        <v/>
      </c>
      <c r="AC778" s="640" t="n"/>
      <c r="AD778" s="911">
        <f>IF(E778="YES",IF(G778=1,"",""),IF(G778=1,C778,IF(G778=2,C778,IF(G778=0,"",""))))</f>
        <v/>
      </c>
      <c r="AE778" s="911">
        <f>IF(E778="YES",IF(G778=1,"",IF(H778=1,C778,"")),IF(H778=1,C778,IF(H778=2,C778,IF(H778=0,"",""))))</f>
        <v/>
      </c>
      <c r="AF778" s="911">
        <f>IF(E778="YES",IF(I778=1,C778,""),IF(I778=1,C778,IF(I778=2,C778,IF(I778=0,"",""))))</f>
        <v/>
      </c>
      <c r="AG778" s="192">
        <f>(C778*G778)+(C778*H778)+(C778*I778)</f>
        <v/>
      </c>
    </row>
    <row r="779">
      <c r="AA779" s="640">
        <f>IF(G779=0, IF(OR(H779&gt;0,F779&gt;0),C779*F779,""),"")</f>
        <v/>
      </c>
      <c r="AB779" s="640">
        <f>IF(G779&gt;=1,IF(F779&gt;1,C779*(F779-2),""),"")</f>
        <v/>
      </c>
      <c r="AC779" s="640" t="n"/>
      <c r="AD779" s="911">
        <f>IF(E779="YES",IF(G779=1,"",""),IF(G779=1,C779,IF(G779=2,C779,IF(G779=0,"",""))))</f>
        <v/>
      </c>
      <c r="AE779" s="911">
        <f>IF(E779="YES",IF(G779=1,"",IF(H779=1,C779,"")),IF(H779=1,C779,IF(H779=2,C779,IF(H779=0,"",""))))</f>
        <v/>
      </c>
      <c r="AF779" s="911">
        <f>IF(E779="YES",IF(I779=1,C779,""),IF(I779=1,C779,IF(I779=2,C779,IF(I779=0,"",""))))</f>
        <v/>
      </c>
      <c r="AG779" s="192">
        <f>(C779*G779)+(C779*H779)+(C779*I779)</f>
        <v/>
      </c>
    </row>
    <row r="780">
      <c r="AA780" s="640">
        <f>IF(G780=0, IF(OR(H780&gt;0,F780&gt;0),C780*F780,""),"")</f>
        <v/>
      </c>
      <c r="AB780" s="640">
        <f>IF(G780&gt;=1,IF(F780&gt;1,C780*(F780-2),""),"")</f>
        <v/>
      </c>
      <c r="AC780" s="640" t="n"/>
      <c r="AD780" s="911">
        <f>IF(E780="YES",IF(G780=1,"",""),IF(G780=1,C780,IF(G780=2,C780,IF(G780=0,"",""))))</f>
        <v/>
      </c>
      <c r="AE780" s="911">
        <f>IF(E780="YES",IF(G780=1,"",IF(H780=1,C780,"")),IF(H780=1,C780,IF(H780=2,C780,IF(H780=0,"",""))))</f>
        <v/>
      </c>
      <c r="AF780" s="911">
        <f>IF(E780="YES",IF(I780=1,C780,""),IF(I780=1,C780,IF(I780=2,C780,IF(I780=0,"",""))))</f>
        <v/>
      </c>
      <c r="AG780" s="192">
        <f>(C780*G780)+(C780*H780)+(C780*I780)</f>
        <v/>
      </c>
    </row>
    <row r="781">
      <c r="AA781" s="640">
        <f>IF(G781=0, IF(OR(H781&gt;0,F781&gt;0),C781*F781,""),"")</f>
        <v/>
      </c>
      <c r="AB781" s="640">
        <f>IF(G781&gt;=1,IF(F781&gt;1,C781*(F781-2),""),"")</f>
        <v/>
      </c>
      <c r="AC781" s="640" t="n"/>
      <c r="AD781" s="911">
        <f>IF(E781="YES",IF(G781=1,"",""),IF(G781=1,C781,IF(G781=2,C781,IF(G781=0,"",""))))</f>
        <v/>
      </c>
      <c r="AE781" s="911">
        <f>IF(E781="YES",IF(G781=1,"",IF(H781=1,C781,"")),IF(H781=1,C781,IF(H781=2,C781,IF(H781=0,"",""))))</f>
        <v/>
      </c>
      <c r="AF781" s="911">
        <f>IF(E781="YES",IF(I781=1,C781,""),IF(I781=1,C781,IF(I781=2,C781,IF(I781=0,"",""))))</f>
        <v/>
      </c>
      <c r="AG781" s="192">
        <f>(C781*G781)+(C781*H781)+(C781*I781)</f>
        <v/>
      </c>
    </row>
    <row r="782">
      <c r="AA782" s="640">
        <f>IF(G782=0, IF(OR(H782&gt;0,F782&gt;0),C782*F782,""),"")</f>
        <v/>
      </c>
      <c r="AB782" s="640">
        <f>IF(G782&gt;=1,IF(F782&gt;1,C782*(F782-2),""),"")</f>
        <v/>
      </c>
      <c r="AC782" s="640" t="n"/>
      <c r="AD782" s="911">
        <f>IF(E782="YES",IF(G782=1,"",""),IF(G782=1,C782,IF(G782=2,C782,IF(G782=0,"",""))))</f>
        <v/>
      </c>
      <c r="AE782" s="911">
        <f>IF(E782="YES",IF(G782=1,"",IF(H782=1,C782,"")),IF(H782=1,C782,IF(H782=2,C782,IF(H782=0,"",""))))</f>
        <v/>
      </c>
      <c r="AF782" s="911">
        <f>IF(E782="YES",IF(I782=1,C782,""),IF(I782=1,C782,IF(I782=2,C782,IF(I782=0,"",""))))</f>
        <v/>
      </c>
      <c r="AG782" s="192">
        <f>(C782*G782)+(C782*H782)+(C782*I782)</f>
        <v/>
      </c>
    </row>
    <row r="783">
      <c r="AA783" s="640">
        <f>IF(G783=0, IF(OR(H783&gt;0,F783&gt;0),C783*F783,""),"")</f>
        <v/>
      </c>
      <c r="AB783" s="640">
        <f>IF(G783&gt;=1,IF(F783&gt;1,C783*(F783-2),""),"")</f>
        <v/>
      </c>
      <c r="AC783" s="640" t="n"/>
      <c r="AD783" s="911">
        <f>IF(E783="YES",IF(G783=1,"",""),IF(G783=1,C783,IF(G783=2,C783,IF(G783=0,"",""))))</f>
        <v/>
      </c>
      <c r="AE783" s="911">
        <f>IF(E783="YES",IF(G783=1,"",IF(H783=1,C783,"")),IF(H783=1,C783,IF(H783=2,C783,IF(H783=0,"",""))))</f>
        <v/>
      </c>
      <c r="AF783" s="911">
        <f>IF(E783="YES",IF(I783=1,C783,""),IF(I783=1,C783,IF(I783=2,C783,IF(I783=0,"",""))))</f>
        <v/>
      </c>
      <c r="AG783" s="192">
        <f>(C783*G783)+(C783*H783)+(C783*I783)</f>
        <v/>
      </c>
    </row>
    <row r="784">
      <c r="AA784" s="640">
        <f>IF(G784=0, IF(OR(H784&gt;0,F784&gt;0),C784*F784,""),"")</f>
        <v/>
      </c>
      <c r="AB784" s="640">
        <f>IF(G784&gt;=1,IF(F784&gt;1,C784*(F784-2),""),"")</f>
        <v/>
      </c>
      <c r="AC784" s="640" t="n"/>
      <c r="AD784" s="911">
        <f>IF(E784="YES",IF(G784=1,"",""),IF(G784=1,C784,IF(G784=2,C784,IF(G784=0,"",""))))</f>
        <v/>
      </c>
      <c r="AE784" s="911">
        <f>IF(E784="YES",IF(G784=1,"",IF(H784=1,C784,"")),IF(H784=1,C784,IF(H784=2,C784,IF(H784=0,"",""))))</f>
        <v/>
      </c>
      <c r="AF784" s="911">
        <f>IF(E784="YES",IF(I784=1,C784,""),IF(I784=1,C784,IF(I784=2,C784,IF(I784=0,"",""))))</f>
        <v/>
      </c>
      <c r="AG784" s="192">
        <f>(C784*G784)+(C784*H784)+(C784*I784)</f>
        <v/>
      </c>
    </row>
    <row r="785">
      <c r="AA785" s="640">
        <f>IF(G785=0, IF(OR(H785&gt;0,F785&gt;0),C785*F785,""),"")</f>
        <v/>
      </c>
      <c r="AB785" s="640">
        <f>IF(G785&gt;=1,IF(F785&gt;1,C785*(F785-2),""),"")</f>
        <v/>
      </c>
      <c r="AC785" s="640" t="n"/>
      <c r="AD785" s="911">
        <f>IF(E785="YES",IF(G785=1,"",""),IF(G785=1,C785,IF(G785=2,C785,IF(G785=0,"",""))))</f>
        <v/>
      </c>
      <c r="AE785" s="911">
        <f>IF(E785="YES",IF(G785=1,"",IF(H785=1,C785,"")),IF(H785=1,C785,IF(H785=2,C785,IF(H785=0,"",""))))</f>
        <v/>
      </c>
      <c r="AF785" s="911">
        <f>IF(E785="YES",IF(I785=1,C785,""),IF(I785=1,C785,IF(I785=2,C785,IF(I785=0,"",""))))</f>
        <v/>
      </c>
      <c r="AG785" s="192">
        <f>(C785*G785)+(C785*H785)+(C785*I785)</f>
        <v/>
      </c>
    </row>
    <row r="786">
      <c r="AA786" s="640">
        <f>IF(G786=0, IF(OR(H786&gt;0,F786&gt;0),C786*F786,""),"")</f>
        <v/>
      </c>
      <c r="AB786" s="640">
        <f>IF(G786&gt;=1,IF(F786&gt;1,C786*(F786-2),""),"")</f>
        <v/>
      </c>
      <c r="AC786" s="640" t="n"/>
      <c r="AD786" s="911">
        <f>IF(E786="YES",IF(G786=1,"",""),IF(G786=1,C786,IF(G786=2,C786,IF(G786=0,"",""))))</f>
        <v/>
      </c>
      <c r="AE786" s="911">
        <f>IF(E786="YES",IF(G786=1,"",IF(H786=1,C786,"")),IF(H786=1,C786,IF(H786=2,C786,IF(H786=0,"",""))))</f>
        <v/>
      </c>
      <c r="AF786" s="911">
        <f>IF(E786="YES",IF(I786=1,C786,""),IF(I786=1,C786,IF(I786=2,C786,IF(I786=0,"",""))))</f>
        <v/>
      </c>
      <c r="AG786" s="192">
        <f>(C786*G786)+(C786*H786)+(C786*I786)</f>
        <v/>
      </c>
    </row>
    <row r="787">
      <c r="AA787" s="640">
        <f>IF(G787=0, IF(OR(H787&gt;0,F787&gt;0),C787*F787,""),"")</f>
        <v/>
      </c>
      <c r="AB787" s="640">
        <f>IF(G787&gt;=1,IF(F787&gt;1,C787*(F787-2),""),"")</f>
        <v/>
      </c>
      <c r="AC787" s="640" t="n"/>
      <c r="AD787" s="911">
        <f>IF(E787="YES",IF(G787=1,"",""),IF(G787=1,C787,IF(G787=2,C787,IF(G787=0,"",""))))</f>
        <v/>
      </c>
      <c r="AE787" s="911">
        <f>IF(E787="YES",IF(G787=1,"",IF(H787=1,C787,"")),IF(H787=1,C787,IF(H787=2,C787,IF(H787=0,"",""))))</f>
        <v/>
      </c>
      <c r="AF787" s="911">
        <f>IF(E787="YES",IF(I787=1,C787,""),IF(I787=1,C787,IF(I787=2,C787,IF(I787=0,"",""))))</f>
        <v/>
      </c>
      <c r="AG787" s="192">
        <f>(C787*G787)+(C787*H787)+(C787*I787)</f>
        <v/>
      </c>
    </row>
    <row r="788">
      <c r="AA788" s="640">
        <f>IF(G788=0, IF(OR(H788&gt;0,F788&gt;0),C788*F788,""),"")</f>
        <v/>
      </c>
      <c r="AB788" s="640">
        <f>IF(G788&gt;=1,IF(F788&gt;1,C788*(F788-2),""),"")</f>
        <v/>
      </c>
      <c r="AC788" s="640" t="n"/>
      <c r="AD788" s="911">
        <f>IF(E788="YES",IF(G788=1,"",""),IF(G788=1,C788,IF(G788=2,C788,IF(G788=0,"",""))))</f>
        <v/>
      </c>
      <c r="AE788" s="911">
        <f>IF(E788="YES",IF(G788=1,"",IF(H788=1,C788,"")),IF(H788=1,C788,IF(H788=2,C788,IF(H788=0,"",""))))</f>
        <v/>
      </c>
      <c r="AF788" s="911">
        <f>IF(E788="YES",IF(I788=1,C788,""),IF(I788=1,C788,IF(I788=2,C788,IF(I788=0,"",""))))</f>
        <v/>
      </c>
      <c r="AG788" s="192">
        <f>(C788*G788)+(C788*H788)+(C788*I788)</f>
        <v/>
      </c>
    </row>
    <row r="789">
      <c r="AA789" s="640">
        <f>IF(G789=0, IF(OR(H789&gt;0,F789&gt;0),C789*F789,""),"")</f>
        <v/>
      </c>
      <c r="AB789" s="640">
        <f>IF(G789&gt;=1,IF(F789&gt;1,C789*(F789-2),""),"")</f>
        <v/>
      </c>
      <c r="AC789" s="640" t="n"/>
      <c r="AD789" s="911">
        <f>IF(E789="YES",IF(G789=1,"",""),IF(G789=1,C789,IF(G789=2,C789,IF(G789=0,"",""))))</f>
        <v/>
      </c>
      <c r="AE789" s="911">
        <f>IF(E789="YES",IF(G789=1,"",IF(H789=1,C789,"")),IF(H789=1,C789,IF(H789=2,C789,IF(H789=0,"",""))))</f>
        <v/>
      </c>
      <c r="AF789" s="911">
        <f>IF(E789="YES",IF(I789=1,C789,""),IF(I789=1,C789,IF(I789=2,C789,IF(I789=0,"",""))))</f>
        <v/>
      </c>
      <c r="AG789" s="192">
        <f>(C789*G789)+(C789*H789)+(C789*I789)</f>
        <v/>
      </c>
    </row>
    <row r="790">
      <c r="AA790" s="640">
        <f>IF(G790=0, IF(OR(H790&gt;0,F790&gt;0),C790*F790,""),"")</f>
        <v/>
      </c>
      <c r="AB790" s="640">
        <f>IF(G790&gt;=1,IF(F790&gt;1,C790*(F790-2),""),"")</f>
        <v/>
      </c>
      <c r="AC790" s="640" t="n"/>
      <c r="AD790" s="911">
        <f>IF(E790="YES",IF(G790=1,"",""),IF(G790=1,C790,IF(G790=2,C790,IF(G790=0,"",""))))</f>
        <v/>
      </c>
      <c r="AE790" s="911">
        <f>IF(E790="YES",IF(G790=1,"",IF(H790=1,C790,"")),IF(H790=1,C790,IF(H790=2,C790,IF(H790=0,"",""))))</f>
        <v/>
      </c>
      <c r="AF790" s="911">
        <f>IF(E790="YES",IF(I790=1,C790,""),IF(I790=1,C790,IF(I790=2,C790,IF(I790=0,"",""))))</f>
        <v/>
      </c>
      <c r="AG790" s="192">
        <f>(C790*G790)+(C790*H790)+(C790*I790)</f>
        <v/>
      </c>
    </row>
    <row r="791">
      <c r="AA791" s="640">
        <f>IF(G791=0, IF(OR(H791&gt;0,F791&gt;0),C791*F791,""),"")</f>
        <v/>
      </c>
      <c r="AB791" s="640">
        <f>IF(G791&gt;=1,IF(F791&gt;1,C791*(F791-2),""),"")</f>
        <v/>
      </c>
      <c r="AC791" s="640" t="n"/>
      <c r="AD791" s="911">
        <f>IF(E791="YES",IF(G791=1,"",""),IF(G791=1,C791,IF(G791=2,C791,IF(G791=0,"",""))))</f>
        <v/>
      </c>
      <c r="AE791" s="911">
        <f>IF(E791="YES",IF(G791=1,"",IF(H791=1,C791,"")),IF(H791=1,C791,IF(H791=2,C791,IF(H791=0,"",""))))</f>
        <v/>
      </c>
      <c r="AF791" s="911">
        <f>IF(E791="YES",IF(I791=1,C791,""),IF(I791=1,C791,IF(I791=2,C791,IF(I791=0,"",""))))</f>
        <v/>
      </c>
      <c r="AG791" s="192">
        <f>(C791*G791)+(C791*H791)+(C791*I791)</f>
        <v/>
      </c>
    </row>
    <row r="792">
      <c r="AA792" s="640">
        <f>IF(G792=0, IF(OR(H792&gt;0,F792&gt;0),C792*F792,""),"")</f>
        <v/>
      </c>
      <c r="AB792" s="640">
        <f>IF(G792&gt;=1,IF(F792&gt;1,C792*(F792-2),""),"")</f>
        <v/>
      </c>
      <c r="AC792" s="640" t="n"/>
      <c r="AD792" s="911">
        <f>IF(E792="YES",IF(G792=1,"",""),IF(G792=1,C792,IF(G792=2,C792,IF(G792=0,"",""))))</f>
        <v/>
      </c>
      <c r="AE792" s="911">
        <f>IF(E792="YES",IF(G792=1,"",IF(H792=1,C792,"")),IF(H792=1,C792,IF(H792=2,C792,IF(H792=0,"",""))))</f>
        <v/>
      </c>
      <c r="AF792" s="911">
        <f>IF(E792="YES",IF(I792=1,C792,""),IF(I792=1,C792,IF(I792=2,C792,IF(I792=0,"",""))))</f>
        <v/>
      </c>
      <c r="AG792" s="192">
        <f>(C792*G792)+(C792*H792)+(C792*I792)</f>
        <v/>
      </c>
    </row>
    <row r="793">
      <c r="AA793" s="640">
        <f>IF(G793=0, IF(OR(H793&gt;0,F793&gt;0),C793*F793,""),"")</f>
        <v/>
      </c>
      <c r="AB793" s="640">
        <f>IF(G793&gt;=1,IF(F793&gt;1,C793*(F793-2),""),"")</f>
        <v/>
      </c>
      <c r="AC793" s="640" t="n"/>
      <c r="AD793" s="911">
        <f>IF(E793="YES",IF(G793=1,"",""),IF(G793=1,C793,IF(G793=2,C793,IF(G793=0,"",""))))</f>
        <v/>
      </c>
      <c r="AE793" s="911">
        <f>IF(E793="YES",IF(G793=1,"",IF(H793=1,C793,"")),IF(H793=1,C793,IF(H793=2,C793,IF(H793=0,"",""))))</f>
        <v/>
      </c>
      <c r="AF793" s="911">
        <f>IF(E793="YES",IF(I793=1,C793,""),IF(I793=1,C793,IF(I793=2,C793,IF(I793=0,"",""))))</f>
        <v/>
      </c>
      <c r="AG793" s="192">
        <f>(C793*G793)+(C793*H793)+(C793*I793)</f>
        <v/>
      </c>
    </row>
    <row r="794">
      <c r="AA794" s="640">
        <f>IF(G794=0, IF(OR(H794&gt;0,F794&gt;0),C794*F794,""),"")</f>
        <v/>
      </c>
      <c r="AB794" s="640">
        <f>IF(G794&gt;=1,IF(F794&gt;1,C794*(F794-2),""),"")</f>
        <v/>
      </c>
      <c r="AC794" s="640" t="n"/>
      <c r="AD794" s="911">
        <f>IF(E794="YES",IF(G794=1,"",""),IF(G794=1,C794,IF(G794=2,C794,IF(G794=0,"",""))))</f>
        <v/>
      </c>
      <c r="AE794" s="911">
        <f>IF(E794="YES",IF(G794=1,"",IF(H794=1,C794,"")),IF(H794=1,C794,IF(H794=2,C794,IF(H794=0,"",""))))</f>
        <v/>
      </c>
      <c r="AF794" s="911">
        <f>IF(E794="YES",IF(I794=1,C794,""),IF(I794=1,C794,IF(I794=2,C794,IF(I794=0,"",""))))</f>
        <v/>
      </c>
      <c r="AG794" s="192">
        <f>(C794*G794)+(C794*H794)+(C794*I794)</f>
        <v/>
      </c>
    </row>
    <row r="795">
      <c r="AA795" s="640">
        <f>IF(G795=0, IF(OR(H795&gt;0,F795&gt;0),C795*F795,""),"")</f>
        <v/>
      </c>
      <c r="AB795" s="640">
        <f>IF(G795&gt;=1,IF(F795&gt;1,C795*(F795-2),""),"")</f>
        <v/>
      </c>
      <c r="AD795" s="911">
        <f>IF(E795="YES",IF(G795=1,"",""),IF(G795=1,C795,IF(G795=2,C795,IF(G795=0,"",""))))</f>
        <v/>
      </c>
      <c r="AE795" s="911">
        <f>IF(E795="YES",IF(G795=1,"",IF(H795=1,C795,"")),IF(H795=1,C795,IF(H795=2,C795,IF(H795=0,"",""))))</f>
        <v/>
      </c>
      <c r="AF795" s="911">
        <f>IF(E795="YES",IF(I795=1,C795,""),IF(I795=1,C795,IF(I795=2,C795,IF(I795=0,"",""))))</f>
        <v/>
      </c>
      <c r="AG795" s="192">
        <f>(C795*G795)+(C795*H795)+(C795*I795)</f>
        <v/>
      </c>
    </row>
    <row r="796">
      <c r="AA796" s="640">
        <f>IF(G796=0, IF(OR(H796&gt;0,F796&gt;0),C796*F796,""),"")</f>
        <v/>
      </c>
      <c r="AB796" s="640">
        <f>IF(G796&gt;=1,IF(F796&gt;1,C796*(F796-2),""),"")</f>
        <v/>
      </c>
      <c r="AD796" s="911">
        <f>IF(E796="YES",IF(G796=1,"",""),IF(G796=1,C796,IF(G796=2,C796,IF(G796=0,"",""))))</f>
        <v/>
      </c>
      <c r="AE796" s="911">
        <f>IF(E796="YES",IF(G796=1,"",IF(H796=1,C796,"")),IF(H796=1,C796,IF(H796=2,C796,IF(H796=0,"",""))))</f>
        <v/>
      </c>
      <c r="AF796" s="911">
        <f>IF(E796="YES",IF(I796=1,C796,""),IF(I796=1,C796,IF(I796=2,C796,IF(I796=0,"",""))))</f>
        <v/>
      </c>
      <c r="AG796" s="192">
        <f>(C796*G796)+(C796*H796)+(C796*I796)</f>
        <v/>
      </c>
    </row>
    <row r="797">
      <c r="AA797" s="640">
        <f>IF(G797=0, IF(OR(H797&gt;0,F797&gt;0),C797*F797,""),"")</f>
        <v/>
      </c>
      <c r="AB797" s="640">
        <f>IF(G797&gt;=1,IF(F797&gt;1,C797*(F797-2),""),"")</f>
        <v/>
      </c>
      <c r="AD797" s="911">
        <f>IF(E797="YES",IF(G797=1,"",""),IF(G797=1,C797,IF(G797=2,C797,IF(G797=0,"",""))))</f>
        <v/>
      </c>
      <c r="AE797" s="911">
        <f>IF(E797="YES",IF(G797=1,"",IF(H797=1,C797,"")),IF(H797=1,C797,IF(H797=2,C797,IF(H797=0,"",""))))</f>
        <v/>
      </c>
      <c r="AF797" s="911">
        <f>IF(E797="YES",IF(I797=1,C797,""),IF(I797=1,C797,IF(I797=2,C797,IF(I797=0,"",""))))</f>
        <v/>
      </c>
      <c r="AG797" s="192">
        <f>(C797*G797)+(C797*H797)+(C797*I797)</f>
        <v/>
      </c>
    </row>
    <row r="798">
      <c r="AA798" s="640">
        <f>IF(G798=0, IF(OR(H798&gt;0,F798&gt;0),C798*F798,""),"")</f>
        <v/>
      </c>
      <c r="AB798" s="640">
        <f>IF(G798&gt;=1,IF(F798&gt;1,C798*(F798-2),""),"")</f>
        <v/>
      </c>
      <c r="AD798" s="911">
        <f>IF(E798="YES",IF(G798=1,"",""),IF(G798=1,C798,IF(G798=2,C798,IF(G798=0,"",""))))</f>
        <v/>
      </c>
      <c r="AE798" s="911">
        <f>IF(E798="YES",IF(G798=1,"",IF(H798=1,C798,"")),IF(H798=1,C798,IF(H798=2,C798,IF(H798=0,"",""))))</f>
        <v/>
      </c>
      <c r="AF798" s="911">
        <f>IF(E798="YES",IF(I798=1,C798,""),IF(I798=1,C798,IF(I798=2,C798,IF(I798=0,"",""))))</f>
        <v/>
      </c>
      <c r="AG798" s="192">
        <f>(C798*G798)+(C798*H798)+(C798*I798)</f>
        <v/>
      </c>
    </row>
    <row r="799">
      <c r="AA799" s="640">
        <f>IF(G799=0, IF(OR(H799&gt;0,F799&gt;0),C799*F799,""),"")</f>
        <v/>
      </c>
      <c r="AB799" s="640">
        <f>IF(G799&gt;=1,IF(F799&gt;1,C799*(F799-2),""),"")</f>
        <v/>
      </c>
      <c r="AD799" s="911">
        <f>IF(E799="YES",IF(G799=1,"",""),IF(G799=1,C799,IF(G799=2,C799,IF(G799=0,"",""))))</f>
        <v/>
      </c>
      <c r="AE799" s="911">
        <f>IF(E799="YES",IF(G799=1,"",IF(H799=1,C799,"")),IF(H799=1,C799,IF(H799=2,C799,IF(H799=0,"",""))))</f>
        <v/>
      </c>
      <c r="AF799" s="911">
        <f>IF(E799="YES",IF(I799=1,C799,""),IF(I799=1,C799,IF(I799=2,C799,IF(I799=0,"",""))))</f>
        <v/>
      </c>
      <c r="AG799" s="192">
        <f>(C799*G799)+(C799*H799)+(C799*I799)</f>
        <v/>
      </c>
    </row>
    <row r="800">
      <c r="AA800" s="640">
        <f>IF(G800=0, IF(OR(H800&gt;0,F800&gt;0),C800*F800,""),"")</f>
        <v/>
      </c>
      <c r="AB800" s="640">
        <f>IF(G800&gt;=1,IF(F800&gt;1,C800*(F800-2),""),"")</f>
        <v/>
      </c>
      <c r="AD800" s="911">
        <f>IF(E800="YES",IF(G800=1,"",""),IF(G800=1,C800,IF(G800=2,C800,IF(G800=0,"",""))))</f>
        <v/>
      </c>
      <c r="AE800" s="911">
        <f>IF(E800="YES",IF(G800=1,"",IF(H800=1,C800,"")),IF(H800=1,C800,IF(H800=2,C800,IF(H800=0,"",""))))</f>
        <v/>
      </c>
      <c r="AF800" s="911">
        <f>IF(E800="YES",IF(I800=1,C800,""),IF(I800=1,C800,IF(I800=2,C800,IF(I800=0,"",""))))</f>
        <v/>
      </c>
      <c r="AG800" s="192">
        <f>(C800*G800)+(C800*H800)+(C800*I800)</f>
        <v/>
      </c>
    </row>
    <row r="801">
      <c r="AA801" s="640">
        <f>IF(G801=0, IF(OR(H801&gt;0,F801&gt;0),C801*F801,""),"")</f>
        <v/>
      </c>
      <c r="AB801" s="640">
        <f>IF(G801&gt;=1,IF(F801&gt;1,C801*(F801-2),""),"")</f>
        <v/>
      </c>
      <c r="AD801" s="911">
        <f>IF(E801="YES",IF(G801=1,"",""),IF(G801=1,C801,IF(G801=2,C801,IF(G801=0,"",""))))</f>
        <v/>
      </c>
      <c r="AE801" s="911">
        <f>IF(E801="YES",IF(G801=1,"",IF(H801=1,C801,"")),IF(H801=1,C801,IF(H801=2,C801,IF(H801=0,"",""))))</f>
        <v/>
      </c>
      <c r="AF801" s="911">
        <f>IF(E801="YES",IF(I801=1,C801,""),IF(I801=1,C801,IF(I801=2,C801,IF(I801=0,"",""))))</f>
        <v/>
      </c>
      <c r="AG801" s="192">
        <f>(C801*G801)+(C801*H801)+(C801*I801)</f>
        <v/>
      </c>
    </row>
    <row r="802">
      <c r="AA802" s="640">
        <f>IF(G802=0, IF(OR(H802&gt;0,F802&gt;0),C802*F802,""),"")</f>
        <v/>
      </c>
      <c r="AB802" s="640">
        <f>IF(G802&gt;=1,IF(F802&gt;1,C802*(F802-2),""),"")</f>
        <v/>
      </c>
      <c r="AD802" s="911">
        <f>IF(E802="YES",IF(G802=1,"",""),IF(G802=1,C802,IF(G802=2,C802,IF(G802=0,"",""))))</f>
        <v/>
      </c>
      <c r="AE802" s="911">
        <f>IF(E802="YES",IF(G802=1,"",IF(H802=1,C802,"")),IF(H802=1,C802,IF(H802=2,C802,IF(H802=0,"",""))))</f>
        <v/>
      </c>
      <c r="AF802" s="911">
        <f>IF(E802="YES",IF(I802=1,C802,""),IF(I802=1,C802,IF(I802=2,C802,IF(I802=0,"",""))))</f>
        <v/>
      </c>
      <c r="AG802" s="192">
        <f>(C802*G802)+(C802*H802)+(C802*I802)</f>
        <v/>
      </c>
    </row>
    <row r="803">
      <c r="AA803" s="640">
        <f>IF(G803=0, IF(OR(H803&gt;0,F803&gt;0),C803*F803,""),"")</f>
        <v/>
      </c>
      <c r="AB803" s="640">
        <f>IF(G803&gt;=1,IF(F803&gt;1,C803*(F803-2),""),"")</f>
        <v/>
      </c>
      <c r="AD803" s="911">
        <f>IF(E803="YES",IF(G803=1,"",""),IF(G803=1,C803,IF(G803=2,C803,IF(G803=0,"",""))))</f>
        <v/>
      </c>
      <c r="AE803" s="911">
        <f>IF(E803="YES",IF(G803=1,"",IF(H803=1,C803,"")),IF(H803=1,C803,IF(H803=2,C803,IF(H803=0,"",""))))</f>
        <v/>
      </c>
      <c r="AF803" s="911">
        <f>IF(E803="YES",IF(I803=1,C803,""),IF(I803=1,C803,IF(I803=2,C803,IF(I803=0,"",""))))</f>
        <v/>
      </c>
      <c r="AG803" s="192">
        <f>(C803*G803)+(C803*H803)+(C803*I803)</f>
        <v/>
      </c>
    </row>
    <row r="804">
      <c r="AA804" s="640">
        <f>IF(G804=0, IF(OR(H804&gt;0,F804&gt;0),C804*F804,""),"")</f>
        <v/>
      </c>
      <c r="AB804" s="640">
        <f>IF(G804&gt;=1,IF(F804&gt;1,C804*(F804-2),""),"")</f>
        <v/>
      </c>
      <c r="AD804" s="911">
        <f>IF(E804="YES",IF(G804=1,"",""),IF(G804=1,C804,IF(G804=2,C804,IF(G804=0,"",""))))</f>
        <v/>
      </c>
      <c r="AE804" s="911">
        <f>IF(E804="YES",IF(G804=1,"",IF(H804=1,C804,"")),IF(H804=1,C804,IF(H804=2,C804,IF(H804=0,"",""))))</f>
        <v/>
      </c>
      <c r="AF804" s="911">
        <f>IF(E804="YES",IF(I804=1,C804,""),IF(I804=1,C804,IF(I804=2,C804,IF(I804=0,"",""))))</f>
        <v/>
      </c>
      <c r="AG804" s="192">
        <f>(C804*G804)+(C804*H804)+(C804*I804)</f>
        <v/>
      </c>
    </row>
    <row r="805">
      <c r="AA805" s="640">
        <f>IF(G805=0, IF(OR(H805&gt;0,F805&gt;0),C805*F805,""),"")</f>
        <v/>
      </c>
      <c r="AB805" s="640">
        <f>IF(G805&gt;=1,IF(F805&gt;1,C805*(F805-2),""),"")</f>
        <v/>
      </c>
      <c r="AD805" s="911">
        <f>IF(E805="YES",IF(G805=1,"",""),IF(G805=1,C805,IF(G805=2,C805,IF(G805=0,"",""))))</f>
        <v/>
      </c>
      <c r="AE805" s="911">
        <f>IF(E805="YES",IF(G805=1,"",IF(H805=1,C805,"")),IF(H805=1,C805,IF(H805=2,C805,IF(H805=0,"",""))))</f>
        <v/>
      </c>
      <c r="AF805" s="911">
        <f>IF(E805="YES",IF(I805=1,C805,""),IF(I805=1,C805,IF(I805=2,C805,IF(I805=0,"",""))))</f>
        <v/>
      </c>
      <c r="AG805" s="192">
        <f>(C805*G805)+(C805*H805)+(C805*I805)</f>
        <v/>
      </c>
    </row>
    <row r="806">
      <c r="AA806" s="640">
        <f>IF(G806=0, IF(OR(H806&gt;0,F806&gt;0),C806*F806,""),"")</f>
        <v/>
      </c>
      <c r="AB806" s="640">
        <f>IF(G806&gt;=1,IF(F806&gt;1,C806*(F806-2),""),"")</f>
        <v/>
      </c>
      <c r="AD806" s="911">
        <f>IF(E806="YES",IF(G806=1,"",""),IF(G806=1,C806,IF(G806=2,C806,IF(G806=0,"",""))))</f>
        <v/>
      </c>
      <c r="AE806" s="911">
        <f>IF(E806="YES",IF(G806=1,"",IF(H806=1,C806,"")),IF(H806=1,C806,IF(H806=2,C806,IF(H806=0,"",""))))</f>
        <v/>
      </c>
      <c r="AF806" s="911">
        <f>IF(E806="YES",IF(I806=1,C806,""),IF(I806=1,C806,IF(I806=2,C806,IF(I806=0,"",""))))</f>
        <v/>
      </c>
      <c r="AG806" s="192">
        <f>(C806*G806)+(C806*H806)+(C806*I806)</f>
        <v/>
      </c>
    </row>
    <row r="807">
      <c r="AA807" s="640">
        <f>IF(G807=0, IF(OR(H807&gt;0,F807&gt;0),C807*F807,""),"")</f>
        <v/>
      </c>
      <c r="AB807" s="640">
        <f>IF(G807&gt;=1,IF(F807&gt;1,C807*(F807-2),""),"")</f>
        <v/>
      </c>
      <c r="AD807" s="911">
        <f>IF(E807="YES",IF(G807=1,"",""),IF(G807=1,C807,IF(G807=2,C807,IF(G807=0,"",""))))</f>
        <v/>
      </c>
      <c r="AE807" s="911">
        <f>IF(E807="YES",IF(G807=1,"",IF(H807=1,C807,"")),IF(H807=1,C807,IF(H807=2,C807,IF(H807=0,"",""))))</f>
        <v/>
      </c>
      <c r="AF807" s="911">
        <f>IF(E807="YES",IF(I807=1,C807,""),IF(I807=1,C807,IF(I807=2,C807,IF(I807=0,"",""))))</f>
        <v/>
      </c>
      <c r="AG807" s="192">
        <f>(C807*G807)+(C807*H807)+(C807*I807)</f>
        <v/>
      </c>
    </row>
    <row r="808">
      <c r="AA808" s="640">
        <f>IF(G808=0, IF(OR(H808&gt;0,F808&gt;0),C808*F808,""),"")</f>
        <v/>
      </c>
      <c r="AB808" s="640">
        <f>IF(G808&gt;=1,IF(F808&gt;1,C808*(F808-2),""),"")</f>
        <v/>
      </c>
      <c r="AD808" s="911">
        <f>IF(E808="YES",IF(G808=1,"",""),IF(G808=1,C808,IF(G808=2,C808,IF(G808=0,"",""))))</f>
        <v/>
      </c>
      <c r="AE808" s="911">
        <f>IF(E808="YES",IF(G808=1,"",IF(H808=1,C808,"")),IF(H808=1,C808,IF(H808=2,C808,IF(H808=0,"",""))))</f>
        <v/>
      </c>
      <c r="AF808" s="911">
        <f>IF(E808="YES",IF(I808=1,C808,""),IF(I808=1,C808,IF(I808=2,C808,IF(I808=0,"",""))))</f>
        <v/>
      </c>
      <c r="AG808" s="192">
        <f>(C808*G808)+(C808*H808)+(C808*I808)</f>
        <v/>
      </c>
    </row>
    <row r="809">
      <c r="AA809" s="640">
        <f>IF(G809=0, IF(OR(H809&gt;0,F809&gt;0),C809*F809,""),"")</f>
        <v/>
      </c>
      <c r="AB809" s="640">
        <f>IF(G809&gt;=1,IF(F809&gt;1,C809*(F809-2),""),"")</f>
        <v/>
      </c>
      <c r="AD809" s="911">
        <f>IF(E809="YES",IF(G809=1,"",""),IF(G809=1,C809,IF(G809=2,C809,IF(G809=0,"",""))))</f>
        <v/>
      </c>
      <c r="AE809" s="911">
        <f>IF(E809="YES",IF(G809=1,"",IF(H809=1,C809,"")),IF(H809=1,C809,IF(H809=2,C809,IF(H809=0,"",""))))</f>
        <v/>
      </c>
      <c r="AF809" s="911">
        <f>IF(E809="YES",IF(I809=1,C809,""),IF(I809=1,C809,IF(I809=2,C809,IF(I809=0,"",""))))</f>
        <v/>
      </c>
      <c r="AG809" s="192">
        <f>(C809*G809)+(C809*H809)+(C809*I809)</f>
        <v/>
      </c>
    </row>
    <row r="810">
      <c r="AA810" s="640">
        <f>IF(G810=0, IF(OR(H810&gt;0,F810&gt;0),C810*F810,""),"")</f>
        <v/>
      </c>
      <c r="AB810" s="640">
        <f>IF(G810&gt;=1,IF(F810&gt;1,C810*(F810-2),""),"")</f>
        <v/>
      </c>
      <c r="AD810" s="911">
        <f>IF(E810="YES",IF(G810=1,"",""),IF(G810=1,C810,IF(G810=2,C810,IF(G810=0,"",""))))</f>
        <v/>
      </c>
      <c r="AE810" s="911">
        <f>IF(E810="YES",IF(G810=1,"",IF(H810=1,C810,"")),IF(H810=1,C810,IF(H810=2,C810,IF(H810=0,"",""))))</f>
        <v/>
      </c>
      <c r="AF810" s="911">
        <f>IF(E810="YES",IF(I810=1,C810,""),IF(I810=1,C810,IF(I810=2,C810,IF(I810=0,"",""))))</f>
        <v/>
      </c>
      <c r="AG810" s="192">
        <f>(C810*G810)+(C810*H810)+(C810*I810)</f>
        <v/>
      </c>
    </row>
    <row r="811">
      <c r="AA811" s="640">
        <f>IF(G811=0, IF(OR(H811&gt;0,F811&gt;0),C811*F811,""),"")</f>
        <v/>
      </c>
      <c r="AB811" s="640">
        <f>IF(G811&gt;=1,IF(F811&gt;1,C811*(F811-2),""),"")</f>
        <v/>
      </c>
      <c r="AD811" s="911">
        <f>IF(E811="YES",IF(G811=1,"",""),IF(G811=1,C811,IF(G811=2,C811,IF(G811=0,"",""))))</f>
        <v/>
      </c>
      <c r="AE811" s="911">
        <f>IF(E811="YES",IF(G811=1,"",IF(H811=1,C811,"")),IF(H811=1,C811,IF(H811=2,C811,IF(H811=0,"",""))))</f>
        <v/>
      </c>
      <c r="AF811" s="911">
        <f>IF(E811="YES",IF(I811=1,C811,""),IF(I811=1,C811,IF(I811=2,C811,IF(I811=0,"",""))))</f>
        <v/>
      </c>
      <c r="AG811" s="192">
        <f>(C811*G811)+(C811*H811)+(C811*I811)</f>
        <v/>
      </c>
    </row>
    <row r="812">
      <c r="AA812" s="640">
        <f>IF(G812=0, IF(OR(H812&gt;0,F812&gt;0),C812*F812,""),"")</f>
        <v/>
      </c>
      <c r="AB812" s="640">
        <f>IF(G812&gt;=1,IF(F812&gt;1,C812*(F812-2),""),"")</f>
        <v/>
      </c>
      <c r="AD812" s="911">
        <f>IF(E812="YES",IF(G812=1,"",""),IF(G812=1,C812,IF(G812=2,C812,IF(G812=0,"",""))))</f>
        <v/>
      </c>
      <c r="AE812" s="911">
        <f>IF(E812="YES",IF(G812=1,"",IF(H812=1,C812,"")),IF(H812=1,C812,IF(H812=2,C812,IF(H812=0,"",""))))</f>
        <v/>
      </c>
      <c r="AF812" s="911">
        <f>IF(E812="YES",IF(I812=1,C812,""),IF(I812=1,C812,IF(I812=2,C812,IF(I812=0,"",""))))</f>
        <v/>
      </c>
      <c r="AG812" s="192">
        <f>(C812*G812)+(C812*H812)+(C812*I812)</f>
        <v/>
      </c>
    </row>
    <row r="813">
      <c r="AA813" s="640">
        <f>IF(G813=0, IF(OR(H813&gt;0,F813&gt;0),C813*F813,""),"")</f>
        <v/>
      </c>
      <c r="AB813" s="640">
        <f>IF(G813&gt;=1,IF(F813&gt;1,C813*(F813-2),""),"")</f>
        <v/>
      </c>
      <c r="AD813" s="911">
        <f>IF(E813="YES",IF(G813=1,"",""),IF(G813=1,C813,IF(G813=2,C813,IF(G813=0,"",""))))</f>
        <v/>
      </c>
      <c r="AE813" s="911">
        <f>IF(E813="YES",IF(G813=1,"",IF(H813=1,C813,"")),IF(H813=1,C813,IF(H813=2,C813,IF(H813=0,"",""))))</f>
        <v/>
      </c>
      <c r="AF813" s="911">
        <f>IF(E813="YES",IF(I813=1,C813,""),IF(I813=1,C813,IF(I813=2,C813,IF(I813=0,"",""))))</f>
        <v/>
      </c>
      <c r="AG813" s="192">
        <f>(C813*G813)+(C813*H813)+(C813*I813)</f>
        <v/>
      </c>
    </row>
    <row r="814">
      <c r="AA814" s="640">
        <f>IF(G814=0, IF(OR(H814&gt;0,F814&gt;0),C814*F814,""),"")</f>
        <v/>
      </c>
      <c r="AB814" s="640">
        <f>IF(G814&gt;=1,IF(F814&gt;1,C814*(F814-2),""),"")</f>
        <v/>
      </c>
      <c r="AD814" s="911">
        <f>IF(E814="YES",IF(G814=1,"",""),IF(G814=1,C814,IF(G814=2,C814,IF(G814=0,"",""))))</f>
        <v/>
      </c>
      <c r="AE814" s="911">
        <f>IF(E814="YES",IF(G814=1,"",IF(H814=1,C814,"")),IF(H814=1,C814,IF(H814=2,C814,IF(H814=0,"",""))))</f>
        <v/>
      </c>
      <c r="AF814" s="911">
        <f>IF(E814="YES",IF(I814=1,C814,""),IF(I814=1,C814,IF(I814=2,C814,IF(I814=0,"",""))))</f>
        <v/>
      </c>
      <c r="AG814" s="192">
        <f>(C814*G814)+(C814*H814)+(C814*I814)</f>
        <v/>
      </c>
    </row>
    <row r="815">
      <c r="AA815" s="640">
        <f>IF(G815=0, IF(OR(H815&gt;0,F815&gt;0),C815*F815,""),"")</f>
        <v/>
      </c>
      <c r="AB815" s="640">
        <f>IF(G815&gt;=1,IF(F815&gt;1,C815*(F815-2),""),"")</f>
        <v/>
      </c>
      <c r="AD815" s="911">
        <f>IF(E815="YES",IF(G815=1,"",""),IF(G815=1,C815,IF(G815=2,C815,IF(G815=0,"",""))))</f>
        <v/>
      </c>
      <c r="AE815" s="911">
        <f>IF(E815="YES",IF(G815=1,"",IF(H815=1,C815,"")),IF(H815=1,C815,IF(H815=2,C815,IF(H815=0,"",""))))</f>
        <v/>
      </c>
      <c r="AF815" s="911">
        <f>IF(E815="YES",IF(I815=1,C815,""),IF(I815=1,C815,IF(I815=2,C815,IF(I815=0,"",""))))</f>
        <v/>
      </c>
      <c r="AG815" s="192">
        <f>(C815*G815)+(C815*H815)+(C815*I815)</f>
        <v/>
      </c>
    </row>
    <row r="816">
      <c r="AA816" s="640">
        <f>IF(G816=0, IF(OR(H816&gt;0,F816&gt;0),C816*F816,""),"")</f>
        <v/>
      </c>
      <c r="AB816" s="640">
        <f>IF(G816&gt;=1,IF(F816&gt;1,C816*(F816-2),""),"")</f>
        <v/>
      </c>
      <c r="AD816" s="911">
        <f>IF(E816="YES",IF(G816=1,"",""),IF(G816=1,C816,IF(G816=2,C816,IF(G816=0,"",""))))</f>
        <v/>
      </c>
      <c r="AE816" s="911">
        <f>IF(E816="YES",IF(G816=1,"",IF(H816=1,C816,"")),IF(H816=1,C816,IF(H816=2,C816,IF(H816=0,"",""))))</f>
        <v/>
      </c>
      <c r="AF816" s="911">
        <f>IF(E816="YES",IF(I816=1,C816,""),IF(I816=1,C816,IF(I816=2,C816,IF(I816=0,"",""))))</f>
        <v/>
      </c>
      <c r="AG816" s="192">
        <f>(C816*G816)+(C816*H816)+(C816*I816)</f>
        <v/>
      </c>
    </row>
    <row r="817">
      <c r="AA817" s="640">
        <f>IF(G817=0, IF(OR(H817&gt;0,F817&gt;0),C817*F817,""),"")</f>
        <v/>
      </c>
      <c r="AB817" s="640">
        <f>IF(G817&gt;=1,IF(F817&gt;1,C817*(F817-2),""),"")</f>
        <v/>
      </c>
      <c r="AD817" s="911">
        <f>IF(E817="YES",IF(G817=1,"",""),IF(G817=1,C817,IF(G817=2,C817,IF(G817=0,"",""))))</f>
        <v/>
      </c>
      <c r="AE817" s="911">
        <f>IF(E817="YES",IF(G817=1,"",IF(H817=1,C817,"")),IF(H817=1,C817,IF(H817=2,C817,IF(H817=0,"",""))))</f>
        <v/>
      </c>
      <c r="AF817" s="911">
        <f>IF(E817="YES",IF(I817=1,C817,""),IF(I817=1,C817,IF(I817=2,C817,IF(I817=0,"",""))))</f>
        <v/>
      </c>
      <c r="AG817" s="192">
        <f>(C817*G817)+(C817*H817)+(C817*I817)</f>
        <v/>
      </c>
    </row>
    <row r="818">
      <c r="AA818" s="640">
        <f>IF(G818=0, IF(OR(H818&gt;0,F818&gt;0),C818*F818,""),"")</f>
        <v/>
      </c>
      <c r="AB818" s="640">
        <f>IF(G818&gt;=1,IF(F818&gt;1,C818*(F818-2),""),"")</f>
        <v/>
      </c>
      <c r="AD818" s="911">
        <f>IF(E818="YES",IF(G818=1,"",""),IF(G818=1,C818,IF(G818=2,C818,IF(G818=0,"",""))))</f>
        <v/>
      </c>
      <c r="AE818" s="911">
        <f>IF(E818="YES",IF(G818=1,"",IF(H818=1,C818,"")),IF(H818=1,C818,IF(H818=2,C818,IF(H818=0,"",""))))</f>
        <v/>
      </c>
      <c r="AF818" s="911">
        <f>IF(E818="YES",IF(I818=1,C818,""),IF(I818=1,C818,IF(I818=2,C818,IF(I818=0,"",""))))</f>
        <v/>
      </c>
      <c r="AG818" s="192">
        <f>(C818*G818)+(C818*H818)+(C818*I818)</f>
        <v/>
      </c>
    </row>
    <row r="819">
      <c r="AA819" s="640">
        <f>IF(G819=0, IF(OR(H819&gt;0,F819&gt;0),C819*F819,""),"")</f>
        <v/>
      </c>
      <c r="AB819" s="640">
        <f>IF(G819&gt;=1,IF(F819&gt;1,C819*(F819-2),""),"")</f>
        <v/>
      </c>
      <c r="AD819" s="911">
        <f>IF(E819="YES",IF(G819=1,"",""),IF(G819=1,C819,IF(G819=2,C819,IF(G819=0,"",""))))</f>
        <v/>
      </c>
      <c r="AE819" s="911">
        <f>IF(E819="YES",IF(G819=1,"",IF(H819=1,C819,"")),IF(H819=1,C819,IF(H819=2,C819,IF(H819=0,"",""))))</f>
        <v/>
      </c>
      <c r="AF819" s="911">
        <f>IF(E819="YES",IF(I819=1,C819,""),IF(I819=1,C819,IF(I819=2,C819,IF(I819=0,"",""))))</f>
        <v/>
      </c>
      <c r="AG819" s="192">
        <f>(C819*G819)+(C819*H819)+(C819*I819)</f>
        <v/>
      </c>
    </row>
    <row r="820">
      <c r="AA820" s="640">
        <f>IF(G820=0, IF(OR(H820&gt;0,F820&gt;0),C820*F820,""),"")</f>
        <v/>
      </c>
      <c r="AB820" s="640">
        <f>IF(G820&gt;=1,IF(F820&gt;1,C820*(F820-2),""),"")</f>
        <v/>
      </c>
      <c r="AD820" s="911">
        <f>IF(E820="YES",IF(G820=1,"",""),IF(G820=1,C820,IF(G820=2,C820,IF(G820=0,"",""))))</f>
        <v/>
      </c>
      <c r="AE820" s="911">
        <f>IF(E820="YES",IF(G820=1,"",IF(H820=1,C820,"")),IF(H820=1,C820,IF(H820=2,C820,IF(H820=0,"",""))))</f>
        <v/>
      </c>
      <c r="AF820" s="911">
        <f>IF(E820="YES",IF(I820=1,C820,""),IF(I820=1,C820,IF(I820=2,C820,IF(I820=0,"",""))))</f>
        <v/>
      </c>
      <c r="AG820" s="192">
        <f>(C820*G820)+(C820*H820)+(C820*I820)</f>
        <v/>
      </c>
    </row>
    <row r="821">
      <c r="AA821" s="640">
        <f>IF(G821=0, IF(OR(H821&gt;0,F821&gt;0),C821*F821,""),"")</f>
        <v/>
      </c>
      <c r="AB821" s="640">
        <f>IF(G821&gt;=1,IF(F821&gt;1,C821*(F821-2),""),"")</f>
        <v/>
      </c>
      <c r="AD821" s="911">
        <f>IF(E821="YES",IF(G821=1,"",""),IF(G821=1,C821,IF(G821=2,C821,IF(G821=0,"",""))))</f>
        <v/>
      </c>
      <c r="AE821" s="911">
        <f>IF(E821="YES",IF(G821=1,"",IF(H821=1,C821,"")),IF(H821=1,C821,IF(H821=2,C821,IF(H821=0,"",""))))</f>
        <v/>
      </c>
      <c r="AF821" s="911">
        <f>IF(E821="YES",IF(I821=1,C821,""),IF(I821=1,C821,IF(I821=2,C821,IF(I821=0,"",""))))</f>
        <v/>
      </c>
      <c r="AG821" s="192">
        <f>(C821*G821)+(C821*H821)+(C821*I821)</f>
        <v/>
      </c>
    </row>
    <row r="822">
      <c r="AA822" s="640">
        <f>IF(G822=0, IF(OR(H822&gt;0,F822&gt;0),C822*F822,""),"")</f>
        <v/>
      </c>
      <c r="AB822" s="640">
        <f>IF(G822&gt;=1,IF(F822&gt;1,C822*(F822-2),""),"")</f>
        <v/>
      </c>
      <c r="AD822" s="911">
        <f>IF(E822="YES",IF(G822=1,"",""),IF(G822=1,C822,IF(G822=2,C822,IF(G822=0,"",""))))</f>
        <v/>
      </c>
      <c r="AE822" s="911">
        <f>IF(E822="YES",IF(G822=1,"",IF(H822=1,C822,"")),IF(H822=1,C822,IF(H822=2,C822,IF(H822=0,"",""))))</f>
        <v/>
      </c>
      <c r="AF822" s="911">
        <f>IF(E822="YES",IF(I822=1,C822,""),IF(I822=1,C822,IF(I822=2,C822,IF(I822=0,"",""))))</f>
        <v/>
      </c>
      <c r="AG822" s="192">
        <f>(C822*G822)+(C822*H822)+(C822*I822)</f>
        <v/>
      </c>
    </row>
    <row r="823">
      <c r="AA823" s="640">
        <f>IF(G823=0, IF(OR(H823&gt;0,F823&gt;0),C823*F823,""),"")</f>
        <v/>
      </c>
      <c r="AB823" s="640">
        <f>IF(G823&gt;=1,IF(F823&gt;1,C823*(F823-2),""),"")</f>
        <v/>
      </c>
      <c r="AD823" s="911">
        <f>IF(E823="YES",IF(G823=1,"",""),IF(G823=1,C823,IF(G823=2,C823,IF(G823=0,"",""))))</f>
        <v/>
      </c>
      <c r="AE823" s="911">
        <f>IF(E823="YES",IF(G823=1,"",IF(H823=1,C823,"")),IF(H823=1,C823,IF(H823=2,C823,IF(H823=0,"",""))))</f>
        <v/>
      </c>
      <c r="AF823" s="911">
        <f>IF(E823="YES",IF(I823=1,C823,""),IF(I823=1,C823,IF(I823=2,C823,IF(I823=0,"",""))))</f>
        <v/>
      </c>
      <c r="AG823" s="192">
        <f>(C823*G823)+(C823*H823)+(C823*I823)</f>
        <v/>
      </c>
    </row>
    <row r="824">
      <c r="AA824" s="640">
        <f>IF(G824=0, IF(OR(H824&gt;0,F824&gt;0),C824*F824,""),"")</f>
        <v/>
      </c>
      <c r="AB824" s="640">
        <f>IF(G824&gt;=1,IF(F824&gt;1,C824*(F824-2),""),"")</f>
        <v/>
      </c>
      <c r="AD824" s="911">
        <f>IF(E824="YES",IF(G824=1,"",""),IF(G824=1,C824,IF(G824=2,C824,IF(G824=0,"",""))))</f>
        <v/>
      </c>
      <c r="AE824" s="911">
        <f>IF(E824="YES",IF(G824=1,"",IF(H824=1,C824,"")),IF(H824=1,C824,IF(H824=2,C824,IF(H824=0,"",""))))</f>
        <v/>
      </c>
      <c r="AF824" s="911">
        <f>IF(E824="YES",IF(I824=1,C824,""),IF(I824=1,C824,IF(I824=2,C824,IF(I824=0,"",""))))</f>
        <v/>
      </c>
      <c r="AG824" s="192">
        <f>(C824*G824)+(C824*H824)+(C824*I824)</f>
        <v/>
      </c>
    </row>
    <row r="825">
      <c r="AA825" s="640">
        <f>IF(G825=0, IF(OR(H825&gt;0,F825&gt;0),C825*F825,""),"")</f>
        <v/>
      </c>
      <c r="AB825" s="640">
        <f>IF(G825&gt;=1,IF(F825&gt;1,C825*(F825-2),""),"")</f>
        <v/>
      </c>
      <c r="AD825" s="911">
        <f>IF(E825="YES",IF(G825=1,"",""),IF(G825=1,C825,IF(G825=2,C825,IF(G825=0,"",""))))</f>
        <v/>
      </c>
      <c r="AE825" s="911">
        <f>IF(E825="YES",IF(G825=1,"",IF(H825=1,C825,"")),IF(H825=1,C825,IF(H825=2,C825,IF(H825=0,"",""))))</f>
        <v/>
      </c>
      <c r="AF825" s="911">
        <f>IF(E825="YES",IF(I825=1,C825,""),IF(I825=1,C825,IF(I825=2,C825,IF(I825=0,"",""))))</f>
        <v/>
      </c>
      <c r="AG825" s="192">
        <f>(C825*G825)+(C825*H825)+(C825*I825)</f>
        <v/>
      </c>
    </row>
    <row r="826">
      <c r="AA826" s="640">
        <f>IF(G826=0, IF(OR(H826&gt;0,F826&gt;0),C826*F826,""),"")</f>
        <v/>
      </c>
      <c r="AB826" s="640">
        <f>IF(G826&gt;=1,IF(F826&gt;1,C826*(F826-2),""),"")</f>
        <v/>
      </c>
      <c r="AD826" s="911">
        <f>IF(E826="YES",IF(G826=1,"",""),IF(G826=1,C826,IF(G826=2,C826,IF(G826=0,"",""))))</f>
        <v/>
      </c>
      <c r="AE826" s="911">
        <f>IF(E826="YES",IF(G826=1,"",IF(H826=1,C826,"")),IF(H826=1,C826,IF(H826=2,C826,IF(H826=0,"",""))))</f>
        <v/>
      </c>
      <c r="AF826" s="911">
        <f>IF(E826="YES",IF(I826=1,C826,""),IF(I826=1,C826,IF(I826=2,C826,IF(I826=0,"",""))))</f>
        <v/>
      </c>
      <c r="AG826" s="192">
        <f>(C826*G826)+(C826*H826)+(C826*I826)</f>
        <v/>
      </c>
    </row>
    <row r="827">
      <c r="AA827" s="640">
        <f>IF(G827=0, IF(OR(H827&gt;0,F827&gt;0),C827*F827,""),"")</f>
        <v/>
      </c>
      <c r="AB827" s="640">
        <f>IF(G827&gt;=1,IF(F827&gt;1,C827*(F827-2),""),"")</f>
        <v/>
      </c>
      <c r="AD827" s="911">
        <f>IF(E827="YES",IF(G827=1,"",""),IF(G827=1,C827,IF(G827=2,C827,IF(G827=0,"",""))))</f>
        <v/>
      </c>
      <c r="AE827" s="911">
        <f>IF(E827="YES",IF(G827=1,"",IF(H827=1,C827,"")),IF(H827=1,C827,IF(H827=2,C827,IF(H827=0,"",""))))</f>
        <v/>
      </c>
      <c r="AF827" s="911">
        <f>IF(E827="YES",IF(I827=1,C827,""),IF(I827=1,C827,IF(I827=2,C827,IF(I827=0,"",""))))</f>
        <v/>
      </c>
      <c r="AG827" s="192">
        <f>(C827*G827)+(C827*H827)+(C827*I827)</f>
        <v/>
      </c>
    </row>
    <row r="828">
      <c r="AA828" s="640">
        <f>IF(G828=0, IF(OR(H828&gt;0,F828&gt;0),C828*F828,""),"")</f>
        <v/>
      </c>
      <c r="AB828" s="640">
        <f>IF(G828&gt;=1,IF(F828&gt;1,C828*(F828-2),""),"")</f>
        <v/>
      </c>
      <c r="AD828" s="911">
        <f>IF(E828="YES",IF(G828=1,"",""),IF(G828=1,C828,IF(G828=2,C828,IF(G828=0,"",""))))</f>
        <v/>
      </c>
      <c r="AE828" s="911">
        <f>IF(E828="YES",IF(G828=1,"",IF(H828=1,C828,"")),IF(H828=1,C828,IF(H828=2,C828,IF(H828=0,"",""))))</f>
        <v/>
      </c>
      <c r="AF828" s="911">
        <f>IF(E828="YES",IF(I828=1,C828,""),IF(I828=1,C828,IF(I828=2,C828,IF(I828=0,"",""))))</f>
        <v/>
      </c>
      <c r="AG828" s="192">
        <f>(C828*G828)+(C828*H828)+(C828*I828)</f>
        <v/>
      </c>
    </row>
    <row r="829">
      <c r="AA829" s="640">
        <f>IF(G829=0, IF(OR(H829&gt;0,F829&gt;0),C829*F829,""),"")</f>
        <v/>
      </c>
      <c r="AB829" s="640">
        <f>IF(G829&gt;=1,IF(F829&gt;1,C829*(F829-2),""),"")</f>
        <v/>
      </c>
      <c r="AD829" s="911">
        <f>IF(E829="YES",IF(G829=1,"",""),IF(G829=1,C829,IF(G829=2,C829,IF(G829=0,"",""))))</f>
        <v/>
      </c>
      <c r="AE829" s="911">
        <f>IF(E829="YES",IF(G829=1,"",IF(H829=1,C829,"")),IF(H829=1,C829,IF(H829=2,C829,IF(H829=0,"",""))))</f>
        <v/>
      </c>
      <c r="AF829" s="911">
        <f>IF(E829="YES",IF(I829=1,C829,""),IF(I829=1,C829,IF(I829=2,C829,IF(I829=0,"",""))))</f>
        <v/>
      </c>
      <c r="AG829" s="192">
        <f>(C829*G829)+(C829*H829)+(C829*I829)</f>
        <v/>
      </c>
    </row>
    <row r="830">
      <c r="AA830" s="640">
        <f>IF(G830=0, IF(OR(H830&gt;0,F830&gt;0),C830*F830,""),"")</f>
        <v/>
      </c>
      <c r="AB830" s="640">
        <f>IF(G830&gt;=1,IF(F830&gt;1,C830*(F830-2),""),"")</f>
        <v/>
      </c>
      <c r="AD830" s="911">
        <f>IF(E830="YES",IF(G830=1,"",""),IF(G830=1,C830,IF(G830=2,C830,IF(G830=0,"",""))))</f>
        <v/>
      </c>
      <c r="AE830" s="911">
        <f>IF(E830="YES",IF(G830=1,"",IF(H830=1,C830,"")),IF(H830=1,C830,IF(H830=2,C830,IF(H830=0,"",""))))</f>
        <v/>
      </c>
      <c r="AF830" s="911">
        <f>IF(E830="YES",IF(I830=1,C830,""),IF(I830=1,C830,IF(I830=2,C830,IF(I830=0,"",""))))</f>
        <v/>
      </c>
      <c r="AG830" s="192">
        <f>(C830*G830)+(C830*H830)+(C830*I830)</f>
        <v/>
      </c>
    </row>
    <row r="831">
      <c r="AA831" s="640">
        <f>IF(G831=0, IF(OR(H831&gt;0,F831&gt;0),C831*F831,""),"")</f>
        <v/>
      </c>
      <c r="AB831" s="640">
        <f>IF(G831&gt;=1,IF(F831&gt;1,C831*(F831-2),""),"")</f>
        <v/>
      </c>
      <c r="AD831" s="911">
        <f>IF(E831="YES",IF(G831=1,"",""),IF(G831=1,C831,IF(G831=2,C831,IF(G831=0,"",""))))</f>
        <v/>
      </c>
      <c r="AE831" s="911">
        <f>IF(E831="YES",IF(G831=1,"",IF(H831=1,C831,"")),IF(H831=1,C831,IF(H831=2,C831,IF(H831=0,"",""))))</f>
        <v/>
      </c>
      <c r="AF831" s="911">
        <f>IF(E831="YES",IF(I831=1,C831,""),IF(I831=1,C831,IF(I831=2,C831,IF(I831=0,"",""))))</f>
        <v/>
      </c>
      <c r="AG831" s="192">
        <f>(C831*G831)+(C831*H831)+(C831*I831)</f>
        <v/>
      </c>
    </row>
    <row r="832">
      <c r="AA832" s="640">
        <f>IF(G832=0, IF(OR(H832&gt;0,F832&gt;0),C832*F832,""),"")</f>
        <v/>
      </c>
      <c r="AB832" s="640">
        <f>IF(G832&gt;=1,IF(F832&gt;1,C832*(F832-2),""),"")</f>
        <v/>
      </c>
      <c r="AD832" s="911">
        <f>IF(E832="YES",IF(G832=1,"",""),IF(G832=1,C832,IF(G832=2,C832,IF(G832=0,"",""))))</f>
        <v/>
      </c>
      <c r="AE832" s="911">
        <f>IF(E832="YES",IF(G832=1,"",IF(H832=1,C832,"")),IF(H832=1,C832,IF(H832=2,C832,IF(H832=0,"",""))))</f>
        <v/>
      </c>
      <c r="AF832" s="911">
        <f>IF(E832="YES",IF(I832=1,C832,""),IF(I832=1,C832,IF(I832=2,C832,IF(I832=0,"",""))))</f>
        <v/>
      </c>
      <c r="AG832" s="192">
        <f>(C832*G832)+(C832*H832)+(C832*I832)</f>
        <v/>
      </c>
    </row>
    <row r="833">
      <c r="AA833" s="640">
        <f>IF(G833=0, IF(OR(H833&gt;0,F833&gt;0),C833*F833,""),"")</f>
        <v/>
      </c>
      <c r="AB833" s="640">
        <f>IF(G833&gt;=1,IF(F833&gt;1,C833*(F833-2),""),"")</f>
        <v/>
      </c>
      <c r="AD833" s="911">
        <f>IF(E833="YES",IF(G833=1,"",""),IF(G833=1,C833,IF(G833=2,C833,IF(G833=0,"",""))))</f>
        <v/>
      </c>
      <c r="AE833" s="911">
        <f>IF(E833="YES",IF(G833=1,"",IF(H833=1,C833,"")),IF(H833=1,C833,IF(H833=2,C833,IF(H833=0,"",""))))</f>
        <v/>
      </c>
      <c r="AF833" s="911">
        <f>IF(E833="YES",IF(I833=1,C833,""),IF(I833=1,C833,IF(I833=2,C833,IF(I833=0,"",""))))</f>
        <v/>
      </c>
      <c r="AG833" s="192">
        <f>(C833*G833)+(C833*H833)+(C833*I833)</f>
        <v/>
      </c>
    </row>
    <row r="834">
      <c r="AA834" s="640">
        <f>IF(G834=0, IF(OR(H834&gt;0,F834&gt;0),C834*F834,""),"")</f>
        <v/>
      </c>
      <c r="AB834" s="640">
        <f>IF(G834&gt;=1,IF(F834&gt;1,C834*(F834-2),""),"")</f>
        <v/>
      </c>
      <c r="AD834" s="911">
        <f>IF(E834="YES",IF(G834=1,"",""),IF(G834=1,C834,IF(G834=2,C834,IF(G834=0,"",""))))</f>
        <v/>
      </c>
      <c r="AE834" s="911">
        <f>IF(E834="YES",IF(G834=1,"",IF(H834=1,C834,"")),IF(H834=1,C834,IF(H834=2,C834,IF(H834=0,"",""))))</f>
        <v/>
      </c>
      <c r="AF834" s="911">
        <f>IF(E834="YES",IF(I834=1,C834,""),IF(I834=1,C834,IF(I834=2,C834,IF(I834=0,"",""))))</f>
        <v/>
      </c>
      <c r="AG834" s="192">
        <f>(C834*G834)+(C834*H834)+(C834*I834)</f>
        <v/>
      </c>
    </row>
    <row r="835">
      <c r="AA835" s="640">
        <f>IF(G835=0, IF(OR(H835&gt;0,F835&gt;0),C835*F835,""),"")</f>
        <v/>
      </c>
      <c r="AB835" s="640">
        <f>IF(G835&gt;=1,IF(F835&gt;1,C835*(F835-2),""),"")</f>
        <v/>
      </c>
      <c r="AD835" s="911">
        <f>IF(E835="YES",IF(G835=1,"",""),IF(G835=1,C835,IF(G835=2,C835,IF(G835=0,"",""))))</f>
        <v/>
      </c>
      <c r="AE835" s="911">
        <f>IF(E835="YES",IF(G835=1,"",IF(H835=1,C835,"")),IF(H835=1,C835,IF(H835=2,C835,IF(H835=0,"",""))))</f>
        <v/>
      </c>
      <c r="AF835" s="911">
        <f>IF(E835="YES",IF(I835=1,C835,""),IF(I835=1,C835,IF(I835=2,C835,IF(I835=0,"",""))))</f>
        <v/>
      </c>
      <c r="AG835" s="192">
        <f>(C835*G835)+(C835*H835)+(C835*I835)</f>
        <v/>
      </c>
    </row>
    <row r="836">
      <c r="AA836" s="640">
        <f>IF(G836=0, IF(OR(H836&gt;0,F836&gt;0),C836*F836,""),"")</f>
        <v/>
      </c>
      <c r="AB836" s="640">
        <f>IF(G836&gt;=1,IF(F836&gt;1,C836*(F836-2),""),"")</f>
        <v/>
      </c>
      <c r="AD836" s="911">
        <f>IF(E836="YES",IF(G836=1,"",""),IF(G836=1,C836,IF(G836=2,C836,IF(G836=0,"",""))))</f>
        <v/>
      </c>
      <c r="AE836" s="911">
        <f>IF(E836="YES",IF(G836=1,"",IF(H836=1,C836,"")),IF(H836=1,C836,IF(H836=2,C836,IF(H836=0,"",""))))</f>
        <v/>
      </c>
      <c r="AF836" s="911">
        <f>IF(E836="YES",IF(I836=1,C836,""),IF(I836=1,C836,IF(I836=2,C836,IF(I836=0,"",""))))</f>
        <v/>
      </c>
      <c r="AG836" s="192">
        <f>(C836*G836)+(C836*H836)+(C836*I836)</f>
        <v/>
      </c>
    </row>
    <row r="837">
      <c r="AA837" s="640">
        <f>IF(G837=0, IF(OR(H837&gt;0,F837&gt;0),C837*F837,""),"")</f>
        <v/>
      </c>
      <c r="AB837" s="640">
        <f>IF(G837&gt;=1,IF(F837&gt;1,C837*(F837-2),""),"")</f>
        <v/>
      </c>
      <c r="AD837" s="911">
        <f>IF(E837="YES",IF(G837=1,"",""),IF(G837=1,C837,IF(G837=2,C837,IF(G837=0,"",""))))</f>
        <v/>
      </c>
      <c r="AE837" s="911">
        <f>IF(E837="YES",IF(G837=1,"",IF(H837=1,C837,"")),IF(H837=1,C837,IF(H837=2,C837,IF(H837=0,"",""))))</f>
        <v/>
      </c>
      <c r="AF837" s="911">
        <f>IF(E837="YES",IF(I837=1,C837,""),IF(I837=1,C837,IF(I837=2,C837,IF(I837=0,"",""))))</f>
        <v/>
      </c>
      <c r="AG837" s="192">
        <f>(C837*G837)+(C837*H837)+(C837*I837)</f>
        <v/>
      </c>
    </row>
    <row r="838">
      <c r="AA838" s="640">
        <f>IF(G838=0, IF(OR(H838&gt;0,F838&gt;0),C838*F838,""),"")</f>
        <v/>
      </c>
      <c r="AB838" s="640">
        <f>IF(G838&gt;=1,IF(F838&gt;1,C838*(F838-2),""),"")</f>
        <v/>
      </c>
      <c r="AD838" s="911">
        <f>IF(E838="YES",IF(G838=1,"",""),IF(G838=1,C838,IF(G838=2,C838,IF(G838=0,"",""))))</f>
        <v/>
      </c>
      <c r="AE838" s="911">
        <f>IF(E838="YES",IF(G838=1,"",IF(H838=1,C838,"")),IF(H838=1,C838,IF(H838=2,C838,IF(H838=0,"",""))))</f>
        <v/>
      </c>
      <c r="AF838" s="911">
        <f>IF(E838="YES",IF(I838=1,C838,""),IF(I838=1,C838,IF(I838=2,C838,IF(I838=0,"",""))))</f>
        <v/>
      </c>
      <c r="AG838" s="192">
        <f>(C838*G838)+(C838*H838)+(C838*I838)</f>
        <v/>
      </c>
    </row>
    <row r="839">
      <c r="AA839" s="640">
        <f>IF(G839=0, IF(OR(H839&gt;0,F839&gt;0),C839*F839,""),"")</f>
        <v/>
      </c>
      <c r="AB839" s="640">
        <f>IF(G839&gt;=1,IF(F839&gt;1,C839*(F839-2),""),"")</f>
        <v/>
      </c>
      <c r="AD839" s="911">
        <f>IF(E839="YES",IF(G839=1,"",""),IF(G839=1,C839,IF(G839=2,C839,IF(G839=0,"",""))))</f>
        <v/>
      </c>
      <c r="AE839" s="911">
        <f>IF(E839="YES",IF(G839=1,"",IF(H839=1,C839,"")),IF(H839=1,C839,IF(H839=2,C839,IF(H839=0,"",""))))</f>
        <v/>
      </c>
      <c r="AF839" s="911">
        <f>IF(E839="YES",IF(I839=1,C839,""),IF(I839=1,C839,IF(I839=2,C839,IF(I839=0,"",""))))</f>
        <v/>
      </c>
      <c r="AG839" s="192">
        <f>(C839*G839)+(C839*H839)+(C839*I839)</f>
        <v/>
      </c>
    </row>
    <row r="840">
      <c r="AA840" s="640">
        <f>IF(G840=0, IF(OR(H840&gt;0,F840&gt;0),C840*F840,""),"")</f>
        <v/>
      </c>
      <c r="AB840" s="640">
        <f>IF(G840&gt;=1,IF(F840&gt;1,C840*(F840-2),""),"")</f>
        <v/>
      </c>
      <c r="AD840" s="911">
        <f>IF(E840="YES",IF(G840=1,"",""),IF(G840=1,C840,IF(G840=2,C840,IF(G840=0,"",""))))</f>
        <v/>
      </c>
      <c r="AE840" s="911">
        <f>IF(E840="YES",IF(G840=1,"",IF(H840=1,C840,"")),IF(H840=1,C840,IF(H840=2,C840,IF(H840=0,"",""))))</f>
        <v/>
      </c>
      <c r="AF840" s="911">
        <f>IF(E840="YES",IF(I840=1,C840,""),IF(I840=1,C840,IF(I840=2,C840,IF(I840=0,"",""))))</f>
        <v/>
      </c>
      <c r="AG840" s="192">
        <f>(C840*G840)+(C840*H840)+(C840*I840)</f>
        <v/>
      </c>
    </row>
    <row r="841">
      <c r="AA841" s="640">
        <f>IF(G841=0, IF(OR(H841&gt;0,F841&gt;0),C841*F841,""),"")</f>
        <v/>
      </c>
      <c r="AB841" s="640">
        <f>IF(G841&gt;=1,IF(F841&gt;1,C841*(F841-2),""),"")</f>
        <v/>
      </c>
      <c r="AD841" s="911">
        <f>IF(E841="YES",IF(G841=1,"",""),IF(G841=1,C841,IF(G841=2,C841,IF(G841=0,"",""))))</f>
        <v/>
      </c>
      <c r="AE841" s="911">
        <f>IF(E841="YES",IF(G841=1,"",IF(H841=1,C841,"")),IF(H841=1,C841,IF(H841=2,C841,IF(H841=0,"",""))))</f>
        <v/>
      </c>
      <c r="AF841" s="911">
        <f>IF(E841="YES",IF(I841=1,C841,""),IF(I841=1,C841,IF(I841=2,C841,IF(I841=0,"",""))))</f>
        <v/>
      </c>
      <c r="AG841" s="192">
        <f>(C841*G841)+(C841*H841)+(C841*I841)</f>
        <v/>
      </c>
    </row>
    <row r="842">
      <c r="AA842" s="640">
        <f>IF(G842=0, IF(OR(H842&gt;0,F842&gt;0),C842*F842,""),"")</f>
        <v/>
      </c>
      <c r="AB842" s="640">
        <f>IF(G842&gt;=1,IF(F842&gt;1,C842*(F842-2),""),"")</f>
        <v/>
      </c>
      <c r="AD842" s="911">
        <f>IF(E842="YES",IF(G842=1,"",""),IF(G842=1,C842,IF(G842=2,C842,IF(G842=0,"",""))))</f>
        <v/>
      </c>
      <c r="AE842" s="911">
        <f>IF(E842="YES",IF(G842=1,"",IF(H842=1,C842,"")),IF(H842=1,C842,IF(H842=2,C842,IF(H842=0,"",""))))</f>
        <v/>
      </c>
      <c r="AF842" s="911">
        <f>IF(E842="YES",IF(I842=1,C842,""),IF(I842=1,C842,IF(I842=2,C842,IF(I842=0,"",""))))</f>
        <v/>
      </c>
      <c r="AG842" s="192">
        <f>(C842*G842)+(C842*H842)+(C842*I842)</f>
        <v/>
      </c>
    </row>
    <row r="843">
      <c r="AA843" s="640">
        <f>IF(G843=0, IF(OR(H843&gt;0,F843&gt;0),C843*F843,""),"")</f>
        <v/>
      </c>
      <c r="AB843" s="640">
        <f>IF(G843&gt;=1,IF(F843&gt;1,C843*(F843-2),""),"")</f>
        <v/>
      </c>
      <c r="AD843" s="911">
        <f>IF(E843="YES",IF(G843=1,"",""),IF(G843=1,C843,IF(G843=2,C843,IF(G843=0,"",""))))</f>
        <v/>
      </c>
      <c r="AE843" s="911">
        <f>IF(E843="YES",IF(G843=1,"",IF(H843=1,C843,"")),IF(H843=1,C843,IF(H843=2,C843,IF(H843=0,"",""))))</f>
        <v/>
      </c>
      <c r="AF843" s="911">
        <f>IF(E843="YES",IF(I843=1,C843,""),IF(I843=1,C843,IF(I843=2,C843,IF(I843=0,"",""))))</f>
        <v/>
      </c>
      <c r="AG843" s="192">
        <f>(C843*G843)+(C843*H843)+(C843*I843)</f>
        <v/>
      </c>
    </row>
    <row r="844">
      <c r="AA844" s="640">
        <f>IF(G844=0, IF(OR(H844&gt;0,F844&gt;0),C844*F844,""),"")</f>
        <v/>
      </c>
      <c r="AB844" s="640">
        <f>IF(G844&gt;=1,IF(F844&gt;1,C844*(F844-2),""),"")</f>
        <v/>
      </c>
      <c r="AD844" s="911">
        <f>IF(E844="YES",IF(G844=1,"",""),IF(G844=1,C844,IF(G844=2,C844,IF(G844=0,"",""))))</f>
        <v/>
      </c>
      <c r="AE844" s="911">
        <f>IF(E844="YES",IF(G844=1,"",IF(H844=1,C844,"")),IF(H844=1,C844,IF(H844=2,C844,IF(H844=0,"",""))))</f>
        <v/>
      </c>
      <c r="AF844" s="911">
        <f>IF(E844="YES",IF(I844=1,C844,""),IF(I844=1,C844,IF(I844=2,C844,IF(I844=0,"",""))))</f>
        <v/>
      </c>
      <c r="AG844" s="192">
        <f>(C844*G844)+(C844*H844)+(C844*I844)</f>
        <v/>
      </c>
    </row>
    <row r="845">
      <c r="AA845" s="640">
        <f>IF(G845=0, IF(OR(H845&gt;0,F845&gt;0),C845*F845,""),"")</f>
        <v/>
      </c>
      <c r="AB845" s="640">
        <f>IF(G845&gt;=1,IF(F845&gt;1,C845*(F845-2),""),"")</f>
        <v/>
      </c>
      <c r="AD845" s="911">
        <f>IF(E845="YES",IF(G845=1,"",""),IF(G845=1,C845,IF(G845=2,C845,IF(G845=0,"",""))))</f>
        <v/>
      </c>
      <c r="AE845" s="911">
        <f>IF(E845="YES",IF(G845=1,"",IF(H845=1,C845,"")),IF(H845=1,C845,IF(H845=2,C845,IF(H845=0,"",""))))</f>
        <v/>
      </c>
      <c r="AF845" s="911">
        <f>IF(E845="YES",IF(I845=1,C845,""),IF(I845=1,C845,IF(I845=2,C845,IF(I845=0,"",""))))</f>
        <v/>
      </c>
      <c r="AG845" s="192">
        <f>(C845*G845)+(C845*H845)+(C845*I845)</f>
        <v/>
      </c>
    </row>
    <row r="846">
      <c r="AA846" s="640">
        <f>IF(G846=0, IF(OR(H846&gt;0,F846&gt;0),C846*F846,""),"")</f>
        <v/>
      </c>
      <c r="AB846" s="640">
        <f>IF(G846&gt;=1,IF(F846&gt;1,C846*(F846-2),""),"")</f>
        <v/>
      </c>
      <c r="AD846" s="911">
        <f>IF(E846="YES",IF(G846=1,"",""),IF(G846=1,C846,IF(G846=2,C846,IF(G846=0,"",""))))</f>
        <v/>
      </c>
      <c r="AE846" s="911">
        <f>IF(E846="YES",IF(G846=1,"",IF(H846=1,C846,"")),IF(H846=1,C846,IF(H846=2,C846,IF(H846=0,"",""))))</f>
        <v/>
      </c>
      <c r="AF846" s="911">
        <f>IF(E846="YES",IF(I846=1,C846,""),IF(I846=1,C846,IF(I846=2,C846,IF(I846=0,"",""))))</f>
        <v/>
      </c>
      <c r="AG846" s="192">
        <f>(C846*G846)+(C846*H846)+(C846*I846)</f>
        <v/>
      </c>
    </row>
    <row r="847">
      <c r="AA847" s="640">
        <f>IF(G847=0, IF(OR(H847&gt;0,F847&gt;0),C847*F847,""),"")</f>
        <v/>
      </c>
      <c r="AB847" s="640">
        <f>IF(G847&gt;=1,IF(F847&gt;1,C847*(F847-2),""),"")</f>
        <v/>
      </c>
      <c r="AD847" s="911">
        <f>IF(E847="YES",IF(G847=1,"",""),IF(G847=1,C847,IF(G847=2,C847,IF(G847=0,"",""))))</f>
        <v/>
      </c>
      <c r="AE847" s="911">
        <f>IF(E847="YES",IF(G847=1,"",IF(H847=1,C847,"")),IF(H847=1,C847,IF(H847=2,C847,IF(H847=0,"",""))))</f>
        <v/>
      </c>
      <c r="AF847" s="911">
        <f>IF(E847="YES",IF(I847=1,C847,""),IF(I847=1,C847,IF(I847=2,C847,IF(I847=0,"",""))))</f>
        <v/>
      </c>
      <c r="AG847" s="192">
        <f>(C847*G847)+(C847*H847)+(C847*I847)</f>
        <v/>
      </c>
    </row>
    <row r="848">
      <c r="AA848" s="640">
        <f>IF(G848=0, IF(OR(H848&gt;0,F848&gt;0),C848*F848,""),"")</f>
        <v/>
      </c>
      <c r="AB848" s="640">
        <f>IF(G848&gt;=1,IF(F848&gt;1,C848*(F848-2),""),"")</f>
        <v/>
      </c>
      <c r="AD848" s="911">
        <f>IF(E848="YES",IF(G848=1,"",""),IF(G848=1,C848,IF(G848=2,C848,IF(G848=0,"",""))))</f>
        <v/>
      </c>
      <c r="AE848" s="911">
        <f>IF(E848="YES",IF(G848=1,"",IF(H848=1,C848,"")),IF(H848=1,C848,IF(H848=2,C848,IF(H848=0,"",""))))</f>
        <v/>
      </c>
      <c r="AF848" s="911">
        <f>IF(E848="YES",IF(I848=1,C848,""),IF(I848=1,C848,IF(I848=2,C848,IF(I848=0,"",""))))</f>
        <v/>
      </c>
      <c r="AG848" s="192">
        <f>(C848*G848)+(C848*H848)+(C848*I848)</f>
        <v/>
      </c>
    </row>
    <row r="849">
      <c r="AA849" s="640">
        <f>IF(G849=0, IF(OR(H849&gt;0,F849&gt;0),C849*F849,""),"")</f>
        <v/>
      </c>
      <c r="AB849" s="640">
        <f>IF(G849&gt;=1,IF(F849&gt;1,C849*(F849-2),""),"")</f>
        <v/>
      </c>
      <c r="AD849" s="911">
        <f>IF(E849="YES",IF(G849=1,"",""),IF(G849=1,C849,IF(G849=2,C849,IF(G849=0,"",""))))</f>
        <v/>
      </c>
      <c r="AE849" s="911">
        <f>IF(E849="YES",IF(G849=1,"",IF(H849=1,C849,"")),IF(H849=1,C849,IF(H849=2,C849,IF(H849=0,"",""))))</f>
        <v/>
      </c>
      <c r="AF849" s="911">
        <f>IF(E849="YES",IF(I849=1,C849,""),IF(I849=1,C849,IF(I849=2,C849,IF(I849=0,"",""))))</f>
        <v/>
      </c>
      <c r="AG849" s="192">
        <f>(C849*G849)+(C849*H849)+(C849*I849)</f>
        <v/>
      </c>
    </row>
    <row r="850">
      <c r="AA850" s="640">
        <f>IF(G850=0, IF(OR(H850&gt;0,F850&gt;0),C850*F850,""),"")</f>
        <v/>
      </c>
      <c r="AB850" s="640">
        <f>IF(G850&gt;=1,IF(F850&gt;1,C850*(F850-2),""),"")</f>
        <v/>
      </c>
      <c r="AD850" s="911">
        <f>IF(E850="YES",IF(G850=1,"",""),IF(G850=1,C850,IF(G850=2,C850,IF(G850=0,"",""))))</f>
        <v/>
      </c>
      <c r="AE850" s="911">
        <f>IF(E850="YES",IF(G850=1,"",IF(H850=1,C850,"")),IF(H850=1,C850,IF(H850=2,C850,IF(H850=0,"",""))))</f>
        <v/>
      </c>
      <c r="AF850" s="911">
        <f>IF(E850="YES",IF(I850=1,C850,""),IF(I850=1,C850,IF(I850=2,C850,IF(I850=0,"",""))))</f>
        <v/>
      </c>
      <c r="AG850" s="192">
        <f>(C850*G850)+(C850*H850)+(C850*I850)</f>
        <v/>
      </c>
    </row>
    <row r="851">
      <c r="AA851" s="640">
        <f>IF(G851=0, IF(OR(H851&gt;0,F851&gt;0),C851*F851,""),"")</f>
        <v/>
      </c>
      <c r="AB851" s="640">
        <f>IF(G851&gt;=1,IF(F851&gt;1,C851*(F851-2),""),"")</f>
        <v/>
      </c>
      <c r="AD851" s="911">
        <f>IF(E851="YES",IF(G851=1,"",""),IF(G851=1,C851,IF(G851=2,C851,IF(G851=0,"",""))))</f>
        <v/>
      </c>
      <c r="AE851" s="911">
        <f>IF(E851="YES",IF(G851=1,"",IF(H851=1,C851,"")),IF(H851=1,C851,IF(H851=2,C851,IF(H851=0,"",""))))</f>
        <v/>
      </c>
      <c r="AF851" s="911">
        <f>IF(E851="YES",IF(I851=1,C851,""),IF(I851=1,C851,IF(I851=2,C851,IF(I851=0,"",""))))</f>
        <v/>
      </c>
      <c r="AG851" s="192">
        <f>(C851*G851)+(C851*H851)+(C851*I851)</f>
        <v/>
      </c>
    </row>
    <row r="852">
      <c r="AA852" s="640">
        <f>IF(G852=0, IF(OR(H852&gt;0,F852&gt;0),C852*F852,""),"")</f>
        <v/>
      </c>
      <c r="AB852" s="640">
        <f>IF(G852&gt;=1,IF(F852&gt;1,C852*(F852-2),""),"")</f>
        <v/>
      </c>
      <c r="AD852" s="911">
        <f>IF(E852="YES",IF(G852=1,"",""),IF(G852=1,C852,IF(G852=2,C852,IF(G852=0,"",""))))</f>
        <v/>
      </c>
      <c r="AE852" s="911">
        <f>IF(E852="YES",IF(G852=1,"",IF(H852=1,C852,"")),IF(H852=1,C852,IF(H852=2,C852,IF(H852=0,"",""))))</f>
        <v/>
      </c>
      <c r="AF852" s="911">
        <f>IF(E852="YES",IF(I852=1,C852,""),IF(I852=1,C852,IF(I852=2,C852,IF(I852=0,"",""))))</f>
        <v/>
      </c>
      <c r="AG852" s="192">
        <f>(C852*G852)+(C852*H852)+(C852*I852)</f>
        <v/>
      </c>
    </row>
    <row r="853">
      <c r="AA853" s="640">
        <f>IF(G853=0, IF(OR(H853&gt;0,F853&gt;0),C853*F853,""),"")</f>
        <v/>
      </c>
      <c r="AB853" s="640">
        <f>IF(G853&gt;=1,IF(F853&gt;1,C853*(F853-2),""),"")</f>
        <v/>
      </c>
      <c r="AD853" s="911">
        <f>IF(E853="YES",IF(G853=1,"",""),IF(G853=1,C853,IF(G853=2,C853,IF(G853=0,"",""))))</f>
        <v/>
      </c>
      <c r="AE853" s="911">
        <f>IF(E853="YES",IF(G853=1,"",IF(H853=1,C853,"")),IF(H853=1,C853,IF(H853=2,C853,IF(H853=0,"",""))))</f>
        <v/>
      </c>
      <c r="AF853" s="911">
        <f>IF(E853="YES",IF(I853=1,C853,""),IF(I853=1,C853,IF(I853=2,C853,IF(I853=0,"",""))))</f>
        <v/>
      </c>
      <c r="AG853" s="192">
        <f>(C853*G853)+(C853*H853)+(C853*I853)</f>
        <v/>
      </c>
    </row>
    <row r="854">
      <c r="AA854" s="640">
        <f>IF(G854=0, IF(OR(H854&gt;0,F854&gt;0),C854*F854,""),"")</f>
        <v/>
      </c>
      <c r="AB854" s="640">
        <f>IF(G854&gt;=1,IF(F854&gt;1,C854*(F854-2),""),"")</f>
        <v/>
      </c>
      <c r="AD854" s="911">
        <f>IF(E854="YES",IF(G854=1,"",""),IF(G854=1,C854,IF(G854=2,C854,IF(G854=0,"",""))))</f>
        <v/>
      </c>
      <c r="AE854" s="911">
        <f>IF(E854="YES",IF(G854=1,"",IF(H854=1,C854,"")),IF(H854=1,C854,IF(H854=2,C854,IF(H854=0,"",""))))</f>
        <v/>
      </c>
      <c r="AF854" s="911">
        <f>IF(E854="YES",IF(I854=1,C854,""),IF(I854=1,C854,IF(I854=2,C854,IF(I854=0,"",""))))</f>
        <v/>
      </c>
      <c r="AG854" s="192">
        <f>(C854*G854)+(C854*H854)+(C854*I854)</f>
        <v/>
      </c>
    </row>
    <row r="855">
      <c r="AA855" s="640">
        <f>IF(G855=0, IF(OR(H855&gt;0,F855&gt;0),C855*F855,""),"")</f>
        <v/>
      </c>
      <c r="AB855" s="640">
        <f>IF(G855&gt;=1,IF(F855&gt;1,C855*(F855-2),""),"")</f>
        <v/>
      </c>
      <c r="AD855" s="911">
        <f>IF(E855="YES",IF(G855=1,"",""),IF(G855=1,C855,IF(G855=2,C855,IF(G855=0,"",""))))</f>
        <v/>
      </c>
      <c r="AE855" s="911">
        <f>IF(E855="YES",IF(G855=1,"",IF(H855=1,C855,"")),IF(H855=1,C855,IF(H855=2,C855,IF(H855=0,"",""))))</f>
        <v/>
      </c>
      <c r="AF855" s="911">
        <f>IF(E855="YES",IF(I855=1,C855,""),IF(I855=1,C855,IF(I855=2,C855,IF(I855=0,"",""))))</f>
        <v/>
      </c>
      <c r="AG855" s="192">
        <f>(C855*G855)+(C855*H855)+(C855*I855)</f>
        <v/>
      </c>
    </row>
    <row r="856">
      <c r="AA856" s="640">
        <f>IF(G856=0, IF(OR(H856&gt;0,F856&gt;0),C856*F856,""),"")</f>
        <v/>
      </c>
      <c r="AB856" s="640">
        <f>IF(G856&gt;=1,IF(F856&gt;1,C856*(F856-2),""),"")</f>
        <v/>
      </c>
      <c r="AD856" s="911">
        <f>IF(E856="YES",IF(G856=1,"",""),IF(G856=1,C856,IF(G856=2,C856,IF(G856=0,"",""))))</f>
        <v/>
      </c>
      <c r="AE856" s="911">
        <f>IF(E856="YES",IF(G856=1,"",IF(H856=1,C856,"")),IF(H856=1,C856,IF(H856=2,C856,IF(H856=0,"",""))))</f>
        <v/>
      </c>
      <c r="AF856" s="911">
        <f>IF(E856="YES",IF(I856=1,C856,""),IF(I856=1,C856,IF(I856=2,C856,IF(I856=0,"",""))))</f>
        <v/>
      </c>
      <c r="AG856" s="192">
        <f>(C856*G856)+(C856*H856)+(C856*I856)</f>
        <v/>
      </c>
    </row>
    <row r="857">
      <c r="AA857" s="640">
        <f>IF(G857=0, IF(OR(H857&gt;0,F857&gt;0),C857*F857,""),"")</f>
        <v/>
      </c>
      <c r="AB857" s="640">
        <f>IF(G857&gt;=1,IF(F857&gt;1,C857*(F857-2),""),"")</f>
        <v/>
      </c>
      <c r="AD857" s="911">
        <f>IF(E857="YES",IF(G857=1,"",""),IF(G857=1,C857,IF(G857=2,C857,IF(G857=0,"",""))))</f>
        <v/>
      </c>
      <c r="AE857" s="911">
        <f>IF(E857="YES",IF(G857=1,"",IF(H857=1,C857,"")),IF(H857=1,C857,IF(H857=2,C857,IF(H857=0,"",""))))</f>
        <v/>
      </c>
      <c r="AF857" s="911">
        <f>IF(E857="YES",IF(I857=1,C857,""),IF(I857=1,C857,IF(I857=2,C857,IF(I857=0,"",""))))</f>
        <v/>
      </c>
      <c r="AG857" s="192">
        <f>(C857*G857)+(C857*H857)+(C857*I857)</f>
        <v/>
      </c>
    </row>
    <row r="858">
      <c r="AA858" s="640">
        <f>IF(G858=0, IF(OR(H858&gt;0,F858&gt;0),C858*F858,""),"")</f>
        <v/>
      </c>
      <c r="AB858" s="640">
        <f>IF(G858&gt;=1,IF(F858&gt;1,C858*(F858-2),""),"")</f>
        <v/>
      </c>
      <c r="AD858" s="911">
        <f>IF(E858="YES",IF(G858=1,"",""),IF(G858=1,C858,IF(G858=2,C858,IF(G858=0,"",""))))</f>
        <v/>
      </c>
      <c r="AE858" s="911">
        <f>IF(E858="YES",IF(G858=1,"",IF(H858=1,C858,"")),IF(H858=1,C858,IF(H858=2,C858,IF(H858=0,"",""))))</f>
        <v/>
      </c>
      <c r="AF858" s="911">
        <f>IF(E858="YES",IF(I858=1,C858,""),IF(I858=1,C858,IF(I858=2,C858,IF(I858=0,"",""))))</f>
        <v/>
      </c>
      <c r="AG858" s="192">
        <f>(C858*G858)+(C858*H858)+(C858*I858)</f>
        <v/>
      </c>
    </row>
    <row r="859">
      <c r="AA859" s="640">
        <f>IF(G859=0, IF(OR(H859&gt;0,F859&gt;0),C859*F859,""),"")</f>
        <v/>
      </c>
      <c r="AB859" s="640">
        <f>IF(G859&gt;=1,IF(F859&gt;1,C859*(F859-2),""),"")</f>
        <v/>
      </c>
      <c r="AD859" s="911">
        <f>IF(E859="YES",IF(G859=1,"",""),IF(G859=1,C859,IF(G859=2,C859,IF(G859=0,"",""))))</f>
        <v/>
      </c>
      <c r="AE859" s="911">
        <f>IF(E859="YES",IF(G859=1,"",IF(H859=1,C859,"")),IF(H859=1,C859,IF(H859=2,C859,IF(H859=0,"",""))))</f>
        <v/>
      </c>
      <c r="AF859" s="911">
        <f>IF(E859="YES",IF(I859=1,C859,""),IF(I859=1,C859,IF(I859=2,C859,IF(I859=0,"",""))))</f>
        <v/>
      </c>
      <c r="AG859" s="192">
        <f>(C859*G859)+(C859*H859)+(C859*I859)</f>
        <v/>
      </c>
    </row>
    <row r="860">
      <c r="AA860" s="640">
        <f>IF(G860=0, IF(OR(H860&gt;0,F860&gt;0),C860*F860,""),"")</f>
        <v/>
      </c>
      <c r="AB860" s="640">
        <f>IF(G860&gt;=1,IF(F860&gt;1,C860*(F860-2),""),"")</f>
        <v/>
      </c>
      <c r="AD860" s="911">
        <f>IF(E860="YES",IF(G860=1,"",""),IF(G860=1,C860,IF(G860=2,C860,IF(G860=0,"",""))))</f>
        <v/>
      </c>
      <c r="AE860" s="911">
        <f>IF(E860="YES",IF(G860=1,"",IF(H860=1,C860,"")),IF(H860=1,C860,IF(H860=2,C860,IF(H860=0,"",""))))</f>
        <v/>
      </c>
      <c r="AF860" s="911">
        <f>IF(E860="YES",IF(I860=1,C860,""),IF(I860=1,C860,IF(I860=2,C860,IF(I860=0,"",""))))</f>
        <v/>
      </c>
      <c r="AG860" s="192">
        <f>(C860*G860)+(C860*H860)+(C860*I860)</f>
        <v/>
      </c>
    </row>
    <row r="861">
      <c r="AA861" s="640">
        <f>IF(G861=0, IF(OR(H861&gt;0,F861&gt;0),C861*F861,""),"")</f>
        <v/>
      </c>
      <c r="AB861" s="640">
        <f>IF(G861&gt;=1,IF(F861&gt;1,C861*(F861-2),""),"")</f>
        <v/>
      </c>
      <c r="AD861" s="911">
        <f>IF(E861="YES",IF(G861=1,"",""),IF(G861=1,C861,IF(G861=2,C861,IF(G861=0,"",""))))</f>
        <v/>
      </c>
      <c r="AE861" s="911">
        <f>IF(E861="YES",IF(G861=1,"",IF(H861=1,C861,"")),IF(H861=1,C861,IF(H861=2,C861,IF(H861=0,"",""))))</f>
        <v/>
      </c>
      <c r="AF861" s="911">
        <f>IF(E861="YES",IF(I861=1,C861,""),IF(I861=1,C861,IF(I861=2,C861,IF(I861=0,"",""))))</f>
        <v/>
      </c>
      <c r="AG861" s="192">
        <f>(C861*G861)+(C861*H861)+(C861*I861)</f>
        <v/>
      </c>
    </row>
    <row r="862">
      <c r="AA862" s="640">
        <f>IF(G862=0, IF(OR(H862&gt;0,F862&gt;0),C862*F862,""),"")</f>
        <v/>
      </c>
      <c r="AB862" s="640">
        <f>IF(G862&gt;=1,IF(F862&gt;1,C862*(F862-2),""),"")</f>
        <v/>
      </c>
      <c r="AD862" s="911">
        <f>IF(E862="YES",IF(G862=1,"",""),IF(G862=1,C862,IF(G862=2,C862,IF(G862=0,"",""))))</f>
        <v/>
      </c>
      <c r="AE862" s="911">
        <f>IF(E862="YES",IF(G862=1,"",IF(H862=1,C862,"")),IF(H862=1,C862,IF(H862=2,C862,IF(H862=0,"",""))))</f>
        <v/>
      </c>
      <c r="AF862" s="911">
        <f>IF(E862="YES",IF(I862=1,C862,""),IF(I862=1,C862,IF(I862=2,C862,IF(I862=0,"",""))))</f>
        <v/>
      </c>
      <c r="AG862" s="192">
        <f>(C862*G862)+(C862*H862)+(C862*I862)</f>
        <v/>
      </c>
    </row>
    <row r="863">
      <c r="AA863" s="640">
        <f>IF(G863=0, IF(OR(H863&gt;0,F863&gt;0),C863*F863,""),"")</f>
        <v/>
      </c>
      <c r="AB863" s="640">
        <f>IF(G863&gt;=1,IF(F863&gt;1,C863*(F863-2),""),"")</f>
        <v/>
      </c>
      <c r="AD863" s="911">
        <f>IF(E863="YES",IF(G863=1,"",""),IF(G863=1,C863,IF(G863=2,C863,IF(G863=0,"",""))))</f>
        <v/>
      </c>
      <c r="AE863" s="911">
        <f>IF(E863="YES",IF(G863=1,"",IF(H863=1,C863,"")),IF(H863=1,C863,IF(H863=2,C863,IF(H863=0,"",""))))</f>
        <v/>
      </c>
      <c r="AF863" s="911">
        <f>IF(E863="YES",IF(I863=1,C863,""),IF(I863=1,C863,IF(I863=2,C863,IF(I863=0,"",""))))</f>
        <v/>
      </c>
      <c r="AG863" s="192">
        <f>(C863*G863)+(C863*H863)+(C863*I863)</f>
        <v/>
      </c>
    </row>
    <row r="864">
      <c r="AA864" s="640">
        <f>IF(G864=0, IF(OR(H864&gt;0,F864&gt;0),C864*F864,""),"")</f>
        <v/>
      </c>
      <c r="AB864" s="640">
        <f>IF(G864&gt;=1,IF(F864&gt;1,C864*(F864-2),""),"")</f>
        <v/>
      </c>
      <c r="AD864" s="911">
        <f>IF(E864="YES",IF(G864=1,"",""),IF(G864=1,C864,IF(G864=2,C864,IF(G864=0,"",""))))</f>
        <v/>
      </c>
      <c r="AE864" s="911">
        <f>IF(E864="YES",IF(G864=1,"",IF(H864=1,C864,"")),IF(H864=1,C864,IF(H864=2,C864,IF(H864=0,"",""))))</f>
        <v/>
      </c>
      <c r="AF864" s="911">
        <f>IF(E864="YES",IF(I864=1,C864,""),IF(I864=1,C864,IF(I864=2,C864,IF(I864=0,"",""))))</f>
        <v/>
      </c>
      <c r="AG864" s="192">
        <f>(C864*G864)+(C864*H864)+(C864*I864)</f>
        <v/>
      </c>
    </row>
    <row r="865">
      <c r="AA865" s="640">
        <f>IF(G865=0, IF(OR(H865&gt;0,F865&gt;0),C865*F865,""),"")</f>
        <v/>
      </c>
      <c r="AB865" s="640">
        <f>IF(G865&gt;=1,IF(F865&gt;1,C865*(F865-2),""),"")</f>
        <v/>
      </c>
      <c r="AD865" s="911">
        <f>IF(E865="YES",IF(G865=1,"",""),IF(G865=1,C865,IF(G865=2,C865,IF(G865=0,"",""))))</f>
        <v/>
      </c>
      <c r="AE865" s="911">
        <f>IF(E865="YES",IF(G865=1,"",IF(H865=1,C865,"")),IF(H865=1,C865,IF(H865=2,C865,IF(H865=0,"",""))))</f>
        <v/>
      </c>
      <c r="AF865" s="911">
        <f>IF(E865="YES",IF(I865=1,C865,""),IF(I865=1,C865,IF(I865=2,C865,IF(I865=0,"",""))))</f>
        <v/>
      </c>
      <c r="AG865" s="192">
        <f>(C865*G865)+(C865*H865)+(C865*I865)</f>
        <v/>
      </c>
    </row>
    <row r="866">
      <c r="AA866" s="640">
        <f>IF(G866=0, IF(OR(H866&gt;0,F866&gt;0),C866*F866,""),"")</f>
        <v/>
      </c>
      <c r="AB866" s="640">
        <f>IF(G866&gt;=1,IF(F866&gt;1,C866*(F866-2),""),"")</f>
        <v/>
      </c>
      <c r="AD866" s="911">
        <f>IF(E866="YES",IF(G866=1,"",""),IF(G866=1,C866,IF(G866=2,C866,IF(G866=0,"",""))))</f>
        <v/>
      </c>
      <c r="AE866" s="911">
        <f>IF(E866="YES",IF(G866=1,"",IF(H866=1,C866,"")),IF(H866=1,C866,IF(H866=2,C866,IF(H866=0,"",""))))</f>
        <v/>
      </c>
      <c r="AF866" s="911">
        <f>IF(E866="YES",IF(I866=1,C866,""),IF(I866=1,C866,IF(I866=2,C866,IF(I866=0,"",""))))</f>
        <v/>
      </c>
      <c r="AG866" s="192">
        <f>(C866*G866)+(C866*H866)+(C866*I866)</f>
        <v/>
      </c>
    </row>
    <row r="867">
      <c r="AA867" s="640">
        <f>IF(G867=0, IF(OR(H867&gt;0,F867&gt;0),C867*F867,""),"")</f>
        <v/>
      </c>
      <c r="AB867" s="640">
        <f>IF(G867&gt;=1,IF(F867&gt;1,C867*(F867-2),""),"")</f>
        <v/>
      </c>
      <c r="AD867" s="911">
        <f>IF(E867="YES",IF(G867=1,"",""),IF(G867=1,C867,IF(G867=2,C867,IF(G867=0,"",""))))</f>
        <v/>
      </c>
      <c r="AE867" s="911">
        <f>IF(E867="YES",IF(G867=1,"",IF(H867=1,C867,"")),IF(H867=1,C867,IF(H867=2,C867,IF(H867=0,"",""))))</f>
        <v/>
      </c>
      <c r="AF867" s="911">
        <f>IF(E867="YES",IF(I867=1,C867,""),IF(I867=1,C867,IF(I867=2,C867,IF(I867=0,"",""))))</f>
        <v/>
      </c>
      <c r="AG867" s="192">
        <f>(C867*G867)+(C867*H867)+(C867*I867)</f>
        <v/>
      </c>
    </row>
    <row r="868">
      <c r="AA868" s="640">
        <f>IF(G868=0, IF(OR(H868&gt;0,F868&gt;0),C868*F868,""),"")</f>
        <v/>
      </c>
      <c r="AB868" s="640">
        <f>IF(G868&gt;=1,IF(F868&gt;1,C868*(F868-2),""),"")</f>
        <v/>
      </c>
      <c r="AD868" s="911">
        <f>IF(E868="YES",IF(G868=1,"",""),IF(G868=1,C868,IF(G868=2,C868,IF(G868=0,"",""))))</f>
        <v/>
      </c>
      <c r="AE868" s="911">
        <f>IF(E868="YES",IF(G868=1,"",IF(H868=1,C868,"")),IF(H868=1,C868,IF(H868=2,C868,IF(H868=0,"",""))))</f>
        <v/>
      </c>
      <c r="AF868" s="911">
        <f>IF(E868="YES",IF(I868=1,C868,""),IF(I868=1,C868,IF(I868=2,C868,IF(I868=0,"",""))))</f>
        <v/>
      </c>
      <c r="AG868" s="192">
        <f>(C868*G868)+(C868*H868)+(C868*I868)</f>
        <v/>
      </c>
    </row>
    <row r="869">
      <c r="AA869" s="640">
        <f>IF(G869=0, IF(OR(H869&gt;0,F869&gt;0),C869*F869,""),"")</f>
        <v/>
      </c>
      <c r="AB869" s="640">
        <f>IF(G869&gt;=1,IF(F869&gt;1,C869*(F869-2),""),"")</f>
        <v/>
      </c>
      <c r="AD869" s="911">
        <f>IF(E869="YES",IF(G869=1,"",""),IF(G869=1,C869,IF(G869=2,C869,IF(G869=0,"",""))))</f>
        <v/>
      </c>
      <c r="AE869" s="911">
        <f>IF(E869="YES",IF(G869=1,"",IF(H869=1,C869,"")),IF(H869=1,C869,IF(H869=2,C869,IF(H869=0,"",""))))</f>
        <v/>
      </c>
      <c r="AF869" s="911">
        <f>IF(E869="YES",IF(I869=1,C869,""),IF(I869=1,C869,IF(I869=2,C869,IF(I869=0,"",""))))</f>
        <v/>
      </c>
      <c r="AG869" s="192">
        <f>(C869*G869)+(C869*H869)+(C869*I869)</f>
        <v/>
      </c>
    </row>
    <row r="870">
      <c r="AA870" s="640">
        <f>IF(G870=0, IF(OR(H870&gt;0,F870&gt;0),C870*F870,""),"")</f>
        <v/>
      </c>
      <c r="AB870" s="640">
        <f>IF(G870&gt;=1,IF(F870&gt;1,C870*(F870-2),""),"")</f>
        <v/>
      </c>
      <c r="AD870" s="911">
        <f>IF(E870="YES",IF(G870=1,"",""),IF(G870=1,C870,IF(G870=2,C870,IF(G870=0,"",""))))</f>
        <v/>
      </c>
      <c r="AE870" s="911">
        <f>IF(E870="YES",IF(G870=1,"",IF(H870=1,C870,"")),IF(H870=1,C870,IF(H870=2,C870,IF(H870=0,"",""))))</f>
        <v/>
      </c>
      <c r="AF870" s="911">
        <f>IF(E870="YES",IF(I870=1,C870,""),IF(I870=1,C870,IF(I870=2,C870,IF(I870=0,"",""))))</f>
        <v/>
      </c>
      <c r="AG870" s="192">
        <f>(C870*G870)+(C870*H870)+(C870*I870)</f>
        <v/>
      </c>
    </row>
    <row r="871">
      <c r="AA871" s="640">
        <f>IF(G871=0, IF(OR(H871&gt;0,F871&gt;0),C871*F871,""),"")</f>
        <v/>
      </c>
      <c r="AB871" s="640">
        <f>IF(G871&gt;=1,IF(F871&gt;1,C871*(F871-2),""),"")</f>
        <v/>
      </c>
      <c r="AD871" s="911">
        <f>IF(E871="YES",IF(G871=1,"",""),IF(G871=1,C871,IF(G871=2,C871,IF(G871=0,"",""))))</f>
        <v/>
      </c>
      <c r="AE871" s="911">
        <f>IF(E871="YES",IF(G871=1,"",IF(H871=1,C871,"")),IF(H871=1,C871,IF(H871=2,C871,IF(H871=0,"",""))))</f>
        <v/>
      </c>
      <c r="AF871" s="911">
        <f>IF(E871="YES",IF(I871=1,C871,""),IF(I871=1,C871,IF(I871=2,C871,IF(I871=0,"",""))))</f>
        <v/>
      </c>
      <c r="AG871" s="192">
        <f>(C871*G871)+(C871*H871)+(C871*I871)</f>
        <v/>
      </c>
    </row>
    <row r="872">
      <c r="AA872" s="640">
        <f>IF(G872=0, IF(OR(H872&gt;0,F872&gt;0),C872*F872,""),"")</f>
        <v/>
      </c>
      <c r="AB872" s="640">
        <f>IF(G872&gt;=1,IF(F872&gt;1,C872*(F872-2),""),"")</f>
        <v/>
      </c>
      <c r="AD872" s="911">
        <f>IF(E872="YES",IF(G872=1,"",""),IF(G872=1,C872,IF(G872=2,C872,IF(G872=0,"",""))))</f>
        <v/>
      </c>
      <c r="AE872" s="911">
        <f>IF(E872="YES",IF(G872=1,"",IF(H872=1,C872,"")),IF(H872=1,C872,IF(H872=2,C872,IF(H872=0,"",""))))</f>
        <v/>
      </c>
      <c r="AF872" s="911">
        <f>IF(E872="YES",IF(I872=1,C872,""),IF(I872=1,C872,IF(I872=2,C872,IF(I872=0,"",""))))</f>
        <v/>
      </c>
      <c r="AG872" s="192">
        <f>(C872*G872)+(C872*H872)+(C872*I872)</f>
        <v/>
      </c>
    </row>
    <row r="873">
      <c r="AA873" s="640">
        <f>IF(G873=0, IF(OR(H873&gt;0,F873&gt;0),C873*F873,""),"")</f>
        <v/>
      </c>
      <c r="AB873" s="640">
        <f>IF(G873&gt;=1,IF(F873&gt;1,C873*(F873-2),""),"")</f>
        <v/>
      </c>
      <c r="AD873" s="911">
        <f>IF(E873="YES",IF(G873=1,"",""),IF(G873=1,C873,IF(G873=2,C873,IF(G873=0,"",""))))</f>
        <v/>
      </c>
      <c r="AE873" s="911">
        <f>IF(E873="YES",IF(G873=1,"",IF(H873=1,C873,"")),IF(H873=1,C873,IF(H873=2,C873,IF(H873=0,"",""))))</f>
        <v/>
      </c>
      <c r="AF873" s="911">
        <f>IF(E873="YES",IF(I873=1,C873,""),IF(I873=1,C873,IF(I873=2,C873,IF(I873=0,"",""))))</f>
        <v/>
      </c>
      <c r="AG873" s="192">
        <f>(C873*G873)+(C873*H873)+(C873*I873)</f>
        <v/>
      </c>
    </row>
    <row r="874">
      <c r="AA874" s="640">
        <f>IF(G874=0, IF(OR(H874&gt;0,F874&gt;0),C874*F874,""),"")</f>
        <v/>
      </c>
      <c r="AB874" s="640">
        <f>IF(G874&gt;=1,IF(F874&gt;1,C874*(F874-2),""),"")</f>
        <v/>
      </c>
      <c r="AD874" s="911">
        <f>IF(E874="YES",IF(G874=1,"",""),IF(G874=1,C874,IF(G874=2,C874,IF(G874=0,"",""))))</f>
        <v/>
      </c>
      <c r="AE874" s="911">
        <f>IF(E874="YES",IF(G874=1,"",IF(H874=1,C874,"")),IF(H874=1,C874,IF(H874=2,C874,IF(H874=0,"",""))))</f>
        <v/>
      </c>
      <c r="AF874" s="911">
        <f>IF(E874="YES",IF(I874=1,C874,""),IF(I874=1,C874,IF(I874=2,C874,IF(I874=0,"",""))))</f>
        <v/>
      </c>
      <c r="AG874" s="192">
        <f>(C874*G874)+(C874*H874)+(C874*I874)</f>
        <v/>
      </c>
    </row>
    <row r="875">
      <c r="AA875" s="640">
        <f>IF(G875=0, IF(OR(H875&gt;0,F875&gt;0),C875*F875,""),"")</f>
        <v/>
      </c>
      <c r="AB875" s="640">
        <f>IF(G875&gt;=1,IF(F875&gt;1,C875*(F875-2),""),"")</f>
        <v/>
      </c>
      <c r="AD875" s="911">
        <f>IF(E875="YES",IF(G875=1,"",""),IF(G875=1,C875,IF(G875=2,C875,IF(G875=0,"",""))))</f>
        <v/>
      </c>
      <c r="AE875" s="911">
        <f>IF(E875="YES",IF(G875=1,"",IF(H875=1,C875,"")),IF(H875=1,C875,IF(H875=2,C875,IF(H875=0,"",""))))</f>
        <v/>
      </c>
      <c r="AF875" s="911">
        <f>IF(E875="YES",IF(I875=1,C875,""),IF(I875=1,C875,IF(I875=2,C875,IF(I875=0,"",""))))</f>
        <v/>
      </c>
      <c r="AG875" s="192">
        <f>(C875*G875)+(C875*H875)+(C875*I875)</f>
        <v/>
      </c>
    </row>
    <row r="876">
      <c r="AA876" s="640">
        <f>IF(G876=0, IF(OR(H876&gt;0,F876&gt;0),C876*F876,""),"")</f>
        <v/>
      </c>
      <c r="AB876" s="640">
        <f>IF(G876&gt;=1,IF(F876&gt;1,C876*(F876-2),""),"")</f>
        <v/>
      </c>
      <c r="AD876" s="911">
        <f>IF(E876="YES",IF(G876=1,"",""),IF(G876=1,C876,IF(G876=2,C876,IF(G876=0,"",""))))</f>
        <v/>
      </c>
      <c r="AE876" s="911">
        <f>IF(E876="YES",IF(G876=1,"",IF(H876=1,C876,"")),IF(H876=1,C876,IF(H876=2,C876,IF(H876=0,"",""))))</f>
        <v/>
      </c>
      <c r="AF876" s="911">
        <f>IF(E876="YES",IF(I876=1,C876,""),IF(I876=1,C876,IF(I876=2,C876,IF(I876=0,"",""))))</f>
        <v/>
      </c>
      <c r="AG876" s="192">
        <f>(C876*G876)+(C876*H876)+(C876*I876)</f>
        <v/>
      </c>
    </row>
    <row r="877">
      <c r="AA877" s="640">
        <f>IF(G877=0, IF(OR(H877&gt;0,F877&gt;0),C877*F877,""),"")</f>
        <v/>
      </c>
      <c r="AB877" s="640">
        <f>IF(G877&gt;=1,IF(F877&gt;1,C877*(F877-2),""),"")</f>
        <v/>
      </c>
      <c r="AD877" s="911">
        <f>IF(E877="YES",IF(G877=1,"",""),IF(G877=1,C877,IF(G877=2,C877,IF(G877=0,"",""))))</f>
        <v/>
      </c>
      <c r="AE877" s="911">
        <f>IF(E877="YES",IF(G877=1,"",IF(H877=1,C877,"")),IF(H877=1,C877,IF(H877=2,C877,IF(H877=0,"",""))))</f>
        <v/>
      </c>
      <c r="AF877" s="911">
        <f>IF(E877="YES",IF(I877=1,C877,""),IF(I877=1,C877,IF(I877=2,C877,IF(I877=0,"",""))))</f>
        <v/>
      </c>
      <c r="AG877" s="192">
        <f>(C877*G877)+(C877*H877)+(C877*I877)</f>
        <v/>
      </c>
    </row>
    <row r="878">
      <c r="AA878" s="640">
        <f>IF(G878=0, IF(OR(H878&gt;0,F878&gt;0),C878*F878,""),"")</f>
        <v/>
      </c>
      <c r="AB878" s="640">
        <f>IF(G878&gt;=1,IF(F878&gt;1,C878*(F878-2),""),"")</f>
        <v/>
      </c>
      <c r="AD878" s="911">
        <f>IF(E878="YES",IF(G878=1,"",""),IF(G878=1,C878,IF(G878=2,C878,IF(G878=0,"",""))))</f>
        <v/>
      </c>
      <c r="AE878" s="911">
        <f>IF(E878="YES",IF(G878=1,"",IF(H878=1,C878,"")),IF(H878=1,C878,IF(H878=2,C878,IF(H878=0,"",""))))</f>
        <v/>
      </c>
      <c r="AF878" s="911">
        <f>IF(E878="YES",IF(I878=1,C878,""),IF(I878=1,C878,IF(I878=2,C878,IF(I878=0,"",""))))</f>
        <v/>
      </c>
      <c r="AG878" s="192">
        <f>(C878*G878)+(C878*H878)+(C878*I878)</f>
        <v/>
      </c>
    </row>
    <row r="879">
      <c r="AA879" s="640">
        <f>IF(G879=0, IF(OR(H879&gt;0,F879&gt;0),C879*F879,""),"")</f>
        <v/>
      </c>
      <c r="AB879" s="640">
        <f>IF(G879&gt;=1,IF(F879&gt;1,C879*(F879-2),""),"")</f>
        <v/>
      </c>
      <c r="AD879" s="911">
        <f>IF(E879="YES",IF(G879=1,"",""),IF(G879=1,C879,IF(G879=2,C879,IF(G879=0,"",""))))</f>
        <v/>
      </c>
      <c r="AE879" s="911">
        <f>IF(E879="YES",IF(G879=1,"",IF(H879=1,C879,"")),IF(H879=1,C879,IF(H879=2,C879,IF(H879=0,"",""))))</f>
        <v/>
      </c>
      <c r="AF879" s="911">
        <f>IF(E879="YES",IF(I879=1,C879,""),IF(I879=1,C879,IF(I879=2,C879,IF(I879=0,"",""))))</f>
        <v/>
      </c>
      <c r="AG879" s="192">
        <f>(C879*G879)+(C879*H879)+(C879*I879)</f>
        <v/>
      </c>
    </row>
    <row r="880">
      <c r="AA880" s="640">
        <f>IF(G880=0, IF(OR(H880&gt;0,F880&gt;0),C880*F880,""),"")</f>
        <v/>
      </c>
      <c r="AB880" s="640">
        <f>IF(G880&gt;=1,IF(F880&gt;1,C880*(F880-2),""),"")</f>
        <v/>
      </c>
      <c r="AD880" s="911">
        <f>IF(E880="YES",IF(G880=1,"",""),IF(G880=1,C880,IF(G880=2,C880,IF(G880=0,"",""))))</f>
        <v/>
      </c>
      <c r="AE880" s="911">
        <f>IF(E880="YES",IF(G880=1,"",IF(H880=1,C880,"")),IF(H880=1,C880,IF(H880=2,C880,IF(H880=0,"",""))))</f>
        <v/>
      </c>
      <c r="AF880" s="911">
        <f>IF(E880="YES",IF(I880=1,C880,""),IF(I880=1,C880,IF(I880=2,C880,IF(I880=0,"",""))))</f>
        <v/>
      </c>
      <c r="AG880" s="192">
        <f>(C880*G880)+(C880*H880)+(C880*I880)</f>
        <v/>
      </c>
    </row>
    <row r="881">
      <c r="AA881" s="640">
        <f>IF(G881=0, IF(OR(H881&gt;0,F881&gt;0),C881*F881,""),"")</f>
        <v/>
      </c>
      <c r="AB881" s="640">
        <f>IF(G881&gt;=1,IF(F881&gt;1,C881*(F881-2),""),"")</f>
        <v/>
      </c>
      <c r="AD881" s="911">
        <f>IF(E881="YES",IF(G881=1,"",""),IF(G881=1,C881,IF(G881=2,C881,IF(G881=0,"",""))))</f>
        <v/>
      </c>
      <c r="AE881" s="911">
        <f>IF(E881="YES",IF(G881=1,"",IF(H881=1,C881,"")),IF(H881=1,C881,IF(H881=2,C881,IF(H881=0,"",""))))</f>
        <v/>
      </c>
      <c r="AF881" s="911">
        <f>IF(E881="YES",IF(I881=1,C881,""),IF(I881=1,C881,IF(I881=2,C881,IF(I881=0,"",""))))</f>
        <v/>
      </c>
      <c r="AG881" s="192">
        <f>(C881*G881)+(C881*H881)+(C881*I881)</f>
        <v/>
      </c>
    </row>
    <row r="882">
      <c r="AA882" s="640">
        <f>IF(G882=0, IF(OR(H882&gt;0,F882&gt;0),C882*F882,""),"")</f>
        <v/>
      </c>
      <c r="AB882" s="640">
        <f>IF(G882&gt;=1,IF(F882&gt;1,C882*(F882-2),""),"")</f>
        <v/>
      </c>
      <c r="AD882" s="911">
        <f>IF(E882="YES",IF(G882=1,"",""),IF(G882=1,C882,IF(G882=2,C882,IF(G882=0,"",""))))</f>
        <v/>
      </c>
      <c r="AE882" s="911">
        <f>IF(E882="YES",IF(G882=1,"",IF(H882=1,C882,"")),IF(H882=1,C882,IF(H882=2,C882,IF(H882=0,"",""))))</f>
        <v/>
      </c>
      <c r="AF882" s="911">
        <f>IF(E882="YES",IF(I882=1,C882,""),IF(I882=1,C882,IF(I882=2,C882,IF(I882=0,"",""))))</f>
        <v/>
      </c>
      <c r="AG882" s="192">
        <f>(C882*G882)+(C882*H882)+(C882*I882)</f>
        <v/>
      </c>
    </row>
    <row r="883">
      <c r="AA883" s="640">
        <f>IF(G883=0, IF(OR(H883&gt;0,F883&gt;0),C883*F883,""),"")</f>
        <v/>
      </c>
      <c r="AB883" s="640">
        <f>IF(G883&gt;=1,IF(F883&gt;1,C883*(F883-2),""),"")</f>
        <v/>
      </c>
      <c r="AD883" s="911">
        <f>IF(E883="YES",IF(G883=1,"",""),IF(G883=1,C883,IF(G883=2,C883,IF(G883=0,"",""))))</f>
        <v/>
      </c>
      <c r="AE883" s="911">
        <f>IF(E883="YES",IF(G883=1,"",IF(H883=1,C883,"")),IF(H883=1,C883,IF(H883=2,C883,IF(H883=0,"",""))))</f>
        <v/>
      </c>
      <c r="AF883" s="911">
        <f>IF(E883="YES",IF(I883=1,C883,""),IF(I883=1,C883,IF(I883=2,C883,IF(I883=0,"",""))))</f>
        <v/>
      </c>
      <c r="AG883" s="192">
        <f>(C883*G883)+(C883*H883)+(C883*I883)</f>
        <v/>
      </c>
    </row>
    <row r="884">
      <c r="AA884" s="640">
        <f>IF(G884=0, IF(OR(H884&gt;0,F884&gt;0),C884*F884,""),"")</f>
        <v/>
      </c>
      <c r="AB884" s="640">
        <f>IF(G884&gt;=1,IF(F884&gt;1,C884*(F884-2),""),"")</f>
        <v/>
      </c>
      <c r="AD884" s="911">
        <f>IF(E884="YES",IF(G884=1,"",""),IF(G884=1,C884,IF(G884=2,C884,IF(G884=0,"",""))))</f>
        <v/>
      </c>
      <c r="AE884" s="911">
        <f>IF(E884="YES",IF(G884=1,"",IF(H884=1,C884,"")),IF(H884=1,C884,IF(H884=2,C884,IF(H884=0,"",""))))</f>
        <v/>
      </c>
      <c r="AF884" s="911">
        <f>IF(E884="YES",IF(I884=1,C884,""),IF(I884=1,C884,IF(I884=2,C884,IF(I884=0,"",""))))</f>
        <v/>
      </c>
      <c r="AG884" s="192">
        <f>(C884*G884)+(C884*H884)+(C884*I884)</f>
        <v/>
      </c>
    </row>
    <row r="885">
      <c r="AA885" s="640">
        <f>IF(G885=0, IF(OR(H885&gt;0,F885&gt;0),C885*F885,""),"")</f>
        <v/>
      </c>
      <c r="AB885" s="640">
        <f>IF(G885&gt;=1,IF(F885&gt;1,C885*(F885-2),""),"")</f>
        <v/>
      </c>
      <c r="AD885" s="911">
        <f>IF(E885="YES",IF(G885=1,"",""),IF(G885=1,C885,IF(G885=2,C885,IF(G885=0,"",""))))</f>
        <v/>
      </c>
      <c r="AE885" s="911">
        <f>IF(E885="YES",IF(G885=1,"",IF(H885=1,C885,"")),IF(H885=1,C885,IF(H885=2,C885,IF(H885=0,"",""))))</f>
        <v/>
      </c>
      <c r="AF885" s="911">
        <f>IF(E885="YES",IF(I885=1,C885,""),IF(I885=1,C885,IF(I885=2,C885,IF(I885=0,"",""))))</f>
        <v/>
      </c>
      <c r="AG885" s="192">
        <f>(C885*G885)+(C885*H885)+(C885*I885)</f>
        <v/>
      </c>
    </row>
    <row r="886">
      <c r="AA886" s="640">
        <f>IF(G886=0, IF(OR(H886&gt;0,F886&gt;0),C886*F886,""),"")</f>
        <v/>
      </c>
      <c r="AB886" s="640">
        <f>IF(G886&gt;=1,IF(F886&gt;1,C886*(F886-2),""),"")</f>
        <v/>
      </c>
      <c r="AD886" s="911">
        <f>IF(E886="YES",IF(G886=1,"",""),IF(G886=1,C886,IF(G886=2,C886,IF(G886=0,"",""))))</f>
        <v/>
      </c>
      <c r="AE886" s="911">
        <f>IF(E886="YES",IF(G886=1,"",IF(H886=1,C886,"")),IF(H886=1,C886,IF(H886=2,C886,IF(H886=0,"",""))))</f>
        <v/>
      </c>
      <c r="AF886" s="911">
        <f>IF(E886="YES",IF(I886=1,C886,""),IF(I886=1,C886,IF(I886=2,C886,IF(I886=0,"",""))))</f>
        <v/>
      </c>
      <c r="AG886" s="192">
        <f>(C886*G886)+(C886*H886)+(C886*I886)</f>
        <v/>
      </c>
    </row>
    <row r="887">
      <c r="AA887" s="640">
        <f>IF(G887=0, IF(OR(H887&gt;0,F887&gt;0),C887*F887,""),"")</f>
        <v/>
      </c>
      <c r="AB887" s="640">
        <f>IF(G887&gt;=1,IF(F887&gt;1,C887*(F887-2),""),"")</f>
        <v/>
      </c>
      <c r="AD887" s="911">
        <f>IF(E887="YES",IF(G887=1,"",""),IF(G887=1,C887,IF(G887=2,C887,IF(G887=0,"",""))))</f>
        <v/>
      </c>
      <c r="AE887" s="911">
        <f>IF(E887="YES",IF(G887=1,"",IF(H887=1,C887,"")),IF(H887=1,C887,IF(H887=2,C887,IF(H887=0,"",""))))</f>
        <v/>
      </c>
      <c r="AF887" s="911">
        <f>IF(E887="YES",IF(I887=1,C887,""),IF(I887=1,C887,IF(I887=2,C887,IF(I887=0,"",""))))</f>
        <v/>
      </c>
      <c r="AG887" s="192">
        <f>(C887*G887)+(C887*H887)+(C887*I887)</f>
        <v/>
      </c>
    </row>
    <row r="888">
      <c r="AA888" s="640">
        <f>IF(G888=0, IF(OR(H888&gt;0,F888&gt;0),C888*F888,""),"")</f>
        <v/>
      </c>
      <c r="AB888" s="640">
        <f>IF(G888&gt;=1,IF(F888&gt;1,C888*(F888-2),""),"")</f>
        <v/>
      </c>
      <c r="AD888" s="911">
        <f>IF(E888="YES",IF(G888=1,"",""),IF(G888=1,C888,IF(G888=2,C888,IF(G888=0,"",""))))</f>
        <v/>
      </c>
      <c r="AE888" s="911">
        <f>IF(E888="YES",IF(G888=1,"",IF(H888=1,C888,"")),IF(H888=1,C888,IF(H888=2,C888,IF(H888=0,"",""))))</f>
        <v/>
      </c>
      <c r="AF888" s="911">
        <f>IF(E888="YES",IF(I888=1,C888,""),IF(I888=1,C888,IF(I888=2,C888,IF(I888=0,"",""))))</f>
        <v/>
      </c>
      <c r="AG888" s="192">
        <f>(C888*G888)+(C888*H888)+(C888*I888)</f>
        <v/>
      </c>
    </row>
    <row r="889">
      <c r="AA889" s="640">
        <f>IF(G889=0, IF(OR(H889&gt;0,F889&gt;0),C889*F889,""),"")</f>
        <v/>
      </c>
      <c r="AB889" s="640">
        <f>IF(G889&gt;=1,IF(F889&gt;1,C889*(F889-2),""),"")</f>
        <v/>
      </c>
      <c r="AD889" s="911">
        <f>IF(E889="YES",IF(G889=1,"",""),IF(G889=1,C889,IF(G889=2,C889,IF(G889=0,"",""))))</f>
        <v/>
      </c>
      <c r="AE889" s="911">
        <f>IF(E889="YES",IF(G889=1,"",IF(H889=1,C889,"")),IF(H889=1,C889,IF(H889=2,C889,IF(H889=0,"",""))))</f>
        <v/>
      </c>
      <c r="AF889" s="911">
        <f>IF(E889="YES",IF(I889=1,C889,""),IF(I889=1,C889,IF(I889=2,C889,IF(I889=0,"",""))))</f>
        <v/>
      </c>
      <c r="AG889" s="192">
        <f>(C889*G889)+(C889*H889)+(C889*I889)</f>
        <v/>
      </c>
    </row>
    <row r="890">
      <c r="AA890" s="640">
        <f>IF(G890=0, IF(OR(H890&gt;0,F890&gt;0),C890*F890,""),"")</f>
        <v/>
      </c>
      <c r="AB890" s="640">
        <f>IF(G890&gt;=1,IF(F890&gt;1,C890*(F890-2),""),"")</f>
        <v/>
      </c>
      <c r="AD890" s="911">
        <f>IF(E890="YES",IF(G890=1,"",""),IF(G890=1,C890,IF(G890=2,C890,IF(G890=0,"",""))))</f>
        <v/>
      </c>
      <c r="AE890" s="911">
        <f>IF(E890="YES",IF(G890=1,"",IF(H890=1,C890,"")),IF(H890=1,C890,IF(H890=2,C890,IF(H890=0,"",""))))</f>
        <v/>
      </c>
      <c r="AF890" s="911">
        <f>IF(E890="YES",IF(I890=1,C890,""),IF(I890=1,C890,IF(I890=2,C890,IF(I890=0,"",""))))</f>
        <v/>
      </c>
      <c r="AG890" s="192">
        <f>(C890*G890)+(C890*H890)+(C890*I890)</f>
        <v/>
      </c>
    </row>
    <row r="891">
      <c r="AA891" s="640">
        <f>IF(G891=0, IF(OR(H891&gt;0,F891&gt;0),C891*F891,""),"")</f>
        <v/>
      </c>
      <c r="AB891" s="640">
        <f>IF(G891&gt;=1,IF(F891&gt;1,C891*(F891-2),""),"")</f>
        <v/>
      </c>
      <c r="AD891" s="911">
        <f>IF(E891="YES",IF(G891=1,"",""),IF(G891=1,C891,IF(G891=2,C891,IF(G891=0,"",""))))</f>
        <v/>
      </c>
      <c r="AE891" s="911">
        <f>IF(E891="YES",IF(G891=1,"",IF(H891=1,C891,"")),IF(H891=1,C891,IF(H891=2,C891,IF(H891=0,"",""))))</f>
        <v/>
      </c>
      <c r="AF891" s="911">
        <f>IF(E891="YES",IF(I891=1,C891,""),IF(I891=1,C891,IF(I891=2,C891,IF(I891=0,"",""))))</f>
        <v/>
      </c>
      <c r="AG891" s="192">
        <f>(C891*G891)+(C891*H891)+(C891*I891)</f>
        <v/>
      </c>
    </row>
    <row r="892">
      <c r="AA892" s="640">
        <f>IF(G892=0, IF(OR(H892&gt;0,F892&gt;0),C892*F892,""),"")</f>
        <v/>
      </c>
      <c r="AB892" s="640">
        <f>IF(G892&gt;=1,IF(F892&gt;1,C892*(F892-2),""),"")</f>
        <v/>
      </c>
      <c r="AD892" s="911">
        <f>IF(E892="YES",IF(G892=1,"",""),IF(G892=1,C892,IF(G892=2,C892,IF(G892=0,"",""))))</f>
        <v/>
      </c>
      <c r="AE892" s="911">
        <f>IF(E892="YES",IF(G892=1,"",IF(H892=1,C892,"")),IF(H892=1,C892,IF(H892=2,C892,IF(H892=0,"",""))))</f>
        <v/>
      </c>
      <c r="AF892" s="911">
        <f>IF(E892="YES",IF(I892=1,C892,""),IF(I892=1,C892,IF(I892=2,C892,IF(I892=0,"",""))))</f>
        <v/>
      </c>
      <c r="AG892" s="192">
        <f>(C892*G892)+(C892*H892)+(C892*I892)</f>
        <v/>
      </c>
    </row>
    <row r="893">
      <c r="AA893" s="640">
        <f>IF(G893=0, IF(OR(H893&gt;0,F893&gt;0),C893*F893,""),"")</f>
        <v/>
      </c>
      <c r="AB893" s="640">
        <f>IF(G893&gt;=1,IF(F893&gt;1,C893*(F893-2),""),"")</f>
        <v/>
      </c>
      <c r="AD893" s="911">
        <f>IF(E893="YES",IF(G893=1,"",""),IF(G893=1,C893,IF(G893=2,C893,IF(G893=0,"",""))))</f>
        <v/>
      </c>
      <c r="AE893" s="911">
        <f>IF(E893="YES",IF(G893=1,"",IF(H893=1,C893,"")),IF(H893=1,C893,IF(H893=2,C893,IF(H893=0,"",""))))</f>
        <v/>
      </c>
      <c r="AF893" s="911">
        <f>IF(E893="YES",IF(I893=1,C893,""),IF(I893=1,C893,IF(I893=2,C893,IF(I893=0,"",""))))</f>
        <v/>
      </c>
      <c r="AG893" s="192">
        <f>(C893*G893)+(C893*H893)+(C893*I893)</f>
        <v/>
      </c>
    </row>
    <row r="894">
      <c r="AA894" s="640">
        <f>IF(G894=0, IF(OR(H894&gt;0,F894&gt;0),C894*F894,""),"")</f>
        <v/>
      </c>
      <c r="AB894" s="640">
        <f>IF(G894&gt;=1,IF(F894&gt;1,C894*(F894-2),""),"")</f>
        <v/>
      </c>
      <c r="AD894" s="911">
        <f>IF(E894="YES",IF(G894=1,"",""),IF(G894=1,C894,IF(G894=2,C894,IF(G894=0,"",""))))</f>
        <v/>
      </c>
      <c r="AE894" s="911">
        <f>IF(E894="YES",IF(G894=1,"",IF(H894=1,C894,"")),IF(H894=1,C894,IF(H894=2,C894,IF(H894=0,"",""))))</f>
        <v/>
      </c>
      <c r="AF894" s="911">
        <f>IF(E894="YES",IF(I894=1,C894,""),IF(I894=1,C894,IF(I894=2,C894,IF(I894=0,"",""))))</f>
        <v/>
      </c>
      <c r="AG894" s="192">
        <f>(C894*G894)+(C894*H894)+(C894*I894)</f>
        <v/>
      </c>
    </row>
    <row r="895">
      <c r="AA895" s="640">
        <f>IF(G895=0, IF(OR(H895&gt;0,F895&gt;0),C895*F895,""),"")</f>
        <v/>
      </c>
      <c r="AB895" s="640">
        <f>IF(G895&gt;=1,IF(F895&gt;1,C895*(F895-2),""),"")</f>
        <v/>
      </c>
      <c r="AD895" s="911">
        <f>IF(E895="YES",IF(G895=1,"",""),IF(G895=1,C895,IF(G895=2,C895,IF(G895=0,"",""))))</f>
        <v/>
      </c>
      <c r="AE895" s="911">
        <f>IF(E895="YES",IF(G895=1,"",IF(H895=1,C895,"")),IF(H895=1,C895,IF(H895=2,C895,IF(H895=0,"",""))))</f>
        <v/>
      </c>
      <c r="AF895" s="911">
        <f>IF(E895="YES",IF(I895=1,C895,""),IF(I895=1,C895,IF(I895=2,C895,IF(I895=0,"",""))))</f>
        <v/>
      </c>
      <c r="AG895" s="192">
        <f>(C895*G895)+(C895*H895)+(C895*I895)</f>
        <v/>
      </c>
    </row>
    <row r="896">
      <c r="AA896" s="640">
        <f>IF(G896=0, IF(OR(H896&gt;0,F896&gt;0),C896*F896,""),"")</f>
        <v/>
      </c>
      <c r="AB896" s="640">
        <f>IF(G896&gt;=1,IF(F896&gt;1,C896*(F896-2),""),"")</f>
        <v/>
      </c>
      <c r="AD896" s="911">
        <f>IF(E896="YES",IF(G896=1,"",""),IF(G896=1,C896,IF(G896=2,C896,IF(G896=0,"",""))))</f>
        <v/>
      </c>
      <c r="AE896" s="911">
        <f>IF(E896="YES",IF(G896=1,"",IF(H896=1,C896,"")),IF(H896=1,C896,IF(H896=2,C896,IF(H896=0,"",""))))</f>
        <v/>
      </c>
      <c r="AF896" s="911">
        <f>IF(E896="YES",IF(I896=1,C896,""),IF(I896=1,C896,IF(I896=2,C896,IF(I896=0,"",""))))</f>
        <v/>
      </c>
      <c r="AG896" s="192">
        <f>(C896*G896)+(C896*H896)+(C896*I896)</f>
        <v/>
      </c>
    </row>
    <row r="897">
      <c r="AA897" s="640">
        <f>IF(G897=0, IF(OR(H897&gt;0,F897&gt;0),C897*F897,""),"")</f>
        <v/>
      </c>
      <c r="AB897" s="640">
        <f>IF(G897&gt;=1,IF(F897&gt;1,C897*(F897-2),""),"")</f>
        <v/>
      </c>
      <c r="AD897" s="911">
        <f>IF(E897="YES",IF(G897=1,"",""),IF(G897=1,C897,IF(G897=2,C897,IF(G897=0,"",""))))</f>
        <v/>
      </c>
      <c r="AE897" s="911">
        <f>IF(E897="YES",IF(G897=1,"",IF(H897=1,C897,"")),IF(H897=1,C897,IF(H897=2,C897,IF(H897=0,"",""))))</f>
        <v/>
      </c>
      <c r="AF897" s="911">
        <f>IF(E897="YES",IF(I897=1,C897,""),IF(I897=1,C897,IF(I897=2,C897,IF(I897=0,"",""))))</f>
        <v/>
      </c>
      <c r="AG897" s="192">
        <f>(C897*G897)+(C897*H897)+(C897*I897)</f>
        <v/>
      </c>
    </row>
    <row r="898">
      <c r="AA898" s="640">
        <f>IF(G898=0, IF(OR(H898&gt;0,F898&gt;0),C898*F898,""),"")</f>
        <v/>
      </c>
      <c r="AB898" s="640">
        <f>IF(G898&gt;=1,IF(F898&gt;1,C898*(F898-2),""),"")</f>
        <v/>
      </c>
      <c r="AD898" s="911">
        <f>IF(E898="YES",IF(G898=1,"",""),IF(G898=1,C898,IF(G898=2,C898,IF(G898=0,"",""))))</f>
        <v/>
      </c>
      <c r="AE898" s="911">
        <f>IF(E898="YES",IF(G898=1,"",IF(H898=1,C898,"")),IF(H898=1,C898,IF(H898=2,C898,IF(H898=0,"",""))))</f>
        <v/>
      </c>
      <c r="AF898" s="911">
        <f>IF(E898="YES",IF(I898=1,C898,""),IF(I898=1,C898,IF(I898=2,C898,IF(I898=0,"",""))))</f>
        <v/>
      </c>
      <c r="AG898" s="192">
        <f>(C898*G898)+(C898*H898)+(C898*I898)</f>
        <v/>
      </c>
    </row>
    <row r="899">
      <c r="AA899" s="640">
        <f>IF(G899=0, IF(OR(H899&gt;0,F899&gt;0),C899*F899,""),"")</f>
        <v/>
      </c>
      <c r="AB899" s="640">
        <f>IF(G899&gt;=1,IF(F899&gt;1,C899*(F899-2),""),"")</f>
        <v/>
      </c>
      <c r="AD899" s="911">
        <f>IF(E899="YES",IF(G899=1,"",""),IF(G899=1,C899,IF(G899=2,C899,IF(G899=0,"",""))))</f>
        <v/>
      </c>
      <c r="AE899" s="911">
        <f>IF(E899="YES",IF(G899=1,"",IF(H899=1,C899,"")),IF(H899=1,C899,IF(H899=2,C899,IF(H899=0,"",""))))</f>
        <v/>
      </c>
      <c r="AF899" s="911">
        <f>IF(E899="YES",IF(I899=1,C899,""),IF(I899=1,C899,IF(I899=2,C899,IF(I899=0,"",""))))</f>
        <v/>
      </c>
      <c r="AG899" s="192">
        <f>(C899*G899)+(C899*H899)+(C899*I899)</f>
        <v/>
      </c>
    </row>
    <row r="900">
      <c r="AA900" s="640">
        <f>IF(G900=0, IF(OR(H900&gt;0,F900&gt;0),C900*F900,""),"")</f>
        <v/>
      </c>
      <c r="AB900" s="640">
        <f>IF(G900&gt;=1,IF(F900&gt;1,C900*(F900-2),""),"")</f>
        <v/>
      </c>
      <c r="AD900" s="911">
        <f>IF(E900="YES",IF(G900=1,"",""),IF(G900=1,C900,IF(G900=2,C900,IF(G900=0,"",""))))</f>
        <v/>
      </c>
      <c r="AE900" s="911">
        <f>IF(E900="YES",IF(G900=1,"",IF(H900=1,C900,"")),IF(H900=1,C900,IF(H900=2,C900,IF(H900=0,"",""))))</f>
        <v/>
      </c>
      <c r="AF900" s="911">
        <f>IF(E900="YES",IF(I900=1,C900,""),IF(I900=1,C900,IF(I900=2,C900,IF(I900=0,"",""))))</f>
        <v/>
      </c>
      <c r="AG900" s="192">
        <f>(C900*G900)+(C900*H900)+(C900*I900)</f>
        <v/>
      </c>
    </row>
    <row r="901">
      <c r="AA901" s="640">
        <f>IF(G901=0, IF(OR(H901&gt;0,F901&gt;0),C901*F901,""),"")</f>
        <v/>
      </c>
      <c r="AB901" s="640">
        <f>IF(G901&gt;=1,IF(F901&gt;1,C901*(F901-2),""),"")</f>
        <v/>
      </c>
      <c r="AD901" s="911">
        <f>IF(E901="YES",IF(G901=1,"",""),IF(G901=1,C901,IF(G901=2,C901,IF(G901=0,"",""))))</f>
        <v/>
      </c>
      <c r="AE901" s="911">
        <f>IF(E901="YES",IF(G901=1,"",IF(H901=1,C901,"")),IF(H901=1,C901,IF(H901=2,C901,IF(H901=0,"",""))))</f>
        <v/>
      </c>
      <c r="AF901" s="911">
        <f>IF(E901="YES",IF(I901=1,C901,""),IF(I901=1,C901,IF(I901=2,C901,IF(I901=0,"",""))))</f>
        <v/>
      </c>
      <c r="AG901" s="192">
        <f>(C901*G901)+(C901*H901)+(C901*I901)</f>
        <v/>
      </c>
    </row>
    <row r="902">
      <c r="AA902" s="640">
        <f>IF(G902=0, IF(OR(H902&gt;0,F902&gt;0),C902*F902,""),"")</f>
        <v/>
      </c>
      <c r="AB902" s="640">
        <f>IF(G902&gt;=1,IF(F902&gt;1,C902*(F902-2),""),"")</f>
        <v/>
      </c>
      <c r="AD902" s="911">
        <f>IF(E902="YES",IF(G902=1,"",""),IF(G902=1,C902,IF(G902=2,C902,IF(G902=0,"",""))))</f>
        <v/>
      </c>
      <c r="AE902" s="911">
        <f>IF(E902="YES",IF(G902=1,"",IF(H902=1,C902,"")),IF(H902=1,C902,IF(H902=2,C902,IF(H902=0,"",""))))</f>
        <v/>
      </c>
      <c r="AF902" s="911">
        <f>IF(E902="YES",IF(I902=1,C902,""),IF(I902=1,C902,IF(I902=2,C902,IF(I902=0,"",""))))</f>
        <v/>
      </c>
      <c r="AG902" s="192">
        <f>(C902*G902)+(C902*H902)+(C902*I902)</f>
        <v/>
      </c>
    </row>
    <row r="903">
      <c r="AA903" s="640">
        <f>IF(G903=0, IF(OR(H903&gt;0,F903&gt;0),C903*F903,""),"")</f>
        <v/>
      </c>
      <c r="AB903" s="640">
        <f>IF(G903&gt;=1,IF(F903&gt;1,C903*(F903-2),""),"")</f>
        <v/>
      </c>
      <c r="AD903" s="911">
        <f>IF(E903="YES",IF(G903=1,"",""),IF(G903=1,C903,IF(G903=2,C903,IF(G903=0,"",""))))</f>
        <v/>
      </c>
      <c r="AE903" s="911">
        <f>IF(E903="YES",IF(G903=1,"",IF(H903=1,C903,"")),IF(H903=1,C903,IF(H903=2,C903,IF(H903=0,"",""))))</f>
        <v/>
      </c>
      <c r="AF903" s="911">
        <f>IF(E903="YES",IF(I903=1,C903,""),IF(I903=1,C903,IF(I903=2,C903,IF(I903=0,"",""))))</f>
        <v/>
      </c>
      <c r="AG903" s="192">
        <f>(C903*G903)+(C903*H903)+(C903*I903)</f>
        <v/>
      </c>
    </row>
    <row r="904">
      <c r="AA904" s="640">
        <f>IF(G904=0, IF(OR(H904&gt;0,F904&gt;0),C904*F904,""),"")</f>
        <v/>
      </c>
      <c r="AB904" s="640">
        <f>IF(G904&gt;=1,IF(F904&gt;1,C904*(F904-2),""),"")</f>
        <v/>
      </c>
      <c r="AD904" s="911">
        <f>IF(E904="YES",IF(G904=1,"",""),IF(G904=1,C904,IF(G904=2,C904,IF(G904=0,"",""))))</f>
        <v/>
      </c>
      <c r="AE904" s="911">
        <f>IF(E904="YES",IF(G904=1,"",IF(H904=1,C904,"")),IF(H904=1,C904,IF(H904=2,C904,IF(H904=0,"",""))))</f>
        <v/>
      </c>
      <c r="AF904" s="911">
        <f>IF(E904="YES",IF(I904=1,C904,""),IF(I904=1,C904,IF(I904=2,C904,IF(I904=0,"",""))))</f>
        <v/>
      </c>
      <c r="AG904" s="192">
        <f>(C904*G904)+(C904*H904)+(C904*I904)</f>
        <v/>
      </c>
    </row>
    <row r="905">
      <c r="AA905" s="640">
        <f>IF(G905=0, IF(OR(H905&gt;0,F905&gt;0),C905*F905,""),"")</f>
        <v/>
      </c>
      <c r="AB905" s="640">
        <f>IF(G905&gt;=1,IF(F905&gt;1,C905*(F905-2),""),"")</f>
        <v/>
      </c>
      <c r="AD905" s="911">
        <f>IF(E905="YES",IF(G905=1,"",""),IF(G905=1,C905,IF(G905=2,C905,IF(G905=0,"",""))))</f>
        <v/>
      </c>
      <c r="AE905" s="911">
        <f>IF(E905="YES",IF(G905=1,"",IF(H905=1,C905,"")),IF(H905=1,C905,IF(H905=2,C905,IF(H905=0,"",""))))</f>
        <v/>
      </c>
      <c r="AF905" s="911">
        <f>IF(E905="YES",IF(I905=1,C905,""),IF(I905=1,C905,IF(I905=2,C905,IF(I905=0,"",""))))</f>
        <v/>
      </c>
      <c r="AG905" s="192">
        <f>(C905*G905)+(C905*H905)+(C905*I905)</f>
        <v/>
      </c>
    </row>
    <row r="906">
      <c r="AA906" s="640">
        <f>IF(G906=0, IF(OR(H906&gt;0,F906&gt;0),C906*F906,""),"")</f>
        <v/>
      </c>
      <c r="AB906" s="640">
        <f>IF(G906&gt;=1,IF(F906&gt;1,C906*(F906-2),""),"")</f>
        <v/>
      </c>
      <c r="AD906" s="911">
        <f>IF(E906="YES",IF(G906=1,"",""),IF(G906=1,C906,IF(G906=2,C906,IF(G906=0,"",""))))</f>
        <v/>
      </c>
      <c r="AE906" s="911">
        <f>IF(E906="YES",IF(G906=1,"",IF(H906=1,C906,"")),IF(H906=1,C906,IF(H906=2,C906,IF(H906=0,"",""))))</f>
        <v/>
      </c>
      <c r="AF906" s="911">
        <f>IF(E906="YES",IF(I906=1,C906,""),IF(I906=1,C906,IF(I906=2,C906,IF(I906=0,"",""))))</f>
        <v/>
      </c>
      <c r="AG906" s="192">
        <f>(C906*G906)+(C906*H906)+(C906*I906)</f>
        <v/>
      </c>
    </row>
    <row r="907">
      <c r="AA907" s="640">
        <f>IF(G907=0, IF(OR(H907&gt;0,F907&gt;0),C907*F907,""),"")</f>
        <v/>
      </c>
      <c r="AB907" s="640">
        <f>IF(G907&gt;=1,IF(F907&gt;1,C907*(F907-2),""),"")</f>
        <v/>
      </c>
      <c r="AD907" s="911">
        <f>IF(E907="YES",IF(G907=1,"",""),IF(G907=1,C907,IF(G907=2,C907,IF(G907=0,"",""))))</f>
        <v/>
      </c>
      <c r="AE907" s="911">
        <f>IF(E907="YES",IF(G907=1,"",IF(H907=1,C907,"")),IF(H907=1,C907,IF(H907=2,C907,IF(H907=0,"",""))))</f>
        <v/>
      </c>
      <c r="AF907" s="911">
        <f>IF(E907="YES",IF(I907=1,C907,""),IF(I907=1,C907,IF(I907=2,C907,IF(I907=0,"",""))))</f>
        <v/>
      </c>
      <c r="AG907" s="192">
        <f>(C907*G907)+(C907*H907)+(C907*I907)</f>
        <v/>
      </c>
    </row>
    <row r="908">
      <c r="AA908" s="640">
        <f>IF(G908=0, IF(OR(H908&gt;0,F908&gt;0),C908*F908,""),"")</f>
        <v/>
      </c>
      <c r="AB908" s="640">
        <f>IF(G908&gt;=1,IF(F908&gt;1,C908*(F908-2),""),"")</f>
        <v/>
      </c>
      <c r="AD908" s="911">
        <f>IF(E908="YES",IF(G908=1,"",""),IF(G908=1,C908,IF(G908=2,C908,IF(G908=0,"",""))))</f>
        <v/>
      </c>
      <c r="AE908" s="911">
        <f>IF(E908="YES",IF(G908=1,"",IF(H908=1,C908,"")),IF(H908=1,C908,IF(H908=2,C908,IF(H908=0,"",""))))</f>
        <v/>
      </c>
      <c r="AF908" s="911">
        <f>IF(E908="YES",IF(I908=1,C908,""),IF(I908=1,C908,IF(I908=2,C908,IF(I908=0,"",""))))</f>
        <v/>
      </c>
      <c r="AG908" s="192">
        <f>(C908*G908)+(C908*H908)+(C908*I908)</f>
        <v/>
      </c>
    </row>
    <row r="909">
      <c r="AA909" s="640">
        <f>IF(G909=0, IF(OR(H909&gt;0,F909&gt;0),C909*F909,""),"")</f>
        <v/>
      </c>
      <c r="AB909" s="640">
        <f>IF(G909&gt;=1,IF(F909&gt;1,C909*(F909-2),""),"")</f>
        <v/>
      </c>
      <c r="AD909" s="911">
        <f>IF(E909="YES",IF(G909=1,"",""),IF(G909=1,C909,IF(G909=2,C909,IF(G909=0,"",""))))</f>
        <v/>
      </c>
      <c r="AE909" s="911">
        <f>IF(E909="YES",IF(G909=1,"",IF(H909=1,C909,"")),IF(H909=1,C909,IF(H909=2,C909,IF(H909=0,"",""))))</f>
        <v/>
      </c>
      <c r="AF909" s="911">
        <f>IF(E909="YES",IF(I909=1,C909,""),IF(I909=1,C909,IF(I909=2,C909,IF(I909=0,"",""))))</f>
        <v/>
      </c>
      <c r="AG909" s="192">
        <f>(C909*G909)+(C909*H909)+(C909*I909)</f>
        <v/>
      </c>
    </row>
    <row r="910">
      <c r="AA910" s="640">
        <f>IF(G910=0, IF(OR(H910&gt;0,F910&gt;0),C910*F910,""),"")</f>
        <v/>
      </c>
      <c r="AB910" s="640">
        <f>IF(G910&gt;=1,IF(F910&gt;1,C910*(F910-2),""),"")</f>
        <v/>
      </c>
      <c r="AD910" s="911">
        <f>IF(E910="YES",IF(G910=1,"",""),IF(G910=1,C910,IF(G910=2,C910,IF(G910=0,"",""))))</f>
        <v/>
      </c>
      <c r="AE910" s="911">
        <f>IF(E910="YES",IF(G910=1,"",IF(H910=1,C910,"")),IF(H910=1,C910,IF(H910=2,C910,IF(H910=0,"",""))))</f>
        <v/>
      </c>
      <c r="AF910" s="911">
        <f>IF(E910="YES",IF(I910=1,C910,""),IF(I910=1,C910,IF(I910=2,C910,IF(I910=0,"",""))))</f>
        <v/>
      </c>
      <c r="AG910" s="192">
        <f>(C910*G910)+(C910*H910)+(C910*I910)</f>
        <v/>
      </c>
    </row>
    <row r="911">
      <c r="AA911" s="640">
        <f>IF(G911=0, IF(OR(H911&gt;0,F911&gt;0),C911*F911,""),"")</f>
        <v/>
      </c>
      <c r="AB911" s="640">
        <f>IF(G911&gt;=1,IF(F911&gt;1,C911*(F911-2),""),"")</f>
        <v/>
      </c>
      <c r="AD911" s="911">
        <f>IF(E911="YES",IF(G911=1,"",""),IF(G911=1,C911,IF(G911=2,C911,IF(G911=0,"",""))))</f>
        <v/>
      </c>
      <c r="AE911" s="911">
        <f>IF(E911="YES",IF(G911=1,"",IF(H911=1,C911,"")),IF(H911=1,C911,IF(H911=2,C911,IF(H911=0,"",""))))</f>
        <v/>
      </c>
      <c r="AF911" s="911">
        <f>IF(E911="YES",IF(I911=1,C911,""),IF(I911=1,C911,IF(I911=2,C911,IF(I911=0,"",""))))</f>
        <v/>
      </c>
      <c r="AG911" s="192">
        <f>(C911*G911)+(C911*H911)+(C911*I911)</f>
        <v/>
      </c>
    </row>
    <row r="912">
      <c r="AA912" s="640">
        <f>IF(G912=0, IF(OR(H912&gt;0,F912&gt;0),C912*F912,""),"")</f>
        <v/>
      </c>
      <c r="AB912" s="640">
        <f>IF(G912&gt;=1,IF(F912&gt;1,C912*(F912-2),""),"")</f>
        <v/>
      </c>
      <c r="AD912" s="911">
        <f>IF(E912="YES",IF(G912=1,"",""),IF(G912=1,C912,IF(G912=2,C912,IF(G912=0,"",""))))</f>
        <v/>
      </c>
      <c r="AE912" s="911">
        <f>IF(E912="YES",IF(G912=1,"",IF(H912=1,C912,"")),IF(H912=1,C912,IF(H912=2,C912,IF(H912=0,"",""))))</f>
        <v/>
      </c>
      <c r="AF912" s="911">
        <f>IF(E912="YES",IF(I912=1,C912,""),IF(I912=1,C912,IF(I912=2,C912,IF(I912=0,"",""))))</f>
        <v/>
      </c>
      <c r="AG912" s="192">
        <f>(C912*G912)+(C912*H912)+(C912*I912)</f>
        <v/>
      </c>
    </row>
    <row r="913">
      <c r="AA913" s="640">
        <f>IF(G913=0, IF(OR(H913&gt;0,F913&gt;0),C913*F913,""),"")</f>
        <v/>
      </c>
      <c r="AB913" s="640">
        <f>IF(G913&gt;=1,IF(F913&gt;1,C913*(F913-2),""),"")</f>
        <v/>
      </c>
      <c r="AD913" s="911">
        <f>IF(E913="YES",IF(G913=1,"",""),IF(G913=1,C913,IF(G913=2,C913,IF(G913=0,"",""))))</f>
        <v/>
      </c>
      <c r="AE913" s="911">
        <f>IF(E913="YES",IF(G913=1,"",IF(H913=1,C913,"")),IF(H913=1,C913,IF(H913=2,C913,IF(H913=0,"",""))))</f>
        <v/>
      </c>
      <c r="AF913" s="911">
        <f>IF(E913="YES",IF(I913=1,C913,""),IF(I913=1,C913,IF(I913=2,C913,IF(I913=0,"",""))))</f>
        <v/>
      </c>
      <c r="AG913" s="192">
        <f>(C913*G913)+(C913*H913)+(C913*I913)</f>
        <v/>
      </c>
    </row>
    <row r="914">
      <c r="AA914" s="640">
        <f>IF(G914=0, IF(OR(H914&gt;0,F914&gt;0),C914*F914,""),"")</f>
        <v/>
      </c>
      <c r="AB914" s="640">
        <f>IF(G914&gt;=1,IF(F914&gt;1,C914*(F914-2),""),"")</f>
        <v/>
      </c>
      <c r="AD914" s="911">
        <f>IF(E914="YES",IF(G914=1,"",""),IF(G914=1,C914,IF(G914=2,C914,IF(G914=0,"",""))))</f>
        <v/>
      </c>
      <c r="AE914" s="911">
        <f>IF(E914="YES",IF(G914=1,"",IF(H914=1,C914,"")),IF(H914=1,C914,IF(H914=2,C914,IF(H914=0,"",""))))</f>
        <v/>
      </c>
      <c r="AF914" s="911">
        <f>IF(E914="YES",IF(I914=1,C914,""),IF(I914=1,C914,IF(I914=2,C914,IF(I914=0,"",""))))</f>
        <v/>
      </c>
      <c r="AG914" s="192">
        <f>(C914*G914)+(C914*H914)+(C914*I914)</f>
        <v/>
      </c>
    </row>
    <row r="915">
      <c r="AA915" s="640">
        <f>IF(G915=0, IF(OR(H915&gt;0,F915&gt;0),C915*F915,""),"")</f>
        <v/>
      </c>
      <c r="AB915" s="640">
        <f>IF(G915&gt;=1,IF(F915&gt;1,C915*(F915-2),""),"")</f>
        <v/>
      </c>
      <c r="AD915" s="911">
        <f>IF(E915="YES",IF(G915=1,"",""),IF(G915=1,C915,IF(G915=2,C915,IF(G915=0,"",""))))</f>
        <v/>
      </c>
      <c r="AE915" s="911">
        <f>IF(E915="YES",IF(G915=1,"",IF(H915=1,C915,"")),IF(H915=1,C915,IF(H915=2,C915,IF(H915=0,"",""))))</f>
        <v/>
      </c>
      <c r="AF915" s="911">
        <f>IF(E915="YES",IF(I915=1,C915,""),IF(I915=1,C915,IF(I915=2,C915,IF(I915=0,"",""))))</f>
        <v/>
      </c>
      <c r="AG915" s="192">
        <f>(C915*G915)+(C915*H915)+(C915*I915)</f>
        <v/>
      </c>
    </row>
    <row r="916">
      <c r="AA916" s="640">
        <f>IF(G916=0, IF(OR(H916&gt;0,F916&gt;0),C916*F916,""),"")</f>
        <v/>
      </c>
      <c r="AB916" s="640">
        <f>IF(G916&gt;=1,IF(F916&gt;1,C916*(F916-2),""),"")</f>
        <v/>
      </c>
      <c r="AD916" s="911">
        <f>IF(E916="YES",IF(G916=1,"",""),IF(G916=1,C916,IF(G916=2,C916,IF(G916=0,"",""))))</f>
        <v/>
      </c>
      <c r="AE916" s="911">
        <f>IF(E916="YES",IF(G916=1,"",IF(H916=1,C916,"")),IF(H916=1,C916,IF(H916=2,C916,IF(H916=0,"",""))))</f>
        <v/>
      </c>
      <c r="AF916" s="911">
        <f>IF(E916="YES",IF(I916=1,C916,""),IF(I916=1,C916,IF(I916=2,C916,IF(I916=0,"",""))))</f>
        <v/>
      </c>
      <c r="AG916" s="192">
        <f>(C916*G916)+(C916*H916)+(C916*I916)</f>
        <v/>
      </c>
    </row>
    <row r="917">
      <c r="AA917" s="640">
        <f>IF(G917=0, IF(OR(H917&gt;0,F917&gt;0),C917*F917,""),"")</f>
        <v/>
      </c>
      <c r="AB917" s="640">
        <f>IF(G917&gt;=1,IF(F917&gt;1,C917*(F917-2),""),"")</f>
        <v/>
      </c>
      <c r="AD917" s="911">
        <f>IF(E917="YES",IF(G917=1,"",""),IF(G917=1,C917,IF(G917=2,C917,IF(G917=0,"",""))))</f>
        <v/>
      </c>
      <c r="AE917" s="911">
        <f>IF(E917="YES",IF(G917=1,"",IF(H917=1,C917,"")),IF(H917=1,C917,IF(H917=2,C917,IF(H917=0,"",""))))</f>
        <v/>
      </c>
      <c r="AF917" s="911">
        <f>IF(E917="YES",IF(I917=1,C917,""),IF(I917=1,C917,IF(I917=2,C917,IF(I917=0,"",""))))</f>
        <v/>
      </c>
      <c r="AG917" s="192">
        <f>(C917*G917)+(C917*H917)+(C917*I917)</f>
        <v/>
      </c>
    </row>
    <row r="918">
      <c r="AA918" s="640">
        <f>IF(G918=0, IF(OR(H918&gt;0,F918&gt;0),C918*F918,""),"")</f>
        <v/>
      </c>
      <c r="AB918" s="640">
        <f>IF(G918&gt;=1,IF(F918&gt;1,C918*(F918-2),""),"")</f>
        <v/>
      </c>
      <c r="AD918" s="911">
        <f>IF(E918="YES",IF(G918=1,"",""),IF(G918=1,C918,IF(G918=2,C918,IF(G918=0,"",""))))</f>
        <v/>
      </c>
      <c r="AE918" s="911">
        <f>IF(E918="YES",IF(G918=1,"",IF(H918=1,C918,"")),IF(H918=1,C918,IF(H918=2,C918,IF(H918=0,"",""))))</f>
        <v/>
      </c>
      <c r="AF918" s="911">
        <f>IF(E918="YES",IF(I918=1,C918,""),IF(I918=1,C918,IF(I918=2,C918,IF(I918=0,"",""))))</f>
        <v/>
      </c>
      <c r="AG918" s="192">
        <f>(C918*G918)+(C918*H918)+(C918*I918)</f>
        <v/>
      </c>
    </row>
    <row r="919">
      <c r="AA919" s="640">
        <f>IF(G919=0, IF(OR(H919&gt;0,F919&gt;0),C919*F919,""),"")</f>
        <v/>
      </c>
      <c r="AB919" s="640">
        <f>IF(G919&gt;=1,IF(F919&gt;1,C919*(F919-2),""),"")</f>
        <v/>
      </c>
      <c r="AD919" s="911">
        <f>IF(E919="YES",IF(G919=1,"",""),IF(G919=1,C919,IF(G919=2,C919,IF(G919=0,"",""))))</f>
        <v/>
      </c>
      <c r="AE919" s="911">
        <f>IF(E919="YES",IF(G919=1,"",IF(H919=1,C919,"")),IF(H919=1,C919,IF(H919=2,C919,IF(H919=0,"",""))))</f>
        <v/>
      </c>
      <c r="AF919" s="911">
        <f>IF(E919="YES",IF(I919=1,C919,""),IF(I919=1,C919,IF(I919=2,C919,IF(I919=0,"",""))))</f>
        <v/>
      </c>
      <c r="AG919" s="192">
        <f>(C919*G919)+(C919*H919)+(C919*I919)</f>
        <v/>
      </c>
    </row>
    <row r="920">
      <c r="AA920" s="640">
        <f>IF(G920=0, IF(OR(H920&gt;0,F920&gt;0),C920*F920,""),"")</f>
        <v/>
      </c>
      <c r="AB920" s="640">
        <f>IF(G920&gt;=1,IF(F920&gt;1,C920*(F920-2),""),"")</f>
        <v/>
      </c>
      <c r="AD920" s="911">
        <f>IF(E920="YES",IF(G920=1,"",""),IF(G920=1,C920,IF(G920=2,C920,IF(G920=0,"",""))))</f>
        <v/>
      </c>
      <c r="AE920" s="911">
        <f>IF(E920="YES",IF(G920=1,"",IF(H920=1,C920,"")),IF(H920=1,C920,IF(H920=2,C920,IF(H920=0,"",""))))</f>
        <v/>
      </c>
      <c r="AF920" s="911">
        <f>IF(E920="YES",IF(I920=1,C920,""),IF(I920=1,C920,IF(I920=2,C920,IF(I920=0,"",""))))</f>
        <v/>
      </c>
      <c r="AG920" s="192">
        <f>(C920*G920)+(C920*H920)+(C920*I920)</f>
        <v/>
      </c>
    </row>
    <row r="921">
      <c r="AA921" s="640">
        <f>IF(G921=0, IF(OR(H921&gt;0,F921&gt;0),C921*F921,""),"")</f>
        <v/>
      </c>
      <c r="AB921" s="640">
        <f>IF(G921&gt;=1,IF(F921&gt;1,C921*(F921-2),""),"")</f>
        <v/>
      </c>
      <c r="AD921" s="911">
        <f>IF(E921="YES",IF(G921=1,"",""),IF(G921=1,C921,IF(G921=2,C921,IF(G921=0,"",""))))</f>
        <v/>
      </c>
      <c r="AE921" s="911">
        <f>IF(E921="YES",IF(G921=1,"",IF(H921=1,C921,"")),IF(H921=1,C921,IF(H921=2,C921,IF(H921=0,"",""))))</f>
        <v/>
      </c>
      <c r="AF921" s="911">
        <f>IF(E921="YES",IF(I921=1,C921,""),IF(I921=1,C921,IF(I921=2,C921,IF(I921=0,"",""))))</f>
        <v/>
      </c>
      <c r="AG921" s="192">
        <f>(C921*G921)+(C921*H921)+(C921*I921)</f>
        <v/>
      </c>
    </row>
    <row r="922">
      <c r="AA922" s="640">
        <f>IF(G922=0, IF(OR(H922&gt;0,F922&gt;0),C922*F922,""),"")</f>
        <v/>
      </c>
      <c r="AB922" s="640">
        <f>IF(G922&gt;=1,IF(F922&gt;1,C922*(F922-2),""),"")</f>
        <v/>
      </c>
      <c r="AD922" s="911">
        <f>IF(E922="YES",IF(G922=1,"",""),IF(G922=1,C922,IF(G922=2,C922,IF(G922=0,"",""))))</f>
        <v/>
      </c>
      <c r="AE922" s="911">
        <f>IF(E922="YES",IF(G922=1,"",IF(H922=1,C922,"")),IF(H922=1,C922,IF(H922=2,C922,IF(H922=0,"",""))))</f>
        <v/>
      </c>
      <c r="AF922" s="911">
        <f>IF(E922="YES",IF(I922=1,C922,""),IF(I922=1,C922,IF(I922=2,C922,IF(I922=0,"",""))))</f>
        <v/>
      </c>
      <c r="AG922" s="192">
        <f>(C922*G922)+(C922*H922)+(C922*I922)</f>
        <v/>
      </c>
    </row>
    <row r="923">
      <c r="AA923" s="640">
        <f>IF(G923=0, IF(OR(H923&gt;0,F923&gt;0),C923*F923,""),"")</f>
        <v/>
      </c>
      <c r="AB923" s="640">
        <f>IF(G923&gt;=1,IF(F923&gt;1,C923*(F923-2),""),"")</f>
        <v/>
      </c>
      <c r="AD923" s="911">
        <f>IF(E923="YES",IF(G923=1,"",""),IF(G923=1,C923,IF(G923=2,C923,IF(G923=0,"",""))))</f>
        <v/>
      </c>
      <c r="AE923" s="911">
        <f>IF(E923="YES",IF(G923=1,"",IF(H923=1,C923,"")),IF(H923=1,C923,IF(H923=2,C923,IF(H923=0,"",""))))</f>
        <v/>
      </c>
      <c r="AF923" s="911">
        <f>IF(E923="YES",IF(I923=1,C923,""),IF(I923=1,C923,IF(I923=2,C923,IF(I923=0,"",""))))</f>
        <v/>
      </c>
      <c r="AG923" s="192">
        <f>(C923*G923)+(C923*H923)+(C923*I923)</f>
        <v/>
      </c>
    </row>
    <row r="924">
      <c r="AA924" s="640">
        <f>IF(G924=0, IF(OR(H924&gt;0,F924&gt;0),C924*F924,""),"")</f>
        <v/>
      </c>
      <c r="AB924" s="640">
        <f>IF(G924&gt;=1,IF(F924&gt;1,C924*(F924-2),""),"")</f>
        <v/>
      </c>
      <c r="AD924" s="911">
        <f>IF(E924="YES",IF(G924=1,"",""),IF(G924=1,C924,IF(G924=2,C924,IF(G924=0,"",""))))</f>
        <v/>
      </c>
      <c r="AE924" s="911">
        <f>IF(E924="YES",IF(G924=1,"",IF(H924=1,C924,"")),IF(H924=1,C924,IF(H924=2,C924,IF(H924=0,"",""))))</f>
        <v/>
      </c>
      <c r="AF924" s="911">
        <f>IF(E924="YES",IF(I924=1,C924,""),IF(I924=1,C924,IF(I924=2,C924,IF(I924=0,"",""))))</f>
        <v/>
      </c>
      <c r="AG924" s="192">
        <f>(C924*G924)+(C924*H924)+(C924*I924)</f>
        <v/>
      </c>
    </row>
    <row r="925">
      <c r="AA925" s="640">
        <f>IF(G925=0, IF(OR(H925&gt;0,F925&gt;0),C925*F925,""),"")</f>
        <v/>
      </c>
      <c r="AB925" s="640">
        <f>IF(G925&gt;=1,IF(F925&gt;1,C925*(F925-2),""),"")</f>
        <v/>
      </c>
      <c r="AD925" s="911">
        <f>IF(E925="YES",IF(G925=1,"",""),IF(G925=1,C925,IF(G925=2,C925,IF(G925=0,"",""))))</f>
        <v/>
      </c>
      <c r="AE925" s="911">
        <f>IF(E925="YES",IF(G925=1,"",IF(H925=1,C925,"")),IF(H925=1,C925,IF(H925=2,C925,IF(H925=0,"",""))))</f>
        <v/>
      </c>
      <c r="AF925" s="911">
        <f>IF(E925="YES",IF(I925=1,C925,""),IF(I925=1,C925,IF(I925=2,C925,IF(I925=0,"",""))))</f>
        <v/>
      </c>
      <c r="AG925" s="192">
        <f>(C925*G925)+(C925*H925)+(C925*I925)</f>
        <v/>
      </c>
    </row>
    <row r="926">
      <c r="AA926" s="640">
        <f>IF(G926=0, IF(OR(H926&gt;0,F926&gt;0),C926*F926,""),"")</f>
        <v/>
      </c>
      <c r="AB926" s="640">
        <f>IF(G926&gt;=1,IF(F926&gt;1,C926*(F926-2),""),"")</f>
        <v/>
      </c>
      <c r="AD926" s="911">
        <f>IF(E926="YES",IF(G926=1,"",""),IF(G926=1,C926,IF(G926=2,C926,IF(G926=0,"",""))))</f>
        <v/>
      </c>
      <c r="AE926" s="911">
        <f>IF(E926="YES",IF(G926=1,"",IF(H926=1,C926,"")),IF(H926=1,C926,IF(H926=2,C926,IF(H926=0,"",""))))</f>
        <v/>
      </c>
      <c r="AF926" s="911">
        <f>IF(E926="YES",IF(I926=1,C926,""),IF(I926=1,C926,IF(I926=2,C926,IF(I926=0,"",""))))</f>
        <v/>
      </c>
      <c r="AG926" s="192">
        <f>(C926*G926)+(C926*H926)+(C926*I926)</f>
        <v/>
      </c>
    </row>
    <row r="927">
      <c r="AA927" s="640">
        <f>IF(G927=0, IF(OR(H927&gt;0,F927&gt;0),C927*F927,""),"")</f>
        <v/>
      </c>
      <c r="AB927" s="640">
        <f>IF(G927&gt;=1,IF(F927&gt;1,C927*(F927-2),""),"")</f>
        <v/>
      </c>
      <c r="AD927" s="911">
        <f>IF(E927="YES",IF(G927=1,"",""),IF(G927=1,C927,IF(G927=2,C927,IF(G927=0,"",""))))</f>
        <v/>
      </c>
      <c r="AE927" s="911">
        <f>IF(E927="YES",IF(G927=1,"",IF(H927=1,C927,"")),IF(H927=1,C927,IF(H927=2,C927,IF(H927=0,"",""))))</f>
        <v/>
      </c>
      <c r="AF927" s="911">
        <f>IF(E927="YES",IF(I927=1,C927,""),IF(I927=1,C927,IF(I927=2,C927,IF(I927=0,"",""))))</f>
        <v/>
      </c>
      <c r="AG927" s="192">
        <f>(C927*G927)+(C927*H927)+(C927*I927)</f>
        <v/>
      </c>
    </row>
    <row r="928">
      <c r="AA928" s="640">
        <f>IF(G928=0, IF(OR(H928&gt;0,F928&gt;0),C928*F928,""),"")</f>
        <v/>
      </c>
      <c r="AB928" s="640">
        <f>IF(G928&gt;=1,IF(F928&gt;1,C928*(F928-2),""),"")</f>
        <v/>
      </c>
      <c r="AD928" s="911">
        <f>IF(E928="YES",IF(G928=1,"",""),IF(G928=1,C928,IF(G928=2,C928,IF(G928=0,"",""))))</f>
        <v/>
      </c>
      <c r="AE928" s="911">
        <f>IF(E928="YES",IF(G928=1,"",IF(H928=1,C928,"")),IF(H928=1,C928,IF(H928=2,C928,IF(H928=0,"",""))))</f>
        <v/>
      </c>
      <c r="AF928" s="911">
        <f>IF(E928="YES",IF(I928=1,C928,""),IF(I928=1,C928,IF(I928=2,C928,IF(I928=0,"",""))))</f>
        <v/>
      </c>
      <c r="AG928" s="192">
        <f>(C928*G928)+(C928*H928)+(C928*I928)</f>
        <v/>
      </c>
    </row>
    <row r="929">
      <c r="AA929" s="640">
        <f>IF(G929=0, IF(OR(H929&gt;0,F929&gt;0),C929*F929,""),"")</f>
        <v/>
      </c>
      <c r="AB929" s="640">
        <f>IF(G929&gt;=1,IF(F929&gt;1,C929*(F929-2),""),"")</f>
        <v/>
      </c>
      <c r="AD929" s="911">
        <f>IF(E929="YES",IF(G929=1,"",""),IF(G929=1,C929,IF(G929=2,C929,IF(G929=0,"",""))))</f>
        <v/>
      </c>
      <c r="AE929" s="911">
        <f>IF(E929="YES",IF(G929=1,"",IF(H929=1,C929,"")),IF(H929=1,C929,IF(H929=2,C929,IF(H929=0,"",""))))</f>
        <v/>
      </c>
      <c r="AF929" s="911">
        <f>IF(E929="YES",IF(I929=1,C929,""),IF(I929=1,C929,IF(I929=2,C929,IF(I929=0,"",""))))</f>
        <v/>
      </c>
      <c r="AG929" s="192">
        <f>(C929*G929)+(C929*H929)+(C929*I929)</f>
        <v/>
      </c>
    </row>
    <row r="930">
      <c r="AA930" s="640">
        <f>IF(G930=0, IF(OR(H930&gt;0,F930&gt;0),C930*F930,""),"")</f>
        <v/>
      </c>
      <c r="AB930" s="640">
        <f>IF(G930&gt;=1,IF(F930&gt;1,C930*(F930-2),""),"")</f>
        <v/>
      </c>
      <c r="AD930" s="911">
        <f>IF(E930="YES",IF(G930=1,"",""),IF(G930=1,C930,IF(G930=2,C930,IF(G930=0,"",""))))</f>
        <v/>
      </c>
      <c r="AE930" s="911">
        <f>IF(E930="YES",IF(G930=1,"",IF(H930=1,C930,"")),IF(H930=1,C930,IF(H930=2,C930,IF(H930=0,"",""))))</f>
        <v/>
      </c>
      <c r="AF930" s="911">
        <f>IF(E930="YES",IF(I930=1,C930,""),IF(I930=1,C930,IF(I930=2,C930,IF(I930=0,"",""))))</f>
        <v/>
      </c>
      <c r="AG930" s="192">
        <f>(C930*G930)+(C930*H930)+(C930*I930)</f>
        <v/>
      </c>
    </row>
    <row r="931">
      <c r="AA931" s="640">
        <f>IF(G931=0, IF(OR(H931&gt;0,F931&gt;0),C931*F931,""),"")</f>
        <v/>
      </c>
      <c r="AB931" s="640">
        <f>IF(G931&gt;=1,IF(F931&gt;1,C931*(F931-2),""),"")</f>
        <v/>
      </c>
      <c r="AD931" s="911">
        <f>IF(E931="YES",IF(G931=1,"",""),IF(G931=1,C931,IF(G931=2,C931,IF(G931=0,"",""))))</f>
        <v/>
      </c>
      <c r="AE931" s="911">
        <f>IF(E931="YES",IF(G931=1,"",IF(H931=1,C931,"")),IF(H931=1,C931,IF(H931=2,C931,IF(H931=0,"",""))))</f>
        <v/>
      </c>
      <c r="AF931" s="911">
        <f>IF(E931="YES",IF(I931=1,C931,""),IF(I931=1,C931,IF(I931=2,C931,IF(I931=0,"",""))))</f>
        <v/>
      </c>
      <c r="AG931" s="192">
        <f>(C931*G931)+(C931*H931)+(C931*I931)</f>
        <v/>
      </c>
    </row>
    <row r="932">
      <c r="AA932" s="640">
        <f>IF(G932=0, IF(OR(H932&gt;0,F932&gt;0),C932*F932,""),"")</f>
        <v/>
      </c>
      <c r="AB932" s="640">
        <f>IF(G932&gt;=1,IF(F932&gt;1,C932*(F932-2),""),"")</f>
        <v/>
      </c>
      <c r="AD932" s="911">
        <f>IF(E932="YES",IF(G932=1,"",""),IF(G932=1,C932,IF(G932=2,C932,IF(G932=0,"",""))))</f>
        <v/>
      </c>
      <c r="AE932" s="911">
        <f>IF(E932="YES",IF(G932=1,"",IF(H932=1,C932,"")),IF(H932=1,C932,IF(H932=2,C932,IF(H932=0,"",""))))</f>
        <v/>
      </c>
      <c r="AF932" s="911">
        <f>IF(E932="YES",IF(I932=1,C932,""),IF(I932=1,C932,IF(I932=2,C932,IF(I932=0,"",""))))</f>
        <v/>
      </c>
      <c r="AG932" s="192">
        <f>(C932*G932)+(C932*H932)+(C932*I932)</f>
        <v/>
      </c>
    </row>
    <row r="933">
      <c r="AA933" s="640">
        <f>IF(G933=0, IF(OR(H933&gt;0,F933&gt;0),C933*F933,""),"")</f>
        <v/>
      </c>
      <c r="AB933" s="640">
        <f>IF(G933&gt;=1,IF(F933&gt;1,C933*(F933-2),""),"")</f>
        <v/>
      </c>
      <c r="AD933" s="911">
        <f>IF(E933="YES",IF(G933=1,"",""),IF(G933=1,C933,IF(G933=2,C933,IF(G933=0,"",""))))</f>
        <v/>
      </c>
      <c r="AE933" s="911">
        <f>IF(E933="YES",IF(G933=1,"",IF(H933=1,C933,"")),IF(H933=1,C933,IF(H933=2,C933,IF(H933=0,"",""))))</f>
        <v/>
      </c>
      <c r="AF933" s="911">
        <f>IF(E933="YES",IF(I933=1,C933,""),IF(I933=1,C933,IF(I933=2,C933,IF(I933=0,"",""))))</f>
        <v/>
      </c>
      <c r="AG933" s="192">
        <f>(C933*G933)+(C933*H933)+(C933*I933)</f>
        <v/>
      </c>
    </row>
    <row r="934">
      <c r="AA934" s="640">
        <f>IF(G934=0, IF(OR(H934&gt;0,F934&gt;0),C934*F934,""),"")</f>
        <v/>
      </c>
      <c r="AB934" s="640">
        <f>IF(G934&gt;=1,IF(F934&gt;1,C934*(F934-2),""),"")</f>
        <v/>
      </c>
      <c r="AD934" s="911">
        <f>IF(E934="YES",IF(G934=1,"",""),IF(G934=1,C934,IF(G934=2,C934,IF(G934=0,"",""))))</f>
        <v/>
      </c>
      <c r="AE934" s="911">
        <f>IF(E934="YES",IF(G934=1,"",IF(H934=1,C934,"")),IF(H934=1,C934,IF(H934=2,C934,IF(H934=0,"",""))))</f>
        <v/>
      </c>
      <c r="AF934" s="911">
        <f>IF(E934="YES",IF(I934=1,C934,""),IF(I934=1,C934,IF(I934=2,C934,IF(I934=0,"",""))))</f>
        <v/>
      </c>
      <c r="AG934" s="192">
        <f>(C934*G934)+(C934*H934)+(C934*I934)</f>
        <v/>
      </c>
    </row>
    <row r="935">
      <c r="AA935" s="640">
        <f>IF(G935=0, IF(OR(H935&gt;0,F935&gt;0),C935*F935,""),"")</f>
        <v/>
      </c>
      <c r="AB935" s="640">
        <f>IF(G935&gt;=1,IF(F935&gt;1,C935*(F935-2),""),"")</f>
        <v/>
      </c>
      <c r="AD935" s="911">
        <f>IF(E935="YES",IF(G935=1,"",""),IF(G935=1,C935,IF(G935=2,C935,IF(G935=0,"",""))))</f>
        <v/>
      </c>
      <c r="AE935" s="911">
        <f>IF(E935="YES",IF(G935=1,"",IF(H935=1,C935,"")),IF(H935=1,C935,IF(H935=2,C935,IF(H935=0,"",""))))</f>
        <v/>
      </c>
      <c r="AF935" s="911">
        <f>IF(E935="YES",IF(I935=1,C935,""),IF(I935=1,C935,IF(I935=2,C935,IF(I935=0,"",""))))</f>
        <v/>
      </c>
      <c r="AG935" s="192">
        <f>(C935*G935)+(C935*H935)+(C935*I935)</f>
        <v/>
      </c>
    </row>
    <row r="936">
      <c r="AA936" s="640">
        <f>IF(G936=0, IF(OR(H936&gt;0,F936&gt;0),C936*F936,""),"")</f>
        <v/>
      </c>
      <c r="AB936" s="640">
        <f>IF(G936&gt;=1,IF(F936&gt;1,C936*(F936-2),""),"")</f>
        <v/>
      </c>
      <c r="AD936" s="911">
        <f>IF(E936="YES",IF(G936=1,"",""),IF(G936=1,C936,IF(G936=2,C936,IF(G936=0,"",""))))</f>
        <v/>
      </c>
      <c r="AE936" s="911">
        <f>IF(E936="YES",IF(G936=1,"",IF(H936=1,C936,"")),IF(H936=1,C936,IF(H936=2,C936,IF(H936=0,"",""))))</f>
        <v/>
      </c>
      <c r="AF936" s="911">
        <f>IF(E936="YES",IF(I936=1,C936,""),IF(I936=1,C936,IF(I936=2,C936,IF(I936=0,"",""))))</f>
        <v/>
      </c>
      <c r="AG936" s="192">
        <f>(C936*G936)+(C936*H936)+(C936*I936)</f>
        <v/>
      </c>
    </row>
    <row r="937">
      <c r="AA937" s="640">
        <f>IF(G937=0, IF(OR(H937&gt;0,F937&gt;0),C937*F937,""),"")</f>
        <v/>
      </c>
      <c r="AB937" s="640">
        <f>IF(G937&gt;=1,IF(F937&gt;1,C937*(F937-2),""),"")</f>
        <v/>
      </c>
      <c r="AD937" s="911">
        <f>IF(E937="YES",IF(G937=1,"",""),IF(G937=1,C937,IF(G937=2,C937,IF(G937=0,"",""))))</f>
        <v/>
      </c>
      <c r="AE937" s="911">
        <f>IF(E937="YES",IF(G937=1,"",IF(H937=1,C937,"")),IF(H937=1,C937,IF(H937=2,C937,IF(H937=0,"",""))))</f>
        <v/>
      </c>
      <c r="AF937" s="911">
        <f>IF(E937="YES",IF(I937=1,C937,""),IF(I937=1,C937,IF(I937=2,C937,IF(I937=0,"",""))))</f>
        <v/>
      </c>
      <c r="AG937" s="192">
        <f>(C937*G937)+(C937*H937)+(C937*I937)</f>
        <v/>
      </c>
    </row>
    <row r="938">
      <c r="AA938" s="640">
        <f>IF(G938=0, IF(OR(H938&gt;0,F938&gt;0),C938*F938,""),"")</f>
        <v/>
      </c>
      <c r="AB938" s="640">
        <f>IF(G938&gt;=1,IF(F938&gt;1,C938*(F938-2),""),"")</f>
        <v/>
      </c>
      <c r="AD938" s="911">
        <f>IF(E938="YES",IF(G938=1,"",""),IF(G938=1,C938,IF(G938=2,C938,IF(G938=0,"",""))))</f>
        <v/>
      </c>
      <c r="AE938" s="911">
        <f>IF(E938="YES",IF(G938=1,"",IF(H938=1,C938,"")),IF(H938=1,C938,IF(H938=2,C938,IF(H938=0,"",""))))</f>
        <v/>
      </c>
      <c r="AF938" s="911">
        <f>IF(E938="YES",IF(I938=1,C938,""),IF(I938=1,C938,IF(I938=2,C938,IF(I938=0,"",""))))</f>
        <v/>
      </c>
      <c r="AG938" s="192">
        <f>(C938*G938)+(C938*H938)+(C938*I938)</f>
        <v/>
      </c>
    </row>
    <row r="939">
      <c r="AA939" s="640">
        <f>IF(G939=0, IF(OR(H939&gt;0,F939&gt;0),C939*F939,""),"")</f>
        <v/>
      </c>
      <c r="AB939" s="640">
        <f>IF(G939&gt;=1,IF(F939&gt;1,C939*(F939-2),""),"")</f>
        <v/>
      </c>
      <c r="AD939" s="911">
        <f>IF(E939="YES",IF(G939=1,"",""),IF(G939=1,C939,IF(G939=2,C939,IF(G939=0,"",""))))</f>
        <v/>
      </c>
      <c r="AE939" s="911">
        <f>IF(E939="YES",IF(G939=1,"",IF(H939=1,C939,"")),IF(H939=1,C939,IF(H939=2,C939,IF(H939=0,"",""))))</f>
        <v/>
      </c>
      <c r="AF939" s="911">
        <f>IF(E939="YES",IF(I939=1,C939,""),IF(I939=1,C939,IF(I939=2,C939,IF(I939=0,"",""))))</f>
        <v/>
      </c>
      <c r="AG939" s="192">
        <f>(C939*G939)+(C939*H939)+(C939*I939)</f>
        <v/>
      </c>
    </row>
    <row r="940">
      <c r="AA940" s="640">
        <f>IF(G940=0, IF(OR(H940&gt;0,F940&gt;0),C940*F940,""),"")</f>
        <v/>
      </c>
      <c r="AB940" s="640">
        <f>IF(G940&gt;=1,IF(F940&gt;1,C940*(F940-2),""),"")</f>
        <v/>
      </c>
      <c r="AD940" s="911">
        <f>IF(E940="YES",IF(G940=1,"",""),IF(G940=1,C940,IF(G940=2,C940,IF(G940=0,"",""))))</f>
        <v/>
      </c>
      <c r="AE940" s="911">
        <f>IF(E940="YES",IF(G940=1,"",IF(H940=1,C940,"")),IF(H940=1,C940,IF(H940=2,C940,IF(H940=0,"",""))))</f>
        <v/>
      </c>
      <c r="AF940" s="911">
        <f>IF(E940="YES",IF(I940=1,C940,""),IF(I940=1,C940,IF(I940=2,C940,IF(I940=0,"",""))))</f>
        <v/>
      </c>
      <c r="AG940" s="192">
        <f>(C940*G940)+(C940*H940)+(C940*I940)</f>
        <v/>
      </c>
    </row>
    <row r="941">
      <c r="AA941" s="640">
        <f>IF(G941=0, IF(OR(H941&gt;0,F941&gt;0),C941*F941,""),"")</f>
        <v/>
      </c>
      <c r="AB941" s="640">
        <f>IF(G941&gt;=1,IF(F941&gt;1,C941*(F941-2),""),"")</f>
        <v/>
      </c>
      <c r="AD941" s="911">
        <f>IF(E941="YES",IF(G941=1,"",""),IF(G941=1,C941,IF(G941=2,C941,IF(G941=0,"",""))))</f>
        <v/>
      </c>
      <c r="AE941" s="911">
        <f>IF(E941="YES",IF(G941=1,"",IF(H941=1,C941,"")),IF(H941=1,C941,IF(H941=2,C941,IF(H941=0,"",""))))</f>
        <v/>
      </c>
      <c r="AF941" s="911">
        <f>IF(E941="YES",IF(I941=1,C941,""),IF(I941=1,C941,IF(I941=2,C941,IF(I941=0,"",""))))</f>
        <v/>
      </c>
      <c r="AG941" s="192">
        <f>(C941*G941)+(C941*H941)+(C941*I941)</f>
        <v/>
      </c>
    </row>
    <row r="942">
      <c r="AA942" s="640">
        <f>IF(G942=0, IF(OR(H942&gt;0,F942&gt;0),C942*F942,""),"")</f>
        <v/>
      </c>
      <c r="AB942" s="640">
        <f>IF(G942&gt;=1,IF(F942&gt;1,C942*(F942-2),""),"")</f>
        <v/>
      </c>
      <c r="AD942" s="911">
        <f>IF(E942="YES",IF(G942=1,"",""),IF(G942=1,C942,IF(G942=2,C942,IF(G942=0,"",""))))</f>
        <v/>
      </c>
      <c r="AE942" s="911">
        <f>IF(E942="YES",IF(G942=1,"",IF(H942=1,C942,"")),IF(H942=1,C942,IF(H942=2,C942,IF(H942=0,"",""))))</f>
        <v/>
      </c>
      <c r="AF942" s="911">
        <f>IF(E942="YES",IF(I942=1,C942,""),IF(I942=1,C942,IF(I942=2,C942,IF(I942=0,"",""))))</f>
        <v/>
      </c>
      <c r="AG942" s="192">
        <f>(C942*G942)+(C942*H942)+(C942*I942)</f>
        <v/>
      </c>
    </row>
    <row r="943">
      <c r="AA943" s="640">
        <f>IF(G943=0, IF(OR(H943&gt;0,F943&gt;0),C943*F943,""),"")</f>
        <v/>
      </c>
      <c r="AB943" s="640">
        <f>IF(G943&gt;=1,IF(F943&gt;1,C943*(F943-2),""),"")</f>
        <v/>
      </c>
      <c r="AD943" s="911">
        <f>IF(E943="YES",IF(G943=1,"",""),IF(G943=1,C943,IF(G943=2,C943,IF(G943=0,"",""))))</f>
        <v/>
      </c>
      <c r="AE943" s="911">
        <f>IF(E943="YES",IF(G943=1,"",IF(H943=1,C943,"")),IF(H943=1,C943,IF(H943=2,C943,IF(H943=0,"",""))))</f>
        <v/>
      </c>
      <c r="AF943" s="911">
        <f>IF(E943="YES",IF(I943=1,C943,""),IF(I943=1,C943,IF(I943=2,C943,IF(I943=0,"",""))))</f>
        <v/>
      </c>
      <c r="AG943" s="192">
        <f>(C943*G943)+(C943*H943)+(C943*I943)</f>
        <v/>
      </c>
    </row>
    <row r="944">
      <c r="AA944" s="640">
        <f>IF(G944=0, IF(OR(H944&gt;0,F944&gt;0),C944*F944,""),"")</f>
        <v/>
      </c>
      <c r="AB944" s="640">
        <f>IF(G944&gt;=1,IF(F944&gt;1,C944*(F944-2),""),"")</f>
        <v/>
      </c>
      <c r="AD944" s="911">
        <f>IF(E944="YES",IF(G944=1,"",""),IF(G944=1,C944,IF(G944=2,C944,IF(G944=0,"",""))))</f>
        <v/>
      </c>
      <c r="AE944" s="911">
        <f>IF(E944="YES",IF(G944=1,"",IF(H944=1,C944,"")),IF(H944=1,C944,IF(H944=2,C944,IF(H944=0,"",""))))</f>
        <v/>
      </c>
      <c r="AF944" s="911">
        <f>IF(E944="YES",IF(I944=1,C944,""),IF(I944=1,C944,IF(I944=2,C944,IF(I944=0,"",""))))</f>
        <v/>
      </c>
      <c r="AG944" s="192">
        <f>(C944*G944)+(C944*H944)+(C944*I944)</f>
        <v/>
      </c>
    </row>
    <row r="945">
      <c r="AA945" s="640">
        <f>IF(G945=0, IF(OR(H945&gt;0,F945&gt;0),C945*F945,""),"")</f>
        <v/>
      </c>
      <c r="AB945" s="640">
        <f>IF(G945&gt;=1,IF(F945&gt;1,C945*(F945-2),""),"")</f>
        <v/>
      </c>
      <c r="AD945" s="911">
        <f>IF(E945="YES",IF(G945=1,"",""),IF(G945=1,C945,IF(G945=2,C945,IF(G945=0,"",""))))</f>
        <v/>
      </c>
      <c r="AE945" s="911">
        <f>IF(E945="YES",IF(G945=1,"",IF(H945=1,C945,"")),IF(H945=1,C945,IF(H945=2,C945,IF(H945=0,"",""))))</f>
        <v/>
      </c>
      <c r="AF945" s="911">
        <f>IF(E945="YES",IF(I945=1,C945,""),IF(I945=1,C945,IF(I945=2,C945,IF(I945=0,"",""))))</f>
        <v/>
      </c>
      <c r="AG945" s="192">
        <f>(C945*G945)+(C945*H945)+(C945*I945)</f>
        <v/>
      </c>
    </row>
    <row r="946">
      <c r="AA946" s="640">
        <f>IF(G946=0, IF(OR(H946&gt;0,F946&gt;0),C946*F946,""),"")</f>
        <v/>
      </c>
      <c r="AB946" s="640">
        <f>IF(G946&gt;=1,IF(F946&gt;1,C946*(F946-2),""),"")</f>
        <v/>
      </c>
      <c r="AD946" s="911">
        <f>IF(E946="YES",IF(G946=1,"",""),IF(G946=1,C946,IF(G946=2,C946,IF(G946=0,"",""))))</f>
        <v/>
      </c>
      <c r="AE946" s="911">
        <f>IF(E946="YES",IF(G946=1,"",IF(H946=1,C946,"")),IF(H946=1,C946,IF(H946=2,C946,IF(H946=0,"",""))))</f>
        <v/>
      </c>
      <c r="AF946" s="911">
        <f>IF(E946="YES",IF(I946=1,C946,""),IF(I946=1,C946,IF(I946=2,C946,IF(I946=0,"",""))))</f>
        <v/>
      </c>
      <c r="AG946" s="192">
        <f>(C946*G946)+(C946*H946)+(C946*I946)</f>
        <v/>
      </c>
    </row>
    <row r="947">
      <c r="AA947" s="640">
        <f>IF(G947=0, IF(OR(H947&gt;0,F947&gt;0),C947*F947,""),"")</f>
        <v/>
      </c>
      <c r="AB947" s="640">
        <f>IF(G947&gt;=1,IF(F947&gt;1,C947*(F947-2),""),"")</f>
        <v/>
      </c>
      <c r="AD947" s="911">
        <f>IF(E947="YES",IF(G947=1,"",""),IF(G947=1,C947,IF(G947=2,C947,IF(G947=0,"",""))))</f>
        <v/>
      </c>
      <c r="AE947" s="911">
        <f>IF(E947="YES",IF(G947=1,"",IF(H947=1,C947,"")),IF(H947=1,C947,IF(H947=2,C947,IF(H947=0,"",""))))</f>
        <v/>
      </c>
      <c r="AF947" s="911">
        <f>IF(E947="YES",IF(I947=1,C947,""),IF(I947=1,C947,IF(I947=2,C947,IF(I947=0,"",""))))</f>
        <v/>
      </c>
      <c r="AG947" s="192">
        <f>(C947*G947)+(C947*H947)+(C947*I947)</f>
        <v/>
      </c>
    </row>
    <row r="948">
      <c r="AA948" s="640">
        <f>IF(G948=0, IF(OR(H948&gt;0,F948&gt;0),C948*F948,""),"")</f>
        <v/>
      </c>
      <c r="AB948" s="640">
        <f>IF(G948&gt;=1,IF(F948&gt;1,C948*(F948-2),""),"")</f>
        <v/>
      </c>
      <c r="AD948" s="911">
        <f>IF(E948="YES",IF(G948=1,"",""),IF(G948=1,C948,IF(G948=2,C948,IF(G948=0,"",""))))</f>
        <v/>
      </c>
      <c r="AE948" s="911">
        <f>IF(E948="YES",IF(G948=1,"",IF(H948=1,C948,"")),IF(H948=1,C948,IF(H948=2,C948,IF(H948=0,"",""))))</f>
        <v/>
      </c>
      <c r="AF948" s="911">
        <f>IF(E948="YES",IF(I948=1,C948,""),IF(I948=1,C948,IF(I948=2,C948,IF(I948=0,"",""))))</f>
        <v/>
      </c>
      <c r="AG948" s="192">
        <f>(C948*G948)+(C948*H948)+(C948*I948)</f>
        <v/>
      </c>
    </row>
    <row r="949">
      <c r="AA949" s="640">
        <f>IF(G949=0, IF(OR(H949&gt;0,F949&gt;0),C949*F949,""),"")</f>
        <v/>
      </c>
      <c r="AB949" s="640">
        <f>IF(G949&gt;=1,IF(F949&gt;1,C949*(F949-2),""),"")</f>
        <v/>
      </c>
      <c r="AD949" s="911">
        <f>IF(E949="YES",IF(G949=1,"",""),IF(G949=1,C949,IF(G949=2,C949,IF(G949=0,"",""))))</f>
        <v/>
      </c>
      <c r="AE949" s="911">
        <f>IF(E949="YES",IF(G949=1,"",IF(H949=1,C949,"")),IF(H949=1,C949,IF(H949=2,C949,IF(H949=0,"",""))))</f>
        <v/>
      </c>
      <c r="AF949" s="911">
        <f>IF(E949="YES",IF(I949=1,C949,""),IF(I949=1,C949,IF(I949=2,C949,IF(I949=0,"",""))))</f>
        <v/>
      </c>
      <c r="AG949" s="192">
        <f>(C949*G949)+(C949*H949)+(C949*I949)</f>
        <v/>
      </c>
    </row>
    <row r="950">
      <c r="AA950" s="640">
        <f>IF(G950=0, IF(OR(H950&gt;0,F950&gt;0),C950*F950,""),"")</f>
        <v/>
      </c>
      <c r="AB950" s="640">
        <f>IF(G950&gt;=1,IF(F950&gt;1,C950*(F950-2),""),"")</f>
        <v/>
      </c>
      <c r="AD950" s="911">
        <f>IF(E950="YES",IF(G950=1,"",""),IF(G950=1,C950,IF(G950=2,C950,IF(G950=0,"",""))))</f>
        <v/>
      </c>
      <c r="AE950" s="911">
        <f>IF(E950="YES",IF(G950=1,"",IF(H950=1,C950,"")),IF(H950=1,C950,IF(H950=2,C950,IF(H950=0,"",""))))</f>
        <v/>
      </c>
      <c r="AF950" s="911">
        <f>IF(E950="YES",IF(I950=1,C950,""),IF(I950=1,C950,IF(I950=2,C950,IF(I950=0,"",""))))</f>
        <v/>
      </c>
      <c r="AG950" s="192">
        <f>(C950*G950)+(C950*H950)+(C950*I950)</f>
        <v/>
      </c>
    </row>
    <row r="951">
      <c r="AA951" s="640">
        <f>IF(G951=0, IF(OR(H951&gt;0,F951&gt;0),C951*F951,""),"")</f>
        <v/>
      </c>
      <c r="AB951" s="640">
        <f>IF(G951&gt;=1,IF(F951&gt;1,C951*(F951-2),""),"")</f>
        <v/>
      </c>
      <c r="AD951" s="911">
        <f>IF(E951="YES",IF(G951=1,"",""),IF(G951=1,C951,IF(G951=2,C951,IF(G951=0,"",""))))</f>
        <v/>
      </c>
      <c r="AE951" s="911">
        <f>IF(E951="YES",IF(G951=1,"",IF(H951=1,C951,"")),IF(H951=1,C951,IF(H951=2,C951,IF(H951=0,"",""))))</f>
        <v/>
      </c>
      <c r="AF951" s="911">
        <f>IF(E951="YES",IF(I951=1,C951,""),IF(I951=1,C951,IF(I951=2,C951,IF(I951=0,"",""))))</f>
        <v/>
      </c>
      <c r="AG951" s="192">
        <f>(C951*G951)+(C951*H951)+(C951*I951)</f>
        <v/>
      </c>
    </row>
    <row r="952">
      <c r="AA952" s="640">
        <f>IF(G952=0, IF(OR(H952&gt;0,F952&gt;0),C952*F952,""),"")</f>
        <v/>
      </c>
      <c r="AB952" s="640">
        <f>IF(G952&gt;=1,IF(F952&gt;1,C952*(F952-2),""),"")</f>
        <v/>
      </c>
      <c r="AD952" s="911">
        <f>IF(E952="YES",IF(G952=1,"",""),IF(G952=1,C952,IF(G952=2,C952,IF(G952=0,"",""))))</f>
        <v/>
      </c>
      <c r="AE952" s="911">
        <f>IF(E952="YES",IF(G952=1,"",IF(H952=1,C952,"")),IF(H952=1,C952,IF(H952=2,C952,IF(H952=0,"",""))))</f>
        <v/>
      </c>
      <c r="AF952" s="911">
        <f>IF(E952="YES",IF(I952=1,C952,""),IF(I952=1,C952,IF(I952=2,C952,IF(I952=0,"",""))))</f>
        <v/>
      </c>
      <c r="AG952" s="192">
        <f>(C952*G952)+(C952*H952)+(C952*I952)</f>
        <v/>
      </c>
    </row>
    <row r="953">
      <c r="AA953" s="640">
        <f>IF(G953=0, IF(OR(H953&gt;0,F953&gt;0),C953*F953,""),"")</f>
        <v/>
      </c>
      <c r="AB953" s="640">
        <f>IF(G953&gt;=1,IF(F953&gt;1,C953*(F953-2),""),"")</f>
        <v/>
      </c>
      <c r="AD953" s="911">
        <f>IF(E953="YES",IF(G953=1,"",""),IF(G953=1,C953,IF(G953=2,C953,IF(G953=0,"",""))))</f>
        <v/>
      </c>
      <c r="AE953" s="911">
        <f>IF(E953="YES",IF(G953=1,"",IF(H953=1,C953,"")),IF(H953=1,C953,IF(H953=2,C953,IF(H953=0,"",""))))</f>
        <v/>
      </c>
      <c r="AF953" s="911">
        <f>IF(E953="YES",IF(I953=1,C953,""),IF(I953=1,C953,IF(I953=2,C953,IF(I953=0,"",""))))</f>
        <v/>
      </c>
      <c r="AG953" s="192">
        <f>(C953*G953)+(C953*H953)+(C953*I953)</f>
        <v/>
      </c>
    </row>
    <row r="954">
      <c r="AA954" s="640">
        <f>IF(G954=0, IF(OR(H954&gt;0,F954&gt;0),C954*F954,""),"")</f>
        <v/>
      </c>
      <c r="AB954" s="640">
        <f>IF(G954&gt;=1,IF(F954&gt;1,C954*(F954-2),""),"")</f>
        <v/>
      </c>
      <c r="AD954" s="911">
        <f>IF(E954="YES",IF(G954=1,"",""),IF(G954=1,C954,IF(G954=2,C954,IF(G954=0,"",""))))</f>
        <v/>
      </c>
      <c r="AE954" s="911">
        <f>IF(E954="YES",IF(G954=1,"",IF(H954=1,C954,"")),IF(H954=1,C954,IF(H954=2,C954,IF(H954=0,"",""))))</f>
        <v/>
      </c>
      <c r="AF954" s="911">
        <f>IF(E954="YES",IF(I954=1,C954,""),IF(I954=1,C954,IF(I954=2,C954,IF(I954=0,"",""))))</f>
        <v/>
      </c>
      <c r="AG954" s="192">
        <f>(C954*G954)+(C954*H954)+(C954*I954)</f>
        <v/>
      </c>
    </row>
    <row r="955">
      <c r="AA955" s="640">
        <f>IF(G955=0, IF(OR(H955&gt;0,F955&gt;0),C955*F955,""),"")</f>
        <v/>
      </c>
      <c r="AB955" s="640">
        <f>IF(G955&gt;=1,IF(F955&gt;1,C955*(F955-2),""),"")</f>
        <v/>
      </c>
      <c r="AD955" s="911">
        <f>IF(E955="YES",IF(G955=1,"",""),IF(G955=1,C955,IF(G955=2,C955,IF(G955=0,"",""))))</f>
        <v/>
      </c>
      <c r="AE955" s="911">
        <f>IF(E955="YES",IF(G955=1,"",IF(H955=1,C955,"")),IF(H955=1,C955,IF(H955=2,C955,IF(H955=0,"",""))))</f>
        <v/>
      </c>
      <c r="AF955" s="911">
        <f>IF(E955="YES",IF(I955=1,C955,""),IF(I955=1,C955,IF(I955=2,C955,IF(I955=0,"",""))))</f>
        <v/>
      </c>
      <c r="AG955" s="192">
        <f>(C955*G955)+(C955*H955)+(C955*I955)</f>
        <v/>
      </c>
    </row>
    <row r="956">
      <c r="AA956" s="640">
        <f>IF(G956=0, IF(OR(H956&gt;0,F956&gt;0),C956*F956,""),"")</f>
        <v/>
      </c>
      <c r="AB956" s="640">
        <f>IF(G956&gt;=1,IF(F956&gt;1,C956*(F956-2),""),"")</f>
        <v/>
      </c>
      <c r="AD956" s="911">
        <f>IF(E956="YES",IF(G956=1,"",""),IF(G956=1,C956,IF(G956=2,C956,IF(G956=0,"",""))))</f>
        <v/>
      </c>
      <c r="AE956" s="911">
        <f>IF(E956="YES",IF(G956=1,"",IF(H956=1,C956,"")),IF(H956=1,C956,IF(H956=2,C956,IF(H956=0,"",""))))</f>
        <v/>
      </c>
      <c r="AF956" s="911">
        <f>IF(E956="YES",IF(I956=1,C956,""),IF(I956=1,C956,IF(I956=2,C956,IF(I956=0,"",""))))</f>
        <v/>
      </c>
      <c r="AG956" s="192">
        <f>(C956*G956)+(C956*H956)+(C956*I956)</f>
        <v/>
      </c>
    </row>
    <row r="957">
      <c r="AA957" s="640">
        <f>IF(G957=0, IF(OR(H957&gt;0,F957&gt;0),C957*F957,""),"")</f>
        <v/>
      </c>
      <c r="AB957" s="640">
        <f>IF(G957&gt;=1,IF(F957&gt;1,C957*(F957-2),""),"")</f>
        <v/>
      </c>
      <c r="AD957" s="911">
        <f>IF(E957="YES",IF(G957=1,"",""),IF(G957=1,C957,IF(G957=2,C957,IF(G957=0,"",""))))</f>
        <v/>
      </c>
      <c r="AE957" s="911">
        <f>IF(E957="YES",IF(G957=1,"",IF(H957=1,C957,"")),IF(H957=1,C957,IF(H957=2,C957,IF(H957=0,"",""))))</f>
        <v/>
      </c>
      <c r="AF957" s="911">
        <f>IF(E957="YES",IF(I957=1,C957,""),IF(I957=1,C957,IF(I957=2,C957,IF(I957=0,"",""))))</f>
        <v/>
      </c>
      <c r="AG957" s="192">
        <f>(C957*G957)+(C957*H957)+(C957*I957)</f>
        <v/>
      </c>
    </row>
    <row r="958">
      <c r="AA958" s="640">
        <f>IF(G958=0, IF(OR(H958&gt;0,F958&gt;0),C958*F958,""),"")</f>
        <v/>
      </c>
      <c r="AB958" s="640">
        <f>IF(G958&gt;=1,IF(F958&gt;1,C958*(F958-2),""),"")</f>
        <v/>
      </c>
      <c r="AD958" s="911">
        <f>IF(E958="YES",IF(G958=1,"",""),IF(G958=1,C958,IF(G958=2,C958,IF(G958=0,"",""))))</f>
        <v/>
      </c>
      <c r="AE958" s="911">
        <f>IF(E958="YES",IF(G958=1,"",IF(H958=1,C958,"")),IF(H958=1,C958,IF(H958=2,C958,IF(H958=0,"",""))))</f>
        <v/>
      </c>
      <c r="AF958" s="911">
        <f>IF(E958="YES",IF(I958=1,C958,""),IF(I958=1,C958,IF(I958=2,C958,IF(I958=0,"",""))))</f>
        <v/>
      </c>
      <c r="AG958" s="192">
        <f>(C958*G958)+(C958*H958)+(C958*I958)</f>
        <v/>
      </c>
    </row>
    <row r="959">
      <c r="AA959" s="640">
        <f>IF(G959=0, IF(OR(H959&gt;0,F959&gt;0),C959*F959,""),"")</f>
        <v/>
      </c>
      <c r="AB959" s="640">
        <f>IF(G959&gt;=1,IF(F959&gt;1,C959*(F959-2),""),"")</f>
        <v/>
      </c>
      <c r="AD959" s="911">
        <f>IF(E959="YES",IF(G959=1,"",""),IF(G959=1,C959,IF(G959=2,C959,IF(G959=0,"",""))))</f>
        <v/>
      </c>
      <c r="AE959" s="911">
        <f>IF(E959="YES",IF(G959=1,"",IF(H959=1,C959,"")),IF(H959=1,C959,IF(H959=2,C959,IF(H959=0,"",""))))</f>
        <v/>
      </c>
      <c r="AF959" s="911">
        <f>IF(E959="YES",IF(I959=1,C959,""),IF(I959=1,C959,IF(I959=2,C959,IF(I959=0,"",""))))</f>
        <v/>
      </c>
      <c r="AG959" s="192">
        <f>(C959*G959)+(C959*H959)+(C959*I959)</f>
        <v/>
      </c>
    </row>
    <row r="960">
      <c r="AA960" s="640">
        <f>IF(G960=0, IF(OR(H960&gt;0,F960&gt;0),C960*F960,""),"")</f>
        <v/>
      </c>
      <c r="AB960" s="640">
        <f>IF(G960&gt;=1,IF(F960&gt;1,C960*(F960-2),""),"")</f>
        <v/>
      </c>
      <c r="AD960" s="911">
        <f>IF(E960="YES",IF(G960=1,"",""),IF(G960=1,C960,IF(G960=2,C960,IF(G960=0,"",""))))</f>
        <v/>
      </c>
      <c r="AE960" s="911">
        <f>IF(E960="YES",IF(G960=1,"",IF(H960=1,C960,"")),IF(H960=1,C960,IF(H960=2,C960,IF(H960=0,"",""))))</f>
        <v/>
      </c>
      <c r="AF960" s="911">
        <f>IF(E960="YES",IF(I960=1,C960,""),IF(I960=1,C960,IF(I960=2,C960,IF(I960=0,"",""))))</f>
        <v/>
      </c>
      <c r="AG960" s="192">
        <f>(C960*G960)+(C960*H960)+(C960*I960)</f>
        <v/>
      </c>
    </row>
    <row r="961">
      <c r="AA961" s="640">
        <f>IF(G961=0, IF(OR(H961&gt;0,F961&gt;0),C961*F961,""),"")</f>
        <v/>
      </c>
      <c r="AB961" s="640">
        <f>IF(G961&gt;=1,IF(F961&gt;1,C961*(F961-2),""),"")</f>
        <v/>
      </c>
      <c r="AD961" s="911">
        <f>IF(E961="YES",IF(G961=1,"",""),IF(G961=1,C961,IF(G961=2,C961,IF(G961=0,"",""))))</f>
        <v/>
      </c>
      <c r="AE961" s="911">
        <f>IF(E961="YES",IF(G961=1,"",IF(H961=1,C961,"")),IF(H961=1,C961,IF(H961=2,C961,IF(H961=0,"",""))))</f>
        <v/>
      </c>
      <c r="AF961" s="911">
        <f>IF(E961="YES",IF(I961=1,C961,""),IF(I961=1,C961,IF(I961=2,C961,IF(I961=0,"",""))))</f>
        <v/>
      </c>
      <c r="AG961" s="192">
        <f>(C961*G961)+(C961*H961)+(C961*I961)</f>
        <v/>
      </c>
    </row>
    <row r="962">
      <c r="AA962" s="640">
        <f>IF(G962=0, IF(OR(H962&gt;0,F962&gt;0),C962*F962,""),"")</f>
        <v/>
      </c>
      <c r="AB962" s="640">
        <f>IF(G962&gt;=1,IF(F962&gt;1,C962*(F962-2),""),"")</f>
        <v/>
      </c>
      <c r="AD962" s="911">
        <f>IF(E962="YES",IF(G962=1,"",""),IF(G962=1,C962,IF(G962=2,C962,IF(G962=0,"",""))))</f>
        <v/>
      </c>
      <c r="AE962" s="911">
        <f>IF(E962="YES",IF(G962=1,"",IF(H962=1,C962,"")),IF(H962=1,C962,IF(H962=2,C962,IF(H962=0,"",""))))</f>
        <v/>
      </c>
      <c r="AF962" s="911">
        <f>IF(E962="YES",IF(I962=1,C962,""),IF(I962=1,C962,IF(I962=2,C962,IF(I962=0,"",""))))</f>
        <v/>
      </c>
      <c r="AG962" s="192">
        <f>(C962*G962)+(C962*H962)+(C962*I962)</f>
        <v/>
      </c>
    </row>
    <row r="963">
      <c r="AA963" s="640">
        <f>IF(G963=0, IF(OR(H963&gt;0,F963&gt;0),C963*F963,""),"")</f>
        <v/>
      </c>
      <c r="AB963" s="640">
        <f>IF(G963&gt;=1,IF(F963&gt;1,C963*(F963-2),""),"")</f>
        <v/>
      </c>
      <c r="AD963" s="911">
        <f>IF(E963="YES",IF(G963=1,"",""),IF(G963=1,C963,IF(G963=2,C963,IF(G963=0,"",""))))</f>
        <v/>
      </c>
      <c r="AE963" s="911">
        <f>IF(E963="YES",IF(G963=1,"",IF(H963=1,C963,"")),IF(H963=1,C963,IF(H963=2,C963,IF(H963=0,"",""))))</f>
        <v/>
      </c>
      <c r="AF963" s="911">
        <f>IF(E963="YES",IF(I963=1,C963,""),IF(I963=1,C963,IF(I963=2,C963,IF(I963=0,"",""))))</f>
        <v/>
      </c>
      <c r="AG963" s="192">
        <f>(C963*G963)+(C963*H963)+(C963*I963)</f>
        <v/>
      </c>
    </row>
    <row r="964">
      <c r="AA964" s="640">
        <f>IF(G964=0, IF(OR(H964&gt;0,F964&gt;0),C964*F964,""),"")</f>
        <v/>
      </c>
      <c r="AB964" s="640">
        <f>IF(G964&gt;=1,IF(F964&gt;1,C964*(F964-2),""),"")</f>
        <v/>
      </c>
      <c r="AD964" s="911">
        <f>IF(E964="YES",IF(G964=1,"",""),IF(G964=1,C964,IF(G964=2,C964,IF(G964=0,"",""))))</f>
        <v/>
      </c>
      <c r="AE964" s="911">
        <f>IF(E964="YES",IF(G964=1,"",IF(H964=1,C964,"")),IF(H964=1,C964,IF(H964=2,C964,IF(H964=0,"",""))))</f>
        <v/>
      </c>
      <c r="AF964" s="911">
        <f>IF(E964="YES",IF(I964=1,C964,""),IF(I964=1,C964,IF(I964=2,C964,IF(I964=0,"",""))))</f>
        <v/>
      </c>
      <c r="AG964" s="192">
        <f>(C964*G964)+(C964*H964)+(C964*I964)</f>
        <v/>
      </c>
    </row>
    <row r="965">
      <c r="AA965" s="640">
        <f>IF(G965=0, IF(OR(H965&gt;0,F965&gt;0),C965*F965,""),"")</f>
        <v/>
      </c>
      <c r="AB965" s="640">
        <f>IF(G965&gt;=1,IF(F965&gt;1,C965*(F965-2),""),"")</f>
        <v/>
      </c>
      <c r="AD965" s="911">
        <f>IF(E965="YES",IF(G965=1,"",""),IF(G965=1,C965,IF(G965=2,C965,IF(G965=0,"",""))))</f>
        <v/>
      </c>
      <c r="AE965" s="911">
        <f>IF(E965="YES",IF(G965=1,"",IF(H965=1,C965,"")),IF(H965=1,C965,IF(H965=2,C965,IF(H965=0,"",""))))</f>
        <v/>
      </c>
      <c r="AF965" s="911">
        <f>IF(E965="YES",IF(I965=1,C965,""),IF(I965=1,C965,IF(I965=2,C965,IF(I965=0,"",""))))</f>
        <v/>
      </c>
      <c r="AG965" s="192">
        <f>(C965*G965)+(C965*H965)+(C965*I965)</f>
        <v/>
      </c>
    </row>
    <row r="966">
      <c r="AA966" s="640">
        <f>IF(G966=0, IF(OR(H966&gt;0,F966&gt;0),C966*F966,""),"")</f>
        <v/>
      </c>
      <c r="AB966" s="640">
        <f>IF(G966&gt;=1,IF(F966&gt;1,C966*(F966-2),""),"")</f>
        <v/>
      </c>
      <c r="AD966" s="911">
        <f>IF(E966="YES",IF(G966=1,"",""),IF(G966=1,C966,IF(G966=2,C966,IF(G966=0,"",""))))</f>
        <v/>
      </c>
      <c r="AE966" s="911">
        <f>IF(E966="YES",IF(G966=1,"",IF(H966=1,C966,"")),IF(H966=1,C966,IF(H966=2,C966,IF(H966=0,"",""))))</f>
        <v/>
      </c>
      <c r="AF966" s="911">
        <f>IF(E966="YES",IF(I966=1,C966,""),IF(I966=1,C966,IF(I966=2,C966,IF(I966=0,"",""))))</f>
        <v/>
      </c>
      <c r="AG966" s="192">
        <f>(C966*G966)+(C966*H966)+(C966*I966)</f>
        <v/>
      </c>
    </row>
    <row r="967">
      <c r="AA967" s="640">
        <f>IF(G967=0, IF(OR(H967&gt;0,F967&gt;0),C967*F967,""),"")</f>
        <v/>
      </c>
      <c r="AB967" s="640">
        <f>IF(G967&gt;=1,IF(F967&gt;1,C967*(F967-2),""),"")</f>
        <v/>
      </c>
      <c r="AD967" s="911">
        <f>IF(E967="YES",IF(G967=1,"",""),IF(G967=1,C967,IF(G967=2,C967,IF(G967=0,"",""))))</f>
        <v/>
      </c>
      <c r="AE967" s="911">
        <f>IF(E967="YES",IF(G967=1,"",IF(H967=1,C967,"")),IF(H967=1,C967,IF(H967=2,C967,IF(H967=0,"",""))))</f>
        <v/>
      </c>
      <c r="AF967" s="911">
        <f>IF(E967="YES",IF(I967=1,C967,""),IF(I967=1,C967,IF(I967=2,C967,IF(I967=0,"",""))))</f>
        <v/>
      </c>
      <c r="AG967" s="192">
        <f>(C967*G967)+(C967*H967)+(C967*I967)</f>
        <v/>
      </c>
    </row>
    <row r="968">
      <c r="AA968" s="640">
        <f>IF(G968=0, IF(OR(H968&gt;0,F968&gt;0),C968*F968,""),"")</f>
        <v/>
      </c>
      <c r="AB968" s="640">
        <f>IF(G968&gt;=1,IF(F968&gt;1,C968*(F968-2),""),"")</f>
        <v/>
      </c>
      <c r="AD968" s="911">
        <f>IF(E968="YES",IF(G968=1,"",""),IF(G968=1,C968,IF(G968=2,C968,IF(G968=0,"",""))))</f>
        <v/>
      </c>
      <c r="AE968" s="911">
        <f>IF(E968="YES",IF(G968=1,"",IF(H968=1,C968,"")),IF(H968=1,C968,IF(H968=2,C968,IF(H968=0,"",""))))</f>
        <v/>
      </c>
      <c r="AF968" s="911">
        <f>IF(E968="YES",IF(I968=1,C968,""),IF(I968=1,C968,IF(I968=2,C968,IF(I968=0,"",""))))</f>
        <v/>
      </c>
      <c r="AG968" s="192">
        <f>(C968*G968)+(C968*H968)+(C968*I968)</f>
        <v/>
      </c>
    </row>
    <row r="969">
      <c r="AA969" s="640">
        <f>IF(G969=0, IF(OR(H969&gt;0,F969&gt;0),C969*F969,""),"")</f>
        <v/>
      </c>
      <c r="AB969" s="640">
        <f>IF(G969&gt;=1,IF(F969&gt;1,C969*(F969-2),""),"")</f>
        <v/>
      </c>
      <c r="AD969" s="911">
        <f>IF(E969="YES",IF(G969=1,"",""),IF(G969=1,C969,IF(G969=2,C969,IF(G969=0,"",""))))</f>
        <v/>
      </c>
      <c r="AE969" s="911">
        <f>IF(E969="YES",IF(G969=1,"",IF(H969=1,C969,"")),IF(H969=1,C969,IF(H969=2,C969,IF(H969=0,"",""))))</f>
        <v/>
      </c>
      <c r="AF969" s="911">
        <f>IF(E969="YES",IF(I969=1,C969,""),IF(I969=1,C969,IF(I969=2,C969,IF(I969=0,"",""))))</f>
        <v/>
      </c>
      <c r="AG969" s="192">
        <f>(C969*G969)+(C969*H969)+(C969*I969)</f>
        <v/>
      </c>
    </row>
    <row r="970">
      <c r="AA970" s="640">
        <f>IF(G970=0, IF(OR(H970&gt;0,F970&gt;0),C970*F970,""),"")</f>
        <v/>
      </c>
      <c r="AB970" s="640">
        <f>IF(G970&gt;=1,IF(F970&gt;1,C970*(F970-2),""),"")</f>
        <v/>
      </c>
      <c r="AD970" s="911">
        <f>IF(E970="YES",IF(G970=1,"",""),IF(G970=1,C970,IF(G970=2,C970,IF(G970=0,"",""))))</f>
        <v/>
      </c>
      <c r="AE970" s="911">
        <f>IF(E970="YES",IF(G970=1,"",IF(H970=1,C970,"")),IF(H970=1,C970,IF(H970=2,C970,IF(H970=0,"",""))))</f>
        <v/>
      </c>
      <c r="AF970" s="911">
        <f>IF(E970="YES",IF(I970=1,C970,""),IF(I970=1,C970,IF(I970=2,C970,IF(I970=0,"",""))))</f>
        <v/>
      </c>
      <c r="AG970" s="192">
        <f>(C970*G970)+(C970*H970)+(C970*I970)</f>
        <v/>
      </c>
    </row>
    <row r="971">
      <c r="AA971" s="640">
        <f>IF(G971=0, IF(OR(H971&gt;0,F971&gt;0),C971*F971,""),"")</f>
        <v/>
      </c>
      <c r="AB971" s="640">
        <f>IF(G971&gt;=1,IF(F971&gt;1,C971*(F971-2),""),"")</f>
        <v/>
      </c>
      <c r="AD971" s="911">
        <f>IF(E971="YES",IF(G971=1,"",""),IF(G971=1,C971,IF(G971=2,C971,IF(G971=0,"",""))))</f>
        <v/>
      </c>
      <c r="AE971" s="911">
        <f>IF(E971="YES",IF(G971=1,"",IF(H971=1,C971,"")),IF(H971=1,C971,IF(H971=2,C971,IF(H971=0,"",""))))</f>
        <v/>
      </c>
      <c r="AF971" s="911">
        <f>IF(E971="YES",IF(I971=1,C971,""),IF(I971=1,C971,IF(I971=2,C971,IF(I971=0,"",""))))</f>
        <v/>
      </c>
      <c r="AG971" s="192">
        <f>(C971*G971)+(C971*H971)+(C971*I971)</f>
        <v/>
      </c>
    </row>
    <row r="972">
      <c r="AA972" s="640">
        <f>IF(G972=0, IF(OR(H972&gt;0,F972&gt;0),C972*F972,""),"")</f>
        <v/>
      </c>
      <c r="AB972" s="640">
        <f>IF(G972&gt;=1,IF(F972&gt;1,C972*(F972-2),""),"")</f>
        <v/>
      </c>
      <c r="AD972" s="911">
        <f>IF(E972="YES",IF(G972=1,"",""),IF(G972=1,C972,IF(G972=2,C972,IF(G972=0,"",""))))</f>
        <v/>
      </c>
      <c r="AE972" s="911">
        <f>IF(E972="YES",IF(G972=1,"",IF(H972=1,C972,"")),IF(H972=1,C972,IF(H972=2,C972,IF(H972=0,"",""))))</f>
        <v/>
      </c>
      <c r="AF972" s="911">
        <f>IF(E972="YES",IF(I972=1,C972,""),IF(I972=1,C972,IF(I972=2,C972,IF(I972=0,"",""))))</f>
        <v/>
      </c>
      <c r="AG972" s="192">
        <f>(C972*G972)+(C972*H972)+(C972*I972)</f>
        <v/>
      </c>
    </row>
    <row r="973">
      <c r="AA973" s="640">
        <f>IF(G973=0, IF(OR(H973&gt;0,F973&gt;0),C973*F973,""),"")</f>
        <v/>
      </c>
      <c r="AB973" s="640">
        <f>IF(G973&gt;=1,IF(F973&gt;1,C973*(F973-2),""),"")</f>
        <v/>
      </c>
      <c r="AD973" s="911">
        <f>IF(E973="YES",IF(G973=1,"",""),IF(G973=1,C973,IF(G973=2,C973,IF(G973=0,"",""))))</f>
        <v/>
      </c>
      <c r="AE973" s="911">
        <f>IF(E973="YES",IF(G973=1,"",IF(H973=1,C973,"")),IF(H973=1,C973,IF(H973=2,C973,IF(H973=0,"",""))))</f>
        <v/>
      </c>
      <c r="AF973" s="911">
        <f>IF(E973="YES",IF(I973=1,C973,""),IF(I973=1,C973,IF(I973=2,C973,IF(I973=0,"",""))))</f>
        <v/>
      </c>
      <c r="AG973" s="192">
        <f>(C973*G973)+(C973*H973)+(C973*I973)</f>
        <v/>
      </c>
    </row>
    <row r="974">
      <c r="AA974" s="640">
        <f>IF(G974=0, IF(OR(H974&gt;0,F974&gt;0),C974*F974,""),"")</f>
        <v/>
      </c>
      <c r="AB974" s="640">
        <f>IF(G974&gt;=1,IF(F974&gt;1,C974*(F974-2),""),"")</f>
        <v/>
      </c>
      <c r="AD974" s="911">
        <f>IF(E974="YES",IF(G974=1,"",""),IF(G974=1,C974,IF(G974=2,C974,IF(G974=0,"",""))))</f>
        <v/>
      </c>
      <c r="AE974" s="911">
        <f>IF(E974="YES",IF(G974=1,"",IF(H974=1,C974,"")),IF(H974=1,C974,IF(H974=2,C974,IF(H974=0,"",""))))</f>
        <v/>
      </c>
      <c r="AF974" s="911">
        <f>IF(E974="YES",IF(I974=1,C974,""),IF(I974=1,C974,IF(I974=2,C974,IF(I974=0,"",""))))</f>
        <v/>
      </c>
      <c r="AG974" s="192">
        <f>(C974*G974)+(C974*H974)+(C974*I974)</f>
        <v/>
      </c>
    </row>
    <row r="975">
      <c r="AA975" s="640">
        <f>IF(G975=0, IF(OR(H975&gt;0,F975&gt;0),C975*F975,""),"")</f>
        <v/>
      </c>
      <c r="AB975" s="640">
        <f>IF(G975&gt;=1,IF(F975&gt;1,C975*(F975-2),""),"")</f>
        <v/>
      </c>
      <c r="AD975" s="911">
        <f>IF(E975="YES",IF(G975=1,"",""),IF(G975=1,C975,IF(G975=2,C975,IF(G975=0,"",""))))</f>
        <v/>
      </c>
      <c r="AE975" s="911">
        <f>IF(E975="YES",IF(G975=1,"",IF(H975=1,C975,"")),IF(H975=1,C975,IF(H975=2,C975,IF(H975=0,"",""))))</f>
        <v/>
      </c>
      <c r="AF975" s="911">
        <f>IF(E975="YES",IF(I975=1,C975,""),IF(I975=1,C975,IF(I975=2,C975,IF(I975=0,"",""))))</f>
        <v/>
      </c>
      <c r="AG975" s="192">
        <f>(C975*G975)+(C975*H975)+(C975*I975)</f>
        <v/>
      </c>
    </row>
    <row r="976">
      <c r="AA976" s="640">
        <f>IF(G976=0, IF(OR(H976&gt;0,F976&gt;0),C976*F976,""),"")</f>
        <v/>
      </c>
      <c r="AB976" s="640">
        <f>IF(G976&gt;=1,IF(F976&gt;1,C976*(F976-2),""),"")</f>
        <v/>
      </c>
      <c r="AD976" s="911">
        <f>IF(E976="YES",IF(G976=1,"",""),IF(G976=1,C976,IF(G976=2,C976,IF(G976=0,"",""))))</f>
        <v/>
      </c>
      <c r="AE976" s="911">
        <f>IF(E976="YES",IF(G976=1,"",IF(H976=1,C976,"")),IF(H976=1,C976,IF(H976=2,C976,IF(H976=0,"",""))))</f>
        <v/>
      </c>
      <c r="AF976" s="911">
        <f>IF(E976="YES",IF(I976=1,C976,""),IF(I976=1,C976,IF(I976=2,C976,IF(I976=0,"",""))))</f>
        <v/>
      </c>
      <c r="AG976" s="192">
        <f>(C976*G976)+(C976*H976)+(C976*I976)</f>
        <v/>
      </c>
    </row>
    <row r="977">
      <c r="AA977" s="640">
        <f>IF(G977=0, IF(OR(H977&gt;0,F977&gt;0),C977*F977,""),"")</f>
        <v/>
      </c>
      <c r="AB977" s="640">
        <f>IF(G977&gt;=1,IF(F977&gt;1,C977*(F977-2),""),"")</f>
        <v/>
      </c>
      <c r="AD977" s="911">
        <f>IF(E977="YES",IF(G977=1,"",""),IF(G977=1,C977,IF(G977=2,C977,IF(G977=0,"",""))))</f>
        <v/>
      </c>
      <c r="AE977" s="911">
        <f>IF(E977="YES",IF(G977=1,"",IF(H977=1,C977,"")),IF(H977=1,C977,IF(H977=2,C977,IF(H977=0,"",""))))</f>
        <v/>
      </c>
      <c r="AF977" s="911">
        <f>IF(E977="YES",IF(I977=1,C977,""),IF(I977=1,C977,IF(I977=2,C977,IF(I977=0,"",""))))</f>
        <v/>
      </c>
      <c r="AG977" s="192">
        <f>(C977*G977)+(C977*H977)+(C977*I977)</f>
        <v/>
      </c>
    </row>
    <row r="978">
      <c r="AA978" s="640">
        <f>IF(G978=0, IF(OR(H978&gt;0,F978&gt;0),C978*F978,""),"")</f>
        <v/>
      </c>
      <c r="AB978" s="640">
        <f>IF(G978&gt;=1,IF(F978&gt;1,C978*(F978-2),""),"")</f>
        <v/>
      </c>
      <c r="AD978" s="911">
        <f>IF(E978="YES",IF(G978=1,"",""),IF(G978=1,C978,IF(G978=2,C978,IF(G978=0,"",""))))</f>
        <v/>
      </c>
      <c r="AE978" s="911">
        <f>IF(E978="YES",IF(G978=1,"",IF(H978=1,C978,"")),IF(H978=1,C978,IF(H978=2,C978,IF(H978=0,"",""))))</f>
        <v/>
      </c>
      <c r="AF978" s="911">
        <f>IF(E978="YES",IF(I978=1,C978,""),IF(I978=1,C978,IF(I978=2,C978,IF(I978=0,"",""))))</f>
        <v/>
      </c>
      <c r="AG978" s="192">
        <f>(C978*G978)+(C978*H978)+(C978*I978)</f>
        <v/>
      </c>
    </row>
    <row r="979">
      <c r="AA979" s="640">
        <f>IF(G979=0, IF(OR(H979&gt;0,F979&gt;0),C979*F979,""),"")</f>
        <v/>
      </c>
      <c r="AB979" s="640">
        <f>IF(G979&gt;=1,IF(F979&gt;1,C979*(F979-2),""),"")</f>
        <v/>
      </c>
      <c r="AD979" s="911">
        <f>IF(E979="YES",IF(G979=1,"",""),IF(G979=1,C979,IF(G979=2,C979,IF(G979=0,"",""))))</f>
        <v/>
      </c>
      <c r="AE979" s="911">
        <f>IF(E979="YES",IF(G979=1,"",IF(H979=1,C979,"")),IF(H979=1,C979,IF(H979=2,C979,IF(H979=0,"",""))))</f>
        <v/>
      </c>
      <c r="AF979" s="911">
        <f>IF(E979="YES",IF(I979=1,C979,""),IF(I979=1,C979,IF(I979=2,C979,IF(I979=0,"",""))))</f>
        <v/>
      </c>
      <c r="AG979" s="192">
        <f>(C979*G979)+(C979*H979)+(C979*I979)</f>
        <v/>
      </c>
    </row>
    <row r="980">
      <c r="AA980" s="640">
        <f>IF(G980=0, IF(OR(H980&gt;0,F980&gt;0),C980*F980,""),"")</f>
        <v/>
      </c>
      <c r="AB980" s="640">
        <f>IF(G980&gt;=1,IF(F980&gt;1,C980*(F980-2),""),"")</f>
        <v/>
      </c>
      <c r="AD980" s="911">
        <f>IF(E980="YES",IF(G980=1,"",""),IF(G980=1,C980,IF(G980=2,C980,IF(G980=0,"",""))))</f>
        <v/>
      </c>
      <c r="AE980" s="911">
        <f>IF(E980="YES",IF(G980=1,"",IF(H980=1,C980,"")),IF(H980=1,C980,IF(H980=2,C980,IF(H980=0,"",""))))</f>
        <v/>
      </c>
      <c r="AF980" s="911">
        <f>IF(E980="YES",IF(I980=1,C980,""),IF(I980=1,C980,IF(I980=2,C980,IF(I980=0,"",""))))</f>
        <v/>
      </c>
      <c r="AG980" s="192">
        <f>(C980*G980)+(C980*H980)+(C980*I980)</f>
        <v/>
      </c>
    </row>
    <row r="981">
      <c r="AA981" s="640">
        <f>IF(G981=0, IF(OR(H981&gt;0,F981&gt;0),C981*F981,""),"")</f>
        <v/>
      </c>
      <c r="AB981" s="640">
        <f>IF(G981&gt;=1,IF(F981&gt;1,C981*(F981-2),""),"")</f>
        <v/>
      </c>
      <c r="AD981" s="911">
        <f>IF(E981="YES",IF(G981=1,"",""),IF(G981=1,C981,IF(G981=2,C981,IF(G981=0,"",""))))</f>
        <v/>
      </c>
      <c r="AE981" s="911">
        <f>IF(E981="YES",IF(G981=1,"",IF(H981=1,C981,"")),IF(H981=1,C981,IF(H981=2,C981,IF(H981=0,"",""))))</f>
        <v/>
      </c>
      <c r="AF981" s="911">
        <f>IF(E981="YES",IF(I981=1,C981,""),IF(I981=1,C981,IF(I981=2,C981,IF(I981=0,"",""))))</f>
        <v/>
      </c>
      <c r="AG981" s="192">
        <f>(C981*G981)+(C981*H981)+(C981*I981)</f>
        <v/>
      </c>
    </row>
    <row r="982">
      <c r="AA982" s="640">
        <f>IF(G982=0, IF(OR(H982&gt;0,F982&gt;0),C982*F982,""),"")</f>
        <v/>
      </c>
      <c r="AB982" s="640">
        <f>IF(G982&gt;=1,IF(F982&gt;1,C982*(F982-2),""),"")</f>
        <v/>
      </c>
      <c r="AD982" s="911">
        <f>IF(E982="YES",IF(G982=1,"",""),IF(G982=1,C982,IF(G982=2,C982,IF(G982=0,"",""))))</f>
        <v/>
      </c>
      <c r="AE982" s="911">
        <f>IF(E982="YES",IF(G982=1,"",IF(H982=1,C982,"")),IF(H982=1,C982,IF(H982=2,C982,IF(H982=0,"",""))))</f>
        <v/>
      </c>
      <c r="AF982" s="911">
        <f>IF(E982="YES",IF(I982=1,C982,""),IF(I982=1,C982,IF(I982=2,C982,IF(I982=0,"",""))))</f>
        <v/>
      </c>
      <c r="AG982" s="192">
        <f>(C982*G982)+(C982*H982)+(C982*I982)</f>
        <v/>
      </c>
    </row>
    <row r="983">
      <c r="AA983" s="640">
        <f>IF(G983=0, IF(OR(H983&gt;0,F983&gt;0),C983*F983,""),"")</f>
        <v/>
      </c>
      <c r="AB983" s="640">
        <f>IF(G983&gt;=1,IF(F983&gt;1,C983*(F983-2),""),"")</f>
        <v/>
      </c>
      <c r="AD983" s="911">
        <f>IF(E983="YES",IF(G983=1,"",""),IF(G983=1,C983,IF(G983=2,C983,IF(G983=0,"",""))))</f>
        <v/>
      </c>
      <c r="AE983" s="911">
        <f>IF(E983="YES",IF(G983=1,"",IF(H983=1,C983,"")),IF(H983=1,C983,IF(H983=2,C983,IF(H983=0,"",""))))</f>
        <v/>
      </c>
      <c r="AF983" s="911">
        <f>IF(E983="YES",IF(I983=1,C983,""),IF(I983=1,C983,IF(I983=2,C983,IF(I983=0,"",""))))</f>
        <v/>
      </c>
      <c r="AG983" s="192">
        <f>(C983*G983)+(C983*H983)+(C983*I983)</f>
        <v/>
      </c>
    </row>
    <row r="984">
      <c r="AA984" s="640">
        <f>IF(G984=0, IF(OR(H984&gt;0,F984&gt;0),C984*F984,""),"")</f>
        <v/>
      </c>
      <c r="AB984" s="640">
        <f>IF(G984&gt;=1,IF(F984&gt;1,C984*(F984-2),""),"")</f>
        <v/>
      </c>
      <c r="AD984" s="911">
        <f>IF(E984="YES",IF(G984=1,"",""),IF(G984=1,C984,IF(G984=2,C984,IF(G984=0,"",""))))</f>
        <v/>
      </c>
      <c r="AE984" s="911">
        <f>IF(E984="YES",IF(G984=1,"",IF(H984=1,C984,"")),IF(H984=1,C984,IF(H984=2,C984,IF(H984=0,"",""))))</f>
        <v/>
      </c>
      <c r="AF984" s="911">
        <f>IF(E984="YES",IF(I984=1,C984,""),IF(I984=1,C984,IF(I984=2,C984,IF(I984=0,"",""))))</f>
        <v/>
      </c>
      <c r="AG984" s="192">
        <f>(C984*G984)+(C984*H984)+(C984*I984)</f>
        <v/>
      </c>
    </row>
    <row r="985">
      <c r="AA985" s="640">
        <f>IF(G985=0, IF(OR(H985&gt;0,F985&gt;0),C985*F985,""),"")</f>
        <v/>
      </c>
      <c r="AB985" s="640">
        <f>IF(G985&gt;=1,IF(F985&gt;1,C985*(F985-2),""),"")</f>
        <v/>
      </c>
      <c r="AD985" s="911">
        <f>IF(E985="YES",IF(G985=1,"",""),IF(G985=1,C985,IF(G985=2,C985,IF(G985=0,"",""))))</f>
        <v/>
      </c>
      <c r="AE985" s="911">
        <f>IF(E985="YES",IF(G985=1,"",IF(H985=1,C985,"")),IF(H985=1,C985,IF(H985=2,C985,IF(H985=0,"",""))))</f>
        <v/>
      </c>
      <c r="AF985" s="911">
        <f>IF(E985="YES",IF(I985=1,C985,""),IF(I985=1,C985,IF(I985=2,C985,IF(I985=0,"",""))))</f>
        <v/>
      </c>
      <c r="AG985" s="192">
        <f>(C985*G985)+(C985*H985)+(C985*I985)</f>
        <v/>
      </c>
    </row>
    <row r="986">
      <c r="AA986" s="640">
        <f>IF(G986=0, IF(OR(H986&gt;0,F986&gt;0),C986*F986,""),"")</f>
        <v/>
      </c>
      <c r="AB986" s="640">
        <f>IF(G986&gt;=1,IF(F986&gt;1,C986*(F986-2),""),"")</f>
        <v/>
      </c>
      <c r="AD986" s="911">
        <f>IF(E986="YES",IF(G986=1,"",""),IF(G986=1,C986,IF(G986=2,C986,IF(G986=0,"",""))))</f>
        <v/>
      </c>
      <c r="AE986" s="911">
        <f>IF(E986="YES",IF(G986=1,"",IF(H986=1,C986,"")),IF(H986=1,C986,IF(H986=2,C986,IF(H986=0,"",""))))</f>
        <v/>
      </c>
      <c r="AF986" s="911">
        <f>IF(E986="YES",IF(I986=1,C986,""),IF(I986=1,C986,IF(I986=2,C986,IF(I986=0,"",""))))</f>
        <v/>
      </c>
      <c r="AG986" s="192">
        <f>(C986*G986)+(C986*H986)+(C986*I986)</f>
        <v/>
      </c>
    </row>
    <row r="987">
      <c r="AA987" s="640">
        <f>IF(G987=0, IF(OR(H987&gt;0,F987&gt;0),C987*F987,""),"")</f>
        <v/>
      </c>
      <c r="AB987" s="640">
        <f>IF(G987&gt;=1,IF(F987&gt;1,C987*(F987-2),""),"")</f>
        <v/>
      </c>
      <c r="AD987" s="911">
        <f>IF(E987="YES",IF(G987=1,"",""),IF(G987=1,C987,IF(G987=2,C987,IF(G987=0,"",""))))</f>
        <v/>
      </c>
      <c r="AE987" s="911">
        <f>IF(E987="YES",IF(G987=1,"",IF(H987=1,C987,"")),IF(H987=1,C987,IF(H987=2,C987,IF(H987=0,"",""))))</f>
        <v/>
      </c>
      <c r="AF987" s="911">
        <f>IF(E987="YES",IF(I987=1,C987,""),IF(I987=1,C987,IF(I987=2,C987,IF(I987=0,"",""))))</f>
        <v/>
      </c>
      <c r="AG987" s="192">
        <f>(C987*G987)+(C987*H987)+(C987*I987)</f>
        <v/>
      </c>
    </row>
    <row r="988">
      <c r="AA988" s="640">
        <f>IF(G988=0, IF(OR(H988&gt;0,F988&gt;0),C988*F988,""),"")</f>
        <v/>
      </c>
      <c r="AB988" s="640">
        <f>IF(G988&gt;=1,IF(F988&gt;1,C988*(F988-2),""),"")</f>
        <v/>
      </c>
      <c r="AD988" s="911">
        <f>IF(E988="YES",IF(G988=1,"",""),IF(G988=1,C988,IF(G988=2,C988,IF(G988=0,"",""))))</f>
        <v/>
      </c>
      <c r="AE988" s="911">
        <f>IF(E988="YES",IF(G988=1,"",IF(H988=1,C988,"")),IF(H988=1,C988,IF(H988=2,C988,IF(H988=0,"",""))))</f>
        <v/>
      </c>
      <c r="AF988" s="911">
        <f>IF(E988="YES",IF(I988=1,C988,""),IF(I988=1,C988,IF(I988=2,C988,IF(I988=0,"",""))))</f>
        <v/>
      </c>
      <c r="AG988" s="192">
        <f>(C988*G988)+(C988*H988)+(C988*I988)</f>
        <v/>
      </c>
    </row>
    <row r="989">
      <c r="AA989" s="640">
        <f>IF(G989=0, IF(OR(H989&gt;0,F989&gt;0),C989*F989,""),"")</f>
        <v/>
      </c>
      <c r="AB989" s="640">
        <f>IF(G989&gt;=1,IF(F989&gt;1,C989*(F989-2),""),"")</f>
        <v/>
      </c>
      <c r="AD989" s="911">
        <f>IF(E989="YES",IF(G989=1,"",""),IF(G989=1,C989,IF(G989=2,C989,IF(G989=0,"",""))))</f>
        <v/>
      </c>
      <c r="AE989" s="911">
        <f>IF(E989="YES",IF(G989=1,"",IF(H989=1,C989,"")),IF(H989=1,C989,IF(H989=2,C989,IF(H989=0,"",""))))</f>
        <v/>
      </c>
      <c r="AF989" s="911">
        <f>IF(E989="YES",IF(I989=1,C989,""),IF(I989=1,C989,IF(I989=2,C989,IF(I989=0,"",""))))</f>
        <v/>
      </c>
      <c r="AG989" s="192">
        <f>(C989*G989)+(C989*H989)+(C989*I989)</f>
        <v/>
      </c>
    </row>
    <row r="990">
      <c r="AA990" s="640">
        <f>IF(G990=0, IF(OR(H990&gt;0,F990&gt;0),C990*F990,""),"")</f>
        <v/>
      </c>
      <c r="AB990" s="640">
        <f>IF(G990&gt;=1,IF(F990&gt;1,C990*(F990-2),""),"")</f>
        <v/>
      </c>
      <c r="AD990" s="911">
        <f>IF(E990="YES",IF(G990=1,"",""),IF(G990=1,C990,IF(G990=2,C990,IF(G990=0,"",""))))</f>
        <v/>
      </c>
      <c r="AE990" s="911">
        <f>IF(E990="YES",IF(G990=1,"",IF(H990=1,C990,"")),IF(H990=1,C990,IF(H990=2,C990,IF(H990=0,"",""))))</f>
        <v/>
      </c>
      <c r="AF990" s="911">
        <f>IF(E990="YES",IF(I990=1,C990,""),IF(I990=1,C990,IF(I990=2,C990,IF(I990=0,"",""))))</f>
        <v/>
      </c>
      <c r="AG990" s="192">
        <f>(C990*G990)+(C990*H990)+(C990*I990)</f>
        <v/>
      </c>
    </row>
    <row r="991">
      <c r="AA991" s="640">
        <f>IF(G991=0, IF(OR(H991&gt;0,F991&gt;0),C991*F991,""),"")</f>
        <v/>
      </c>
      <c r="AB991" s="640">
        <f>IF(G991&gt;=1,IF(F991&gt;1,C991*(F991-2),""),"")</f>
        <v/>
      </c>
      <c r="AD991" s="911">
        <f>IF(E991="YES",IF(G991=1,"",""),IF(G991=1,C991,IF(G991=2,C991,IF(G991=0,"",""))))</f>
        <v/>
      </c>
      <c r="AE991" s="911">
        <f>IF(E991="YES",IF(G991=1,"",IF(H991=1,C991,"")),IF(H991=1,C991,IF(H991=2,C991,IF(H991=0,"",""))))</f>
        <v/>
      </c>
      <c r="AF991" s="911">
        <f>IF(E991="YES",IF(I991=1,C991,""),IF(I991=1,C991,IF(I991=2,C991,IF(I991=0,"",""))))</f>
        <v/>
      </c>
      <c r="AG991" s="192">
        <f>(C991*G991)+(C991*H991)+(C991*I991)</f>
        <v/>
      </c>
    </row>
    <row r="992">
      <c r="AA992" s="640">
        <f>IF(G992=0, IF(OR(H992&gt;0,F992&gt;0),C992*F992,""),"")</f>
        <v/>
      </c>
      <c r="AB992" s="640">
        <f>IF(G992&gt;=1,IF(F992&gt;1,C992*(F992-2),""),"")</f>
        <v/>
      </c>
      <c r="AD992" s="911">
        <f>IF(E992="YES",IF(G992=1,"",""),IF(G992=1,C992,IF(G992=2,C992,IF(G992=0,"",""))))</f>
        <v/>
      </c>
      <c r="AE992" s="911">
        <f>IF(E992="YES",IF(G992=1,"",IF(H992=1,C992,"")),IF(H992=1,C992,IF(H992=2,C992,IF(H992=0,"",""))))</f>
        <v/>
      </c>
      <c r="AF992" s="911">
        <f>IF(E992="YES",IF(I992=1,C992,""),IF(I992=1,C992,IF(I992=2,C992,IF(I992=0,"",""))))</f>
        <v/>
      </c>
      <c r="AG992" s="192">
        <f>(C992*G992)+(C992*H992)+(C992*I992)</f>
        <v/>
      </c>
    </row>
    <row r="993">
      <c r="AA993" s="640">
        <f>IF(G993=0, IF(OR(H993&gt;0,F993&gt;0),C993*F993,""),"")</f>
        <v/>
      </c>
      <c r="AB993" s="640">
        <f>IF(G993&gt;=1,IF(F993&gt;1,C993*(F993-2),""),"")</f>
        <v/>
      </c>
      <c r="AD993" s="911">
        <f>IF(E993="YES",IF(G993=1,"",""),IF(G993=1,C993,IF(G993=2,C993,IF(G993=0,"",""))))</f>
        <v/>
      </c>
      <c r="AE993" s="911">
        <f>IF(E993="YES",IF(G993=1,"",IF(H993=1,C993,"")),IF(H993=1,C993,IF(H993=2,C993,IF(H993=0,"",""))))</f>
        <v/>
      </c>
      <c r="AF993" s="911">
        <f>IF(E993="YES",IF(I993=1,C993,""),IF(I993=1,C993,IF(I993=2,C993,IF(I993=0,"",""))))</f>
        <v/>
      </c>
      <c r="AG993" s="192">
        <f>(C993*G993)+(C993*H993)+(C993*I993)</f>
        <v/>
      </c>
    </row>
    <row r="994">
      <c r="AA994" s="640">
        <f>IF(G994=0, IF(OR(H994&gt;0,F994&gt;0),C994*F994,""),"")</f>
        <v/>
      </c>
      <c r="AB994" s="640">
        <f>IF(G994&gt;=1,IF(F994&gt;1,C994*(F994-2),""),"")</f>
        <v/>
      </c>
      <c r="AD994" s="911">
        <f>IF(E994="YES",IF(G994=1,"",""),IF(G994=1,C994,IF(G994=2,C994,IF(G994=0,"",""))))</f>
        <v/>
      </c>
      <c r="AE994" s="911">
        <f>IF(E994="YES",IF(G994=1,"",IF(H994=1,C994,"")),IF(H994=1,C994,IF(H994=2,C994,IF(H994=0,"",""))))</f>
        <v/>
      </c>
      <c r="AF994" s="911">
        <f>IF(E994="YES",IF(I994=1,C994,""),IF(I994=1,C994,IF(I994=2,C994,IF(I994=0,"",""))))</f>
        <v/>
      </c>
      <c r="AG994" s="192">
        <f>(C994*G994)+(C994*H994)+(C994*I994)</f>
        <v/>
      </c>
    </row>
    <row r="995">
      <c r="AA995" s="640">
        <f>IF(G995=0, IF(OR(H995&gt;0,F995&gt;0),C995*F995,""),"")</f>
        <v/>
      </c>
      <c r="AB995" s="640">
        <f>IF(G995&gt;=1,IF(F995&gt;1,C995*(F995-2),""),"")</f>
        <v/>
      </c>
      <c r="AD995" s="911">
        <f>IF(E995="YES",IF(G995=1,"",""),IF(G995=1,C995,IF(G995=2,C995,IF(G995=0,"",""))))</f>
        <v/>
      </c>
      <c r="AE995" s="911">
        <f>IF(E995="YES",IF(G995=1,"",IF(H995=1,C995,"")),IF(H995=1,C995,IF(H995=2,C995,IF(H995=0,"",""))))</f>
        <v/>
      </c>
      <c r="AF995" s="911">
        <f>IF(E995="YES",IF(I995=1,C995,""),IF(I995=1,C995,IF(I995=2,C995,IF(I995=0,"",""))))</f>
        <v/>
      </c>
      <c r="AG995" s="192">
        <f>(C995*G995)+(C995*H995)+(C995*I995)</f>
        <v/>
      </c>
    </row>
    <row r="996">
      <c r="AA996" s="640">
        <f>IF(G996=0, IF(OR(H996&gt;0,F996&gt;0),C996*F996,""),"")</f>
        <v/>
      </c>
      <c r="AB996" s="640">
        <f>IF(G996&gt;=1,IF(F996&gt;1,C996*(F996-2),""),"")</f>
        <v/>
      </c>
      <c r="AD996" s="911">
        <f>IF(E996="YES",IF(G996=1,"",""),IF(G996=1,C996,IF(G996=2,C996,IF(G996=0,"",""))))</f>
        <v/>
      </c>
      <c r="AE996" s="911">
        <f>IF(E996="YES",IF(G996=1,"",IF(H996=1,C996,"")),IF(H996=1,C996,IF(H996=2,C996,IF(H996=0,"",""))))</f>
        <v/>
      </c>
      <c r="AF996" s="911">
        <f>IF(E996="YES",IF(I996=1,C996,""),IF(I996=1,C996,IF(I996=2,C996,IF(I996=0,"",""))))</f>
        <v/>
      </c>
      <c r="AG996" s="192">
        <f>(C996*G996)+(C996*H996)+(C996*I996)</f>
        <v/>
      </c>
    </row>
    <row r="997">
      <c r="AA997" s="640">
        <f>IF(G997=0, IF(OR(H997&gt;0,F997&gt;0),C997*F997,""),"")</f>
        <v/>
      </c>
      <c r="AB997" s="640">
        <f>IF(G997&gt;=1,IF(F997&gt;1,C997*(F997-2),""),"")</f>
        <v/>
      </c>
      <c r="AD997" s="911">
        <f>IF(E997="YES",IF(G997=1,"",""),IF(G997=1,C997,IF(G997=2,C997,IF(G997=0,"",""))))</f>
        <v/>
      </c>
      <c r="AE997" s="911">
        <f>IF(E997="YES",IF(G997=1,"",IF(H997=1,C997,"")),IF(H997=1,C997,IF(H997=2,C997,IF(H997=0,"",""))))</f>
        <v/>
      </c>
      <c r="AF997" s="911">
        <f>IF(E997="YES",IF(I997=1,C997,""),IF(I997=1,C997,IF(I997=2,C997,IF(I997=0,"",""))))</f>
        <v/>
      </c>
      <c r="AG997" s="192">
        <f>(C997*G997)+(C997*H997)+(C997*I997)</f>
        <v/>
      </c>
    </row>
    <row r="998">
      <c r="AA998" s="640">
        <f>IF(G998=0, IF(OR(H998&gt;0,F998&gt;0),C998*F998,""),"")</f>
        <v/>
      </c>
      <c r="AB998" s="640">
        <f>IF(G998&gt;=1,IF(F998&gt;1,C998*(F998-2),""),"")</f>
        <v/>
      </c>
      <c r="AD998" s="911">
        <f>IF(E998="YES",IF(G998=1,"",""),IF(G998=1,C998,IF(G998=2,C998,IF(G998=0,"",""))))</f>
        <v/>
      </c>
      <c r="AE998" s="911">
        <f>IF(E998="YES",IF(G998=1,"",IF(H998=1,C998,"")),IF(H998=1,C998,IF(H998=2,C998,IF(H998=0,"",""))))</f>
        <v/>
      </c>
      <c r="AF998" s="911">
        <f>IF(E998="YES",IF(I998=1,C998,""),IF(I998=1,C998,IF(I998=2,C998,IF(I998=0,"",""))))</f>
        <v/>
      </c>
      <c r="AG998" s="192">
        <f>(C998*G998)+(C998*H998)+(C998*I998)</f>
        <v/>
      </c>
    </row>
    <row r="999">
      <c r="AA999" s="640">
        <f>IF(G999=0, IF(OR(H999&gt;0,F999&gt;0),C999*F999,""),"")</f>
        <v/>
      </c>
      <c r="AB999" s="640">
        <f>IF(G999&gt;=1,IF(F999&gt;1,C999*(F999-2),""),"")</f>
        <v/>
      </c>
      <c r="AD999" s="911">
        <f>IF(E999="YES",IF(G999=1,"",""),IF(G999=1,C999,IF(G999=2,C999,IF(G999=0,"",""))))</f>
        <v/>
      </c>
      <c r="AE999" s="911">
        <f>IF(E999="YES",IF(G999=1,"",IF(H999=1,C999,"")),IF(H999=1,C999,IF(H999=2,C999,IF(H999=0,"",""))))</f>
        <v/>
      </c>
      <c r="AF999" s="911">
        <f>IF(E999="YES",IF(I999=1,C999,""),IF(I999=1,C999,IF(I999=2,C999,IF(I999=0,"",""))))</f>
        <v/>
      </c>
      <c r="AG999" s="192">
        <f>(C999*G999)+(C999*H999)+(C999*I999)</f>
        <v/>
      </c>
    </row>
    <row r="1000">
      <c r="AA1000" s="640">
        <f>IF(G1000=0, IF(OR(H1000&gt;0,F1000&gt;0),C1000*F1000,""),"")</f>
        <v/>
      </c>
      <c r="AB1000" s="640">
        <f>IF(G1000&gt;=1,IF(F1000&gt;1,C1000*(F1000-2),""),"")</f>
        <v/>
      </c>
      <c r="AD1000" s="911">
        <f>IF(E1000="YES",IF(G1000=1,"",""),IF(G1000=1,C1000,IF(G1000=2,C1000,IF(G1000=0,"",""))))</f>
        <v/>
      </c>
      <c r="AE1000" s="911">
        <f>IF(E1000="YES",IF(G1000=1,"",IF(H1000=1,C1000,"")),IF(H1000=1,C1000,IF(H1000=2,C1000,IF(H1000=0,"",""))))</f>
        <v/>
      </c>
      <c r="AF1000" s="911">
        <f>IF(E1000="YES",IF(I1000=1,C1000,""),IF(I1000=1,C1000,IF(I1000=2,C1000,IF(I1000=0,"",""))))</f>
        <v/>
      </c>
      <c r="AG1000" s="192">
        <f>(C1000*G1000)+(C1000*H1000)+(C1000*I1000)</f>
        <v/>
      </c>
    </row>
    <row r="1001">
      <c r="AA1001" s="640">
        <f>IF(G1001=0, IF(OR(H1001&gt;0,F1001&gt;0),C1001*F1001,""),"")</f>
        <v/>
      </c>
      <c r="AB1001" s="640">
        <f>IF(G1001&gt;=1,IF(F1001&gt;1,C1001*(F1001-2),""),"")</f>
        <v/>
      </c>
      <c r="AD1001" s="911">
        <f>IF(E1001="YES",IF(G1001=1,"",""),IF(G1001=1,C1001,IF(G1001=2,C1001,IF(G1001=0,"",""))))</f>
        <v/>
      </c>
      <c r="AE1001" s="911">
        <f>IF(E1001="YES",IF(G1001=1,"",IF(H1001=1,C1001,"")),IF(H1001=1,C1001,IF(H1001=2,C1001,IF(H1001=0,"",""))))</f>
        <v/>
      </c>
      <c r="AF1001" s="911">
        <f>IF(E1001="YES",IF(I1001=1,C1001,""),IF(I1001=1,C1001,IF(I1001=2,C1001,IF(I1001=0,"",""))))</f>
        <v/>
      </c>
      <c r="AG1001" s="192">
        <f>(C1001*G1001)+(C1001*H1001)+(C1001*I1001)</f>
        <v/>
      </c>
    </row>
    <row r="1002">
      <c r="AA1002" s="640">
        <f>IF(G1002=0, IF(OR(H1002&gt;0,F1002&gt;0),C1002*F1002,""),"")</f>
        <v/>
      </c>
      <c r="AB1002" s="640">
        <f>IF(G1002&gt;=1,IF(F1002&gt;1,C1002*(F1002-2),""),"")</f>
        <v/>
      </c>
      <c r="AD1002" s="911">
        <f>IF(E1002="YES",IF(G1002=1,"",""),IF(G1002=1,C1002,IF(G1002=2,C1002,IF(G1002=0,"",""))))</f>
        <v/>
      </c>
      <c r="AE1002" s="911">
        <f>IF(E1002="YES",IF(G1002=1,"",IF(H1002=1,C1002,"")),IF(H1002=1,C1002,IF(H1002=2,C1002,IF(H1002=0,"",""))))</f>
        <v/>
      </c>
      <c r="AF1002" s="911">
        <f>IF(E1002="YES",IF(I1002=1,C1002,""),IF(I1002=1,C1002,IF(I1002=2,C1002,IF(I1002=0,"",""))))</f>
        <v/>
      </c>
      <c r="AG1002" s="192">
        <f>(C1002*G1002)+(C1002*H1002)+(C1002*I1002)</f>
        <v/>
      </c>
    </row>
    <row r="1003">
      <c r="AA1003" s="640">
        <f>IF(G1003=0, IF(OR(H1003&gt;0,F1003&gt;0),C1003*F1003,""),"")</f>
        <v/>
      </c>
      <c r="AB1003" s="640">
        <f>IF(G1003&gt;=1,IF(F1003&gt;1,C1003*(F1003-2),""),"")</f>
        <v/>
      </c>
      <c r="AD1003" s="911">
        <f>IF(E1003="YES",IF(G1003=1,"",""),IF(G1003=1,C1003,IF(G1003=2,C1003,IF(G1003=0,"",""))))</f>
        <v/>
      </c>
      <c r="AE1003" s="911">
        <f>IF(E1003="YES",IF(G1003=1,"",IF(H1003=1,C1003,"")),IF(H1003=1,C1003,IF(H1003=2,C1003,IF(H1003=0,"",""))))</f>
        <v/>
      </c>
      <c r="AF1003" s="911">
        <f>IF(E1003="YES",IF(I1003=1,C1003,""),IF(I1003=1,C1003,IF(I1003=2,C1003,IF(I1003=0,"",""))))</f>
        <v/>
      </c>
      <c r="AG1003" s="192">
        <f>(C1003*G1003)+(C1003*H1003)+(C1003*I1003)</f>
        <v/>
      </c>
    </row>
    <row r="1004">
      <c r="AA1004" s="640">
        <f>IF(G1004=0, IF(OR(H1004&gt;0,F1004&gt;0),C1004*F1004,""),"")</f>
        <v/>
      </c>
      <c r="AB1004" s="640">
        <f>IF(G1004&gt;=1,IF(F1004&gt;1,C1004*(F1004-2),""),"")</f>
        <v/>
      </c>
      <c r="AD1004" s="911">
        <f>IF(E1004="YES",IF(G1004=1,"",""),IF(G1004=1,C1004,IF(G1004=2,C1004,IF(G1004=0,"",""))))</f>
        <v/>
      </c>
      <c r="AE1004" s="911">
        <f>IF(E1004="YES",IF(G1004=1,"",IF(H1004=1,C1004,"")),IF(H1004=1,C1004,IF(H1004=2,C1004,IF(H1004=0,"",""))))</f>
        <v/>
      </c>
      <c r="AF1004" s="911">
        <f>IF(E1004="YES",IF(I1004=1,C1004,""),IF(I1004=1,C1004,IF(I1004=2,C1004,IF(I1004=0,"",""))))</f>
        <v/>
      </c>
      <c r="AG1004" s="192">
        <f>(C1004*G1004)+(C1004*H1004)+(C1004*I1004)</f>
        <v/>
      </c>
    </row>
    <row r="1005">
      <c r="AA1005" s="640">
        <f>IF(G1005=0, IF(OR(H1005&gt;0,F1005&gt;0),C1005*F1005,""),"")</f>
        <v/>
      </c>
      <c r="AB1005" s="640">
        <f>IF(G1005&gt;=1,IF(F1005&gt;1,C1005*(F1005-2),""),"")</f>
        <v/>
      </c>
      <c r="AD1005" s="911">
        <f>IF(E1005="YES",IF(G1005=1,"",""),IF(G1005=1,C1005,IF(G1005=2,C1005,IF(G1005=0,"",""))))</f>
        <v/>
      </c>
      <c r="AE1005" s="911">
        <f>IF(E1005="YES",IF(G1005=1,"",IF(H1005=1,C1005,"")),IF(H1005=1,C1005,IF(H1005=2,C1005,IF(H1005=0,"",""))))</f>
        <v/>
      </c>
      <c r="AF1005" s="911">
        <f>IF(E1005="YES",IF(I1005=1,C1005,""),IF(I1005=1,C1005,IF(I1005=2,C1005,IF(I1005=0,"",""))))</f>
        <v/>
      </c>
      <c r="AG1005" s="192">
        <f>(C1005*G1005)+(C1005*H1005)+(C1005*I1005)</f>
        <v/>
      </c>
    </row>
    <row r="1006">
      <c r="AA1006" s="640">
        <f>IF(G1006=0, IF(OR(H1006&gt;0,F1006&gt;0),C1006*F1006,""),"")</f>
        <v/>
      </c>
      <c r="AB1006" s="640">
        <f>IF(G1006&gt;=1,IF(F1006&gt;1,C1006*(F1006-2),""),"")</f>
        <v/>
      </c>
      <c r="AD1006" s="911">
        <f>IF(E1006="YES",IF(G1006=1,"",""),IF(G1006=1,C1006,IF(G1006=2,C1006,IF(G1006=0,"",""))))</f>
        <v/>
      </c>
      <c r="AE1006" s="911">
        <f>IF(E1006="YES",IF(G1006=1,"",IF(H1006=1,C1006,"")),IF(H1006=1,C1006,IF(H1006=2,C1006,IF(H1006=0,"",""))))</f>
        <v/>
      </c>
      <c r="AF1006" s="911">
        <f>IF(E1006="YES",IF(I1006=1,C1006,""),IF(I1006=1,C1006,IF(I1006=2,C1006,IF(I1006=0,"",""))))</f>
        <v/>
      </c>
      <c r="AG1006" s="192">
        <f>(C1006*G1006)+(C1006*H1006)+(C1006*I1006)</f>
        <v/>
      </c>
    </row>
    <row r="1007">
      <c r="AA1007" s="640">
        <f>IF(G1007=0, IF(OR(H1007&gt;0,F1007&gt;0),C1007*F1007,""),"")</f>
        <v/>
      </c>
      <c r="AB1007" s="640">
        <f>IF(G1007&gt;=1,IF(F1007&gt;1,C1007*(F1007-2),""),"")</f>
        <v/>
      </c>
      <c r="AD1007" s="911">
        <f>IF(E1007="YES",IF(G1007=1,"",""),IF(G1007=1,C1007,IF(G1007=2,C1007,IF(G1007=0,"",""))))</f>
        <v/>
      </c>
      <c r="AE1007" s="911">
        <f>IF(E1007="YES",IF(G1007=1,"",IF(H1007=1,C1007,"")),IF(H1007=1,C1007,IF(H1007=2,C1007,IF(H1007=0,"",""))))</f>
        <v/>
      </c>
      <c r="AF1007" s="911">
        <f>IF(E1007="YES",IF(I1007=1,C1007,""),IF(I1007=1,C1007,IF(I1007=2,C1007,IF(I1007=0,"",""))))</f>
        <v/>
      </c>
      <c r="AG1007" s="192">
        <f>(C1007*G1007)+(C1007*H1007)+(C1007*I1007)</f>
        <v/>
      </c>
    </row>
    <row r="1008">
      <c r="AA1008" s="640">
        <f>IF(G1008=0, IF(OR(H1008&gt;0,F1008&gt;0),C1008*F1008,""),"")</f>
        <v/>
      </c>
      <c r="AB1008" s="640">
        <f>IF(G1008&gt;=1,IF(F1008&gt;1,C1008*(F1008-2),""),"")</f>
        <v/>
      </c>
      <c r="AD1008" s="911">
        <f>IF(E1008="YES",IF(G1008=1,"",""),IF(G1008=1,C1008,IF(G1008=2,C1008,IF(G1008=0,"",""))))</f>
        <v/>
      </c>
      <c r="AE1008" s="911">
        <f>IF(E1008="YES",IF(G1008=1,"",IF(H1008=1,C1008,"")),IF(H1008=1,C1008,IF(H1008=2,C1008,IF(H1008=0,"",""))))</f>
        <v/>
      </c>
      <c r="AF1008" s="911">
        <f>IF(E1008="YES",IF(I1008=1,C1008,""),IF(I1008=1,C1008,IF(I1008=2,C1008,IF(I1008=0,"",""))))</f>
        <v/>
      </c>
      <c r="AG1008" s="192">
        <f>(C1008*G1008)+(C1008*H1008)+(C1008*I1008)</f>
        <v/>
      </c>
    </row>
    <row r="1009">
      <c r="AA1009" s="640">
        <f>IF(G1009=0, IF(OR(H1009&gt;0,F1009&gt;0),C1009*F1009,""),"")</f>
        <v/>
      </c>
      <c r="AB1009" s="640">
        <f>IF(G1009&gt;=1,IF(F1009&gt;1,C1009*(F1009-2),""),"")</f>
        <v/>
      </c>
      <c r="AD1009" s="911">
        <f>IF(E1009="YES",IF(G1009=1,"",""),IF(G1009=1,C1009,IF(G1009=2,C1009,IF(G1009=0,"",""))))</f>
        <v/>
      </c>
      <c r="AE1009" s="911">
        <f>IF(E1009="YES",IF(G1009=1,"",IF(H1009=1,C1009,"")),IF(H1009=1,C1009,IF(H1009=2,C1009,IF(H1009=0,"",""))))</f>
        <v/>
      </c>
      <c r="AF1009" s="911">
        <f>IF(E1009="YES",IF(I1009=1,C1009,""),IF(I1009=1,C1009,IF(I1009=2,C1009,IF(I1009=0,"",""))))</f>
        <v/>
      </c>
      <c r="AG1009" s="192">
        <f>(C1009*G1009)+(C1009*H1009)+(C1009*I1009)</f>
        <v/>
      </c>
    </row>
    <row r="1010">
      <c r="AA1010" s="640">
        <f>IF(G1010=0, IF(OR(H1010&gt;0,F1010&gt;0),C1010*F1010,""),"")</f>
        <v/>
      </c>
      <c r="AB1010" s="640">
        <f>IF(G1010&gt;=1,IF(F1010&gt;1,C1010*(F1010-2),""),"")</f>
        <v/>
      </c>
      <c r="AD1010" s="911">
        <f>IF(E1010="YES",IF(G1010=1,"",""),IF(G1010=1,C1010,IF(G1010=2,C1010,IF(G1010=0,"",""))))</f>
        <v/>
      </c>
      <c r="AE1010" s="911">
        <f>IF(E1010="YES",IF(G1010=1,"",IF(H1010=1,C1010,"")),IF(H1010=1,C1010,IF(H1010=2,C1010,IF(H1010=0,"",""))))</f>
        <v/>
      </c>
      <c r="AF1010" s="911">
        <f>IF(E1010="YES",IF(I1010=1,C1010,""),IF(I1010=1,C1010,IF(I1010=2,C1010,IF(I1010=0,"",""))))</f>
        <v/>
      </c>
      <c r="AG1010" s="192">
        <f>(C1010*G1010)+(C1010*H1010)+(C1010*I1010)</f>
        <v/>
      </c>
    </row>
    <row r="1011">
      <c r="AA1011" s="640">
        <f>IF(G1011=0, IF(OR(H1011&gt;0,F1011&gt;0),C1011*F1011,""),"")</f>
        <v/>
      </c>
      <c r="AB1011" s="640">
        <f>IF(G1011&gt;=1,IF(F1011&gt;1,C1011*(F1011-2),""),"")</f>
        <v/>
      </c>
      <c r="AD1011" s="911">
        <f>IF(E1011="YES",IF(G1011=1,"",""),IF(G1011=1,C1011,IF(G1011=2,C1011,IF(G1011=0,"",""))))</f>
        <v/>
      </c>
      <c r="AE1011" s="911">
        <f>IF(E1011="YES",IF(G1011=1,"",IF(H1011=1,C1011,"")),IF(H1011=1,C1011,IF(H1011=2,C1011,IF(H1011=0,"",""))))</f>
        <v/>
      </c>
      <c r="AF1011" s="911">
        <f>IF(E1011="YES",IF(I1011=1,C1011,""),IF(I1011=1,C1011,IF(I1011=2,C1011,IF(I1011=0,"",""))))</f>
        <v/>
      </c>
      <c r="AG1011" s="192">
        <f>(C1011*G1011)+(C1011*H1011)+(C1011*I1011)</f>
        <v/>
      </c>
    </row>
    <row r="1012">
      <c r="AA1012" s="640">
        <f>IF(G1012=0, IF(OR(H1012&gt;0,F1012&gt;0),C1012*F1012,""),"")</f>
        <v/>
      </c>
      <c r="AB1012" s="640">
        <f>IF(G1012&gt;=1,IF(F1012&gt;1,C1012*(F1012-2),""),"")</f>
        <v/>
      </c>
      <c r="AD1012" s="911">
        <f>IF(E1012="YES",IF(G1012=1,"",""),IF(G1012=1,C1012,IF(G1012=2,C1012,IF(G1012=0,"",""))))</f>
        <v/>
      </c>
      <c r="AE1012" s="911">
        <f>IF(E1012="YES",IF(G1012=1,"",IF(H1012=1,C1012,"")),IF(H1012=1,C1012,IF(H1012=2,C1012,IF(H1012=0,"",""))))</f>
        <v/>
      </c>
      <c r="AF1012" s="911">
        <f>IF(E1012="YES",IF(I1012=1,C1012,""),IF(I1012=1,C1012,IF(I1012=2,C1012,IF(I1012=0,"",""))))</f>
        <v/>
      </c>
      <c r="AG1012" s="192">
        <f>(C1012*G1012)+(C1012*H1012)+(C1012*I1012)</f>
        <v/>
      </c>
    </row>
    <row r="1013">
      <c r="AA1013" s="640">
        <f>IF(G1013=0, IF(OR(H1013&gt;0,F1013&gt;0),C1013*F1013,""),"")</f>
        <v/>
      </c>
      <c r="AB1013" s="640">
        <f>IF(G1013&gt;=1,IF(F1013&gt;1,C1013*(F1013-2),""),"")</f>
        <v/>
      </c>
      <c r="AD1013" s="911">
        <f>IF(E1013="YES",IF(G1013=1,"",""),IF(G1013=1,C1013,IF(G1013=2,C1013,IF(G1013=0,"",""))))</f>
        <v/>
      </c>
      <c r="AE1013" s="911">
        <f>IF(E1013="YES",IF(G1013=1,"",IF(H1013=1,C1013,"")),IF(H1013=1,C1013,IF(H1013=2,C1013,IF(H1013=0,"",""))))</f>
        <v/>
      </c>
      <c r="AF1013" s="911">
        <f>IF(E1013="YES",IF(I1013=1,C1013,""),IF(I1013=1,C1013,IF(I1013=2,C1013,IF(I1013=0,"",""))))</f>
        <v/>
      </c>
      <c r="AG1013" s="192">
        <f>(C1013*G1013)+(C1013*H1013)+(C1013*I1013)</f>
        <v/>
      </c>
    </row>
    <row r="1014">
      <c r="AA1014" s="640">
        <f>IF(G1014=0, IF(OR(H1014&gt;0,F1014&gt;0),C1014*F1014,""),"")</f>
        <v/>
      </c>
      <c r="AB1014" s="640">
        <f>IF(G1014&gt;=1,IF(F1014&gt;1,C1014*(F1014-2),""),"")</f>
        <v/>
      </c>
      <c r="AD1014" s="911">
        <f>IF(E1014="YES",IF(G1014=1,"",""),IF(G1014=1,C1014,IF(G1014=2,C1014,IF(G1014=0,"",""))))</f>
        <v/>
      </c>
      <c r="AE1014" s="911">
        <f>IF(E1014="YES",IF(G1014=1,"",IF(H1014=1,C1014,"")),IF(H1014=1,C1014,IF(H1014=2,C1014,IF(H1014=0,"",""))))</f>
        <v/>
      </c>
      <c r="AF1014" s="911">
        <f>IF(E1014="YES",IF(I1014=1,C1014,""),IF(I1014=1,C1014,IF(I1014=2,C1014,IF(I1014=0,"",""))))</f>
        <v/>
      </c>
      <c r="AG1014" s="192">
        <f>(C1014*G1014)+(C1014*H1014)+(C1014*I1014)</f>
        <v/>
      </c>
    </row>
    <row r="1015">
      <c r="AA1015" s="640">
        <f>IF(G1015=0, IF(OR(H1015&gt;0,F1015&gt;0),C1015*F1015,""),"")</f>
        <v/>
      </c>
      <c r="AB1015" s="640">
        <f>IF(G1015&gt;=1,IF(F1015&gt;1,C1015*(F1015-2),""),"")</f>
        <v/>
      </c>
      <c r="AD1015" s="911">
        <f>IF(E1015="YES",IF(G1015=1,"",""),IF(G1015=1,C1015,IF(G1015=2,C1015,IF(G1015=0,"",""))))</f>
        <v/>
      </c>
      <c r="AE1015" s="911">
        <f>IF(E1015="YES",IF(G1015=1,"",IF(H1015=1,C1015,"")),IF(H1015=1,C1015,IF(H1015=2,C1015,IF(H1015=0,"",""))))</f>
        <v/>
      </c>
      <c r="AF1015" s="911">
        <f>IF(E1015="YES",IF(I1015=1,C1015,""),IF(I1015=1,C1015,IF(I1015=2,C1015,IF(I1015=0,"",""))))</f>
        <v/>
      </c>
      <c r="AG1015" s="192">
        <f>(C1015*G1015)+(C1015*H1015)+(C1015*I1015)</f>
        <v/>
      </c>
    </row>
    <row r="1016">
      <c r="AA1016" s="640">
        <f>IF(G1016=0, IF(OR(H1016&gt;0,F1016&gt;0),C1016*F1016,""),"")</f>
        <v/>
      </c>
      <c r="AB1016" s="640">
        <f>IF(G1016&gt;=1,IF(F1016&gt;1,C1016*(F1016-2),""),"")</f>
        <v/>
      </c>
      <c r="AD1016" s="911">
        <f>IF(E1016="YES",IF(G1016=1,"",""),IF(G1016=1,C1016,IF(G1016=2,C1016,IF(G1016=0,"",""))))</f>
        <v/>
      </c>
      <c r="AE1016" s="911">
        <f>IF(E1016="YES",IF(G1016=1,"",IF(H1016=1,C1016,"")),IF(H1016=1,C1016,IF(H1016=2,C1016,IF(H1016=0,"",""))))</f>
        <v/>
      </c>
      <c r="AF1016" s="911">
        <f>IF(E1016="YES",IF(I1016=1,C1016,""),IF(I1016=1,C1016,IF(I1016=2,C1016,IF(I1016=0,"",""))))</f>
        <v/>
      </c>
      <c r="AG1016" s="192">
        <f>(C1016*G1016)+(C1016*H1016)+(C1016*I1016)</f>
        <v/>
      </c>
    </row>
    <row r="1017">
      <c r="AA1017" s="640">
        <f>IF(G1017=0, IF(OR(H1017&gt;0,F1017&gt;0),C1017*F1017,""),"")</f>
        <v/>
      </c>
      <c r="AB1017" s="640">
        <f>IF(G1017&gt;=1,IF(F1017&gt;1,C1017*(F1017-2),""),"")</f>
        <v/>
      </c>
      <c r="AD1017" s="911">
        <f>IF(E1017="YES",IF(G1017=1,"",""),IF(G1017=1,C1017,IF(G1017=2,C1017,IF(G1017=0,"",""))))</f>
        <v/>
      </c>
      <c r="AE1017" s="911">
        <f>IF(E1017="YES",IF(G1017=1,"",IF(H1017=1,C1017,"")),IF(H1017=1,C1017,IF(H1017=2,C1017,IF(H1017=0,"",""))))</f>
        <v/>
      </c>
      <c r="AF1017" s="911">
        <f>IF(E1017="YES",IF(I1017=1,C1017,""),IF(I1017=1,C1017,IF(I1017=2,C1017,IF(I1017=0,"",""))))</f>
        <v/>
      </c>
      <c r="AG1017" s="192">
        <f>(C1017*G1017)+(C1017*H1017)+(C1017*I1017)</f>
        <v/>
      </c>
    </row>
    <row r="1018">
      <c r="AA1018" s="640">
        <f>IF(G1018=0, IF(OR(H1018&gt;0,F1018&gt;0),C1018*F1018,""),"")</f>
        <v/>
      </c>
      <c r="AB1018" s="640">
        <f>IF(G1018&gt;=1,IF(F1018&gt;1,C1018*(F1018-2),""),"")</f>
        <v/>
      </c>
      <c r="AD1018" s="911">
        <f>IF(E1018="YES",IF(G1018=1,"",""),IF(G1018=1,C1018,IF(G1018=2,C1018,IF(G1018=0,"",""))))</f>
        <v/>
      </c>
      <c r="AE1018" s="911">
        <f>IF(E1018="YES",IF(G1018=1,"",IF(H1018=1,C1018,"")),IF(H1018=1,C1018,IF(H1018=2,C1018,IF(H1018=0,"",""))))</f>
        <v/>
      </c>
      <c r="AF1018" s="911">
        <f>IF(E1018="YES",IF(I1018=1,C1018,""),IF(I1018=1,C1018,IF(I1018=2,C1018,IF(I1018=0,"",""))))</f>
        <v/>
      </c>
      <c r="AG1018" s="192">
        <f>(C1018*G1018)+(C1018*H1018)+(C1018*I1018)</f>
        <v/>
      </c>
    </row>
    <row r="1019">
      <c r="AA1019" s="640">
        <f>IF(G1019=0, IF(OR(H1019&gt;0,F1019&gt;0),C1019*F1019,""),"")</f>
        <v/>
      </c>
      <c r="AB1019" s="640">
        <f>IF(G1019&gt;=1,IF(F1019&gt;1,C1019*(F1019-2),""),"")</f>
        <v/>
      </c>
      <c r="AD1019" s="911">
        <f>IF(E1019="YES",IF(G1019=1,"",""),IF(G1019=1,C1019,IF(G1019=2,C1019,IF(G1019=0,"",""))))</f>
        <v/>
      </c>
      <c r="AE1019" s="911">
        <f>IF(E1019="YES",IF(G1019=1,"",IF(H1019=1,C1019,"")),IF(H1019=1,C1019,IF(H1019=2,C1019,IF(H1019=0,"",""))))</f>
        <v/>
      </c>
      <c r="AF1019" s="911">
        <f>IF(E1019="YES",IF(I1019=1,C1019,""),IF(I1019=1,C1019,IF(I1019=2,C1019,IF(I1019=0,"",""))))</f>
        <v/>
      </c>
      <c r="AG1019" s="192">
        <f>(C1019*G1019)+(C1019*H1019)+(C1019*I1019)</f>
        <v/>
      </c>
    </row>
    <row r="1020">
      <c r="AA1020" s="640">
        <f>IF(G1020=0, IF(OR(H1020&gt;0,F1020&gt;0),C1020*F1020,""),"")</f>
        <v/>
      </c>
      <c r="AB1020" s="640">
        <f>IF(G1020&gt;=1,IF(F1020&gt;1,C1020*(F1020-2),""),"")</f>
        <v/>
      </c>
      <c r="AD1020" s="911">
        <f>IF(E1020="YES",IF(G1020=1,"",""),IF(G1020=1,C1020,IF(G1020=2,C1020,IF(G1020=0,"",""))))</f>
        <v/>
      </c>
      <c r="AE1020" s="911">
        <f>IF(E1020="YES",IF(G1020=1,"",IF(H1020=1,C1020,"")),IF(H1020=1,C1020,IF(H1020=2,C1020,IF(H1020=0,"",""))))</f>
        <v/>
      </c>
      <c r="AF1020" s="911">
        <f>IF(E1020="YES",IF(I1020=1,C1020,""),IF(I1020=1,C1020,IF(I1020=2,C1020,IF(I1020=0,"",""))))</f>
        <v/>
      </c>
      <c r="AG1020" s="192">
        <f>(C1020*G1020)+(C1020*H1020)+(C1020*I1020)</f>
        <v/>
      </c>
    </row>
    <row r="1021">
      <c r="AA1021" s="640">
        <f>IF(G1021=0, IF(OR(H1021&gt;0,F1021&gt;0),C1021*F1021,""),"")</f>
        <v/>
      </c>
      <c r="AB1021" s="640">
        <f>IF(G1021&gt;=1,IF(F1021&gt;1,C1021*(F1021-2),""),"")</f>
        <v/>
      </c>
      <c r="AD1021" s="911">
        <f>IF(E1021="YES",IF(G1021=1,"",""),IF(G1021=1,C1021,IF(G1021=2,C1021,IF(G1021=0,"",""))))</f>
        <v/>
      </c>
      <c r="AE1021" s="911">
        <f>IF(E1021="YES",IF(G1021=1,"",IF(H1021=1,C1021,"")),IF(H1021=1,C1021,IF(H1021=2,C1021,IF(H1021=0,"",""))))</f>
        <v/>
      </c>
      <c r="AF1021" s="911">
        <f>IF(E1021="YES",IF(I1021=1,C1021,""),IF(I1021=1,C1021,IF(I1021=2,C1021,IF(I1021=0,"",""))))</f>
        <v/>
      </c>
      <c r="AG1021" s="192">
        <f>(C1021*G1021)+(C1021*H1021)+(C1021*I1021)</f>
        <v/>
      </c>
    </row>
    <row r="1022">
      <c r="AA1022" s="640">
        <f>IF(G1022=0, IF(OR(H1022&gt;0,F1022&gt;0),C1022*F1022,""),"")</f>
        <v/>
      </c>
      <c r="AB1022" s="640">
        <f>IF(G1022&gt;=1,IF(F1022&gt;1,C1022*(F1022-2),""),"")</f>
        <v/>
      </c>
      <c r="AD1022" s="911">
        <f>IF(E1022="YES",IF(G1022=1,"",""),IF(G1022=1,C1022,IF(G1022=2,C1022,IF(G1022=0,"",""))))</f>
        <v/>
      </c>
      <c r="AE1022" s="911">
        <f>IF(E1022="YES",IF(G1022=1,"",IF(H1022=1,C1022,"")),IF(H1022=1,C1022,IF(H1022=2,C1022,IF(H1022=0,"",""))))</f>
        <v/>
      </c>
      <c r="AF1022" s="911">
        <f>IF(E1022="YES",IF(I1022=1,C1022,""),IF(I1022=1,C1022,IF(I1022=2,C1022,IF(I1022=0,"",""))))</f>
        <v/>
      </c>
      <c r="AG1022" s="192">
        <f>(C1022*G1022)+(C1022*H1022)+(C1022*I1022)</f>
        <v/>
      </c>
    </row>
    <row r="1023">
      <c r="AA1023" s="640">
        <f>IF(G1023=0, IF(OR(H1023&gt;0,F1023&gt;0),C1023*F1023,""),"")</f>
        <v/>
      </c>
      <c r="AB1023" s="640">
        <f>IF(G1023&gt;=1,IF(F1023&gt;1,C1023*(F1023-2),""),"")</f>
        <v/>
      </c>
      <c r="AD1023" s="911">
        <f>IF(E1023="YES",IF(G1023=1,"",""),IF(G1023=1,C1023,IF(G1023=2,C1023,IF(G1023=0,"",""))))</f>
        <v/>
      </c>
      <c r="AE1023" s="911">
        <f>IF(E1023="YES",IF(G1023=1,"",IF(H1023=1,C1023,"")),IF(H1023=1,C1023,IF(H1023=2,C1023,IF(H1023=0,"",""))))</f>
        <v/>
      </c>
      <c r="AF1023" s="911">
        <f>IF(E1023="YES",IF(I1023=1,C1023,""),IF(I1023=1,C1023,IF(I1023=2,C1023,IF(I1023=0,"",""))))</f>
        <v/>
      </c>
      <c r="AG1023" s="192">
        <f>(C1023*G1023)+(C1023*H1023)+(C1023*I1023)</f>
        <v/>
      </c>
    </row>
    <row r="1024">
      <c r="AA1024" s="640">
        <f>IF(G1024=0, IF(OR(H1024&gt;0,F1024&gt;0),C1024*F1024,""),"")</f>
        <v/>
      </c>
      <c r="AB1024" s="640">
        <f>IF(G1024&gt;=1,IF(F1024&gt;1,C1024*(F1024-2),""),"")</f>
        <v/>
      </c>
      <c r="AD1024" s="911">
        <f>IF(E1024="YES",IF(G1024=1,"",""),IF(G1024=1,C1024,IF(G1024=2,C1024,IF(G1024=0,"",""))))</f>
        <v/>
      </c>
      <c r="AE1024" s="911">
        <f>IF(E1024="YES",IF(G1024=1,"",IF(H1024=1,C1024,"")),IF(H1024=1,C1024,IF(H1024=2,C1024,IF(H1024=0,"",""))))</f>
        <v/>
      </c>
      <c r="AF1024" s="911">
        <f>IF(E1024="YES",IF(I1024=1,C1024,""),IF(I1024=1,C1024,IF(I1024=2,C1024,IF(I1024=0,"",""))))</f>
        <v/>
      </c>
      <c r="AG1024" s="192">
        <f>(C1024*G1024)+(C1024*H1024)+(C1024*I1024)</f>
        <v/>
      </c>
    </row>
    <row r="1025">
      <c r="AA1025" s="640">
        <f>IF(G1025=0, IF(OR(H1025&gt;0,F1025&gt;0),C1025*F1025,""),"")</f>
        <v/>
      </c>
      <c r="AB1025" s="640">
        <f>IF(G1025&gt;=1,IF(F1025&gt;1,C1025*(F1025-2),""),"")</f>
        <v/>
      </c>
      <c r="AD1025" s="911">
        <f>IF(E1025="YES",IF(G1025=1,"",""),IF(G1025=1,C1025,IF(G1025=2,C1025,IF(G1025=0,"",""))))</f>
        <v/>
      </c>
      <c r="AE1025" s="911">
        <f>IF(E1025="YES",IF(G1025=1,"",IF(H1025=1,C1025,"")),IF(H1025=1,C1025,IF(H1025=2,C1025,IF(H1025=0,"",""))))</f>
        <v/>
      </c>
      <c r="AF1025" s="911">
        <f>IF(E1025="YES",IF(I1025=1,C1025,""),IF(I1025=1,C1025,IF(I1025=2,C1025,IF(I1025=0,"",""))))</f>
        <v/>
      </c>
      <c r="AG1025" s="192">
        <f>(C1025*G1025)+(C1025*H1025)+(C1025*I1025)</f>
        <v/>
      </c>
    </row>
    <row r="1026">
      <c r="AA1026" s="640">
        <f>IF(G1026=0, IF(OR(H1026&gt;0,F1026&gt;0),C1026*F1026,""),"")</f>
        <v/>
      </c>
      <c r="AB1026" s="640">
        <f>IF(G1026&gt;=1,IF(F1026&gt;1,C1026*(F1026-2),""),"")</f>
        <v/>
      </c>
      <c r="AD1026" s="911">
        <f>IF(E1026="YES",IF(G1026=1,"",""),IF(G1026=1,C1026,IF(G1026=2,C1026,IF(G1026=0,"",""))))</f>
        <v/>
      </c>
      <c r="AE1026" s="911">
        <f>IF(E1026="YES",IF(G1026=1,"",IF(H1026=1,C1026,"")),IF(H1026=1,C1026,IF(H1026=2,C1026,IF(H1026=0,"",""))))</f>
        <v/>
      </c>
      <c r="AF1026" s="911">
        <f>IF(E1026="YES",IF(I1026=1,C1026,""),IF(I1026=1,C1026,IF(I1026=2,C1026,IF(I1026=0,"",""))))</f>
        <v/>
      </c>
      <c r="AG1026" s="192">
        <f>(C1026*G1026)+(C1026*H1026)+(C1026*I1026)</f>
        <v/>
      </c>
    </row>
    <row r="1027">
      <c r="AA1027" s="640">
        <f>IF(G1027=0, IF(OR(H1027&gt;0,F1027&gt;0),C1027*F1027,""),"")</f>
        <v/>
      </c>
      <c r="AB1027" s="640">
        <f>IF(G1027&gt;=1,IF(F1027&gt;1,C1027*(F1027-2),""),"")</f>
        <v/>
      </c>
      <c r="AD1027" s="911">
        <f>IF(E1027="YES",IF(G1027=1,"",""),IF(G1027=1,C1027,IF(G1027=2,C1027,IF(G1027=0,"",""))))</f>
        <v/>
      </c>
      <c r="AE1027" s="911">
        <f>IF(E1027="YES",IF(G1027=1,"",IF(H1027=1,C1027,"")),IF(H1027=1,C1027,IF(H1027=2,C1027,IF(H1027=0,"",""))))</f>
        <v/>
      </c>
      <c r="AF1027" s="911">
        <f>IF(E1027="YES",IF(I1027=1,C1027,""),IF(I1027=1,C1027,IF(I1027=2,C1027,IF(I1027=0,"",""))))</f>
        <v/>
      </c>
      <c r="AG1027" s="192">
        <f>(C1027*G1027)+(C1027*H1027)+(C1027*I1027)</f>
        <v/>
      </c>
    </row>
    <row r="1028">
      <c r="AA1028" s="640">
        <f>IF(G1028=0, IF(OR(H1028&gt;0,F1028&gt;0),C1028*F1028,""),"")</f>
        <v/>
      </c>
      <c r="AB1028" s="640">
        <f>IF(G1028&gt;=1,IF(F1028&gt;1,C1028*(F1028-2),""),"")</f>
        <v/>
      </c>
      <c r="AD1028" s="911">
        <f>IF(E1028="YES",IF(G1028=1,"",""),IF(G1028=1,C1028,IF(G1028=2,C1028,IF(G1028=0,"",""))))</f>
        <v/>
      </c>
      <c r="AE1028" s="911">
        <f>IF(E1028="YES",IF(G1028=1,"",IF(H1028=1,C1028,"")),IF(H1028=1,C1028,IF(H1028=2,C1028,IF(H1028=0,"",""))))</f>
        <v/>
      </c>
      <c r="AF1028" s="911">
        <f>IF(E1028="YES",IF(I1028=1,C1028,""),IF(I1028=1,C1028,IF(I1028=2,C1028,IF(I1028=0,"",""))))</f>
        <v/>
      </c>
      <c r="AG1028" s="192">
        <f>(C1028*G1028)+(C1028*H1028)+(C1028*I1028)</f>
        <v/>
      </c>
    </row>
    <row r="1029">
      <c r="AA1029" s="640">
        <f>IF(G1029=0, IF(OR(H1029&gt;0,F1029&gt;0),C1029*F1029,""),"")</f>
        <v/>
      </c>
      <c r="AB1029" s="640">
        <f>IF(G1029&gt;=1,IF(F1029&gt;1,C1029*(F1029-2),""),"")</f>
        <v/>
      </c>
      <c r="AD1029" s="911">
        <f>IF(E1029="YES",IF(G1029=1,"",""),IF(G1029=1,C1029,IF(G1029=2,C1029,IF(G1029=0,"",""))))</f>
        <v/>
      </c>
      <c r="AE1029" s="911">
        <f>IF(E1029="YES",IF(G1029=1,"",IF(H1029=1,C1029,"")),IF(H1029=1,C1029,IF(H1029=2,C1029,IF(H1029=0,"",""))))</f>
        <v/>
      </c>
      <c r="AF1029" s="911">
        <f>IF(E1029="YES",IF(I1029=1,C1029,""),IF(I1029=1,C1029,IF(I1029=2,C1029,IF(I1029=0,"",""))))</f>
        <v/>
      </c>
      <c r="AG1029" s="192">
        <f>(C1029*G1029)+(C1029*H1029)+(C1029*I1029)</f>
        <v/>
      </c>
    </row>
    <row r="1030">
      <c r="AA1030" s="640">
        <f>IF(G1030=0, IF(OR(H1030&gt;0,F1030&gt;0),C1030*F1030,""),"")</f>
        <v/>
      </c>
      <c r="AB1030" s="640">
        <f>IF(G1030&gt;=1,IF(F1030&gt;1,C1030*(F1030-2),""),"")</f>
        <v/>
      </c>
      <c r="AD1030" s="911">
        <f>IF(E1030="YES",IF(G1030=1,"",""),IF(G1030=1,C1030,IF(G1030=2,C1030,IF(G1030=0,"",""))))</f>
        <v/>
      </c>
      <c r="AE1030" s="911">
        <f>IF(E1030="YES",IF(G1030=1,"",IF(H1030=1,C1030,"")),IF(H1030=1,C1030,IF(H1030=2,C1030,IF(H1030=0,"",""))))</f>
        <v/>
      </c>
      <c r="AF1030" s="911">
        <f>IF(E1030="YES",IF(I1030=1,C1030,""),IF(I1030=1,C1030,IF(I1030=2,C1030,IF(I1030=0,"",""))))</f>
        <v/>
      </c>
      <c r="AG1030" s="192">
        <f>(C1030*G1030)+(C1030*H1030)+(C1030*I1030)</f>
        <v/>
      </c>
    </row>
    <row r="1031">
      <c r="AA1031" s="640">
        <f>IF(G1031=0, IF(OR(H1031&gt;0,F1031&gt;0),C1031*F1031,""),"")</f>
        <v/>
      </c>
      <c r="AB1031" s="640">
        <f>IF(G1031&gt;=1,IF(F1031&gt;1,C1031*(F1031-2),""),"")</f>
        <v/>
      </c>
      <c r="AD1031" s="911">
        <f>IF(E1031="YES",IF(G1031=1,"",""),IF(G1031=1,C1031,IF(G1031=2,C1031,IF(G1031=0,"",""))))</f>
        <v/>
      </c>
      <c r="AE1031" s="911">
        <f>IF(E1031="YES",IF(G1031=1,"",IF(H1031=1,C1031,"")),IF(H1031=1,C1031,IF(H1031=2,C1031,IF(H1031=0,"",""))))</f>
        <v/>
      </c>
      <c r="AF1031" s="911">
        <f>IF(E1031="YES",IF(I1031=1,C1031,""),IF(I1031=1,C1031,IF(I1031=2,C1031,IF(I1031=0,"",""))))</f>
        <v/>
      </c>
      <c r="AG1031" s="192">
        <f>(C1031*G1031)+(C1031*H1031)+(C1031*I1031)</f>
        <v/>
      </c>
    </row>
    <row r="1032">
      <c r="AA1032" s="640">
        <f>IF(G1032=0, IF(OR(H1032&gt;0,F1032&gt;0),C1032*F1032,""),"")</f>
        <v/>
      </c>
      <c r="AB1032" s="640">
        <f>IF(G1032&gt;=1,IF(F1032&gt;1,C1032*(F1032-2),""),"")</f>
        <v/>
      </c>
      <c r="AD1032" s="911">
        <f>IF(E1032="YES",IF(G1032=1,"",""),IF(G1032=1,C1032,IF(G1032=2,C1032,IF(G1032=0,"",""))))</f>
        <v/>
      </c>
      <c r="AE1032" s="911">
        <f>IF(E1032="YES",IF(G1032=1,"",IF(H1032=1,C1032,"")),IF(H1032=1,C1032,IF(H1032=2,C1032,IF(H1032=0,"",""))))</f>
        <v/>
      </c>
      <c r="AF1032" s="911">
        <f>IF(E1032="YES",IF(I1032=1,C1032,""),IF(I1032=1,C1032,IF(I1032=2,C1032,IF(I1032=0,"",""))))</f>
        <v/>
      </c>
      <c r="AG1032" s="192">
        <f>(C1032*G1032)+(C1032*H1032)+(C1032*I1032)</f>
        <v/>
      </c>
    </row>
    <row r="1033">
      <c r="AA1033" s="640">
        <f>IF(G1033=0, IF(OR(H1033&gt;0,F1033&gt;0),C1033*F1033,""),"")</f>
        <v/>
      </c>
      <c r="AB1033" s="640">
        <f>IF(G1033&gt;=1,IF(F1033&gt;1,C1033*(F1033-2),""),"")</f>
        <v/>
      </c>
      <c r="AD1033" s="911">
        <f>IF(E1033="YES",IF(G1033=1,"",""),IF(G1033=1,C1033,IF(G1033=2,C1033,IF(G1033=0,"",""))))</f>
        <v/>
      </c>
      <c r="AE1033" s="911">
        <f>IF(E1033="YES",IF(G1033=1,"",IF(H1033=1,C1033,"")),IF(H1033=1,C1033,IF(H1033=2,C1033,IF(H1033=0,"",""))))</f>
        <v/>
      </c>
      <c r="AF1033" s="911">
        <f>IF(E1033="YES",IF(I1033=1,C1033,""),IF(I1033=1,C1033,IF(I1033=2,C1033,IF(I1033=0,"",""))))</f>
        <v/>
      </c>
      <c r="AG1033" s="192">
        <f>(C1033*G1033)+(C1033*H1033)+(C1033*I1033)</f>
        <v/>
      </c>
    </row>
    <row r="1034">
      <c r="AA1034" s="640">
        <f>IF(G1034=0, IF(OR(H1034&gt;0,F1034&gt;0),C1034*F1034,""),"")</f>
        <v/>
      </c>
      <c r="AB1034" s="640">
        <f>IF(G1034&gt;=1,IF(F1034&gt;1,C1034*(F1034-2),""),"")</f>
        <v/>
      </c>
      <c r="AD1034" s="911">
        <f>IF(E1034="YES",IF(G1034=1,"",""),IF(G1034=1,C1034,IF(G1034=2,C1034,IF(G1034=0,"",""))))</f>
        <v/>
      </c>
      <c r="AE1034" s="911">
        <f>IF(E1034="YES",IF(G1034=1,"",IF(H1034=1,C1034,"")),IF(H1034=1,C1034,IF(H1034=2,C1034,IF(H1034=0,"",""))))</f>
        <v/>
      </c>
      <c r="AF1034" s="911">
        <f>IF(E1034="YES",IF(I1034=1,C1034,""),IF(I1034=1,C1034,IF(I1034=2,C1034,IF(I1034=0,"",""))))</f>
        <v/>
      </c>
      <c r="AG1034" s="192">
        <f>(C1034*G1034)+(C1034*H1034)+(C1034*I1034)</f>
        <v/>
      </c>
    </row>
    <row r="1035">
      <c r="AA1035" s="640">
        <f>IF(G1035=0, IF(OR(H1035&gt;0,F1035&gt;0),C1035*F1035,""),"")</f>
        <v/>
      </c>
      <c r="AB1035" s="640">
        <f>IF(G1035&gt;=1,IF(F1035&gt;1,C1035*(F1035-2),""),"")</f>
        <v/>
      </c>
      <c r="AD1035" s="911">
        <f>IF(E1035="YES",IF(G1035=1,"",""),IF(G1035=1,C1035,IF(G1035=2,C1035,IF(G1035=0,"",""))))</f>
        <v/>
      </c>
      <c r="AE1035" s="911">
        <f>IF(E1035="YES",IF(G1035=1,"",IF(H1035=1,C1035,"")),IF(H1035=1,C1035,IF(H1035=2,C1035,IF(H1035=0,"",""))))</f>
        <v/>
      </c>
      <c r="AF1035" s="911">
        <f>IF(E1035="YES",IF(I1035=1,C1035,""),IF(I1035=1,C1035,IF(I1035=2,C1035,IF(I1035=0,"",""))))</f>
        <v/>
      </c>
      <c r="AG1035" s="192">
        <f>(C1035*G1035)+(C1035*H1035)+(C1035*I1035)</f>
        <v/>
      </c>
    </row>
    <row r="1036">
      <c r="AA1036" s="640">
        <f>IF(G1036=0, IF(OR(H1036&gt;0,F1036&gt;0),C1036*F1036,""),"")</f>
        <v/>
      </c>
      <c r="AB1036" s="640">
        <f>IF(G1036&gt;=1,IF(F1036&gt;1,C1036*(F1036-2),""),"")</f>
        <v/>
      </c>
      <c r="AD1036" s="911">
        <f>IF(E1036="YES",IF(G1036=1,"",""),IF(G1036=1,C1036,IF(G1036=2,C1036,IF(G1036=0,"",""))))</f>
        <v/>
      </c>
      <c r="AE1036" s="911">
        <f>IF(E1036="YES",IF(G1036=1,"",IF(H1036=1,C1036,"")),IF(H1036=1,C1036,IF(H1036=2,C1036,IF(H1036=0,"",""))))</f>
        <v/>
      </c>
      <c r="AF1036" s="911">
        <f>IF(E1036="YES",IF(I1036=1,C1036,""),IF(I1036=1,C1036,IF(I1036=2,C1036,IF(I1036=0,"",""))))</f>
        <v/>
      </c>
      <c r="AG1036" s="192">
        <f>(C1036*G1036)+(C1036*H1036)+(C1036*I1036)</f>
        <v/>
      </c>
    </row>
    <row r="1037">
      <c r="AA1037" s="640">
        <f>IF(G1037=0, IF(OR(H1037&gt;0,F1037&gt;0),C1037*F1037,""),"")</f>
        <v/>
      </c>
      <c r="AB1037" s="640">
        <f>IF(G1037&gt;=1,IF(F1037&gt;1,C1037*(F1037-2),""),"")</f>
        <v/>
      </c>
      <c r="AD1037" s="911">
        <f>IF(E1037="YES",IF(G1037=1,"",""),IF(G1037=1,C1037,IF(G1037=2,C1037,IF(G1037=0,"",""))))</f>
        <v/>
      </c>
      <c r="AE1037" s="911">
        <f>IF(E1037="YES",IF(G1037=1,"",IF(H1037=1,C1037,"")),IF(H1037=1,C1037,IF(H1037=2,C1037,IF(H1037=0,"",""))))</f>
        <v/>
      </c>
      <c r="AF1037" s="911">
        <f>IF(E1037="YES",IF(I1037=1,C1037,""),IF(I1037=1,C1037,IF(I1037=2,C1037,IF(I1037=0,"",""))))</f>
        <v/>
      </c>
      <c r="AG1037" s="192">
        <f>(C1037*G1037)+(C1037*H1037)+(C1037*I1037)</f>
        <v/>
      </c>
    </row>
    <row r="1038">
      <c r="AA1038" s="640">
        <f>IF(G1038=0, IF(OR(H1038&gt;0,F1038&gt;0),C1038*F1038,""),"")</f>
        <v/>
      </c>
      <c r="AB1038" s="640">
        <f>IF(G1038&gt;=1,IF(F1038&gt;1,C1038*(F1038-2),""),"")</f>
        <v/>
      </c>
      <c r="AD1038" s="911">
        <f>IF(E1038="YES",IF(G1038=1,"",""),IF(G1038=1,C1038,IF(G1038=2,C1038,IF(G1038=0,"",""))))</f>
        <v/>
      </c>
      <c r="AE1038" s="911">
        <f>IF(E1038="YES",IF(G1038=1,"",IF(H1038=1,C1038,"")),IF(H1038=1,C1038,IF(H1038=2,C1038,IF(H1038=0,"",""))))</f>
        <v/>
      </c>
      <c r="AF1038" s="911">
        <f>IF(E1038="YES",IF(I1038=1,C1038,""),IF(I1038=1,C1038,IF(I1038=2,C1038,IF(I1038=0,"",""))))</f>
        <v/>
      </c>
      <c r="AG1038" s="192">
        <f>(C1038*G1038)+(C1038*H1038)+(C1038*I1038)</f>
        <v/>
      </c>
    </row>
    <row r="1039">
      <c r="AA1039" s="640">
        <f>IF(G1039=0, IF(OR(H1039&gt;0,F1039&gt;0),C1039*F1039,""),"")</f>
        <v/>
      </c>
      <c r="AB1039" s="640">
        <f>IF(G1039&gt;=1,IF(F1039&gt;1,C1039*(F1039-2),""),"")</f>
        <v/>
      </c>
      <c r="AD1039" s="911">
        <f>IF(E1039="YES",IF(G1039=1,"",""),IF(G1039=1,C1039,IF(G1039=2,C1039,IF(G1039=0,"",""))))</f>
        <v/>
      </c>
      <c r="AE1039" s="911">
        <f>IF(E1039="YES",IF(G1039=1,"",IF(H1039=1,C1039,"")),IF(H1039=1,C1039,IF(H1039=2,C1039,IF(H1039=0,"",""))))</f>
        <v/>
      </c>
      <c r="AF1039" s="911">
        <f>IF(E1039="YES",IF(I1039=1,C1039,""),IF(I1039=1,C1039,IF(I1039=2,C1039,IF(I1039=0,"",""))))</f>
        <v/>
      </c>
      <c r="AG1039" s="192">
        <f>(C1039*G1039)+(C1039*H1039)+(C1039*I1039)</f>
        <v/>
      </c>
    </row>
    <row r="1040">
      <c r="AA1040" s="640">
        <f>IF(G1040=0, IF(OR(H1040&gt;0,F1040&gt;0),C1040*F1040,""),"")</f>
        <v/>
      </c>
      <c r="AB1040" s="640">
        <f>IF(G1040&gt;=1,IF(F1040&gt;1,C1040*(F1040-2),""),"")</f>
        <v/>
      </c>
      <c r="AD1040" s="911">
        <f>IF(E1040="YES",IF(G1040=1,"",""),IF(G1040=1,C1040,IF(G1040=2,C1040,IF(G1040=0,"",""))))</f>
        <v/>
      </c>
      <c r="AE1040" s="911">
        <f>IF(E1040="YES",IF(G1040=1,"",IF(H1040=1,C1040,"")),IF(H1040=1,C1040,IF(H1040=2,C1040,IF(H1040=0,"",""))))</f>
        <v/>
      </c>
      <c r="AF1040" s="911">
        <f>IF(E1040="YES",IF(I1040=1,C1040,""),IF(I1040=1,C1040,IF(I1040=2,C1040,IF(I1040=0,"",""))))</f>
        <v/>
      </c>
      <c r="AG1040" s="192">
        <f>(C1040*G1040)+(C1040*H1040)+(C1040*I1040)</f>
        <v/>
      </c>
    </row>
    <row r="1041">
      <c r="AA1041" s="640">
        <f>IF(G1041=0, IF(OR(H1041&gt;0,F1041&gt;0),C1041*F1041,""),"")</f>
        <v/>
      </c>
      <c r="AB1041" s="640">
        <f>IF(G1041&gt;=1,IF(F1041&gt;1,C1041*(F1041-2),""),"")</f>
        <v/>
      </c>
      <c r="AD1041" s="911">
        <f>IF(E1041="YES",IF(G1041=1,"",""),IF(G1041=1,C1041,IF(G1041=2,C1041,IF(G1041=0,"",""))))</f>
        <v/>
      </c>
      <c r="AE1041" s="911">
        <f>IF(E1041="YES",IF(G1041=1,"",IF(H1041=1,C1041,"")),IF(H1041=1,C1041,IF(H1041=2,C1041,IF(H1041=0,"",""))))</f>
        <v/>
      </c>
      <c r="AF1041" s="911">
        <f>IF(E1041="YES",IF(I1041=1,C1041,""),IF(I1041=1,C1041,IF(I1041=2,C1041,IF(I1041=0,"",""))))</f>
        <v/>
      </c>
      <c r="AG1041" s="192">
        <f>(C1041*G1041)+(C1041*H1041)+(C1041*I1041)</f>
        <v/>
      </c>
    </row>
    <row r="1042">
      <c r="AA1042" s="640">
        <f>IF(G1042=0, IF(OR(H1042&gt;0,F1042&gt;0),C1042*F1042,""),"")</f>
        <v/>
      </c>
      <c r="AB1042" s="640">
        <f>IF(G1042&gt;=1,IF(F1042&gt;1,C1042*(F1042-2),""),"")</f>
        <v/>
      </c>
      <c r="AD1042" s="911">
        <f>IF(E1042="YES",IF(G1042=1,"",""),IF(G1042=1,C1042,IF(G1042=2,C1042,IF(G1042=0,"",""))))</f>
        <v/>
      </c>
      <c r="AE1042" s="911">
        <f>IF(E1042="YES",IF(G1042=1,"",IF(H1042=1,C1042,"")),IF(H1042=1,C1042,IF(H1042=2,C1042,IF(H1042=0,"",""))))</f>
        <v/>
      </c>
      <c r="AF1042" s="911">
        <f>IF(E1042="YES",IF(I1042=1,C1042,""),IF(I1042=1,C1042,IF(I1042=2,C1042,IF(I1042=0,"",""))))</f>
        <v/>
      </c>
      <c r="AG1042" s="192">
        <f>(C1042*G1042)+(C1042*H1042)+(C1042*I1042)</f>
        <v/>
      </c>
    </row>
    <row r="1043">
      <c r="AA1043" s="640">
        <f>IF(G1043=0, IF(OR(H1043&gt;0,F1043&gt;0),C1043*F1043,""),"")</f>
        <v/>
      </c>
      <c r="AB1043" s="640">
        <f>IF(G1043&gt;=1,IF(F1043&gt;1,C1043*(F1043-2),""),"")</f>
        <v/>
      </c>
      <c r="AD1043" s="911">
        <f>IF(E1043="YES",IF(G1043=1,"",""),IF(G1043=1,C1043,IF(G1043=2,C1043,IF(G1043=0,"",""))))</f>
        <v/>
      </c>
      <c r="AE1043" s="911">
        <f>IF(E1043="YES",IF(G1043=1,"",IF(H1043=1,C1043,"")),IF(H1043=1,C1043,IF(H1043=2,C1043,IF(H1043=0,"",""))))</f>
        <v/>
      </c>
      <c r="AF1043" s="911">
        <f>IF(E1043="YES",IF(I1043=1,C1043,""),IF(I1043=1,C1043,IF(I1043=2,C1043,IF(I1043=0,"",""))))</f>
        <v/>
      </c>
      <c r="AG1043" s="192">
        <f>(C1043*G1043)+(C1043*H1043)+(C1043*I1043)</f>
        <v/>
      </c>
    </row>
    <row r="1044">
      <c r="AA1044" s="640">
        <f>IF(G1044=0, IF(OR(H1044&gt;0,F1044&gt;0),C1044*F1044,""),"")</f>
        <v/>
      </c>
      <c r="AB1044" s="640">
        <f>IF(G1044&gt;=1,IF(F1044&gt;1,C1044*(F1044-2),""),"")</f>
        <v/>
      </c>
      <c r="AD1044" s="911">
        <f>IF(E1044="YES",IF(G1044=1,"",""),IF(G1044=1,C1044,IF(G1044=2,C1044,IF(G1044=0,"",""))))</f>
        <v/>
      </c>
      <c r="AE1044" s="911">
        <f>IF(E1044="YES",IF(G1044=1,"",IF(H1044=1,C1044,"")),IF(H1044=1,C1044,IF(H1044=2,C1044,IF(H1044=0,"",""))))</f>
        <v/>
      </c>
      <c r="AF1044" s="911">
        <f>IF(E1044="YES",IF(I1044=1,C1044,""),IF(I1044=1,C1044,IF(I1044=2,C1044,IF(I1044=0,"",""))))</f>
        <v/>
      </c>
      <c r="AG1044" s="192">
        <f>(C1044*G1044)+(C1044*H1044)+(C1044*I1044)</f>
        <v/>
      </c>
    </row>
    <row r="1045">
      <c r="AA1045" s="640">
        <f>IF(G1045=0, IF(OR(H1045&gt;0,F1045&gt;0),C1045*F1045,""),"")</f>
        <v/>
      </c>
      <c r="AB1045" s="640">
        <f>IF(G1045&gt;=1,IF(F1045&gt;1,C1045*(F1045-2),""),"")</f>
        <v/>
      </c>
      <c r="AD1045" s="911">
        <f>IF(E1045="YES",IF(G1045=1,"",""),IF(G1045=1,C1045,IF(G1045=2,C1045,IF(G1045=0,"",""))))</f>
        <v/>
      </c>
      <c r="AE1045" s="911">
        <f>IF(E1045="YES",IF(G1045=1,"",IF(H1045=1,C1045,"")),IF(H1045=1,C1045,IF(H1045=2,C1045,IF(H1045=0,"",""))))</f>
        <v/>
      </c>
      <c r="AF1045" s="911">
        <f>IF(E1045="YES",IF(I1045=1,C1045,""),IF(I1045=1,C1045,IF(I1045=2,C1045,IF(I1045=0,"",""))))</f>
        <v/>
      </c>
      <c r="AG1045" s="192">
        <f>(C1045*G1045)+(C1045*H1045)+(C1045*I1045)</f>
        <v/>
      </c>
    </row>
    <row r="1046">
      <c r="AA1046" s="640">
        <f>IF(G1046=0, IF(OR(H1046&gt;0,F1046&gt;0),C1046*F1046,""),"")</f>
        <v/>
      </c>
      <c r="AB1046" s="640">
        <f>IF(G1046&gt;=1,IF(F1046&gt;1,C1046*(F1046-2),""),"")</f>
        <v/>
      </c>
      <c r="AD1046" s="911">
        <f>IF(E1046="YES",IF(G1046=1,"",""),IF(G1046=1,C1046,IF(G1046=2,C1046,IF(G1046=0,"",""))))</f>
        <v/>
      </c>
      <c r="AE1046" s="911">
        <f>IF(E1046="YES",IF(G1046=1,"",IF(H1046=1,C1046,"")),IF(H1046=1,C1046,IF(H1046=2,C1046,IF(H1046=0,"",""))))</f>
        <v/>
      </c>
      <c r="AF1046" s="911">
        <f>IF(E1046="YES",IF(I1046=1,C1046,""),IF(I1046=1,C1046,IF(I1046=2,C1046,IF(I1046=0,"",""))))</f>
        <v/>
      </c>
      <c r="AG1046" s="192">
        <f>(C1046*G1046)+(C1046*H1046)+(C1046*I1046)</f>
        <v/>
      </c>
    </row>
    <row r="1047">
      <c r="AA1047" s="640">
        <f>IF(G1047=0, IF(OR(H1047&gt;0,F1047&gt;0),C1047*F1047,""),"")</f>
        <v/>
      </c>
      <c r="AB1047" s="640">
        <f>IF(G1047&gt;=1,IF(F1047&gt;1,C1047*(F1047-2),""),"")</f>
        <v/>
      </c>
      <c r="AD1047" s="911">
        <f>IF(E1047="YES",IF(G1047=1,"",""),IF(G1047=1,C1047,IF(G1047=2,C1047,IF(G1047=0,"",""))))</f>
        <v/>
      </c>
      <c r="AE1047" s="911">
        <f>IF(E1047="YES",IF(G1047=1,"",IF(H1047=1,C1047,"")),IF(H1047=1,C1047,IF(H1047=2,C1047,IF(H1047=0,"",""))))</f>
        <v/>
      </c>
      <c r="AF1047" s="911">
        <f>IF(E1047="YES",IF(I1047=1,C1047,""),IF(I1047=1,C1047,IF(I1047=2,C1047,IF(I1047=0,"",""))))</f>
        <v/>
      </c>
      <c r="AG1047" s="192">
        <f>(C1047*G1047)+(C1047*H1047)+(C1047*I1047)</f>
        <v/>
      </c>
    </row>
    <row r="1048">
      <c r="AA1048" s="640">
        <f>IF(G1048=0, IF(OR(H1048&gt;0,F1048&gt;0),C1048*F1048,""),"")</f>
        <v/>
      </c>
      <c r="AB1048" s="640">
        <f>IF(G1048&gt;=1,IF(F1048&gt;1,C1048*(F1048-2),""),"")</f>
        <v/>
      </c>
      <c r="AD1048" s="911">
        <f>IF(E1048="YES",IF(G1048=1,"",""),IF(G1048=1,C1048,IF(G1048=2,C1048,IF(G1048=0,"",""))))</f>
        <v/>
      </c>
      <c r="AE1048" s="911">
        <f>IF(E1048="YES",IF(G1048=1,"",IF(H1048=1,C1048,"")),IF(H1048=1,C1048,IF(H1048=2,C1048,IF(H1048=0,"",""))))</f>
        <v/>
      </c>
      <c r="AF1048" s="911">
        <f>IF(E1048="YES",IF(I1048=1,C1048,""),IF(I1048=1,C1048,IF(I1048=2,C1048,IF(I1048=0,"",""))))</f>
        <v/>
      </c>
      <c r="AG1048" s="192">
        <f>(C1048*G1048)+(C1048*H1048)+(C1048*I1048)</f>
        <v/>
      </c>
    </row>
    <row r="1049">
      <c r="AA1049" s="640">
        <f>IF(G1049=0, IF(OR(H1049&gt;0,F1049&gt;0),C1049*F1049,""),"")</f>
        <v/>
      </c>
      <c r="AB1049" s="640">
        <f>IF(G1049&gt;=1,IF(F1049&gt;1,C1049*(F1049-2),""),"")</f>
        <v/>
      </c>
      <c r="AD1049" s="911">
        <f>IF(E1049="YES",IF(G1049=1,"",""),IF(G1049=1,C1049,IF(G1049=2,C1049,IF(G1049=0,"",""))))</f>
        <v/>
      </c>
      <c r="AE1049" s="911">
        <f>IF(E1049="YES",IF(G1049=1,"",IF(H1049=1,C1049,"")),IF(H1049=1,C1049,IF(H1049=2,C1049,IF(H1049=0,"",""))))</f>
        <v/>
      </c>
      <c r="AF1049" s="911">
        <f>IF(E1049="YES",IF(I1049=1,C1049,""),IF(I1049=1,C1049,IF(I1049=2,C1049,IF(I1049=0,"",""))))</f>
        <v/>
      </c>
      <c r="AG1049" s="192">
        <f>(C1049*G1049)+(C1049*H1049)+(C1049*I1049)</f>
        <v/>
      </c>
    </row>
    <row r="1050">
      <c r="AA1050" s="640">
        <f>IF(G1050=0, IF(OR(H1050&gt;0,F1050&gt;0),C1050*F1050,""),"")</f>
        <v/>
      </c>
      <c r="AB1050" s="640">
        <f>IF(G1050&gt;=1,IF(F1050&gt;1,C1050*(F1050-2),""),"")</f>
        <v/>
      </c>
      <c r="AD1050" s="911">
        <f>IF(E1050="YES",IF(G1050=1,"",""),IF(G1050=1,C1050,IF(G1050=2,C1050,IF(G1050=0,"",""))))</f>
        <v/>
      </c>
      <c r="AE1050" s="911">
        <f>IF(E1050="YES",IF(G1050=1,"",IF(H1050=1,C1050,"")),IF(H1050=1,C1050,IF(H1050=2,C1050,IF(H1050=0,"",""))))</f>
        <v/>
      </c>
      <c r="AF1050" s="911">
        <f>IF(E1050="YES",IF(I1050=1,C1050,""),IF(I1050=1,C1050,IF(I1050=2,C1050,IF(I1050=0,"",""))))</f>
        <v/>
      </c>
      <c r="AG1050" s="192">
        <f>(C1050*G1050)+(C1050*H1050)+(C1050*I1050)</f>
        <v/>
      </c>
    </row>
    <row r="1051">
      <c r="AA1051" s="640">
        <f>IF(G1051=0, IF(OR(H1051&gt;0,F1051&gt;0),C1051*F1051,""),"")</f>
        <v/>
      </c>
      <c r="AB1051" s="640">
        <f>IF(G1051&gt;=1,IF(F1051&gt;1,C1051*(F1051-2),""),"")</f>
        <v/>
      </c>
      <c r="AD1051" s="911">
        <f>IF(E1051="YES",IF(G1051=1,"",""),IF(G1051=1,C1051,IF(G1051=2,C1051,IF(G1051=0,"",""))))</f>
        <v/>
      </c>
      <c r="AE1051" s="911">
        <f>IF(E1051="YES",IF(G1051=1,"",IF(H1051=1,C1051,"")),IF(H1051=1,C1051,IF(H1051=2,C1051,IF(H1051=0,"",""))))</f>
        <v/>
      </c>
      <c r="AF1051" s="911">
        <f>IF(E1051="YES",IF(I1051=1,C1051,""),IF(I1051=1,C1051,IF(I1051=2,C1051,IF(I1051=0,"",""))))</f>
        <v/>
      </c>
      <c r="AG1051" s="192">
        <f>(C1051*G1051)+(C1051*H1051)+(C1051*I1051)</f>
        <v/>
      </c>
    </row>
    <row r="1052">
      <c r="AA1052" s="640">
        <f>IF(G1052=0, IF(OR(H1052&gt;0,F1052&gt;0),C1052*F1052,""),"")</f>
        <v/>
      </c>
      <c r="AB1052" s="640">
        <f>IF(G1052&gt;=1,IF(F1052&gt;1,C1052*(F1052-2),""),"")</f>
        <v/>
      </c>
      <c r="AD1052" s="911">
        <f>IF(E1052="YES",IF(G1052=1,"",""),IF(G1052=1,C1052,IF(G1052=2,C1052,IF(G1052=0,"",""))))</f>
        <v/>
      </c>
      <c r="AE1052" s="911">
        <f>IF(E1052="YES",IF(G1052=1,"",IF(H1052=1,C1052,"")),IF(H1052=1,C1052,IF(H1052=2,C1052,IF(H1052=0,"",""))))</f>
        <v/>
      </c>
      <c r="AF1052" s="911">
        <f>IF(E1052="YES",IF(I1052=1,C1052,""),IF(I1052=1,C1052,IF(I1052=2,C1052,IF(I1052=0,"",""))))</f>
        <v/>
      </c>
      <c r="AG1052" s="192">
        <f>(C1052*G1052)+(C1052*H1052)+(C1052*I1052)</f>
        <v/>
      </c>
    </row>
    <row r="1053">
      <c r="AA1053" s="640">
        <f>IF(G1053=0, IF(OR(H1053&gt;0,F1053&gt;0),C1053*F1053,""),"")</f>
        <v/>
      </c>
      <c r="AB1053" s="640">
        <f>IF(G1053&gt;=1,IF(F1053&gt;1,C1053*(F1053-2),""),"")</f>
        <v/>
      </c>
      <c r="AD1053" s="911">
        <f>IF(E1053="YES",IF(G1053=1,"",""),IF(G1053=1,C1053,IF(G1053=2,C1053,IF(G1053=0,"",""))))</f>
        <v/>
      </c>
      <c r="AE1053" s="911">
        <f>IF(E1053="YES",IF(G1053=1,"",IF(H1053=1,C1053,"")),IF(H1053=1,C1053,IF(H1053=2,C1053,IF(H1053=0,"",""))))</f>
        <v/>
      </c>
      <c r="AF1053" s="911">
        <f>IF(E1053="YES",IF(I1053=1,C1053,""),IF(I1053=1,C1053,IF(I1053=2,C1053,IF(I1053=0,"",""))))</f>
        <v/>
      </c>
      <c r="AG1053" s="192">
        <f>(C1053*G1053)+(C1053*H1053)+(C1053*I1053)</f>
        <v/>
      </c>
    </row>
    <row r="1054">
      <c r="AA1054" s="640">
        <f>IF(G1054=0, IF(OR(H1054&gt;0,F1054&gt;0),C1054*F1054,""),"")</f>
        <v/>
      </c>
      <c r="AB1054" s="640">
        <f>IF(G1054&gt;=1,IF(F1054&gt;1,C1054*(F1054-2),""),"")</f>
        <v/>
      </c>
      <c r="AD1054" s="911">
        <f>IF(E1054="YES",IF(G1054=1,"",""),IF(G1054=1,C1054,IF(G1054=2,C1054,IF(G1054=0,"",""))))</f>
        <v/>
      </c>
      <c r="AE1054" s="911">
        <f>IF(E1054="YES",IF(G1054=1,"",IF(H1054=1,C1054,"")),IF(H1054=1,C1054,IF(H1054=2,C1054,IF(H1054=0,"",""))))</f>
        <v/>
      </c>
      <c r="AF1054" s="911">
        <f>IF(E1054="YES",IF(I1054=1,C1054,""),IF(I1054=1,C1054,IF(I1054=2,C1054,IF(I1054=0,"",""))))</f>
        <v/>
      </c>
      <c r="AG1054" s="192">
        <f>(C1054*G1054)+(C1054*H1054)+(C1054*I1054)</f>
        <v/>
      </c>
    </row>
    <row r="1055">
      <c r="AA1055" s="640">
        <f>IF(G1055=0, IF(OR(H1055&gt;0,F1055&gt;0),C1055*F1055,""),"")</f>
        <v/>
      </c>
      <c r="AB1055" s="640">
        <f>IF(G1055&gt;=1,IF(F1055&gt;1,C1055*(F1055-2),""),"")</f>
        <v/>
      </c>
      <c r="AD1055" s="911">
        <f>IF(E1055="YES",IF(G1055=1,"",""),IF(G1055=1,C1055,IF(G1055=2,C1055,IF(G1055=0,"",""))))</f>
        <v/>
      </c>
      <c r="AE1055" s="911">
        <f>IF(E1055="YES",IF(G1055=1,"",IF(H1055=1,C1055,"")),IF(H1055=1,C1055,IF(H1055=2,C1055,IF(H1055=0,"",""))))</f>
        <v/>
      </c>
      <c r="AF1055" s="911">
        <f>IF(E1055="YES",IF(I1055=1,C1055,""),IF(I1055=1,C1055,IF(I1055=2,C1055,IF(I1055=0,"",""))))</f>
        <v/>
      </c>
      <c r="AG1055" s="192">
        <f>(C1055*G1055)+(C1055*H1055)+(C1055*I1055)</f>
        <v/>
      </c>
    </row>
    <row r="1056">
      <c r="AA1056" s="640">
        <f>IF(G1056=0, IF(OR(H1056&gt;0,F1056&gt;0),C1056*F1056,""),"")</f>
        <v/>
      </c>
      <c r="AB1056" s="640">
        <f>IF(G1056&gt;=1,IF(F1056&gt;1,C1056*(F1056-2),""),"")</f>
        <v/>
      </c>
      <c r="AD1056" s="911">
        <f>IF(E1056="YES",IF(G1056=1,"",""),IF(G1056=1,C1056,IF(G1056=2,C1056,IF(G1056=0,"",""))))</f>
        <v/>
      </c>
      <c r="AE1056" s="911">
        <f>IF(E1056="YES",IF(G1056=1,"",IF(H1056=1,C1056,"")),IF(H1056=1,C1056,IF(H1056=2,C1056,IF(H1056=0,"",""))))</f>
        <v/>
      </c>
      <c r="AF1056" s="911">
        <f>IF(E1056="YES",IF(I1056=1,C1056,""),IF(I1056=1,C1056,IF(I1056=2,C1056,IF(I1056=0,"",""))))</f>
        <v/>
      </c>
      <c r="AG1056" s="192">
        <f>(C1056*G1056)+(C1056*H1056)+(C1056*I1056)</f>
        <v/>
      </c>
    </row>
    <row r="1057">
      <c r="AA1057" s="640">
        <f>IF(G1057=0, IF(OR(H1057&gt;0,F1057&gt;0),C1057*F1057,""),"")</f>
        <v/>
      </c>
      <c r="AB1057" s="640">
        <f>IF(G1057&gt;=1,IF(F1057&gt;1,C1057*(F1057-2),""),"")</f>
        <v/>
      </c>
      <c r="AD1057" s="911">
        <f>IF(E1057="YES",IF(G1057=1,"",""),IF(G1057=1,C1057,IF(G1057=2,C1057,IF(G1057=0,"",""))))</f>
        <v/>
      </c>
      <c r="AE1057" s="911">
        <f>IF(E1057="YES",IF(G1057=1,"",IF(H1057=1,C1057,"")),IF(H1057=1,C1057,IF(H1057=2,C1057,IF(H1057=0,"",""))))</f>
        <v/>
      </c>
      <c r="AF1057" s="911">
        <f>IF(E1057="YES",IF(I1057=1,C1057,""),IF(I1057=1,C1057,IF(I1057=2,C1057,IF(I1057=0,"",""))))</f>
        <v/>
      </c>
      <c r="AG1057" s="192">
        <f>(C1057*G1057)+(C1057*H1057)+(C1057*I1057)</f>
        <v/>
      </c>
    </row>
    <row r="1058">
      <c r="AA1058" s="640">
        <f>IF(G1058=0, IF(OR(H1058&gt;0,F1058&gt;0),C1058*F1058,""),"")</f>
        <v/>
      </c>
      <c r="AB1058" s="640">
        <f>IF(G1058&gt;=1,IF(F1058&gt;1,C1058*(F1058-2),""),"")</f>
        <v/>
      </c>
      <c r="AD1058" s="911">
        <f>IF(E1058="YES",IF(G1058=1,"",""),IF(G1058=1,C1058,IF(G1058=2,C1058,IF(G1058=0,"",""))))</f>
        <v/>
      </c>
      <c r="AE1058" s="911">
        <f>IF(E1058="YES",IF(G1058=1,"",IF(H1058=1,C1058,"")),IF(H1058=1,C1058,IF(H1058=2,C1058,IF(H1058=0,"",""))))</f>
        <v/>
      </c>
      <c r="AF1058" s="911">
        <f>IF(E1058="YES",IF(I1058=1,C1058,""),IF(I1058=1,C1058,IF(I1058=2,C1058,IF(I1058=0,"",""))))</f>
        <v/>
      </c>
      <c r="AG1058" s="192">
        <f>(C1058*G1058)+(C1058*H1058)+(C1058*I1058)</f>
        <v/>
      </c>
    </row>
    <row r="1059">
      <c r="AA1059" s="640">
        <f>IF(G1059=0, IF(OR(H1059&gt;0,F1059&gt;0),C1059*F1059,""),"")</f>
        <v/>
      </c>
      <c r="AB1059" s="640">
        <f>IF(G1059&gt;=1,IF(F1059&gt;1,C1059*(F1059-2),""),"")</f>
        <v/>
      </c>
      <c r="AD1059" s="911">
        <f>IF(E1059="YES",IF(G1059=1,"",""),IF(G1059=1,C1059,IF(G1059=2,C1059,IF(G1059=0,"",""))))</f>
        <v/>
      </c>
      <c r="AE1059" s="911">
        <f>IF(E1059="YES",IF(G1059=1,"",IF(H1059=1,C1059,"")),IF(H1059=1,C1059,IF(H1059=2,C1059,IF(H1059=0,"",""))))</f>
        <v/>
      </c>
      <c r="AF1059" s="911">
        <f>IF(E1059="YES",IF(I1059=1,C1059,""),IF(I1059=1,C1059,IF(I1059=2,C1059,IF(I1059=0,"",""))))</f>
        <v/>
      </c>
      <c r="AG1059" s="192">
        <f>(C1059*G1059)+(C1059*H1059)+(C1059*I1059)</f>
        <v/>
      </c>
    </row>
    <row r="1060">
      <c r="AA1060" s="640">
        <f>IF(G1060=0, IF(OR(H1060&gt;0,F1060&gt;0),C1060*F1060,""),"")</f>
        <v/>
      </c>
      <c r="AB1060" s="640">
        <f>IF(G1060&gt;=1,IF(F1060&gt;1,C1060*(F1060-2),""),"")</f>
        <v/>
      </c>
      <c r="AD1060" s="911">
        <f>IF(E1060="YES",IF(G1060=1,"",""),IF(G1060=1,C1060,IF(G1060=2,C1060,IF(G1060=0,"",""))))</f>
        <v/>
      </c>
      <c r="AE1060" s="911">
        <f>IF(E1060="YES",IF(G1060=1,"",IF(H1060=1,C1060,"")),IF(H1060=1,C1060,IF(H1060=2,C1060,IF(H1060=0,"",""))))</f>
        <v/>
      </c>
      <c r="AF1060" s="911">
        <f>IF(E1060="YES",IF(I1060=1,C1060,""),IF(I1060=1,C1060,IF(I1060=2,C1060,IF(I1060=0,"",""))))</f>
        <v/>
      </c>
      <c r="AG1060" s="192">
        <f>(C1060*G1060)+(C1060*H1060)+(C1060*I1060)</f>
        <v/>
      </c>
    </row>
    <row r="1061">
      <c r="AA1061" s="640">
        <f>IF(G1061=0, IF(OR(H1061&gt;0,F1061&gt;0),C1061*F1061,""),"")</f>
        <v/>
      </c>
      <c r="AB1061" s="640">
        <f>IF(G1061&gt;=1,IF(F1061&gt;1,C1061*(F1061-2),""),"")</f>
        <v/>
      </c>
      <c r="AD1061" s="911">
        <f>IF(E1061="YES",IF(G1061=1,"",""),IF(G1061=1,C1061,IF(G1061=2,C1061,IF(G1061=0,"",""))))</f>
        <v/>
      </c>
      <c r="AE1061" s="911">
        <f>IF(E1061="YES",IF(G1061=1,"",IF(H1061=1,C1061,"")),IF(H1061=1,C1061,IF(H1061=2,C1061,IF(H1061=0,"",""))))</f>
        <v/>
      </c>
      <c r="AF1061" s="911">
        <f>IF(E1061="YES",IF(I1061=1,C1061,""),IF(I1061=1,C1061,IF(I1061=2,C1061,IF(I1061=0,"",""))))</f>
        <v/>
      </c>
      <c r="AG1061" s="192">
        <f>(C1061*G1061)+(C1061*H1061)+(C1061*I1061)</f>
        <v/>
      </c>
    </row>
    <row r="1062">
      <c r="AA1062" s="640">
        <f>IF(G1062=0, IF(OR(H1062&gt;0,F1062&gt;0),C1062*F1062,""),"")</f>
        <v/>
      </c>
      <c r="AB1062" s="640">
        <f>IF(G1062&gt;=1,IF(F1062&gt;1,C1062*(F1062-2),""),"")</f>
        <v/>
      </c>
      <c r="AD1062" s="911">
        <f>IF(E1062="YES",IF(G1062=1,"",""),IF(G1062=1,C1062,IF(G1062=2,C1062,IF(G1062=0,"",""))))</f>
        <v/>
      </c>
      <c r="AE1062" s="911">
        <f>IF(E1062="YES",IF(G1062=1,"",IF(H1062=1,C1062,"")),IF(H1062=1,C1062,IF(H1062=2,C1062,IF(H1062=0,"",""))))</f>
        <v/>
      </c>
      <c r="AF1062" s="911">
        <f>IF(E1062="YES",IF(I1062=1,C1062,""),IF(I1062=1,C1062,IF(I1062=2,C1062,IF(I1062=0,"",""))))</f>
        <v/>
      </c>
      <c r="AG1062" s="192">
        <f>(C1062*G1062)+(C1062*H1062)+(C1062*I1062)</f>
        <v/>
      </c>
    </row>
    <row r="1063">
      <c r="AA1063" s="640">
        <f>IF(G1063=0, IF(OR(H1063&gt;0,F1063&gt;0),C1063*F1063,""),"")</f>
        <v/>
      </c>
      <c r="AB1063" s="640">
        <f>IF(G1063&gt;=1,IF(F1063&gt;1,C1063*(F1063-2),""),"")</f>
        <v/>
      </c>
      <c r="AD1063" s="911">
        <f>IF(E1063="YES",IF(G1063=1,"",""),IF(G1063=1,C1063,IF(G1063=2,C1063,IF(G1063=0,"",""))))</f>
        <v/>
      </c>
      <c r="AE1063" s="911">
        <f>IF(E1063="YES",IF(G1063=1,"",IF(H1063=1,C1063,"")),IF(H1063=1,C1063,IF(H1063=2,C1063,IF(H1063=0,"",""))))</f>
        <v/>
      </c>
      <c r="AF1063" s="911">
        <f>IF(E1063="YES",IF(I1063=1,C1063,""),IF(I1063=1,C1063,IF(I1063=2,C1063,IF(I1063=0,"",""))))</f>
        <v/>
      </c>
      <c r="AG1063" s="192">
        <f>(C1063*G1063)+(C1063*H1063)+(C1063*I1063)</f>
        <v/>
      </c>
    </row>
    <row r="1064">
      <c r="AA1064" s="640">
        <f>IF(G1064=0, IF(OR(H1064&gt;0,F1064&gt;0),C1064*F1064,""),"")</f>
        <v/>
      </c>
      <c r="AB1064" s="640">
        <f>IF(G1064&gt;=1,IF(F1064&gt;1,C1064*(F1064-2),""),"")</f>
        <v/>
      </c>
      <c r="AD1064" s="911">
        <f>IF(E1064="YES",IF(G1064=1,"",""),IF(G1064=1,C1064,IF(G1064=2,C1064,IF(G1064=0,"",""))))</f>
        <v/>
      </c>
      <c r="AE1064" s="911">
        <f>IF(E1064="YES",IF(G1064=1,"",IF(H1064=1,C1064,"")),IF(H1064=1,C1064,IF(H1064=2,C1064,IF(H1064=0,"",""))))</f>
        <v/>
      </c>
      <c r="AF1064" s="911">
        <f>IF(E1064="YES",IF(I1064=1,C1064,""),IF(I1064=1,C1064,IF(I1064=2,C1064,IF(I1064=0,"",""))))</f>
        <v/>
      </c>
      <c r="AG1064" s="192">
        <f>(C1064*G1064)+(C1064*H1064)+(C1064*I1064)</f>
        <v/>
      </c>
    </row>
    <row r="1065">
      <c r="AA1065" s="640">
        <f>IF(G1065=0, IF(OR(H1065&gt;0,F1065&gt;0),C1065*F1065,""),"")</f>
        <v/>
      </c>
      <c r="AB1065" s="640">
        <f>IF(G1065&gt;=1,IF(F1065&gt;1,C1065*(F1065-2),""),"")</f>
        <v/>
      </c>
      <c r="AD1065" s="911">
        <f>IF(E1065="YES",IF(G1065=1,"",""),IF(G1065=1,C1065,IF(G1065=2,C1065,IF(G1065=0,"",""))))</f>
        <v/>
      </c>
      <c r="AE1065" s="911">
        <f>IF(E1065="YES",IF(G1065=1,"",IF(H1065=1,C1065,"")),IF(H1065=1,C1065,IF(H1065=2,C1065,IF(H1065=0,"",""))))</f>
        <v/>
      </c>
      <c r="AF1065" s="911">
        <f>IF(E1065="YES",IF(I1065=1,C1065,""),IF(I1065=1,C1065,IF(I1065=2,C1065,IF(I1065=0,"",""))))</f>
        <v/>
      </c>
      <c r="AG1065" s="192">
        <f>(C1065*G1065)+(C1065*H1065)+(C1065*I1065)</f>
        <v/>
      </c>
    </row>
    <row r="1066">
      <c r="AA1066" s="640">
        <f>IF(G1066=0, IF(OR(H1066&gt;0,F1066&gt;0),C1066*F1066,""),"")</f>
        <v/>
      </c>
      <c r="AB1066" s="640">
        <f>IF(G1066&gt;=1,IF(F1066&gt;1,C1066*(F1066-2),""),"")</f>
        <v/>
      </c>
      <c r="AD1066" s="911">
        <f>IF(E1066="YES",IF(G1066=1,"",""),IF(G1066=1,C1066,IF(G1066=2,C1066,IF(G1066=0,"",""))))</f>
        <v/>
      </c>
      <c r="AE1066" s="911">
        <f>IF(E1066="YES",IF(G1066=1,"",IF(H1066=1,C1066,"")),IF(H1066=1,C1066,IF(H1066=2,C1066,IF(H1066=0,"",""))))</f>
        <v/>
      </c>
      <c r="AF1066" s="911">
        <f>IF(E1066="YES",IF(I1066=1,C1066,""),IF(I1066=1,C1066,IF(I1066=2,C1066,IF(I1066=0,"",""))))</f>
        <v/>
      </c>
      <c r="AG1066" s="192">
        <f>(C1066*G1066)+(C1066*H1066)+(C1066*I1066)</f>
        <v/>
      </c>
    </row>
    <row r="1067">
      <c r="AA1067" s="640">
        <f>IF(G1067=0, IF(OR(H1067&gt;0,F1067&gt;0),C1067*F1067,""),"")</f>
        <v/>
      </c>
      <c r="AB1067" s="640">
        <f>IF(G1067&gt;=1,IF(F1067&gt;1,C1067*(F1067-2),""),"")</f>
        <v/>
      </c>
      <c r="AD1067" s="911">
        <f>IF(E1067="YES",IF(G1067=1,"",""),IF(G1067=1,C1067,IF(G1067=2,C1067,IF(G1067=0,"",""))))</f>
        <v/>
      </c>
      <c r="AE1067" s="911">
        <f>IF(E1067="YES",IF(G1067=1,"",IF(H1067=1,C1067,"")),IF(H1067=1,C1067,IF(H1067=2,C1067,IF(H1067=0,"",""))))</f>
        <v/>
      </c>
      <c r="AF1067" s="911">
        <f>IF(E1067="YES",IF(I1067=1,C1067,""),IF(I1067=1,C1067,IF(I1067=2,C1067,IF(I1067=0,"",""))))</f>
        <v/>
      </c>
      <c r="AG1067" s="192">
        <f>(C1067*G1067)+(C1067*H1067)+(C1067*I1067)</f>
        <v/>
      </c>
    </row>
    <row r="1068">
      <c r="AA1068" s="640">
        <f>IF(G1068=0, IF(OR(H1068&gt;0,F1068&gt;0),C1068*F1068,""),"")</f>
        <v/>
      </c>
      <c r="AB1068" s="640">
        <f>IF(G1068&gt;=1,IF(F1068&gt;1,C1068*(F1068-2),""),"")</f>
        <v/>
      </c>
      <c r="AD1068" s="911">
        <f>IF(E1068="YES",IF(G1068=1,"",""),IF(G1068=1,C1068,IF(G1068=2,C1068,IF(G1068=0,"",""))))</f>
        <v/>
      </c>
      <c r="AE1068" s="911">
        <f>IF(E1068="YES",IF(G1068=1,"",IF(H1068=1,C1068,"")),IF(H1068=1,C1068,IF(H1068=2,C1068,IF(H1068=0,"",""))))</f>
        <v/>
      </c>
      <c r="AF1068" s="911">
        <f>IF(E1068="YES",IF(I1068=1,C1068,""),IF(I1068=1,C1068,IF(I1068=2,C1068,IF(I1068=0,"",""))))</f>
        <v/>
      </c>
      <c r="AG1068" s="192">
        <f>(C1068*G1068)+(C1068*H1068)+(C1068*I1068)</f>
        <v/>
      </c>
    </row>
    <row r="1069">
      <c r="AA1069" s="640">
        <f>IF(G1069=0, IF(OR(H1069&gt;0,F1069&gt;0),C1069*F1069,""),"")</f>
        <v/>
      </c>
      <c r="AB1069" s="640">
        <f>IF(G1069&gt;=1,IF(F1069&gt;1,C1069*(F1069-2),""),"")</f>
        <v/>
      </c>
      <c r="AD1069" s="911">
        <f>IF(E1069="YES",IF(G1069=1,"",""),IF(G1069=1,C1069,IF(G1069=2,C1069,IF(G1069=0,"",""))))</f>
        <v/>
      </c>
      <c r="AE1069" s="911">
        <f>IF(E1069="YES",IF(G1069=1,"",IF(H1069=1,C1069,"")),IF(H1069=1,C1069,IF(H1069=2,C1069,IF(H1069=0,"",""))))</f>
        <v/>
      </c>
      <c r="AF1069" s="911">
        <f>IF(E1069="YES",IF(I1069=1,C1069,""),IF(I1069=1,C1069,IF(I1069=2,C1069,IF(I1069=0,"",""))))</f>
        <v/>
      </c>
      <c r="AG1069" s="192">
        <f>(C1069*G1069)+(C1069*H1069)+(C1069*I1069)</f>
        <v/>
      </c>
    </row>
    <row r="1070">
      <c r="AA1070" s="640">
        <f>IF(G1070=0, IF(OR(H1070&gt;0,F1070&gt;0),C1070*F1070,""),"")</f>
        <v/>
      </c>
      <c r="AB1070" s="640">
        <f>IF(G1070&gt;=1,IF(F1070&gt;1,C1070*(F1070-2),""),"")</f>
        <v/>
      </c>
      <c r="AD1070" s="911">
        <f>IF(E1070="YES",IF(G1070=1,"",""),IF(G1070=1,C1070,IF(G1070=2,C1070,IF(G1070=0,"",""))))</f>
        <v/>
      </c>
      <c r="AE1070" s="911">
        <f>IF(E1070="YES",IF(G1070=1,"",IF(H1070=1,C1070,"")),IF(H1070=1,C1070,IF(H1070=2,C1070,IF(H1070=0,"",""))))</f>
        <v/>
      </c>
      <c r="AF1070" s="911">
        <f>IF(E1070="YES",IF(I1070=1,C1070,""),IF(I1070=1,C1070,IF(I1070=2,C1070,IF(I1070=0,"",""))))</f>
        <v/>
      </c>
      <c r="AG1070" s="192">
        <f>(C1070*G1070)+(C1070*H1070)+(C1070*I1070)</f>
        <v/>
      </c>
    </row>
    <row r="1071">
      <c r="AA1071" s="640">
        <f>IF(G1071=0, IF(OR(H1071&gt;0,F1071&gt;0),C1071*F1071,""),"")</f>
        <v/>
      </c>
      <c r="AB1071" s="640">
        <f>IF(G1071&gt;=1,IF(F1071&gt;1,C1071*(F1071-2),""),"")</f>
        <v/>
      </c>
      <c r="AD1071" s="911">
        <f>IF(E1071="YES",IF(G1071=1,"",""),IF(G1071=1,C1071,IF(G1071=2,C1071,IF(G1071=0,"",""))))</f>
        <v/>
      </c>
      <c r="AE1071" s="911">
        <f>IF(E1071="YES",IF(G1071=1,"",IF(H1071=1,C1071,"")),IF(H1071=1,C1071,IF(H1071=2,C1071,IF(H1071=0,"",""))))</f>
        <v/>
      </c>
      <c r="AF1071" s="911">
        <f>IF(E1071="YES",IF(I1071=1,C1071,""),IF(I1071=1,C1071,IF(I1071=2,C1071,IF(I1071=0,"",""))))</f>
        <v/>
      </c>
      <c r="AG1071" s="192">
        <f>(C1071*G1071)+(C1071*H1071)+(C1071*I1071)</f>
        <v/>
      </c>
    </row>
    <row r="1072">
      <c r="AA1072" s="640">
        <f>IF(G1072=0, IF(OR(H1072&gt;0,F1072&gt;0),C1072*F1072,""),"")</f>
        <v/>
      </c>
      <c r="AB1072" s="640">
        <f>IF(G1072&gt;=1,IF(F1072&gt;1,C1072*(F1072-2),""),"")</f>
        <v/>
      </c>
      <c r="AD1072" s="911">
        <f>IF(E1072="YES",IF(G1072=1,"",""),IF(G1072=1,C1072,IF(G1072=2,C1072,IF(G1072=0,"",""))))</f>
        <v/>
      </c>
      <c r="AE1072" s="911">
        <f>IF(E1072="YES",IF(G1072=1,"",IF(H1072=1,C1072,"")),IF(H1072=1,C1072,IF(H1072=2,C1072,IF(H1072=0,"",""))))</f>
        <v/>
      </c>
      <c r="AF1072" s="911">
        <f>IF(E1072="YES",IF(I1072=1,C1072,""),IF(I1072=1,C1072,IF(I1072=2,C1072,IF(I1072=0,"",""))))</f>
        <v/>
      </c>
      <c r="AG1072" s="192">
        <f>(C1072*G1072)+(C1072*H1072)+(C1072*I1072)</f>
        <v/>
      </c>
    </row>
    <row r="1073">
      <c r="AA1073" s="640">
        <f>IF(G1073=0, IF(OR(H1073&gt;0,F1073&gt;0),C1073*F1073,""),"")</f>
        <v/>
      </c>
      <c r="AB1073" s="640">
        <f>IF(G1073&gt;=1,IF(F1073&gt;1,C1073*(F1073-2),""),"")</f>
        <v/>
      </c>
      <c r="AD1073" s="911">
        <f>IF(E1073="YES",IF(G1073=1,"",""),IF(G1073=1,C1073,IF(G1073=2,C1073,IF(G1073=0,"",""))))</f>
        <v/>
      </c>
      <c r="AE1073" s="911">
        <f>IF(E1073="YES",IF(G1073=1,"",IF(H1073=1,C1073,"")),IF(H1073=1,C1073,IF(H1073=2,C1073,IF(H1073=0,"",""))))</f>
        <v/>
      </c>
      <c r="AF1073" s="911">
        <f>IF(E1073="YES",IF(I1073=1,C1073,""),IF(I1073=1,C1073,IF(I1073=2,C1073,IF(I1073=0,"",""))))</f>
        <v/>
      </c>
      <c r="AG1073" s="192">
        <f>(C1073*G1073)+(C1073*H1073)+(C1073*I1073)</f>
        <v/>
      </c>
    </row>
    <row r="1074">
      <c r="AA1074" s="640">
        <f>IF(G1074=0, IF(OR(H1074&gt;0,F1074&gt;0),C1074*F1074,""),"")</f>
        <v/>
      </c>
      <c r="AB1074" s="640">
        <f>IF(G1074&gt;=1,IF(F1074&gt;1,C1074*(F1074-2),""),"")</f>
        <v/>
      </c>
      <c r="AD1074" s="911">
        <f>IF(E1074="YES",IF(G1074=1,"",""),IF(G1074=1,C1074,IF(G1074=2,C1074,IF(G1074=0,"",""))))</f>
        <v/>
      </c>
      <c r="AE1074" s="911">
        <f>IF(E1074="YES",IF(G1074=1,"",IF(H1074=1,C1074,"")),IF(H1074=1,C1074,IF(H1074=2,C1074,IF(H1074=0,"",""))))</f>
        <v/>
      </c>
      <c r="AF1074" s="911">
        <f>IF(E1074="YES",IF(I1074=1,C1074,""),IF(I1074=1,C1074,IF(I1074=2,C1074,IF(I1074=0,"",""))))</f>
        <v/>
      </c>
      <c r="AG1074" s="192">
        <f>(C1074*G1074)+(C1074*H1074)+(C1074*I1074)</f>
        <v/>
      </c>
    </row>
    <row r="1075">
      <c r="AA1075" s="640">
        <f>IF(G1075=0, IF(OR(H1075&gt;0,F1075&gt;0),C1075*F1075,""),"")</f>
        <v/>
      </c>
      <c r="AB1075" s="640">
        <f>IF(G1075&gt;=1,IF(F1075&gt;1,C1075*(F1075-2),""),"")</f>
        <v/>
      </c>
      <c r="AD1075" s="911">
        <f>IF(E1075="YES",IF(G1075=1,"",""),IF(G1075=1,C1075,IF(G1075=2,C1075,IF(G1075=0,"",""))))</f>
        <v/>
      </c>
      <c r="AE1075" s="911">
        <f>IF(E1075="YES",IF(G1075=1,"",IF(H1075=1,C1075,"")),IF(H1075=1,C1075,IF(H1075=2,C1075,IF(H1075=0,"",""))))</f>
        <v/>
      </c>
      <c r="AF1075" s="911">
        <f>IF(E1075="YES",IF(I1075=1,C1075,""),IF(I1075=1,C1075,IF(I1075=2,C1075,IF(I1075=0,"",""))))</f>
        <v/>
      </c>
      <c r="AG1075" s="192">
        <f>(C1075*G1075)+(C1075*H1075)+(C1075*I1075)</f>
        <v/>
      </c>
    </row>
    <row r="1076">
      <c r="AA1076" s="640">
        <f>IF(G1076=0, IF(OR(H1076&gt;0,F1076&gt;0),C1076*F1076,""),"")</f>
        <v/>
      </c>
      <c r="AB1076" s="640">
        <f>IF(G1076&gt;=1,IF(F1076&gt;1,C1076*(F1076-2),""),"")</f>
        <v/>
      </c>
      <c r="AD1076" s="911">
        <f>IF(E1076="YES",IF(G1076=1,"",""),IF(G1076=1,C1076,IF(G1076=2,C1076,IF(G1076=0,"",""))))</f>
        <v/>
      </c>
      <c r="AE1076" s="911">
        <f>IF(E1076="YES",IF(G1076=1,"",IF(H1076=1,C1076,"")),IF(H1076=1,C1076,IF(H1076=2,C1076,IF(H1076=0,"",""))))</f>
        <v/>
      </c>
      <c r="AF1076" s="911">
        <f>IF(E1076="YES",IF(I1076=1,C1076,""),IF(I1076=1,C1076,IF(I1076=2,C1076,IF(I1076=0,"",""))))</f>
        <v/>
      </c>
      <c r="AG1076" s="192">
        <f>(C1076*G1076)+(C1076*H1076)+(C1076*I1076)</f>
        <v/>
      </c>
    </row>
    <row r="1077">
      <c r="AA1077" s="640">
        <f>IF(G1077=0, IF(OR(H1077&gt;0,F1077&gt;0),C1077*F1077,""),"")</f>
        <v/>
      </c>
      <c r="AB1077" s="640">
        <f>IF(G1077&gt;=1,IF(F1077&gt;1,C1077*(F1077-2),""),"")</f>
        <v/>
      </c>
      <c r="AD1077" s="911">
        <f>IF(E1077="YES",IF(G1077=1,"",""),IF(G1077=1,C1077,IF(G1077=2,C1077,IF(G1077=0,"",""))))</f>
        <v/>
      </c>
      <c r="AE1077" s="911">
        <f>IF(E1077="YES",IF(G1077=1,"",IF(H1077=1,C1077,"")),IF(H1077=1,C1077,IF(H1077=2,C1077,IF(H1077=0,"",""))))</f>
        <v/>
      </c>
      <c r="AF1077" s="911">
        <f>IF(E1077="YES",IF(I1077=1,C1077,""),IF(I1077=1,C1077,IF(I1077=2,C1077,IF(I1077=0,"",""))))</f>
        <v/>
      </c>
      <c r="AG1077" s="192">
        <f>(C1077*G1077)+(C1077*H1077)+(C1077*I1077)</f>
        <v/>
      </c>
    </row>
    <row r="1078">
      <c r="AA1078" s="640">
        <f>IF(G1078=0, IF(OR(H1078&gt;0,F1078&gt;0),C1078*F1078,""),"")</f>
        <v/>
      </c>
      <c r="AB1078" s="640">
        <f>IF(G1078&gt;=1,IF(F1078&gt;1,C1078*(F1078-2),""),"")</f>
        <v/>
      </c>
      <c r="AD1078" s="911">
        <f>IF(E1078="YES",IF(G1078=1,"",""),IF(G1078=1,C1078,IF(G1078=2,C1078,IF(G1078=0,"",""))))</f>
        <v/>
      </c>
      <c r="AE1078" s="911">
        <f>IF(E1078="YES",IF(G1078=1,"",IF(H1078=1,C1078,"")),IF(H1078=1,C1078,IF(H1078=2,C1078,IF(H1078=0,"",""))))</f>
        <v/>
      </c>
      <c r="AF1078" s="911">
        <f>IF(E1078="YES",IF(I1078=1,C1078,""),IF(I1078=1,C1078,IF(I1078=2,C1078,IF(I1078=0,"",""))))</f>
        <v/>
      </c>
      <c r="AG1078" s="192">
        <f>(C1078*G1078)+(C1078*H1078)+(C1078*I1078)</f>
        <v/>
      </c>
    </row>
    <row r="1079">
      <c r="AA1079" s="640">
        <f>IF(G1079=0, IF(OR(H1079&gt;0,F1079&gt;0),C1079*F1079,""),"")</f>
        <v/>
      </c>
      <c r="AB1079" s="640">
        <f>IF(G1079&gt;=1,IF(F1079&gt;1,C1079*(F1079-2),""),"")</f>
        <v/>
      </c>
      <c r="AD1079" s="911">
        <f>IF(E1079="YES",IF(G1079=1,"",""),IF(G1079=1,C1079,IF(G1079=2,C1079,IF(G1079=0,"",""))))</f>
        <v/>
      </c>
      <c r="AE1079" s="911">
        <f>IF(E1079="YES",IF(G1079=1,"",IF(H1079=1,C1079,"")),IF(H1079=1,C1079,IF(H1079=2,C1079,IF(H1079=0,"",""))))</f>
        <v/>
      </c>
      <c r="AF1079" s="911">
        <f>IF(E1079="YES",IF(I1079=1,C1079,""),IF(I1079=1,C1079,IF(I1079=2,C1079,IF(I1079=0,"",""))))</f>
        <v/>
      </c>
      <c r="AG1079" s="192">
        <f>(C1079*G1079)+(C1079*H1079)+(C1079*I1079)</f>
        <v/>
      </c>
    </row>
    <row r="1080">
      <c r="AA1080" s="640">
        <f>IF(G1080=0, IF(OR(H1080&gt;0,F1080&gt;0),C1080*F1080,""),"")</f>
        <v/>
      </c>
      <c r="AB1080" s="640">
        <f>IF(G1080&gt;=1,IF(F1080&gt;1,C1080*(F1080-2),""),"")</f>
        <v/>
      </c>
      <c r="AD1080" s="911">
        <f>IF(E1080="YES",IF(G1080=1,"",""),IF(G1080=1,C1080,IF(G1080=2,C1080,IF(G1080=0,"",""))))</f>
        <v/>
      </c>
      <c r="AE1080" s="911">
        <f>IF(E1080="YES",IF(G1080=1,"",IF(H1080=1,C1080,"")),IF(H1080=1,C1080,IF(H1080=2,C1080,IF(H1080=0,"",""))))</f>
        <v/>
      </c>
      <c r="AF1080" s="911">
        <f>IF(E1080="YES",IF(I1080=1,C1080,""),IF(I1080=1,C1080,IF(I1080=2,C1080,IF(I1080=0,"",""))))</f>
        <v/>
      </c>
      <c r="AG1080" s="192">
        <f>(C1080*G1080)+(C1080*H1080)+(C1080*I1080)</f>
        <v/>
      </c>
    </row>
    <row r="1081">
      <c r="AA1081" s="640">
        <f>IF(G1081=0, IF(OR(H1081&gt;0,F1081&gt;0),C1081*F1081,""),"")</f>
        <v/>
      </c>
      <c r="AB1081" s="640">
        <f>IF(G1081&gt;=1,IF(F1081&gt;1,C1081*(F1081-2),""),"")</f>
        <v/>
      </c>
      <c r="AD1081" s="911">
        <f>IF(E1081="YES",IF(G1081=1,"",""),IF(G1081=1,C1081,IF(G1081=2,C1081,IF(G1081=0,"",""))))</f>
        <v/>
      </c>
      <c r="AE1081" s="911">
        <f>IF(E1081="YES",IF(G1081=1,"",IF(H1081=1,C1081,"")),IF(H1081=1,C1081,IF(H1081=2,C1081,IF(H1081=0,"",""))))</f>
        <v/>
      </c>
      <c r="AF1081" s="911">
        <f>IF(E1081="YES",IF(I1081=1,C1081,""),IF(I1081=1,C1081,IF(I1081=2,C1081,IF(I1081=0,"",""))))</f>
        <v/>
      </c>
      <c r="AG1081" s="192">
        <f>(C1081*G1081)+(C1081*H1081)+(C1081*I1081)</f>
        <v/>
      </c>
    </row>
    <row r="1082">
      <c r="AA1082" s="640">
        <f>IF(G1082=0, IF(OR(H1082&gt;0,F1082&gt;0),C1082*F1082,""),"")</f>
        <v/>
      </c>
      <c r="AB1082" s="640">
        <f>IF(G1082&gt;=1,IF(F1082&gt;1,C1082*(F1082-2),""),"")</f>
        <v/>
      </c>
      <c r="AD1082" s="911">
        <f>IF(E1082="YES",IF(G1082=1,"",""),IF(G1082=1,C1082,IF(G1082=2,C1082,IF(G1082=0,"",""))))</f>
        <v/>
      </c>
      <c r="AE1082" s="911">
        <f>IF(E1082="YES",IF(G1082=1,"",IF(H1082=1,C1082,"")),IF(H1082=1,C1082,IF(H1082=2,C1082,IF(H1082=0,"",""))))</f>
        <v/>
      </c>
      <c r="AF1082" s="911">
        <f>IF(E1082="YES",IF(I1082=1,C1082,""),IF(I1082=1,C1082,IF(I1082=2,C1082,IF(I1082=0,"",""))))</f>
        <v/>
      </c>
      <c r="AG1082" s="192">
        <f>(C1082*G1082)+(C1082*H1082)+(C1082*I1082)</f>
        <v/>
      </c>
    </row>
    <row r="1083">
      <c r="AA1083" s="640">
        <f>IF(G1083=0, IF(OR(H1083&gt;0,F1083&gt;0),C1083*F1083,""),"")</f>
        <v/>
      </c>
      <c r="AB1083" s="640">
        <f>IF(G1083&gt;=1,IF(F1083&gt;1,C1083*(F1083-2),""),"")</f>
        <v/>
      </c>
      <c r="AD1083" s="911">
        <f>IF(E1083="YES",IF(G1083=1,"",""),IF(G1083=1,C1083,IF(G1083=2,C1083,IF(G1083=0,"",""))))</f>
        <v/>
      </c>
      <c r="AE1083" s="911">
        <f>IF(E1083="YES",IF(G1083=1,"",IF(H1083=1,C1083,"")),IF(H1083=1,C1083,IF(H1083=2,C1083,IF(H1083=0,"",""))))</f>
        <v/>
      </c>
      <c r="AF1083" s="911">
        <f>IF(E1083="YES",IF(I1083=1,C1083,""),IF(I1083=1,C1083,IF(I1083=2,C1083,IF(I1083=0,"",""))))</f>
        <v/>
      </c>
      <c r="AG1083" s="192">
        <f>(C1083*G1083)+(C1083*H1083)+(C1083*I1083)</f>
        <v/>
      </c>
    </row>
    <row r="1084">
      <c r="AA1084" s="640">
        <f>IF(G1084=0, IF(OR(H1084&gt;0,F1084&gt;0),C1084*F1084,""),"")</f>
        <v/>
      </c>
      <c r="AB1084" s="640">
        <f>IF(G1084&gt;=1,IF(F1084&gt;1,C1084*(F1084-2),""),"")</f>
        <v/>
      </c>
      <c r="AD1084" s="911">
        <f>IF(E1084="YES",IF(G1084=1,"",""),IF(G1084=1,C1084,IF(G1084=2,C1084,IF(G1084=0,"",""))))</f>
        <v/>
      </c>
      <c r="AE1084" s="911">
        <f>IF(E1084="YES",IF(G1084=1,"",IF(H1084=1,C1084,"")),IF(H1084=1,C1084,IF(H1084=2,C1084,IF(H1084=0,"",""))))</f>
        <v/>
      </c>
      <c r="AF1084" s="911">
        <f>IF(E1084="YES",IF(I1084=1,C1084,""),IF(I1084=1,C1084,IF(I1084=2,C1084,IF(I1084=0,"",""))))</f>
        <v/>
      </c>
      <c r="AG1084" s="192">
        <f>(C1084*G1084)+(C1084*H1084)+(C1084*I1084)</f>
        <v/>
      </c>
    </row>
    <row r="1085">
      <c r="AA1085" s="640">
        <f>IF(G1085=0, IF(OR(H1085&gt;0,F1085&gt;0),C1085*F1085,""),"")</f>
        <v/>
      </c>
      <c r="AB1085" s="640">
        <f>IF(G1085&gt;=1,IF(F1085&gt;1,C1085*(F1085-2),""),"")</f>
        <v/>
      </c>
      <c r="AD1085" s="911">
        <f>IF(E1085="YES",IF(G1085=1,"",""),IF(G1085=1,C1085,IF(G1085=2,C1085,IF(G1085=0,"",""))))</f>
        <v/>
      </c>
      <c r="AE1085" s="911">
        <f>IF(E1085="YES",IF(G1085=1,"",IF(H1085=1,C1085,"")),IF(H1085=1,C1085,IF(H1085=2,C1085,IF(H1085=0,"",""))))</f>
        <v/>
      </c>
      <c r="AF1085" s="911">
        <f>IF(E1085="YES",IF(I1085=1,C1085,""),IF(I1085=1,C1085,IF(I1085=2,C1085,IF(I1085=0,"",""))))</f>
        <v/>
      </c>
      <c r="AG1085" s="192">
        <f>(C1085*G1085)+(C1085*H1085)+(C1085*I1085)</f>
        <v/>
      </c>
    </row>
    <row r="1086">
      <c r="AA1086" s="640">
        <f>IF(G1086=0, IF(OR(H1086&gt;0,F1086&gt;0),C1086*F1086,""),"")</f>
        <v/>
      </c>
      <c r="AB1086" s="640">
        <f>IF(G1086&gt;=1,IF(F1086&gt;1,C1086*(F1086-2),""),"")</f>
        <v/>
      </c>
      <c r="AD1086" s="911">
        <f>IF(E1086="YES",IF(G1086=1,"",""),IF(G1086=1,C1086,IF(G1086=2,C1086,IF(G1086=0,"",""))))</f>
        <v/>
      </c>
      <c r="AE1086" s="911">
        <f>IF(E1086="YES",IF(G1086=1,"",IF(H1086=1,C1086,"")),IF(H1086=1,C1086,IF(H1086=2,C1086,IF(H1086=0,"",""))))</f>
        <v/>
      </c>
      <c r="AF1086" s="911">
        <f>IF(E1086="YES",IF(I1086=1,C1086,""),IF(I1086=1,C1086,IF(I1086=2,C1086,IF(I1086=0,"",""))))</f>
        <v/>
      </c>
      <c r="AG1086" s="192">
        <f>(C1086*G1086)+(C1086*H1086)+(C1086*I1086)</f>
        <v/>
      </c>
    </row>
    <row r="1087">
      <c r="AA1087" s="640">
        <f>IF(G1087=0, IF(OR(H1087&gt;0,F1087&gt;0),C1087*F1087,""),"")</f>
        <v/>
      </c>
      <c r="AB1087" s="640">
        <f>IF(G1087&gt;=1,IF(F1087&gt;1,C1087*(F1087-2),""),"")</f>
        <v/>
      </c>
      <c r="AD1087" s="911">
        <f>IF(E1087="YES",IF(G1087=1,"",""),IF(G1087=1,C1087,IF(G1087=2,C1087,IF(G1087=0,"",""))))</f>
        <v/>
      </c>
      <c r="AE1087" s="911">
        <f>IF(E1087="YES",IF(G1087=1,"",IF(H1087=1,C1087,"")),IF(H1087=1,C1087,IF(H1087=2,C1087,IF(H1087=0,"",""))))</f>
        <v/>
      </c>
      <c r="AF1087" s="911">
        <f>IF(E1087="YES",IF(I1087=1,C1087,""),IF(I1087=1,C1087,IF(I1087=2,C1087,IF(I1087=0,"",""))))</f>
        <v/>
      </c>
      <c r="AG1087" s="192">
        <f>(C1087*G1087)+(C1087*H1087)+(C1087*I1087)</f>
        <v/>
      </c>
    </row>
    <row r="1088">
      <c r="AA1088" s="640">
        <f>IF(G1088=0, IF(OR(H1088&gt;0,F1088&gt;0),C1088*F1088,""),"")</f>
        <v/>
      </c>
      <c r="AB1088" s="640">
        <f>IF(G1088&gt;=1,IF(F1088&gt;1,C1088*(F1088-2),""),"")</f>
        <v/>
      </c>
      <c r="AD1088" s="911">
        <f>IF(E1088="YES",IF(G1088=1,"",""),IF(G1088=1,C1088,IF(G1088=2,C1088,IF(G1088=0,"",""))))</f>
        <v/>
      </c>
      <c r="AE1088" s="911">
        <f>IF(E1088="YES",IF(G1088=1,"",IF(H1088=1,C1088,"")),IF(H1088=1,C1088,IF(H1088=2,C1088,IF(H1088=0,"",""))))</f>
        <v/>
      </c>
      <c r="AF1088" s="911">
        <f>IF(E1088="YES",IF(I1088=1,C1088,""),IF(I1088=1,C1088,IF(I1088=2,C1088,IF(I1088=0,"",""))))</f>
        <v/>
      </c>
      <c r="AG1088" s="192">
        <f>(C1088*G1088)+(C1088*H1088)+(C1088*I1088)</f>
        <v/>
      </c>
    </row>
    <row r="1089">
      <c r="AA1089" s="640">
        <f>IF(G1089=0, IF(OR(H1089&gt;0,F1089&gt;0),C1089*F1089,""),"")</f>
        <v/>
      </c>
      <c r="AB1089" s="640">
        <f>IF(G1089&gt;=1,IF(F1089&gt;1,C1089*(F1089-2),""),"")</f>
        <v/>
      </c>
      <c r="AD1089" s="911">
        <f>IF(E1089="YES",IF(G1089=1,"",""),IF(G1089=1,C1089,IF(G1089=2,C1089,IF(G1089=0,"",""))))</f>
        <v/>
      </c>
      <c r="AE1089" s="911">
        <f>IF(E1089="YES",IF(G1089=1,"",IF(H1089=1,C1089,"")),IF(H1089=1,C1089,IF(H1089=2,C1089,IF(H1089=0,"",""))))</f>
        <v/>
      </c>
      <c r="AF1089" s="911">
        <f>IF(E1089="YES",IF(I1089=1,C1089,""),IF(I1089=1,C1089,IF(I1089=2,C1089,IF(I1089=0,"",""))))</f>
        <v/>
      </c>
      <c r="AG1089" s="192">
        <f>(C1089*G1089)+(C1089*H1089)+(C1089*I1089)</f>
        <v/>
      </c>
    </row>
    <row r="1090">
      <c r="AA1090" s="640">
        <f>IF(G1090=0, IF(OR(H1090&gt;0,F1090&gt;0),C1090*F1090,""),"")</f>
        <v/>
      </c>
      <c r="AB1090" s="640">
        <f>IF(G1090&gt;=1,IF(F1090&gt;1,C1090*(F1090-2),""),"")</f>
        <v/>
      </c>
      <c r="AD1090" s="911">
        <f>IF(E1090="YES",IF(G1090=1,"",""),IF(G1090=1,C1090,IF(G1090=2,C1090,IF(G1090=0,"",""))))</f>
        <v/>
      </c>
      <c r="AE1090" s="911">
        <f>IF(E1090="YES",IF(G1090=1,"",IF(H1090=1,C1090,"")),IF(H1090=1,C1090,IF(H1090=2,C1090,IF(H1090=0,"",""))))</f>
        <v/>
      </c>
      <c r="AF1090" s="911">
        <f>IF(E1090="YES",IF(I1090=1,C1090,""),IF(I1090=1,C1090,IF(I1090=2,C1090,IF(I1090=0,"",""))))</f>
        <v/>
      </c>
      <c r="AG1090" s="192">
        <f>(C1090*G1090)+(C1090*H1090)+(C1090*I1090)</f>
        <v/>
      </c>
    </row>
    <row r="1091">
      <c r="AA1091" s="640">
        <f>IF(G1091=0, IF(OR(H1091&gt;0,F1091&gt;0),C1091*F1091,""),"")</f>
        <v/>
      </c>
      <c r="AB1091" s="640">
        <f>IF(G1091&gt;=1,IF(F1091&gt;1,C1091*(F1091-2),""),"")</f>
        <v/>
      </c>
      <c r="AD1091" s="911">
        <f>IF(E1091="YES",IF(G1091=1,"",""),IF(G1091=1,C1091,IF(G1091=2,C1091,IF(G1091=0,"",""))))</f>
        <v/>
      </c>
      <c r="AE1091" s="911">
        <f>IF(E1091="YES",IF(G1091=1,"",IF(H1091=1,C1091,"")),IF(H1091=1,C1091,IF(H1091=2,C1091,IF(H1091=0,"",""))))</f>
        <v/>
      </c>
      <c r="AF1091" s="911">
        <f>IF(E1091="YES",IF(I1091=1,C1091,""),IF(I1091=1,C1091,IF(I1091=2,C1091,IF(I1091=0,"",""))))</f>
        <v/>
      </c>
      <c r="AG1091" s="192">
        <f>(C1091*G1091)+(C1091*H1091)+(C1091*I1091)</f>
        <v/>
      </c>
    </row>
    <row r="1092">
      <c r="AA1092" s="640">
        <f>IF(G1092=0, IF(OR(H1092&gt;0,F1092&gt;0),C1092*F1092,""),"")</f>
        <v/>
      </c>
      <c r="AB1092" s="640">
        <f>IF(G1092&gt;=1,IF(F1092&gt;1,C1092*(F1092-2),""),"")</f>
        <v/>
      </c>
      <c r="AD1092" s="911">
        <f>IF(E1092="YES",IF(G1092=1,"",""),IF(G1092=1,C1092,IF(G1092=2,C1092,IF(G1092=0,"",""))))</f>
        <v/>
      </c>
      <c r="AE1092" s="911">
        <f>IF(E1092="YES",IF(G1092=1,"",IF(H1092=1,C1092,"")),IF(H1092=1,C1092,IF(H1092=2,C1092,IF(H1092=0,"",""))))</f>
        <v/>
      </c>
      <c r="AF1092" s="911">
        <f>IF(E1092="YES",IF(I1092=1,C1092,""),IF(I1092=1,C1092,IF(I1092=2,C1092,IF(I1092=0,"",""))))</f>
        <v/>
      </c>
      <c r="AG1092" s="192">
        <f>(C1092*G1092)+(C1092*H1092)+(C1092*I1092)</f>
        <v/>
      </c>
    </row>
    <row r="1093">
      <c r="AA1093" s="640">
        <f>IF(G1093=0, IF(OR(H1093&gt;0,F1093&gt;0),C1093*F1093,""),"")</f>
        <v/>
      </c>
      <c r="AB1093" s="640">
        <f>IF(G1093&gt;=1,IF(F1093&gt;1,C1093*(F1093-2),""),"")</f>
        <v/>
      </c>
      <c r="AD1093" s="911">
        <f>IF(E1093="YES",IF(G1093=1,"",""),IF(G1093=1,C1093,IF(G1093=2,C1093,IF(G1093=0,"",""))))</f>
        <v/>
      </c>
      <c r="AE1093" s="911">
        <f>IF(E1093="YES",IF(G1093=1,"",IF(H1093=1,C1093,"")),IF(H1093=1,C1093,IF(H1093=2,C1093,IF(H1093=0,"",""))))</f>
        <v/>
      </c>
      <c r="AF1093" s="911">
        <f>IF(E1093="YES",IF(I1093=1,C1093,""),IF(I1093=1,C1093,IF(I1093=2,C1093,IF(I1093=0,"",""))))</f>
        <v/>
      </c>
      <c r="AG1093" s="192">
        <f>(C1093*G1093)+(C1093*H1093)+(C1093*I1093)</f>
        <v/>
      </c>
    </row>
    <row r="1094">
      <c r="AA1094" s="640">
        <f>IF(G1094=0, IF(OR(H1094&gt;0,F1094&gt;0),C1094*F1094,""),"")</f>
        <v/>
      </c>
      <c r="AB1094" s="640">
        <f>IF(G1094&gt;=1,IF(F1094&gt;1,C1094*(F1094-2),""),"")</f>
        <v/>
      </c>
      <c r="AD1094" s="911">
        <f>IF(E1094="YES",IF(G1094=1,"",""),IF(G1094=1,C1094,IF(G1094=2,C1094,IF(G1094=0,"",""))))</f>
        <v/>
      </c>
      <c r="AE1094" s="911">
        <f>IF(E1094="YES",IF(G1094=1,"",IF(H1094=1,C1094,"")),IF(H1094=1,C1094,IF(H1094=2,C1094,IF(H1094=0,"",""))))</f>
        <v/>
      </c>
      <c r="AF1094" s="911">
        <f>IF(E1094="YES",IF(I1094=1,C1094,""),IF(I1094=1,C1094,IF(I1094=2,C1094,IF(I1094=0,"",""))))</f>
        <v/>
      </c>
      <c r="AG1094" s="192">
        <f>(C1094*G1094)+(C1094*H1094)+(C1094*I1094)</f>
        <v/>
      </c>
    </row>
    <row r="1095">
      <c r="AA1095" s="640">
        <f>IF(G1095=0, IF(OR(H1095&gt;0,F1095&gt;0),C1095*F1095,""),"")</f>
        <v/>
      </c>
      <c r="AB1095" s="640">
        <f>IF(G1095&gt;=1,IF(F1095&gt;1,C1095*(F1095-2),""),"")</f>
        <v/>
      </c>
      <c r="AD1095" s="911">
        <f>IF(E1095="YES",IF(G1095=1,"",""),IF(G1095=1,C1095,IF(G1095=2,C1095,IF(G1095=0,"",""))))</f>
        <v/>
      </c>
      <c r="AE1095" s="911">
        <f>IF(E1095="YES",IF(G1095=1,"",IF(H1095=1,C1095,"")),IF(H1095=1,C1095,IF(H1095=2,C1095,IF(H1095=0,"",""))))</f>
        <v/>
      </c>
      <c r="AF1095" s="911">
        <f>IF(E1095="YES",IF(I1095=1,C1095,""),IF(I1095=1,C1095,IF(I1095=2,C1095,IF(I1095=0,"",""))))</f>
        <v/>
      </c>
      <c r="AG1095" s="192">
        <f>(C1095*G1095)+(C1095*H1095)+(C1095*I1095)</f>
        <v/>
      </c>
    </row>
    <row r="1096">
      <c r="AA1096" s="640">
        <f>IF(G1096=0, IF(OR(H1096&gt;0,F1096&gt;0),C1096*F1096,""),"")</f>
        <v/>
      </c>
      <c r="AB1096" s="640">
        <f>IF(G1096&gt;=1,IF(F1096&gt;1,C1096*(F1096-2),""),"")</f>
        <v/>
      </c>
      <c r="AD1096" s="911">
        <f>IF(E1096="YES",IF(G1096=1,"",""),IF(G1096=1,C1096,IF(G1096=2,C1096,IF(G1096=0,"",""))))</f>
        <v/>
      </c>
      <c r="AE1096" s="911">
        <f>IF(E1096="YES",IF(G1096=1,"",IF(H1096=1,C1096,"")),IF(H1096=1,C1096,IF(H1096=2,C1096,IF(H1096=0,"",""))))</f>
        <v/>
      </c>
      <c r="AF1096" s="911">
        <f>IF(E1096="YES",IF(I1096=1,C1096,""),IF(I1096=1,C1096,IF(I1096=2,C1096,IF(I1096=0,"",""))))</f>
        <v/>
      </c>
      <c r="AG1096" s="192">
        <f>(C1096*G1096)+(C1096*H1096)+(C1096*I1096)</f>
        <v/>
      </c>
    </row>
    <row r="1097">
      <c r="AA1097" s="640">
        <f>IF(G1097=0, IF(OR(H1097&gt;0,F1097&gt;0),C1097*F1097,""),"")</f>
        <v/>
      </c>
      <c r="AB1097" s="640">
        <f>IF(G1097&gt;=1,IF(F1097&gt;1,C1097*(F1097-2),""),"")</f>
        <v/>
      </c>
      <c r="AD1097" s="911">
        <f>IF(E1097="YES",IF(G1097=1,"",""),IF(G1097=1,C1097,IF(G1097=2,C1097,IF(G1097=0,"",""))))</f>
        <v/>
      </c>
      <c r="AE1097" s="911">
        <f>IF(E1097="YES",IF(G1097=1,"",IF(H1097=1,C1097,"")),IF(H1097=1,C1097,IF(H1097=2,C1097,IF(H1097=0,"",""))))</f>
        <v/>
      </c>
      <c r="AF1097" s="911">
        <f>IF(E1097="YES",IF(I1097=1,C1097,""),IF(I1097=1,C1097,IF(I1097=2,C1097,IF(I1097=0,"",""))))</f>
        <v/>
      </c>
      <c r="AG1097" s="192">
        <f>(C1097*G1097)+(C1097*H1097)+(C1097*I1097)</f>
        <v/>
      </c>
    </row>
    <row r="1098">
      <c r="AA1098" s="640">
        <f>IF(G1098=0, IF(OR(H1098&gt;0,F1098&gt;0),C1098*F1098,""),"")</f>
        <v/>
      </c>
      <c r="AB1098" s="640">
        <f>IF(G1098&gt;=1,IF(F1098&gt;1,C1098*(F1098-2),""),"")</f>
        <v/>
      </c>
      <c r="AD1098" s="911">
        <f>IF(E1098="YES",IF(G1098=1,"",""),IF(G1098=1,C1098,IF(G1098=2,C1098,IF(G1098=0,"",""))))</f>
        <v/>
      </c>
      <c r="AE1098" s="911">
        <f>IF(E1098="YES",IF(G1098=1,"",IF(H1098=1,C1098,"")),IF(H1098=1,C1098,IF(H1098=2,C1098,IF(H1098=0,"",""))))</f>
        <v/>
      </c>
      <c r="AF1098" s="911">
        <f>IF(E1098="YES",IF(I1098=1,C1098,""),IF(I1098=1,C1098,IF(I1098=2,C1098,IF(I1098=0,"",""))))</f>
        <v/>
      </c>
      <c r="AG1098" s="192">
        <f>(C1098*G1098)+(C1098*H1098)+(C1098*I1098)</f>
        <v/>
      </c>
    </row>
    <row r="1099">
      <c r="AA1099" s="640">
        <f>IF(G1099=0, IF(OR(H1099&gt;0,F1099&gt;0),C1099*F1099,""),"")</f>
        <v/>
      </c>
      <c r="AB1099" s="640">
        <f>IF(G1099&gt;=1,IF(F1099&gt;1,C1099*(F1099-2),""),"")</f>
        <v/>
      </c>
      <c r="AD1099" s="911">
        <f>IF(E1099="YES",IF(G1099=1,"",""),IF(G1099=1,C1099,IF(G1099=2,C1099,IF(G1099=0,"",""))))</f>
        <v/>
      </c>
      <c r="AE1099" s="911">
        <f>IF(E1099="YES",IF(G1099=1,"",IF(H1099=1,C1099,"")),IF(H1099=1,C1099,IF(H1099=2,C1099,IF(H1099=0,"",""))))</f>
        <v/>
      </c>
      <c r="AF1099" s="911">
        <f>IF(E1099="YES",IF(I1099=1,C1099,""),IF(I1099=1,C1099,IF(I1099=2,C1099,IF(I1099=0,"",""))))</f>
        <v/>
      </c>
      <c r="AG1099" s="192">
        <f>(C1099*G1099)+(C1099*H1099)+(C1099*I1099)</f>
        <v/>
      </c>
    </row>
    <row r="1100">
      <c r="AA1100" s="640">
        <f>IF(G1100=0, IF(OR(H1100&gt;0,F1100&gt;0),C1100*F1100,""),"")</f>
        <v/>
      </c>
      <c r="AB1100" s="640">
        <f>IF(G1100&gt;=1,IF(F1100&gt;1,C1100*(F1100-2),""),"")</f>
        <v/>
      </c>
      <c r="AD1100" s="911">
        <f>IF(E1100="YES",IF(G1100=1,"",""),IF(G1100=1,C1100,IF(G1100=2,C1100,IF(G1100=0,"",""))))</f>
        <v/>
      </c>
      <c r="AE1100" s="911">
        <f>IF(E1100="YES",IF(G1100=1,"",IF(H1100=1,C1100,"")),IF(H1100=1,C1100,IF(H1100=2,C1100,IF(H1100=0,"",""))))</f>
        <v/>
      </c>
      <c r="AF1100" s="911">
        <f>IF(E1100="YES",IF(I1100=1,C1100,""),IF(I1100=1,C1100,IF(I1100=2,C1100,IF(I1100=0,"",""))))</f>
        <v/>
      </c>
      <c r="AG1100" s="192">
        <f>(C1100*G1100)+(C1100*H1100)+(C1100*I1100)</f>
        <v/>
      </c>
    </row>
    <row r="1101">
      <c r="AA1101" s="640">
        <f>IF(G1101=0, IF(OR(H1101&gt;0,F1101&gt;0),C1101*F1101,""),"")</f>
        <v/>
      </c>
      <c r="AB1101" s="640">
        <f>IF(G1101&gt;=1,IF(F1101&gt;1,C1101*(F1101-2),""),"")</f>
        <v/>
      </c>
      <c r="AD1101" s="911">
        <f>IF(E1101="YES",IF(G1101=1,"",""),IF(G1101=1,C1101,IF(G1101=2,C1101,IF(G1101=0,"",""))))</f>
        <v/>
      </c>
      <c r="AE1101" s="911">
        <f>IF(E1101="YES",IF(G1101=1,"",IF(H1101=1,C1101,"")),IF(H1101=1,C1101,IF(H1101=2,C1101,IF(H1101=0,"",""))))</f>
        <v/>
      </c>
      <c r="AF1101" s="911">
        <f>IF(E1101="YES",IF(I1101=1,C1101,""),IF(I1101=1,C1101,IF(I1101=2,C1101,IF(I1101=0,"",""))))</f>
        <v/>
      </c>
      <c r="AG1101" s="192">
        <f>(C1101*G1101)+(C1101*H1101)+(C1101*I1101)</f>
        <v/>
      </c>
    </row>
    <row r="1102">
      <c r="AA1102" s="640">
        <f>IF(G1102=0, IF(OR(H1102&gt;0,F1102&gt;0),C1102*F1102,""),"")</f>
        <v/>
      </c>
      <c r="AB1102" s="640">
        <f>IF(G1102&gt;=1,IF(F1102&gt;1,C1102*(F1102-2),""),"")</f>
        <v/>
      </c>
      <c r="AD1102" s="911">
        <f>IF(E1102="YES",IF(G1102=1,"",""),IF(G1102=1,C1102,IF(G1102=2,C1102,IF(G1102=0,"",""))))</f>
        <v/>
      </c>
      <c r="AE1102" s="911">
        <f>IF(E1102="YES",IF(G1102=1,"",IF(H1102=1,C1102,"")),IF(H1102=1,C1102,IF(H1102=2,C1102,IF(H1102=0,"",""))))</f>
        <v/>
      </c>
      <c r="AF1102" s="911">
        <f>IF(E1102="YES",IF(I1102=1,C1102,""),IF(I1102=1,C1102,IF(I1102=2,C1102,IF(I1102=0,"",""))))</f>
        <v/>
      </c>
      <c r="AG1102" s="192">
        <f>(C1102*G1102)+(C1102*H1102)+(C1102*I1102)</f>
        <v/>
      </c>
    </row>
    <row r="1103">
      <c r="AA1103" s="640">
        <f>IF(G1103=0, IF(OR(H1103&gt;0,F1103&gt;0),C1103*F1103,""),"")</f>
        <v/>
      </c>
      <c r="AB1103" s="640">
        <f>IF(G1103&gt;=1,IF(F1103&gt;1,C1103*(F1103-2),""),"")</f>
        <v/>
      </c>
      <c r="AD1103" s="911">
        <f>IF(E1103="YES",IF(G1103=1,"",""),IF(G1103=1,C1103,IF(G1103=2,C1103,IF(G1103=0,"",""))))</f>
        <v/>
      </c>
      <c r="AE1103" s="911">
        <f>IF(E1103="YES",IF(G1103=1,"",IF(H1103=1,C1103,"")),IF(H1103=1,C1103,IF(H1103=2,C1103,IF(H1103=0,"",""))))</f>
        <v/>
      </c>
      <c r="AF1103" s="911">
        <f>IF(E1103="YES",IF(I1103=1,C1103,""),IF(I1103=1,C1103,IF(I1103=2,C1103,IF(I1103=0,"",""))))</f>
        <v/>
      </c>
      <c r="AG1103" s="192">
        <f>(C1103*G1103)+(C1103*H1103)+(C1103*I1103)</f>
        <v/>
      </c>
    </row>
    <row r="1104">
      <c r="AA1104" s="640">
        <f>IF(G1104=0, IF(OR(H1104&gt;0,F1104&gt;0),C1104*F1104,""),"")</f>
        <v/>
      </c>
      <c r="AB1104" s="640">
        <f>IF(G1104&gt;=1,IF(F1104&gt;1,C1104*(F1104-2),""),"")</f>
        <v/>
      </c>
      <c r="AD1104" s="911">
        <f>IF(E1104="YES",IF(G1104=1,"",""),IF(G1104=1,C1104,IF(G1104=2,C1104,IF(G1104=0,"",""))))</f>
        <v/>
      </c>
      <c r="AE1104" s="911">
        <f>IF(E1104="YES",IF(G1104=1,"",IF(H1104=1,C1104,"")),IF(H1104=1,C1104,IF(H1104=2,C1104,IF(H1104=0,"",""))))</f>
        <v/>
      </c>
      <c r="AF1104" s="911">
        <f>IF(E1104="YES",IF(I1104=1,C1104,""),IF(I1104=1,C1104,IF(I1104=2,C1104,IF(I1104=0,"",""))))</f>
        <v/>
      </c>
      <c r="AG1104" s="192">
        <f>(C1104*G1104)+(C1104*H1104)+(C1104*I1104)</f>
        <v/>
      </c>
    </row>
    <row r="1105">
      <c r="AA1105" s="640">
        <f>IF(G1105=0, IF(OR(H1105&gt;0,F1105&gt;0),C1105*F1105,""),"")</f>
        <v/>
      </c>
      <c r="AB1105" s="640">
        <f>IF(G1105&gt;=1,IF(F1105&gt;1,C1105*(F1105-2),""),"")</f>
        <v/>
      </c>
      <c r="AD1105" s="911">
        <f>IF(E1105="YES",IF(G1105=1,"",""),IF(G1105=1,C1105,IF(G1105=2,C1105,IF(G1105=0,"",""))))</f>
        <v/>
      </c>
      <c r="AE1105" s="911">
        <f>IF(E1105="YES",IF(G1105=1,"",IF(H1105=1,C1105,"")),IF(H1105=1,C1105,IF(H1105=2,C1105,IF(H1105=0,"",""))))</f>
        <v/>
      </c>
      <c r="AF1105" s="911">
        <f>IF(E1105="YES",IF(I1105=1,C1105,""),IF(I1105=1,C1105,IF(I1105=2,C1105,IF(I1105=0,"",""))))</f>
        <v/>
      </c>
      <c r="AG1105" s="192">
        <f>(C1105*G1105)+(C1105*H1105)+(C1105*I1105)</f>
        <v/>
      </c>
    </row>
    <row r="1106">
      <c r="AA1106" s="640">
        <f>IF(G1106=0, IF(OR(H1106&gt;0,F1106&gt;0),C1106*F1106,""),"")</f>
        <v/>
      </c>
      <c r="AB1106" s="640">
        <f>IF(G1106&gt;=1,IF(F1106&gt;1,C1106*(F1106-2),""),"")</f>
        <v/>
      </c>
      <c r="AD1106" s="911">
        <f>IF(E1106="YES",IF(G1106=1,"",""),IF(G1106=1,C1106,IF(G1106=2,C1106,IF(G1106=0,"",""))))</f>
        <v/>
      </c>
      <c r="AE1106" s="911">
        <f>IF(E1106="YES",IF(G1106=1,"",IF(H1106=1,C1106,"")),IF(H1106=1,C1106,IF(H1106=2,C1106,IF(H1106=0,"",""))))</f>
        <v/>
      </c>
      <c r="AF1106" s="911">
        <f>IF(E1106="YES",IF(I1106=1,C1106,""),IF(I1106=1,C1106,IF(I1106=2,C1106,IF(I1106=0,"",""))))</f>
        <v/>
      </c>
      <c r="AG1106" s="192">
        <f>(C1106*G1106)+(C1106*H1106)+(C1106*I1106)</f>
        <v/>
      </c>
    </row>
    <row r="1107">
      <c r="AA1107" s="640">
        <f>IF(G1107=0, IF(OR(H1107&gt;0,F1107&gt;0),C1107*F1107,""),"")</f>
        <v/>
      </c>
      <c r="AB1107" s="640">
        <f>IF(G1107&gt;=1,IF(F1107&gt;1,C1107*(F1107-2),""),"")</f>
        <v/>
      </c>
      <c r="AD1107" s="911">
        <f>IF(E1107="YES",IF(G1107=1,"",""),IF(G1107=1,C1107,IF(G1107=2,C1107,IF(G1107=0,"",""))))</f>
        <v/>
      </c>
      <c r="AE1107" s="911">
        <f>IF(E1107="YES",IF(G1107=1,"",IF(H1107=1,C1107,"")),IF(H1107=1,C1107,IF(H1107=2,C1107,IF(H1107=0,"",""))))</f>
        <v/>
      </c>
      <c r="AF1107" s="911">
        <f>IF(E1107="YES",IF(I1107=1,C1107,""),IF(I1107=1,C1107,IF(I1107=2,C1107,IF(I1107=0,"",""))))</f>
        <v/>
      </c>
      <c r="AG1107" s="192">
        <f>(C1107*G1107)+(C1107*H1107)+(C1107*I1107)</f>
        <v/>
      </c>
    </row>
    <row r="1108">
      <c r="AA1108" s="640">
        <f>IF(G1108=0, IF(OR(H1108&gt;0,F1108&gt;0),C1108*F1108,""),"")</f>
        <v/>
      </c>
      <c r="AB1108" s="640">
        <f>IF(G1108&gt;=1,IF(F1108&gt;1,C1108*(F1108-2),""),"")</f>
        <v/>
      </c>
      <c r="AD1108" s="911">
        <f>IF(E1108="YES",IF(G1108=1,"",""),IF(G1108=1,C1108,IF(G1108=2,C1108,IF(G1108=0,"",""))))</f>
        <v/>
      </c>
      <c r="AE1108" s="911">
        <f>IF(E1108="YES",IF(G1108=1,"",IF(H1108=1,C1108,"")),IF(H1108=1,C1108,IF(H1108=2,C1108,IF(H1108=0,"",""))))</f>
        <v/>
      </c>
      <c r="AF1108" s="911">
        <f>IF(E1108="YES",IF(I1108=1,C1108,""),IF(I1108=1,C1108,IF(I1108=2,C1108,IF(I1108=0,"",""))))</f>
        <v/>
      </c>
      <c r="AG1108" s="192">
        <f>(C1108*G1108)+(C1108*H1108)+(C1108*I1108)</f>
        <v/>
      </c>
    </row>
    <row r="1109">
      <c r="AA1109" s="640">
        <f>IF(G1109=0, IF(OR(H1109&gt;0,F1109&gt;0),C1109*F1109,""),"")</f>
        <v/>
      </c>
      <c r="AB1109" s="640">
        <f>IF(G1109&gt;=1,IF(F1109&gt;1,C1109*(F1109-2),""),"")</f>
        <v/>
      </c>
      <c r="AD1109" s="911">
        <f>IF(E1109="YES",IF(G1109=1,"",""),IF(G1109=1,C1109,IF(G1109=2,C1109,IF(G1109=0,"",""))))</f>
        <v/>
      </c>
      <c r="AE1109" s="911">
        <f>IF(E1109="YES",IF(G1109=1,"",IF(H1109=1,C1109,"")),IF(H1109=1,C1109,IF(H1109=2,C1109,IF(H1109=0,"",""))))</f>
        <v/>
      </c>
      <c r="AF1109" s="911">
        <f>IF(E1109="YES",IF(I1109=1,C1109,""),IF(I1109=1,C1109,IF(I1109=2,C1109,IF(I1109=0,"",""))))</f>
        <v/>
      </c>
      <c r="AG1109" s="192">
        <f>(C1109*G1109)+(C1109*H1109)+(C1109*I1109)</f>
        <v/>
      </c>
    </row>
    <row r="1110">
      <c r="AA1110" s="640">
        <f>IF(G1110=0, IF(OR(H1110&gt;0,F1110&gt;0),C1110*F1110,""),"")</f>
        <v/>
      </c>
      <c r="AB1110" s="640">
        <f>IF(G1110&gt;=1,IF(F1110&gt;1,C1110*(F1110-2),""),"")</f>
        <v/>
      </c>
      <c r="AD1110" s="911">
        <f>IF(E1110="YES",IF(G1110=1,"",""),IF(G1110=1,C1110,IF(G1110=2,C1110,IF(G1110=0,"",""))))</f>
        <v/>
      </c>
      <c r="AE1110" s="911">
        <f>IF(E1110="YES",IF(G1110=1,"",IF(H1110=1,C1110,"")),IF(H1110=1,C1110,IF(H1110=2,C1110,IF(H1110=0,"",""))))</f>
        <v/>
      </c>
      <c r="AF1110" s="911">
        <f>IF(E1110="YES",IF(I1110=1,C1110,""),IF(I1110=1,C1110,IF(I1110=2,C1110,IF(I1110=0,"",""))))</f>
        <v/>
      </c>
      <c r="AG1110" s="192">
        <f>(C1110*G1110)+(C1110*H1110)+(C1110*I1110)</f>
        <v/>
      </c>
    </row>
    <row r="1111">
      <c r="AA1111" s="640">
        <f>IF(G1111=0, IF(OR(H1111&gt;0,F1111&gt;0),C1111*F1111,""),"")</f>
        <v/>
      </c>
      <c r="AB1111" s="640">
        <f>IF(G1111&gt;=1,IF(F1111&gt;1,C1111*(F1111-2),""),"")</f>
        <v/>
      </c>
      <c r="AD1111" s="911">
        <f>IF(E1111="YES",IF(G1111=1,"",""),IF(G1111=1,C1111,IF(G1111=2,C1111,IF(G1111=0,"",""))))</f>
        <v/>
      </c>
      <c r="AE1111" s="911">
        <f>IF(E1111="YES",IF(G1111=1,"",IF(H1111=1,C1111,"")),IF(H1111=1,C1111,IF(H1111=2,C1111,IF(H1111=0,"",""))))</f>
        <v/>
      </c>
      <c r="AF1111" s="911">
        <f>IF(E1111="YES",IF(I1111=1,C1111,""),IF(I1111=1,C1111,IF(I1111=2,C1111,IF(I1111=0,"",""))))</f>
        <v/>
      </c>
      <c r="AG1111" s="192">
        <f>(C1111*G1111)+(C1111*H1111)+(C1111*I1111)</f>
        <v/>
      </c>
    </row>
    <row r="1112">
      <c r="AA1112" s="640">
        <f>IF(G1112=0, IF(OR(H1112&gt;0,F1112&gt;0),C1112*F1112,""),"")</f>
        <v/>
      </c>
      <c r="AB1112" s="640">
        <f>IF(G1112&gt;=1,IF(F1112&gt;1,C1112*(F1112-2),""),"")</f>
        <v/>
      </c>
      <c r="AD1112" s="911">
        <f>IF(E1112="YES",IF(G1112=1,"",""),IF(G1112=1,C1112,IF(G1112=2,C1112,IF(G1112=0,"",""))))</f>
        <v/>
      </c>
      <c r="AE1112" s="911">
        <f>IF(E1112="YES",IF(G1112=1,"",IF(H1112=1,C1112,"")),IF(H1112=1,C1112,IF(H1112=2,C1112,IF(H1112=0,"",""))))</f>
        <v/>
      </c>
      <c r="AF1112" s="911">
        <f>IF(E1112="YES",IF(I1112=1,C1112,""),IF(I1112=1,C1112,IF(I1112=2,C1112,IF(I1112=0,"",""))))</f>
        <v/>
      </c>
      <c r="AG1112" s="192">
        <f>(C1112*G1112)+(C1112*H1112)+(C1112*I1112)</f>
        <v/>
      </c>
    </row>
    <row r="1113">
      <c r="AA1113" s="640">
        <f>IF(G1113=0, IF(OR(H1113&gt;0,F1113&gt;0),C1113*F1113,""),"")</f>
        <v/>
      </c>
      <c r="AB1113" s="640">
        <f>IF(G1113&gt;=1,IF(F1113&gt;1,C1113*(F1113-2),""),"")</f>
        <v/>
      </c>
      <c r="AD1113" s="911">
        <f>IF(E1113="YES",IF(G1113=1,"",""),IF(G1113=1,C1113,IF(G1113=2,C1113,IF(G1113=0,"",""))))</f>
        <v/>
      </c>
      <c r="AE1113" s="911">
        <f>IF(E1113="YES",IF(G1113=1,"",IF(H1113=1,C1113,"")),IF(H1113=1,C1113,IF(H1113=2,C1113,IF(H1113=0,"",""))))</f>
        <v/>
      </c>
      <c r="AF1113" s="911">
        <f>IF(E1113="YES",IF(I1113=1,C1113,""),IF(I1113=1,C1113,IF(I1113=2,C1113,IF(I1113=0,"",""))))</f>
        <v/>
      </c>
      <c r="AG1113" s="192">
        <f>(C1113*G1113)+(C1113*H1113)+(C1113*I1113)</f>
        <v/>
      </c>
    </row>
    <row r="1114">
      <c r="AA1114" s="640">
        <f>IF(G1114=0, IF(OR(H1114&gt;0,F1114&gt;0),C1114*F1114,""),"")</f>
        <v/>
      </c>
      <c r="AB1114" s="640">
        <f>IF(G1114&gt;=1,IF(F1114&gt;1,C1114*(F1114-2),""),"")</f>
        <v/>
      </c>
      <c r="AD1114" s="911">
        <f>IF(E1114="YES",IF(G1114=1,"",""),IF(G1114=1,C1114,IF(G1114=2,C1114,IF(G1114=0,"",""))))</f>
        <v/>
      </c>
      <c r="AE1114" s="911">
        <f>IF(E1114="YES",IF(G1114=1,"",IF(H1114=1,C1114,"")),IF(H1114=1,C1114,IF(H1114=2,C1114,IF(H1114=0,"",""))))</f>
        <v/>
      </c>
      <c r="AF1114" s="911">
        <f>IF(E1114="YES",IF(I1114=1,C1114,""),IF(I1114=1,C1114,IF(I1114=2,C1114,IF(I1114=0,"",""))))</f>
        <v/>
      </c>
      <c r="AG1114" s="192">
        <f>(C1114*G1114)+(C1114*H1114)+(C1114*I1114)</f>
        <v/>
      </c>
    </row>
    <row r="1115">
      <c r="AA1115" s="640">
        <f>IF(G1115=0, IF(OR(H1115&gt;0,F1115&gt;0),C1115*F1115,""),"")</f>
        <v/>
      </c>
      <c r="AB1115" s="640">
        <f>IF(G1115&gt;=1,IF(F1115&gt;1,C1115*(F1115-2),""),"")</f>
        <v/>
      </c>
      <c r="AD1115" s="911">
        <f>IF(E1115="YES",IF(G1115=1,"",""),IF(G1115=1,C1115,IF(G1115=2,C1115,IF(G1115=0,"",""))))</f>
        <v/>
      </c>
      <c r="AE1115" s="911">
        <f>IF(E1115="YES",IF(G1115=1,"",IF(H1115=1,C1115,"")),IF(H1115=1,C1115,IF(H1115=2,C1115,IF(H1115=0,"",""))))</f>
        <v/>
      </c>
      <c r="AF1115" s="911">
        <f>IF(E1115="YES",IF(I1115=1,C1115,""),IF(I1115=1,C1115,IF(I1115=2,C1115,IF(I1115=0,"",""))))</f>
        <v/>
      </c>
      <c r="AG1115" s="192">
        <f>(C1115*G1115)+(C1115*H1115)+(C1115*I1115)</f>
        <v/>
      </c>
    </row>
    <row r="1116">
      <c r="AA1116" s="640">
        <f>IF(G1116=0, IF(OR(H1116&gt;0,F1116&gt;0),C1116*F1116,""),"")</f>
        <v/>
      </c>
      <c r="AB1116" s="640">
        <f>IF(G1116&gt;=1,IF(F1116&gt;1,C1116*(F1116-2),""),"")</f>
        <v/>
      </c>
      <c r="AD1116" s="911">
        <f>IF(E1116="YES",IF(G1116=1,"",""),IF(G1116=1,C1116,IF(G1116=2,C1116,IF(G1116=0,"",""))))</f>
        <v/>
      </c>
      <c r="AE1116" s="911">
        <f>IF(E1116="YES",IF(G1116=1,"",IF(H1116=1,C1116,"")),IF(H1116=1,C1116,IF(H1116=2,C1116,IF(H1116=0,"",""))))</f>
        <v/>
      </c>
      <c r="AF1116" s="911">
        <f>IF(E1116="YES",IF(I1116=1,C1116,""),IF(I1116=1,C1116,IF(I1116=2,C1116,IF(I1116=0,"",""))))</f>
        <v/>
      </c>
      <c r="AG1116" s="192">
        <f>(C1116*G1116)+(C1116*H1116)+(C1116*I1116)</f>
        <v/>
      </c>
    </row>
    <row r="1117">
      <c r="AA1117" s="640">
        <f>IF(G1117=0, IF(OR(H1117&gt;0,F1117&gt;0),C1117*F1117,""),"")</f>
        <v/>
      </c>
      <c r="AB1117" s="640">
        <f>IF(G1117&gt;=1,IF(F1117&gt;1,C1117*(F1117-2),""),"")</f>
        <v/>
      </c>
      <c r="AD1117" s="911">
        <f>IF(E1117="YES",IF(G1117=1,"",""),IF(G1117=1,C1117,IF(G1117=2,C1117,IF(G1117=0,"",""))))</f>
        <v/>
      </c>
      <c r="AE1117" s="911">
        <f>IF(E1117="YES",IF(G1117=1,"",IF(H1117=1,C1117,"")),IF(H1117=1,C1117,IF(H1117=2,C1117,IF(H1117=0,"",""))))</f>
        <v/>
      </c>
      <c r="AF1117" s="911">
        <f>IF(E1117="YES",IF(I1117=1,C1117,""),IF(I1117=1,C1117,IF(I1117=2,C1117,IF(I1117=0,"",""))))</f>
        <v/>
      </c>
      <c r="AG1117" s="192">
        <f>(C1117*G1117)+(C1117*H1117)+(C1117*I1117)</f>
        <v/>
      </c>
    </row>
    <row r="1118">
      <c r="AA1118" s="640">
        <f>IF(G1118=0, IF(OR(H1118&gt;0,F1118&gt;0),C1118*F1118,""),"")</f>
        <v/>
      </c>
      <c r="AB1118" s="640">
        <f>IF(G1118&gt;=1,IF(F1118&gt;1,C1118*(F1118-2),""),"")</f>
        <v/>
      </c>
      <c r="AD1118" s="911">
        <f>IF(E1118="YES",IF(G1118=1,"",""),IF(G1118=1,C1118,IF(G1118=2,C1118,IF(G1118=0,"",""))))</f>
        <v/>
      </c>
      <c r="AE1118" s="911">
        <f>IF(E1118="YES",IF(G1118=1,"",IF(H1118=1,C1118,"")),IF(H1118=1,C1118,IF(H1118=2,C1118,IF(H1118=0,"",""))))</f>
        <v/>
      </c>
      <c r="AF1118" s="911">
        <f>IF(E1118="YES",IF(I1118=1,C1118,""),IF(I1118=1,C1118,IF(I1118=2,C1118,IF(I1118=0,"",""))))</f>
        <v/>
      </c>
      <c r="AG1118" s="192">
        <f>(C1118*G1118)+(C1118*H1118)+(C1118*I1118)</f>
        <v/>
      </c>
    </row>
    <row r="1119">
      <c r="AA1119" s="640">
        <f>IF(G1119=0, IF(OR(H1119&gt;0,F1119&gt;0),C1119*F1119,""),"")</f>
        <v/>
      </c>
      <c r="AB1119" s="640">
        <f>IF(G1119&gt;=1,IF(F1119&gt;1,C1119*(F1119-2),""),"")</f>
        <v/>
      </c>
      <c r="AD1119" s="911">
        <f>IF(E1119="YES",IF(G1119=1,"",""),IF(G1119=1,C1119,IF(G1119=2,C1119,IF(G1119=0,"",""))))</f>
        <v/>
      </c>
      <c r="AE1119" s="911">
        <f>IF(E1119="YES",IF(G1119=1,"",IF(H1119=1,C1119,"")),IF(H1119=1,C1119,IF(H1119=2,C1119,IF(H1119=0,"",""))))</f>
        <v/>
      </c>
      <c r="AF1119" s="911">
        <f>IF(E1119="YES",IF(I1119=1,C1119,""),IF(I1119=1,C1119,IF(I1119=2,C1119,IF(I1119=0,"",""))))</f>
        <v/>
      </c>
      <c r="AG1119" s="192">
        <f>(C1119*G1119)+(C1119*H1119)+(C1119*I1119)</f>
        <v/>
      </c>
    </row>
    <row r="1120">
      <c r="AA1120" s="640">
        <f>IF(G1120=0, IF(OR(H1120&gt;0,F1120&gt;0),C1120*F1120,""),"")</f>
        <v/>
      </c>
      <c r="AB1120" s="640">
        <f>IF(G1120&gt;=1,IF(F1120&gt;1,C1120*(F1120-2),""),"")</f>
        <v/>
      </c>
      <c r="AD1120" s="911">
        <f>IF(E1120="YES",IF(G1120=1,"",""),IF(G1120=1,C1120,IF(G1120=2,C1120,IF(G1120=0,"",""))))</f>
        <v/>
      </c>
      <c r="AE1120" s="911">
        <f>IF(E1120="YES",IF(G1120=1,"",IF(H1120=1,C1120,"")),IF(H1120=1,C1120,IF(H1120=2,C1120,IF(H1120=0,"",""))))</f>
        <v/>
      </c>
      <c r="AF1120" s="911">
        <f>IF(E1120="YES",IF(I1120=1,C1120,""),IF(I1120=1,C1120,IF(I1120=2,C1120,IF(I1120=0,"",""))))</f>
        <v/>
      </c>
      <c r="AG1120" s="192">
        <f>(C1120*G1120)+(C1120*H1120)+(C1120*I1120)</f>
        <v/>
      </c>
    </row>
    <row r="1121">
      <c r="AA1121" s="640">
        <f>IF(G1121=0, IF(OR(H1121&gt;0,F1121&gt;0),C1121*F1121,""),"")</f>
        <v/>
      </c>
      <c r="AB1121" s="640">
        <f>IF(G1121&gt;=1,IF(F1121&gt;1,C1121*(F1121-2),""),"")</f>
        <v/>
      </c>
      <c r="AD1121" s="911">
        <f>IF(E1121="YES",IF(G1121=1,"",""),IF(G1121=1,C1121,IF(G1121=2,C1121,IF(G1121=0,"",""))))</f>
        <v/>
      </c>
      <c r="AE1121" s="911">
        <f>IF(E1121="YES",IF(G1121=1,"",IF(H1121=1,C1121,"")),IF(H1121=1,C1121,IF(H1121=2,C1121,IF(H1121=0,"",""))))</f>
        <v/>
      </c>
      <c r="AF1121" s="911">
        <f>IF(E1121="YES",IF(I1121=1,C1121,""),IF(I1121=1,C1121,IF(I1121=2,C1121,IF(I1121=0,"",""))))</f>
        <v/>
      </c>
      <c r="AG1121" s="192">
        <f>(C1121*G1121)+(C1121*H1121)+(C1121*I1121)</f>
        <v/>
      </c>
    </row>
    <row r="1122">
      <c r="AA1122" s="640">
        <f>IF(G1122=0, IF(OR(H1122&gt;0,F1122&gt;0),C1122*F1122,""),"")</f>
        <v/>
      </c>
      <c r="AB1122" s="640">
        <f>IF(G1122&gt;=1,IF(F1122&gt;1,C1122*(F1122-2),""),"")</f>
        <v/>
      </c>
      <c r="AD1122" s="911">
        <f>IF(E1122="YES",IF(G1122=1,"",""),IF(G1122=1,C1122,IF(G1122=2,C1122,IF(G1122=0,"",""))))</f>
        <v/>
      </c>
      <c r="AE1122" s="911">
        <f>IF(E1122="YES",IF(G1122=1,"",IF(H1122=1,C1122,"")),IF(H1122=1,C1122,IF(H1122=2,C1122,IF(H1122=0,"",""))))</f>
        <v/>
      </c>
      <c r="AF1122" s="911">
        <f>IF(E1122="YES",IF(I1122=1,C1122,""),IF(I1122=1,C1122,IF(I1122=2,C1122,IF(I1122=0,"",""))))</f>
        <v/>
      </c>
      <c r="AG1122" s="192">
        <f>(C1122*G1122)+(C1122*H1122)+(C1122*I1122)</f>
        <v/>
      </c>
    </row>
    <row r="1123">
      <c r="AA1123" s="640">
        <f>IF(G1123=0, IF(OR(H1123&gt;0,F1123&gt;0),C1123*F1123,""),"")</f>
        <v/>
      </c>
      <c r="AB1123" s="640">
        <f>IF(G1123&gt;=1,IF(F1123&gt;1,C1123*(F1123-2),""),"")</f>
        <v/>
      </c>
      <c r="AD1123" s="911">
        <f>IF(E1123="YES",IF(G1123=1,"",""),IF(G1123=1,C1123,IF(G1123=2,C1123,IF(G1123=0,"",""))))</f>
        <v/>
      </c>
      <c r="AE1123" s="911">
        <f>IF(E1123="YES",IF(G1123=1,"",IF(H1123=1,C1123,"")),IF(H1123=1,C1123,IF(H1123=2,C1123,IF(H1123=0,"",""))))</f>
        <v/>
      </c>
      <c r="AF1123" s="911">
        <f>IF(E1123="YES",IF(I1123=1,C1123,""),IF(I1123=1,C1123,IF(I1123=2,C1123,IF(I1123=0,"",""))))</f>
        <v/>
      </c>
      <c r="AG1123" s="192">
        <f>(C1123*G1123)+(C1123*H1123)+(C1123*I1123)</f>
        <v/>
      </c>
    </row>
    <row r="1124">
      <c r="AA1124" s="640">
        <f>IF(G1124=0, IF(OR(H1124&gt;0,F1124&gt;0),C1124*F1124,""),"")</f>
        <v/>
      </c>
      <c r="AB1124" s="640">
        <f>IF(G1124&gt;=1,IF(F1124&gt;1,C1124*(F1124-2),""),"")</f>
        <v/>
      </c>
      <c r="AD1124" s="911">
        <f>IF(E1124="YES",IF(G1124=1,"",""),IF(G1124=1,C1124,IF(G1124=2,C1124,IF(G1124=0,"",""))))</f>
        <v/>
      </c>
      <c r="AE1124" s="911">
        <f>IF(E1124="YES",IF(G1124=1,"",IF(H1124=1,C1124,"")),IF(H1124=1,C1124,IF(H1124=2,C1124,IF(H1124=0,"",""))))</f>
        <v/>
      </c>
      <c r="AF1124" s="911">
        <f>IF(E1124="YES",IF(I1124=1,C1124,""),IF(I1124=1,C1124,IF(I1124=2,C1124,IF(I1124=0,"",""))))</f>
        <v/>
      </c>
      <c r="AG1124" s="192">
        <f>(C1124*G1124)+(C1124*H1124)+(C1124*I1124)</f>
        <v/>
      </c>
    </row>
    <row r="1125">
      <c r="AA1125" s="640">
        <f>IF(G1125=0, IF(OR(H1125&gt;0,F1125&gt;0),C1125*F1125,""),"")</f>
        <v/>
      </c>
      <c r="AB1125" s="640">
        <f>IF(G1125&gt;=1,IF(F1125&gt;1,C1125*(F1125-2),""),"")</f>
        <v/>
      </c>
      <c r="AD1125" s="911">
        <f>IF(E1125="YES",IF(G1125=1,"",""),IF(G1125=1,C1125,IF(G1125=2,C1125,IF(G1125=0,"",""))))</f>
        <v/>
      </c>
      <c r="AE1125" s="911">
        <f>IF(E1125="YES",IF(G1125=1,"",IF(H1125=1,C1125,"")),IF(H1125=1,C1125,IF(H1125=2,C1125,IF(H1125=0,"",""))))</f>
        <v/>
      </c>
      <c r="AF1125" s="911">
        <f>IF(E1125="YES",IF(I1125=1,C1125,""),IF(I1125=1,C1125,IF(I1125=2,C1125,IF(I1125=0,"",""))))</f>
        <v/>
      </c>
      <c r="AG1125" s="192">
        <f>(C1125*G1125)+(C1125*H1125)+(C1125*I1125)</f>
        <v/>
      </c>
    </row>
    <row r="1126">
      <c r="AA1126" s="640">
        <f>IF(G1126=0, IF(OR(H1126&gt;0,F1126&gt;0),C1126*F1126,""),"")</f>
        <v/>
      </c>
      <c r="AB1126" s="640">
        <f>IF(G1126&gt;=1,IF(F1126&gt;1,C1126*(F1126-2),""),"")</f>
        <v/>
      </c>
      <c r="AD1126" s="911">
        <f>IF(E1126="YES",IF(G1126=1,"",""),IF(G1126=1,C1126,IF(G1126=2,C1126,IF(G1126=0,"",""))))</f>
        <v/>
      </c>
      <c r="AE1126" s="911">
        <f>IF(E1126="YES",IF(G1126=1,"",IF(H1126=1,C1126,"")),IF(H1126=1,C1126,IF(H1126=2,C1126,IF(H1126=0,"",""))))</f>
        <v/>
      </c>
      <c r="AF1126" s="911">
        <f>IF(E1126="YES",IF(I1126=1,C1126,""),IF(I1126=1,C1126,IF(I1126=2,C1126,IF(I1126=0,"",""))))</f>
        <v/>
      </c>
      <c r="AG1126" s="192">
        <f>(C1126*G1126)+(C1126*H1126)+(C1126*I1126)</f>
        <v/>
      </c>
    </row>
    <row r="1127">
      <c r="AA1127" s="640">
        <f>IF(G1127=0, IF(OR(H1127&gt;0,F1127&gt;0),C1127*F1127,""),"")</f>
        <v/>
      </c>
      <c r="AB1127" s="640">
        <f>IF(G1127&gt;=1,IF(F1127&gt;1,C1127*(F1127-2),""),"")</f>
        <v/>
      </c>
      <c r="AD1127" s="911">
        <f>IF(E1127="YES",IF(G1127=1,"",""),IF(G1127=1,C1127,IF(G1127=2,C1127,IF(G1127=0,"",""))))</f>
        <v/>
      </c>
      <c r="AE1127" s="911">
        <f>IF(E1127="YES",IF(G1127=1,"",IF(H1127=1,C1127,"")),IF(H1127=1,C1127,IF(H1127=2,C1127,IF(H1127=0,"",""))))</f>
        <v/>
      </c>
      <c r="AF1127" s="911">
        <f>IF(E1127="YES",IF(I1127=1,C1127,""),IF(I1127=1,C1127,IF(I1127=2,C1127,IF(I1127=0,"",""))))</f>
        <v/>
      </c>
      <c r="AG1127" s="192">
        <f>(C1127*G1127)+(C1127*H1127)+(C1127*I1127)</f>
        <v/>
      </c>
    </row>
    <row r="1128">
      <c r="AA1128" s="640">
        <f>IF(G1128=0, IF(OR(H1128&gt;0,F1128&gt;0),C1128*F1128,""),"")</f>
        <v/>
      </c>
      <c r="AB1128" s="640">
        <f>IF(G1128&gt;=1,IF(F1128&gt;1,C1128*(F1128-2),""),"")</f>
        <v/>
      </c>
      <c r="AD1128" s="911">
        <f>IF(E1128="YES",IF(G1128=1,"",""),IF(G1128=1,C1128,IF(G1128=2,C1128,IF(G1128=0,"",""))))</f>
        <v/>
      </c>
      <c r="AE1128" s="911">
        <f>IF(E1128="YES",IF(G1128=1,"",IF(H1128=1,C1128,"")),IF(H1128=1,C1128,IF(H1128=2,C1128,IF(H1128=0,"",""))))</f>
        <v/>
      </c>
      <c r="AF1128" s="911">
        <f>IF(E1128="YES",IF(I1128=1,C1128,""),IF(I1128=1,C1128,IF(I1128=2,C1128,IF(I1128=0,"",""))))</f>
        <v/>
      </c>
      <c r="AG1128" s="192">
        <f>(C1128*G1128)+(C1128*H1128)+(C1128*I1128)</f>
        <v/>
      </c>
    </row>
    <row r="1129">
      <c r="AA1129" s="640">
        <f>IF(G1129=0, IF(OR(H1129&gt;0,F1129&gt;0),C1129*F1129,""),"")</f>
        <v/>
      </c>
      <c r="AB1129" s="640">
        <f>IF(G1129&gt;=1,IF(F1129&gt;1,C1129*(F1129-2),""),"")</f>
        <v/>
      </c>
      <c r="AD1129" s="911">
        <f>IF(E1129="YES",IF(G1129=1,"",""),IF(G1129=1,C1129,IF(G1129=2,C1129,IF(G1129=0,"",""))))</f>
        <v/>
      </c>
      <c r="AE1129" s="911">
        <f>IF(E1129="YES",IF(G1129=1,"",IF(H1129=1,C1129,"")),IF(H1129=1,C1129,IF(H1129=2,C1129,IF(H1129=0,"",""))))</f>
        <v/>
      </c>
      <c r="AF1129" s="911">
        <f>IF(E1129="YES",IF(I1129=1,C1129,""),IF(I1129=1,C1129,IF(I1129=2,C1129,IF(I1129=0,"",""))))</f>
        <v/>
      </c>
      <c r="AG1129" s="192">
        <f>(C1129*G1129)+(C1129*H1129)+(C1129*I1129)</f>
        <v/>
      </c>
    </row>
    <row r="1130">
      <c r="AA1130" s="640">
        <f>IF(G1130=0, IF(OR(H1130&gt;0,F1130&gt;0),C1130*F1130,""),"")</f>
        <v/>
      </c>
      <c r="AB1130" s="640">
        <f>IF(G1130&gt;=1,IF(F1130&gt;1,C1130*(F1130-2),""),"")</f>
        <v/>
      </c>
      <c r="AD1130" s="911">
        <f>IF(E1130="YES",IF(G1130=1,"",""),IF(G1130=1,C1130,IF(G1130=2,C1130,IF(G1130=0,"",""))))</f>
        <v/>
      </c>
      <c r="AE1130" s="911">
        <f>IF(E1130="YES",IF(G1130=1,"",IF(H1130=1,C1130,"")),IF(H1130=1,C1130,IF(H1130=2,C1130,IF(H1130=0,"",""))))</f>
        <v/>
      </c>
      <c r="AF1130" s="911">
        <f>IF(E1130="YES",IF(I1130=1,C1130,""),IF(I1130=1,C1130,IF(I1130=2,C1130,IF(I1130=0,"",""))))</f>
        <v/>
      </c>
      <c r="AG1130" s="192">
        <f>(C1130*G1130)+(C1130*H1130)+(C1130*I1130)</f>
        <v/>
      </c>
    </row>
    <row r="1131">
      <c r="AA1131" s="640">
        <f>IF(G1131=0, IF(OR(H1131&gt;0,F1131&gt;0),C1131*F1131,""),"")</f>
        <v/>
      </c>
      <c r="AB1131" s="640">
        <f>IF(G1131&gt;=1,IF(F1131&gt;1,C1131*(F1131-2),""),"")</f>
        <v/>
      </c>
      <c r="AD1131" s="911">
        <f>IF(E1131="YES",IF(G1131=1,"",""),IF(G1131=1,C1131,IF(G1131=2,C1131,IF(G1131=0,"",""))))</f>
        <v/>
      </c>
      <c r="AE1131" s="911">
        <f>IF(E1131="YES",IF(G1131=1,"",IF(H1131=1,C1131,"")),IF(H1131=1,C1131,IF(H1131=2,C1131,IF(H1131=0,"",""))))</f>
        <v/>
      </c>
      <c r="AF1131" s="911">
        <f>IF(E1131="YES",IF(I1131=1,C1131,""),IF(I1131=1,C1131,IF(I1131=2,C1131,IF(I1131=0,"",""))))</f>
        <v/>
      </c>
      <c r="AG1131" s="192">
        <f>(C1131*G1131)+(C1131*H1131)+(C1131*I1131)</f>
        <v/>
      </c>
    </row>
    <row r="1132">
      <c r="AA1132" s="640">
        <f>IF(G1132=0, IF(OR(H1132&gt;0,F1132&gt;0),C1132*F1132,""),"")</f>
        <v/>
      </c>
      <c r="AB1132" s="640">
        <f>IF(G1132&gt;=1,IF(F1132&gt;1,C1132*(F1132-2),""),"")</f>
        <v/>
      </c>
      <c r="AD1132" s="911">
        <f>IF(E1132="YES",IF(G1132=1,"",""),IF(G1132=1,C1132,IF(G1132=2,C1132,IF(G1132=0,"",""))))</f>
        <v/>
      </c>
      <c r="AE1132" s="911">
        <f>IF(E1132="YES",IF(G1132=1,"",IF(H1132=1,C1132,"")),IF(H1132=1,C1132,IF(H1132=2,C1132,IF(H1132=0,"",""))))</f>
        <v/>
      </c>
      <c r="AF1132" s="911">
        <f>IF(E1132="YES",IF(I1132=1,C1132,""),IF(I1132=1,C1132,IF(I1132=2,C1132,IF(I1132=0,"",""))))</f>
        <v/>
      </c>
      <c r="AG1132" s="192">
        <f>(C1132*G1132)+(C1132*H1132)+(C1132*I1132)</f>
        <v/>
      </c>
    </row>
    <row r="1133">
      <c r="AA1133" s="640">
        <f>IF(G1133=0, IF(OR(H1133&gt;0,F1133&gt;0),C1133*F1133,""),"")</f>
        <v/>
      </c>
      <c r="AB1133" s="640">
        <f>IF(G1133&gt;=1,IF(F1133&gt;1,C1133*(F1133-2),""),"")</f>
        <v/>
      </c>
      <c r="AD1133" s="911">
        <f>IF(E1133="YES",IF(G1133=1,"",""),IF(G1133=1,C1133,IF(G1133=2,C1133,IF(G1133=0,"",""))))</f>
        <v/>
      </c>
      <c r="AE1133" s="911">
        <f>IF(E1133="YES",IF(G1133=1,"",IF(H1133=1,C1133,"")),IF(H1133=1,C1133,IF(H1133=2,C1133,IF(H1133=0,"",""))))</f>
        <v/>
      </c>
      <c r="AF1133" s="911">
        <f>IF(E1133="YES",IF(I1133=1,C1133,""),IF(I1133=1,C1133,IF(I1133=2,C1133,IF(I1133=0,"",""))))</f>
        <v/>
      </c>
      <c r="AG1133" s="192">
        <f>(C1133*G1133)+(C1133*H1133)+(C1133*I1133)</f>
        <v/>
      </c>
    </row>
    <row r="1134">
      <c r="AA1134" s="640">
        <f>IF(G1134=0, IF(OR(H1134&gt;0,F1134&gt;0),C1134*F1134,""),"")</f>
        <v/>
      </c>
      <c r="AB1134" s="640">
        <f>IF(G1134&gt;=1,IF(F1134&gt;1,C1134*(F1134-2),""),"")</f>
        <v/>
      </c>
      <c r="AD1134" s="911">
        <f>IF(E1134="YES",IF(G1134=1,"",""),IF(G1134=1,C1134,IF(G1134=2,C1134,IF(G1134=0,"",""))))</f>
        <v/>
      </c>
      <c r="AE1134" s="911">
        <f>IF(E1134="YES",IF(G1134=1,"",IF(H1134=1,C1134,"")),IF(H1134=1,C1134,IF(H1134=2,C1134,IF(H1134=0,"",""))))</f>
        <v/>
      </c>
      <c r="AF1134" s="911">
        <f>IF(E1134="YES",IF(I1134=1,C1134,""),IF(I1134=1,C1134,IF(I1134=2,C1134,IF(I1134=0,"",""))))</f>
        <v/>
      </c>
      <c r="AG1134" s="192">
        <f>(C1134*G1134)+(C1134*H1134)+(C1134*I1134)</f>
        <v/>
      </c>
    </row>
    <row r="1135">
      <c r="AA1135" s="640">
        <f>IF(G1135=0, IF(OR(H1135&gt;0,F1135&gt;0),C1135*F1135,""),"")</f>
        <v/>
      </c>
      <c r="AB1135" s="640">
        <f>IF(G1135&gt;=1,IF(F1135&gt;1,C1135*(F1135-2),""),"")</f>
        <v/>
      </c>
      <c r="AD1135" s="911">
        <f>IF(E1135="YES",IF(G1135=1,"",""),IF(G1135=1,C1135,IF(G1135=2,C1135,IF(G1135=0,"",""))))</f>
        <v/>
      </c>
      <c r="AE1135" s="911">
        <f>IF(E1135="YES",IF(G1135=1,"",IF(H1135=1,C1135,"")),IF(H1135=1,C1135,IF(H1135=2,C1135,IF(H1135=0,"",""))))</f>
        <v/>
      </c>
      <c r="AF1135" s="911">
        <f>IF(E1135="YES",IF(I1135=1,C1135,""),IF(I1135=1,C1135,IF(I1135=2,C1135,IF(I1135=0,"",""))))</f>
        <v/>
      </c>
      <c r="AG1135" s="192">
        <f>(C1135*G1135)+(C1135*H1135)+(C1135*I1135)</f>
        <v/>
      </c>
    </row>
    <row r="1136">
      <c r="AA1136" s="640">
        <f>IF(G1136=0, IF(OR(H1136&gt;0,F1136&gt;0),C1136*F1136,""),"")</f>
        <v/>
      </c>
      <c r="AB1136" s="640">
        <f>IF(G1136&gt;=1,IF(F1136&gt;1,C1136*(F1136-2),""),"")</f>
        <v/>
      </c>
      <c r="AD1136" s="911">
        <f>IF(E1136="YES",IF(G1136=1,"",""),IF(G1136=1,C1136,IF(G1136=2,C1136,IF(G1136=0,"",""))))</f>
        <v/>
      </c>
      <c r="AE1136" s="911">
        <f>IF(E1136="YES",IF(G1136=1,"",IF(H1136=1,C1136,"")),IF(H1136=1,C1136,IF(H1136=2,C1136,IF(H1136=0,"",""))))</f>
        <v/>
      </c>
      <c r="AF1136" s="911">
        <f>IF(E1136="YES",IF(I1136=1,C1136,""),IF(I1136=1,C1136,IF(I1136=2,C1136,IF(I1136=0,"",""))))</f>
        <v/>
      </c>
      <c r="AG1136" s="192">
        <f>(C1136*G1136)+(C1136*H1136)+(C1136*I1136)</f>
        <v/>
      </c>
    </row>
    <row r="1137">
      <c r="AA1137" s="640">
        <f>IF(G1137=0, IF(OR(H1137&gt;0,F1137&gt;0),C1137*F1137,""),"")</f>
        <v/>
      </c>
      <c r="AB1137" s="640">
        <f>IF(G1137&gt;=1,IF(F1137&gt;1,C1137*(F1137-2),""),"")</f>
        <v/>
      </c>
      <c r="AD1137" s="911">
        <f>IF(E1137="YES",IF(G1137=1,"",""),IF(G1137=1,C1137,IF(G1137=2,C1137,IF(G1137=0,"",""))))</f>
        <v/>
      </c>
      <c r="AE1137" s="911">
        <f>IF(E1137="YES",IF(G1137=1,"",IF(H1137=1,C1137,"")),IF(H1137=1,C1137,IF(H1137=2,C1137,IF(H1137=0,"",""))))</f>
        <v/>
      </c>
      <c r="AF1137" s="911">
        <f>IF(E1137="YES",IF(I1137=1,C1137,""),IF(I1137=1,C1137,IF(I1137=2,C1137,IF(I1137=0,"",""))))</f>
        <v/>
      </c>
      <c r="AG1137" s="192">
        <f>(C1137*G1137)+(C1137*H1137)+(C1137*I1137)</f>
        <v/>
      </c>
    </row>
    <row r="1138">
      <c r="AA1138" s="640">
        <f>IF(G1138=0, IF(OR(H1138&gt;0,F1138&gt;0),C1138*F1138,""),"")</f>
        <v/>
      </c>
      <c r="AB1138" s="640">
        <f>IF(G1138&gt;=1,IF(F1138&gt;1,C1138*(F1138-2),""),"")</f>
        <v/>
      </c>
      <c r="AD1138" s="911">
        <f>IF(E1138="YES",IF(G1138=1,"",""),IF(G1138=1,C1138,IF(G1138=2,C1138,IF(G1138=0,"",""))))</f>
        <v/>
      </c>
      <c r="AE1138" s="911">
        <f>IF(E1138="YES",IF(G1138=1,"",IF(H1138=1,C1138,"")),IF(H1138=1,C1138,IF(H1138=2,C1138,IF(H1138=0,"",""))))</f>
        <v/>
      </c>
      <c r="AF1138" s="911">
        <f>IF(E1138="YES",IF(I1138=1,C1138,""),IF(I1138=1,C1138,IF(I1138=2,C1138,IF(I1138=0,"",""))))</f>
        <v/>
      </c>
      <c r="AG1138" s="192">
        <f>(C1138*G1138)+(C1138*H1138)+(C1138*I1138)</f>
        <v/>
      </c>
    </row>
    <row r="1139">
      <c r="AA1139" s="640">
        <f>IF(G1139=0, IF(OR(H1139&gt;0,F1139&gt;0),C1139*F1139,""),"")</f>
        <v/>
      </c>
      <c r="AB1139" s="640">
        <f>IF(G1139&gt;=1,IF(F1139&gt;1,C1139*(F1139-2),""),"")</f>
        <v/>
      </c>
      <c r="AD1139" s="911">
        <f>IF(E1139="YES",IF(G1139=1,"",""),IF(G1139=1,C1139,IF(G1139=2,C1139,IF(G1139=0,"",""))))</f>
        <v/>
      </c>
      <c r="AE1139" s="911">
        <f>IF(E1139="YES",IF(G1139=1,"",IF(H1139=1,C1139,"")),IF(H1139=1,C1139,IF(H1139=2,C1139,IF(H1139=0,"",""))))</f>
        <v/>
      </c>
      <c r="AF1139" s="911">
        <f>IF(E1139="YES",IF(I1139=1,C1139,""),IF(I1139=1,C1139,IF(I1139=2,C1139,IF(I1139=0,"",""))))</f>
        <v/>
      </c>
      <c r="AG1139" s="192">
        <f>(C1139*G1139)+(C1139*H1139)+(C1139*I1139)</f>
        <v/>
      </c>
    </row>
    <row r="1140">
      <c r="AA1140" s="640">
        <f>IF(G1140=0, IF(OR(H1140&gt;0,F1140&gt;0),C1140*F1140,""),"")</f>
        <v/>
      </c>
      <c r="AB1140" s="640">
        <f>IF(G1140&gt;=1,IF(F1140&gt;1,C1140*(F1140-2),""),"")</f>
        <v/>
      </c>
      <c r="AD1140" s="911">
        <f>IF(E1140="YES",IF(G1140=1,"",""),IF(G1140=1,C1140,IF(G1140=2,C1140,IF(G1140=0,"",""))))</f>
        <v/>
      </c>
      <c r="AE1140" s="911">
        <f>IF(E1140="YES",IF(G1140=1,"",IF(H1140=1,C1140,"")),IF(H1140=1,C1140,IF(H1140=2,C1140,IF(H1140=0,"",""))))</f>
        <v/>
      </c>
      <c r="AF1140" s="911">
        <f>IF(E1140="YES",IF(I1140=1,C1140,""),IF(I1140=1,C1140,IF(I1140=2,C1140,IF(I1140=0,"",""))))</f>
        <v/>
      </c>
      <c r="AG1140" s="192">
        <f>(C1140*G1140)+(C1140*H1140)+(C1140*I1140)</f>
        <v/>
      </c>
    </row>
    <row r="1141">
      <c r="AA1141" s="640">
        <f>IF(G1141=0, IF(OR(H1141&gt;0,F1141&gt;0),C1141*F1141,""),"")</f>
        <v/>
      </c>
      <c r="AB1141" s="640">
        <f>IF(G1141&gt;=1,IF(F1141&gt;1,C1141*(F1141-2),""),"")</f>
        <v/>
      </c>
      <c r="AD1141" s="911">
        <f>IF(E1141="YES",IF(G1141=1,"",""),IF(G1141=1,C1141,IF(G1141=2,C1141,IF(G1141=0,"",""))))</f>
        <v/>
      </c>
      <c r="AE1141" s="911">
        <f>IF(E1141="YES",IF(G1141=1,"",IF(H1141=1,C1141,"")),IF(H1141=1,C1141,IF(H1141=2,C1141,IF(H1141=0,"",""))))</f>
        <v/>
      </c>
      <c r="AF1141" s="911">
        <f>IF(E1141="YES",IF(I1141=1,C1141,""),IF(I1141=1,C1141,IF(I1141=2,C1141,IF(I1141=0,"",""))))</f>
        <v/>
      </c>
      <c r="AG1141" s="192">
        <f>(C1141*G1141)+(C1141*H1141)+(C1141*I1141)</f>
        <v/>
      </c>
    </row>
    <row r="1142">
      <c r="AA1142" s="640">
        <f>IF(G1142=0, IF(OR(H1142&gt;0,F1142&gt;0),C1142*F1142,""),"")</f>
        <v/>
      </c>
      <c r="AB1142" s="640">
        <f>IF(G1142&gt;=1,IF(F1142&gt;1,C1142*(F1142-2),""),"")</f>
        <v/>
      </c>
      <c r="AD1142" s="911">
        <f>IF(E1142="YES",IF(G1142=1,"",""),IF(G1142=1,C1142,IF(G1142=2,C1142,IF(G1142=0,"",""))))</f>
        <v/>
      </c>
      <c r="AE1142" s="911">
        <f>IF(E1142="YES",IF(G1142=1,"",IF(H1142=1,C1142,"")),IF(H1142=1,C1142,IF(H1142=2,C1142,IF(H1142=0,"",""))))</f>
        <v/>
      </c>
      <c r="AF1142" s="911">
        <f>IF(E1142="YES",IF(I1142=1,C1142,""),IF(I1142=1,C1142,IF(I1142=2,C1142,IF(I1142=0,"",""))))</f>
        <v/>
      </c>
      <c r="AG1142" s="192">
        <f>(C1142*G1142)+(C1142*H1142)+(C1142*I1142)</f>
        <v/>
      </c>
    </row>
    <row r="1143">
      <c r="AA1143" s="640">
        <f>IF(G1143=0, IF(OR(H1143&gt;0,F1143&gt;0),C1143*F1143,""),"")</f>
        <v/>
      </c>
      <c r="AB1143" s="640">
        <f>IF(G1143&gt;=1,IF(F1143&gt;1,C1143*(F1143-2),""),"")</f>
        <v/>
      </c>
      <c r="AD1143" s="911">
        <f>IF(E1143="YES",IF(G1143=1,"",""),IF(G1143=1,C1143,IF(G1143=2,C1143,IF(G1143=0,"",""))))</f>
        <v/>
      </c>
      <c r="AE1143" s="911">
        <f>IF(E1143="YES",IF(G1143=1,"",IF(H1143=1,C1143,"")),IF(H1143=1,C1143,IF(H1143=2,C1143,IF(H1143=0,"",""))))</f>
        <v/>
      </c>
      <c r="AF1143" s="911">
        <f>IF(E1143="YES",IF(I1143=1,C1143,""),IF(I1143=1,C1143,IF(I1143=2,C1143,IF(I1143=0,"",""))))</f>
        <v/>
      </c>
      <c r="AG1143" s="192">
        <f>(C1143*G1143)+(C1143*H1143)+(C1143*I1143)</f>
        <v/>
      </c>
    </row>
    <row r="1144">
      <c r="AA1144" s="640">
        <f>IF(G1144=0, IF(OR(H1144&gt;0,F1144&gt;0),C1144*F1144,""),"")</f>
        <v/>
      </c>
      <c r="AB1144" s="640">
        <f>IF(G1144&gt;=1,IF(F1144&gt;1,C1144*(F1144-2),""),"")</f>
        <v/>
      </c>
      <c r="AD1144" s="911">
        <f>IF(E1144="YES",IF(G1144=1,"",""),IF(G1144=1,C1144,IF(G1144=2,C1144,IF(G1144=0,"",""))))</f>
        <v/>
      </c>
      <c r="AE1144" s="911">
        <f>IF(E1144="YES",IF(G1144=1,"",IF(H1144=1,C1144,"")),IF(H1144=1,C1144,IF(H1144=2,C1144,IF(H1144=0,"",""))))</f>
        <v/>
      </c>
      <c r="AF1144" s="911">
        <f>IF(E1144="YES",IF(I1144=1,C1144,""),IF(I1144=1,C1144,IF(I1144=2,C1144,IF(I1144=0,"",""))))</f>
        <v/>
      </c>
      <c r="AG1144" s="192">
        <f>(C1144*G1144)+(C1144*H1144)+(C1144*I1144)</f>
        <v/>
      </c>
    </row>
    <row r="1145">
      <c r="AA1145" s="640">
        <f>IF(G1145=0, IF(OR(H1145&gt;0,F1145&gt;0),C1145*F1145,""),"")</f>
        <v/>
      </c>
      <c r="AB1145" s="640">
        <f>IF(G1145&gt;=1,IF(F1145&gt;1,C1145*(F1145-2),""),"")</f>
        <v/>
      </c>
      <c r="AD1145" s="911">
        <f>IF(E1145="YES",IF(G1145=1,"",""),IF(G1145=1,C1145,IF(G1145=2,C1145,IF(G1145=0,"",""))))</f>
        <v/>
      </c>
      <c r="AE1145" s="911">
        <f>IF(E1145="YES",IF(G1145=1,"",IF(H1145=1,C1145,"")),IF(H1145=1,C1145,IF(H1145=2,C1145,IF(H1145=0,"",""))))</f>
        <v/>
      </c>
      <c r="AF1145" s="911">
        <f>IF(E1145="YES",IF(I1145=1,C1145,""),IF(I1145=1,C1145,IF(I1145=2,C1145,IF(I1145=0,"",""))))</f>
        <v/>
      </c>
      <c r="AG1145" s="192">
        <f>(C1145*G1145)+(C1145*H1145)+(C1145*I1145)</f>
        <v/>
      </c>
    </row>
    <row r="1146">
      <c r="AA1146" s="640">
        <f>IF(G1146=0, IF(OR(H1146&gt;0,F1146&gt;0),C1146*F1146,""),"")</f>
        <v/>
      </c>
      <c r="AB1146" s="640">
        <f>IF(G1146&gt;=1,IF(F1146&gt;1,C1146*(F1146-2),""),"")</f>
        <v/>
      </c>
      <c r="AD1146" s="911">
        <f>IF(E1146="YES",IF(G1146=1,"",""),IF(G1146=1,C1146,IF(G1146=2,C1146,IF(G1146=0,"",""))))</f>
        <v/>
      </c>
      <c r="AE1146" s="911">
        <f>IF(E1146="YES",IF(G1146=1,"",IF(H1146=1,C1146,"")),IF(H1146=1,C1146,IF(H1146=2,C1146,IF(H1146=0,"",""))))</f>
        <v/>
      </c>
      <c r="AF1146" s="911">
        <f>IF(E1146="YES",IF(I1146=1,C1146,""),IF(I1146=1,C1146,IF(I1146=2,C1146,IF(I1146=0,"",""))))</f>
        <v/>
      </c>
      <c r="AG1146" s="192">
        <f>(C1146*G1146)+(C1146*H1146)+(C1146*I1146)</f>
        <v/>
      </c>
    </row>
    <row r="1147">
      <c r="AA1147" s="640">
        <f>IF(G1147=0, IF(OR(H1147&gt;0,F1147&gt;0),C1147*F1147,""),"")</f>
        <v/>
      </c>
      <c r="AB1147" s="640">
        <f>IF(G1147&gt;=1,IF(F1147&gt;1,C1147*(F1147-2),""),"")</f>
        <v/>
      </c>
      <c r="AD1147" s="911">
        <f>IF(E1147="YES",IF(G1147=1,"",""),IF(G1147=1,C1147,IF(G1147=2,C1147,IF(G1147=0,"",""))))</f>
        <v/>
      </c>
      <c r="AE1147" s="911">
        <f>IF(E1147="YES",IF(G1147=1,"",IF(H1147=1,C1147,"")),IF(H1147=1,C1147,IF(H1147=2,C1147,IF(H1147=0,"",""))))</f>
        <v/>
      </c>
      <c r="AF1147" s="911">
        <f>IF(E1147="YES",IF(I1147=1,C1147,""),IF(I1147=1,C1147,IF(I1147=2,C1147,IF(I1147=0,"",""))))</f>
        <v/>
      </c>
      <c r="AG1147" s="192">
        <f>(C1147*G1147)+(C1147*H1147)+(C1147*I1147)</f>
        <v/>
      </c>
    </row>
    <row r="1148">
      <c r="AA1148" s="640">
        <f>IF(G1148=0, IF(OR(H1148&gt;0,F1148&gt;0),C1148*F1148,""),"")</f>
        <v/>
      </c>
      <c r="AB1148" s="640">
        <f>IF(G1148&gt;=1,IF(F1148&gt;1,C1148*(F1148-2),""),"")</f>
        <v/>
      </c>
      <c r="AD1148" s="911">
        <f>IF(E1148="YES",IF(G1148=1,"",""),IF(G1148=1,C1148,IF(G1148=2,C1148,IF(G1148=0,"",""))))</f>
        <v/>
      </c>
      <c r="AE1148" s="911">
        <f>IF(E1148="YES",IF(G1148=1,"",IF(H1148=1,C1148,"")),IF(H1148=1,C1148,IF(H1148=2,C1148,IF(H1148=0,"",""))))</f>
        <v/>
      </c>
      <c r="AF1148" s="911">
        <f>IF(E1148="YES",IF(I1148=1,C1148,""),IF(I1148=1,C1148,IF(I1148=2,C1148,IF(I1148=0,"",""))))</f>
        <v/>
      </c>
      <c r="AG1148" s="192">
        <f>(C1148*G1148)+(C1148*H1148)+(C1148*I1148)</f>
        <v/>
      </c>
    </row>
    <row r="1149">
      <c r="AA1149" s="640">
        <f>IF(G1149=0, IF(OR(H1149&gt;0,F1149&gt;0),C1149*F1149,""),"")</f>
        <v/>
      </c>
      <c r="AB1149" s="640">
        <f>IF(G1149&gt;=1,IF(F1149&gt;1,C1149*(F1149-2),""),"")</f>
        <v/>
      </c>
      <c r="AD1149" s="911">
        <f>IF(E1149="YES",IF(G1149=1,"",""),IF(G1149=1,C1149,IF(G1149=2,C1149,IF(G1149=0,"",""))))</f>
        <v/>
      </c>
      <c r="AE1149" s="911">
        <f>IF(E1149="YES",IF(G1149=1,"",IF(H1149=1,C1149,"")),IF(H1149=1,C1149,IF(H1149=2,C1149,IF(H1149=0,"",""))))</f>
        <v/>
      </c>
      <c r="AF1149" s="911">
        <f>IF(E1149="YES",IF(I1149=1,C1149,""),IF(I1149=1,C1149,IF(I1149=2,C1149,IF(I1149=0,"",""))))</f>
        <v/>
      </c>
      <c r="AG1149" s="192">
        <f>(C1149*G1149)+(C1149*H1149)+(C1149*I1149)</f>
        <v/>
      </c>
    </row>
    <row r="1150">
      <c r="AA1150" s="640">
        <f>IF(G1150=0, IF(OR(H1150&gt;0,F1150&gt;0),C1150*F1150,""),"")</f>
        <v/>
      </c>
      <c r="AB1150" s="640">
        <f>IF(G1150&gt;=1,IF(F1150&gt;1,C1150*(F1150-2),""),"")</f>
        <v/>
      </c>
      <c r="AD1150" s="911">
        <f>IF(E1150="YES",IF(G1150=1,"",""),IF(G1150=1,C1150,IF(G1150=2,C1150,IF(G1150=0,"",""))))</f>
        <v/>
      </c>
      <c r="AE1150" s="911">
        <f>IF(E1150="YES",IF(G1150=1,"",IF(H1150=1,C1150,"")),IF(H1150=1,C1150,IF(H1150=2,C1150,IF(H1150=0,"",""))))</f>
        <v/>
      </c>
      <c r="AF1150" s="911">
        <f>IF(E1150="YES",IF(I1150=1,C1150,""),IF(I1150=1,C1150,IF(I1150=2,C1150,IF(I1150=0,"",""))))</f>
        <v/>
      </c>
      <c r="AG1150" s="192">
        <f>(C1150*G1150)+(C1150*H1150)+(C1150*I1150)</f>
        <v/>
      </c>
    </row>
    <row r="1151">
      <c r="AA1151" s="640">
        <f>IF(G1151=0, IF(OR(H1151&gt;0,F1151&gt;0),C1151*F1151,""),"")</f>
        <v/>
      </c>
      <c r="AB1151" s="640">
        <f>IF(G1151&gt;=1,IF(F1151&gt;1,C1151*(F1151-2),""),"")</f>
        <v/>
      </c>
      <c r="AD1151" s="911">
        <f>IF(E1151="YES",IF(G1151=1,"",""),IF(G1151=1,C1151,IF(G1151=2,C1151,IF(G1151=0,"",""))))</f>
        <v/>
      </c>
      <c r="AE1151" s="911">
        <f>IF(E1151="YES",IF(G1151=1,"",IF(H1151=1,C1151,"")),IF(H1151=1,C1151,IF(H1151=2,C1151,IF(H1151=0,"",""))))</f>
        <v/>
      </c>
      <c r="AF1151" s="911">
        <f>IF(E1151="YES",IF(I1151=1,C1151,""),IF(I1151=1,C1151,IF(I1151=2,C1151,IF(I1151=0,"",""))))</f>
        <v/>
      </c>
      <c r="AG1151" s="192">
        <f>(C1151*G1151)+(C1151*H1151)+(C1151*I1151)</f>
        <v/>
      </c>
    </row>
    <row r="1152">
      <c r="AA1152" s="640">
        <f>IF(G1152=0, IF(OR(H1152&gt;0,F1152&gt;0),C1152*F1152,""),"")</f>
        <v/>
      </c>
      <c r="AB1152" s="640">
        <f>IF(G1152&gt;=1,IF(F1152&gt;1,C1152*(F1152-2),""),"")</f>
        <v/>
      </c>
      <c r="AD1152" s="911">
        <f>IF(E1152="YES",IF(G1152=1,"",""),IF(G1152=1,C1152,IF(G1152=2,C1152,IF(G1152=0,"",""))))</f>
        <v/>
      </c>
      <c r="AE1152" s="911">
        <f>IF(E1152="YES",IF(G1152=1,"",IF(H1152=1,C1152,"")),IF(H1152=1,C1152,IF(H1152=2,C1152,IF(H1152=0,"",""))))</f>
        <v/>
      </c>
      <c r="AF1152" s="911">
        <f>IF(E1152="YES",IF(I1152=1,C1152,""),IF(I1152=1,C1152,IF(I1152=2,C1152,IF(I1152=0,"",""))))</f>
        <v/>
      </c>
      <c r="AG1152" s="192">
        <f>(C1152*G1152)+(C1152*H1152)+(C1152*I1152)</f>
        <v/>
      </c>
    </row>
    <row r="1153">
      <c r="AA1153" s="640">
        <f>IF(G1153=0, IF(OR(H1153&gt;0,F1153&gt;0),C1153*F1153,""),"")</f>
        <v/>
      </c>
      <c r="AB1153" s="640">
        <f>IF(G1153&gt;=1,IF(F1153&gt;1,C1153*(F1153-2),""),"")</f>
        <v/>
      </c>
      <c r="AD1153" s="911">
        <f>IF(E1153="YES",IF(G1153=1,"",""),IF(G1153=1,C1153,IF(G1153=2,C1153,IF(G1153=0,"",""))))</f>
        <v/>
      </c>
      <c r="AE1153" s="911">
        <f>IF(E1153="YES",IF(G1153=1,"",IF(H1153=1,C1153,"")),IF(H1153=1,C1153,IF(H1153=2,C1153,IF(H1153=0,"",""))))</f>
        <v/>
      </c>
      <c r="AF1153" s="911">
        <f>IF(E1153="YES",IF(I1153=1,C1153,""),IF(I1153=1,C1153,IF(I1153=2,C1153,IF(I1153=0,"",""))))</f>
        <v/>
      </c>
      <c r="AG1153" s="192">
        <f>(C1153*G1153)+(C1153*H1153)+(C1153*I1153)</f>
        <v/>
      </c>
    </row>
    <row r="1154">
      <c r="AA1154" s="640">
        <f>IF(G1154=0, IF(OR(H1154&gt;0,F1154&gt;0),C1154*F1154,""),"")</f>
        <v/>
      </c>
      <c r="AB1154" s="640">
        <f>IF(G1154&gt;=1,IF(F1154&gt;1,C1154*(F1154-2),""),"")</f>
        <v/>
      </c>
      <c r="AD1154" s="911">
        <f>IF(E1154="YES",IF(G1154=1,"",""),IF(G1154=1,C1154,IF(G1154=2,C1154,IF(G1154=0,"",""))))</f>
        <v/>
      </c>
      <c r="AE1154" s="911">
        <f>IF(E1154="YES",IF(G1154=1,"",IF(H1154=1,C1154,"")),IF(H1154=1,C1154,IF(H1154=2,C1154,IF(H1154=0,"",""))))</f>
        <v/>
      </c>
      <c r="AF1154" s="911">
        <f>IF(E1154="YES",IF(I1154=1,C1154,""),IF(I1154=1,C1154,IF(I1154=2,C1154,IF(I1154=0,"",""))))</f>
        <v/>
      </c>
      <c r="AG1154" s="192">
        <f>(C1154*G1154)+(C1154*H1154)+(C1154*I1154)</f>
        <v/>
      </c>
    </row>
    <row r="1155">
      <c r="AA1155" s="640">
        <f>IF(G1155=0, IF(OR(H1155&gt;0,F1155&gt;0),C1155*F1155,""),"")</f>
        <v/>
      </c>
      <c r="AB1155" s="640">
        <f>IF(G1155&gt;=1,IF(F1155&gt;1,C1155*(F1155-2),""),"")</f>
        <v/>
      </c>
      <c r="AD1155" s="911">
        <f>IF(E1155="YES",IF(G1155=1,"",""),IF(G1155=1,C1155,IF(G1155=2,C1155,IF(G1155=0,"",""))))</f>
        <v/>
      </c>
      <c r="AE1155" s="911">
        <f>IF(E1155="YES",IF(G1155=1,"",IF(H1155=1,C1155,"")),IF(H1155=1,C1155,IF(H1155=2,C1155,IF(H1155=0,"",""))))</f>
        <v/>
      </c>
      <c r="AF1155" s="911">
        <f>IF(E1155="YES",IF(I1155=1,C1155,""),IF(I1155=1,C1155,IF(I1155=2,C1155,IF(I1155=0,"",""))))</f>
        <v/>
      </c>
      <c r="AG1155" s="192">
        <f>(C1155*G1155)+(C1155*H1155)+(C1155*I1155)</f>
        <v/>
      </c>
    </row>
    <row r="1156">
      <c r="AA1156" s="640">
        <f>IF(G1156=0, IF(OR(H1156&gt;0,F1156&gt;0),C1156*F1156,""),"")</f>
        <v/>
      </c>
      <c r="AB1156" s="640">
        <f>IF(G1156&gt;=1,IF(F1156&gt;1,C1156*(F1156-2),""),"")</f>
        <v/>
      </c>
      <c r="AD1156" s="911">
        <f>IF(E1156="YES",IF(G1156=1,"",""),IF(G1156=1,C1156,IF(G1156=2,C1156,IF(G1156=0,"",""))))</f>
        <v/>
      </c>
      <c r="AE1156" s="911">
        <f>IF(E1156="YES",IF(G1156=1,"",IF(H1156=1,C1156,"")),IF(H1156=1,C1156,IF(H1156=2,C1156,IF(H1156=0,"",""))))</f>
        <v/>
      </c>
      <c r="AF1156" s="911">
        <f>IF(E1156="YES",IF(I1156=1,C1156,""),IF(I1156=1,C1156,IF(I1156=2,C1156,IF(I1156=0,"",""))))</f>
        <v/>
      </c>
      <c r="AG1156" s="192">
        <f>(C1156*G1156)+(C1156*H1156)+(C1156*I1156)</f>
        <v/>
      </c>
    </row>
    <row r="1157">
      <c r="AA1157" s="640">
        <f>IF(G1157=0, IF(OR(H1157&gt;0,F1157&gt;0),C1157*F1157,""),"")</f>
        <v/>
      </c>
      <c r="AB1157" s="640">
        <f>IF(G1157&gt;=1,IF(F1157&gt;1,C1157*(F1157-2),""),"")</f>
        <v/>
      </c>
      <c r="AD1157" s="911">
        <f>IF(E1157="YES",IF(G1157=1,"",""),IF(G1157=1,C1157,IF(G1157=2,C1157,IF(G1157=0,"",""))))</f>
        <v/>
      </c>
      <c r="AE1157" s="911">
        <f>IF(E1157="YES",IF(G1157=1,"",IF(H1157=1,C1157,"")),IF(H1157=1,C1157,IF(H1157=2,C1157,IF(H1157=0,"",""))))</f>
        <v/>
      </c>
      <c r="AF1157" s="911">
        <f>IF(E1157="YES",IF(I1157=1,C1157,""),IF(I1157=1,C1157,IF(I1157=2,C1157,IF(I1157=0,"",""))))</f>
        <v/>
      </c>
      <c r="AG1157" s="192">
        <f>(C1157*G1157)+(C1157*H1157)+(C1157*I1157)</f>
        <v/>
      </c>
    </row>
    <row r="1158">
      <c r="AA1158" s="640">
        <f>IF(G1158=0, IF(OR(H1158&gt;0,F1158&gt;0),C1158*F1158,""),"")</f>
        <v/>
      </c>
      <c r="AB1158" s="640">
        <f>IF(G1158&gt;=1,IF(F1158&gt;1,C1158*(F1158-2),""),"")</f>
        <v/>
      </c>
      <c r="AD1158" s="911">
        <f>IF(E1158="YES",IF(G1158=1,"",""),IF(G1158=1,C1158,IF(G1158=2,C1158,IF(G1158=0,"",""))))</f>
        <v/>
      </c>
      <c r="AE1158" s="911">
        <f>IF(E1158="YES",IF(G1158=1,"",IF(H1158=1,C1158,"")),IF(H1158=1,C1158,IF(H1158=2,C1158,IF(H1158=0,"",""))))</f>
        <v/>
      </c>
      <c r="AF1158" s="911">
        <f>IF(E1158="YES",IF(I1158=1,C1158,""),IF(I1158=1,C1158,IF(I1158=2,C1158,IF(I1158=0,"",""))))</f>
        <v/>
      </c>
      <c r="AG1158" s="192">
        <f>(C1158*G1158)+(C1158*H1158)+(C1158*I1158)</f>
        <v/>
      </c>
    </row>
    <row r="1159">
      <c r="AA1159" s="640">
        <f>IF(G1159=0, IF(OR(H1159&gt;0,F1159&gt;0),C1159*F1159,""),"")</f>
        <v/>
      </c>
      <c r="AB1159" s="640">
        <f>IF(G1159&gt;=1,IF(F1159&gt;1,C1159*(F1159-2),""),"")</f>
        <v/>
      </c>
      <c r="AD1159" s="911">
        <f>IF(E1159="YES",IF(G1159=1,"",""),IF(G1159=1,C1159,IF(G1159=2,C1159,IF(G1159=0,"",""))))</f>
        <v/>
      </c>
      <c r="AE1159" s="911">
        <f>IF(E1159="YES",IF(G1159=1,"",IF(H1159=1,C1159,"")),IF(H1159=1,C1159,IF(H1159=2,C1159,IF(H1159=0,"",""))))</f>
        <v/>
      </c>
      <c r="AF1159" s="911">
        <f>IF(E1159="YES",IF(I1159=1,C1159,""),IF(I1159=1,C1159,IF(I1159=2,C1159,IF(I1159=0,"",""))))</f>
        <v/>
      </c>
      <c r="AG1159" s="192">
        <f>(C1159*G1159)+(C1159*H1159)+(C1159*I1159)</f>
        <v/>
      </c>
    </row>
    <row r="1160">
      <c r="AA1160" s="640">
        <f>IF(G1160=0, IF(OR(H1160&gt;0,F1160&gt;0),C1160*F1160,""),"")</f>
        <v/>
      </c>
      <c r="AB1160" s="640">
        <f>IF(G1160&gt;=1,IF(F1160&gt;1,C1160*(F1160-2),""),"")</f>
        <v/>
      </c>
      <c r="AD1160" s="911">
        <f>IF(E1160="YES",IF(G1160=1,"",""),IF(G1160=1,C1160,IF(G1160=2,C1160,IF(G1160=0,"",""))))</f>
        <v/>
      </c>
      <c r="AE1160" s="911">
        <f>IF(E1160="YES",IF(G1160=1,"",IF(H1160=1,C1160,"")),IF(H1160=1,C1160,IF(H1160=2,C1160,IF(H1160=0,"",""))))</f>
        <v/>
      </c>
      <c r="AF1160" s="911">
        <f>IF(E1160="YES",IF(I1160=1,C1160,""),IF(I1160=1,C1160,IF(I1160=2,C1160,IF(I1160=0,"",""))))</f>
        <v/>
      </c>
      <c r="AG1160" s="192">
        <f>(C1160*G1160)+(C1160*H1160)+(C1160*I1160)</f>
        <v/>
      </c>
    </row>
    <row r="1161">
      <c r="AA1161" s="640">
        <f>IF(G1161=0, IF(OR(H1161&gt;0,F1161&gt;0),C1161*F1161,""),"")</f>
        <v/>
      </c>
      <c r="AB1161" s="640">
        <f>IF(G1161&gt;=1,IF(F1161&gt;1,C1161*(F1161-2),""),"")</f>
        <v/>
      </c>
      <c r="AD1161" s="911">
        <f>IF(E1161="YES",IF(G1161=1,"",""),IF(G1161=1,C1161,IF(G1161=2,C1161,IF(G1161=0,"",""))))</f>
        <v/>
      </c>
      <c r="AE1161" s="911">
        <f>IF(E1161="YES",IF(G1161=1,"",IF(H1161=1,C1161,"")),IF(H1161=1,C1161,IF(H1161=2,C1161,IF(H1161=0,"",""))))</f>
        <v/>
      </c>
      <c r="AF1161" s="911">
        <f>IF(E1161="YES",IF(I1161=1,C1161,""),IF(I1161=1,C1161,IF(I1161=2,C1161,IF(I1161=0,"",""))))</f>
        <v/>
      </c>
      <c r="AG1161" s="192">
        <f>(C1161*G1161)+(C1161*H1161)+(C1161*I1161)</f>
        <v/>
      </c>
    </row>
    <row r="1162">
      <c r="AA1162" s="640">
        <f>IF(G1162=0, IF(OR(H1162&gt;0,F1162&gt;0),C1162*F1162,""),"")</f>
        <v/>
      </c>
      <c r="AB1162" s="640">
        <f>IF(G1162&gt;=1,IF(F1162&gt;1,C1162*(F1162-2),""),"")</f>
        <v/>
      </c>
      <c r="AD1162" s="911">
        <f>IF(E1162="YES",IF(G1162=1,"",""),IF(G1162=1,C1162,IF(G1162=2,C1162,IF(G1162=0,"",""))))</f>
        <v/>
      </c>
      <c r="AE1162" s="911">
        <f>IF(E1162="YES",IF(G1162=1,"",IF(H1162=1,C1162,"")),IF(H1162=1,C1162,IF(H1162=2,C1162,IF(H1162=0,"",""))))</f>
        <v/>
      </c>
      <c r="AF1162" s="911">
        <f>IF(E1162="YES",IF(I1162=1,C1162,""),IF(I1162=1,C1162,IF(I1162=2,C1162,IF(I1162=0,"",""))))</f>
        <v/>
      </c>
      <c r="AG1162" s="192">
        <f>(C1162*G1162)+(C1162*H1162)+(C1162*I1162)</f>
        <v/>
      </c>
    </row>
    <row r="1163">
      <c r="AA1163" s="640">
        <f>IF(G1163=0, IF(OR(H1163&gt;0,F1163&gt;0),C1163*F1163,""),"")</f>
        <v/>
      </c>
      <c r="AB1163" s="640">
        <f>IF(G1163&gt;=1,IF(F1163&gt;1,C1163*(F1163-2),""),"")</f>
        <v/>
      </c>
      <c r="AD1163" s="911">
        <f>IF(E1163="YES",IF(G1163=1,"",""),IF(G1163=1,C1163,IF(G1163=2,C1163,IF(G1163=0,"",""))))</f>
        <v/>
      </c>
      <c r="AE1163" s="911">
        <f>IF(E1163="YES",IF(G1163=1,"",IF(H1163=1,C1163,"")),IF(H1163=1,C1163,IF(H1163=2,C1163,IF(H1163=0,"",""))))</f>
        <v/>
      </c>
      <c r="AF1163" s="911">
        <f>IF(E1163="YES",IF(I1163=1,C1163,""),IF(I1163=1,C1163,IF(I1163=2,C1163,IF(I1163=0,"",""))))</f>
        <v/>
      </c>
      <c r="AG1163" s="192">
        <f>(C1163*G1163)+(C1163*H1163)+(C1163*I1163)</f>
        <v/>
      </c>
    </row>
    <row r="1164">
      <c r="AA1164" s="640">
        <f>IF(G1164=0, IF(OR(H1164&gt;0,F1164&gt;0),C1164*F1164,""),"")</f>
        <v/>
      </c>
      <c r="AB1164" s="640">
        <f>IF(G1164&gt;=1,IF(F1164&gt;1,C1164*(F1164-2),""),"")</f>
        <v/>
      </c>
      <c r="AD1164" s="911">
        <f>IF(E1164="YES",IF(G1164=1,"",""),IF(G1164=1,C1164,IF(G1164=2,C1164,IF(G1164=0,"",""))))</f>
        <v/>
      </c>
      <c r="AE1164" s="911">
        <f>IF(E1164="YES",IF(G1164=1,"",IF(H1164=1,C1164,"")),IF(H1164=1,C1164,IF(H1164=2,C1164,IF(H1164=0,"",""))))</f>
        <v/>
      </c>
      <c r="AF1164" s="911">
        <f>IF(E1164="YES",IF(I1164=1,C1164,""),IF(I1164=1,C1164,IF(I1164=2,C1164,IF(I1164=0,"",""))))</f>
        <v/>
      </c>
      <c r="AG1164" s="192">
        <f>(C1164*G1164)+(C1164*H1164)+(C1164*I1164)</f>
        <v/>
      </c>
    </row>
    <row r="1165">
      <c r="AA1165" s="640">
        <f>IF(G1165=0, IF(OR(H1165&gt;0,F1165&gt;0),C1165*F1165,""),"")</f>
        <v/>
      </c>
      <c r="AB1165" s="640">
        <f>IF(G1165&gt;=1,IF(F1165&gt;1,C1165*(F1165-2),""),"")</f>
        <v/>
      </c>
      <c r="AD1165" s="911">
        <f>IF(E1165="YES",IF(G1165=1,"",""),IF(G1165=1,C1165,IF(G1165=2,C1165,IF(G1165=0,"",""))))</f>
        <v/>
      </c>
      <c r="AE1165" s="911">
        <f>IF(E1165="YES",IF(G1165=1,"",IF(H1165=1,C1165,"")),IF(H1165=1,C1165,IF(H1165=2,C1165,IF(H1165=0,"",""))))</f>
        <v/>
      </c>
      <c r="AF1165" s="911">
        <f>IF(E1165="YES",IF(I1165=1,C1165,""),IF(I1165=1,C1165,IF(I1165=2,C1165,IF(I1165=0,"",""))))</f>
        <v/>
      </c>
      <c r="AG1165" s="192">
        <f>(C1165*G1165)+(C1165*H1165)+(C1165*I1165)</f>
        <v/>
      </c>
    </row>
    <row r="1166">
      <c r="AA1166" s="640">
        <f>IF(G1166=0, IF(OR(H1166&gt;0,F1166&gt;0),C1166*F1166,""),"")</f>
        <v/>
      </c>
      <c r="AB1166" s="640">
        <f>IF(G1166&gt;=1,IF(F1166&gt;1,C1166*(F1166-2),""),"")</f>
        <v/>
      </c>
      <c r="AD1166" s="911">
        <f>IF(E1166="YES",IF(G1166=1,"",""),IF(G1166=1,C1166,IF(G1166=2,C1166,IF(G1166=0,"",""))))</f>
        <v/>
      </c>
      <c r="AE1166" s="911">
        <f>IF(E1166="YES",IF(G1166=1,"",IF(H1166=1,C1166,"")),IF(H1166=1,C1166,IF(H1166=2,C1166,IF(H1166=0,"",""))))</f>
        <v/>
      </c>
      <c r="AF1166" s="911">
        <f>IF(E1166="YES",IF(I1166=1,C1166,""),IF(I1166=1,C1166,IF(I1166=2,C1166,IF(I1166=0,"",""))))</f>
        <v/>
      </c>
      <c r="AG1166" s="192">
        <f>(C1166*G1166)+(C1166*H1166)+(C1166*I1166)</f>
        <v/>
      </c>
    </row>
    <row r="1167">
      <c r="AA1167" s="640">
        <f>IF(G1167=0, IF(OR(H1167&gt;0,F1167&gt;0),C1167*F1167,""),"")</f>
        <v/>
      </c>
      <c r="AB1167" s="640">
        <f>IF(G1167&gt;=1,IF(F1167&gt;1,C1167*(F1167-2),""),"")</f>
        <v/>
      </c>
      <c r="AD1167" s="911">
        <f>IF(E1167="YES",IF(G1167=1,"",""),IF(G1167=1,C1167,IF(G1167=2,C1167,IF(G1167=0,"",""))))</f>
        <v/>
      </c>
      <c r="AE1167" s="911">
        <f>IF(E1167="YES",IF(G1167=1,"",IF(H1167=1,C1167,"")),IF(H1167=1,C1167,IF(H1167=2,C1167,IF(H1167=0,"",""))))</f>
        <v/>
      </c>
      <c r="AF1167" s="911">
        <f>IF(E1167="YES",IF(I1167=1,C1167,""),IF(I1167=1,C1167,IF(I1167=2,C1167,IF(I1167=0,"",""))))</f>
        <v/>
      </c>
      <c r="AG1167" s="192">
        <f>(C1167*G1167)+(C1167*H1167)+(C1167*I1167)</f>
        <v/>
      </c>
    </row>
    <row r="1168">
      <c r="AA1168" s="640">
        <f>IF(G1168=0, IF(OR(H1168&gt;0,F1168&gt;0),C1168*F1168,""),"")</f>
        <v/>
      </c>
      <c r="AB1168" s="640">
        <f>IF(G1168&gt;=1,IF(F1168&gt;1,C1168*(F1168-2),""),"")</f>
        <v/>
      </c>
      <c r="AD1168" s="911">
        <f>IF(E1168="YES",IF(G1168=1,"",""),IF(G1168=1,C1168,IF(G1168=2,C1168,IF(G1168=0,"",""))))</f>
        <v/>
      </c>
      <c r="AE1168" s="911">
        <f>IF(E1168="YES",IF(G1168=1,"",IF(H1168=1,C1168,"")),IF(H1168=1,C1168,IF(H1168=2,C1168,IF(H1168=0,"",""))))</f>
        <v/>
      </c>
      <c r="AF1168" s="911">
        <f>IF(E1168="YES",IF(I1168=1,C1168,""),IF(I1168=1,C1168,IF(I1168=2,C1168,IF(I1168=0,"",""))))</f>
        <v/>
      </c>
      <c r="AG1168" s="192">
        <f>(C1168*G1168)+(C1168*H1168)+(C1168*I1168)</f>
        <v/>
      </c>
    </row>
    <row r="1169">
      <c r="AA1169" s="640">
        <f>IF(G1169=0, IF(OR(H1169&gt;0,F1169&gt;0),C1169*F1169,""),"")</f>
        <v/>
      </c>
      <c r="AB1169" s="640">
        <f>IF(G1169&gt;=1,IF(F1169&gt;1,C1169*(F1169-2),""),"")</f>
        <v/>
      </c>
      <c r="AD1169" s="911">
        <f>IF(E1169="YES",IF(G1169=1,"",""),IF(G1169=1,C1169,IF(G1169=2,C1169,IF(G1169=0,"",""))))</f>
        <v/>
      </c>
      <c r="AE1169" s="911">
        <f>IF(E1169="YES",IF(G1169=1,"",IF(H1169=1,C1169,"")),IF(H1169=1,C1169,IF(H1169=2,C1169,IF(H1169=0,"",""))))</f>
        <v/>
      </c>
      <c r="AF1169" s="911">
        <f>IF(E1169="YES",IF(I1169=1,C1169,""),IF(I1169=1,C1169,IF(I1169=2,C1169,IF(I1169=0,"",""))))</f>
        <v/>
      </c>
      <c r="AG1169" s="192">
        <f>(C1169*G1169)+(C1169*H1169)+(C1169*I1169)</f>
        <v/>
      </c>
    </row>
    <row r="1170">
      <c r="AA1170" s="640">
        <f>IF(G1170=0, IF(OR(H1170&gt;0,F1170&gt;0),C1170*F1170,""),"")</f>
        <v/>
      </c>
      <c r="AB1170" s="640">
        <f>IF(G1170&gt;=1,IF(F1170&gt;1,C1170*(F1170-2),""),"")</f>
        <v/>
      </c>
      <c r="AD1170" s="911">
        <f>IF(E1170="YES",IF(G1170=1,"",""),IF(G1170=1,C1170,IF(G1170=2,C1170,IF(G1170=0,"",""))))</f>
        <v/>
      </c>
      <c r="AE1170" s="911">
        <f>IF(E1170="YES",IF(G1170=1,"",IF(H1170=1,C1170,"")),IF(H1170=1,C1170,IF(H1170=2,C1170,IF(H1170=0,"",""))))</f>
        <v/>
      </c>
      <c r="AF1170" s="911">
        <f>IF(E1170="YES",IF(I1170=1,C1170,""),IF(I1170=1,C1170,IF(I1170=2,C1170,IF(I1170=0,"",""))))</f>
        <v/>
      </c>
      <c r="AG1170" s="192">
        <f>(C1170*G1170)+(C1170*H1170)+(C1170*I1170)</f>
        <v/>
      </c>
    </row>
    <row r="1171">
      <c r="AA1171" s="640">
        <f>IF(G1171=0, IF(OR(H1171&gt;0,F1171&gt;0),C1171*F1171,""),"")</f>
        <v/>
      </c>
      <c r="AB1171" s="640">
        <f>IF(G1171&gt;=1,IF(F1171&gt;1,C1171*(F1171-2),""),"")</f>
        <v/>
      </c>
      <c r="AD1171" s="911">
        <f>IF(E1171="YES",IF(G1171=1,"",""),IF(G1171=1,C1171,IF(G1171=2,C1171,IF(G1171=0,"",""))))</f>
        <v/>
      </c>
      <c r="AE1171" s="911">
        <f>IF(E1171="YES",IF(G1171=1,"",IF(H1171=1,C1171,"")),IF(H1171=1,C1171,IF(H1171=2,C1171,IF(H1171=0,"",""))))</f>
        <v/>
      </c>
      <c r="AF1171" s="911">
        <f>IF(E1171="YES",IF(I1171=1,C1171,""),IF(I1171=1,C1171,IF(I1171=2,C1171,IF(I1171=0,"",""))))</f>
        <v/>
      </c>
      <c r="AG1171" s="192">
        <f>(C1171*G1171)+(C1171*H1171)+(C1171*I1171)</f>
        <v/>
      </c>
    </row>
    <row r="1172">
      <c r="AA1172" s="640">
        <f>IF(G1172=0, IF(OR(H1172&gt;0,F1172&gt;0),C1172*F1172,""),"")</f>
        <v/>
      </c>
      <c r="AB1172" s="640">
        <f>IF(G1172&gt;=1,IF(F1172&gt;1,C1172*(F1172-2),""),"")</f>
        <v/>
      </c>
      <c r="AD1172" s="911">
        <f>IF(E1172="YES",IF(G1172=1,"",""),IF(G1172=1,C1172,IF(G1172=2,C1172,IF(G1172=0,"",""))))</f>
        <v/>
      </c>
      <c r="AE1172" s="911">
        <f>IF(E1172="YES",IF(G1172=1,"",IF(H1172=1,C1172,"")),IF(H1172=1,C1172,IF(H1172=2,C1172,IF(H1172=0,"",""))))</f>
        <v/>
      </c>
      <c r="AF1172" s="911">
        <f>IF(E1172="YES",IF(I1172=1,C1172,""),IF(I1172=1,C1172,IF(I1172=2,C1172,IF(I1172=0,"",""))))</f>
        <v/>
      </c>
      <c r="AG1172" s="192">
        <f>(C1172*G1172)+(C1172*H1172)+(C1172*I1172)</f>
        <v/>
      </c>
    </row>
    <row r="1173">
      <c r="AA1173" s="640">
        <f>IF(G1173=0, IF(OR(H1173&gt;0,F1173&gt;0),C1173*F1173,""),"")</f>
        <v/>
      </c>
      <c r="AB1173" s="640">
        <f>IF(G1173&gt;=1,IF(F1173&gt;1,C1173*(F1173-2),""),"")</f>
        <v/>
      </c>
      <c r="AD1173" s="911">
        <f>IF(E1173="YES",IF(G1173=1,"",""),IF(G1173=1,C1173,IF(G1173=2,C1173,IF(G1173=0,"",""))))</f>
        <v/>
      </c>
      <c r="AE1173" s="911">
        <f>IF(E1173="YES",IF(G1173=1,"",IF(H1173=1,C1173,"")),IF(H1173=1,C1173,IF(H1173=2,C1173,IF(H1173=0,"",""))))</f>
        <v/>
      </c>
      <c r="AF1173" s="911">
        <f>IF(E1173="YES",IF(I1173=1,C1173,""),IF(I1173=1,C1173,IF(I1173=2,C1173,IF(I1173=0,"",""))))</f>
        <v/>
      </c>
      <c r="AG1173" s="192">
        <f>(C1173*G1173)+(C1173*H1173)+(C1173*I1173)</f>
        <v/>
      </c>
    </row>
    <row r="1174">
      <c r="AA1174" s="640">
        <f>IF(G1174=0, IF(OR(H1174&gt;0,F1174&gt;0),C1174*F1174,""),"")</f>
        <v/>
      </c>
      <c r="AB1174" s="640">
        <f>IF(G1174&gt;=1,IF(F1174&gt;1,C1174*(F1174-2),""),"")</f>
        <v/>
      </c>
      <c r="AD1174" s="911">
        <f>IF(E1174="YES",IF(G1174=1,"",""),IF(G1174=1,C1174,IF(G1174=2,C1174,IF(G1174=0,"",""))))</f>
        <v/>
      </c>
      <c r="AE1174" s="911">
        <f>IF(E1174="YES",IF(G1174=1,"",IF(H1174=1,C1174,"")),IF(H1174=1,C1174,IF(H1174=2,C1174,IF(H1174=0,"",""))))</f>
        <v/>
      </c>
      <c r="AF1174" s="911">
        <f>IF(E1174="YES",IF(I1174=1,C1174,""),IF(I1174=1,C1174,IF(I1174=2,C1174,IF(I1174=0,"",""))))</f>
        <v/>
      </c>
      <c r="AG1174" s="192">
        <f>(C1174*G1174)+(C1174*H1174)+(C1174*I1174)</f>
        <v/>
      </c>
    </row>
    <row r="1175">
      <c r="AA1175" s="640">
        <f>IF(G1175=0, IF(OR(H1175&gt;0,F1175&gt;0),C1175*F1175,""),"")</f>
        <v/>
      </c>
      <c r="AB1175" s="640">
        <f>IF(G1175&gt;=1,IF(F1175&gt;1,C1175*(F1175-2),""),"")</f>
        <v/>
      </c>
      <c r="AD1175" s="911">
        <f>IF(E1175="YES",IF(G1175=1,"",""),IF(G1175=1,C1175,IF(G1175=2,C1175,IF(G1175=0,"",""))))</f>
        <v/>
      </c>
      <c r="AE1175" s="911">
        <f>IF(E1175="YES",IF(G1175=1,"",IF(H1175=1,C1175,"")),IF(H1175=1,C1175,IF(H1175=2,C1175,IF(H1175=0,"",""))))</f>
        <v/>
      </c>
      <c r="AF1175" s="911">
        <f>IF(E1175="YES",IF(I1175=1,C1175,""),IF(I1175=1,C1175,IF(I1175=2,C1175,IF(I1175=0,"",""))))</f>
        <v/>
      </c>
      <c r="AG1175" s="192">
        <f>(C1175*G1175)+(C1175*H1175)+(C1175*I1175)</f>
        <v/>
      </c>
    </row>
    <row r="1176">
      <c r="AA1176" s="640">
        <f>IF(G1176=0, IF(OR(H1176&gt;0,F1176&gt;0),C1176*F1176,""),"")</f>
        <v/>
      </c>
      <c r="AB1176" s="640">
        <f>IF(G1176&gt;=1,IF(F1176&gt;1,C1176*(F1176-2),""),"")</f>
        <v/>
      </c>
      <c r="AD1176" s="911">
        <f>IF(E1176="YES",IF(G1176=1,"",""),IF(G1176=1,C1176,IF(G1176=2,C1176,IF(G1176=0,"",""))))</f>
        <v/>
      </c>
      <c r="AE1176" s="911">
        <f>IF(E1176="YES",IF(G1176=1,"",IF(H1176=1,C1176,"")),IF(H1176=1,C1176,IF(H1176=2,C1176,IF(H1176=0,"",""))))</f>
        <v/>
      </c>
      <c r="AF1176" s="911">
        <f>IF(E1176="YES",IF(I1176=1,C1176,""),IF(I1176=1,C1176,IF(I1176=2,C1176,IF(I1176=0,"",""))))</f>
        <v/>
      </c>
      <c r="AG1176" s="192">
        <f>(C1176*G1176)+(C1176*H1176)+(C1176*I1176)</f>
        <v/>
      </c>
    </row>
    <row r="1177">
      <c r="AA1177" s="640">
        <f>IF(G1177=0, IF(OR(H1177&gt;0,F1177&gt;0),C1177*F1177,""),"")</f>
        <v/>
      </c>
      <c r="AB1177" s="640">
        <f>IF(G1177&gt;=1,IF(F1177&gt;1,C1177*(F1177-2),""),"")</f>
        <v/>
      </c>
      <c r="AD1177" s="911">
        <f>IF(E1177="YES",IF(G1177=1,"",""),IF(G1177=1,C1177,IF(G1177=2,C1177,IF(G1177=0,"",""))))</f>
        <v/>
      </c>
      <c r="AE1177" s="911">
        <f>IF(E1177="YES",IF(G1177=1,"",IF(H1177=1,C1177,"")),IF(H1177=1,C1177,IF(H1177=2,C1177,IF(H1177=0,"",""))))</f>
        <v/>
      </c>
      <c r="AF1177" s="911">
        <f>IF(E1177="YES",IF(I1177=1,C1177,""),IF(I1177=1,C1177,IF(I1177=2,C1177,IF(I1177=0,"",""))))</f>
        <v/>
      </c>
      <c r="AG1177" s="192">
        <f>(C1177*G1177)+(C1177*H1177)+(C1177*I1177)</f>
        <v/>
      </c>
    </row>
    <row r="1178">
      <c r="AA1178" s="640">
        <f>IF(G1178=0, IF(OR(H1178&gt;0,F1178&gt;0),C1178*F1178,""),"")</f>
        <v/>
      </c>
      <c r="AB1178" s="640">
        <f>IF(G1178&gt;=1,IF(F1178&gt;1,C1178*(F1178-2),""),"")</f>
        <v/>
      </c>
      <c r="AD1178" s="911">
        <f>IF(E1178="YES",IF(G1178=1,"",""),IF(G1178=1,C1178,IF(G1178=2,C1178,IF(G1178=0,"",""))))</f>
        <v/>
      </c>
      <c r="AE1178" s="911">
        <f>IF(E1178="YES",IF(G1178=1,"",IF(H1178=1,C1178,"")),IF(H1178=1,C1178,IF(H1178=2,C1178,IF(H1178=0,"",""))))</f>
        <v/>
      </c>
      <c r="AF1178" s="911">
        <f>IF(E1178="YES",IF(I1178=1,C1178,""),IF(I1178=1,C1178,IF(I1178=2,C1178,IF(I1178=0,"",""))))</f>
        <v/>
      </c>
      <c r="AG1178" s="192">
        <f>(C1178*G1178)+(C1178*H1178)+(C1178*I1178)</f>
        <v/>
      </c>
    </row>
    <row r="1179">
      <c r="AA1179" s="640">
        <f>IF(G1179=0, IF(OR(H1179&gt;0,F1179&gt;0),C1179*F1179,""),"")</f>
        <v/>
      </c>
      <c r="AB1179" s="640">
        <f>IF(G1179&gt;=1,IF(F1179&gt;1,C1179*(F1179-2),""),"")</f>
        <v/>
      </c>
      <c r="AD1179" s="911">
        <f>IF(E1179="YES",IF(G1179=1,"",""),IF(G1179=1,C1179,IF(G1179=2,C1179,IF(G1179=0,"",""))))</f>
        <v/>
      </c>
      <c r="AE1179" s="911">
        <f>IF(E1179="YES",IF(G1179=1,"",IF(H1179=1,C1179,"")),IF(H1179=1,C1179,IF(H1179=2,C1179,IF(H1179=0,"",""))))</f>
        <v/>
      </c>
      <c r="AF1179" s="911">
        <f>IF(E1179="YES",IF(I1179=1,C1179,""),IF(I1179=1,C1179,IF(I1179=2,C1179,IF(I1179=0,"",""))))</f>
        <v/>
      </c>
      <c r="AG1179" s="192">
        <f>(C1179*G1179)+(C1179*H1179)+(C1179*I1179)</f>
        <v/>
      </c>
    </row>
    <row r="1180">
      <c r="AA1180" s="640">
        <f>IF(G1180=0, IF(OR(H1180&gt;0,F1180&gt;0),C1180*F1180,""),"")</f>
        <v/>
      </c>
      <c r="AB1180" s="640">
        <f>IF(G1180&gt;=1,IF(F1180&gt;1,C1180*(F1180-2),""),"")</f>
        <v/>
      </c>
      <c r="AD1180" s="911">
        <f>IF(E1180="YES",IF(G1180=1,"",""),IF(G1180=1,C1180,IF(G1180=2,C1180,IF(G1180=0,"",""))))</f>
        <v/>
      </c>
      <c r="AE1180" s="911">
        <f>IF(E1180="YES",IF(G1180=1,"",IF(H1180=1,C1180,"")),IF(H1180=1,C1180,IF(H1180=2,C1180,IF(H1180=0,"",""))))</f>
        <v/>
      </c>
      <c r="AF1180" s="911">
        <f>IF(E1180="YES",IF(I1180=1,C1180,""),IF(I1180=1,C1180,IF(I1180=2,C1180,IF(I1180=0,"",""))))</f>
        <v/>
      </c>
      <c r="AG1180" s="192">
        <f>(C1180*G1180)+(C1180*H1180)+(C1180*I1180)</f>
        <v/>
      </c>
    </row>
    <row r="1181">
      <c r="AA1181" s="640">
        <f>IF(G1181=0, IF(OR(H1181&gt;0,F1181&gt;0),C1181*F1181,""),"")</f>
        <v/>
      </c>
      <c r="AB1181" s="640">
        <f>IF(G1181&gt;=1,IF(F1181&gt;1,C1181*(F1181-2),""),"")</f>
        <v/>
      </c>
      <c r="AD1181" s="911">
        <f>IF(E1181="YES",IF(G1181=1,"",""),IF(G1181=1,C1181,IF(G1181=2,C1181,IF(G1181=0,"",""))))</f>
        <v/>
      </c>
      <c r="AE1181" s="911">
        <f>IF(E1181="YES",IF(G1181=1,"",IF(H1181=1,C1181,"")),IF(H1181=1,C1181,IF(H1181=2,C1181,IF(H1181=0,"",""))))</f>
        <v/>
      </c>
      <c r="AF1181" s="911">
        <f>IF(E1181="YES",IF(I1181=1,C1181,""),IF(I1181=1,C1181,IF(I1181=2,C1181,IF(I1181=0,"",""))))</f>
        <v/>
      </c>
      <c r="AG1181" s="192">
        <f>(C1181*G1181)+(C1181*H1181)+(C1181*I1181)</f>
        <v/>
      </c>
    </row>
    <row r="1182">
      <c r="AA1182" s="640">
        <f>IF(G1182=0, IF(OR(H1182&gt;0,F1182&gt;0),C1182*F1182,""),"")</f>
        <v/>
      </c>
      <c r="AB1182" s="640">
        <f>IF(G1182&gt;=1,IF(F1182&gt;1,C1182*(F1182-2),""),"")</f>
        <v/>
      </c>
      <c r="AD1182" s="911">
        <f>IF(E1182="YES",IF(G1182=1,"",""),IF(G1182=1,C1182,IF(G1182=2,C1182,IF(G1182=0,"",""))))</f>
        <v/>
      </c>
      <c r="AE1182" s="911">
        <f>IF(E1182="YES",IF(G1182=1,"",IF(H1182=1,C1182,"")),IF(H1182=1,C1182,IF(H1182=2,C1182,IF(H1182=0,"",""))))</f>
        <v/>
      </c>
      <c r="AF1182" s="911">
        <f>IF(E1182="YES",IF(I1182=1,C1182,""),IF(I1182=1,C1182,IF(I1182=2,C1182,IF(I1182=0,"",""))))</f>
        <v/>
      </c>
      <c r="AG1182" s="192">
        <f>(C1182*G1182)+(C1182*H1182)+(C1182*I1182)</f>
        <v/>
      </c>
    </row>
    <row r="1183">
      <c r="AA1183" s="640">
        <f>IF(G1183=0, IF(OR(H1183&gt;0,F1183&gt;0),C1183*F1183,""),"")</f>
        <v/>
      </c>
      <c r="AB1183" s="640">
        <f>IF(G1183&gt;=1,IF(F1183&gt;1,C1183*(F1183-2),""),"")</f>
        <v/>
      </c>
      <c r="AD1183" s="911">
        <f>IF(E1183="YES",IF(G1183=1,"",""),IF(G1183=1,C1183,IF(G1183=2,C1183,IF(G1183=0,"",""))))</f>
        <v/>
      </c>
      <c r="AE1183" s="911">
        <f>IF(E1183="YES",IF(G1183=1,"",IF(H1183=1,C1183,"")),IF(H1183=1,C1183,IF(H1183=2,C1183,IF(H1183=0,"",""))))</f>
        <v/>
      </c>
      <c r="AF1183" s="911">
        <f>IF(E1183="YES",IF(I1183=1,C1183,""),IF(I1183=1,C1183,IF(I1183=2,C1183,IF(I1183=0,"",""))))</f>
        <v/>
      </c>
      <c r="AG1183" s="192">
        <f>(C1183*G1183)+(C1183*H1183)+(C1183*I1183)</f>
        <v/>
      </c>
    </row>
    <row r="1184">
      <c r="AA1184" s="640">
        <f>IF(G1184=0, IF(OR(H1184&gt;0,F1184&gt;0),C1184*F1184,""),"")</f>
        <v/>
      </c>
      <c r="AB1184" s="640">
        <f>IF(G1184&gt;=1,IF(F1184&gt;1,C1184*(F1184-2),""),"")</f>
        <v/>
      </c>
      <c r="AD1184" s="911">
        <f>IF(E1184="YES",IF(G1184=1,"",""),IF(G1184=1,C1184,IF(G1184=2,C1184,IF(G1184=0,"",""))))</f>
        <v/>
      </c>
      <c r="AE1184" s="911">
        <f>IF(E1184="YES",IF(G1184=1,"",IF(H1184=1,C1184,"")),IF(H1184=1,C1184,IF(H1184=2,C1184,IF(H1184=0,"",""))))</f>
        <v/>
      </c>
      <c r="AF1184" s="911">
        <f>IF(E1184="YES",IF(I1184=1,C1184,""),IF(I1184=1,C1184,IF(I1184=2,C1184,IF(I1184=0,"",""))))</f>
        <v/>
      </c>
      <c r="AG1184" s="192">
        <f>(C1184*G1184)+(C1184*H1184)+(C1184*I1184)</f>
        <v/>
      </c>
    </row>
    <row r="1185">
      <c r="AA1185" s="640">
        <f>IF(G1185=0, IF(OR(H1185&gt;0,F1185&gt;0),C1185*F1185,""),"")</f>
        <v/>
      </c>
      <c r="AB1185" s="640">
        <f>IF(G1185&gt;=1,IF(F1185&gt;1,C1185*(F1185-2),""),"")</f>
        <v/>
      </c>
      <c r="AD1185" s="911">
        <f>IF(E1185="YES",IF(G1185=1,"",""),IF(G1185=1,C1185,IF(G1185=2,C1185,IF(G1185=0,"",""))))</f>
        <v/>
      </c>
      <c r="AE1185" s="911">
        <f>IF(E1185="YES",IF(G1185=1,"",IF(H1185=1,C1185,"")),IF(H1185=1,C1185,IF(H1185=2,C1185,IF(H1185=0,"",""))))</f>
        <v/>
      </c>
      <c r="AF1185" s="911">
        <f>IF(E1185="YES",IF(I1185=1,C1185,""),IF(I1185=1,C1185,IF(I1185=2,C1185,IF(I1185=0,"",""))))</f>
        <v/>
      </c>
      <c r="AG1185" s="192">
        <f>(C1185*G1185)+(C1185*H1185)+(C1185*I1185)</f>
        <v/>
      </c>
    </row>
    <row r="1186">
      <c r="AA1186" s="640">
        <f>IF(G1186=0, IF(OR(H1186&gt;0,F1186&gt;0),C1186*F1186,""),"")</f>
        <v/>
      </c>
      <c r="AB1186" s="640">
        <f>IF(G1186&gt;=1,IF(F1186&gt;1,C1186*(F1186-2),""),"")</f>
        <v/>
      </c>
      <c r="AD1186" s="911">
        <f>IF(E1186="YES",IF(G1186=1,"",""),IF(G1186=1,C1186,IF(G1186=2,C1186,IF(G1186=0,"",""))))</f>
        <v/>
      </c>
      <c r="AE1186" s="911">
        <f>IF(E1186="YES",IF(G1186=1,"",IF(H1186=1,C1186,"")),IF(H1186=1,C1186,IF(H1186=2,C1186,IF(H1186=0,"",""))))</f>
        <v/>
      </c>
      <c r="AF1186" s="911">
        <f>IF(E1186="YES",IF(I1186=1,C1186,""),IF(I1186=1,C1186,IF(I1186=2,C1186,IF(I1186=0,"",""))))</f>
        <v/>
      </c>
      <c r="AG1186" s="192">
        <f>(C1186*G1186)+(C1186*H1186)+(C1186*I1186)</f>
        <v/>
      </c>
    </row>
    <row r="1187">
      <c r="AA1187" s="640">
        <f>IF(G1187=0, IF(OR(H1187&gt;0,F1187&gt;0),C1187*F1187,""),"")</f>
        <v/>
      </c>
      <c r="AB1187" s="640">
        <f>IF(G1187&gt;=1,IF(F1187&gt;1,C1187*(F1187-2),""),"")</f>
        <v/>
      </c>
      <c r="AD1187" s="911">
        <f>IF(E1187="YES",IF(G1187=1,"",""),IF(G1187=1,C1187,IF(G1187=2,C1187,IF(G1187=0,"",""))))</f>
        <v/>
      </c>
      <c r="AE1187" s="911">
        <f>IF(E1187="YES",IF(G1187=1,"",IF(H1187=1,C1187,"")),IF(H1187=1,C1187,IF(H1187=2,C1187,IF(H1187=0,"",""))))</f>
        <v/>
      </c>
      <c r="AF1187" s="911">
        <f>IF(E1187="YES",IF(I1187=1,C1187,""),IF(I1187=1,C1187,IF(I1187=2,C1187,IF(I1187=0,"",""))))</f>
        <v/>
      </c>
      <c r="AG1187" s="192">
        <f>(C1187*G1187)+(C1187*H1187)+(C1187*I1187)</f>
        <v/>
      </c>
    </row>
    <row r="1188">
      <c r="AA1188" s="640">
        <f>IF(G1188=0, IF(OR(H1188&gt;0,F1188&gt;0),C1188*F1188,""),"")</f>
        <v/>
      </c>
      <c r="AB1188" s="640">
        <f>IF(G1188&gt;=1,IF(F1188&gt;1,C1188*(F1188-2),""),"")</f>
        <v/>
      </c>
      <c r="AD1188" s="911">
        <f>IF(E1188="YES",IF(G1188=1,"",""),IF(G1188=1,C1188,IF(G1188=2,C1188,IF(G1188=0,"",""))))</f>
        <v/>
      </c>
      <c r="AE1188" s="911">
        <f>IF(E1188="YES",IF(G1188=1,"",IF(H1188=1,C1188,"")),IF(H1188=1,C1188,IF(H1188=2,C1188,IF(H1188=0,"",""))))</f>
        <v/>
      </c>
      <c r="AF1188" s="911">
        <f>IF(E1188="YES",IF(I1188=1,C1188,""),IF(I1188=1,C1188,IF(I1188=2,C1188,IF(I1188=0,"",""))))</f>
        <v/>
      </c>
      <c r="AG1188" s="192">
        <f>(C1188*G1188)+(C1188*H1188)+(C1188*I1188)</f>
        <v/>
      </c>
    </row>
    <row r="1189">
      <c r="AA1189" s="640">
        <f>IF(G1189=0, IF(OR(H1189&gt;0,F1189&gt;0),C1189*F1189,""),"")</f>
        <v/>
      </c>
      <c r="AB1189" s="640">
        <f>IF(G1189&gt;=1,IF(F1189&gt;1,C1189*(F1189-2),""),"")</f>
        <v/>
      </c>
      <c r="AD1189" s="911">
        <f>IF(E1189="YES",IF(G1189=1,"",""),IF(G1189=1,C1189,IF(G1189=2,C1189,IF(G1189=0,"",""))))</f>
        <v/>
      </c>
      <c r="AE1189" s="911">
        <f>IF(E1189="YES",IF(G1189=1,"",IF(H1189=1,C1189,"")),IF(H1189=1,C1189,IF(H1189=2,C1189,IF(H1189=0,"",""))))</f>
        <v/>
      </c>
      <c r="AF1189" s="911">
        <f>IF(E1189="YES",IF(I1189=1,C1189,""),IF(I1189=1,C1189,IF(I1189=2,C1189,IF(I1189=0,"",""))))</f>
        <v/>
      </c>
      <c r="AG1189" s="192">
        <f>(C1189*G1189)+(C1189*H1189)+(C1189*I1189)</f>
        <v/>
      </c>
    </row>
    <row r="1190">
      <c r="AA1190" s="640">
        <f>IF(G1190=0, IF(OR(H1190&gt;0,F1190&gt;0),C1190*F1190,""),"")</f>
        <v/>
      </c>
      <c r="AB1190" s="640">
        <f>IF(G1190&gt;=1,IF(F1190&gt;1,C1190*(F1190-2),""),"")</f>
        <v/>
      </c>
      <c r="AD1190" s="911">
        <f>IF(E1190="YES",IF(G1190=1,"",""),IF(G1190=1,C1190,IF(G1190=2,C1190,IF(G1190=0,"",""))))</f>
        <v/>
      </c>
      <c r="AE1190" s="911">
        <f>IF(E1190="YES",IF(G1190=1,"",IF(H1190=1,C1190,"")),IF(H1190=1,C1190,IF(H1190=2,C1190,IF(H1190=0,"",""))))</f>
        <v/>
      </c>
      <c r="AF1190" s="911">
        <f>IF(E1190="YES",IF(I1190=1,C1190,""),IF(I1190=1,C1190,IF(I1190=2,C1190,IF(I1190=0,"",""))))</f>
        <v/>
      </c>
      <c r="AG1190" s="192">
        <f>(C1190*G1190)+(C1190*H1190)+(C1190*I1190)</f>
        <v/>
      </c>
    </row>
    <row r="1191">
      <c r="AA1191" s="640">
        <f>IF(G1191=0, IF(OR(H1191&gt;0,F1191&gt;0),C1191*F1191,""),"")</f>
        <v/>
      </c>
      <c r="AB1191" s="640">
        <f>IF(G1191&gt;=1,IF(F1191&gt;1,C1191*(F1191-2),""),"")</f>
        <v/>
      </c>
      <c r="AD1191" s="911">
        <f>IF(E1191="YES",IF(G1191=1,"",""),IF(G1191=1,C1191,IF(G1191=2,C1191,IF(G1191=0,"",""))))</f>
        <v/>
      </c>
      <c r="AE1191" s="911">
        <f>IF(E1191="YES",IF(G1191=1,"",IF(H1191=1,C1191,"")),IF(H1191=1,C1191,IF(H1191=2,C1191,IF(H1191=0,"",""))))</f>
        <v/>
      </c>
      <c r="AF1191" s="911">
        <f>IF(E1191="YES",IF(I1191=1,C1191,""),IF(I1191=1,C1191,IF(I1191=2,C1191,IF(I1191=0,"",""))))</f>
        <v/>
      </c>
      <c r="AG1191" s="192">
        <f>(C1191*G1191)+(C1191*H1191)+(C1191*I1191)</f>
        <v/>
      </c>
    </row>
    <row r="1192">
      <c r="AA1192" s="640">
        <f>IF(G1192=0, IF(OR(H1192&gt;0,F1192&gt;0),C1192*F1192,""),"")</f>
        <v/>
      </c>
      <c r="AB1192" s="640">
        <f>IF(G1192&gt;=1,IF(F1192&gt;1,C1192*(F1192-2),""),"")</f>
        <v/>
      </c>
      <c r="AD1192" s="911">
        <f>IF(E1192="YES",IF(G1192=1,"",""),IF(G1192=1,C1192,IF(G1192=2,C1192,IF(G1192=0,"",""))))</f>
        <v/>
      </c>
      <c r="AE1192" s="911">
        <f>IF(E1192="YES",IF(G1192=1,"",IF(H1192=1,C1192,"")),IF(H1192=1,C1192,IF(H1192=2,C1192,IF(H1192=0,"",""))))</f>
        <v/>
      </c>
      <c r="AF1192" s="911">
        <f>IF(E1192="YES",IF(I1192=1,C1192,""),IF(I1192=1,C1192,IF(I1192=2,C1192,IF(I1192=0,"",""))))</f>
        <v/>
      </c>
      <c r="AG1192" s="192">
        <f>(C1192*G1192)+(C1192*H1192)+(C1192*I1192)</f>
        <v/>
      </c>
    </row>
    <row r="1193">
      <c r="AA1193" s="640">
        <f>IF(G1193=0, IF(OR(H1193&gt;0,F1193&gt;0),C1193*F1193,""),"")</f>
        <v/>
      </c>
      <c r="AB1193" s="640">
        <f>IF(G1193&gt;=1,IF(F1193&gt;1,C1193*(F1193-2),""),"")</f>
        <v/>
      </c>
      <c r="AD1193" s="911">
        <f>IF(E1193="YES",IF(G1193=1,"",""),IF(G1193=1,C1193,IF(G1193=2,C1193,IF(G1193=0,"",""))))</f>
        <v/>
      </c>
      <c r="AE1193" s="911">
        <f>IF(E1193="YES",IF(G1193=1,"",IF(H1193=1,C1193,"")),IF(H1193=1,C1193,IF(H1193=2,C1193,IF(H1193=0,"",""))))</f>
        <v/>
      </c>
      <c r="AF1193" s="911">
        <f>IF(E1193="YES",IF(I1193=1,C1193,""),IF(I1193=1,C1193,IF(I1193=2,C1193,IF(I1193=0,"",""))))</f>
        <v/>
      </c>
      <c r="AG1193" s="192">
        <f>(C1193*G1193)+(C1193*H1193)+(C1193*I1193)</f>
        <v/>
      </c>
    </row>
    <row r="1194">
      <c r="AA1194" s="640">
        <f>IF(G1194=0, IF(OR(H1194&gt;0,F1194&gt;0),C1194*F1194,""),"")</f>
        <v/>
      </c>
      <c r="AB1194" s="640">
        <f>IF(G1194&gt;=1,IF(F1194&gt;1,C1194*(F1194-2),""),"")</f>
        <v/>
      </c>
      <c r="AD1194" s="911">
        <f>IF(E1194="YES",IF(G1194=1,"",""),IF(G1194=1,C1194,IF(G1194=2,C1194,IF(G1194=0,"",""))))</f>
        <v/>
      </c>
      <c r="AE1194" s="911">
        <f>IF(E1194="YES",IF(G1194=1,"",IF(H1194=1,C1194,"")),IF(H1194=1,C1194,IF(H1194=2,C1194,IF(H1194=0,"",""))))</f>
        <v/>
      </c>
      <c r="AF1194" s="911">
        <f>IF(E1194="YES",IF(I1194=1,C1194,""),IF(I1194=1,C1194,IF(I1194=2,C1194,IF(I1194=0,"",""))))</f>
        <v/>
      </c>
      <c r="AG1194" s="192">
        <f>(C1194*G1194)+(C1194*H1194)+(C1194*I1194)</f>
        <v/>
      </c>
    </row>
    <row r="1195">
      <c r="AA1195" s="640">
        <f>IF(G1195=0, IF(OR(H1195&gt;0,F1195&gt;0),C1195*F1195,""),"")</f>
        <v/>
      </c>
      <c r="AB1195" s="640">
        <f>IF(G1195&gt;=1,IF(F1195&gt;1,C1195*(F1195-2),""),"")</f>
        <v/>
      </c>
      <c r="AD1195" s="911">
        <f>IF(E1195="YES",IF(G1195=1,"",""),IF(G1195=1,C1195,IF(G1195=2,C1195,IF(G1195=0,"",""))))</f>
        <v/>
      </c>
      <c r="AE1195" s="911">
        <f>IF(E1195="YES",IF(G1195=1,"",IF(H1195=1,C1195,"")),IF(H1195=1,C1195,IF(H1195=2,C1195,IF(H1195=0,"",""))))</f>
        <v/>
      </c>
      <c r="AF1195" s="911">
        <f>IF(E1195="YES",IF(I1195=1,C1195,""),IF(I1195=1,C1195,IF(I1195=2,C1195,IF(I1195=0,"",""))))</f>
        <v/>
      </c>
      <c r="AG1195" s="192">
        <f>(C1195*G1195)+(C1195*H1195)+(C1195*I1195)</f>
        <v/>
      </c>
    </row>
    <row r="1196">
      <c r="AA1196" s="640">
        <f>IF(G1196=0, IF(OR(H1196&gt;0,F1196&gt;0),C1196*F1196,""),"")</f>
        <v/>
      </c>
      <c r="AB1196" s="640">
        <f>IF(G1196&gt;=1,IF(F1196&gt;1,C1196*(F1196-2),""),"")</f>
        <v/>
      </c>
      <c r="AD1196" s="911">
        <f>IF(E1196="YES",IF(G1196=1,"",""),IF(G1196=1,C1196,IF(G1196=2,C1196,IF(G1196=0,"",""))))</f>
        <v/>
      </c>
      <c r="AE1196" s="911">
        <f>IF(E1196="YES",IF(G1196=1,"",IF(H1196=1,C1196,"")),IF(H1196=1,C1196,IF(H1196=2,C1196,IF(H1196=0,"",""))))</f>
        <v/>
      </c>
      <c r="AF1196" s="911">
        <f>IF(E1196="YES",IF(I1196=1,C1196,""),IF(I1196=1,C1196,IF(I1196=2,C1196,IF(I1196=0,"",""))))</f>
        <v/>
      </c>
      <c r="AG1196" s="192">
        <f>(C1196*G1196)+(C1196*H1196)+(C1196*I1196)</f>
        <v/>
      </c>
    </row>
    <row r="1197">
      <c r="AA1197" s="640">
        <f>IF(G1197=0, IF(OR(H1197&gt;0,F1197&gt;0),C1197*F1197,""),"")</f>
        <v/>
      </c>
      <c r="AB1197" s="640">
        <f>IF(G1197&gt;=1,IF(F1197&gt;1,C1197*(F1197-2),""),"")</f>
        <v/>
      </c>
      <c r="AD1197" s="911">
        <f>IF(E1197="YES",IF(G1197=1,"",""),IF(G1197=1,C1197,IF(G1197=2,C1197,IF(G1197=0,"",""))))</f>
        <v/>
      </c>
      <c r="AE1197" s="911">
        <f>IF(E1197="YES",IF(G1197=1,"",IF(H1197=1,C1197,"")),IF(H1197=1,C1197,IF(H1197=2,C1197,IF(H1197=0,"",""))))</f>
        <v/>
      </c>
      <c r="AF1197" s="911">
        <f>IF(E1197="YES",IF(I1197=1,C1197,""),IF(I1197=1,C1197,IF(I1197=2,C1197,IF(I1197=0,"",""))))</f>
        <v/>
      </c>
      <c r="AG1197" s="192">
        <f>(C1197*G1197)+(C1197*H1197)+(C1197*I1197)</f>
        <v/>
      </c>
    </row>
    <row r="1198">
      <c r="AA1198" s="640">
        <f>IF(G1198=0, IF(OR(H1198&gt;0,F1198&gt;0),C1198*F1198,""),"")</f>
        <v/>
      </c>
      <c r="AB1198" s="640">
        <f>IF(G1198&gt;=1,IF(F1198&gt;1,C1198*(F1198-2),""),"")</f>
        <v/>
      </c>
      <c r="AD1198" s="911">
        <f>IF(E1198="YES",IF(G1198=1,"",""),IF(G1198=1,C1198,IF(G1198=2,C1198,IF(G1198=0,"",""))))</f>
        <v/>
      </c>
      <c r="AE1198" s="911">
        <f>IF(E1198="YES",IF(G1198=1,"",IF(H1198=1,C1198,"")),IF(H1198=1,C1198,IF(H1198=2,C1198,IF(H1198=0,"",""))))</f>
        <v/>
      </c>
      <c r="AF1198" s="911">
        <f>IF(E1198="YES",IF(I1198=1,C1198,""),IF(I1198=1,C1198,IF(I1198=2,C1198,IF(I1198=0,"",""))))</f>
        <v/>
      </c>
      <c r="AG1198" s="192">
        <f>(C1198*G1198)+(C1198*H1198)+(C1198*I1198)</f>
        <v/>
      </c>
    </row>
    <row r="1199">
      <c r="AA1199" s="640">
        <f>IF(G1199=0, IF(OR(H1199&gt;0,F1199&gt;0),C1199*F1199,""),"")</f>
        <v/>
      </c>
      <c r="AB1199" s="640">
        <f>IF(G1199&gt;=1,IF(F1199&gt;1,C1199*(F1199-2),""),"")</f>
        <v/>
      </c>
      <c r="AD1199" s="911">
        <f>IF(E1199="YES",IF(G1199=1,"",""),IF(G1199=1,C1199,IF(G1199=2,C1199,IF(G1199=0,"",""))))</f>
        <v/>
      </c>
      <c r="AE1199" s="911">
        <f>IF(E1199="YES",IF(G1199=1,"",IF(H1199=1,C1199,"")),IF(H1199=1,C1199,IF(H1199=2,C1199,IF(H1199=0,"",""))))</f>
        <v/>
      </c>
      <c r="AF1199" s="911">
        <f>IF(E1199="YES",IF(I1199=1,C1199,""),IF(I1199=1,C1199,IF(I1199=2,C1199,IF(I1199=0,"",""))))</f>
        <v/>
      </c>
      <c r="AG1199" s="192">
        <f>(C1199*G1199)+(C1199*H1199)+(C1199*I1199)</f>
        <v/>
      </c>
    </row>
    <row r="1200">
      <c r="AA1200" s="640">
        <f>IF(G1200=0, IF(OR(H1200&gt;0,F1200&gt;0),C1200*F1200,""),"")</f>
        <v/>
      </c>
      <c r="AB1200" s="640">
        <f>IF(G1200&gt;=1,IF(F1200&gt;1,C1200*(F1200-2),""),"")</f>
        <v/>
      </c>
      <c r="AD1200" s="911">
        <f>IF(E1200="YES",IF(G1200=1,"",""),IF(G1200=1,C1200,IF(G1200=2,C1200,IF(G1200=0,"",""))))</f>
        <v/>
      </c>
      <c r="AE1200" s="911">
        <f>IF(E1200="YES",IF(G1200=1,"",IF(H1200=1,C1200,"")),IF(H1200=1,C1200,IF(H1200=2,C1200,IF(H1200=0,"",""))))</f>
        <v/>
      </c>
      <c r="AF1200" s="911">
        <f>IF(E1200="YES",IF(I1200=1,C1200,""),IF(I1200=1,C1200,IF(I1200=2,C1200,IF(I1200=0,"",""))))</f>
        <v/>
      </c>
      <c r="AG1200" s="192">
        <f>(C1200*G1200)+(C1200*H1200)+(C1200*I1200)</f>
        <v/>
      </c>
    </row>
    <row r="1201">
      <c r="AA1201" s="640">
        <f>IF(G1201=0, IF(OR(H1201&gt;0,F1201&gt;0),C1201*F1201,""),"")</f>
        <v/>
      </c>
      <c r="AB1201" s="640">
        <f>IF(G1201&gt;=1,IF(F1201&gt;1,C1201*(F1201-2),""),"")</f>
        <v/>
      </c>
      <c r="AD1201" s="911">
        <f>IF(E1201="YES",IF(G1201=1,"",""),IF(G1201=1,C1201,IF(G1201=2,C1201,IF(G1201=0,"",""))))</f>
        <v/>
      </c>
      <c r="AE1201" s="911">
        <f>IF(E1201="YES",IF(G1201=1,"",IF(H1201=1,C1201,"")),IF(H1201=1,C1201,IF(H1201=2,C1201,IF(H1201=0,"",""))))</f>
        <v/>
      </c>
      <c r="AF1201" s="911">
        <f>IF(E1201="YES",IF(I1201=1,C1201,""),IF(I1201=1,C1201,IF(I1201=2,C1201,IF(I1201=0,"",""))))</f>
        <v/>
      </c>
      <c r="AG1201" s="192">
        <f>(C1201*G1201)+(C1201*H1201)+(C1201*I1201)</f>
        <v/>
      </c>
    </row>
    <row r="1202">
      <c r="AA1202" s="640">
        <f>IF(G1202=0, IF(OR(H1202&gt;0,F1202&gt;0),C1202*F1202,""),"")</f>
        <v/>
      </c>
      <c r="AB1202" s="640">
        <f>IF(G1202&gt;=1,IF(F1202&gt;1,C1202*(F1202-2),""),"")</f>
        <v/>
      </c>
      <c r="AD1202" s="911">
        <f>IF(E1202="YES",IF(G1202=1,"",""),IF(G1202=1,C1202,IF(G1202=2,C1202,IF(G1202=0,"",""))))</f>
        <v/>
      </c>
      <c r="AE1202" s="911">
        <f>IF(E1202="YES",IF(G1202=1,"",IF(H1202=1,C1202,"")),IF(H1202=1,C1202,IF(H1202=2,C1202,IF(H1202=0,"",""))))</f>
        <v/>
      </c>
      <c r="AF1202" s="911">
        <f>IF(E1202="YES",IF(I1202=1,C1202,""),IF(I1202=1,C1202,IF(I1202=2,C1202,IF(I1202=0,"",""))))</f>
        <v/>
      </c>
      <c r="AG1202" s="192">
        <f>(C1202*G1202)+(C1202*H1202)+(C1202*I1202)</f>
        <v/>
      </c>
    </row>
    <row r="1203">
      <c r="AA1203" s="640">
        <f>IF(G1203=0, IF(OR(H1203&gt;0,F1203&gt;0),C1203*F1203,""),"")</f>
        <v/>
      </c>
      <c r="AB1203" s="640">
        <f>IF(G1203&gt;=1,IF(F1203&gt;1,C1203*(F1203-2),""),"")</f>
        <v/>
      </c>
      <c r="AD1203" s="911">
        <f>IF(E1203="YES",IF(G1203=1,"",""),IF(G1203=1,C1203,IF(G1203=2,C1203,IF(G1203=0,"",""))))</f>
        <v/>
      </c>
      <c r="AE1203" s="911">
        <f>IF(E1203="YES",IF(G1203=1,"",IF(H1203=1,C1203,"")),IF(H1203=1,C1203,IF(H1203=2,C1203,IF(H1203=0,"",""))))</f>
        <v/>
      </c>
      <c r="AF1203" s="911">
        <f>IF(E1203="YES",IF(I1203=1,C1203,""),IF(I1203=1,C1203,IF(I1203=2,C1203,IF(I1203=0,"",""))))</f>
        <v/>
      </c>
      <c r="AG1203" s="192">
        <f>(C1203*G1203)+(C1203*H1203)+(C1203*I1203)</f>
        <v/>
      </c>
    </row>
    <row r="1204">
      <c r="AA1204" s="640">
        <f>IF(G1204=0, IF(OR(H1204&gt;0,F1204&gt;0),C1204*F1204,""),"")</f>
        <v/>
      </c>
      <c r="AB1204" s="640">
        <f>IF(G1204&gt;=1,IF(F1204&gt;1,C1204*(F1204-2),""),"")</f>
        <v/>
      </c>
      <c r="AD1204" s="911">
        <f>IF(E1204="YES",IF(G1204=1,"",""),IF(G1204=1,C1204,IF(G1204=2,C1204,IF(G1204=0,"",""))))</f>
        <v/>
      </c>
      <c r="AE1204" s="911">
        <f>IF(E1204="YES",IF(G1204=1,"",IF(H1204=1,C1204,"")),IF(H1204=1,C1204,IF(H1204=2,C1204,IF(H1204=0,"",""))))</f>
        <v/>
      </c>
      <c r="AF1204" s="911">
        <f>IF(E1204="YES",IF(I1204=1,C1204,""),IF(I1204=1,C1204,IF(I1204=2,C1204,IF(I1204=0,"",""))))</f>
        <v/>
      </c>
      <c r="AG1204" s="192">
        <f>(C1204*G1204)+(C1204*H1204)+(C1204*I1204)</f>
        <v/>
      </c>
    </row>
    <row r="1205">
      <c r="AA1205" s="640">
        <f>IF(G1205=0, IF(OR(H1205&gt;0,F1205&gt;0),C1205*F1205,""),"")</f>
        <v/>
      </c>
      <c r="AB1205" s="640">
        <f>IF(G1205&gt;=1,IF(F1205&gt;1,C1205*(F1205-2),""),"")</f>
        <v/>
      </c>
      <c r="AD1205" s="911">
        <f>IF(E1205="YES",IF(G1205=1,"",""),IF(G1205=1,C1205,IF(G1205=2,C1205,IF(G1205=0,"",""))))</f>
        <v/>
      </c>
      <c r="AE1205" s="911">
        <f>IF(E1205="YES",IF(G1205=1,"",IF(H1205=1,C1205,"")),IF(H1205=1,C1205,IF(H1205=2,C1205,IF(H1205=0,"",""))))</f>
        <v/>
      </c>
      <c r="AF1205" s="911">
        <f>IF(E1205="YES",IF(I1205=1,C1205,""),IF(I1205=1,C1205,IF(I1205=2,C1205,IF(I1205=0,"",""))))</f>
        <v/>
      </c>
      <c r="AG1205" s="192">
        <f>(C1205*G1205)+(C1205*H1205)+(C1205*I1205)</f>
        <v/>
      </c>
    </row>
    <row r="1206">
      <c r="AA1206" s="640">
        <f>IF(G1206=0, IF(OR(H1206&gt;0,F1206&gt;0),C1206*F1206,""),"")</f>
        <v/>
      </c>
      <c r="AB1206" s="640">
        <f>IF(G1206&gt;=1,IF(F1206&gt;1,C1206*(F1206-2),""),"")</f>
        <v/>
      </c>
      <c r="AD1206" s="911">
        <f>IF(E1206="YES",IF(G1206=1,"",""),IF(G1206=1,C1206,IF(G1206=2,C1206,IF(G1206=0,"",""))))</f>
        <v/>
      </c>
      <c r="AE1206" s="911">
        <f>IF(E1206="YES",IF(G1206=1,"",IF(H1206=1,C1206,"")),IF(H1206=1,C1206,IF(H1206=2,C1206,IF(H1206=0,"",""))))</f>
        <v/>
      </c>
      <c r="AF1206" s="911">
        <f>IF(E1206="YES",IF(I1206=1,C1206,""),IF(I1206=1,C1206,IF(I1206=2,C1206,IF(I1206=0,"",""))))</f>
        <v/>
      </c>
      <c r="AG1206" s="192">
        <f>(C1206*G1206)+(C1206*H1206)+(C1206*I1206)</f>
        <v/>
      </c>
    </row>
    <row r="1207">
      <c r="AA1207" s="640">
        <f>IF(G1207=0, IF(OR(H1207&gt;0,F1207&gt;0),C1207*F1207,""),"")</f>
        <v/>
      </c>
      <c r="AB1207" s="640">
        <f>IF(G1207&gt;=1,IF(F1207&gt;1,C1207*(F1207-2),""),"")</f>
        <v/>
      </c>
      <c r="AD1207" s="911">
        <f>IF(E1207="YES",IF(G1207=1,"",""),IF(G1207=1,C1207,IF(G1207=2,C1207,IF(G1207=0,"",""))))</f>
        <v/>
      </c>
      <c r="AE1207" s="911">
        <f>IF(E1207="YES",IF(G1207=1,"",IF(H1207=1,C1207,"")),IF(H1207=1,C1207,IF(H1207=2,C1207,IF(H1207=0,"",""))))</f>
        <v/>
      </c>
      <c r="AF1207" s="911">
        <f>IF(E1207="YES",IF(I1207=1,C1207,""),IF(I1207=1,C1207,IF(I1207=2,C1207,IF(I1207=0,"",""))))</f>
        <v/>
      </c>
      <c r="AG1207" s="192">
        <f>(C1207*G1207)+(C1207*H1207)+(C1207*I1207)</f>
        <v/>
      </c>
    </row>
    <row r="1208">
      <c r="AA1208" s="640">
        <f>IF(G1208=0, IF(OR(H1208&gt;0,F1208&gt;0),C1208*F1208,""),"")</f>
        <v/>
      </c>
      <c r="AB1208" s="640">
        <f>IF(G1208&gt;=1,IF(F1208&gt;1,C1208*(F1208-2),""),"")</f>
        <v/>
      </c>
      <c r="AD1208" s="911">
        <f>IF(E1208="YES",IF(G1208=1,"",""),IF(G1208=1,C1208,IF(G1208=2,C1208,IF(G1208=0,"",""))))</f>
        <v/>
      </c>
      <c r="AE1208" s="911">
        <f>IF(E1208="YES",IF(G1208=1,"",IF(H1208=1,C1208,"")),IF(H1208=1,C1208,IF(H1208=2,C1208,IF(H1208=0,"",""))))</f>
        <v/>
      </c>
      <c r="AF1208" s="911">
        <f>IF(E1208="YES",IF(I1208=1,C1208,""),IF(I1208=1,C1208,IF(I1208=2,C1208,IF(I1208=0,"",""))))</f>
        <v/>
      </c>
      <c r="AG1208" s="192">
        <f>(C1208*G1208)+(C1208*H1208)+(C1208*I1208)</f>
        <v/>
      </c>
    </row>
    <row r="1209">
      <c r="AA1209" s="640">
        <f>IF(G1209=0, IF(OR(H1209&gt;0,F1209&gt;0),C1209*F1209,""),"")</f>
        <v/>
      </c>
      <c r="AB1209" s="640">
        <f>IF(G1209&gt;=1,IF(F1209&gt;1,C1209*(F1209-2),""),"")</f>
        <v/>
      </c>
      <c r="AD1209" s="911">
        <f>IF(E1209="YES",IF(G1209=1,"",""),IF(G1209=1,C1209,IF(G1209=2,C1209,IF(G1209=0,"",""))))</f>
        <v/>
      </c>
      <c r="AE1209" s="911">
        <f>IF(E1209="YES",IF(G1209=1,"",IF(H1209=1,C1209,"")),IF(H1209=1,C1209,IF(H1209=2,C1209,IF(H1209=0,"",""))))</f>
        <v/>
      </c>
      <c r="AF1209" s="911">
        <f>IF(E1209="YES",IF(I1209=1,C1209,""),IF(I1209=1,C1209,IF(I1209=2,C1209,IF(I1209=0,"",""))))</f>
        <v/>
      </c>
      <c r="AG1209" s="192">
        <f>(C1209*G1209)+(C1209*H1209)+(C1209*I1209)</f>
        <v/>
      </c>
    </row>
    <row r="1210">
      <c r="AA1210" s="640">
        <f>IF(G1210=0, IF(OR(H1210&gt;0,F1210&gt;0),C1210*F1210,""),"")</f>
        <v/>
      </c>
      <c r="AB1210" s="640">
        <f>IF(G1210&gt;=1,IF(F1210&gt;1,C1210*(F1210-2),""),"")</f>
        <v/>
      </c>
      <c r="AD1210" s="911">
        <f>IF(E1210="YES",IF(G1210=1,"",""),IF(G1210=1,C1210,IF(G1210=2,C1210,IF(G1210=0,"",""))))</f>
        <v/>
      </c>
      <c r="AE1210" s="911">
        <f>IF(E1210="YES",IF(G1210=1,"",IF(H1210=1,C1210,"")),IF(H1210=1,C1210,IF(H1210=2,C1210,IF(H1210=0,"",""))))</f>
        <v/>
      </c>
      <c r="AF1210" s="911">
        <f>IF(E1210="YES",IF(I1210=1,C1210,""),IF(I1210=1,C1210,IF(I1210=2,C1210,IF(I1210=0,"",""))))</f>
        <v/>
      </c>
      <c r="AG1210" s="192">
        <f>(C1210*G1210)+(C1210*H1210)+(C1210*I1210)</f>
        <v/>
      </c>
    </row>
    <row r="1211">
      <c r="AA1211" s="640">
        <f>IF(G1211=0, IF(OR(H1211&gt;0,F1211&gt;0),C1211*F1211,""),"")</f>
        <v/>
      </c>
      <c r="AB1211" s="640">
        <f>IF(G1211&gt;=1,IF(F1211&gt;1,C1211*(F1211-2),""),"")</f>
        <v/>
      </c>
      <c r="AD1211" s="911">
        <f>IF(E1211="YES",IF(G1211=1,"",""),IF(G1211=1,C1211,IF(G1211=2,C1211,IF(G1211=0,"",""))))</f>
        <v/>
      </c>
      <c r="AE1211" s="911">
        <f>IF(E1211="YES",IF(G1211=1,"",IF(H1211=1,C1211,"")),IF(H1211=1,C1211,IF(H1211=2,C1211,IF(H1211=0,"",""))))</f>
        <v/>
      </c>
      <c r="AF1211" s="911">
        <f>IF(E1211="YES",IF(I1211=1,C1211,""),IF(I1211=1,C1211,IF(I1211=2,C1211,IF(I1211=0,"",""))))</f>
        <v/>
      </c>
      <c r="AG1211" s="192">
        <f>(C1211*G1211)+(C1211*H1211)+(C1211*I1211)</f>
        <v/>
      </c>
    </row>
    <row r="1212">
      <c r="AA1212" s="640">
        <f>IF(G1212=0, IF(OR(H1212&gt;0,F1212&gt;0),C1212*F1212,""),"")</f>
        <v/>
      </c>
      <c r="AB1212" s="640">
        <f>IF(G1212&gt;=1,IF(F1212&gt;1,C1212*(F1212-2),""),"")</f>
        <v/>
      </c>
      <c r="AD1212" s="911">
        <f>IF(E1212="YES",IF(G1212=1,"",""),IF(G1212=1,C1212,IF(G1212=2,C1212,IF(G1212=0,"",""))))</f>
        <v/>
      </c>
      <c r="AE1212" s="911">
        <f>IF(E1212="YES",IF(G1212=1,"",IF(H1212=1,C1212,"")),IF(H1212=1,C1212,IF(H1212=2,C1212,IF(H1212=0,"",""))))</f>
        <v/>
      </c>
      <c r="AF1212" s="911">
        <f>IF(E1212="YES",IF(I1212=1,C1212,""),IF(I1212=1,C1212,IF(I1212=2,C1212,IF(I1212=0,"",""))))</f>
        <v/>
      </c>
      <c r="AG1212" s="192">
        <f>(C1212*G1212)+(C1212*H1212)+(C1212*I1212)</f>
        <v/>
      </c>
    </row>
    <row r="1213">
      <c r="AA1213" s="640">
        <f>IF(G1213=0, IF(OR(H1213&gt;0,F1213&gt;0),C1213*F1213,""),"")</f>
        <v/>
      </c>
      <c r="AB1213" s="640">
        <f>IF(G1213&gt;=1,IF(F1213&gt;1,C1213*(F1213-2),""),"")</f>
        <v/>
      </c>
      <c r="AD1213" s="911">
        <f>IF(E1213="YES",IF(G1213=1,"",""),IF(G1213=1,C1213,IF(G1213=2,C1213,IF(G1213=0,"",""))))</f>
        <v/>
      </c>
      <c r="AE1213" s="911">
        <f>IF(E1213="YES",IF(G1213=1,"",IF(H1213=1,C1213,"")),IF(H1213=1,C1213,IF(H1213=2,C1213,IF(H1213=0,"",""))))</f>
        <v/>
      </c>
      <c r="AF1213" s="911">
        <f>IF(E1213="YES",IF(I1213=1,C1213,""),IF(I1213=1,C1213,IF(I1213=2,C1213,IF(I1213=0,"",""))))</f>
        <v/>
      </c>
      <c r="AG1213" s="192">
        <f>(C1213*G1213)+(C1213*H1213)+(C1213*I1213)</f>
        <v/>
      </c>
    </row>
    <row r="1214">
      <c r="AA1214" s="640">
        <f>IF(G1214=0, IF(OR(H1214&gt;0,F1214&gt;0),C1214*F1214,""),"")</f>
        <v/>
      </c>
      <c r="AB1214" s="640">
        <f>IF(G1214&gt;=1,IF(F1214&gt;1,C1214*(F1214-2),""),"")</f>
        <v/>
      </c>
      <c r="AD1214" s="911">
        <f>IF(E1214="YES",IF(G1214=1,"",""),IF(G1214=1,C1214,IF(G1214=2,C1214,IF(G1214=0,"",""))))</f>
        <v/>
      </c>
      <c r="AE1214" s="911">
        <f>IF(E1214="YES",IF(G1214=1,"",IF(H1214=1,C1214,"")),IF(H1214=1,C1214,IF(H1214=2,C1214,IF(H1214=0,"",""))))</f>
        <v/>
      </c>
      <c r="AF1214" s="911">
        <f>IF(E1214="YES",IF(I1214=1,C1214,""),IF(I1214=1,C1214,IF(I1214=2,C1214,IF(I1214=0,"",""))))</f>
        <v/>
      </c>
      <c r="AG1214" s="192">
        <f>(C1214*G1214)+(C1214*H1214)+(C1214*I1214)</f>
        <v/>
      </c>
    </row>
    <row r="1215">
      <c r="AA1215" s="640">
        <f>IF(G1215=0, IF(OR(H1215&gt;0,F1215&gt;0),C1215*F1215,""),"")</f>
        <v/>
      </c>
      <c r="AB1215" s="640">
        <f>IF(G1215&gt;=1,IF(F1215&gt;1,C1215*(F1215-2),""),"")</f>
        <v/>
      </c>
      <c r="AD1215" s="911">
        <f>IF(E1215="YES",IF(G1215=1,"",""),IF(G1215=1,C1215,IF(G1215=2,C1215,IF(G1215=0,"",""))))</f>
        <v/>
      </c>
      <c r="AE1215" s="911">
        <f>IF(E1215="YES",IF(G1215=1,"",IF(H1215=1,C1215,"")),IF(H1215=1,C1215,IF(H1215=2,C1215,IF(H1215=0,"",""))))</f>
        <v/>
      </c>
      <c r="AF1215" s="911">
        <f>IF(E1215="YES",IF(I1215=1,C1215,""),IF(I1215=1,C1215,IF(I1215=2,C1215,IF(I1215=0,"",""))))</f>
        <v/>
      </c>
      <c r="AG1215" s="192">
        <f>(C1215*G1215)+(C1215*H1215)+(C1215*I1215)</f>
        <v/>
      </c>
    </row>
    <row r="1216">
      <c r="AA1216" s="640">
        <f>IF(G1216=0, IF(OR(H1216&gt;0,F1216&gt;0),C1216*F1216,""),"")</f>
        <v/>
      </c>
      <c r="AB1216" s="640">
        <f>IF(G1216&gt;=1,IF(F1216&gt;1,C1216*(F1216-2),""),"")</f>
        <v/>
      </c>
      <c r="AD1216" s="911">
        <f>IF(E1216="YES",IF(G1216=1,"",""),IF(G1216=1,C1216,IF(G1216=2,C1216,IF(G1216=0,"",""))))</f>
        <v/>
      </c>
      <c r="AE1216" s="911">
        <f>IF(E1216="YES",IF(G1216=1,"",IF(H1216=1,C1216,"")),IF(H1216=1,C1216,IF(H1216=2,C1216,IF(H1216=0,"",""))))</f>
        <v/>
      </c>
      <c r="AF1216" s="911">
        <f>IF(E1216="YES",IF(I1216=1,C1216,""),IF(I1216=1,C1216,IF(I1216=2,C1216,IF(I1216=0,"",""))))</f>
        <v/>
      </c>
      <c r="AG1216" s="192">
        <f>(C1216*G1216)+(C1216*H1216)+(C1216*I1216)</f>
        <v/>
      </c>
    </row>
    <row r="1217">
      <c r="AA1217" s="640">
        <f>IF(G1217=0, IF(OR(H1217&gt;0,F1217&gt;0),C1217*F1217,""),"")</f>
        <v/>
      </c>
      <c r="AB1217" s="640">
        <f>IF(G1217&gt;=1,IF(F1217&gt;1,C1217*(F1217-2),""),"")</f>
        <v/>
      </c>
      <c r="AD1217" s="911">
        <f>IF(E1217="YES",IF(G1217=1,"",""),IF(G1217=1,C1217,IF(G1217=2,C1217,IF(G1217=0,"",""))))</f>
        <v/>
      </c>
      <c r="AE1217" s="911">
        <f>IF(E1217="YES",IF(G1217=1,"",IF(H1217=1,C1217,"")),IF(H1217=1,C1217,IF(H1217=2,C1217,IF(H1217=0,"",""))))</f>
        <v/>
      </c>
      <c r="AF1217" s="911">
        <f>IF(E1217="YES",IF(I1217=1,C1217,""),IF(I1217=1,C1217,IF(I1217=2,C1217,IF(I1217=0,"",""))))</f>
        <v/>
      </c>
      <c r="AG1217" s="192">
        <f>(C1217*G1217)+(C1217*H1217)+(C1217*I1217)</f>
        <v/>
      </c>
    </row>
    <row r="1218">
      <c r="AA1218" s="640">
        <f>IF(G1218=0, IF(OR(H1218&gt;0,F1218&gt;0),C1218*F1218,""),"")</f>
        <v/>
      </c>
      <c r="AB1218" s="640">
        <f>IF(G1218&gt;=1,IF(F1218&gt;1,C1218*(F1218-2),""),"")</f>
        <v/>
      </c>
      <c r="AD1218" s="911">
        <f>IF(E1218="YES",IF(G1218=1,"",""),IF(G1218=1,C1218,IF(G1218=2,C1218,IF(G1218=0,"",""))))</f>
        <v/>
      </c>
      <c r="AE1218" s="911">
        <f>IF(E1218="YES",IF(G1218=1,"",IF(H1218=1,C1218,"")),IF(H1218=1,C1218,IF(H1218=2,C1218,IF(H1218=0,"",""))))</f>
        <v/>
      </c>
      <c r="AF1218" s="911">
        <f>IF(E1218="YES",IF(I1218=1,C1218,""),IF(I1218=1,C1218,IF(I1218=2,C1218,IF(I1218=0,"",""))))</f>
        <v/>
      </c>
      <c r="AG1218" s="192">
        <f>(C1218*G1218)+(C1218*H1218)+(C1218*I1218)</f>
        <v/>
      </c>
    </row>
    <row r="1219">
      <c r="AA1219" s="640">
        <f>IF(G1219=0, IF(OR(H1219&gt;0,F1219&gt;0),C1219*F1219,""),"")</f>
        <v/>
      </c>
      <c r="AB1219" s="640">
        <f>IF(G1219&gt;=1,IF(F1219&gt;1,C1219*(F1219-2),""),"")</f>
        <v/>
      </c>
      <c r="AD1219" s="911">
        <f>IF(E1219="YES",IF(G1219=1,"",""),IF(G1219=1,C1219,IF(G1219=2,C1219,IF(G1219=0,"",""))))</f>
        <v/>
      </c>
      <c r="AE1219" s="911">
        <f>IF(E1219="YES",IF(G1219=1,"",IF(H1219=1,C1219,"")),IF(H1219=1,C1219,IF(H1219=2,C1219,IF(H1219=0,"",""))))</f>
        <v/>
      </c>
      <c r="AF1219" s="911">
        <f>IF(E1219="YES",IF(I1219=1,C1219,""),IF(I1219=1,C1219,IF(I1219=2,C1219,IF(I1219=0,"",""))))</f>
        <v/>
      </c>
      <c r="AG1219" s="192">
        <f>(C1219*G1219)+(C1219*H1219)+(C1219*I1219)</f>
        <v/>
      </c>
    </row>
    <row r="1220">
      <c r="AA1220" s="640">
        <f>IF(G1220=0, IF(OR(H1220&gt;0,F1220&gt;0),C1220*F1220,""),"")</f>
        <v/>
      </c>
      <c r="AB1220" s="640">
        <f>IF(G1220&gt;=1,IF(F1220&gt;1,C1220*(F1220-2),""),"")</f>
        <v/>
      </c>
      <c r="AD1220" s="911">
        <f>IF(E1220="YES",IF(G1220=1,"",""),IF(G1220=1,C1220,IF(G1220=2,C1220,IF(G1220=0,"",""))))</f>
        <v/>
      </c>
      <c r="AE1220" s="911">
        <f>IF(E1220="YES",IF(G1220=1,"",IF(H1220=1,C1220,"")),IF(H1220=1,C1220,IF(H1220=2,C1220,IF(H1220=0,"",""))))</f>
        <v/>
      </c>
      <c r="AF1220" s="911">
        <f>IF(E1220="YES",IF(I1220=1,C1220,""),IF(I1220=1,C1220,IF(I1220=2,C1220,IF(I1220=0,"",""))))</f>
        <v/>
      </c>
      <c r="AG1220" s="192">
        <f>(C1220*G1220)+(C1220*H1220)+(C1220*I1220)</f>
        <v/>
      </c>
    </row>
    <row r="1221">
      <c r="AA1221" s="640">
        <f>IF(G1221=0, IF(OR(H1221&gt;0,F1221&gt;0),C1221*F1221,""),"")</f>
        <v/>
      </c>
      <c r="AB1221" s="640">
        <f>IF(G1221&gt;=1,IF(F1221&gt;1,C1221*(F1221-2),""),"")</f>
        <v/>
      </c>
      <c r="AD1221" s="911">
        <f>IF(E1221="YES",IF(G1221=1,"",""),IF(G1221=1,C1221,IF(G1221=2,C1221,IF(G1221=0,"",""))))</f>
        <v/>
      </c>
      <c r="AE1221" s="911">
        <f>IF(E1221="YES",IF(G1221=1,"",IF(H1221=1,C1221,"")),IF(H1221=1,C1221,IF(H1221=2,C1221,IF(H1221=0,"",""))))</f>
        <v/>
      </c>
      <c r="AF1221" s="911">
        <f>IF(E1221="YES",IF(I1221=1,C1221,""),IF(I1221=1,C1221,IF(I1221=2,C1221,IF(I1221=0,"",""))))</f>
        <v/>
      </c>
      <c r="AG1221" s="192">
        <f>(C1221*G1221)+(C1221*H1221)+(C1221*I1221)</f>
        <v/>
      </c>
    </row>
    <row r="1222">
      <c r="AA1222" s="640">
        <f>IF(G1222=0, IF(OR(H1222&gt;0,F1222&gt;0),C1222*F1222,""),"")</f>
        <v/>
      </c>
      <c r="AB1222" s="640">
        <f>IF(G1222&gt;=1,IF(F1222&gt;1,C1222*(F1222-2),""),"")</f>
        <v/>
      </c>
      <c r="AD1222" s="911">
        <f>IF(E1222="YES",IF(G1222=1,"",""),IF(G1222=1,C1222,IF(G1222=2,C1222,IF(G1222=0,"",""))))</f>
        <v/>
      </c>
      <c r="AE1222" s="911">
        <f>IF(E1222="YES",IF(G1222=1,"",IF(H1222=1,C1222,"")),IF(H1222=1,C1222,IF(H1222=2,C1222,IF(H1222=0,"",""))))</f>
        <v/>
      </c>
      <c r="AF1222" s="911">
        <f>IF(E1222="YES",IF(I1222=1,C1222,""),IF(I1222=1,C1222,IF(I1222=2,C1222,IF(I1222=0,"",""))))</f>
        <v/>
      </c>
      <c r="AG1222" s="192">
        <f>(C1222*G1222)+(C1222*H1222)+(C1222*I1222)</f>
        <v/>
      </c>
    </row>
    <row r="1223">
      <c r="AA1223" s="640">
        <f>IF(G1223=0, IF(OR(H1223&gt;0,F1223&gt;0),C1223*F1223,""),"")</f>
        <v/>
      </c>
      <c r="AB1223" s="640">
        <f>IF(G1223&gt;=1,IF(F1223&gt;1,C1223*(F1223-2),""),"")</f>
        <v/>
      </c>
      <c r="AD1223" s="911">
        <f>IF(E1223="YES",IF(G1223=1,"",""),IF(G1223=1,C1223,IF(G1223=2,C1223,IF(G1223=0,"",""))))</f>
        <v/>
      </c>
      <c r="AE1223" s="911">
        <f>IF(E1223="YES",IF(G1223=1,"",IF(H1223=1,C1223,"")),IF(H1223=1,C1223,IF(H1223=2,C1223,IF(H1223=0,"",""))))</f>
        <v/>
      </c>
      <c r="AF1223" s="911">
        <f>IF(E1223="YES",IF(I1223=1,C1223,""),IF(I1223=1,C1223,IF(I1223=2,C1223,IF(I1223=0,"",""))))</f>
        <v/>
      </c>
      <c r="AG1223" s="192">
        <f>(C1223*G1223)+(C1223*H1223)+(C1223*I1223)</f>
        <v/>
      </c>
    </row>
    <row r="1224">
      <c r="AA1224" s="640">
        <f>IF(G1224=0, IF(OR(H1224&gt;0,F1224&gt;0),C1224*F1224,""),"")</f>
        <v/>
      </c>
      <c r="AB1224" s="640">
        <f>IF(G1224&gt;=1,IF(F1224&gt;1,C1224*(F1224-2),""),"")</f>
        <v/>
      </c>
      <c r="AD1224" s="911">
        <f>IF(E1224="YES",IF(G1224=1,"",""),IF(G1224=1,C1224,IF(G1224=2,C1224,IF(G1224=0,"",""))))</f>
        <v/>
      </c>
      <c r="AE1224" s="911">
        <f>IF(E1224="YES",IF(G1224=1,"",IF(H1224=1,C1224,"")),IF(H1224=1,C1224,IF(H1224=2,C1224,IF(H1224=0,"",""))))</f>
        <v/>
      </c>
      <c r="AF1224" s="911">
        <f>IF(E1224="YES",IF(I1224=1,C1224,""),IF(I1224=1,C1224,IF(I1224=2,C1224,IF(I1224=0,"",""))))</f>
        <v/>
      </c>
      <c r="AG1224" s="192">
        <f>(C1224*G1224)+(C1224*H1224)+(C1224*I1224)</f>
        <v/>
      </c>
    </row>
    <row r="1225">
      <c r="AA1225" s="640">
        <f>IF(G1225=0, IF(OR(H1225&gt;0,F1225&gt;0),C1225*F1225,""),"")</f>
        <v/>
      </c>
      <c r="AB1225" s="640">
        <f>IF(G1225&gt;=1,IF(F1225&gt;1,C1225*(F1225-2),""),"")</f>
        <v/>
      </c>
      <c r="AD1225" s="911">
        <f>IF(E1225="YES",IF(G1225=1,"",""),IF(G1225=1,C1225,IF(G1225=2,C1225,IF(G1225=0,"",""))))</f>
        <v/>
      </c>
      <c r="AE1225" s="911">
        <f>IF(E1225="YES",IF(G1225=1,"",IF(H1225=1,C1225,"")),IF(H1225=1,C1225,IF(H1225=2,C1225,IF(H1225=0,"",""))))</f>
        <v/>
      </c>
      <c r="AF1225" s="911">
        <f>IF(E1225="YES",IF(I1225=1,C1225,""),IF(I1225=1,C1225,IF(I1225=2,C1225,IF(I1225=0,"",""))))</f>
        <v/>
      </c>
      <c r="AG1225" s="192">
        <f>(C1225*G1225)+(C1225*H1225)+(C1225*I1225)</f>
        <v/>
      </c>
    </row>
    <row r="1226">
      <c r="AA1226" s="640">
        <f>IF(G1226=0, IF(OR(H1226&gt;0,F1226&gt;0),C1226*F1226,""),"")</f>
        <v/>
      </c>
      <c r="AB1226" s="640">
        <f>IF(G1226&gt;=1,IF(F1226&gt;1,C1226*(F1226-2),""),"")</f>
        <v/>
      </c>
      <c r="AD1226" s="911">
        <f>IF(E1226="YES",IF(G1226=1,"",""),IF(G1226=1,C1226,IF(G1226=2,C1226,IF(G1226=0,"",""))))</f>
        <v/>
      </c>
      <c r="AE1226" s="911">
        <f>IF(E1226="YES",IF(G1226=1,"",IF(H1226=1,C1226,"")),IF(H1226=1,C1226,IF(H1226=2,C1226,IF(H1226=0,"",""))))</f>
        <v/>
      </c>
      <c r="AF1226" s="911">
        <f>IF(E1226="YES",IF(I1226=1,C1226,""),IF(I1226=1,C1226,IF(I1226=2,C1226,IF(I1226=0,"",""))))</f>
        <v/>
      </c>
      <c r="AG1226" s="192">
        <f>(C1226*G1226)+(C1226*H1226)+(C1226*I1226)</f>
        <v/>
      </c>
    </row>
    <row r="1227">
      <c r="AA1227" s="640">
        <f>IF(G1227=0, IF(OR(H1227&gt;0,F1227&gt;0),C1227*F1227,""),"")</f>
        <v/>
      </c>
      <c r="AB1227" s="640">
        <f>IF(G1227&gt;=1,IF(F1227&gt;1,C1227*(F1227-2),""),"")</f>
        <v/>
      </c>
      <c r="AD1227" s="911">
        <f>IF(E1227="YES",IF(G1227=1,"",""),IF(G1227=1,C1227,IF(G1227=2,C1227,IF(G1227=0,"",""))))</f>
        <v/>
      </c>
      <c r="AE1227" s="911">
        <f>IF(E1227="YES",IF(G1227=1,"",IF(H1227=1,C1227,"")),IF(H1227=1,C1227,IF(H1227=2,C1227,IF(H1227=0,"",""))))</f>
        <v/>
      </c>
      <c r="AF1227" s="911">
        <f>IF(E1227="YES",IF(I1227=1,C1227,""),IF(I1227=1,C1227,IF(I1227=2,C1227,IF(I1227=0,"",""))))</f>
        <v/>
      </c>
      <c r="AG1227" s="192">
        <f>(C1227*G1227)+(C1227*H1227)+(C1227*I1227)</f>
        <v/>
      </c>
    </row>
    <row r="1228">
      <c r="AA1228" s="640">
        <f>IF(G1228=0, IF(OR(H1228&gt;0,F1228&gt;0),C1228*F1228,""),"")</f>
        <v/>
      </c>
      <c r="AB1228" s="640">
        <f>IF(G1228&gt;=1,IF(F1228&gt;1,C1228*(F1228-2),""),"")</f>
        <v/>
      </c>
      <c r="AD1228" s="911">
        <f>IF(E1228="YES",IF(G1228=1,"",""),IF(G1228=1,C1228,IF(G1228=2,C1228,IF(G1228=0,"",""))))</f>
        <v/>
      </c>
      <c r="AE1228" s="911">
        <f>IF(E1228="YES",IF(G1228=1,"",IF(H1228=1,C1228,"")),IF(H1228=1,C1228,IF(H1228=2,C1228,IF(H1228=0,"",""))))</f>
        <v/>
      </c>
      <c r="AF1228" s="911">
        <f>IF(E1228="YES",IF(I1228=1,C1228,""),IF(I1228=1,C1228,IF(I1228=2,C1228,IF(I1228=0,"",""))))</f>
        <v/>
      </c>
      <c r="AG1228" s="192">
        <f>(C1228*G1228)+(C1228*H1228)+(C1228*I1228)</f>
        <v/>
      </c>
    </row>
    <row r="1229">
      <c r="AA1229" s="640">
        <f>IF(G1229=0, IF(OR(H1229&gt;0,F1229&gt;0),C1229*F1229,""),"")</f>
        <v/>
      </c>
      <c r="AB1229" s="640">
        <f>IF(G1229&gt;=1,IF(F1229&gt;1,C1229*(F1229-2),""),"")</f>
        <v/>
      </c>
      <c r="AD1229" s="911">
        <f>IF(E1229="YES",IF(G1229=1,"",""),IF(G1229=1,C1229,IF(G1229=2,C1229,IF(G1229=0,"",""))))</f>
        <v/>
      </c>
      <c r="AE1229" s="911">
        <f>IF(E1229="YES",IF(G1229=1,"",IF(H1229=1,C1229,"")),IF(H1229=1,C1229,IF(H1229=2,C1229,IF(H1229=0,"",""))))</f>
        <v/>
      </c>
      <c r="AF1229" s="911">
        <f>IF(E1229="YES",IF(I1229=1,C1229,""),IF(I1229=1,C1229,IF(I1229=2,C1229,IF(I1229=0,"",""))))</f>
        <v/>
      </c>
      <c r="AG1229" s="192">
        <f>(C1229*G1229)+(C1229*H1229)+(C1229*I1229)</f>
        <v/>
      </c>
    </row>
    <row r="1230">
      <c r="AA1230" s="640">
        <f>IF(G1230=0, IF(OR(H1230&gt;0,F1230&gt;0),C1230*F1230,""),"")</f>
        <v/>
      </c>
      <c r="AB1230" s="640">
        <f>IF(G1230&gt;=1,IF(F1230&gt;1,C1230*(F1230-2),""),"")</f>
        <v/>
      </c>
      <c r="AD1230" s="911">
        <f>IF(E1230="YES",IF(G1230=1,"",""),IF(G1230=1,C1230,IF(G1230=2,C1230,IF(G1230=0,"",""))))</f>
        <v/>
      </c>
      <c r="AE1230" s="911">
        <f>IF(E1230="YES",IF(G1230=1,"",IF(H1230=1,C1230,"")),IF(H1230=1,C1230,IF(H1230=2,C1230,IF(H1230=0,"",""))))</f>
        <v/>
      </c>
      <c r="AF1230" s="911">
        <f>IF(E1230="YES",IF(I1230=1,C1230,""),IF(I1230=1,C1230,IF(I1230=2,C1230,IF(I1230=0,"",""))))</f>
        <v/>
      </c>
      <c r="AG1230" s="192">
        <f>(C1230*G1230)+(C1230*H1230)+(C1230*I1230)</f>
        <v/>
      </c>
    </row>
    <row r="1231">
      <c r="AA1231" s="640">
        <f>IF(G1231=0, IF(OR(H1231&gt;0,F1231&gt;0),C1231*F1231,""),"")</f>
        <v/>
      </c>
      <c r="AB1231" s="640">
        <f>IF(G1231&gt;=1,IF(F1231&gt;1,C1231*(F1231-2),""),"")</f>
        <v/>
      </c>
      <c r="AD1231" s="911">
        <f>IF(E1231="YES",IF(G1231=1,"",""),IF(G1231=1,C1231,IF(G1231=2,C1231,IF(G1231=0,"",""))))</f>
        <v/>
      </c>
      <c r="AE1231" s="911">
        <f>IF(E1231="YES",IF(G1231=1,"",IF(H1231=1,C1231,"")),IF(H1231=1,C1231,IF(H1231=2,C1231,IF(H1231=0,"",""))))</f>
        <v/>
      </c>
      <c r="AF1231" s="911">
        <f>IF(E1231="YES",IF(I1231=1,C1231,""),IF(I1231=1,C1231,IF(I1231=2,C1231,IF(I1231=0,"",""))))</f>
        <v/>
      </c>
      <c r="AG1231" s="192">
        <f>(C1231*G1231)+(C1231*H1231)+(C1231*I1231)</f>
        <v/>
      </c>
    </row>
    <row r="1232">
      <c r="AA1232" s="640">
        <f>IF(G1232=0, IF(OR(H1232&gt;0,F1232&gt;0),C1232*F1232,""),"")</f>
        <v/>
      </c>
      <c r="AB1232" s="640">
        <f>IF(G1232&gt;=1,IF(F1232&gt;1,C1232*(F1232-2),""),"")</f>
        <v/>
      </c>
      <c r="AD1232" s="911">
        <f>IF(E1232="YES",IF(G1232=1,"",""),IF(G1232=1,C1232,IF(G1232=2,C1232,IF(G1232=0,"",""))))</f>
        <v/>
      </c>
      <c r="AE1232" s="911">
        <f>IF(E1232="YES",IF(G1232=1,"",IF(H1232=1,C1232,"")),IF(H1232=1,C1232,IF(H1232=2,C1232,IF(H1232=0,"",""))))</f>
        <v/>
      </c>
      <c r="AF1232" s="911">
        <f>IF(E1232="YES",IF(I1232=1,C1232,""),IF(I1232=1,C1232,IF(I1232=2,C1232,IF(I1232=0,"",""))))</f>
        <v/>
      </c>
      <c r="AG1232" s="192">
        <f>(C1232*G1232)+(C1232*H1232)+(C1232*I1232)</f>
        <v/>
      </c>
    </row>
    <row r="1233">
      <c r="AA1233" s="640">
        <f>IF(G1233=0, IF(OR(H1233&gt;0,F1233&gt;0),C1233*F1233,""),"")</f>
        <v/>
      </c>
      <c r="AB1233" s="640">
        <f>IF(G1233&gt;=1,IF(F1233&gt;1,C1233*(F1233-2),""),"")</f>
        <v/>
      </c>
      <c r="AD1233" s="911">
        <f>IF(E1233="YES",IF(G1233=1,"",""),IF(G1233=1,C1233,IF(G1233=2,C1233,IF(G1233=0,"",""))))</f>
        <v/>
      </c>
      <c r="AE1233" s="911">
        <f>IF(E1233="YES",IF(G1233=1,"",IF(H1233=1,C1233,"")),IF(H1233=1,C1233,IF(H1233=2,C1233,IF(H1233=0,"",""))))</f>
        <v/>
      </c>
      <c r="AF1233" s="911">
        <f>IF(E1233="YES",IF(I1233=1,C1233,""),IF(I1233=1,C1233,IF(I1233=2,C1233,IF(I1233=0,"",""))))</f>
        <v/>
      </c>
      <c r="AG1233" s="192">
        <f>(C1233*G1233)+(C1233*H1233)+(C1233*I1233)</f>
        <v/>
      </c>
    </row>
    <row r="1234">
      <c r="AA1234" s="640">
        <f>IF(G1234=0, IF(OR(H1234&gt;0,F1234&gt;0),C1234*F1234,""),"")</f>
        <v/>
      </c>
      <c r="AB1234" s="640">
        <f>IF(G1234&gt;=1,IF(F1234&gt;1,C1234*(F1234-2),""),"")</f>
        <v/>
      </c>
      <c r="AD1234" s="911">
        <f>IF(E1234="YES",IF(G1234=1,"",""),IF(G1234=1,C1234,IF(G1234=2,C1234,IF(G1234=0,"",""))))</f>
        <v/>
      </c>
      <c r="AE1234" s="911">
        <f>IF(E1234="YES",IF(G1234=1,"",IF(H1234=1,C1234,"")),IF(H1234=1,C1234,IF(H1234=2,C1234,IF(H1234=0,"",""))))</f>
        <v/>
      </c>
      <c r="AF1234" s="911">
        <f>IF(E1234="YES",IF(I1234=1,C1234,""),IF(I1234=1,C1234,IF(I1234=2,C1234,IF(I1234=0,"",""))))</f>
        <v/>
      </c>
      <c r="AG1234" s="192">
        <f>(C1234*G1234)+(C1234*H1234)+(C1234*I1234)</f>
        <v/>
      </c>
    </row>
    <row r="1235">
      <c r="AA1235" s="640">
        <f>IF(G1235=0, IF(OR(H1235&gt;0,F1235&gt;0),C1235*F1235,""),"")</f>
        <v/>
      </c>
      <c r="AB1235" s="640">
        <f>IF(G1235&gt;=1,IF(F1235&gt;1,C1235*(F1235-2),""),"")</f>
        <v/>
      </c>
      <c r="AD1235" s="911">
        <f>IF(E1235="YES",IF(G1235=1,"",""),IF(G1235=1,C1235,IF(G1235=2,C1235,IF(G1235=0,"",""))))</f>
        <v/>
      </c>
      <c r="AE1235" s="911">
        <f>IF(E1235="YES",IF(G1235=1,"",IF(H1235=1,C1235,"")),IF(H1235=1,C1235,IF(H1235=2,C1235,IF(H1235=0,"",""))))</f>
        <v/>
      </c>
      <c r="AF1235" s="911">
        <f>IF(E1235="YES",IF(I1235=1,C1235,""),IF(I1235=1,C1235,IF(I1235=2,C1235,IF(I1235=0,"",""))))</f>
        <v/>
      </c>
      <c r="AG1235" s="192">
        <f>(C1235*G1235)+(C1235*H1235)+(C1235*I1235)</f>
        <v/>
      </c>
    </row>
    <row r="1236">
      <c r="AA1236" s="640">
        <f>IF(G1236=0, IF(OR(H1236&gt;0,F1236&gt;0),C1236*F1236,""),"")</f>
        <v/>
      </c>
      <c r="AB1236" s="640">
        <f>IF(G1236&gt;=1,IF(F1236&gt;1,C1236*(F1236-2),""),"")</f>
        <v/>
      </c>
      <c r="AD1236" s="911">
        <f>IF(E1236="YES",IF(G1236=1,"",""),IF(G1236=1,C1236,IF(G1236=2,C1236,IF(G1236=0,"",""))))</f>
        <v/>
      </c>
      <c r="AE1236" s="911">
        <f>IF(E1236="YES",IF(G1236=1,"",IF(H1236=1,C1236,"")),IF(H1236=1,C1236,IF(H1236=2,C1236,IF(H1236=0,"",""))))</f>
        <v/>
      </c>
      <c r="AF1236" s="911">
        <f>IF(E1236="YES",IF(I1236=1,C1236,""),IF(I1236=1,C1236,IF(I1236=2,C1236,IF(I1236=0,"",""))))</f>
        <v/>
      </c>
      <c r="AG1236" s="192">
        <f>(C1236*G1236)+(C1236*H1236)+(C1236*I1236)</f>
        <v/>
      </c>
    </row>
    <row r="1237">
      <c r="AA1237" s="640">
        <f>IF(G1237=0, IF(OR(H1237&gt;0,F1237&gt;0),C1237*F1237,""),"")</f>
        <v/>
      </c>
      <c r="AB1237" s="640">
        <f>IF(G1237&gt;=1,IF(F1237&gt;1,C1237*(F1237-2),""),"")</f>
        <v/>
      </c>
      <c r="AD1237" s="911">
        <f>IF(E1237="YES",IF(G1237=1,"",""),IF(G1237=1,C1237,IF(G1237=2,C1237,IF(G1237=0,"",""))))</f>
        <v/>
      </c>
      <c r="AE1237" s="911">
        <f>IF(E1237="YES",IF(G1237=1,"",IF(H1237=1,C1237,"")),IF(H1237=1,C1237,IF(H1237=2,C1237,IF(H1237=0,"",""))))</f>
        <v/>
      </c>
      <c r="AF1237" s="911">
        <f>IF(E1237="YES",IF(I1237=1,C1237,""),IF(I1237=1,C1237,IF(I1237=2,C1237,IF(I1237=0,"",""))))</f>
        <v/>
      </c>
      <c r="AG1237" s="192">
        <f>(C1237*G1237)+(C1237*H1237)+(C1237*I1237)</f>
        <v/>
      </c>
    </row>
    <row r="1238">
      <c r="AA1238" s="640">
        <f>IF(G1238=0, IF(OR(H1238&gt;0,F1238&gt;0),C1238*F1238,""),"")</f>
        <v/>
      </c>
      <c r="AB1238" s="640">
        <f>IF(G1238&gt;=1,IF(F1238&gt;1,C1238*(F1238-2),""),"")</f>
        <v/>
      </c>
      <c r="AD1238" s="911">
        <f>IF(E1238="YES",IF(G1238=1,"",""),IF(G1238=1,C1238,IF(G1238=2,C1238,IF(G1238=0,"",""))))</f>
        <v/>
      </c>
      <c r="AE1238" s="911">
        <f>IF(E1238="YES",IF(G1238=1,"",IF(H1238=1,C1238,"")),IF(H1238=1,C1238,IF(H1238=2,C1238,IF(H1238=0,"",""))))</f>
        <v/>
      </c>
      <c r="AF1238" s="911">
        <f>IF(E1238="YES",IF(I1238=1,C1238,""),IF(I1238=1,C1238,IF(I1238=2,C1238,IF(I1238=0,"",""))))</f>
        <v/>
      </c>
      <c r="AG1238" s="192">
        <f>(C1238*G1238)+(C1238*H1238)+(C1238*I1238)</f>
        <v/>
      </c>
    </row>
    <row r="1239">
      <c r="AA1239" s="640">
        <f>IF(G1239=0, IF(OR(H1239&gt;0,F1239&gt;0),C1239*F1239,""),"")</f>
        <v/>
      </c>
      <c r="AB1239" s="640">
        <f>IF(G1239&gt;=1,IF(F1239&gt;1,C1239*(F1239-2),""),"")</f>
        <v/>
      </c>
      <c r="AD1239" s="911">
        <f>IF(E1239="YES",IF(G1239=1,"",""),IF(G1239=1,C1239,IF(G1239=2,C1239,IF(G1239=0,"",""))))</f>
        <v/>
      </c>
      <c r="AE1239" s="911">
        <f>IF(E1239="YES",IF(G1239=1,"",IF(H1239=1,C1239,"")),IF(H1239=1,C1239,IF(H1239=2,C1239,IF(H1239=0,"",""))))</f>
        <v/>
      </c>
      <c r="AF1239" s="911">
        <f>IF(E1239="YES",IF(I1239=1,C1239,""),IF(I1239=1,C1239,IF(I1239=2,C1239,IF(I1239=0,"",""))))</f>
        <v/>
      </c>
      <c r="AG1239" s="192">
        <f>(C1239*G1239)+(C1239*H1239)+(C1239*I1239)</f>
        <v/>
      </c>
    </row>
    <row r="1240">
      <c r="AA1240" s="640">
        <f>IF(G1240=0, IF(OR(H1240&gt;0,F1240&gt;0),C1240*F1240,""),"")</f>
        <v/>
      </c>
      <c r="AB1240" s="640">
        <f>IF(G1240&gt;=1,IF(F1240&gt;1,C1240*(F1240-2),""),"")</f>
        <v/>
      </c>
      <c r="AD1240" s="911">
        <f>IF(E1240="YES",IF(G1240=1,"",""),IF(G1240=1,C1240,IF(G1240=2,C1240,IF(G1240=0,"",""))))</f>
        <v/>
      </c>
      <c r="AE1240" s="911">
        <f>IF(E1240="YES",IF(G1240=1,"",IF(H1240=1,C1240,"")),IF(H1240=1,C1240,IF(H1240=2,C1240,IF(H1240=0,"",""))))</f>
        <v/>
      </c>
      <c r="AF1240" s="911">
        <f>IF(E1240="YES",IF(I1240=1,C1240,""),IF(I1240=1,C1240,IF(I1240=2,C1240,IF(I1240=0,"",""))))</f>
        <v/>
      </c>
      <c r="AG1240" s="192">
        <f>(C1240*G1240)+(C1240*H1240)+(C1240*I1240)</f>
        <v/>
      </c>
    </row>
    <row r="1241">
      <c r="AA1241" s="640">
        <f>IF(G1241=0, IF(OR(H1241&gt;0,F1241&gt;0),C1241*F1241,""),"")</f>
        <v/>
      </c>
      <c r="AB1241" s="640">
        <f>IF(G1241&gt;=1,IF(F1241&gt;1,C1241*(F1241-2),""),"")</f>
        <v/>
      </c>
      <c r="AD1241" s="911">
        <f>IF(E1241="YES",IF(G1241=1,"",""),IF(G1241=1,C1241,IF(G1241=2,C1241,IF(G1241=0,"",""))))</f>
        <v/>
      </c>
      <c r="AE1241" s="911">
        <f>IF(E1241="YES",IF(G1241=1,"",IF(H1241=1,C1241,"")),IF(H1241=1,C1241,IF(H1241=2,C1241,IF(H1241=0,"",""))))</f>
        <v/>
      </c>
      <c r="AF1241" s="911">
        <f>IF(E1241="YES",IF(I1241=1,C1241,""),IF(I1241=1,C1241,IF(I1241=2,C1241,IF(I1241=0,"",""))))</f>
        <v/>
      </c>
      <c r="AG1241" s="192">
        <f>(C1241*G1241)+(C1241*H1241)+(C1241*I1241)</f>
        <v/>
      </c>
    </row>
    <row r="1242">
      <c r="AA1242" s="640">
        <f>IF(G1242=0, IF(OR(H1242&gt;0,F1242&gt;0),C1242*F1242,""),"")</f>
        <v/>
      </c>
      <c r="AB1242" s="640">
        <f>IF(G1242&gt;=1,IF(F1242&gt;1,C1242*(F1242-2),""),"")</f>
        <v/>
      </c>
      <c r="AD1242" s="911">
        <f>IF(E1242="YES",IF(G1242=1,"",""),IF(G1242=1,C1242,IF(G1242=2,C1242,IF(G1242=0,"",""))))</f>
        <v/>
      </c>
      <c r="AE1242" s="911">
        <f>IF(E1242="YES",IF(G1242=1,"",IF(H1242=1,C1242,"")),IF(H1242=1,C1242,IF(H1242=2,C1242,IF(H1242=0,"",""))))</f>
        <v/>
      </c>
      <c r="AF1242" s="911">
        <f>IF(E1242="YES",IF(I1242=1,C1242,""),IF(I1242=1,C1242,IF(I1242=2,C1242,IF(I1242=0,"",""))))</f>
        <v/>
      </c>
      <c r="AG1242" s="192">
        <f>(C1242*G1242)+(C1242*H1242)+(C1242*I1242)</f>
        <v/>
      </c>
    </row>
    <row r="1243">
      <c r="AA1243" s="640">
        <f>IF(G1243=0, IF(OR(H1243&gt;0,F1243&gt;0),C1243*F1243,""),"")</f>
        <v/>
      </c>
      <c r="AB1243" s="640">
        <f>IF(G1243&gt;=1,IF(F1243&gt;1,C1243*(F1243-2),""),"")</f>
        <v/>
      </c>
      <c r="AD1243" s="911">
        <f>IF(E1243="YES",IF(G1243=1,"",""),IF(G1243=1,C1243,IF(G1243=2,C1243,IF(G1243=0,"",""))))</f>
        <v/>
      </c>
      <c r="AE1243" s="911">
        <f>IF(E1243="YES",IF(G1243=1,"",IF(H1243=1,C1243,"")),IF(H1243=1,C1243,IF(H1243=2,C1243,IF(H1243=0,"",""))))</f>
        <v/>
      </c>
      <c r="AF1243" s="911">
        <f>IF(E1243="YES",IF(I1243=1,C1243,""),IF(I1243=1,C1243,IF(I1243=2,C1243,IF(I1243=0,"",""))))</f>
        <v/>
      </c>
      <c r="AG1243" s="192">
        <f>(C1243*G1243)+(C1243*H1243)+(C1243*I1243)</f>
        <v/>
      </c>
    </row>
    <row r="1244">
      <c r="AA1244" s="640">
        <f>IF(G1244=0, IF(OR(H1244&gt;0,F1244&gt;0),C1244*F1244,""),"")</f>
        <v/>
      </c>
      <c r="AB1244" s="640">
        <f>IF(G1244&gt;=1,IF(F1244&gt;1,C1244*(F1244-2),""),"")</f>
        <v/>
      </c>
      <c r="AD1244" s="911">
        <f>IF(E1244="YES",IF(G1244=1,"",""),IF(G1244=1,C1244,IF(G1244=2,C1244,IF(G1244=0,"",""))))</f>
        <v/>
      </c>
      <c r="AE1244" s="911">
        <f>IF(E1244="YES",IF(G1244=1,"",IF(H1244=1,C1244,"")),IF(H1244=1,C1244,IF(H1244=2,C1244,IF(H1244=0,"",""))))</f>
        <v/>
      </c>
      <c r="AF1244" s="911">
        <f>IF(E1244="YES",IF(I1244=1,C1244,""),IF(I1244=1,C1244,IF(I1244=2,C1244,IF(I1244=0,"",""))))</f>
        <v/>
      </c>
      <c r="AG1244" s="192">
        <f>(C1244*G1244)+(C1244*H1244)+(C1244*I1244)</f>
        <v/>
      </c>
    </row>
    <row r="1245">
      <c r="AA1245" s="640">
        <f>IF(G1245=0, IF(OR(H1245&gt;0,F1245&gt;0),C1245*F1245,""),"")</f>
        <v/>
      </c>
      <c r="AB1245" s="640">
        <f>IF(G1245&gt;=1,IF(F1245&gt;1,C1245*(F1245-2),""),"")</f>
        <v/>
      </c>
      <c r="AD1245" s="911">
        <f>IF(E1245="YES",IF(G1245=1,"",""),IF(G1245=1,C1245,IF(G1245=2,C1245,IF(G1245=0,"",""))))</f>
        <v/>
      </c>
      <c r="AE1245" s="911">
        <f>IF(E1245="YES",IF(G1245=1,"",IF(H1245=1,C1245,"")),IF(H1245=1,C1245,IF(H1245=2,C1245,IF(H1245=0,"",""))))</f>
        <v/>
      </c>
      <c r="AF1245" s="911">
        <f>IF(E1245="YES",IF(I1245=1,C1245,""),IF(I1245=1,C1245,IF(I1245=2,C1245,IF(I1245=0,"",""))))</f>
        <v/>
      </c>
      <c r="AG1245" s="192">
        <f>(C1245*G1245)+(C1245*H1245)+(C1245*I1245)</f>
        <v/>
      </c>
    </row>
    <row r="1246">
      <c r="AA1246" s="640">
        <f>IF(G1246=0, IF(OR(H1246&gt;0,F1246&gt;0),C1246*F1246,""),"")</f>
        <v/>
      </c>
      <c r="AB1246" s="640">
        <f>IF(G1246&gt;=1,IF(F1246&gt;1,C1246*(F1246-2),""),"")</f>
        <v/>
      </c>
      <c r="AD1246" s="911">
        <f>IF(E1246="YES",IF(G1246=1,"",""),IF(G1246=1,C1246,IF(G1246=2,C1246,IF(G1246=0,"",""))))</f>
        <v/>
      </c>
      <c r="AE1246" s="911">
        <f>IF(E1246="YES",IF(G1246=1,"",IF(H1246=1,C1246,"")),IF(H1246=1,C1246,IF(H1246=2,C1246,IF(H1246=0,"",""))))</f>
        <v/>
      </c>
      <c r="AF1246" s="911">
        <f>IF(E1246="YES",IF(I1246=1,C1246,""),IF(I1246=1,C1246,IF(I1246=2,C1246,IF(I1246=0,"",""))))</f>
        <v/>
      </c>
      <c r="AG1246" s="192">
        <f>(C1246*G1246)+(C1246*H1246)+(C1246*I1246)</f>
        <v/>
      </c>
    </row>
    <row r="1247">
      <c r="AA1247" s="640">
        <f>IF(G1247=0, IF(OR(H1247&gt;0,F1247&gt;0),C1247*F1247,""),"")</f>
        <v/>
      </c>
      <c r="AB1247" s="640">
        <f>IF(G1247&gt;=1,IF(F1247&gt;1,C1247*(F1247-2),""),"")</f>
        <v/>
      </c>
      <c r="AD1247" s="911">
        <f>IF(E1247="YES",IF(G1247=1,"",""),IF(G1247=1,C1247,IF(G1247=2,C1247,IF(G1247=0,"",""))))</f>
        <v/>
      </c>
      <c r="AE1247" s="911">
        <f>IF(E1247="YES",IF(G1247=1,"",IF(H1247=1,C1247,"")),IF(H1247=1,C1247,IF(H1247=2,C1247,IF(H1247=0,"",""))))</f>
        <v/>
      </c>
      <c r="AF1247" s="911">
        <f>IF(E1247="YES",IF(I1247=1,C1247,""),IF(I1247=1,C1247,IF(I1247=2,C1247,IF(I1247=0,"",""))))</f>
        <v/>
      </c>
      <c r="AG1247" s="192">
        <f>(C1247*G1247)+(C1247*H1247)+(C1247*I1247)</f>
        <v/>
      </c>
    </row>
    <row r="1248">
      <c r="AA1248" s="640">
        <f>IF(G1248=0, IF(OR(H1248&gt;0,F1248&gt;0),C1248*F1248,""),"")</f>
        <v/>
      </c>
      <c r="AB1248" s="640">
        <f>IF(G1248&gt;=1,IF(F1248&gt;1,C1248*(F1248-2),""),"")</f>
        <v/>
      </c>
      <c r="AD1248" s="911">
        <f>IF(E1248="YES",IF(G1248=1,"",""),IF(G1248=1,C1248,IF(G1248=2,C1248,IF(G1248=0,"",""))))</f>
        <v/>
      </c>
      <c r="AE1248" s="911">
        <f>IF(E1248="YES",IF(G1248=1,"",IF(H1248=1,C1248,"")),IF(H1248=1,C1248,IF(H1248=2,C1248,IF(H1248=0,"",""))))</f>
        <v/>
      </c>
      <c r="AF1248" s="911">
        <f>IF(E1248="YES",IF(I1248=1,C1248,""),IF(I1248=1,C1248,IF(I1248=2,C1248,IF(I1248=0,"",""))))</f>
        <v/>
      </c>
      <c r="AG1248" s="192">
        <f>(C1248*G1248)+(C1248*H1248)+(C1248*I1248)</f>
        <v/>
      </c>
    </row>
    <row r="1249">
      <c r="AA1249" s="640">
        <f>IF(G1249=0, IF(OR(H1249&gt;0,F1249&gt;0),C1249*F1249,""),"")</f>
        <v/>
      </c>
      <c r="AB1249" s="640">
        <f>IF(G1249&gt;=1,IF(F1249&gt;1,C1249*(F1249-2),""),"")</f>
        <v/>
      </c>
      <c r="AD1249" s="911">
        <f>IF(E1249="YES",IF(G1249=1,"",""),IF(G1249=1,C1249,IF(G1249=2,C1249,IF(G1249=0,"",""))))</f>
        <v/>
      </c>
      <c r="AE1249" s="911">
        <f>IF(E1249="YES",IF(G1249=1,"",IF(H1249=1,C1249,"")),IF(H1249=1,C1249,IF(H1249=2,C1249,IF(H1249=0,"",""))))</f>
        <v/>
      </c>
      <c r="AF1249" s="911">
        <f>IF(E1249="YES",IF(I1249=1,C1249,""),IF(I1249=1,C1249,IF(I1249=2,C1249,IF(I1249=0,"",""))))</f>
        <v/>
      </c>
      <c r="AG1249" s="192">
        <f>(C1249*G1249)+(C1249*H1249)+(C1249*I1249)</f>
        <v/>
      </c>
    </row>
    <row r="1250">
      <c r="AA1250" s="640">
        <f>IF(G1250=0, IF(OR(H1250&gt;0,F1250&gt;0),C1250*F1250,""),"")</f>
        <v/>
      </c>
      <c r="AB1250" s="640">
        <f>IF(G1250&gt;=1,IF(F1250&gt;1,C1250*(F1250-2),""),"")</f>
        <v/>
      </c>
      <c r="AD1250" s="911">
        <f>IF(E1250="YES",IF(G1250=1,"",""),IF(G1250=1,C1250,IF(G1250=2,C1250,IF(G1250=0,"",""))))</f>
        <v/>
      </c>
      <c r="AE1250" s="911">
        <f>IF(E1250="YES",IF(G1250=1,"",IF(H1250=1,C1250,"")),IF(H1250=1,C1250,IF(H1250=2,C1250,IF(H1250=0,"",""))))</f>
        <v/>
      </c>
      <c r="AF1250" s="911">
        <f>IF(E1250="YES",IF(I1250=1,C1250,""),IF(I1250=1,C1250,IF(I1250=2,C1250,IF(I1250=0,"",""))))</f>
        <v/>
      </c>
      <c r="AG1250" s="192">
        <f>(C1250*G1250)+(C1250*H1250)+(C1250*I1250)</f>
        <v/>
      </c>
    </row>
    <row r="1251">
      <c r="AA1251" s="640">
        <f>IF(G1251=0, IF(OR(H1251&gt;0,F1251&gt;0),C1251*F1251,""),"")</f>
        <v/>
      </c>
      <c r="AB1251" s="640">
        <f>IF(G1251&gt;=1,IF(F1251&gt;1,C1251*(F1251-2),""),"")</f>
        <v/>
      </c>
      <c r="AD1251" s="911">
        <f>IF(E1251="YES",IF(G1251=1,"",""),IF(G1251=1,C1251,IF(G1251=2,C1251,IF(G1251=0,"",""))))</f>
        <v/>
      </c>
      <c r="AE1251" s="911">
        <f>IF(E1251="YES",IF(G1251=1,"",IF(H1251=1,C1251,"")),IF(H1251=1,C1251,IF(H1251=2,C1251,IF(H1251=0,"",""))))</f>
        <v/>
      </c>
      <c r="AF1251" s="911">
        <f>IF(E1251="YES",IF(I1251=1,C1251,""),IF(I1251=1,C1251,IF(I1251=2,C1251,IF(I1251=0,"",""))))</f>
        <v/>
      </c>
      <c r="AG1251" s="192">
        <f>(C1251*G1251)+(C1251*H1251)+(C1251*I1251)</f>
        <v/>
      </c>
    </row>
    <row r="1252">
      <c r="AA1252" s="640">
        <f>IF(G1252=0, IF(OR(H1252&gt;0,F1252&gt;0),C1252*F1252,""),"")</f>
        <v/>
      </c>
      <c r="AB1252" s="640">
        <f>IF(G1252&gt;=1,IF(F1252&gt;1,C1252*(F1252-2),""),"")</f>
        <v/>
      </c>
      <c r="AD1252" s="911">
        <f>IF(E1252="YES",IF(G1252=1,"",""),IF(G1252=1,C1252,IF(G1252=2,C1252,IF(G1252=0,"",""))))</f>
        <v/>
      </c>
      <c r="AE1252" s="911">
        <f>IF(E1252="YES",IF(G1252=1,"",IF(H1252=1,C1252,"")),IF(H1252=1,C1252,IF(H1252=2,C1252,IF(H1252=0,"",""))))</f>
        <v/>
      </c>
      <c r="AF1252" s="911">
        <f>IF(E1252="YES",IF(I1252=1,C1252,""),IF(I1252=1,C1252,IF(I1252=2,C1252,IF(I1252=0,"",""))))</f>
        <v/>
      </c>
      <c r="AG1252" s="192">
        <f>(C1252*G1252)+(C1252*H1252)+(C1252*I1252)</f>
        <v/>
      </c>
    </row>
    <row r="1253">
      <c r="AA1253" s="640">
        <f>IF(G1253=0, IF(OR(H1253&gt;0,F1253&gt;0),C1253*F1253,""),"")</f>
        <v/>
      </c>
      <c r="AB1253" s="640">
        <f>IF(G1253&gt;=1,IF(F1253&gt;1,C1253*(F1253-2),""),"")</f>
        <v/>
      </c>
      <c r="AD1253" s="911">
        <f>IF(E1253="YES",IF(G1253=1,"",""),IF(G1253=1,C1253,IF(G1253=2,C1253,IF(G1253=0,"",""))))</f>
        <v/>
      </c>
      <c r="AE1253" s="911">
        <f>IF(E1253="YES",IF(G1253=1,"",IF(H1253=1,C1253,"")),IF(H1253=1,C1253,IF(H1253=2,C1253,IF(H1253=0,"",""))))</f>
        <v/>
      </c>
      <c r="AF1253" s="911">
        <f>IF(E1253="YES",IF(I1253=1,C1253,""),IF(I1253=1,C1253,IF(I1253=2,C1253,IF(I1253=0,"",""))))</f>
        <v/>
      </c>
      <c r="AG1253" s="192">
        <f>(C1253*G1253)+(C1253*H1253)+(C1253*I1253)</f>
        <v/>
      </c>
    </row>
    <row r="1254">
      <c r="AA1254" s="640">
        <f>IF(G1254=0, IF(OR(H1254&gt;0,F1254&gt;0),C1254*F1254,""),"")</f>
        <v/>
      </c>
      <c r="AB1254" s="640">
        <f>IF(G1254&gt;=1,IF(F1254&gt;1,C1254*(F1254-2),""),"")</f>
        <v/>
      </c>
      <c r="AD1254" s="911">
        <f>IF(E1254="YES",IF(G1254=1,"",""),IF(G1254=1,C1254,IF(G1254=2,C1254,IF(G1254=0,"",""))))</f>
        <v/>
      </c>
      <c r="AE1254" s="911">
        <f>IF(E1254="YES",IF(G1254=1,"",IF(H1254=1,C1254,"")),IF(H1254=1,C1254,IF(H1254=2,C1254,IF(H1254=0,"",""))))</f>
        <v/>
      </c>
      <c r="AF1254" s="911">
        <f>IF(E1254="YES",IF(I1254=1,C1254,""),IF(I1254=1,C1254,IF(I1254=2,C1254,IF(I1254=0,"",""))))</f>
        <v/>
      </c>
      <c r="AG1254" s="192">
        <f>(C1254*G1254)+(C1254*H1254)+(C1254*I1254)</f>
        <v/>
      </c>
    </row>
    <row r="1255">
      <c r="AA1255" s="640">
        <f>IF(G1255=0, IF(OR(H1255&gt;0,F1255&gt;0),C1255*F1255,""),"")</f>
        <v/>
      </c>
      <c r="AB1255" s="640">
        <f>IF(G1255&gt;=1,IF(F1255&gt;1,C1255*(F1255-2),""),"")</f>
        <v/>
      </c>
      <c r="AD1255" s="911">
        <f>IF(E1255="YES",IF(G1255=1,"",""),IF(G1255=1,C1255,IF(G1255=2,C1255,IF(G1255=0,"",""))))</f>
        <v/>
      </c>
      <c r="AE1255" s="911">
        <f>IF(E1255="YES",IF(G1255=1,"",IF(H1255=1,C1255,"")),IF(H1255=1,C1255,IF(H1255=2,C1255,IF(H1255=0,"",""))))</f>
        <v/>
      </c>
      <c r="AF1255" s="911">
        <f>IF(E1255="YES",IF(I1255=1,C1255,""),IF(I1255=1,C1255,IF(I1255=2,C1255,IF(I1255=0,"",""))))</f>
        <v/>
      </c>
      <c r="AG1255" s="192">
        <f>(C1255*G1255)+(C1255*H1255)+(C1255*I1255)</f>
        <v/>
      </c>
    </row>
    <row r="1256">
      <c r="AA1256" s="640">
        <f>IF(G1256=0, IF(OR(H1256&gt;0,F1256&gt;0),C1256*F1256,""),"")</f>
        <v/>
      </c>
      <c r="AB1256" s="640">
        <f>IF(G1256&gt;=1,IF(F1256&gt;1,C1256*(F1256-2),""),"")</f>
        <v/>
      </c>
      <c r="AD1256" s="911">
        <f>IF(E1256="YES",IF(G1256=1,"",""),IF(G1256=1,C1256,IF(G1256=2,C1256,IF(G1256=0,"",""))))</f>
        <v/>
      </c>
      <c r="AE1256" s="911">
        <f>IF(E1256="YES",IF(G1256=1,"",IF(H1256=1,C1256,"")),IF(H1256=1,C1256,IF(H1256=2,C1256,IF(H1256=0,"",""))))</f>
        <v/>
      </c>
      <c r="AF1256" s="911">
        <f>IF(E1256="YES",IF(I1256=1,C1256,""),IF(I1256=1,C1256,IF(I1256=2,C1256,IF(I1256=0,"",""))))</f>
        <v/>
      </c>
      <c r="AG1256" s="192">
        <f>(C1256*G1256)+(C1256*H1256)+(C1256*I1256)</f>
        <v/>
      </c>
    </row>
    <row r="1257">
      <c r="AA1257" s="640">
        <f>IF(G1257=0, IF(OR(H1257&gt;0,F1257&gt;0),C1257*F1257,""),"")</f>
        <v/>
      </c>
      <c r="AB1257" s="640">
        <f>IF(G1257&gt;=1,IF(F1257&gt;1,C1257*(F1257-2),""),"")</f>
        <v/>
      </c>
      <c r="AD1257" s="911">
        <f>IF(E1257="YES",IF(G1257=1,"",""),IF(G1257=1,C1257,IF(G1257=2,C1257,IF(G1257=0,"",""))))</f>
        <v/>
      </c>
      <c r="AE1257" s="911">
        <f>IF(E1257="YES",IF(G1257=1,"",IF(H1257=1,C1257,"")),IF(H1257=1,C1257,IF(H1257=2,C1257,IF(H1257=0,"",""))))</f>
        <v/>
      </c>
      <c r="AF1257" s="911">
        <f>IF(E1257="YES",IF(I1257=1,C1257,""),IF(I1257=1,C1257,IF(I1257=2,C1257,IF(I1257=0,"",""))))</f>
        <v/>
      </c>
      <c r="AG1257" s="192">
        <f>(C1257*G1257)+(C1257*H1257)+(C1257*I1257)</f>
        <v/>
      </c>
    </row>
    <row r="1258">
      <c r="AA1258" s="640">
        <f>IF(G1258=0, IF(OR(H1258&gt;0,F1258&gt;0),C1258*F1258,""),"")</f>
        <v/>
      </c>
      <c r="AB1258" s="640">
        <f>IF(G1258&gt;=1,IF(F1258&gt;1,C1258*(F1258-2),""),"")</f>
        <v/>
      </c>
      <c r="AD1258" s="911">
        <f>IF(E1258="YES",IF(G1258=1,"",""),IF(G1258=1,C1258,IF(G1258=2,C1258,IF(G1258=0,"",""))))</f>
        <v/>
      </c>
      <c r="AE1258" s="911">
        <f>IF(E1258="YES",IF(G1258=1,"",IF(H1258=1,C1258,"")),IF(H1258=1,C1258,IF(H1258=2,C1258,IF(H1258=0,"",""))))</f>
        <v/>
      </c>
      <c r="AF1258" s="911">
        <f>IF(E1258="YES",IF(I1258=1,C1258,""),IF(I1258=1,C1258,IF(I1258=2,C1258,IF(I1258=0,"",""))))</f>
        <v/>
      </c>
      <c r="AG1258" s="192">
        <f>(C1258*G1258)+(C1258*H1258)+(C1258*I1258)</f>
        <v/>
      </c>
    </row>
    <row r="1259">
      <c r="AA1259" s="640">
        <f>IF(G1259=0, IF(OR(H1259&gt;0,F1259&gt;0),C1259*F1259,""),"")</f>
        <v/>
      </c>
      <c r="AB1259" s="640">
        <f>IF(G1259&gt;=1,IF(F1259&gt;1,C1259*(F1259-2),""),"")</f>
        <v/>
      </c>
      <c r="AD1259" s="911">
        <f>IF(E1259="YES",IF(G1259=1,"",""),IF(G1259=1,C1259,IF(G1259=2,C1259,IF(G1259=0,"",""))))</f>
        <v/>
      </c>
      <c r="AE1259" s="911">
        <f>IF(E1259="YES",IF(G1259=1,"",IF(H1259=1,C1259,"")),IF(H1259=1,C1259,IF(H1259=2,C1259,IF(H1259=0,"",""))))</f>
        <v/>
      </c>
      <c r="AF1259" s="911">
        <f>IF(E1259="YES",IF(I1259=1,C1259,""),IF(I1259=1,C1259,IF(I1259=2,C1259,IF(I1259=0,"",""))))</f>
        <v/>
      </c>
      <c r="AG1259" s="192">
        <f>(C1259*G1259)+(C1259*H1259)+(C1259*I1259)</f>
        <v/>
      </c>
    </row>
    <row r="1260">
      <c r="AA1260" s="640">
        <f>IF(G1260=0, IF(OR(H1260&gt;0,F1260&gt;0),C1260*F1260,""),"")</f>
        <v/>
      </c>
      <c r="AB1260" s="640">
        <f>IF(G1260&gt;=1,IF(F1260&gt;1,C1260*(F1260-2),""),"")</f>
        <v/>
      </c>
      <c r="AD1260" s="911">
        <f>IF(E1260="YES",IF(G1260=1,"",""),IF(G1260=1,C1260,IF(G1260=2,C1260,IF(G1260=0,"",""))))</f>
        <v/>
      </c>
      <c r="AE1260" s="911">
        <f>IF(E1260="YES",IF(G1260=1,"",IF(H1260=1,C1260,"")),IF(H1260=1,C1260,IF(H1260=2,C1260,IF(H1260=0,"",""))))</f>
        <v/>
      </c>
      <c r="AF1260" s="911">
        <f>IF(E1260="YES",IF(I1260=1,C1260,""),IF(I1260=1,C1260,IF(I1260=2,C1260,IF(I1260=0,"",""))))</f>
        <v/>
      </c>
      <c r="AG1260" s="192">
        <f>(C1260*G1260)+(C1260*H1260)+(C1260*I1260)</f>
        <v/>
      </c>
    </row>
    <row r="1261">
      <c r="AA1261" s="640">
        <f>IF(G1261=0, IF(OR(H1261&gt;0,F1261&gt;0),C1261*F1261,""),"")</f>
        <v/>
      </c>
      <c r="AB1261" s="640">
        <f>IF(G1261&gt;=1,IF(F1261&gt;1,C1261*(F1261-2),""),"")</f>
        <v/>
      </c>
      <c r="AD1261" s="911">
        <f>IF(E1261="YES",IF(G1261=1,"",""),IF(G1261=1,C1261,IF(G1261=2,C1261,IF(G1261=0,"",""))))</f>
        <v/>
      </c>
      <c r="AE1261" s="911">
        <f>IF(E1261="YES",IF(G1261=1,"",IF(H1261=1,C1261,"")),IF(H1261=1,C1261,IF(H1261=2,C1261,IF(H1261=0,"",""))))</f>
        <v/>
      </c>
      <c r="AF1261" s="911">
        <f>IF(E1261="YES",IF(I1261=1,C1261,""),IF(I1261=1,C1261,IF(I1261=2,C1261,IF(I1261=0,"",""))))</f>
        <v/>
      </c>
      <c r="AG1261" s="192">
        <f>(C1261*G1261)+(C1261*H1261)+(C1261*I1261)</f>
        <v/>
      </c>
    </row>
    <row r="1262">
      <c r="AA1262" s="640">
        <f>IF(G1262=0, IF(OR(H1262&gt;0,F1262&gt;0),C1262*F1262,""),"")</f>
        <v/>
      </c>
      <c r="AB1262" s="640">
        <f>IF(G1262&gt;=1,IF(F1262&gt;1,C1262*(F1262-2),""),"")</f>
        <v/>
      </c>
      <c r="AD1262" s="911">
        <f>IF(E1262="YES",IF(G1262=1,"",""),IF(G1262=1,C1262,IF(G1262=2,C1262,IF(G1262=0,"",""))))</f>
        <v/>
      </c>
      <c r="AE1262" s="911">
        <f>IF(E1262="YES",IF(G1262=1,"",IF(H1262=1,C1262,"")),IF(H1262=1,C1262,IF(H1262=2,C1262,IF(H1262=0,"",""))))</f>
        <v/>
      </c>
      <c r="AF1262" s="911">
        <f>IF(E1262="YES",IF(I1262=1,C1262,""),IF(I1262=1,C1262,IF(I1262=2,C1262,IF(I1262=0,"",""))))</f>
        <v/>
      </c>
      <c r="AG1262" s="192">
        <f>(C1262*G1262)+(C1262*H1262)+(C1262*I1262)</f>
        <v/>
      </c>
    </row>
    <row r="1263">
      <c r="AA1263" s="640">
        <f>IF(G1263=0, IF(OR(H1263&gt;0,F1263&gt;0),C1263*F1263,""),"")</f>
        <v/>
      </c>
      <c r="AB1263" s="640">
        <f>IF(G1263&gt;=1,IF(F1263&gt;1,C1263*(F1263-2),""),"")</f>
        <v/>
      </c>
      <c r="AD1263" s="911">
        <f>IF(E1263="YES",IF(G1263=1,"",""),IF(G1263=1,C1263,IF(G1263=2,C1263,IF(G1263=0,"",""))))</f>
        <v/>
      </c>
      <c r="AE1263" s="911">
        <f>IF(E1263="YES",IF(G1263=1,"",IF(H1263=1,C1263,"")),IF(H1263=1,C1263,IF(H1263=2,C1263,IF(H1263=0,"",""))))</f>
        <v/>
      </c>
      <c r="AF1263" s="911">
        <f>IF(E1263="YES",IF(I1263=1,C1263,""),IF(I1263=1,C1263,IF(I1263=2,C1263,IF(I1263=0,"",""))))</f>
        <v/>
      </c>
      <c r="AG1263" s="192">
        <f>(C1263*G1263)+(C1263*H1263)+(C1263*I1263)</f>
        <v/>
      </c>
    </row>
    <row r="1264">
      <c r="AA1264" s="640">
        <f>IF(G1264=0, IF(OR(H1264&gt;0,F1264&gt;0),C1264*F1264,""),"")</f>
        <v/>
      </c>
      <c r="AB1264" s="640">
        <f>IF(G1264&gt;=1,IF(F1264&gt;1,C1264*(F1264-2),""),"")</f>
        <v/>
      </c>
      <c r="AD1264" s="911">
        <f>IF(E1264="YES",IF(G1264=1,"",""),IF(G1264=1,C1264,IF(G1264=2,C1264,IF(G1264=0,"",""))))</f>
        <v/>
      </c>
      <c r="AE1264" s="911">
        <f>IF(E1264="YES",IF(G1264=1,"",IF(H1264=1,C1264,"")),IF(H1264=1,C1264,IF(H1264=2,C1264,IF(H1264=0,"",""))))</f>
        <v/>
      </c>
      <c r="AF1264" s="911">
        <f>IF(E1264="YES",IF(I1264=1,C1264,""),IF(I1264=1,C1264,IF(I1264=2,C1264,IF(I1264=0,"",""))))</f>
        <v/>
      </c>
      <c r="AG1264" s="192">
        <f>(C1264*G1264)+(C1264*H1264)+(C1264*I1264)</f>
        <v/>
      </c>
    </row>
    <row r="1265">
      <c r="AA1265" s="640">
        <f>IF(G1265=0, IF(OR(H1265&gt;0,F1265&gt;0),C1265*F1265,""),"")</f>
        <v/>
      </c>
      <c r="AB1265" s="640">
        <f>IF(G1265&gt;=1,IF(F1265&gt;1,C1265*(F1265-2),""),"")</f>
        <v/>
      </c>
      <c r="AD1265" s="911">
        <f>IF(E1265="YES",IF(G1265=1,"",""),IF(G1265=1,C1265,IF(G1265=2,C1265,IF(G1265=0,"",""))))</f>
        <v/>
      </c>
      <c r="AE1265" s="911">
        <f>IF(E1265="YES",IF(G1265=1,"",IF(H1265=1,C1265,"")),IF(H1265=1,C1265,IF(H1265=2,C1265,IF(H1265=0,"",""))))</f>
        <v/>
      </c>
      <c r="AF1265" s="911">
        <f>IF(E1265="YES",IF(I1265=1,C1265,""),IF(I1265=1,C1265,IF(I1265=2,C1265,IF(I1265=0,"",""))))</f>
        <v/>
      </c>
      <c r="AG1265" s="192">
        <f>(C1265*G1265)+(C1265*H1265)+(C1265*I1265)</f>
        <v/>
      </c>
    </row>
    <row r="1266">
      <c r="AA1266" s="640">
        <f>IF(G1266=0, IF(OR(H1266&gt;0,F1266&gt;0),C1266*F1266,""),"")</f>
        <v/>
      </c>
      <c r="AB1266" s="640">
        <f>IF(G1266&gt;=1,IF(F1266&gt;1,C1266*(F1266-2),""),"")</f>
        <v/>
      </c>
      <c r="AD1266" s="911">
        <f>IF(E1266="YES",IF(G1266=1,"",""),IF(G1266=1,C1266,IF(G1266=2,C1266,IF(G1266=0,"",""))))</f>
        <v/>
      </c>
      <c r="AE1266" s="911">
        <f>IF(E1266="YES",IF(G1266=1,"",IF(H1266=1,C1266,"")),IF(H1266=1,C1266,IF(H1266=2,C1266,IF(H1266=0,"",""))))</f>
        <v/>
      </c>
      <c r="AF1266" s="911">
        <f>IF(E1266="YES",IF(I1266=1,C1266,""),IF(I1266=1,C1266,IF(I1266=2,C1266,IF(I1266=0,"",""))))</f>
        <v/>
      </c>
      <c r="AG1266" s="192">
        <f>(C1266*G1266)+(C1266*H1266)+(C1266*I1266)</f>
        <v/>
      </c>
    </row>
    <row r="1267">
      <c r="AA1267" s="640">
        <f>IF(G1267=0, IF(OR(H1267&gt;0,F1267&gt;0),C1267*F1267,""),"")</f>
        <v/>
      </c>
      <c r="AB1267" s="640">
        <f>IF(G1267&gt;=1,IF(F1267&gt;1,C1267*(F1267-2),""),"")</f>
        <v/>
      </c>
      <c r="AD1267" s="911">
        <f>IF(E1267="YES",IF(G1267=1,"",""),IF(G1267=1,C1267,IF(G1267=2,C1267,IF(G1267=0,"",""))))</f>
        <v/>
      </c>
      <c r="AE1267" s="911">
        <f>IF(E1267="YES",IF(G1267=1,"",IF(H1267=1,C1267,"")),IF(H1267=1,C1267,IF(H1267=2,C1267,IF(H1267=0,"",""))))</f>
        <v/>
      </c>
      <c r="AF1267" s="911">
        <f>IF(E1267="YES",IF(I1267=1,C1267,""),IF(I1267=1,C1267,IF(I1267=2,C1267,IF(I1267=0,"",""))))</f>
        <v/>
      </c>
      <c r="AG1267" s="192">
        <f>(C1267*G1267)+(C1267*H1267)+(C1267*I1267)</f>
        <v/>
      </c>
    </row>
    <row r="1268">
      <c r="AA1268" s="640">
        <f>IF(G1268=0, IF(OR(H1268&gt;0,F1268&gt;0),C1268*F1268,""),"")</f>
        <v/>
      </c>
      <c r="AB1268" s="640">
        <f>IF(G1268&gt;=1,IF(F1268&gt;1,C1268*(F1268-2),""),"")</f>
        <v/>
      </c>
      <c r="AD1268" s="911">
        <f>IF(E1268="YES",IF(G1268=1,"",""),IF(G1268=1,C1268,IF(G1268=2,C1268,IF(G1268=0,"",""))))</f>
        <v/>
      </c>
      <c r="AE1268" s="911">
        <f>IF(E1268="YES",IF(G1268=1,"",IF(H1268=1,C1268,"")),IF(H1268=1,C1268,IF(H1268=2,C1268,IF(H1268=0,"",""))))</f>
        <v/>
      </c>
      <c r="AF1268" s="911">
        <f>IF(E1268="YES",IF(I1268=1,C1268,""),IF(I1268=1,C1268,IF(I1268=2,C1268,IF(I1268=0,"",""))))</f>
        <v/>
      </c>
      <c r="AG1268" s="192">
        <f>(C1268*G1268)+(C1268*H1268)+(C1268*I1268)</f>
        <v/>
      </c>
    </row>
    <row r="1269">
      <c r="AA1269" s="640">
        <f>IF(G1269=0, IF(OR(H1269&gt;0,F1269&gt;0),C1269*F1269,""),"")</f>
        <v/>
      </c>
      <c r="AB1269" s="640">
        <f>IF(G1269&gt;=1,IF(F1269&gt;1,C1269*(F1269-2),""),"")</f>
        <v/>
      </c>
      <c r="AD1269" s="911">
        <f>IF(E1269="YES",IF(G1269=1,"",""),IF(G1269=1,C1269,IF(G1269=2,C1269,IF(G1269=0,"",""))))</f>
        <v/>
      </c>
      <c r="AE1269" s="911">
        <f>IF(E1269="YES",IF(G1269=1,"",IF(H1269=1,C1269,"")),IF(H1269=1,C1269,IF(H1269=2,C1269,IF(H1269=0,"",""))))</f>
        <v/>
      </c>
      <c r="AF1269" s="911">
        <f>IF(E1269="YES",IF(I1269=1,C1269,""),IF(I1269=1,C1269,IF(I1269=2,C1269,IF(I1269=0,"",""))))</f>
        <v/>
      </c>
      <c r="AG1269" s="192">
        <f>(C1269*G1269)+(C1269*H1269)+(C1269*I1269)</f>
        <v/>
      </c>
    </row>
    <row r="1270">
      <c r="AA1270" s="640">
        <f>IF(G1270=0, IF(OR(H1270&gt;0,F1270&gt;0),C1270*F1270,""),"")</f>
        <v/>
      </c>
      <c r="AB1270" s="640">
        <f>IF(G1270&gt;=1,IF(F1270&gt;1,C1270*(F1270-2),""),"")</f>
        <v/>
      </c>
      <c r="AD1270" s="911">
        <f>IF(E1270="YES",IF(G1270=1,"",""),IF(G1270=1,C1270,IF(G1270=2,C1270,IF(G1270=0,"",""))))</f>
        <v/>
      </c>
      <c r="AE1270" s="911">
        <f>IF(E1270="YES",IF(G1270=1,"",IF(H1270=1,C1270,"")),IF(H1270=1,C1270,IF(H1270=2,C1270,IF(H1270=0,"",""))))</f>
        <v/>
      </c>
      <c r="AF1270" s="911">
        <f>IF(E1270="YES",IF(I1270=1,C1270,""),IF(I1270=1,C1270,IF(I1270=2,C1270,IF(I1270=0,"",""))))</f>
        <v/>
      </c>
      <c r="AG1270" s="192">
        <f>(C1270*G1270)+(C1270*H1270)+(C1270*I1270)</f>
        <v/>
      </c>
    </row>
    <row r="1271">
      <c r="AA1271" s="640">
        <f>IF(G1271=0, IF(OR(H1271&gt;0,F1271&gt;0),C1271*F1271,""),"")</f>
        <v/>
      </c>
      <c r="AB1271" s="640">
        <f>IF(G1271&gt;=1,IF(F1271&gt;1,C1271*(F1271-2),""),"")</f>
        <v/>
      </c>
      <c r="AD1271" s="911">
        <f>IF(E1271="YES",IF(G1271=1,"",""),IF(G1271=1,C1271,IF(G1271=2,C1271,IF(G1271=0,"",""))))</f>
        <v/>
      </c>
      <c r="AE1271" s="911">
        <f>IF(E1271="YES",IF(G1271=1,"",IF(H1271=1,C1271,"")),IF(H1271=1,C1271,IF(H1271=2,C1271,IF(H1271=0,"",""))))</f>
        <v/>
      </c>
      <c r="AF1271" s="911">
        <f>IF(E1271="YES",IF(I1271=1,C1271,""),IF(I1271=1,C1271,IF(I1271=2,C1271,IF(I1271=0,"",""))))</f>
        <v/>
      </c>
      <c r="AG1271" s="192">
        <f>(C1271*G1271)+(C1271*H1271)+(C1271*I1271)</f>
        <v/>
      </c>
    </row>
    <row r="1272">
      <c r="AA1272" s="640">
        <f>IF(G1272=0, IF(OR(H1272&gt;0,F1272&gt;0),C1272*F1272,""),"")</f>
        <v/>
      </c>
      <c r="AB1272" s="640">
        <f>IF(G1272&gt;=1,IF(F1272&gt;1,C1272*(F1272-2),""),"")</f>
        <v/>
      </c>
      <c r="AD1272" s="911">
        <f>IF(E1272="YES",IF(G1272=1,"",""),IF(G1272=1,C1272,IF(G1272=2,C1272,IF(G1272=0,"",""))))</f>
        <v/>
      </c>
      <c r="AE1272" s="911">
        <f>IF(E1272="YES",IF(G1272=1,"",IF(H1272=1,C1272,"")),IF(H1272=1,C1272,IF(H1272=2,C1272,IF(H1272=0,"",""))))</f>
        <v/>
      </c>
      <c r="AF1272" s="911">
        <f>IF(E1272="YES",IF(I1272=1,C1272,""),IF(I1272=1,C1272,IF(I1272=2,C1272,IF(I1272=0,"",""))))</f>
        <v/>
      </c>
      <c r="AG1272" s="192">
        <f>(C1272*G1272)+(C1272*H1272)+(C1272*I1272)</f>
        <v/>
      </c>
    </row>
    <row r="1273">
      <c r="AA1273" s="640">
        <f>IF(G1273=0, IF(OR(H1273&gt;0,F1273&gt;0),C1273*F1273,""),"")</f>
        <v/>
      </c>
      <c r="AB1273" s="640">
        <f>IF(G1273&gt;=1,IF(F1273&gt;1,C1273*(F1273-2),""),"")</f>
        <v/>
      </c>
      <c r="AD1273" s="911">
        <f>IF(E1273="YES",IF(G1273=1,"",""),IF(G1273=1,C1273,IF(G1273=2,C1273,IF(G1273=0,"",""))))</f>
        <v/>
      </c>
      <c r="AE1273" s="911">
        <f>IF(E1273="YES",IF(G1273=1,"",IF(H1273=1,C1273,"")),IF(H1273=1,C1273,IF(H1273=2,C1273,IF(H1273=0,"",""))))</f>
        <v/>
      </c>
      <c r="AF1273" s="911">
        <f>IF(E1273="YES",IF(I1273=1,C1273,""),IF(I1273=1,C1273,IF(I1273=2,C1273,IF(I1273=0,"",""))))</f>
        <v/>
      </c>
      <c r="AG1273" s="192">
        <f>(C1273*G1273)+(C1273*H1273)+(C1273*I1273)</f>
        <v/>
      </c>
    </row>
    <row r="1274">
      <c r="AA1274" s="640">
        <f>IF(G1274=0, IF(OR(H1274&gt;0,F1274&gt;0),C1274*F1274,""),"")</f>
        <v/>
      </c>
      <c r="AB1274" s="640">
        <f>IF(G1274&gt;=1,IF(F1274&gt;1,C1274*(F1274-2),""),"")</f>
        <v/>
      </c>
      <c r="AD1274" s="911">
        <f>IF(E1274="YES",IF(G1274=1,"",""),IF(G1274=1,C1274,IF(G1274=2,C1274,IF(G1274=0,"",""))))</f>
        <v/>
      </c>
      <c r="AE1274" s="911">
        <f>IF(E1274="YES",IF(G1274=1,"",IF(H1274=1,C1274,"")),IF(H1274=1,C1274,IF(H1274=2,C1274,IF(H1274=0,"",""))))</f>
        <v/>
      </c>
      <c r="AF1274" s="911">
        <f>IF(E1274="YES",IF(I1274=1,C1274,""),IF(I1274=1,C1274,IF(I1274=2,C1274,IF(I1274=0,"",""))))</f>
        <v/>
      </c>
      <c r="AG1274" s="192">
        <f>(C1274*G1274)+(C1274*H1274)+(C1274*I1274)</f>
        <v/>
      </c>
    </row>
    <row r="1275">
      <c r="AA1275" s="640">
        <f>IF(G1275=0, IF(OR(H1275&gt;0,F1275&gt;0),C1275*F1275,""),"")</f>
        <v/>
      </c>
      <c r="AB1275" s="640">
        <f>IF(G1275&gt;=1,IF(F1275&gt;1,C1275*(F1275-2),""),"")</f>
        <v/>
      </c>
      <c r="AD1275" s="911">
        <f>IF(E1275="YES",IF(G1275=1,"",""),IF(G1275=1,C1275,IF(G1275=2,C1275,IF(G1275=0,"",""))))</f>
        <v/>
      </c>
      <c r="AE1275" s="911">
        <f>IF(E1275="YES",IF(G1275=1,"",IF(H1275=1,C1275,"")),IF(H1275=1,C1275,IF(H1275=2,C1275,IF(H1275=0,"",""))))</f>
        <v/>
      </c>
      <c r="AF1275" s="911">
        <f>IF(E1275="YES",IF(I1275=1,C1275,""),IF(I1275=1,C1275,IF(I1275=2,C1275,IF(I1275=0,"",""))))</f>
        <v/>
      </c>
      <c r="AG1275" s="192">
        <f>(C1275*G1275)+(C1275*H1275)+(C1275*I1275)</f>
        <v/>
      </c>
    </row>
    <row r="1276">
      <c r="AA1276" s="640">
        <f>IF(G1276=0, IF(OR(H1276&gt;0,F1276&gt;0),C1276*F1276,""),"")</f>
        <v/>
      </c>
      <c r="AB1276" s="640">
        <f>IF(G1276&gt;=1,IF(F1276&gt;1,C1276*(F1276-2),""),"")</f>
        <v/>
      </c>
      <c r="AD1276" s="911">
        <f>IF(E1276="YES",IF(G1276=1,"",""),IF(G1276=1,C1276,IF(G1276=2,C1276,IF(G1276=0,"",""))))</f>
        <v/>
      </c>
      <c r="AE1276" s="911">
        <f>IF(E1276="YES",IF(G1276=1,"",IF(H1276=1,C1276,"")),IF(H1276=1,C1276,IF(H1276=2,C1276,IF(H1276=0,"",""))))</f>
        <v/>
      </c>
      <c r="AF1276" s="911">
        <f>IF(E1276="YES",IF(I1276=1,C1276,""),IF(I1276=1,C1276,IF(I1276=2,C1276,IF(I1276=0,"",""))))</f>
        <v/>
      </c>
      <c r="AG1276" s="192">
        <f>(C1276*G1276)+(C1276*H1276)+(C1276*I1276)</f>
        <v/>
      </c>
    </row>
    <row r="1277">
      <c r="AA1277" s="640">
        <f>IF(G1277=0, IF(OR(H1277&gt;0,F1277&gt;0),C1277*F1277,""),"")</f>
        <v/>
      </c>
      <c r="AB1277" s="640">
        <f>IF(G1277&gt;=1,IF(F1277&gt;1,C1277*(F1277-2),""),"")</f>
        <v/>
      </c>
      <c r="AD1277" s="911">
        <f>IF(E1277="YES",IF(G1277=1,"",""),IF(G1277=1,C1277,IF(G1277=2,C1277,IF(G1277=0,"",""))))</f>
        <v/>
      </c>
      <c r="AE1277" s="911">
        <f>IF(E1277="YES",IF(G1277=1,"",IF(H1277=1,C1277,"")),IF(H1277=1,C1277,IF(H1277=2,C1277,IF(H1277=0,"",""))))</f>
        <v/>
      </c>
      <c r="AF1277" s="911">
        <f>IF(E1277="YES",IF(I1277=1,C1277,""),IF(I1277=1,C1277,IF(I1277=2,C1277,IF(I1277=0,"",""))))</f>
        <v/>
      </c>
      <c r="AG1277" s="192">
        <f>(C1277*G1277)+(C1277*H1277)+(C1277*I1277)</f>
        <v/>
      </c>
    </row>
    <row r="1278">
      <c r="AA1278" s="640">
        <f>IF(G1278=0, IF(OR(H1278&gt;0,F1278&gt;0),C1278*F1278,""),"")</f>
        <v/>
      </c>
      <c r="AB1278" s="640">
        <f>IF(G1278&gt;=1,IF(F1278&gt;1,C1278*(F1278-2),""),"")</f>
        <v/>
      </c>
      <c r="AD1278" s="911">
        <f>IF(E1278="YES",IF(G1278=1,"",""),IF(G1278=1,C1278,IF(G1278=2,C1278,IF(G1278=0,"",""))))</f>
        <v/>
      </c>
      <c r="AE1278" s="911">
        <f>IF(E1278="YES",IF(G1278=1,"",IF(H1278=1,C1278,"")),IF(H1278=1,C1278,IF(H1278=2,C1278,IF(H1278=0,"",""))))</f>
        <v/>
      </c>
      <c r="AF1278" s="911">
        <f>IF(E1278="YES",IF(I1278=1,C1278,""),IF(I1278=1,C1278,IF(I1278=2,C1278,IF(I1278=0,"",""))))</f>
        <v/>
      </c>
      <c r="AG1278" s="192">
        <f>(C1278*G1278)+(C1278*H1278)+(C1278*I1278)</f>
        <v/>
      </c>
    </row>
    <row r="1279">
      <c r="AA1279" s="640">
        <f>IF(G1279=0, IF(OR(H1279&gt;0,F1279&gt;0),C1279*F1279,""),"")</f>
        <v/>
      </c>
      <c r="AB1279" s="640">
        <f>IF(G1279&gt;=1,IF(F1279&gt;1,C1279*(F1279-2),""),"")</f>
        <v/>
      </c>
      <c r="AD1279" s="911">
        <f>IF(E1279="YES",IF(G1279=1,"",""),IF(G1279=1,C1279,IF(G1279=2,C1279,IF(G1279=0,"",""))))</f>
        <v/>
      </c>
      <c r="AE1279" s="911">
        <f>IF(E1279="YES",IF(G1279=1,"",IF(H1279=1,C1279,"")),IF(H1279=1,C1279,IF(H1279=2,C1279,IF(H1279=0,"",""))))</f>
        <v/>
      </c>
      <c r="AF1279" s="911">
        <f>IF(E1279="YES",IF(I1279=1,C1279,""),IF(I1279=1,C1279,IF(I1279=2,C1279,IF(I1279=0,"",""))))</f>
        <v/>
      </c>
      <c r="AG1279" s="192">
        <f>(C1279*G1279)+(C1279*H1279)+(C1279*I1279)</f>
        <v/>
      </c>
    </row>
    <row r="1280">
      <c r="AA1280" s="640">
        <f>IF(G1280=0, IF(OR(H1280&gt;0,F1280&gt;0),C1280*F1280,""),"")</f>
        <v/>
      </c>
      <c r="AB1280" s="640">
        <f>IF(G1280&gt;=1,IF(F1280&gt;1,C1280*(F1280-2),""),"")</f>
        <v/>
      </c>
      <c r="AD1280" s="911">
        <f>IF(E1280="YES",IF(G1280=1,"",""),IF(G1280=1,C1280,IF(G1280=2,C1280,IF(G1280=0,"",""))))</f>
        <v/>
      </c>
      <c r="AE1280" s="911">
        <f>IF(E1280="YES",IF(G1280=1,"",IF(H1280=1,C1280,"")),IF(H1280=1,C1280,IF(H1280=2,C1280,IF(H1280=0,"",""))))</f>
        <v/>
      </c>
      <c r="AF1280" s="911">
        <f>IF(E1280="YES",IF(I1280=1,C1280,""),IF(I1280=1,C1280,IF(I1280=2,C1280,IF(I1280=0,"",""))))</f>
        <v/>
      </c>
      <c r="AG1280" s="192">
        <f>(C1280*G1280)+(C1280*H1280)+(C1280*I1280)</f>
        <v/>
      </c>
    </row>
    <row r="1281">
      <c r="AA1281" s="640">
        <f>IF(G1281=0, IF(OR(H1281&gt;0,F1281&gt;0),C1281*F1281,""),"")</f>
        <v/>
      </c>
      <c r="AB1281" s="640">
        <f>IF(G1281&gt;=1,IF(F1281&gt;1,C1281*(F1281-2),""),"")</f>
        <v/>
      </c>
      <c r="AD1281" s="911">
        <f>IF(E1281="YES",IF(G1281=1,"",""),IF(G1281=1,C1281,IF(G1281=2,C1281,IF(G1281=0,"",""))))</f>
        <v/>
      </c>
      <c r="AE1281" s="911">
        <f>IF(E1281="YES",IF(G1281=1,"",IF(H1281=1,C1281,"")),IF(H1281=1,C1281,IF(H1281=2,C1281,IF(H1281=0,"",""))))</f>
        <v/>
      </c>
      <c r="AF1281" s="911">
        <f>IF(E1281="YES",IF(I1281=1,C1281,""),IF(I1281=1,C1281,IF(I1281=2,C1281,IF(I1281=0,"",""))))</f>
        <v/>
      </c>
      <c r="AG1281" s="192">
        <f>(C1281*G1281)+(C1281*H1281)+(C1281*I1281)</f>
        <v/>
      </c>
    </row>
    <row r="1282">
      <c r="AA1282" s="640">
        <f>IF(G1282=0, IF(OR(H1282&gt;0,F1282&gt;0),C1282*F1282,""),"")</f>
        <v/>
      </c>
      <c r="AB1282" s="640">
        <f>IF(G1282&gt;=1,IF(F1282&gt;1,C1282*(F1282-2),""),"")</f>
        <v/>
      </c>
      <c r="AD1282" s="911">
        <f>IF(E1282="YES",IF(G1282=1,"",""),IF(G1282=1,C1282,IF(G1282=2,C1282,IF(G1282=0,"",""))))</f>
        <v/>
      </c>
      <c r="AE1282" s="911">
        <f>IF(E1282="YES",IF(G1282=1,"",IF(H1282=1,C1282,"")),IF(H1282=1,C1282,IF(H1282=2,C1282,IF(H1282=0,"",""))))</f>
        <v/>
      </c>
      <c r="AF1282" s="911">
        <f>IF(E1282="YES",IF(I1282=1,C1282,""),IF(I1282=1,C1282,IF(I1282=2,C1282,IF(I1282=0,"",""))))</f>
        <v/>
      </c>
      <c r="AG1282" s="192">
        <f>(C1282*G1282)+(C1282*H1282)+(C1282*I1282)</f>
        <v/>
      </c>
    </row>
    <row r="1283">
      <c r="AA1283" s="640">
        <f>IF(G1283=0, IF(OR(H1283&gt;0,F1283&gt;0),C1283*F1283,""),"")</f>
        <v/>
      </c>
      <c r="AB1283" s="640">
        <f>IF(G1283&gt;=1,IF(F1283&gt;1,C1283*(F1283-2),""),"")</f>
        <v/>
      </c>
      <c r="AD1283" s="911">
        <f>IF(E1283="YES",IF(G1283=1,"",""),IF(G1283=1,C1283,IF(G1283=2,C1283,IF(G1283=0,"",""))))</f>
        <v/>
      </c>
      <c r="AE1283" s="911">
        <f>IF(E1283="YES",IF(G1283=1,"",IF(H1283=1,C1283,"")),IF(H1283=1,C1283,IF(H1283=2,C1283,IF(H1283=0,"",""))))</f>
        <v/>
      </c>
      <c r="AF1283" s="911">
        <f>IF(E1283="YES",IF(I1283=1,C1283,""),IF(I1283=1,C1283,IF(I1283=2,C1283,IF(I1283=0,"",""))))</f>
        <v/>
      </c>
      <c r="AG1283" s="192">
        <f>(C1283*G1283)+(C1283*H1283)+(C1283*I1283)</f>
        <v/>
      </c>
    </row>
    <row r="1284">
      <c r="AA1284" s="640">
        <f>IF(G1284=0, IF(OR(H1284&gt;0,F1284&gt;0),C1284*F1284,""),"")</f>
        <v/>
      </c>
      <c r="AB1284" s="640">
        <f>IF(G1284&gt;=1,IF(F1284&gt;1,C1284*(F1284-2),""),"")</f>
        <v/>
      </c>
      <c r="AD1284" s="911">
        <f>IF(E1284="YES",IF(G1284=1,"",""),IF(G1284=1,C1284,IF(G1284=2,C1284,IF(G1284=0,"",""))))</f>
        <v/>
      </c>
      <c r="AE1284" s="911">
        <f>IF(E1284="YES",IF(G1284=1,"",IF(H1284=1,C1284,"")),IF(H1284=1,C1284,IF(H1284=2,C1284,IF(H1284=0,"",""))))</f>
        <v/>
      </c>
      <c r="AF1284" s="911">
        <f>IF(E1284="YES",IF(I1284=1,C1284,""),IF(I1284=1,C1284,IF(I1284=2,C1284,IF(I1284=0,"",""))))</f>
        <v/>
      </c>
      <c r="AG1284" s="192">
        <f>(C1284*G1284)+(C1284*H1284)+(C1284*I1284)</f>
        <v/>
      </c>
    </row>
    <row r="1285">
      <c r="AA1285" s="640">
        <f>IF(G1285=0, IF(OR(H1285&gt;0,F1285&gt;0),C1285*F1285,""),"")</f>
        <v/>
      </c>
      <c r="AB1285" s="640">
        <f>IF(G1285&gt;=1,IF(F1285&gt;1,C1285*(F1285-2),""),"")</f>
        <v/>
      </c>
      <c r="AD1285" s="911">
        <f>IF(E1285="YES",IF(G1285=1,"",""),IF(G1285=1,C1285,IF(G1285=2,C1285,IF(G1285=0,"",""))))</f>
        <v/>
      </c>
      <c r="AE1285" s="911">
        <f>IF(E1285="YES",IF(G1285=1,"",IF(H1285=1,C1285,"")),IF(H1285=1,C1285,IF(H1285=2,C1285,IF(H1285=0,"",""))))</f>
        <v/>
      </c>
      <c r="AF1285" s="911">
        <f>IF(E1285="YES",IF(I1285=1,C1285,""),IF(I1285=1,C1285,IF(I1285=2,C1285,IF(I1285=0,"",""))))</f>
        <v/>
      </c>
      <c r="AG1285" s="192">
        <f>(C1285*G1285)+(C1285*H1285)+(C1285*I1285)</f>
        <v/>
      </c>
    </row>
    <row r="1286">
      <c r="AA1286" s="640">
        <f>IF(G1286=0, IF(OR(H1286&gt;0,F1286&gt;0),C1286*F1286,""),"")</f>
        <v/>
      </c>
      <c r="AB1286" s="640">
        <f>IF(G1286&gt;=1,IF(F1286&gt;1,C1286*(F1286-2),""),"")</f>
        <v/>
      </c>
      <c r="AD1286" s="911">
        <f>IF(E1286="YES",IF(G1286=1,"",""),IF(G1286=1,C1286,IF(G1286=2,C1286,IF(G1286=0,"",""))))</f>
        <v/>
      </c>
      <c r="AE1286" s="911">
        <f>IF(E1286="YES",IF(G1286=1,"",IF(H1286=1,C1286,"")),IF(H1286=1,C1286,IF(H1286=2,C1286,IF(H1286=0,"",""))))</f>
        <v/>
      </c>
      <c r="AF1286" s="911">
        <f>IF(E1286="YES",IF(I1286=1,C1286,""),IF(I1286=1,C1286,IF(I1286=2,C1286,IF(I1286=0,"",""))))</f>
        <v/>
      </c>
      <c r="AG1286" s="192">
        <f>(C1286*G1286)+(C1286*H1286)+(C1286*I1286)</f>
        <v/>
      </c>
    </row>
    <row r="1287">
      <c r="AA1287" s="640">
        <f>IF(G1287=0, IF(OR(H1287&gt;0,F1287&gt;0),C1287*F1287,""),"")</f>
        <v/>
      </c>
      <c r="AB1287" s="640">
        <f>IF(G1287&gt;=1,IF(F1287&gt;1,C1287*(F1287-2),""),"")</f>
        <v/>
      </c>
      <c r="AD1287" s="911">
        <f>IF(E1287="YES",IF(G1287=1,"",""),IF(G1287=1,C1287,IF(G1287=2,C1287,IF(G1287=0,"",""))))</f>
        <v/>
      </c>
      <c r="AE1287" s="911">
        <f>IF(E1287="YES",IF(G1287=1,"",IF(H1287=1,C1287,"")),IF(H1287=1,C1287,IF(H1287=2,C1287,IF(H1287=0,"",""))))</f>
        <v/>
      </c>
      <c r="AF1287" s="911">
        <f>IF(E1287="YES",IF(I1287=1,C1287,""),IF(I1287=1,C1287,IF(I1287=2,C1287,IF(I1287=0,"",""))))</f>
        <v/>
      </c>
      <c r="AG1287" s="192">
        <f>(C1287*G1287)+(C1287*H1287)+(C1287*I1287)</f>
        <v/>
      </c>
    </row>
    <row r="1288">
      <c r="AA1288" s="640">
        <f>IF(G1288=0, IF(OR(H1288&gt;0,F1288&gt;0),C1288*F1288,""),"")</f>
        <v/>
      </c>
      <c r="AB1288" s="640">
        <f>IF(G1288&gt;=1,IF(F1288&gt;1,C1288*(F1288-2),""),"")</f>
        <v/>
      </c>
      <c r="AD1288" s="911">
        <f>IF(E1288="YES",IF(G1288=1,"",""),IF(G1288=1,C1288,IF(G1288=2,C1288,IF(G1288=0,"",""))))</f>
        <v/>
      </c>
      <c r="AE1288" s="911">
        <f>IF(E1288="YES",IF(G1288=1,"",IF(H1288=1,C1288,"")),IF(H1288=1,C1288,IF(H1288=2,C1288,IF(H1288=0,"",""))))</f>
        <v/>
      </c>
      <c r="AF1288" s="911">
        <f>IF(E1288="YES",IF(I1288=1,C1288,""),IF(I1288=1,C1288,IF(I1288=2,C1288,IF(I1288=0,"",""))))</f>
        <v/>
      </c>
      <c r="AG1288" s="192">
        <f>(C1288*G1288)+(C1288*H1288)+(C1288*I1288)</f>
        <v/>
      </c>
    </row>
    <row r="1289">
      <c r="AA1289" s="640">
        <f>IF(G1289=0, IF(OR(H1289&gt;0,F1289&gt;0),C1289*F1289,""),"")</f>
        <v/>
      </c>
      <c r="AB1289" s="640">
        <f>IF(G1289&gt;=1,IF(F1289&gt;1,C1289*(F1289-2),""),"")</f>
        <v/>
      </c>
      <c r="AD1289" s="911">
        <f>IF(E1289="YES",IF(G1289=1,"",""),IF(G1289=1,C1289,IF(G1289=2,C1289,IF(G1289=0,"",""))))</f>
        <v/>
      </c>
      <c r="AE1289" s="911">
        <f>IF(E1289="YES",IF(G1289=1,"",IF(H1289=1,C1289,"")),IF(H1289=1,C1289,IF(H1289=2,C1289,IF(H1289=0,"",""))))</f>
        <v/>
      </c>
      <c r="AF1289" s="911">
        <f>IF(E1289="YES",IF(I1289=1,C1289,""),IF(I1289=1,C1289,IF(I1289=2,C1289,IF(I1289=0,"",""))))</f>
        <v/>
      </c>
      <c r="AG1289" s="192">
        <f>(C1289*G1289)+(C1289*H1289)+(C1289*I1289)</f>
        <v/>
      </c>
    </row>
    <row r="1290">
      <c r="AA1290" s="640">
        <f>IF(G1290=0, IF(OR(H1290&gt;0,F1290&gt;0),C1290*F1290,""),"")</f>
        <v/>
      </c>
      <c r="AB1290" s="640">
        <f>IF(G1290&gt;=1,IF(F1290&gt;1,C1290*(F1290-2),""),"")</f>
        <v/>
      </c>
      <c r="AD1290" s="911">
        <f>IF(E1290="YES",IF(G1290=1,"",""),IF(G1290=1,C1290,IF(G1290=2,C1290,IF(G1290=0,"",""))))</f>
        <v/>
      </c>
      <c r="AE1290" s="911">
        <f>IF(E1290="YES",IF(G1290=1,"",IF(H1290=1,C1290,"")),IF(H1290=1,C1290,IF(H1290=2,C1290,IF(H1290=0,"",""))))</f>
        <v/>
      </c>
      <c r="AF1290" s="911">
        <f>IF(E1290="YES",IF(I1290=1,C1290,""),IF(I1290=1,C1290,IF(I1290=2,C1290,IF(I1290=0,"",""))))</f>
        <v/>
      </c>
      <c r="AG1290" s="192">
        <f>(C1290*G1290)+(C1290*H1290)+(C1290*I1290)</f>
        <v/>
      </c>
    </row>
    <row r="1291">
      <c r="AA1291" s="640">
        <f>IF(G1291=0, IF(OR(H1291&gt;0,F1291&gt;0),C1291*F1291,""),"")</f>
        <v/>
      </c>
      <c r="AB1291" s="640">
        <f>IF(G1291&gt;=1,IF(F1291&gt;1,C1291*(F1291-2),""),"")</f>
        <v/>
      </c>
      <c r="AD1291" s="911">
        <f>IF(E1291="YES",IF(G1291=1,"",""),IF(G1291=1,C1291,IF(G1291=2,C1291,IF(G1291=0,"",""))))</f>
        <v/>
      </c>
      <c r="AE1291" s="911">
        <f>IF(E1291="YES",IF(G1291=1,"",IF(H1291=1,C1291,"")),IF(H1291=1,C1291,IF(H1291=2,C1291,IF(H1291=0,"",""))))</f>
        <v/>
      </c>
      <c r="AF1291" s="911">
        <f>IF(E1291="YES",IF(I1291=1,C1291,""),IF(I1291=1,C1291,IF(I1291=2,C1291,IF(I1291=0,"",""))))</f>
        <v/>
      </c>
      <c r="AG1291" s="192">
        <f>(C1291*G1291)+(C1291*H1291)+(C1291*I1291)</f>
        <v/>
      </c>
    </row>
    <row r="1292">
      <c r="AA1292" s="640">
        <f>IF(G1292=0, IF(OR(H1292&gt;0,F1292&gt;0),C1292*F1292,""),"")</f>
        <v/>
      </c>
      <c r="AB1292" s="640">
        <f>IF(G1292&gt;=1,IF(F1292&gt;1,C1292*(F1292-2),""),"")</f>
        <v/>
      </c>
      <c r="AD1292" s="911">
        <f>IF(E1292="YES",IF(G1292=1,"",""),IF(G1292=1,C1292,IF(G1292=2,C1292,IF(G1292=0,"",""))))</f>
        <v/>
      </c>
      <c r="AE1292" s="911">
        <f>IF(E1292="YES",IF(G1292=1,"",IF(H1292=1,C1292,"")),IF(H1292=1,C1292,IF(H1292=2,C1292,IF(H1292=0,"",""))))</f>
        <v/>
      </c>
      <c r="AF1292" s="911">
        <f>IF(E1292="YES",IF(I1292=1,C1292,""),IF(I1292=1,C1292,IF(I1292=2,C1292,IF(I1292=0,"",""))))</f>
        <v/>
      </c>
      <c r="AG1292" s="192">
        <f>(C1292*G1292)+(C1292*H1292)+(C1292*I1292)</f>
        <v/>
      </c>
    </row>
    <row r="1293">
      <c r="AA1293" s="640">
        <f>IF(G1293=0, IF(OR(H1293&gt;0,F1293&gt;0),C1293*F1293,""),"")</f>
        <v/>
      </c>
      <c r="AB1293" s="640">
        <f>IF(G1293&gt;=1,IF(F1293&gt;1,C1293*(F1293-2),""),"")</f>
        <v/>
      </c>
      <c r="AD1293" s="911">
        <f>IF(E1293="YES",IF(G1293=1,"",""),IF(G1293=1,C1293,IF(G1293=2,C1293,IF(G1293=0,"",""))))</f>
        <v/>
      </c>
      <c r="AE1293" s="911">
        <f>IF(E1293="YES",IF(G1293=1,"",IF(H1293=1,C1293,"")),IF(H1293=1,C1293,IF(H1293=2,C1293,IF(H1293=0,"",""))))</f>
        <v/>
      </c>
      <c r="AF1293" s="911">
        <f>IF(E1293="YES",IF(I1293=1,C1293,""),IF(I1293=1,C1293,IF(I1293=2,C1293,IF(I1293=0,"",""))))</f>
        <v/>
      </c>
      <c r="AG1293" s="192">
        <f>(C1293*G1293)+(C1293*H1293)+(C1293*I1293)</f>
        <v/>
      </c>
    </row>
    <row r="1294">
      <c r="AA1294" s="640">
        <f>IF(G1294=0, IF(OR(H1294&gt;0,F1294&gt;0),C1294*F1294,""),"")</f>
        <v/>
      </c>
      <c r="AB1294" s="640">
        <f>IF(G1294&gt;=1,IF(F1294&gt;1,C1294*(F1294-2),""),"")</f>
        <v/>
      </c>
      <c r="AD1294" s="911">
        <f>IF(E1294="YES",IF(G1294=1,"",""),IF(G1294=1,C1294,IF(G1294=2,C1294,IF(G1294=0,"",""))))</f>
        <v/>
      </c>
      <c r="AE1294" s="911">
        <f>IF(E1294="YES",IF(G1294=1,"",IF(H1294=1,C1294,"")),IF(H1294=1,C1294,IF(H1294=2,C1294,IF(H1294=0,"",""))))</f>
        <v/>
      </c>
      <c r="AF1294" s="911">
        <f>IF(E1294="YES",IF(I1294=1,C1294,""),IF(I1294=1,C1294,IF(I1294=2,C1294,IF(I1294=0,"",""))))</f>
        <v/>
      </c>
      <c r="AG1294" s="192">
        <f>(C1294*G1294)+(C1294*H1294)+(C1294*I1294)</f>
        <v/>
      </c>
    </row>
    <row r="1295">
      <c r="AA1295" s="640">
        <f>IF(G1295=0, IF(OR(H1295&gt;0,F1295&gt;0),C1295*F1295,""),"")</f>
        <v/>
      </c>
      <c r="AB1295" s="640">
        <f>IF(G1295&gt;=1,IF(F1295&gt;1,C1295*(F1295-2),""),"")</f>
        <v/>
      </c>
      <c r="AD1295" s="911">
        <f>IF(E1295="YES",IF(G1295=1,"",""),IF(G1295=1,C1295,IF(G1295=2,C1295,IF(G1295=0,"",""))))</f>
        <v/>
      </c>
      <c r="AE1295" s="911">
        <f>IF(E1295="YES",IF(G1295=1,"",IF(H1295=1,C1295,"")),IF(H1295=1,C1295,IF(H1295=2,C1295,IF(H1295=0,"",""))))</f>
        <v/>
      </c>
      <c r="AF1295" s="911">
        <f>IF(E1295="YES",IF(I1295=1,C1295,""),IF(I1295=1,C1295,IF(I1295=2,C1295,IF(I1295=0,"",""))))</f>
        <v/>
      </c>
      <c r="AG1295" s="192">
        <f>(C1295*G1295)+(C1295*H1295)+(C1295*I1295)</f>
        <v/>
      </c>
    </row>
    <row r="1296">
      <c r="AA1296" s="640">
        <f>IF(G1296=0, IF(OR(H1296&gt;0,F1296&gt;0),C1296*F1296,""),"")</f>
        <v/>
      </c>
      <c r="AB1296" s="640">
        <f>IF(G1296&gt;=1,IF(F1296&gt;1,C1296*(F1296-2),""),"")</f>
        <v/>
      </c>
      <c r="AD1296" s="911">
        <f>IF(E1296="YES",IF(G1296=1,"",""),IF(G1296=1,C1296,IF(G1296=2,C1296,IF(G1296=0,"",""))))</f>
        <v/>
      </c>
      <c r="AE1296" s="911">
        <f>IF(E1296="YES",IF(G1296=1,"",IF(H1296=1,C1296,"")),IF(H1296=1,C1296,IF(H1296=2,C1296,IF(H1296=0,"",""))))</f>
        <v/>
      </c>
      <c r="AF1296" s="911">
        <f>IF(E1296="YES",IF(I1296=1,C1296,""),IF(I1296=1,C1296,IF(I1296=2,C1296,IF(I1296=0,"",""))))</f>
        <v/>
      </c>
      <c r="AG1296" s="192">
        <f>(C1296*G1296)+(C1296*H1296)+(C1296*I1296)</f>
        <v/>
      </c>
    </row>
    <row r="1297">
      <c r="AA1297" s="640">
        <f>IF(G1297=0, IF(OR(H1297&gt;0,F1297&gt;0),C1297*F1297,""),"")</f>
        <v/>
      </c>
      <c r="AB1297" s="640">
        <f>IF(G1297&gt;=1,IF(F1297&gt;1,C1297*(F1297-2),""),"")</f>
        <v/>
      </c>
      <c r="AD1297" s="911">
        <f>IF(E1297="YES",IF(G1297=1,"",""),IF(G1297=1,C1297,IF(G1297=2,C1297,IF(G1297=0,"",""))))</f>
        <v/>
      </c>
      <c r="AE1297" s="911">
        <f>IF(E1297="YES",IF(G1297=1,"",IF(H1297=1,C1297,"")),IF(H1297=1,C1297,IF(H1297=2,C1297,IF(H1297=0,"",""))))</f>
        <v/>
      </c>
      <c r="AF1297" s="911">
        <f>IF(E1297="YES",IF(I1297=1,C1297,""),IF(I1297=1,C1297,IF(I1297=2,C1297,IF(I1297=0,"",""))))</f>
        <v/>
      </c>
      <c r="AG1297" s="192">
        <f>(C1297*G1297)+(C1297*H1297)+(C1297*I1297)</f>
        <v/>
      </c>
    </row>
    <row r="1298">
      <c r="AA1298" s="640">
        <f>IF(G1298=0, IF(OR(H1298&gt;0,F1298&gt;0),C1298*F1298,""),"")</f>
        <v/>
      </c>
      <c r="AB1298" s="640">
        <f>IF(G1298&gt;=1,IF(F1298&gt;1,C1298*(F1298-2),""),"")</f>
        <v/>
      </c>
      <c r="AD1298" s="911">
        <f>IF(E1298="YES",IF(G1298=1,"",""),IF(G1298=1,C1298,IF(G1298=2,C1298,IF(G1298=0,"",""))))</f>
        <v/>
      </c>
      <c r="AE1298" s="911">
        <f>IF(E1298="YES",IF(G1298=1,"",IF(H1298=1,C1298,"")),IF(H1298=1,C1298,IF(H1298=2,C1298,IF(H1298=0,"",""))))</f>
        <v/>
      </c>
      <c r="AF1298" s="911">
        <f>IF(E1298="YES",IF(I1298=1,C1298,""),IF(I1298=1,C1298,IF(I1298=2,C1298,IF(I1298=0,"",""))))</f>
        <v/>
      </c>
      <c r="AG1298" s="192">
        <f>(C1298*G1298)+(C1298*H1298)+(C1298*I1298)</f>
        <v/>
      </c>
    </row>
    <row r="1299">
      <c r="AA1299" s="640">
        <f>IF(G1299=0, IF(OR(H1299&gt;0,F1299&gt;0),C1299*F1299,""),"")</f>
        <v/>
      </c>
      <c r="AB1299" s="640">
        <f>IF(G1299&gt;=1,IF(F1299&gt;1,C1299*(F1299-2),""),"")</f>
        <v/>
      </c>
      <c r="AD1299" s="911">
        <f>IF(E1299="YES",IF(G1299=1,"",""),IF(G1299=1,C1299,IF(G1299=2,C1299,IF(G1299=0,"",""))))</f>
        <v/>
      </c>
      <c r="AE1299" s="911">
        <f>IF(E1299="YES",IF(G1299=1,"",IF(H1299=1,C1299,"")),IF(H1299=1,C1299,IF(H1299=2,C1299,IF(H1299=0,"",""))))</f>
        <v/>
      </c>
      <c r="AF1299" s="911">
        <f>IF(E1299="YES",IF(I1299=1,C1299,""),IF(I1299=1,C1299,IF(I1299=2,C1299,IF(I1299=0,"",""))))</f>
        <v/>
      </c>
      <c r="AG1299" s="192">
        <f>(C1299*G1299)+(C1299*H1299)+(C1299*I1299)</f>
        <v/>
      </c>
    </row>
    <row r="1300">
      <c r="AA1300" s="640">
        <f>IF(G1300=0, IF(OR(H1300&gt;0,F1300&gt;0),C1300*F1300,""),"")</f>
        <v/>
      </c>
      <c r="AB1300" s="640">
        <f>IF(G1300&gt;=1,IF(F1300&gt;1,C1300*(F1300-2),""),"")</f>
        <v/>
      </c>
      <c r="AD1300" s="911">
        <f>IF(E1300="YES",IF(G1300=1,"",""),IF(G1300=1,C1300,IF(G1300=2,C1300,IF(G1300=0,"",""))))</f>
        <v/>
      </c>
      <c r="AE1300" s="911">
        <f>IF(E1300="YES",IF(G1300=1,"",IF(H1300=1,C1300,"")),IF(H1300=1,C1300,IF(H1300=2,C1300,IF(H1300=0,"",""))))</f>
        <v/>
      </c>
      <c r="AF1300" s="911">
        <f>IF(E1300="YES",IF(I1300=1,C1300,""),IF(I1300=1,C1300,IF(I1300=2,C1300,IF(I1300=0,"",""))))</f>
        <v/>
      </c>
      <c r="AG1300" s="192">
        <f>(C1300*G1300)+(C1300*H1300)+(C1300*I1300)</f>
        <v/>
      </c>
    </row>
    <row r="1301">
      <c r="AA1301" s="640">
        <f>IF(G1301=0, IF(OR(H1301&gt;0,F1301&gt;0),C1301*F1301,""),"")</f>
        <v/>
      </c>
      <c r="AB1301" s="640">
        <f>IF(G1301&gt;=1,IF(F1301&gt;1,C1301*(F1301-2),""),"")</f>
        <v/>
      </c>
      <c r="AD1301" s="911">
        <f>IF(E1301="YES",IF(G1301=1,"",""),IF(G1301=1,C1301,IF(G1301=2,C1301,IF(G1301=0,"",""))))</f>
        <v/>
      </c>
      <c r="AE1301" s="911">
        <f>IF(E1301="YES",IF(G1301=1,"",IF(H1301=1,C1301,"")),IF(H1301=1,C1301,IF(H1301=2,C1301,IF(H1301=0,"",""))))</f>
        <v/>
      </c>
      <c r="AF1301" s="911">
        <f>IF(E1301="YES",IF(I1301=1,C1301,""),IF(I1301=1,C1301,IF(I1301=2,C1301,IF(I1301=0,"",""))))</f>
        <v/>
      </c>
      <c r="AG1301" s="192">
        <f>(C1301*G1301)+(C1301*H1301)+(C1301*I1301)</f>
        <v/>
      </c>
    </row>
    <row r="1302">
      <c r="AA1302" s="640">
        <f>IF(G1302=0, IF(OR(H1302&gt;0,F1302&gt;0),C1302*F1302,""),"")</f>
        <v/>
      </c>
      <c r="AB1302" s="640">
        <f>IF(G1302&gt;=1,IF(F1302&gt;1,C1302*(F1302-2),""),"")</f>
        <v/>
      </c>
      <c r="AD1302" s="911">
        <f>IF(E1302="YES",IF(G1302=1,"",""),IF(G1302=1,C1302,IF(G1302=2,C1302,IF(G1302=0,"",""))))</f>
        <v/>
      </c>
      <c r="AE1302" s="911">
        <f>IF(E1302="YES",IF(G1302=1,"",IF(H1302=1,C1302,"")),IF(H1302=1,C1302,IF(H1302=2,C1302,IF(H1302=0,"",""))))</f>
        <v/>
      </c>
      <c r="AF1302" s="911">
        <f>IF(E1302="YES",IF(I1302=1,C1302,""),IF(I1302=1,C1302,IF(I1302=2,C1302,IF(I1302=0,"",""))))</f>
        <v/>
      </c>
      <c r="AG1302" s="192">
        <f>(C1302*G1302)+(C1302*H1302)+(C1302*I1302)</f>
        <v/>
      </c>
    </row>
    <row r="1303">
      <c r="AA1303" s="640">
        <f>IF(G1303=0, IF(OR(H1303&gt;0,F1303&gt;0),C1303*F1303,""),"")</f>
        <v/>
      </c>
      <c r="AB1303" s="640">
        <f>IF(G1303&gt;=1,IF(F1303&gt;1,C1303*(F1303-2),""),"")</f>
        <v/>
      </c>
      <c r="AD1303" s="911">
        <f>IF(E1303="YES",IF(G1303=1,"",""),IF(G1303=1,C1303,IF(G1303=2,C1303,IF(G1303=0,"",""))))</f>
        <v/>
      </c>
      <c r="AE1303" s="911">
        <f>IF(E1303="YES",IF(G1303=1,"",IF(H1303=1,C1303,"")),IF(H1303=1,C1303,IF(H1303=2,C1303,IF(H1303=0,"",""))))</f>
        <v/>
      </c>
      <c r="AF1303" s="911">
        <f>IF(E1303="YES",IF(I1303=1,C1303,""),IF(I1303=1,C1303,IF(I1303=2,C1303,IF(I1303=0,"",""))))</f>
        <v/>
      </c>
      <c r="AG1303" s="192">
        <f>(C1303*G1303)+(C1303*H1303)+(C1303*I1303)</f>
        <v/>
      </c>
    </row>
    <row r="1304">
      <c r="AA1304" s="640">
        <f>IF(G1304=0, IF(OR(H1304&gt;0,F1304&gt;0),C1304*F1304,""),"")</f>
        <v/>
      </c>
      <c r="AB1304" s="640">
        <f>IF(G1304&gt;=1,IF(F1304&gt;1,C1304*(F1304-2),""),"")</f>
        <v/>
      </c>
      <c r="AD1304" s="911">
        <f>IF(E1304="YES",IF(G1304=1,"",""),IF(G1304=1,C1304,IF(G1304=2,C1304,IF(G1304=0,"",""))))</f>
        <v/>
      </c>
      <c r="AE1304" s="911">
        <f>IF(E1304="YES",IF(G1304=1,"",IF(H1304=1,C1304,"")),IF(H1304=1,C1304,IF(H1304=2,C1304,IF(H1304=0,"",""))))</f>
        <v/>
      </c>
      <c r="AF1304" s="911">
        <f>IF(E1304="YES",IF(I1304=1,C1304,""),IF(I1304=1,C1304,IF(I1304=2,C1304,IF(I1304=0,"",""))))</f>
        <v/>
      </c>
      <c r="AG1304" s="192">
        <f>(C1304*G1304)+(C1304*H1304)+(C1304*I1304)</f>
        <v/>
      </c>
    </row>
    <row r="1305">
      <c r="AA1305" s="640">
        <f>IF(G1305=0, IF(OR(H1305&gt;0,F1305&gt;0),C1305*F1305,""),"")</f>
        <v/>
      </c>
      <c r="AB1305" s="640">
        <f>IF(G1305&gt;=1,IF(F1305&gt;1,C1305*(F1305-2),""),"")</f>
        <v/>
      </c>
      <c r="AD1305" s="911">
        <f>IF(E1305="YES",IF(G1305=1,"",""),IF(G1305=1,C1305,IF(G1305=2,C1305,IF(G1305=0,"",""))))</f>
        <v/>
      </c>
      <c r="AE1305" s="911">
        <f>IF(E1305="YES",IF(G1305=1,"",IF(H1305=1,C1305,"")),IF(H1305=1,C1305,IF(H1305=2,C1305,IF(H1305=0,"",""))))</f>
        <v/>
      </c>
      <c r="AF1305" s="911">
        <f>IF(E1305="YES",IF(I1305=1,C1305,""),IF(I1305=1,C1305,IF(I1305=2,C1305,IF(I1305=0,"",""))))</f>
        <v/>
      </c>
      <c r="AG1305" s="192">
        <f>(C1305*G1305)+(C1305*H1305)+(C1305*I1305)</f>
        <v/>
      </c>
    </row>
    <row r="1306">
      <c r="AA1306" s="640">
        <f>IF(G1306=0, IF(OR(H1306&gt;0,F1306&gt;0),C1306*F1306,""),"")</f>
        <v/>
      </c>
      <c r="AB1306" s="640">
        <f>IF(G1306&gt;=1,IF(F1306&gt;1,C1306*(F1306-2),""),"")</f>
        <v/>
      </c>
      <c r="AD1306" s="911">
        <f>IF(E1306="YES",IF(G1306=1,"",""),IF(G1306=1,C1306,IF(G1306=2,C1306,IF(G1306=0,"",""))))</f>
        <v/>
      </c>
      <c r="AE1306" s="911">
        <f>IF(E1306="YES",IF(G1306=1,"",IF(H1306=1,C1306,"")),IF(H1306=1,C1306,IF(H1306=2,C1306,IF(H1306=0,"",""))))</f>
        <v/>
      </c>
      <c r="AF1306" s="911">
        <f>IF(E1306="YES",IF(I1306=1,C1306,""),IF(I1306=1,C1306,IF(I1306=2,C1306,IF(I1306=0,"",""))))</f>
        <v/>
      </c>
      <c r="AG1306" s="192">
        <f>(C1306*G1306)+(C1306*H1306)+(C1306*I1306)</f>
        <v/>
      </c>
    </row>
    <row r="1307">
      <c r="AA1307" s="640">
        <f>IF(G1307=0, IF(OR(H1307&gt;0,F1307&gt;0),C1307*F1307,""),"")</f>
        <v/>
      </c>
      <c r="AB1307" s="640">
        <f>IF(G1307&gt;=1,IF(F1307&gt;1,C1307*(F1307-2),""),"")</f>
        <v/>
      </c>
      <c r="AD1307" s="911">
        <f>IF(E1307="YES",IF(G1307=1,"",""),IF(G1307=1,C1307,IF(G1307=2,C1307,IF(G1307=0,"",""))))</f>
        <v/>
      </c>
      <c r="AE1307" s="911">
        <f>IF(E1307="YES",IF(G1307=1,"",IF(H1307=1,C1307,"")),IF(H1307=1,C1307,IF(H1307=2,C1307,IF(H1307=0,"",""))))</f>
        <v/>
      </c>
      <c r="AF1307" s="911">
        <f>IF(E1307="YES",IF(I1307=1,C1307,""),IF(I1307=1,C1307,IF(I1307=2,C1307,IF(I1307=0,"",""))))</f>
        <v/>
      </c>
      <c r="AG1307" s="192">
        <f>(C1307*G1307)+(C1307*H1307)+(C1307*I1307)</f>
        <v/>
      </c>
    </row>
    <row r="1308">
      <c r="AA1308" s="640">
        <f>IF(G1308=0, IF(OR(H1308&gt;0,F1308&gt;0),C1308*F1308,""),"")</f>
        <v/>
      </c>
      <c r="AB1308" s="640">
        <f>IF(G1308&gt;=1,IF(F1308&gt;1,C1308*(F1308-2),""),"")</f>
        <v/>
      </c>
      <c r="AD1308" s="911">
        <f>IF(E1308="YES",IF(G1308=1,"",""),IF(G1308=1,C1308,IF(G1308=2,C1308,IF(G1308=0,"",""))))</f>
        <v/>
      </c>
      <c r="AE1308" s="911">
        <f>IF(E1308="YES",IF(G1308=1,"",IF(H1308=1,C1308,"")),IF(H1308=1,C1308,IF(H1308=2,C1308,IF(H1308=0,"",""))))</f>
        <v/>
      </c>
      <c r="AF1308" s="911">
        <f>IF(E1308="YES",IF(I1308=1,C1308,""),IF(I1308=1,C1308,IF(I1308=2,C1308,IF(I1308=0,"",""))))</f>
        <v/>
      </c>
      <c r="AG1308" s="192">
        <f>(C1308*G1308)+(C1308*H1308)+(C1308*I1308)</f>
        <v/>
      </c>
    </row>
    <row r="1309">
      <c r="AA1309" s="640">
        <f>IF(G1309=0, IF(OR(H1309&gt;0,F1309&gt;0),C1309*F1309,""),"")</f>
        <v/>
      </c>
      <c r="AB1309" s="640">
        <f>IF(G1309&gt;=1,IF(F1309&gt;1,C1309*(F1309-2),""),"")</f>
        <v/>
      </c>
      <c r="AD1309" s="911">
        <f>IF(E1309="YES",IF(G1309=1,"",""),IF(G1309=1,C1309,IF(G1309=2,C1309,IF(G1309=0,"",""))))</f>
        <v/>
      </c>
      <c r="AE1309" s="911">
        <f>IF(E1309="YES",IF(G1309=1,"",IF(H1309=1,C1309,"")),IF(H1309=1,C1309,IF(H1309=2,C1309,IF(H1309=0,"",""))))</f>
        <v/>
      </c>
      <c r="AF1309" s="911">
        <f>IF(E1309="YES",IF(I1309=1,C1309,""),IF(I1309=1,C1309,IF(I1309=2,C1309,IF(I1309=0,"",""))))</f>
        <v/>
      </c>
      <c r="AG1309" s="192">
        <f>(C1309*G1309)+(C1309*H1309)+(C1309*I1309)</f>
        <v/>
      </c>
    </row>
    <row r="1310">
      <c r="AA1310" s="640">
        <f>IF(G1310=0, IF(OR(H1310&gt;0,F1310&gt;0),C1310*F1310,""),"")</f>
        <v/>
      </c>
      <c r="AB1310" s="640">
        <f>IF(G1310&gt;=1,IF(F1310&gt;1,C1310*(F1310-2),""),"")</f>
        <v/>
      </c>
      <c r="AD1310" s="911">
        <f>IF(E1310="YES",IF(G1310=1,"",""),IF(G1310=1,C1310,IF(G1310=2,C1310,IF(G1310=0,"",""))))</f>
        <v/>
      </c>
      <c r="AE1310" s="911">
        <f>IF(E1310="YES",IF(G1310=1,"",IF(H1310=1,C1310,"")),IF(H1310=1,C1310,IF(H1310=2,C1310,IF(H1310=0,"",""))))</f>
        <v/>
      </c>
      <c r="AF1310" s="911">
        <f>IF(E1310="YES",IF(I1310=1,C1310,""),IF(I1310=1,C1310,IF(I1310=2,C1310,IF(I1310=0,"",""))))</f>
        <v/>
      </c>
      <c r="AG1310" s="192">
        <f>(C1310*G1310)+(C1310*H1310)+(C1310*I1310)</f>
        <v/>
      </c>
    </row>
    <row r="1311">
      <c r="AA1311" s="640">
        <f>IF(G1311=0, IF(OR(H1311&gt;0,F1311&gt;0),C1311*F1311,""),"")</f>
        <v/>
      </c>
      <c r="AB1311" s="640">
        <f>IF(G1311&gt;=1,IF(F1311&gt;1,C1311*(F1311-2),""),"")</f>
        <v/>
      </c>
      <c r="AD1311" s="911">
        <f>IF(E1311="YES",IF(G1311=1,"",""),IF(G1311=1,C1311,IF(G1311=2,C1311,IF(G1311=0,"",""))))</f>
        <v/>
      </c>
      <c r="AE1311" s="911">
        <f>IF(E1311="YES",IF(G1311=1,"",IF(H1311=1,C1311,"")),IF(H1311=1,C1311,IF(H1311=2,C1311,IF(H1311=0,"",""))))</f>
        <v/>
      </c>
      <c r="AF1311" s="911">
        <f>IF(E1311="YES",IF(I1311=1,C1311,""),IF(I1311=1,C1311,IF(I1311=2,C1311,IF(I1311=0,"",""))))</f>
        <v/>
      </c>
      <c r="AG1311" s="192">
        <f>(C1311*G1311)+(C1311*H1311)+(C1311*I1311)</f>
        <v/>
      </c>
    </row>
    <row r="1312">
      <c r="AA1312" s="640">
        <f>IF(G1312=0, IF(OR(H1312&gt;0,F1312&gt;0),C1312*F1312,""),"")</f>
        <v/>
      </c>
      <c r="AB1312" s="640">
        <f>IF(G1312&gt;=1,IF(F1312&gt;1,C1312*(F1312-2),""),"")</f>
        <v/>
      </c>
      <c r="AD1312" s="911">
        <f>IF(E1312="YES",IF(G1312=1,"",""),IF(G1312=1,C1312,IF(G1312=2,C1312,IF(G1312=0,"",""))))</f>
        <v/>
      </c>
      <c r="AE1312" s="911">
        <f>IF(E1312="YES",IF(G1312=1,"",IF(H1312=1,C1312,"")),IF(H1312=1,C1312,IF(H1312=2,C1312,IF(H1312=0,"",""))))</f>
        <v/>
      </c>
      <c r="AF1312" s="911">
        <f>IF(E1312="YES",IF(I1312=1,C1312,""),IF(I1312=1,C1312,IF(I1312=2,C1312,IF(I1312=0,"",""))))</f>
        <v/>
      </c>
      <c r="AG1312" s="192">
        <f>(C1312*G1312)+(C1312*H1312)+(C1312*I1312)</f>
        <v/>
      </c>
    </row>
    <row r="1313">
      <c r="AA1313" s="640">
        <f>IF(G1313=0, IF(OR(H1313&gt;0,F1313&gt;0),C1313*F1313,""),"")</f>
        <v/>
      </c>
      <c r="AB1313" s="640">
        <f>IF(G1313&gt;=1,IF(F1313&gt;1,C1313*(F1313-2),""),"")</f>
        <v/>
      </c>
      <c r="AD1313" s="911">
        <f>IF(E1313="YES",IF(G1313=1,"",""),IF(G1313=1,C1313,IF(G1313=2,C1313,IF(G1313=0,"",""))))</f>
        <v/>
      </c>
      <c r="AE1313" s="911">
        <f>IF(E1313="YES",IF(G1313=1,"",IF(H1313=1,C1313,"")),IF(H1313=1,C1313,IF(H1313=2,C1313,IF(H1313=0,"",""))))</f>
        <v/>
      </c>
      <c r="AF1313" s="911">
        <f>IF(E1313="YES",IF(I1313=1,C1313,""),IF(I1313=1,C1313,IF(I1313=2,C1313,IF(I1313=0,"",""))))</f>
        <v/>
      </c>
      <c r="AG1313" s="192">
        <f>(C1313*G1313)+(C1313*H1313)+(C1313*I1313)</f>
        <v/>
      </c>
    </row>
    <row r="1314">
      <c r="AA1314" s="640">
        <f>IF(G1314=0, IF(OR(H1314&gt;0,F1314&gt;0),C1314*F1314,""),"")</f>
        <v/>
      </c>
      <c r="AB1314" s="640">
        <f>IF(G1314&gt;=1,IF(F1314&gt;1,C1314*(F1314-2),""),"")</f>
        <v/>
      </c>
      <c r="AD1314" s="911">
        <f>IF(E1314="YES",IF(G1314=1,"",""),IF(G1314=1,C1314,IF(G1314=2,C1314,IF(G1314=0,"",""))))</f>
        <v/>
      </c>
      <c r="AE1314" s="911">
        <f>IF(E1314="YES",IF(G1314=1,"",IF(H1314=1,C1314,"")),IF(H1314=1,C1314,IF(H1314=2,C1314,IF(H1314=0,"",""))))</f>
        <v/>
      </c>
      <c r="AF1314" s="911">
        <f>IF(E1314="YES",IF(I1314=1,C1314,""),IF(I1314=1,C1314,IF(I1314=2,C1314,IF(I1314=0,"",""))))</f>
        <v/>
      </c>
      <c r="AG1314" s="192">
        <f>(C1314*G1314)+(C1314*H1314)+(C1314*I1314)</f>
        <v/>
      </c>
    </row>
    <row r="1315">
      <c r="AA1315" s="640">
        <f>IF(G1315=0, IF(OR(H1315&gt;0,F1315&gt;0),C1315*F1315,""),"")</f>
        <v/>
      </c>
      <c r="AB1315" s="640">
        <f>IF(G1315&gt;=1,IF(F1315&gt;1,C1315*(F1315-2),""),"")</f>
        <v/>
      </c>
      <c r="AD1315" s="911">
        <f>IF(E1315="YES",IF(G1315=1,"",""),IF(G1315=1,C1315,IF(G1315=2,C1315,IF(G1315=0,"",""))))</f>
        <v/>
      </c>
      <c r="AE1315" s="911">
        <f>IF(E1315="YES",IF(G1315=1,"",IF(H1315=1,C1315,"")),IF(H1315=1,C1315,IF(H1315=2,C1315,IF(H1315=0,"",""))))</f>
        <v/>
      </c>
      <c r="AF1315" s="911">
        <f>IF(E1315="YES",IF(I1315=1,C1315,""),IF(I1315=1,C1315,IF(I1315=2,C1315,IF(I1315=0,"",""))))</f>
        <v/>
      </c>
      <c r="AG1315" s="192">
        <f>(C1315*G1315)+(C1315*H1315)+(C1315*I1315)</f>
        <v/>
      </c>
    </row>
    <row r="1316">
      <c r="AA1316" s="640">
        <f>IF(G1316=0, IF(OR(H1316&gt;0,F1316&gt;0),C1316*F1316,""),"")</f>
        <v/>
      </c>
      <c r="AB1316" s="640">
        <f>IF(G1316&gt;=1,IF(F1316&gt;1,C1316*(F1316-2),""),"")</f>
        <v/>
      </c>
      <c r="AD1316" s="911">
        <f>IF(E1316="YES",IF(G1316=1,"",""),IF(G1316=1,C1316,IF(G1316=2,C1316,IF(G1316=0,"",""))))</f>
        <v/>
      </c>
      <c r="AE1316" s="911">
        <f>IF(E1316="YES",IF(G1316=1,"",IF(H1316=1,C1316,"")),IF(H1316=1,C1316,IF(H1316=2,C1316,IF(H1316=0,"",""))))</f>
        <v/>
      </c>
      <c r="AF1316" s="911">
        <f>IF(E1316="YES",IF(I1316=1,C1316,""),IF(I1316=1,C1316,IF(I1316=2,C1316,IF(I1316=0,"",""))))</f>
        <v/>
      </c>
      <c r="AG1316" s="192">
        <f>(C1316*G1316)+(C1316*H1316)+(C1316*I1316)</f>
        <v/>
      </c>
    </row>
    <row r="1317">
      <c r="AA1317" s="640">
        <f>IF(G1317=0, IF(OR(H1317&gt;0,F1317&gt;0),C1317*F1317,""),"")</f>
        <v/>
      </c>
      <c r="AB1317" s="640">
        <f>IF(G1317&gt;=1,IF(F1317&gt;1,C1317*(F1317-2),""),"")</f>
        <v/>
      </c>
      <c r="AD1317" s="911">
        <f>IF(E1317="YES",IF(G1317=1,"",""),IF(G1317=1,C1317,IF(G1317=2,C1317,IF(G1317=0,"",""))))</f>
        <v/>
      </c>
      <c r="AE1317" s="911">
        <f>IF(E1317="YES",IF(G1317=1,"",IF(H1317=1,C1317,"")),IF(H1317=1,C1317,IF(H1317=2,C1317,IF(H1317=0,"",""))))</f>
        <v/>
      </c>
      <c r="AF1317" s="911">
        <f>IF(E1317="YES",IF(I1317=1,C1317,""),IF(I1317=1,C1317,IF(I1317=2,C1317,IF(I1317=0,"",""))))</f>
        <v/>
      </c>
      <c r="AG1317" s="192">
        <f>(C1317*G1317)+(C1317*H1317)+(C1317*I1317)</f>
        <v/>
      </c>
    </row>
    <row r="1318">
      <c r="AA1318" s="640">
        <f>IF(G1318=0, IF(OR(H1318&gt;0,F1318&gt;0),C1318*F1318,""),"")</f>
        <v/>
      </c>
      <c r="AB1318" s="640">
        <f>IF(G1318&gt;=1,IF(F1318&gt;1,C1318*(F1318-2),""),"")</f>
        <v/>
      </c>
      <c r="AD1318" s="911">
        <f>IF(E1318="YES",IF(G1318=1,"",""),IF(G1318=1,C1318,IF(G1318=2,C1318,IF(G1318=0,"",""))))</f>
        <v/>
      </c>
      <c r="AE1318" s="911">
        <f>IF(E1318="YES",IF(G1318=1,"",IF(H1318=1,C1318,"")),IF(H1318=1,C1318,IF(H1318=2,C1318,IF(H1318=0,"",""))))</f>
        <v/>
      </c>
      <c r="AF1318" s="911">
        <f>IF(E1318="YES",IF(I1318=1,C1318,""),IF(I1318=1,C1318,IF(I1318=2,C1318,IF(I1318=0,"",""))))</f>
        <v/>
      </c>
      <c r="AG1318" s="192">
        <f>(C1318*G1318)+(C1318*H1318)+(C1318*I1318)</f>
        <v/>
      </c>
    </row>
    <row r="1319">
      <c r="AA1319" s="640">
        <f>IF(G1319=0, IF(OR(H1319&gt;0,F1319&gt;0),C1319*F1319,""),"")</f>
        <v/>
      </c>
      <c r="AB1319" s="640">
        <f>IF(G1319&gt;=1,IF(F1319&gt;1,C1319*(F1319-2),""),"")</f>
        <v/>
      </c>
      <c r="AD1319" s="911">
        <f>IF(E1319="YES",IF(G1319=1,"",""),IF(G1319=1,C1319,IF(G1319=2,C1319,IF(G1319=0,"",""))))</f>
        <v/>
      </c>
      <c r="AE1319" s="911">
        <f>IF(E1319="YES",IF(G1319=1,"",IF(H1319=1,C1319,"")),IF(H1319=1,C1319,IF(H1319=2,C1319,IF(H1319=0,"",""))))</f>
        <v/>
      </c>
      <c r="AF1319" s="911">
        <f>IF(E1319="YES",IF(I1319=1,C1319,""),IF(I1319=1,C1319,IF(I1319=2,C1319,IF(I1319=0,"",""))))</f>
        <v/>
      </c>
      <c r="AG1319" s="192">
        <f>(C1319*G1319)+(C1319*H1319)+(C1319*I1319)</f>
        <v/>
      </c>
    </row>
    <row r="1320">
      <c r="AA1320" s="640">
        <f>IF(G1320=0, IF(OR(H1320&gt;0,F1320&gt;0),C1320*F1320,""),"")</f>
        <v/>
      </c>
      <c r="AB1320" s="640">
        <f>IF(G1320&gt;=1,IF(F1320&gt;1,C1320*(F1320-2),""),"")</f>
        <v/>
      </c>
      <c r="AD1320" s="911">
        <f>IF(E1320="YES",IF(G1320=1,"",""),IF(G1320=1,C1320,IF(G1320=2,C1320,IF(G1320=0,"",""))))</f>
        <v/>
      </c>
      <c r="AE1320" s="911">
        <f>IF(E1320="YES",IF(G1320=1,"",IF(H1320=1,C1320,"")),IF(H1320=1,C1320,IF(H1320=2,C1320,IF(H1320=0,"",""))))</f>
        <v/>
      </c>
      <c r="AF1320" s="911">
        <f>IF(E1320="YES",IF(I1320=1,C1320,""),IF(I1320=1,C1320,IF(I1320=2,C1320,IF(I1320=0,"",""))))</f>
        <v/>
      </c>
      <c r="AG1320" s="192">
        <f>(C1320*G1320)+(C1320*H1320)+(C1320*I1320)</f>
        <v/>
      </c>
    </row>
    <row r="1321">
      <c r="AA1321" s="640">
        <f>IF(G1321=0, IF(OR(H1321&gt;0,F1321&gt;0),C1321*F1321,""),"")</f>
        <v/>
      </c>
      <c r="AB1321" s="640">
        <f>IF(G1321&gt;=1,IF(F1321&gt;1,C1321*(F1321-2),""),"")</f>
        <v/>
      </c>
      <c r="AD1321" s="911">
        <f>IF(E1321="YES",IF(G1321=1,"",""),IF(G1321=1,C1321,IF(G1321=2,C1321,IF(G1321=0,"",""))))</f>
        <v/>
      </c>
      <c r="AE1321" s="911">
        <f>IF(E1321="YES",IF(G1321=1,"",IF(H1321=1,C1321,"")),IF(H1321=1,C1321,IF(H1321=2,C1321,IF(H1321=0,"",""))))</f>
        <v/>
      </c>
      <c r="AF1321" s="911">
        <f>IF(E1321="YES",IF(I1321=1,C1321,""),IF(I1321=1,C1321,IF(I1321=2,C1321,IF(I1321=0,"",""))))</f>
        <v/>
      </c>
      <c r="AG1321" s="192">
        <f>(C1321*G1321)+(C1321*H1321)+(C1321*I1321)</f>
        <v/>
      </c>
    </row>
    <row r="1322">
      <c r="AA1322" s="640">
        <f>IF(G1322=0, IF(OR(H1322&gt;0,F1322&gt;0),C1322*F1322,""),"")</f>
        <v/>
      </c>
      <c r="AB1322" s="640">
        <f>IF(G1322&gt;=1,IF(F1322&gt;1,C1322*(F1322-2),""),"")</f>
        <v/>
      </c>
      <c r="AD1322" s="911">
        <f>IF(E1322="YES",IF(G1322=1,"",""),IF(G1322=1,C1322,IF(G1322=2,C1322,IF(G1322=0,"",""))))</f>
        <v/>
      </c>
      <c r="AE1322" s="911">
        <f>IF(E1322="YES",IF(G1322=1,"",IF(H1322=1,C1322,"")),IF(H1322=1,C1322,IF(H1322=2,C1322,IF(H1322=0,"",""))))</f>
        <v/>
      </c>
      <c r="AF1322" s="911">
        <f>IF(E1322="YES",IF(I1322=1,C1322,""),IF(I1322=1,C1322,IF(I1322=2,C1322,IF(I1322=0,"",""))))</f>
        <v/>
      </c>
      <c r="AG1322" s="192">
        <f>(C1322*G1322)+(C1322*H1322)+(C1322*I1322)</f>
        <v/>
      </c>
    </row>
    <row r="1323">
      <c r="AA1323" s="640">
        <f>IF(G1323=0, IF(OR(H1323&gt;0,F1323&gt;0),C1323*F1323,""),"")</f>
        <v/>
      </c>
      <c r="AB1323" s="640">
        <f>IF(G1323&gt;=1,IF(F1323&gt;1,C1323*(F1323-2),""),"")</f>
        <v/>
      </c>
      <c r="AD1323" s="911">
        <f>IF(E1323="YES",IF(G1323=1,"",""),IF(G1323=1,C1323,IF(G1323=2,C1323,IF(G1323=0,"",""))))</f>
        <v/>
      </c>
      <c r="AE1323" s="911">
        <f>IF(E1323="YES",IF(G1323=1,"",IF(H1323=1,C1323,"")),IF(H1323=1,C1323,IF(H1323=2,C1323,IF(H1323=0,"",""))))</f>
        <v/>
      </c>
      <c r="AF1323" s="911">
        <f>IF(E1323="YES",IF(I1323=1,C1323,""),IF(I1323=1,C1323,IF(I1323=2,C1323,IF(I1323=0,"",""))))</f>
        <v/>
      </c>
      <c r="AG1323" s="192">
        <f>(C1323*G1323)+(C1323*H1323)+(C1323*I1323)</f>
        <v/>
      </c>
    </row>
    <row r="1324">
      <c r="AA1324" s="640">
        <f>IF(G1324=0, IF(OR(H1324&gt;0,F1324&gt;0),C1324*F1324,""),"")</f>
        <v/>
      </c>
      <c r="AB1324" s="640">
        <f>IF(G1324&gt;=1,IF(F1324&gt;1,C1324*(F1324-2),""),"")</f>
        <v/>
      </c>
      <c r="AD1324" s="911">
        <f>IF(E1324="YES",IF(G1324=1,"",""),IF(G1324=1,C1324,IF(G1324=2,C1324,IF(G1324=0,"",""))))</f>
        <v/>
      </c>
      <c r="AE1324" s="911">
        <f>IF(E1324="YES",IF(G1324=1,"",IF(H1324=1,C1324,"")),IF(H1324=1,C1324,IF(H1324=2,C1324,IF(H1324=0,"",""))))</f>
        <v/>
      </c>
      <c r="AF1324" s="911">
        <f>IF(E1324="YES",IF(I1324=1,C1324,""),IF(I1324=1,C1324,IF(I1324=2,C1324,IF(I1324=0,"",""))))</f>
        <v/>
      </c>
      <c r="AG1324" s="192">
        <f>(C1324*G1324)+(C1324*H1324)+(C1324*I1324)</f>
        <v/>
      </c>
    </row>
    <row r="1325">
      <c r="AA1325" s="640">
        <f>IF(G1325=0, IF(OR(H1325&gt;0,F1325&gt;0),C1325*F1325,""),"")</f>
        <v/>
      </c>
      <c r="AB1325" s="640">
        <f>IF(G1325&gt;=1,IF(F1325&gt;1,C1325*(F1325-2),""),"")</f>
        <v/>
      </c>
      <c r="AD1325" s="911">
        <f>IF(E1325="YES",IF(G1325=1,"",""),IF(G1325=1,C1325,IF(G1325=2,C1325,IF(G1325=0,"",""))))</f>
        <v/>
      </c>
      <c r="AE1325" s="911">
        <f>IF(E1325="YES",IF(G1325=1,"",IF(H1325=1,C1325,"")),IF(H1325=1,C1325,IF(H1325=2,C1325,IF(H1325=0,"",""))))</f>
        <v/>
      </c>
      <c r="AF1325" s="911">
        <f>IF(E1325="YES",IF(I1325=1,C1325,""),IF(I1325=1,C1325,IF(I1325=2,C1325,IF(I1325=0,"",""))))</f>
        <v/>
      </c>
      <c r="AG1325" s="192">
        <f>(C1325*G1325)+(C1325*H1325)+(C1325*I1325)</f>
        <v/>
      </c>
    </row>
    <row r="1326">
      <c r="AA1326" s="640">
        <f>IF(G1326=0, IF(OR(H1326&gt;0,F1326&gt;0),C1326*F1326,""),"")</f>
        <v/>
      </c>
      <c r="AB1326" s="640">
        <f>IF(G1326&gt;=1,IF(F1326&gt;1,C1326*(F1326-2),""),"")</f>
        <v/>
      </c>
      <c r="AD1326" s="911">
        <f>IF(E1326="YES",IF(G1326=1,"",""),IF(G1326=1,C1326,IF(G1326=2,C1326,IF(G1326=0,"",""))))</f>
        <v/>
      </c>
      <c r="AE1326" s="911">
        <f>IF(E1326="YES",IF(G1326=1,"",IF(H1326=1,C1326,"")),IF(H1326=1,C1326,IF(H1326=2,C1326,IF(H1326=0,"",""))))</f>
        <v/>
      </c>
      <c r="AF1326" s="911">
        <f>IF(E1326="YES",IF(I1326=1,C1326,""),IF(I1326=1,C1326,IF(I1326=2,C1326,IF(I1326=0,"",""))))</f>
        <v/>
      </c>
      <c r="AG1326" s="192">
        <f>(C1326*G1326)+(C1326*H1326)+(C1326*I1326)</f>
        <v/>
      </c>
    </row>
    <row r="1327">
      <c r="AA1327" s="640">
        <f>IF(G1327=0, IF(OR(H1327&gt;0,F1327&gt;0),C1327*F1327,""),"")</f>
        <v/>
      </c>
      <c r="AB1327" s="640">
        <f>IF(G1327&gt;=1,IF(F1327&gt;1,C1327*(F1327-2),""),"")</f>
        <v/>
      </c>
      <c r="AD1327" s="911">
        <f>IF(E1327="YES",IF(G1327=1,"",""),IF(G1327=1,C1327,IF(G1327=2,C1327,IF(G1327=0,"",""))))</f>
        <v/>
      </c>
      <c r="AE1327" s="911">
        <f>IF(E1327="YES",IF(G1327=1,"",IF(H1327=1,C1327,"")),IF(H1327=1,C1327,IF(H1327=2,C1327,IF(H1327=0,"",""))))</f>
        <v/>
      </c>
      <c r="AF1327" s="911">
        <f>IF(E1327="YES",IF(I1327=1,C1327,""),IF(I1327=1,C1327,IF(I1327=2,C1327,IF(I1327=0,"",""))))</f>
        <v/>
      </c>
      <c r="AG1327" s="192">
        <f>(C1327*G1327)+(C1327*H1327)+(C1327*I1327)</f>
        <v/>
      </c>
    </row>
    <row r="1328">
      <c r="AA1328" s="640">
        <f>IF(G1328=0, IF(OR(H1328&gt;0,F1328&gt;0),C1328*F1328,""),"")</f>
        <v/>
      </c>
      <c r="AB1328" s="640">
        <f>IF(G1328&gt;=1,IF(F1328&gt;1,C1328*(F1328-2),""),"")</f>
        <v/>
      </c>
      <c r="AD1328" s="911">
        <f>IF(E1328="YES",IF(G1328=1,"",""),IF(G1328=1,C1328,IF(G1328=2,C1328,IF(G1328=0,"",""))))</f>
        <v/>
      </c>
      <c r="AE1328" s="911">
        <f>IF(E1328="YES",IF(G1328=1,"",IF(H1328=1,C1328,"")),IF(H1328=1,C1328,IF(H1328=2,C1328,IF(H1328=0,"",""))))</f>
        <v/>
      </c>
      <c r="AF1328" s="911">
        <f>IF(E1328="YES",IF(I1328=1,C1328,""),IF(I1328=1,C1328,IF(I1328=2,C1328,IF(I1328=0,"",""))))</f>
        <v/>
      </c>
      <c r="AG1328" s="192">
        <f>(C1328*G1328)+(C1328*H1328)+(C1328*I1328)</f>
        <v/>
      </c>
    </row>
    <row r="1329">
      <c r="AA1329" s="640">
        <f>IF(G1329=0, IF(OR(H1329&gt;0,F1329&gt;0),C1329*F1329,""),"")</f>
        <v/>
      </c>
      <c r="AB1329" s="640">
        <f>IF(G1329&gt;=1,IF(F1329&gt;1,C1329*(F1329-2),""),"")</f>
        <v/>
      </c>
      <c r="AD1329" s="911">
        <f>IF(E1329="YES",IF(G1329=1,"",""),IF(G1329=1,C1329,IF(G1329=2,C1329,IF(G1329=0,"",""))))</f>
        <v/>
      </c>
      <c r="AE1329" s="911">
        <f>IF(E1329="YES",IF(G1329=1,"",IF(H1329=1,C1329,"")),IF(H1329=1,C1329,IF(H1329=2,C1329,IF(H1329=0,"",""))))</f>
        <v/>
      </c>
      <c r="AF1329" s="911">
        <f>IF(E1329="YES",IF(I1329=1,C1329,""),IF(I1329=1,C1329,IF(I1329=2,C1329,IF(I1329=0,"",""))))</f>
        <v/>
      </c>
      <c r="AG1329" s="192">
        <f>(C1329*G1329)+(C1329*H1329)+(C1329*I1329)</f>
        <v/>
      </c>
    </row>
    <row r="1330">
      <c r="AA1330" s="640">
        <f>IF(G1330=0, IF(OR(H1330&gt;0,F1330&gt;0),C1330*F1330,""),"")</f>
        <v/>
      </c>
      <c r="AB1330" s="640">
        <f>IF(G1330&gt;=1,IF(F1330&gt;1,C1330*(F1330-2),""),"")</f>
        <v/>
      </c>
      <c r="AD1330" s="911">
        <f>IF(E1330="YES",IF(G1330=1,"",""),IF(G1330=1,C1330,IF(G1330=2,C1330,IF(G1330=0,"",""))))</f>
        <v/>
      </c>
      <c r="AE1330" s="911">
        <f>IF(E1330="YES",IF(G1330=1,"",IF(H1330=1,C1330,"")),IF(H1330=1,C1330,IF(H1330=2,C1330,IF(H1330=0,"",""))))</f>
        <v/>
      </c>
      <c r="AF1330" s="911">
        <f>IF(E1330="YES",IF(I1330=1,C1330,""),IF(I1330=1,C1330,IF(I1330=2,C1330,IF(I1330=0,"",""))))</f>
        <v/>
      </c>
      <c r="AG1330" s="192">
        <f>(C1330*G1330)+(C1330*H1330)+(C1330*I1330)</f>
        <v/>
      </c>
    </row>
    <row r="1331">
      <c r="AA1331" s="640">
        <f>IF(G1331=0, IF(OR(H1331&gt;0,F1331&gt;0),C1331*F1331,""),"")</f>
        <v/>
      </c>
      <c r="AB1331" s="640">
        <f>IF(G1331&gt;=1,IF(F1331&gt;1,C1331*(F1331-2),""),"")</f>
        <v/>
      </c>
      <c r="AD1331" s="911">
        <f>IF(E1331="YES",IF(G1331=1,"",""),IF(G1331=1,C1331,IF(G1331=2,C1331,IF(G1331=0,"",""))))</f>
        <v/>
      </c>
      <c r="AE1331" s="911">
        <f>IF(E1331="YES",IF(G1331=1,"",IF(H1331=1,C1331,"")),IF(H1331=1,C1331,IF(H1331=2,C1331,IF(H1331=0,"",""))))</f>
        <v/>
      </c>
      <c r="AF1331" s="911">
        <f>IF(E1331="YES",IF(I1331=1,C1331,""),IF(I1331=1,C1331,IF(I1331=2,C1331,IF(I1331=0,"",""))))</f>
        <v/>
      </c>
      <c r="AG1331" s="192">
        <f>(C1331*G1331)+(C1331*H1331)+(C1331*I1331)</f>
        <v/>
      </c>
    </row>
    <row r="1332">
      <c r="AA1332" s="640">
        <f>IF(G1332=0, IF(OR(H1332&gt;0,F1332&gt;0),C1332*F1332,""),"")</f>
        <v/>
      </c>
      <c r="AB1332" s="640">
        <f>IF(G1332&gt;=1,IF(F1332&gt;1,C1332*(F1332-2),""),"")</f>
        <v/>
      </c>
      <c r="AD1332" s="911">
        <f>IF(E1332="YES",IF(G1332=1,"",""),IF(G1332=1,C1332,IF(G1332=2,C1332,IF(G1332=0,"",""))))</f>
        <v/>
      </c>
      <c r="AE1332" s="911">
        <f>IF(E1332="YES",IF(G1332=1,"",IF(H1332=1,C1332,"")),IF(H1332=1,C1332,IF(H1332=2,C1332,IF(H1332=0,"",""))))</f>
        <v/>
      </c>
      <c r="AF1332" s="911">
        <f>IF(E1332="YES",IF(I1332=1,C1332,""),IF(I1332=1,C1332,IF(I1332=2,C1332,IF(I1332=0,"",""))))</f>
        <v/>
      </c>
      <c r="AG1332" s="192">
        <f>(C1332*G1332)+(C1332*H1332)+(C1332*I1332)</f>
        <v/>
      </c>
    </row>
    <row r="1333">
      <c r="AA1333" s="640">
        <f>IF(G1333=0, IF(OR(H1333&gt;0,F1333&gt;0),C1333*F1333,""),"")</f>
        <v/>
      </c>
      <c r="AB1333" s="640">
        <f>IF(G1333&gt;=1,IF(F1333&gt;1,C1333*(F1333-2),""),"")</f>
        <v/>
      </c>
      <c r="AD1333" s="911">
        <f>IF(E1333="YES",IF(G1333=1,"",""),IF(G1333=1,C1333,IF(G1333=2,C1333,IF(G1333=0,"",""))))</f>
        <v/>
      </c>
      <c r="AE1333" s="911">
        <f>IF(E1333="YES",IF(G1333=1,"",IF(H1333=1,C1333,"")),IF(H1333=1,C1333,IF(H1333=2,C1333,IF(H1333=0,"",""))))</f>
        <v/>
      </c>
      <c r="AF1333" s="911">
        <f>IF(E1333="YES",IF(I1333=1,C1333,""),IF(I1333=1,C1333,IF(I1333=2,C1333,IF(I1333=0,"",""))))</f>
        <v/>
      </c>
      <c r="AG1333" s="192">
        <f>(C1333*G1333)+(C1333*H1333)+(C1333*I1333)</f>
        <v/>
      </c>
    </row>
    <row r="1334">
      <c r="AA1334" s="640">
        <f>IF(G1334=0, IF(OR(H1334&gt;0,F1334&gt;0),C1334*F1334,""),"")</f>
        <v/>
      </c>
      <c r="AB1334" s="640">
        <f>IF(G1334&gt;=1,IF(F1334&gt;1,C1334*(F1334-2),""),"")</f>
        <v/>
      </c>
      <c r="AD1334" s="911">
        <f>IF(E1334="YES",IF(G1334=1,"",""),IF(G1334=1,C1334,IF(G1334=2,C1334,IF(G1334=0,"",""))))</f>
        <v/>
      </c>
      <c r="AE1334" s="911">
        <f>IF(E1334="YES",IF(G1334=1,"",IF(H1334=1,C1334,"")),IF(H1334=1,C1334,IF(H1334=2,C1334,IF(H1334=0,"",""))))</f>
        <v/>
      </c>
      <c r="AF1334" s="911">
        <f>IF(E1334="YES",IF(I1334=1,C1334,""),IF(I1334=1,C1334,IF(I1334=2,C1334,IF(I1334=0,"",""))))</f>
        <v/>
      </c>
      <c r="AG1334" s="192">
        <f>(C1334*G1334)+(C1334*H1334)+(C1334*I1334)</f>
        <v/>
      </c>
    </row>
    <row r="1335">
      <c r="AA1335" s="640">
        <f>IF(G1335=0, IF(OR(H1335&gt;0,F1335&gt;0),C1335*F1335,""),"")</f>
        <v/>
      </c>
      <c r="AB1335" s="640">
        <f>IF(G1335&gt;=1,IF(F1335&gt;1,C1335*(F1335-2),""),"")</f>
        <v/>
      </c>
      <c r="AD1335" s="911">
        <f>IF(E1335="YES",IF(G1335=1,"",""),IF(G1335=1,C1335,IF(G1335=2,C1335,IF(G1335=0,"",""))))</f>
        <v/>
      </c>
      <c r="AE1335" s="911">
        <f>IF(E1335="YES",IF(G1335=1,"",IF(H1335=1,C1335,"")),IF(H1335=1,C1335,IF(H1335=2,C1335,IF(H1335=0,"",""))))</f>
        <v/>
      </c>
      <c r="AF1335" s="911">
        <f>IF(E1335="YES",IF(I1335=1,C1335,""),IF(I1335=1,C1335,IF(I1335=2,C1335,IF(I1335=0,"",""))))</f>
        <v/>
      </c>
      <c r="AG1335" s="192">
        <f>(C1335*G1335)+(C1335*H1335)+(C1335*I1335)</f>
        <v/>
      </c>
    </row>
    <row r="1336">
      <c r="AA1336" s="640">
        <f>IF(G1336=0, IF(OR(H1336&gt;0,F1336&gt;0),C1336*F1336,""),"")</f>
        <v/>
      </c>
      <c r="AB1336" s="640">
        <f>IF(G1336&gt;=1,IF(F1336&gt;1,C1336*(F1336-2),""),"")</f>
        <v/>
      </c>
      <c r="AD1336" s="911">
        <f>IF(E1336="YES",IF(G1336=1,"",""),IF(G1336=1,C1336,IF(G1336=2,C1336,IF(G1336=0,"",""))))</f>
        <v/>
      </c>
      <c r="AE1336" s="911">
        <f>IF(E1336="YES",IF(G1336=1,"",IF(H1336=1,C1336,"")),IF(H1336=1,C1336,IF(H1336=2,C1336,IF(H1336=0,"",""))))</f>
        <v/>
      </c>
      <c r="AF1336" s="911">
        <f>IF(E1336="YES",IF(I1336=1,C1336,""),IF(I1336=1,C1336,IF(I1336=2,C1336,IF(I1336=0,"",""))))</f>
        <v/>
      </c>
      <c r="AG1336" s="192">
        <f>(C1336*G1336)+(C1336*H1336)+(C1336*I1336)</f>
        <v/>
      </c>
    </row>
    <row r="1337">
      <c r="AA1337" s="640">
        <f>IF(G1337=0, IF(OR(H1337&gt;0,F1337&gt;0),C1337*F1337,""),"")</f>
        <v/>
      </c>
      <c r="AB1337" s="640">
        <f>IF(G1337&gt;=1,IF(F1337&gt;1,C1337*(F1337-2),""),"")</f>
        <v/>
      </c>
      <c r="AD1337" s="911">
        <f>IF(E1337="YES",IF(G1337=1,"",""),IF(G1337=1,C1337,IF(G1337=2,C1337,IF(G1337=0,"",""))))</f>
        <v/>
      </c>
      <c r="AE1337" s="911">
        <f>IF(E1337="YES",IF(G1337=1,"",IF(H1337=1,C1337,"")),IF(H1337=1,C1337,IF(H1337=2,C1337,IF(H1337=0,"",""))))</f>
        <v/>
      </c>
      <c r="AF1337" s="911">
        <f>IF(E1337="YES",IF(I1337=1,C1337,""),IF(I1337=1,C1337,IF(I1337=2,C1337,IF(I1337=0,"",""))))</f>
        <v/>
      </c>
      <c r="AG1337" s="192">
        <f>(C1337*G1337)+(C1337*H1337)+(C1337*I1337)</f>
        <v/>
      </c>
    </row>
    <row r="1338">
      <c r="AA1338" s="640">
        <f>IF(G1338=0, IF(OR(H1338&gt;0,F1338&gt;0),C1338*F1338,""),"")</f>
        <v/>
      </c>
      <c r="AB1338" s="640">
        <f>IF(G1338&gt;=1,IF(F1338&gt;1,C1338*(F1338-2),""),"")</f>
        <v/>
      </c>
      <c r="AD1338" s="911">
        <f>IF(E1338="YES",IF(G1338=1,"",""),IF(G1338=1,C1338,IF(G1338=2,C1338,IF(G1338=0,"",""))))</f>
        <v/>
      </c>
      <c r="AE1338" s="911">
        <f>IF(E1338="YES",IF(G1338=1,"",IF(H1338=1,C1338,"")),IF(H1338=1,C1338,IF(H1338=2,C1338,IF(H1338=0,"",""))))</f>
        <v/>
      </c>
      <c r="AF1338" s="911">
        <f>IF(E1338="YES",IF(I1338=1,C1338,""),IF(I1338=1,C1338,IF(I1338=2,C1338,IF(I1338=0,"",""))))</f>
        <v/>
      </c>
      <c r="AG1338" s="192">
        <f>(C1338*G1338)+(C1338*H1338)+(C1338*I1338)</f>
        <v/>
      </c>
    </row>
    <row r="1339">
      <c r="AA1339" s="640">
        <f>IF(G1339=0, IF(OR(H1339&gt;0,F1339&gt;0),C1339*F1339,""),"")</f>
        <v/>
      </c>
      <c r="AB1339" s="640">
        <f>IF(G1339&gt;=1,IF(F1339&gt;1,C1339*(F1339-2),""),"")</f>
        <v/>
      </c>
      <c r="AD1339" s="911">
        <f>IF(E1339="YES",IF(G1339=1,"",""),IF(G1339=1,C1339,IF(G1339=2,C1339,IF(G1339=0,"",""))))</f>
        <v/>
      </c>
      <c r="AE1339" s="911">
        <f>IF(E1339="YES",IF(G1339=1,"",IF(H1339=1,C1339,"")),IF(H1339=1,C1339,IF(H1339=2,C1339,IF(H1339=0,"",""))))</f>
        <v/>
      </c>
      <c r="AF1339" s="911">
        <f>IF(E1339="YES",IF(I1339=1,C1339,""),IF(I1339=1,C1339,IF(I1339=2,C1339,IF(I1339=0,"",""))))</f>
        <v/>
      </c>
      <c r="AG1339" s="192">
        <f>(C1339*G1339)+(C1339*H1339)+(C1339*I1339)</f>
        <v/>
      </c>
    </row>
    <row r="1340">
      <c r="AA1340" s="640">
        <f>IF(G1340=0, IF(OR(H1340&gt;0,F1340&gt;0),C1340*F1340,""),"")</f>
        <v/>
      </c>
      <c r="AB1340" s="640">
        <f>IF(G1340&gt;=1,IF(F1340&gt;1,C1340*(F1340-2),""),"")</f>
        <v/>
      </c>
      <c r="AD1340" s="911">
        <f>IF(E1340="YES",IF(G1340=1,"",""),IF(G1340=1,C1340,IF(G1340=2,C1340,IF(G1340=0,"",""))))</f>
        <v/>
      </c>
      <c r="AE1340" s="911">
        <f>IF(E1340="YES",IF(G1340=1,"",IF(H1340=1,C1340,"")),IF(H1340=1,C1340,IF(H1340=2,C1340,IF(H1340=0,"",""))))</f>
        <v/>
      </c>
      <c r="AF1340" s="911">
        <f>IF(E1340="YES",IF(I1340=1,C1340,""),IF(I1340=1,C1340,IF(I1340=2,C1340,IF(I1340=0,"",""))))</f>
        <v/>
      </c>
      <c r="AG1340" s="192">
        <f>(C1340*G1340)+(C1340*H1340)+(C1340*I1340)</f>
        <v/>
      </c>
    </row>
    <row r="1341">
      <c r="AA1341" s="640">
        <f>IF(G1341=0, IF(OR(H1341&gt;0,F1341&gt;0),C1341*F1341,""),"")</f>
        <v/>
      </c>
      <c r="AB1341" s="640">
        <f>IF(G1341&gt;=1,IF(F1341&gt;1,C1341*(F1341-2),""),"")</f>
        <v/>
      </c>
      <c r="AD1341" s="911">
        <f>IF(E1341="YES",IF(G1341=1,"",""),IF(G1341=1,C1341,IF(G1341=2,C1341,IF(G1341=0,"",""))))</f>
        <v/>
      </c>
      <c r="AE1341" s="911">
        <f>IF(E1341="YES",IF(G1341=1,"",IF(H1341=1,C1341,"")),IF(H1341=1,C1341,IF(H1341=2,C1341,IF(H1341=0,"",""))))</f>
        <v/>
      </c>
      <c r="AF1341" s="911">
        <f>IF(E1341="YES",IF(I1341=1,C1341,""),IF(I1341=1,C1341,IF(I1341=2,C1341,IF(I1341=0,"",""))))</f>
        <v/>
      </c>
      <c r="AG1341" s="192">
        <f>(C1341*G1341)+(C1341*H1341)+(C1341*I1341)</f>
        <v/>
      </c>
    </row>
    <row r="1342">
      <c r="AA1342" s="640">
        <f>IF(G1342=0, IF(OR(H1342&gt;0,F1342&gt;0),C1342*F1342,""),"")</f>
        <v/>
      </c>
      <c r="AB1342" s="640">
        <f>IF(G1342&gt;=1,IF(F1342&gt;1,C1342*(F1342-2),""),"")</f>
        <v/>
      </c>
      <c r="AD1342" s="911">
        <f>IF(E1342="YES",IF(G1342=1,"",""),IF(G1342=1,C1342,IF(G1342=2,C1342,IF(G1342=0,"",""))))</f>
        <v/>
      </c>
      <c r="AE1342" s="911">
        <f>IF(E1342="YES",IF(G1342=1,"",IF(H1342=1,C1342,"")),IF(H1342=1,C1342,IF(H1342=2,C1342,IF(H1342=0,"",""))))</f>
        <v/>
      </c>
      <c r="AF1342" s="911">
        <f>IF(E1342="YES",IF(I1342=1,C1342,""),IF(I1342=1,C1342,IF(I1342=2,C1342,IF(I1342=0,"",""))))</f>
        <v/>
      </c>
      <c r="AG1342" s="192">
        <f>(C1342*G1342)+(C1342*H1342)+(C1342*I1342)</f>
        <v/>
      </c>
    </row>
    <row r="1343">
      <c r="AB1343" s="640">
        <f>IF(G1343&gt;=1,IF(F1343&gt;1,C1343*(F1343-2),""),"")</f>
        <v/>
      </c>
      <c r="AD1343" s="911">
        <f>IF(E1343="YES",IF(G1343=1,"",""),IF(G1343=1,C1343,IF(G1343=2,C1343,IF(G1343=0,"",""))))</f>
        <v/>
      </c>
      <c r="AE1343" s="911">
        <f>IF(E1343="YES",IF(G1343=1,"",IF(H1343=1,C1343,"")),IF(H1343=1,C1343,IF(H1343=2,C1343,IF(H1343=0,"",""))))</f>
        <v/>
      </c>
      <c r="AF1343" s="911">
        <f>IF(E1343="YES",IF(I1343=1,C1343,""),IF(I1343=1,C1343,IF(I1343=2,C1343,IF(I1343=0,"",""))))</f>
        <v/>
      </c>
      <c r="AG1343" s="192">
        <f>(C1343*G1343)+(C1343*H1343)+(C1343*I1343)</f>
        <v/>
      </c>
    </row>
    <row r="1344">
      <c r="AB1344" s="640">
        <f>IF(G1344&gt;=1,IF(F1344&gt;1,C1344*(F1344-2),""),"")</f>
        <v/>
      </c>
      <c r="AD1344" s="911">
        <f>IF(E1344="YES",IF(G1344=1,"",""),IF(G1344=1,C1344,IF(G1344=2,C1344,IF(G1344=0,"",""))))</f>
        <v/>
      </c>
      <c r="AE1344" s="911">
        <f>IF(E1344="YES",IF(G1344=1,"",IF(H1344=1,C1344,"")),IF(H1344=1,C1344,IF(H1344=2,C1344,IF(H1344=0,"",""))))</f>
        <v/>
      </c>
      <c r="AF1344" s="911">
        <f>IF(E1344="YES",IF(I1344=1,C1344,""),IF(I1344=1,C1344,IF(I1344=2,C1344,IF(I1344=0,"",""))))</f>
        <v/>
      </c>
      <c r="AG1344" s="192">
        <f>(C1344*G1344)+(C1344*H1344)+(C1344*I1344)</f>
        <v/>
      </c>
    </row>
    <row r="1345">
      <c r="AB1345" s="640">
        <f>IF(G1345&gt;=1,IF(F1345&gt;1,C1345*(F1345-2),""),"")</f>
        <v/>
      </c>
      <c r="AD1345" s="911">
        <f>IF(E1345="YES",IF(G1345=1,"",""),IF(G1345=1,C1345,IF(G1345=2,C1345,IF(G1345=0,"",""))))</f>
        <v/>
      </c>
      <c r="AE1345" s="911">
        <f>IF(E1345="YES",IF(G1345=1,"",IF(H1345=1,C1345,"")),IF(H1345=1,C1345,IF(H1345=2,C1345,IF(H1345=0,"",""))))</f>
        <v/>
      </c>
      <c r="AF1345" s="911">
        <f>IF(E1345="YES",IF(I1345=1,C1345,""),IF(I1345=1,C1345,IF(I1345=2,C1345,IF(I1345=0,"",""))))</f>
        <v/>
      </c>
      <c r="AG1345" s="192">
        <f>(C1345*G1345)+(C1345*H1345)+(C1345*I1345)</f>
        <v/>
      </c>
    </row>
    <row r="1346">
      <c r="AB1346" s="640">
        <f>IF(G1346&gt;=1,IF(F1346&gt;1,C1346*(F1346-2),""),"")</f>
        <v/>
      </c>
      <c r="AD1346" s="911">
        <f>IF(E1346="YES",IF(G1346=1,"",""),IF(G1346=1,C1346,IF(G1346=2,C1346,IF(G1346=0,"",""))))</f>
        <v/>
      </c>
      <c r="AE1346" s="911">
        <f>IF(E1346="YES",IF(G1346=1,"",IF(H1346=1,C1346,"")),IF(H1346=1,C1346,IF(H1346=2,C1346,IF(H1346=0,"",""))))</f>
        <v/>
      </c>
      <c r="AF1346" s="911">
        <f>IF(E1346="YES",IF(I1346=1,C1346,""),IF(I1346=1,C1346,IF(I1346=2,C1346,IF(I1346=0,"",""))))</f>
        <v/>
      </c>
      <c r="AG1346" s="192">
        <f>(C1346*G1346)+(C1346*H1346)+(C1346*I1346)</f>
        <v/>
      </c>
    </row>
    <row r="1347">
      <c r="AB1347" s="640">
        <f>IF(G1347&gt;=1,IF(F1347&gt;1,C1347*(F1347-2),""),"")</f>
        <v/>
      </c>
      <c r="AD1347" s="911">
        <f>IF(E1347="YES",IF(G1347=1,"",""),IF(G1347=1,C1347,IF(G1347=2,C1347,IF(G1347=0,"",""))))</f>
        <v/>
      </c>
      <c r="AE1347" s="911">
        <f>IF(E1347="YES",IF(G1347=1,"",IF(H1347=1,C1347,"")),IF(H1347=1,C1347,IF(H1347=2,C1347,IF(H1347=0,"",""))))</f>
        <v/>
      </c>
      <c r="AF1347" s="911">
        <f>IF(E1347="YES",IF(I1347=1,C1347,""),IF(I1347=1,C1347,IF(I1347=2,C1347,IF(I1347=0,"",""))))</f>
        <v/>
      </c>
      <c r="AG1347" s="192">
        <f>(C1347*G1347)+(C1347*H1347)+(C1347*I1347)</f>
        <v/>
      </c>
    </row>
    <row r="1348">
      <c r="AB1348" s="640">
        <f>IF(G1348&gt;=1,IF(F1348&gt;1,C1348*(F1348-2),""),"")</f>
        <v/>
      </c>
      <c r="AD1348" s="911">
        <f>IF(E1348="YES",IF(G1348=1,"",""),IF(G1348=1,C1348,IF(G1348=2,C1348,IF(G1348=0,"",""))))</f>
        <v/>
      </c>
      <c r="AE1348" s="911">
        <f>IF(E1348="YES",IF(G1348=1,"",IF(H1348=1,C1348,"")),IF(H1348=1,C1348,IF(H1348=2,C1348,IF(H1348=0,"",""))))</f>
        <v/>
      </c>
      <c r="AF1348" s="911">
        <f>IF(E1348="YES",IF(I1348=1,C1348,""),IF(I1348=1,C1348,IF(I1348=2,C1348,IF(I1348=0,"",""))))</f>
        <v/>
      </c>
      <c r="AG1348" s="192">
        <f>(C1348*G1348)+(C1348*H1348)+(C1348*I1348)</f>
        <v/>
      </c>
    </row>
    <row r="1349">
      <c r="AB1349" s="640">
        <f>IF(G1349&gt;=1,IF(F1349&gt;1,C1349*(F1349-2),""),"")</f>
        <v/>
      </c>
      <c r="AD1349" s="911">
        <f>IF(E1349="YES",IF(G1349=1,"",""),IF(G1349=1,C1349,IF(G1349=2,C1349,IF(G1349=0,"",""))))</f>
        <v/>
      </c>
      <c r="AE1349" s="911">
        <f>IF(E1349="YES",IF(G1349=1,"",IF(H1349=1,C1349,"")),IF(H1349=1,C1349,IF(H1349=2,C1349,IF(H1349=0,"",""))))</f>
        <v/>
      </c>
      <c r="AF1349" s="911">
        <f>IF(E1349="YES",IF(I1349=1,C1349,""),IF(I1349=1,C1349,IF(I1349=2,C1349,IF(I1349=0,"",""))))</f>
        <v/>
      </c>
      <c r="AG1349" s="192">
        <f>(C1349*G1349)+(C1349*H1349)+(C1349*I1349)</f>
        <v/>
      </c>
    </row>
    <row r="1350">
      <c r="AB1350" s="640">
        <f>IF(G1350&gt;=1,IF(F1350&gt;1,C1350*(F1350-2),""),"")</f>
        <v/>
      </c>
      <c r="AD1350" s="911">
        <f>IF(E1350="YES",IF(G1350=1,"",""),IF(G1350=1,C1350,IF(G1350=2,C1350,IF(G1350=0,"",""))))</f>
        <v/>
      </c>
      <c r="AE1350" s="911">
        <f>IF(E1350="YES",IF(G1350=1,"",IF(H1350=1,C1350,"")),IF(H1350=1,C1350,IF(H1350=2,C1350,IF(H1350=0,"",""))))</f>
        <v/>
      </c>
      <c r="AF1350" s="911">
        <f>IF(E1350="YES",IF(I1350=1,C1350,""),IF(I1350=1,C1350,IF(I1350=2,C1350,IF(I1350=0,"",""))))</f>
        <v/>
      </c>
      <c r="AG1350" s="192">
        <f>(C1350*G1350)+(C1350*H1350)+(C1350*I1350)</f>
        <v/>
      </c>
    </row>
    <row r="1351">
      <c r="AB1351" s="640">
        <f>IF(G1351&gt;=1,IF(F1351&gt;1,C1351*(F1351-2),""),"")</f>
        <v/>
      </c>
      <c r="AD1351" s="911">
        <f>IF(E1351="YES",IF(G1351=1,"",""),IF(G1351=1,C1351,IF(G1351=2,C1351,IF(G1351=0,"",""))))</f>
        <v/>
      </c>
      <c r="AE1351" s="911">
        <f>IF(E1351="YES",IF(G1351=1,"",IF(H1351=1,C1351,"")),IF(H1351=1,C1351,IF(H1351=2,C1351,IF(H1351=0,"",""))))</f>
        <v/>
      </c>
      <c r="AF1351" s="911">
        <f>IF(E1351="YES",IF(I1351=1,C1351,""),IF(I1351=1,C1351,IF(I1351=2,C1351,IF(I1351=0,"",""))))</f>
        <v/>
      </c>
      <c r="AG1351" s="192">
        <f>(C1351*G1351)+(C1351*H1351)+(C1351*I1351)</f>
        <v/>
      </c>
    </row>
    <row r="1352">
      <c r="AB1352" s="640">
        <f>IF(G1352&gt;=1,IF(F1352&gt;1,C1352*(F1352-2),""),"")</f>
        <v/>
      </c>
      <c r="AD1352" s="911">
        <f>IF(E1352="YES",IF(G1352=1,"",""),IF(G1352=1,C1352,IF(G1352=2,C1352,IF(G1352=0,"",""))))</f>
        <v/>
      </c>
      <c r="AE1352" s="911">
        <f>IF(E1352="YES",IF(G1352=1,"",IF(H1352=1,C1352,"")),IF(H1352=1,C1352,IF(H1352=2,C1352,IF(H1352=0,"",""))))</f>
        <v/>
      </c>
      <c r="AF1352" s="911">
        <f>IF(E1352="YES",IF(I1352=1,C1352,""),IF(I1352=1,C1352,IF(I1352=2,C1352,IF(I1352=0,"",""))))</f>
        <v/>
      </c>
      <c r="AG1352" s="192">
        <f>(C1352*G1352)+(C1352*H1352)+(C1352*I1352)</f>
        <v/>
      </c>
    </row>
    <row r="1353">
      <c r="AB1353" s="640">
        <f>IF(G1353&gt;=1,IF(F1353&gt;1,C1353*(F1353-2),""),"")</f>
        <v/>
      </c>
      <c r="AD1353" s="911">
        <f>IF(E1353="YES",IF(G1353=1,"",""),IF(G1353=1,C1353,IF(G1353=2,C1353,IF(G1353=0,"",""))))</f>
        <v/>
      </c>
      <c r="AE1353" s="911">
        <f>IF(E1353="YES",IF(G1353=1,"",IF(H1353=1,C1353,"")),IF(H1353=1,C1353,IF(H1353=2,C1353,IF(H1353=0,"",""))))</f>
        <v/>
      </c>
      <c r="AF1353" s="911">
        <f>IF(E1353="YES",IF(I1353=1,C1353,""),IF(I1353=1,C1353,IF(I1353=2,C1353,IF(I1353=0,"",""))))</f>
        <v/>
      </c>
      <c r="AG1353" s="192">
        <f>(C1353*G1353)+(C1353*H1353)+(C1353*I1353)</f>
        <v/>
      </c>
    </row>
    <row r="1354">
      <c r="AB1354" s="640">
        <f>IF(G1354&gt;=1,IF(F1354&gt;1,C1354*(F1354-2),""),"")</f>
        <v/>
      </c>
      <c r="AD1354" s="911">
        <f>IF(E1354="YES",IF(G1354=1,"",""),IF(G1354=1,C1354,IF(G1354=2,C1354,IF(G1354=0,"",""))))</f>
        <v/>
      </c>
      <c r="AE1354" s="911">
        <f>IF(E1354="YES",IF(G1354=1,"",IF(H1354=1,C1354,"")),IF(H1354=1,C1354,IF(H1354=2,C1354,IF(H1354=0,"",""))))</f>
        <v/>
      </c>
      <c r="AF1354" s="911">
        <f>IF(E1354="YES",IF(I1354=1,C1354,""),IF(I1354=1,C1354,IF(I1354=2,C1354,IF(I1354=0,"",""))))</f>
        <v/>
      </c>
      <c r="AG1354" s="192">
        <f>(C1354*G1354)+(C1354*H1354)+(C1354*I1354)</f>
        <v/>
      </c>
    </row>
    <row r="1355">
      <c r="AB1355" s="640">
        <f>IF(G1355&gt;=1,IF(F1355&gt;1,C1355*(F1355-2),""),"")</f>
        <v/>
      </c>
      <c r="AD1355" s="911">
        <f>IF(E1355="YES",IF(G1355=1,"",""),IF(G1355=1,C1355,IF(G1355=2,C1355,IF(G1355=0,"",""))))</f>
        <v/>
      </c>
      <c r="AE1355" s="911">
        <f>IF(E1355="YES",IF(G1355=1,"",IF(H1355=1,C1355,"")),IF(H1355=1,C1355,IF(H1355=2,C1355,IF(H1355=0,"",""))))</f>
        <v/>
      </c>
      <c r="AF1355" s="911">
        <f>IF(E1355="YES",IF(I1355=1,C1355,""),IF(I1355=1,C1355,IF(I1355=2,C1355,IF(I1355=0,"",""))))</f>
        <v/>
      </c>
      <c r="AG1355" s="192">
        <f>(C1355*G1355)+(C1355*H1355)+(C1355*I1355)</f>
        <v/>
      </c>
    </row>
    <row r="1356">
      <c r="AB1356" s="640">
        <f>IF(G1356&gt;=1,IF(F1356&gt;1,C1356*(F1356-2),""),"")</f>
        <v/>
      </c>
      <c r="AD1356" s="911">
        <f>IF(E1356="YES",IF(G1356=1,"",""),IF(G1356=1,C1356,IF(G1356=2,C1356,IF(G1356=0,"",""))))</f>
        <v/>
      </c>
      <c r="AE1356" s="911">
        <f>IF(E1356="YES",IF(G1356=1,"",IF(H1356=1,C1356,"")),IF(H1356=1,C1356,IF(H1356=2,C1356,IF(H1356=0,"",""))))</f>
        <v/>
      </c>
      <c r="AF1356" s="911">
        <f>IF(E1356="YES",IF(I1356=1,C1356,""),IF(I1356=1,C1356,IF(I1356=2,C1356,IF(I1356=0,"",""))))</f>
        <v/>
      </c>
      <c r="AG1356" s="192">
        <f>(C1356*G1356)+(C1356*H1356)+(C1356*I1356)</f>
        <v/>
      </c>
    </row>
    <row r="1357">
      <c r="AB1357" s="640">
        <f>IF(G1357&gt;=1,IF(F1357&gt;1,C1357*(F1357-2),""),"")</f>
        <v/>
      </c>
      <c r="AD1357" s="911">
        <f>IF(E1357="YES",IF(G1357=1,"",""),IF(G1357=1,C1357,IF(G1357=2,C1357,IF(G1357=0,"",""))))</f>
        <v/>
      </c>
      <c r="AE1357" s="911">
        <f>IF(E1357="YES",IF(G1357=1,"",IF(H1357=1,C1357,"")),IF(H1357=1,C1357,IF(H1357=2,C1357,IF(H1357=0,"",""))))</f>
        <v/>
      </c>
      <c r="AF1357" s="911">
        <f>IF(E1357="YES",IF(I1357=1,C1357,""),IF(I1357=1,C1357,IF(I1357=2,C1357,IF(I1357=0,"",""))))</f>
        <v/>
      </c>
      <c r="AG1357" s="192">
        <f>(C1357*G1357)+(C1357*H1357)+(C1357*I1357)</f>
        <v/>
      </c>
    </row>
    <row r="1358">
      <c r="AB1358" s="640">
        <f>IF(G1358&gt;=1,IF(F1358&gt;1,C1358*(F1358-2),""),"")</f>
        <v/>
      </c>
      <c r="AD1358" s="911">
        <f>IF(E1358="YES",IF(G1358=1,"",""),IF(G1358=1,C1358,IF(G1358=2,C1358,IF(G1358=0,"",""))))</f>
        <v/>
      </c>
      <c r="AE1358" s="911">
        <f>IF(E1358="YES",IF(G1358=1,"",IF(H1358=1,C1358,"")),IF(H1358=1,C1358,IF(H1358=2,C1358,IF(H1358=0,"",""))))</f>
        <v/>
      </c>
      <c r="AF1358" s="911">
        <f>IF(E1358="YES",IF(I1358=1,C1358,""),IF(I1358=1,C1358,IF(I1358=2,C1358,IF(I1358=0,"",""))))</f>
        <v/>
      </c>
      <c r="AG1358" s="192">
        <f>(C1358*G1358)+(C1358*H1358)+(C1358*I1358)</f>
        <v/>
      </c>
    </row>
    <row r="1359">
      <c r="AB1359" s="640">
        <f>IF(G1359&gt;=1,IF(F1359&gt;1,C1359*(F1359-2),""),"")</f>
        <v/>
      </c>
      <c r="AD1359" s="911">
        <f>IF(E1359="YES",IF(G1359=1,"",""),IF(G1359=1,C1359,IF(G1359=2,C1359,IF(G1359=0,"",""))))</f>
        <v/>
      </c>
      <c r="AE1359" s="911">
        <f>IF(E1359="YES",IF(G1359=1,"",IF(H1359=1,C1359,"")),IF(H1359=1,C1359,IF(H1359=2,C1359,IF(H1359=0,"",""))))</f>
        <v/>
      </c>
      <c r="AF1359" s="911">
        <f>IF(E1359="YES",IF(I1359=1,C1359,""),IF(I1359=1,C1359,IF(I1359=2,C1359,IF(I1359=0,"",""))))</f>
        <v/>
      </c>
      <c r="AG1359" s="192">
        <f>(C1359*G1359)+(C1359*H1359)+(C1359*I1359)</f>
        <v/>
      </c>
    </row>
    <row r="1360">
      <c r="AB1360" s="640">
        <f>IF(G1360&gt;=1,IF(F1360&gt;1,C1360*(F1360-2),""),"")</f>
        <v/>
      </c>
      <c r="AD1360" s="911">
        <f>IF(E1360="YES",IF(G1360=1,"",""),IF(G1360=1,C1360,IF(G1360=2,C1360,IF(G1360=0,"",""))))</f>
        <v/>
      </c>
      <c r="AE1360" s="911">
        <f>IF(E1360="YES",IF(G1360=1,"",IF(H1360=1,C1360,"")),IF(H1360=1,C1360,IF(H1360=2,C1360,IF(H1360=0,"",""))))</f>
        <v/>
      </c>
      <c r="AF1360" s="911">
        <f>IF(E1360="YES",IF(I1360=1,C1360,""),IF(I1360=1,C1360,IF(I1360=2,C1360,IF(I1360=0,"",""))))</f>
        <v/>
      </c>
      <c r="AG1360" s="192">
        <f>(C1360*G1360)+(C1360*H1360)+(C1360*I1360)</f>
        <v/>
      </c>
    </row>
    <row r="1361">
      <c r="AB1361" s="640">
        <f>IF(G1361&gt;=1,IF(F1361&gt;1,C1361*(F1361-2),""),"")</f>
        <v/>
      </c>
      <c r="AD1361" s="911">
        <f>IF(E1361="YES",IF(G1361=1,"",""),IF(G1361=1,C1361,IF(G1361=2,C1361,IF(G1361=0,"",""))))</f>
        <v/>
      </c>
      <c r="AE1361" s="911">
        <f>IF(E1361="YES",IF(G1361=1,"",IF(H1361=1,C1361,"")),IF(H1361=1,C1361,IF(H1361=2,C1361,IF(H1361=0,"",""))))</f>
        <v/>
      </c>
      <c r="AF1361" s="911">
        <f>IF(E1361="YES",IF(I1361=1,C1361,""),IF(I1361=1,C1361,IF(I1361=2,C1361,IF(I1361=0,"",""))))</f>
        <v/>
      </c>
      <c r="AG1361" s="192">
        <f>(C1361*G1361)+(C1361*H1361)+(C1361*I1361)</f>
        <v/>
      </c>
    </row>
    <row r="1362">
      <c r="AB1362" s="640">
        <f>IF(G1362&gt;=1,IF(F1362&gt;1,C1362*(F1362-2),""),"")</f>
        <v/>
      </c>
      <c r="AD1362" s="911">
        <f>IF(E1362="YES",IF(G1362=1,"",""),IF(G1362=1,C1362,IF(G1362=2,C1362,IF(G1362=0,"",""))))</f>
        <v/>
      </c>
      <c r="AE1362" s="911">
        <f>IF(E1362="YES",IF(G1362=1,"",IF(H1362=1,C1362,"")),IF(H1362=1,C1362,IF(H1362=2,C1362,IF(H1362=0,"",""))))</f>
        <v/>
      </c>
      <c r="AF1362" s="911">
        <f>IF(E1362="YES",IF(I1362=1,C1362,""),IF(I1362=1,C1362,IF(I1362=2,C1362,IF(I1362=0,"",""))))</f>
        <v/>
      </c>
      <c r="AG1362" s="192">
        <f>(C1362*G1362)+(C1362*H1362)+(C1362*I1362)</f>
        <v/>
      </c>
    </row>
    <row r="1363">
      <c r="AB1363" s="640">
        <f>IF(G1363&gt;=1,IF(F1363&gt;1,C1363*(F1363-2),""),"")</f>
        <v/>
      </c>
      <c r="AD1363" s="911">
        <f>IF(E1363="YES",IF(G1363=1,"",""),IF(G1363=1,C1363,IF(G1363=2,C1363,IF(G1363=0,"",""))))</f>
        <v/>
      </c>
      <c r="AE1363" s="911">
        <f>IF(E1363="YES",IF(G1363=1,"",IF(H1363=1,C1363,"")),IF(H1363=1,C1363,IF(H1363=2,C1363,IF(H1363=0,"",""))))</f>
        <v/>
      </c>
      <c r="AF1363" s="911">
        <f>IF(E1363="YES",IF(I1363=1,C1363,""),IF(I1363=1,C1363,IF(I1363=2,C1363,IF(I1363=0,"",""))))</f>
        <v/>
      </c>
      <c r="AG1363" s="192">
        <f>(C1363*G1363)+(C1363*H1363)+(C1363*I1363)</f>
        <v/>
      </c>
    </row>
    <row r="1364">
      <c r="AB1364" s="640">
        <f>IF(G1364&gt;=1,IF(F1364&gt;1,C1364*(F1364-2),""),"")</f>
        <v/>
      </c>
      <c r="AD1364" s="911">
        <f>IF(E1364="YES",IF(G1364=1,"",""),IF(G1364=1,C1364,IF(G1364=2,C1364,IF(G1364=0,"",""))))</f>
        <v/>
      </c>
      <c r="AE1364" s="911">
        <f>IF(E1364="YES",IF(G1364=1,"",IF(H1364=1,C1364,"")),IF(H1364=1,C1364,IF(H1364=2,C1364,IF(H1364=0,"",""))))</f>
        <v/>
      </c>
      <c r="AF1364" s="911">
        <f>IF(E1364="YES",IF(I1364=1,C1364,""),IF(I1364=1,C1364,IF(I1364=2,C1364,IF(I1364=0,"",""))))</f>
        <v/>
      </c>
      <c r="AG1364" s="192">
        <f>(C1364*G1364)+(C1364*H1364)+(C1364*I1364)</f>
        <v/>
      </c>
    </row>
    <row r="1365">
      <c r="AB1365" s="640">
        <f>IF(G1365&gt;=1,IF(F1365&gt;1,C1365*(F1365-2),""),"")</f>
        <v/>
      </c>
      <c r="AD1365" s="911">
        <f>IF(E1365="YES",IF(G1365=1,"",""),IF(G1365=1,C1365,IF(G1365=2,C1365,IF(G1365=0,"",""))))</f>
        <v/>
      </c>
      <c r="AE1365" s="911">
        <f>IF(E1365="YES",IF(G1365=1,"",IF(H1365=1,C1365,"")),IF(H1365=1,C1365,IF(H1365=2,C1365,IF(H1365=0,"",""))))</f>
        <v/>
      </c>
      <c r="AF1365" s="911">
        <f>IF(E1365="YES",IF(I1365=1,C1365,""),IF(I1365=1,C1365,IF(I1365=2,C1365,IF(I1365=0,"",""))))</f>
        <v/>
      </c>
      <c r="AG1365" s="192">
        <f>(C1365*G1365)+(C1365*H1365)+(C1365*I1365)</f>
        <v/>
      </c>
    </row>
    <row r="1366">
      <c r="AB1366" s="640">
        <f>IF(G1366&gt;=1,IF(F1366&gt;1,C1366*(F1366-2),""),"")</f>
        <v/>
      </c>
      <c r="AD1366" s="911">
        <f>IF(E1366="YES",IF(G1366=1,"",""),IF(G1366=1,C1366,IF(G1366=2,C1366,IF(G1366=0,"",""))))</f>
        <v/>
      </c>
      <c r="AE1366" s="911">
        <f>IF(E1366="YES",IF(G1366=1,"",IF(H1366=1,C1366,"")),IF(H1366=1,C1366,IF(H1366=2,C1366,IF(H1366=0,"",""))))</f>
        <v/>
      </c>
      <c r="AF1366" s="911">
        <f>IF(E1366="YES",IF(I1366=1,C1366,""),IF(I1366=1,C1366,IF(I1366=2,C1366,IF(I1366=0,"",""))))</f>
        <v/>
      </c>
      <c r="AG1366" s="192">
        <f>(C1366*G1366)+(C1366*H1366)+(C1366*I1366)</f>
        <v/>
      </c>
    </row>
    <row r="1367">
      <c r="AB1367" s="640">
        <f>IF(G1367&gt;=1,IF(F1367&gt;1,C1367*(F1367-2),""),"")</f>
        <v/>
      </c>
      <c r="AD1367" s="911">
        <f>IF(E1367="YES",IF(G1367=1,"",""),IF(G1367=1,C1367,IF(G1367=2,C1367,IF(G1367=0,"",""))))</f>
        <v/>
      </c>
      <c r="AE1367" s="911">
        <f>IF(E1367="YES",IF(G1367=1,"",IF(H1367=1,C1367,"")),IF(H1367=1,C1367,IF(H1367=2,C1367,IF(H1367=0,"",""))))</f>
        <v/>
      </c>
      <c r="AF1367" s="911">
        <f>IF(E1367="YES",IF(I1367=1,C1367,""),IF(I1367=1,C1367,IF(I1367=2,C1367,IF(I1367=0,"",""))))</f>
        <v/>
      </c>
      <c r="AG1367" s="192">
        <f>(C1367*G1367)+(C1367*H1367)+(C1367*I1367)</f>
        <v/>
      </c>
    </row>
    <row r="1368">
      <c r="AB1368" s="640">
        <f>IF(G1368&gt;=1,IF(F1368&gt;1,C1368*(F1368-2),""),"")</f>
        <v/>
      </c>
      <c r="AD1368" s="911">
        <f>IF(E1368="YES",IF(G1368=1,"",""),IF(G1368=1,C1368,IF(G1368=2,C1368,IF(G1368=0,"",""))))</f>
        <v/>
      </c>
      <c r="AE1368" s="911">
        <f>IF(E1368="YES",IF(G1368=1,"",IF(H1368=1,C1368,"")),IF(H1368=1,C1368,IF(H1368=2,C1368,IF(H1368=0,"",""))))</f>
        <v/>
      </c>
      <c r="AF1368" s="911">
        <f>IF(E1368="YES",IF(I1368=1,C1368,""),IF(I1368=1,C1368,IF(I1368=2,C1368,IF(I1368=0,"",""))))</f>
        <v/>
      </c>
      <c r="AG1368" s="192">
        <f>(C1368*G1368)+(C1368*H1368)+(C1368*I1368)</f>
        <v/>
      </c>
    </row>
    <row r="1369">
      <c r="AB1369" s="640">
        <f>IF(G1369&gt;=1,IF(F1369&gt;1,C1369*(F1369-2),""),"")</f>
        <v/>
      </c>
      <c r="AD1369" s="911">
        <f>IF(E1369="YES",IF(G1369=1,"",""),IF(G1369=1,C1369,IF(G1369=2,C1369,IF(G1369=0,"",""))))</f>
        <v/>
      </c>
      <c r="AE1369" s="911">
        <f>IF(E1369="YES",IF(G1369=1,"",IF(H1369=1,C1369,"")),IF(H1369=1,C1369,IF(H1369=2,C1369,IF(H1369=0,"",""))))</f>
        <v/>
      </c>
      <c r="AF1369" s="911">
        <f>IF(E1369="YES",IF(I1369=1,C1369,""),IF(I1369=1,C1369,IF(I1369=2,C1369,IF(I1369=0,"",""))))</f>
        <v/>
      </c>
      <c r="AG1369" s="192">
        <f>(C1369*G1369)+(C1369*H1369)+(C1369*I1369)</f>
        <v/>
      </c>
    </row>
    <row r="1370">
      <c r="AB1370" s="640">
        <f>IF(G1370&gt;=1,IF(F1370&gt;1,C1370*(F1370-2),""),"")</f>
        <v/>
      </c>
      <c r="AD1370" s="911">
        <f>IF(E1370="YES",IF(G1370=1,"",""),IF(G1370=1,C1370,IF(G1370=2,C1370,IF(G1370=0,"",""))))</f>
        <v/>
      </c>
      <c r="AE1370" s="911">
        <f>IF(E1370="YES",IF(G1370=1,"",IF(H1370=1,C1370,"")),IF(H1370=1,C1370,IF(H1370=2,C1370,IF(H1370=0,"",""))))</f>
        <v/>
      </c>
      <c r="AF1370" s="911">
        <f>IF(E1370="YES",IF(I1370=1,C1370,""),IF(I1370=1,C1370,IF(I1370=2,C1370,IF(I1370=0,"",""))))</f>
        <v/>
      </c>
      <c r="AG1370" s="192">
        <f>(C1370*G1370)+(C1370*H1370)+(C1370*I1370)</f>
        <v/>
      </c>
    </row>
    <row r="1371">
      <c r="AB1371" s="640">
        <f>IF(G1371&gt;=1,IF(F1371&gt;1,C1371*(F1371-2),""),"")</f>
        <v/>
      </c>
      <c r="AD1371" s="911">
        <f>IF(E1371="YES",IF(G1371=1,"",""),IF(G1371=1,C1371,IF(G1371=2,C1371,IF(G1371=0,"",""))))</f>
        <v/>
      </c>
      <c r="AE1371" s="911">
        <f>IF(E1371="YES",IF(G1371=1,"",IF(H1371=1,C1371,"")),IF(H1371=1,C1371,IF(H1371=2,C1371,IF(H1371=0,"",""))))</f>
        <v/>
      </c>
      <c r="AF1371" s="911">
        <f>IF(E1371="YES",IF(I1371=1,C1371,""),IF(I1371=1,C1371,IF(I1371=2,C1371,IF(I1371=0,"",""))))</f>
        <v/>
      </c>
      <c r="AG1371" s="192">
        <f>(C1371*G1371)+(C1371*H1371)+(C1371*I1371)</f>
        <v/>
      </c>
    </row>
    <row r="1372">
      <c r="AB1372" s="640">
        <f>IF(G1372&gt;=1,IF(F1372&gt;1,C1372*(F1372-2),""),"")</f>
        <v/>
      </c>
      <c r="AD1372" s="911">
        <f>IF(E1372="YES",IF(G1372=1,"",""),IF(G1372=1,C1372,IF(G1372=2,C1372,IF(G1372=0,"",""))))</f>
        <v/>
      </c>
      <c r="AE1372" s="911">
        <f>IF(E1372="YES",IF(G1372=1,"",IF(H1372=1,C1372,"")),IF(H1372=1,C1372,IF(H1372=2,C1372,IF(H1372=0,"",""))))</f>
        <v/>
      </c>
      <c r="AF1372" s="911">
        <f>IF(E1372="YES",IF(I1372=1,C1372,""),IF(I1372=1,C1372,IF(I1372=2,C1372,IF(I1372=0,"",""))))</f>
        <v/>
      </c>
      <c r="AG1372" s="192">
        <f>(C1372*G1372)+(C1372*H1372)+(C1372*I1372)</f>
        <v/>
      </c>
    </row>
    <row r="1373">
      <c r="AB1373" s="640">
        <f>IF(G1373&gt;=1,IF(F1373&gt;1,C1373*(F1373-2),""),"")</f>
        <v/>
      </c>
      <c r="AD1373" s="911">
        <f>IF(E1373="YES",IF(G1373=1,"",""),IF(G1373=1,C1373,IF(G1373=2,C1373,IF(G1373=0,"",""))))</f>
        <v/>
      </c>
      <c r="AE1373" s="911">
        <f>IF(E1373="YES",IF(G1373=1,"",IF(H1373=1,C1373,"")),IF(H1373=1,C1373,IF(H1373=2,C1373,IF(H1373=0,"",""))))</f>
        <v/>
      </c>
      <c r="AF1373" s="911">
        <f>IF(E1373="YES",IF(I1373=1,C1373,""),IF(I1373=1,C1373,IF(I1373=2,C1373,IF(I1373=0,"",""))))</f>
        <v/>
      </c>
      <c r="AG1373" s="192">
        <f>(C1373*G1373)+(C1373*H1373)+(C1373*I1373)</f>
        <v/>
      </c>
    </row>
    <row r="1374">
      <c r="AB1374" s="640">
        <f>IF(G1374&gt;=1,IF(F1374&gt;1,C1374*(F1374-2),""),"")</f>
        <v/>
      </c>
      <c r="AD1374" s="911">
        <f>IF(E1374="YES",IF(G1374=1,"",""),IF(G1374=1,C1374,IF(G1374=2,C1374,IF(G1374=0,"",""))))</f>
        <v/>
      </c>
      <c r="AE1374" s="911">
        <f>IF(E1374="YES",IF(G1374=1,"",IF(H1374=1,C1374,"")),IF(H1374=1,C1374,IF(H1374=2,C1374,IF(H1374=0,"",""))))</f>
        <v/>
      </c>
      <c r="AF1374" s="911">
        <f>IF(E1374="YES",IF(I1374=1,C1374,""),IF(I1374=1,C1374,IF(I1374=2,C1374,IF(I1374=0,"",""))))</f>
        <v/>
      </c>
      <c r="AG1374" s="192">
        <f>(C1374*G1374)+(C1374*H1374)+(C1374*I1374)</f>
        <v/>
      </c>
    </row>
    <row r="1375">
      <c r="AB1375" s="640">
        <f>IF(G1375&gt;=1,IF(F1375&gt;1,C1375*(F1375-2),""),"")</f>
        <v/>
      </c>
      <c r="AD1375" s="911">
        <f>IF(E1375="YES",IF(G1375=1,"",""),IF(G1375=1,C1375,IF(G1375=2,C1375,IF(G1375=0,"",""))))</f>
        <v/>
      </c>
      <c r="AE1375" s="911">
        <f>IF(E1375="YES",IF(G1375=1,"",IF(H1375=1,C1375,"")),IF(H1375=1,C1375,IF(H1375=2,C1375,IF(H1375=0,"",""))))</f>
        <v/>
      </c>
      <c r="AF1375" s="911">
        <f>IF(E1375="YES",IF(I1375=1,C1375,""),IF(I1375=1,C1375,IF(I1375=2,C1375,IF(I1375=0,"",""))))</f>
        <v/>
      </c>
      <c r="AG1375" s="192">
        <f>(C1375*G1375)+(C1375*H1375)+(C1375*I1375)</f>
        <v/>
      </c>
    </row>
    <row r="1376">
      <c r="AB1376" s="640">
        <f>IF(G1376&gt;=1,IF(F1376&gt;1,C1376*(F1376-2),""),"")</f>
        <v/>
      </c>
      <c r="AD1376" s="911">
        <f>IF(E1376="YES",IF(G1376=1,"",""),IF(G1376=1,C1376,IF(G1376=2,C1376,IF(G1376=0,"",""))))</f>
        <v/>
      </c>
      <c r="AE1376" s="911">
        <f>IF(E1376="YES",IF(G1376=1,"",IF(H1376=1,C1376,"")),IF(H1376=1,C1376,IF(H1376=2,C1376,IF(H1376=0,"",""))))</f>
        <v/>
      </c>
      <c r="AF1376" s="911">
        <f>IF(E1376="YES",IF(I1376=1,C1376,""),IF(I1376=1,C1376,IF(I1376=2,C1376,IF(I1376=0,"",""))))</f>
        <v/>
      </c>
      <c r="AG1376" s="192">
        <f>(C1376*G1376)+(C1376*H1376)+(C1376*I1376)</f>
        <v/>
      </c>
    </row>
    <row r="1377">
      <c r="AB1377" s="640">
        <f>IF(G1377&gt;=1,IF(F1377&gt;1,C1377*(F1377-2),""),"")</f>
        <v/>
      </c>
      <c r="AD1377" s="911">
        <f>IF(E1377="YES",IF(G1377=1,"",""),IF(G1377=1,C1377,IF(G1377=2,C1377,IF(G1377=0,"",""))))</f>
        <v/>
      </c>
      <c r="AE1377" s="911">
        <f>IF(E1377="YES",IF(G1377=1,"",IF(H1377=1,C1377,"")),IF(H1377=1,C1377,IF(H1377=2,C1377,IF(H1377=0,"",""))))</f>
        <v/>
      </c>
      <c r="AF1377" s="911">
        <f>IF(E1377="YES",IF(I1377=1,C1377,""),IF(I1377=1,C1377,IF(I1377=2,C1377,IF(I1377=0,"",""))))</f>
        <v/>
      </c>
      <c r="AG1377" s="192">
        <f>(C1377*G1377)+(C1377*H1377)+(C1377*I1377)</f>
        <v/>
      </c>
    </row>
    <row r="1378">
      <c r="AB1378" s="640">
        <f>IF(G1378&gt;=1,IF(F1378&gt;1,C1378*(F1378-2),""),"")</f>
        <v/>
      </c>
      <c r="AD1378" s="911">
        <f>IF(E1378="YES",IF(G1378=1,"",""),IF(G1378=1,C1378,IF(G1378=2,C1378,IF(G1378=0,"",""))))</f>
        <v/>
      </c>
      <c r="AE1378" s="911">
        <f>IF(E1378="YES",IF(G1378=1,"",IF(H1378=1,C1378,"")),IF(H1378=1,C1378,IF(H1378=2,C1378,IF(H1378=0,"",""))))</f>
        <v/>
      </c>
      <c r="AF1378" s="911">
        <f>IF(E1378="YES",IF(I1378=1,C1378,""),IF(I1378=1,C1378,IF(I1378=2,C1378,IF(I1378=0,"",""))))</f>
        <v/>
      </c>
      <c r="AG1378" s="192">
        <f>(C1378*G1378)+(C1378*H1378)+(C1378*I1378)</f>
        <v/>
      </c>
    </row>
    <row r="1379">
      <c r="AB1379" s="640">
        <f>IF(G1379&gt;=1,IF(F1379&gt;1,C1379*(F1379-2),""),"")</f>
        <v/>
      </c>
      <c r="AD1379" s="911">
        <f>IF(E1379="YES",IF(G1379=1,"",""),IF(G1379=1,C1379,IF(G1379=2,C1379,IF(G1379=0,"",""))))</f>
        <v/>
      </c>
      <c r="AE1379" s="911">
        <f>IF(E1379="YES",IF(G1379=1,"",IF(H1379=1,C1379,"")),IF(H1379=1,C1379,IF(H1379=2,C1379,IF(H1379=0,"",""))))</f>
        <v/>
      </c>
      <c r="AF1379" s="911">
        <f>IF(E1379="YES",IF(I1379=1,C1379,""),IF(I1379=1,C1379,IF(I1379=2,C1379,IF(I1379=0,"",""))))</f>
        <v/>
      </c>
      <c r="AG1379" s="192">
        <f>(C1379*G1379)+(C1379*H1379)+(C1379*I1379)</f>
        <v/>
      </c>
    </row>
    <row r="1380">
      <c r="AB1380" s="640">
        <f>IF(G1380&gt;=1,IF(F1380&gt;1,C1380*(F1380-2),""),"")</f>
        <v/>
      </c>
      <c r="AD1380" s="911">
        <f>IF(E1380="YES",IF(G1380=1,"",""),IF(G1380=1,C1380,IF(G1380=2,C1380,IF(G1380=0,"",""))))</f>
        <v/>
      </c>
      <c r="AE1380" s="911">
        <f>IF(E1380="YES",IF(G1380=1,"",IF(H1380=1,C1380,"")),IF(H1380=1,C1380,IF(H1380=2,C1380,IF(H1380=0,"",""))))</f>
        <v/>
      </c>
      <c r="AF1380" s="911">
        <f>IF(E1380="YES",IF(I1380=1,C1380,""),IF(I1380=1,C1380,IF(I1380=2,C1380,IF(I1380=0,"",""))))</f>
        <v/>
      </c>
      <c r="AG1380" s="192">
        <f>(C1380*G1380)+(C1380*H1380)+(C1380*I1380)</f>
        <v/>
      </c>
    </row>
    <row r="1381">
      <c r="AB1381" s="640">
        <f>IF(G1381&gt;=1,IF(F1381&gt;1,C1381*(F1381-2),""),"")</f>
        <v/>
      </c>
      <c r="AD1381" s="911">
        <f>IF(E1381="YES",IF(G1381=1,"",""),IF(G1381=1,C1381,IF(G1381=2,C1381,IF(G1381=0,"",""))))</f>
        <v/>
      </c>
      <c r="AE1381" s="911">
        <f>IF(E1381="YES",IF(G1381=1,"",IF(H1381=1,C1381,"")),IF(H1381=1,C1381,IF(H1381=2,C1381,IF(H1381=0,"",""))))</f>
        <v/>
      </c>
      <c r="AF1381" s="911">
        <f>IF(E1381="YES",IF(I1381=1,C1381,""),IF(I1381=1,C1381,IF(I1381=2,C1381,IF(I1381=0,"",""))))</f>
        <v/>
      </c>
      <c r="AG1381" s="192">
        <f>(C1381*G1381)+(C1381*H1381)+(C1381*I1381)</f>
        <v/>
      </c>
    </row>
    <row r="1382">
      <c r="AD1382" s="911">
        <f>IF(E1382="YES",IF(G1382=1,"",""),IF(G1382=1,C1382,IF(G1382=2,C1382,IF(G1382=0,"",""))))</f>
        <v/>
      </c>
      <c r="AE1382" s="911">
        <f>IF(E1382="YES",IF(G1382=1,"",IF(H1382=1,C1382,"")),IF(H1382=1,C1382,IF(H1382=2,C1382,IF(H1382=0,"",""))))</f>
        <v/>
      </c>
      <c r="AF1382" s="911">
        <f>IF(E1382="YES",IF(I1382=1,C1382,""),IF(I1382=1,C1382,IF(I1382=2,C1382,IF(I1382=0,"",""))))</f>
        <v/>
      </c>
      <c r="AG1382" s="192">
        <f>(C1382*G1382)+(C1382*H1382)+(C1382*I1382)</f>
        <v/>
      </c>
    </row>
    <row r="1383">
      <c r="AD1383" s="911">
        <f>IF(E1383="YES",IF(G1383=1,"",""),IF(G1383=1,C1383,IF(G1383=2,C1383,IF(G1383=0,"",""))))</f>
        <v/>
      </c>
      <c r="AE1383" s="911">
        <f>IF(E1383="YES",IF(G1383=1,"",IF(H1383=1,C1383,"")),IF(H1383=1,C1383,IF(H1383=2,C1383,IF(H1383=0,"",""))))</f>
        <v/>
      </c>
      <c r="AF1383" s="911">
        <f>IF(E1383="YES",IF(I1383=1,C1383,""),IF(I1383=1,C1383,IF(I1383=2,C1383,IF(I1383=0,"",""))))</f>
        <v/>
      </c>
      <c r="AG1383" s="192">
        <f>(C1383*G1383)+(C1383*H1383)+(C1383*I1383)</f>
        <v/>
      </c>
    </row>
    <row r="1384">
      <c r="AD1384" s="911">
        <f>IF(E1384="YES",IF(G1384=1,"",""),IF(G1384=1,C1384,IF(G1384=2,C1384,IF(G1384=0,"",""))))</f>
        <v/>
      </c>
      <c r="AE1384" s="911">
        <f>IF(E1384="YES",IF(G1384=1,"",IF(H1384=1,C1384,"")),IF(H1384=1,C1384,IF(H1384=2,C1384,IF(H1384=0,"",""))))</f>
        <v/>
      </c>
      <c r="AF1384" s="911">
        <f>IF(E1384="YES",IF(I1384=1,C1384,""),IF(I1384=1,C1384,IF(I1384=2,C1384,IF(I1384=0,"",""))))</f>
        <v/>
      </c>
    </row>
    <row r="1385">
      <c r="AD1385" s="911">
        <f>IF(E1385="YES",IF(G1385=1,"",""),IF(G1385=1,C1385,IF(G1385=2,C1385,IF(G1385=0,"",""))))</f>
        <v/>
      </c>
      <c r="AE1385" s="911">
        <f>IF(E1385="YES",IF(G1385=1,"",IF(H1385=1,C1385,"")),IF(H1385=1,C1385,IF(H1385=2,C1385,IF(H1385=0,"",""))))</f>
        <v/>
      </c>
      <c r="AF1385" s="911">
        <f>IF(E1385="YES",IF(I1385=1,C1385,""),IF(I1385=1,C1385,IF(I1385=2,C1385,IF(I1385=0,"",""))))</f>
        <v/>
      </c>
    </row>
    <row r="1386">
      <c r="AD1386" s="911">
        <f>IF(E1386="YES",IF(G1386=1,"",""),IF(G1386=1,C1386,IF(G1386=2,C1386,IF(G1386=0,"",""))))</f>
        <v/>
      </c>
      <c r="AE1386" s="911">
        <f>IF(E1386="YES",IF(G1386=1,"",IF(H1386=1,C1386,"")),IF(H1386=1,C1386,IF(H1386=2,C1386,IF(H1386=0,"",""))))</f>
        <v/>
      </c>
      <c r="AF1386" s="911">
        <f>IF(E1386="YES",IF(I1386=1,C1386,""),IF(I1386=1,C1386,IF(I1386=2,C1386,IF(I1386=0,"",""))))</f>
        <v/>
      </c>
    </row>
    <row r="1387">
      <c r="AD1387" s="911">
        <f>IF(E1387="YES",IF(G1387=1,"",""),IF(G1387=1,C1387,IF(G1387=2,C1387,IF(G1387=0,"",""))))</f>
        <v/>
      </c>
      <c r="AE1387" s="911">
        <f>IF(E1387="YES",IF(G1387=1,"",IF(H1387=1,C1387,"")),IF(H1387=1,C1387,IF(H1387=2,C1387,IF(H1387=0,"",""))))</f>
        <v/>
      </c>
      <c r="AF1387" s="911">
        <f>IF(E1387="YES",IF(I1387=1,C1387,""),IF(I1387=1,C1387,IF(I1387=2,C1387,IF(I1387=0,"",""))))</f>
        <v/>
      </c>
    </row>
    <row r="1388">
      <c r="AD1388" s="911">
        <f>IF(E1388="YES",IF(G1388=1,"",""),IF(G1388=1,C1388,IF(G1388=2,C1388,IF(G1388=0,"",""))))</f>
        <v/>
      </c>
      <c r="AE1388" s="911">
        <f>IF(E1388="YES",IF(G1388=1,"",IF(H1388=1,C1388,"")),IF(H1388=1,C1388,IF(H1388=2,C1388,IF(H1388=0,"",""))))</f>
        <v/>
      </c>
      <c r="AF1388" s="911">
        <f>IF(E1388="YES",IF(I1388=1,C1388,""),IF(I1388=1,C1388,IF(I1388=2,C1388,IF(I1388=0,"",""))))</f>
        <v/>
      </c>
    </row>
    <row r="1389">
      <c r="AD1389" s="911">
        <f>IF(E1389="YES",IF(G1389=1,"",""),IF(G1389=1,C1389,IF(G1389=2,C1389,IF(G1389=0,"",""))))</f>
        <v/>
      </c>
      <c r="AE1389" s="911">
        <f>IF(E1389="YES",IF(G1389=1,"",IF(H1389=1,C1389,"")),IF(H1389=1,C1389,IF(H1389=2,C1389,IF(H1389=0,"",""))))</f>
        <v/>
      </c>
      <c r="AF1389" s="911">
        <f>IF(E1389="YES",IF(I1389=1,C1389,""),IF(I1389=1,C1389,IF(I1389=2,C1389,IF(I1389=0,"",""))))</f>
        <v/>
      </c>
    </row>
    <row r="1390">
      <c r="AD1390" s="911">
        <f>IF(E1390="YES",IF(G1390=1,"",""),IF(G1390=1,C1390,IF(G1390=2,C1390,IF(G1390=0,"",""))))</f>
        <v/>
      </c>
      <c r="AE1390" s="911">
        <f>IF(E1390="YES",IF(G1390=1,"",IF(H1390=1,C1390,"")),IF(H1390=1,C1390,IF(H1390=2,C1390,IF(H1390=0,"",""))))</f>
        <v/>
      </c>
      <c r="AF1390" s="911">
        <f>IF(E1390="YES",IF(I1390=1,C1390,""),IF(I1390=1,C1390,IF(I1390=2,C1390,IF(I1390=0,"",""))))</f>
        <v/>
      </c>
    </row>
    <row r="1391">
      <c r="AD1391" s="911">
        <f>IF(E1391="YES",IF(G1391=1,"",""),IF(G1391=1,C1391,IF(G1391=2,C1391,IF(G1391=0,"",""))))</f>
        <v/>
      </c>
      <c r="AE1391" s="911">
        <f>IF(E1391="YES",IF(G1391=1,"",IF(H1391=1,C1391,"")),IF(H1391=1,C1391,IF(H1391=2,C1391,IF(H1391=0,"",""))))</f>
        <v/>
      </c>
      <c r="AF1391" s="911">
        <f>IF(E1391="YES",IF(I1391=1,C1391,""),IF(I1391=1,C1391,IF(I1391=2,C1391,IF(I1391=0,"",""))))</f>
        <v/>
      </c>
    </row>
  </sheetData>
  <mergeCells count="3">
    <mergeCell ref="Q1:R1"/>
    <mergeCell ref="Q5:Y5"/>
    <mergeCell ref="C2:D2"/>
  </mergeCells>
  <dataValidations count="9">
    <dataValidation sqref="G273:H1398" showDropDown="0" showInputMessage="1" showErrorMessage="1" allowBlank="1" type="list">
      <formula1>"0,1,2"</formula1>
    </dataValidation>
    <dataValidation sqref="I7:I1398" showDropDown="0" showInputMessage="1" showErrorMessage="1" allowBlank="1" type="list">
      <formula1>"0,1"</formula1>
    </dataValidation>
    <dataValidation sqref="E7:E1261" showDropDown="0" showInputMessage="1" showErrorMessage="1" allowBlank="1" type="list">
      <formula1>"yes, no"</formula1>
    </dataValidation>
    <dataValidation sqref="D7:D1315" showDropDown="0" showInputMessage="1" showErrorMessage="1" allowBlank="1" type="list">
      <formula1>"2"",4"""</formula1>
    </dataValidation>
    <dataValidation sqref="G7:G18" showDropDown="0" showInputMessage="1" showErrorMessage="1" allowBlank="1" type="list">
      <formula1>"0,1,2,3,4,5,6"</formula1>
    </dataValidation>
    <dataValidation sqref="A7:A115" showDropDown="0" showInputMessage="1" showErrorMessage="1" allowBlank="1" errorTitle="SP-" error="SP- IS MISSING" type="custom" errorStyle="warning">
      <formula1>ISNUMBER(FIND("SP-",A7))</formula1>
    </dataValidation>
    <dataValidation sqref="H7:H26" showDropDown="0" showInputMessage="1" showErrorMessage="1" allowBlank="1" type="list">
      <formula1>"1,2"</formula1>
    </dataValidation>
    <dataValidation sqref="G19:G115" showDropDown="0" showInputMessage="1" showErrorMessage="1" allowBlank="1" type="list">
      <formula1>"0,1,2,3,4"</formula1>
    </dataValidation>
    <dataValidation sqref="G136:H272" showDropDown="0" showInputMessage="1" showErrorMessage="1" allowBlank="1" type="list">
      <formula1>$CA$2:$CA$4</formula1>
    </dataValidation>
  </dataValidations>
  <pageMargins left="0.7" right="0.7" top="0.75" bottom="0.75" header="0.3" footer="0.3"/>
  <pageSetup orientation="portrait"/>
  <legacyDrawing xmlns:r="http://schemas.openxmlformats.org/officeDocument/2006/relationships" r:id="anysvml"/>
</worksheet>
</file>

<file path=xl/worksheets/sheet8.xml><?xml version="1.0" encoding="utf-8"?>
<worksheet xmlns="http://schemas.openxmlformats.org/spreadsheetml/2006/main">
  <sheetPr codeName="Sheet9">
    <outlinePr summaryBelow="1" summaryRight="1"/>
    <pageSetUpPr fitToPage="1"/>
  </sheetPr>
  <dimension ref="A1:K1513"/>
  <sheetViews>
    <sheetView zoomScale="80" zoomScaleNormal="80" workbookViewId="0">
      <pane ySplit="1" topLeftCell="A2" activePane="bottomLeft" state="frozen"/>
      <selection pane="bottomLeft" activeCell="J2" sqref="J2"/>
    </sheetView>
  </sheetViews>
  <sheetFormatPr baseColWidth="8" defaultColWidth="9.140625" defaultRowHeight="15"/>
  <cols>
    <col width="24.7109375" customWidth="1" style="192" min="1" max="1"/>
    <col width="11.42578125" bestFit="1" customWidth="1" style="192" min="2" max="2"/>
    <col width="13.140625" bestFit="1" customWidth="1" style="192" min="3" max="3"/>
    <col width="15.7109375" bestFit="1" customWidth="1" style="192" min="4" max="4"/>
    <col width="14.42578125" customWidth="1" style="192" min="5" max="5"/>
    <col width="11.28515625" customWidth="1" style="192" min="6" max="6"/>
    <col width="11.7109375" customWidth="1" style="192" min="7" max="7"/>
    <col width="14.28515625" customWidth="1" style="547" min="8" max="8"/>
    <col width="26.5703125" customWidth="1" style="558" min="9" max="9"/>
  </cols>
  <sheetData>
    <row r="1" ht="73.5" customHeight="1" thickBot="1" thickTop="1">
      <c r="A1" s="544" t="inlineStr">
        <is>
          <t>FULL ADDRESS 
(Upper Case)</t>
        </is>
      </c>
      <c r="B1" s="544" t="inlineStr">
        <is>
          <t>CITY</t>
        </is>
      </c>
      <c r="C1" s="544" t="inlineStr">
        <is>
          <t>STATE</t>
        </is>
      </c>
      <c r="D1" s="544" t="inlineStr">
        <is>
          <t>ZIP CODE</t>
        </is>
      </c>
      <c r="E1" s="544" t="inlineStr">
        <is>
          <t>Unit Number</t>
        </is>
      </c>
      <c r="F1" s="544" t="inlineStr">
        <is>
          <t>HOUSE TYPE</t>
        </is>
      </c>
      <c r="G1" s="544" t="inlineStr">
        <is>
          <t>Drop Type</t>
        </is>
      </c>
      <c r="H1" s="563" t="inlineStr">
        <is>
          <t>Servicable (Y/N)</t>
        </is>
      </c>
      <c r="I1" s="563" t="inlineStr">
        <is>
          <t>Serviceability Notes</t>
        </is>
      </c>
      <c r="J1" s="192" t="inlineStr">
        <is>
          <t>RES</t>
        </is>
      </c>
      <c r="K1" s="192" t="inlineStr">
        <is>
          <t>BUS</t>
        </is>
      </c>
    </row>
    <row r="2" ht="15.75" customHeight="1" thickTop="1">
      <c r="A2" s="109" t="inlineStr">
        <is>
          <t>5717 ACCIPITER CT</t>
        </is>
      </c>
      <c r="B2" s="109" t="inlineStr">
        <is>
          <t>GENERIC_CITY</t>
        </is>
      </c>
      <c r="C2" s="109" t="inlineStr">
        <is>
          <t>GENERIC_STATE</t>
        </is>
      </c>
      <c r="D2" s="109" t="inlineStr">
        <is>
          <t>00000</t>
        </is>
      </c>
      <c r="E2" s="109" t="n"/>
      <c r="F2" s="109" t="n"/>
      <c r="G2" s="109" t="n"/>
      <c r="H2" s="109" t="inlineStr">
        <is>
          <t>Y</t>
        </is>
      </c>
      <c r="I2" s="68" t="n"/>
      <c r="J2">
        <f>IF('House Count'!H2="Y",IF('House Count'!F2="RES-SFU",1,IF('House Count'!F2="RES-MDU",1,IF('House Count'!F2="RES-HOA",1,0))),0)</f>
        <v/>
      </c>
      <c r="K2">
        <f>IF('House Count'!H2="Y",IF('House Count'!F2="COMM-SU",1,IF('House Count'!F2="COM-MTU",1,IF('House Count'!F2="ENT",1,0))),0)</f>
        <v/>
      </c>
    </row>
    <row r="3">
      <c r="A3" s="109" t="inlineStr">
        <is>
          <t>5720 ACCIPITER CT</t>
        </is>
      </c>
      <c r="B3" s="109" t="inlineStr">
        <is>
          <t>GENERIC_CITY</t>
        </is>
      </c>
      <c r="C3" s="109" t="inlineStr">
        <is>
          <t>GENERIC_STATE</t>
        </is>
      </c>
      <c r="D3" s="109" t="inlineStr">
        <is>
          <t>00000</t>
        </is>
      </c>
      <c r="E3" s="109" t="n"/>
      <c r="F3" s="109" t="n"/>
      <c r="G3" s="109" t="n"/>
      <c r="H3" s="109" t="inlineStr">
        <is>
          <t>Y</t>
        </is>
      </c>
      <c r="I3" s="68" t="n"/>
      <c r="J3">
        <f>IF('House Count'!H3="Y",IF('House Count'!F3="RES-SFU",1,IF('House Count'!F3="RES-MDU",1,IF('House Count'!F3="RES-HOA",1,0))),0)</f>
        <v/>
      </c>
      <c r="K3">
        <f>IF('House Count'!H3="Y",IF('House Count'!F3="COMM-SU",1,IF('House Count'!F3="COM-MTU",1,IF('House Count'!F3="ENT",1,0))),0)</f>
        <v/>
      </c>
    </row>
    <row r="4">
      <c r="A4" s="109" t="inlineStr">
        <is>
          <t>5712 ACCIPITER CT</t>
        </is>
      </c>
      <c r="B4" s="109" t="inlineStr">
        <is>
          <t>GENERIC_CITY</t>
        </is>
      </c>
      <c r="C4" s="109" t="inlineStr">
        <is>
          <t>GENERIC_STATE</t>
        </is>
      </c>
      <c r="D4" s="109" t="inlineStr">
        <is>
          <t>00000</t>
        </is>
      </c>
      <c r="E4" s="109" t="n"/>
      <c r="F4" s="109" t="n"/>
      <c r="G4" s="109" t="n"/>
      <c r="H4" s="109" t="inlineStr">
        <is>
          <t>Y</t>
        </is>
      </c>
      <c r="I4" s="68" t="n"/>
      <c r="J4">
        <f>IF('House Count'!H4="Y",IF('House Count'!F4="RES-SFU",1,IF('House Count'!F4="RES-MDU",1,IF('House Count'!F4="RES-HOA",1,0))),0)</f>
        <v/>
      </c>
      <c r="K4">
        <f>IF('House Count'!H4="Y",IF('House Count'!F4="COMM-SU",1,IF('House Count'!F4="COM-MTU",1,IF('House Count'!F4="ENT",1,0))),0)</f>
        <v/>
      </c>
    </row>
    <row r="5">
      <c r="A5" s="109" t="inlineStr">
        <is>
          <t>5708 ACCIPITER CT</t>
        </is>
      </c>
      <c r="B5" s="109" t="inlineStr">
        <is>
          <t>GENERIC_CITY</t>
        </is>
      </c>
      <c r="C5" s="109" t="inlineStr">
        <is>
          <t>GENERIC_STATE</t>
        </is>
      </c>
      <c r="D5" s="109" t="inlineStr">
        <is>
          <t>00000</t>
        </is>
      </c>
      <c r="E5" s="109" t="n"/>
      <c r="F5" s="109" t="n"/>
      <c r="G5" s="109" t="n"/>
      <c r="H5" s="109" t="inlineStr">
        <is>
          <t>Y</t>
        </is>
      </c>
      <c r="I5" s="68" t="n"/>
      <c r="J5">
        <f>IF('House Count'!H5="Y",IF('House Count'!F5="RES-SFU",1,IF('House Count'!F5="RES-MDU",1,IF('House Count'!F5="RES-HOA",1,0))),0)</f>
        <v/>
      </c>
      <c r="K5">
        <f>IF('House Count'!H5="Y",IF('House Count'!F5="COMM-SU",1,IF('House Count'!F5="COM-MTU",1,IF('House Count'!F5="ENT",1,0))),0)</f>
        <v/>
      </c>
    </row>
    <row r="6">
      <c r="A6" s="109" t="inlineStr">
        <is>
          <t>5709 ACCIPITER CT</t>
        </is>
      </c>
      <c r="B6" s="109" t="inlineStr">
        <is>
          <t>GENERIC_CITY</t>
        </is>
      </c>
      <c r="C6" s="109" t="inlineStr">
        <is>
          <t>GENERIC_STATE</t>
        </is>
      </c>
      <c r="D6" s="109" t="inlineStr">
        <is>
          <t>00000</t>
        </is>
      </c>
      <c r="E6" s="109" t="n"/>
      <c r="F6" s="109" t="n"/>
      <c r="G6" s="109" t="n"/>
      <c r="H6" s="109" t="inlineStr">
        <is>
          <t>Y</t>
        </is>
      </c>
      <c r="I6" s="68" t="n"/>
      <c r="J6">
        <f>IF('House Count'!H6="Y",IF('House Count'!F6="RES-SFU",1,IF('House Count'!F6="RES-MDU",1,IF('House Count'!F6="RES-HOA",1,0))),0)</f>
        <v/>
      </c>
      <c r="K6">
        <f>IF('House Count'!H6="Y",IF('House Count'!F6="COMM-SU",1,IF('House Count'!F6="COM-MTU",1,IF('House Count'!F6="ENT",1,0))),0)</f>
        <v/>
      </c>
    </row>
    <row r="7">
      <c r="A7" s="109" t="inlineStr">
        <is>
          <t>5705 ACCIPITER CT</t>
        </is>
      </c>
      <c r="B7" s="109" t="inlineStr">
        <is>
          <t>GENERIC_CITY</t>
        </is>
      </c>
      <c r="C7" s="109" t="inlineStr">
        <is>
          <t>GENERIC_STATE</t>
        </is>
      </c>
      <c r="D7" s="109" t="inlineStr">
        <is>
          <t>00000</t>
        </is>
      </c>
      <c r="E7" s="109" t="n"/>
      <c r="F7" s="109" t="n"/>
      <c r="G7" s="109" t="n"/>
      <c r="H7" s="109" t="inlineStr">
        <is>
          <t>Y</t>
        </is>
      </c>
      <c r="I7" s="68" t="n"/>
      <c r="J7">
        <f>IF('House Count'!H7="Y",IF('House Count'!F7="RES-SFU",1,IF('House Count'!F7="RES-MDU",1,IF('House Count'!F7="RES-HOA",1,0))),0)</f>
        <v/>
      </c>
      <c r="K7">
        <f>IF('House Count'!H7="Y",IF('House Count'!F7="COMM-SU",1,IF('House Count'!F7="COM-MTU",1,IF('House Count'!F7="ENT",1,0))),0)</f>
        <v/>
      </c>
    </row>
    <row r="8">
      <c r="A8" s="109" t="inlineStr">
        <is>
          <t>5701 ACCIPITER CT</t>
        </is>
      </c>
      <c r="B8" s="109" t="inlineStr">
        <is>
          <t>GENERIC_CITY</t>
        </is>
      </c>
      <c r="C8" s="109" t="inlineStr">
        <is>
          <t>GENERIC_STATE</t>
        </is>
      </c>
      <c r="D8" s="109" t="inlineStr">
        <is>
          <t>00000</t>
        </is>
      </c>
      <c r="E8" s="109" t="n"/>
      <c r="F8" s="109" t="n"/>
      <c r="G8" s="109" t="n"/>
      <c r="H8" s="109" t="inlineStr">
        <is>
          <t>Y</t>
        </is>
      </c>
      <c r="I8" s="68" t="n"/>
      <c r="J8">
        <f>IF('House Count'!H8="Y",IF('House Count'!F8="RES-SFU",1,IF('House Count'!F8="RES-MDU",1,IF('House Count'!F8="RES-HOA",1,0))),0)</f>
        <v/>
      </c>
      <c r="K8">
        <f>IF('House Count'!H8="Y",IF('House Count'!F8="COMM-SU",1,IF('House Count'!F8="COM-MTU",1,IF('House Count'!F8="ENT",1,0))),0)</f>
        <v/>
      </c>
    </row>
    <row r="9">
      <c r="A9" s="109" t="inlineStr">
        <is>
          <t>5700 ACCIPITER CT</t>
        </is>
      </c>
      <c r="B9" s="109" t="inlineStr">
        <is>
          <t>GENERIC_CITY</t>
        </is>
      </c>
      <c r="C9" s="109" t="inlineStr">
        <is>
          <t>GENERIC_STATE</t>
        </is>
      </c>
      <c r="D9" s="109" t="inlineStr">
        <is>
          <t>00000</t>
        </is>
      </c>
      <c r="E9" s="109" t="n"/>
      <c r="F9" s="109" t="n"/>
      <c r="G9" s="109" t="n"/>
      <c r="H9" s="109" t="inlineStr">
        <is>
          <t>Y</t>
        </is>
      </c>
      <c r="I9" s="68" t="n"/>
      <c r="J9">
        <f>IF('House Count'!H9="Y",IF('House Count'!F9="RES-SFU",1,IF('House Count'!F9="RES-MDU",1,IF('House Count'!F9="RES-HOA",1,0))),0)</f>
        <v/>
      </c>
      <c r="K9">
        <f>IF('House Count'!H9="Y",IF('House Count'!F9="COMM-SU",1,IF('House Count'!F9="COM-MTU",1,IF('House Count'!F9="ENT",1,0))),0)</f>
        <v/>
      </c>
    </row>
    <row r="10">
      <c r="A10" s="109" t="inlineStr">
        <is>
          <t>5704 ACCIPITER CT</t>
        </is>
      </c>
      <c r="B10" s="109" t="inlineStr">
        <is>
          <t>GENERIC_CITY</t>
        </is>
      </c>
      <c r="C10" s="109" t="inlineStr">
        <is>
          <t>GENERIC_STATE</t>
        </is>
      </c>
      <c r="D10" s="109" t="inlineStr">
        <is>
          <t>00000</t>
        </is>
      </c>
      <c r="E10" s="109" t="n"/>
      <c r="F10" s="109" t="n"/>
      <c r="G10" s="109" t="n"/>
      <c r="H10" s="109" t="inlineStr">
        <is>
          <t>Y</t>
        </is>
      </c>
      <c r="I10" s="68" t="n"/>
      <c r="J10">
        <f>IF('House Count'!H10="Y",IF('House Count'!F10="RES-SFU",1,IF('House Count'!F10="RES-MDU",1,IF('House Count'!F10="RES-HOA",1,0))),0)</f>
        <v/>
      </c>
      <c r="K10">
        <f>IF('House Count'!H10="Y",IF('House Count'!F10="COMM-SU",1,IF('House Count'!F10="COM-MTU",1,IF('House Count'!F10="ENT",1,0))),0)</f>
        <v/>
      </c>
    </row>
    <row r="11">
      <c r="A11" s="109" t="inlineStr">
        <is>
          <t>6829 OLD MILLS RD</t>
        </is>
      </c>
      <c r="B11" s="109" t="inlineStr">
        <is>
          <t>GENERIC_CITY</t>
        </is>
      </c>
      <c r="C11" s="109" t="inlineStr">
        <is>
          <t>GENERIC_STATE</t>
        </is>
      </c>
      <c r="D11" s="109" t="inlineStr">
        <is>
          <t>00000</t>
        </is>
      </c>
      <c r="E11" s="109" t="n"/>
      <c r="F11" s="109" t="n"/>
      <c r="G11" s="109" t="n"/>
      <c r="H11" s="109" t="inlineStr">
        <is>
          <t>Y</t>
        </is>
      </c>
      <c r="I11" s="68" t="n"/>
      <c r="J11">
        <f>IF('House Count'!H11="Y",IF('House Count'!F11="RES-SFU",1,IF('House Count'!F11="RES-MDU",1,IF('House Count'!F11="RES-HOA",1,0))),0)</f>
        <v/>
      </c>
      <c r="K11">
        <f>IF('House Count'!H11="Y",IF('House Count'!F11="COMM-SU",1,IF('House Count'!F11="COM-MTU",1,IF('House Count'!F11="ENT",1,0))),0)</f>
        <v/>
      </c>
    </row>
    <row r="12">
      <c r="A12" s="109" t="inlineStr">
        <is>
          <t>6901 OLD MILLS RD</t>
        </is>
      </c>
      <c r="B12" s="109" t="inlineStr">
        <is>
          <t>GENERIC_CITY</t>
        </is>
      </c>
      <c r="C12" s="109" t="inlineStr">
        <is>
          <t>GENERIC_STATE</t>
        </is>
      </c>
      <c r="D12" s="109" t="inlineStr">
        <is>
          <t>00000</t>
        </is>
      </c>
      <c r="E12" s="109" t="n"/>
      <c r="F12" s="109" t="n"/>
      <c r="G12" s="109" t="n"/>
      <c r="H12" s="109" t="inlineStr">
        <is>
          <t>Y</t>
        </is>
      </c>
      <c r="I12" s="68" t="n"/>
      <c r="J12">
        <f>IF('House Count'!H12="Y",IF('House Count'!F12="RES-SFU",1,IF('House Count'!F12="RES-MDU",1,IF('House Count'!F12="RES-HOA",1,0))),0)</f>
        <v/>
      </c>
      <c r="K12">
        <f>IF('House Count'!H12="Y",IF('House Count'!F12="COMM-SU",1,IF('House Count'!F12="COM-MTU",1,IF('House Count'!F12="ENT",1,0))),0)</f>
        <v/>
      </c>
    </row>
    <row r="13" ht="15.75" customHeight="1" thickBot="1">
      <c r="A13" s="545" t="inlineStr">
        <is>
          <t>6905 OLD MILLS RD</t>
        </is>
      </c>
      <c r="B13" s="545" t="inlineStr">
        <is>
          <t>GENERIC_CITY</t>
        </is>
      </c>
      <c r="C13" s="545" t="inlineStr">
        <is>
          <t>GENERIC_STATE</t>
        </is>
      </c>
      <c r="D13" s="545" t="inlineStr">
        <is>
          <t>00000</t>
        </is>
      </c>
      <c r="E13" s="545" t="n"/>
      <c r="F13" s="545" t="n"/>
      <c r="G13" s="545" t="n"/>
      <c r="H13" s="545" t="inlineStr">
        <is>
          <t>Y</t>
        </is>
      </c>
      <c r="I13" s="546" t="n"/>
      <c r="J13">
        <f>IF('House Count'!H13="Y",IF('House Count'!F13="RES-SFU",1,IF('House Count'!F13="RES-MDU",1,IF('House Count'!F13="RES-HOA",1,0))),0)</f>
        <v/>
      </c>
      <c r="K13">
        <f>IF('House Count'!H13="Y",IF('House Count'!F13="COMM-SU",1,IF('House Count'!F13="COM-MTU",1,IF('House Count'!F13="ENT",1,0))),0)</f>
        <v/>
      </c>
    </row>
    <row r="14" ht="15.75" customHeight="1" thickTop="1">
      <c r="A14" s="109" t="inlineStr">
        <is>
          <t>5704 WYSTERIA DR</t>
        </is>
      </c>
      <c r="B14" s="109" t="inlineStr">
        <is>
          <t>GENERIC_CITY</t>
        </is>
      </c>
      <c r="C14" s="109" t="inlineStr">
        <is>
          <t>GENERIC_STATE</t>
        </is>
      </c>
      <c r="D14" s="109" t="inlineStr">
        <is>
          <t>00000</t>
        </is>
      </c>
      <c r="E14" s="109" t="n"/>
      <c r="F14" s="109" t="n"/>
      <c r="G14" s="109" t="n"/>
      <c r="H14" s="109" t="inlineStr">
        <is>
          <t>Y</t>
        </is>
      </c>
      <c r="I14" s="68" t="n"/>
      <c r="J14">
        <f>IF('House Count'!H14="Y",IF('House Count'!F14="RES-SFU",1,IF('House Count'!F14="RES-MDU",1,IF('House Count'!F14="RES-HOA",1,0))),0)</f>
        <v/>
      </c>
      <c r="K14">
        <f>IF('House Count'!H14="Y",IF('House Count'!F14="COMM-SU",1,IF('House Count'!F14="COM-MTU",1,IF('House Count'!F14="ENT",1,0))),0)</f>
        <v/>
      </c>
    </row>
    <row r="15">
      <c r="A15" s="109" t="inlineStr">
        <is>
          <t>5700 WYSTERIA DR</t>
        </is>
      </c>
      <c r="B15" s="109" t="inlineStr">
        <is>
          <t>GENERIC_CITY</t>
        </is>
      </c>
      <c r="C15" s="109" t="inlineStr">
        <is>
          <t>GENERIC_STATE</t>
        </is>
      </c>
      <c r="D15" s="109" t="inlineStr">
        <is>
          <t>00000</t>
        </is>
      </c>
      <c r="E15" s="109" t="n"/>
      <c r="F15" s="109" t="n"/>
      <c r="G15" s="109" t="n"/>
      <c r="H15" s="109" t="inlineStr">
        <is>
          <t>Y</t>
        </is>
      </c>
      <c r="I15" s="68" t="n"/>
      <c r="J15">
        <f>IF('House Count'!H15="Y",IF('House Count'!F15="RES-SFU",1,IF('House Count'!F15="RES-MDU",1,IF('House Count'!F15="RES-HOA",1,0))),0)</f>
        <v/>
      </c>
      <c r="K15">
        <f>IF('House Count'!H15="Y",IF('House Count'!F15="COMM-SU",1,IF('House Count'!F15="COM-MTU",1,IF('House Count'!F15="ENT",1,0))),0)</f>
        <v/>
      </c>
    </row>
    <row r="16">
      <c r="A16" s="109" t="inlineStr">
        <is>
          <t>5701 BUTEO CT</t>
        </is>
      </c>
      <c r="B16" s="109" t="inlineStr">
        <is>
          <t>GENERIC_CITY</t>
        </is>
      </c>
      <c r="C16" s="109" t="inlineStr">
        <is>
          <t>GENERIC_STATE</t>
        </is>
      </c>
      <c r="D16" s="109" t="inlineStr">
        <is>
          <t>00000</t>
        </is>
      </c>
      <c r="E16" s="109" t="n"/>
      <c r="F16" s="109" t="n"/>
      <c r="G16" s="109" t="n"/>
      <c r="H16" s="109" t="inlineStr">
        <is>
          <t>Y</t>
        </is>
      </c>
      <c r="I16" s="68" t="n"/>
      <c r="J16">
        <f>IF('House Count'!H16="Y",IF('House Count'!F16="RES-SFU",1,IF('House Count'!F16="RES-MDU",1,IF('House Count'!F16="RES-HOA",1,0))),0)</f>
        <v/>
      </c>
      <c r="K16">
        <f>IF('House Count'!H16="Y",IF('House Count'!F16="COMM-SU",1,IF('House Count'!F16="COM-MTU",1,IF('House Count'!F16="ENT",1,0))),0)</f>
        <v/>
      </c>
    </row>
    <row r="17">
      <c r="A17" s="109" t="inlineStr">
        <is>
          <t>5700 BUTEO CT</t>
        </is>
      </c>
      <c r="B17" s="109" t="inlineStr">
        <is>
          <t>GENERIC_CITY</t>
        </is>
      </c>
      <c r="C17" s="109" t="inlineStr">
        <is>
          <t>GENERIC_STATE</t>
        </is>
      </c>
      <c r="D17" s="109" t="inlineStr">
        <is>
          <t>00000</t>
        </is>
      </c>
      <c r="E17" s="109" t="n"/>
      <c r="F17" s="109" t="n"/>
      <c r="G17" s="109" t="n"/>
      <c r="H17" s="109" t="inlineStr">
        <is>
          <t>Y</t>
        </is>
      </c>
      <c r="I17" s="68" t="n"/>
      <c r="J17">
        <f>IF('House Count'!H17="Y",IF('House Count'!F17="RES-SFU",1,IF('House Count'!F17="RES-MDU",1,IF('House Count'!F17="RES-HOA",1,0))),0)</f>
        <v/>
      </c>
      <c r="K17">
        <f>IF('House Count'!H17="Y",IF('House Count'!F17="COMM-SU",1,IF('House Count'!F17="COM-MTU",1,IF('House Count'!F17="ENT",1,0))),0)</f>
        <v/>
      </c>
    </row>
    <row r="18">
      <c r="A18" s="109" t="inlineStr">
        <is>
          <t>5704 BUTEO CT</t>
        </is>
      </c>
      <c r="B18" s="109" t="inlineStr">
        <is>
          <t>GENERIC_CITY</t>
        </is>
      </c>
      <c r="C18" s="109" t="inlineStr">
        <is>
          <t>GENERIC_STATE</t>
        </is>
      </c>
      <c r="D18" s="109" t="inlineStr">
        <is>
          <t>00000</t>
        </is>
      </c>
      <c r="E18" s="109" t="n"/>
      <c r="F18" s="109" t="n"/>
      <c r="G18" s="109" t="n"/>
      <c r="H18" s="109" t="inlineStr">
        <is>
          <t>Y</t>
        </is>
      </c>
      <c r="I18" s="68" t="n"/>
      <c r="J18">
        <f>IF('House Count'!H18="Y",IF('House Count'!F18="RES-SFU",1,IF('House Count'!F18="RES-MDU",1,IF('House Count'!F18="RES-HOA",1,0))),0)</f>
        <v/>
      </c>
      <c r="K18">
        <f>IF('House Count'!H18="Y",IF('House Count'!F18="COMM-SU",1,IF('House Count'!F18="COM-MTU",1,IF('House Count'!F18="ENT",1,0))),0)</f>
        <v/>
      </c>
    </row>
    <row r="19">
      <c r="A19" s="109" t="inlineStr">
        <is>
          <t>5720 BUTEO CT</t>
        </is>
      </c>
      <c r="B19" s="109" t="inlineStr">
        <is>
          <t>GENERIC_CITY</t>
        </is>
      </c>
      <c r="C19" s="109" t="inlineStr">
        <is>
          <t>GENERIC_STATE</t>
        </is>
      </c>
      <c r="D19" s="109" t="inlineStr">
        <is>
          <t>00000</t>
        </is>
      </c>
      <c r="E19" s="109" t="n"/>
      <c r="F19" s="109" t="n"/>
      <c r="G19" s="109" t="n"/>
      <c r="H19" s="109" t="inlineStr">
        <is>
          <t>Y</t>
        </is>
      </c>
      <c r="I19" s="68" t="n"/>
      <c r="J19">
        <f>IF('House Count'!H19="Y",IF('House Count'!F19="RES-SFU",1,IF('House Count'!F19="RES-MDU",1,IF('House Count'!F19="RES-HOA",1,0))),0)</f>
        <v/>
      </c>
      <c r="K19">
        <f>IF('House Count'!H19="Y",IF('House Count'!F19="COMM-SU",1,IF('House Count'!F19="COM-MTU",1,IF('House Count'!F19="ENT",1,0))),0)</f>
        <v/>
      </c>
    </row>
    <row r="20">
      <c r="A20" s="109" t="inlineStr">
        <is>
          <t>6737 OLD MILLS RD</t>
        </is>
      </c>
      <c r="B20" s="109" t="inlineStr">
        <is>
          <t>GENERIC_CITY</t>
        </is>
      </c>
      <c r="C20" s="109" t="inlineStr">
        <is>
          <t>GENERIC_STATE</t>
        </is>
      </c>
      <c r="D20" s="109" t="inlineStr">
        <is>
          <t>00000</t>
        </is>
      </c>
      <c r="E20" s="109" t="n"/>
      <c r="F20" s="109" t="n"/>
      <c r="G20" s="109" t="n"/>
      <c r="H20" s="109" t="inlineStr">
        <is>
          <t>Y</t>
        </is>
      </c>
      <c r="I20" s="68" t="n"/>
      <c r="J20">
        <f>IF('House Count'!H20="Y",IF('House Count'!F20="RES-SFU",1,IF('House Count'!F20="RES-MDU",1,IF('House Count'!F20="RES-HOA",1,0))),0)</f>
        <v/>
      </c>
      <c r="K20">
        <f>IF('House Count'!H20="Y",IF('House Count'!F20="COMM-SU",1,IF('House Count'!F20="COM-MTU",1,IF('House Count'!F20="ENT",1,0))),0)</f>
        <v/>
      </c>
    </row>
    <row r="21">
      <c r="A21" s="109" t="inlineStr">
        <is>
          <t>5700 MULLIGAN WAY</t>
        </is>
      </c>
      <c r="B21" s="109" t="inlineStr">
        <is>
          <t>GENERIC_CITY</t>
        </is>
      </c>
      <c r="C21" s="109" t="inlineStr">
        <is>
          <t>GENERIC_STATE</t>
        </is>
      </c>
      <c r="D21" s="109" t="inlineStr">
        <is>
          <t>00000</t>
        </is>
      </c>
      <c r="E21" s="109" t="n"/>
      <c r="F21" s="109" t="n"/>
      <c r="G21" s="109" t="n"/>
      <c r="H21" s="109" t="inlineStr">
        <is>
          <t>Y</t>
        </is>
      </c>
      <c r="I21" s="68" t="n"/>
      <c r="J21">
        <f>IF('House Count'!H21="Y",IF('House Count'!F21="RES-SFU",1,IF('House Count'!F21="RES-MDU",1,IF('House Count'!F21="RES-HOA",1,0))),0)</f>
        <v/>
      </c>
      <c r="K21">
        <f>IF('House Count'!H21="Y",IF('House Count'!F21="COMM-SU",1,IF('House Count'!F21="COM-MTU",1,IF('House Count'!F21="ENT",1,0))),0)</f>
        <v/>
      </c>
    </row>
    <row r="22">
      <c r="A22" s="109" t="inlineStr">
        <is>
          <t>5704 MULLIGAN WAY</t>
        </is>
      </c>
      <c r="B22" s="109" t="inlineStr">
        <is>
          <t>GENERIC_CITY</t>
        </is>
      </c>
      <c r="C22" s="109" t="inlineStr">
        <is>
          <t>GENERIC_STATE</t>
        </is>
      </c>
      <c r="D22" s="109" t="inlineStr">
        <is>
          <t>00000</t>
        </is>
      </c>
      <c r="E22" s="109" t="n"/>
      <c r="F22" s="109" t="n"/>
      <c r="G22" s="109" t="n"/>
      <c r="H22" s="109" t="inlineStr">
        <is>
          <t>Y</t>
        </is>
      </c>
      <c r="I22" s="68" t="n"/>
      <c r="J22">
        <f>IF('House Count'!H22="Y",IF('House Count'!F22="RES-SFU",1,IF('House Count'!F22="RES-MDU",1,IF('House Count'!F22="RES-HOA",1,0))),0)</f>
        <v/>
      </c>
      <c r="K22">
        <f>IF('House Count'!H22="Y",IF('House Count'!F22="COMM-SU",1,IF('House Count'!F22="COM-MTU",1,IF('House Count'!F22="ENT",1,0))),0)</f>
        <v/>
      </c>
    </row>
    <row r="23">
      <c r="A23" s="109" t="inlineStr">
        <is>
          <t>5712 MULLIGAN WAY</t>
        </is>
      </c>
      <c r="B23" s="109" t="inlineStr">
        <is>
          <t>GENERIC_CITY</t>
        </is>
      </c>
      <c r="C23" s="109" t="inlineStr">
        <is>
          <t>GENERIC_STATE</t>
        </is>
      </c>
      <c r="D23" s="109" t="inlineStr">
        <is>
          <t>00000</t>
        </is>
      </c>
      <c r="E23" s="109" t="n"/>
      <c r="F23" s="109" t="n"/>
      <c r="G23" s="109" t="n"/>
      <c r="H23" s="109" t="inlineStr">
        <is>
          <t>Y</t>
        </is>
      </c>
      <c r="I23" s="68" t="n"/>
      <c r="J23">
        <f>IF('House Count'!H23="Y",IF('House Count'!F23="RES-SFU",1,IF('House Count'!F23="RES-MDU",1,IF('House Count'!F23="RES-HOA",1,0))),0)</f>
        <v/>
      </c>
      <c r="K23">
        <f>IF('House Count'!H23="Y",IF('House Count'!F23="COMM-SU",1,IF('House Count'!F23="COM-MTU",1,IF('House Count'!F23="ENT",1,0))),0)</f>
        <v/>
      </c>
    </row>
    <row r="24">
      <c r="A24" s="109" t="inlineStr">
        <is>
          <t>5709 MULLIGAN WAY</t>
        </is>
      </c>
      <c r="B24" s="109" t="inlineStr">
        <is>
          <t>GENERIC_CITY</t>
        </is>
      </c>
      <c r="C24" s="109" t="inlineStr">
        <is>
          <t>GENERIC_STATE</t>
        </is>
      </c>
      <c r="D24" s="109" t="inlineStr">
        <is>
          <t>00000</t>
        </is>
      </c>
      <c r="E24" s="109" t="n"/>
      <c r="F24" s="109" t="n"/>
      <c r="G24" s="109" t="n"/>
      <c r="H24" s="109" t="inlineStr">
        <is>
          <t>Y</t>
        </is>
      </c>
      <c r="I24" s="68" t="n"/>
      <c r="J24">
        <f>IF('House Count'!H24="Y",IF('House Count'!F24="RES-SFU",1,IF('House Count'!F24="RES-MDU",1,IF('House Count'!F24="RES-HOA",1,0))),0)</f>
        <v/>
      </c>
      <c r="K24">
        <f>IF('House Count'!H24="Y",IF('House Count'!F24="COMM-SU",1,IF('House Count'!F24="COM-MTU",1,IF('House Count'!F24="ENT",1,0))),0)</f>
        <v/>
      </c>
    </row>
    <row r="25" ht="15.75" customHeight="1" thickBot="1">
      <c r="A25" s="545" t="inlineStr">
        <is>
          <t>5705 MULLIGAN WAY</t>
        </is>
      </c>
      <c r="B25" s="545" t="inlineStr">
        <is>
          <t>GENERIC_CITY</t>
        </is>
      </c>
      <c r="C25" s="545" t="inlineStr">
        <is>
          <t>GENERIC_STATE</t>
        </is>
      </c>
      <c r="D25" s="545" t="inlineStr">
        <is>
          <t>00000</t>
        </is>
      </c>
      <c r="E25" s="545" t="n"/>
      <c r="F25" s="545" t="n"/>
      <c r="G25" s="545" t="n"/>
      <c r="H25" s="545" t="inlineStr">
        <is>
          <t>Y</t>
        </is>
      </c>
      <c r="I25" s="546" t="n"/>
      <c r="J25">
        <f>IF('House Count'!H25="Y",IF('House Count'!F25="RES-SFU",1,IF('House Count'!F25="RES-MDU",1,IF('House Count'!F25="RES-HOA",1,0))),0)</f>
        <v/>
      </c>
      <c r="K25">
        <f>IF('House Count'!H25="Y",IF('House Count'!F25="COMM-SU",1,IF('House Count'!F25="COM-MTU",1,IF('House Count'!F25="ENT",1,0))),0)</f>
        <v/>
      </c>
    </row>
    <row r="26" ht="15.75" customHeight="1" thickTop="1">
      <c r="A26" s="109" t="inlineStr">
        <is>
          <t>5701 MULLIGAN WAY</t>
        </is>
      </c>
      <c r="B26" s="109" t="inlineStr">
        <is>
          <t>GENERIC_CITY</t>
        </is>
      </c>
      <c r="C26" s="109" t="inlineStr">
        <is>
          <t>GENERIC_STATE</t>
        </is>
      </c>
      <c r="D26" s="109" t="inlineStr">
        <is>
          <t>00000</t>
        </is>
      </c>
      <c r="E26" s="109" t="n"/>
      <c r="F26" s="109" t="n"/>
      <c r="G26" s="109" t="n"/>
      <c r="H26" s="109" t="inlineStr">
        <is>
          <t>Y</t>
        </is>
      </c>
      <c r="I26" s="68" t="n"/>
      <c r="J26">
        <f>IF('House Count'!H26="Y",IF('House Count'!F26="RES-SFU",1,IF('House Count'!F26="RES-MDU",1,IF('House Count'!F26="RES-HOA",1,0))),0)</f>
        <v/>
      </c>
      <c r="K26">
        <f>IF('House Count'!H26="Y",IF('House Count'!F26="COMM-SU",1,IF('House Count'!F26="COM-MTU",1,IF('House Count'!F26="ENT",1,0))),0)</f>
        <v/>
      </c>
    </row>
    <row r="27">
      <c r="A27" s="109" t="inlineStr">
        <is>
          <t>5041 ALLANBROOKE LN</t>
        </is>
      </c>
      <c r="B27" s="109" t="inlineStr">
        <is>
          <t>GENERIC_CITY</t>
        </is>
      </c>
      <c r="C27" s="109" t="inlineStr">
        <is>
          <t>GENERIC_STATE</t>
        </is>
      </c>
      <c r="D27" s="109" t="inlineStr">
        <is>
          <t>00000</t>
        </is>
      </c>
      <c r="E27" s="109" t="n"/>
      <c r="F27" s="109" t="n"/>
      <c r="G27" s="109" t="n"/>
      <c r="H27" s="109" t="inlineStr">
        <is>
          <t>Y</t>
        </is>
      </c>
      <c r="I27" s="68" t="n"/>
      <c r="J27">
        <f>IF('House Count'!H27="Y",IF('House Count'!F27="RES-SFU",1,IF('House Count'!F27="RES-MDU",1,IF('House Count'!F27="RES-HOA",1,0))),0)</f>
        <v/>
      </c>
      <c r="K27">
        <f>IF('House Count'!H27="Y",IF('House Count'!F27="COMM-SU",1,IF('House Count'!F27="COM-MTU",1,IF('House Count'!F27="ENT",1,0))),0)</f>
        <v/>
      </c>
    </row>
    <row r="28">
      <c r="A28" s="109" t="inlineStr">
        <is>
          <t>5045 ALLANBROOKE LN</t>
        </is>
      </c>
      <c r="B28" s="109" t="inlineStr">
        <is>
          <t>GENERIC_CITY</t>
        </is>
      </c>
      <c r="C28" s="109" t="inlineStr">
        <is>
          <t>GENERIC_STATE</t>
        </is>
      </c>
      <c r="D28" s="109" t="inlineStr">
        <is>
          <t>00000</t>
        </is>
      </c>
      <c r="E28" s="109" t="n"/>
      <c r="F28" s="109" t="n"/>
      <c r="G28" s="109" t="n"/>
      <c r="H28" s="109" t="inlineStr">
        <is>
          <t>Y</t>
        </is>
      </c>
      <c r="I28" s="68" t="n"/>
      <c r="J28">
        <f>IF('House Count'!H28="Y",IF('House Count'!F28="RES-SFU",1,IF('House Count'!F28="RES-MDU",1,IF('House Count'!F28="RES-HOA",1,0))),0)</f>
        <v/>
      </c>
      <c r="K28">
        <f>IF('House Count'!H28="Y",IF('House Count'!F28="COMM-SU",1,IF('House Count'!F28="COM-MTU",1,IF('House Count'!F28="ENT",1,0))),0)</f>
        <v/>
      </c>
    </row>
    <row r="29">
      <c r="A29" s="109" t="inlineStr">
        <is>
          <t>5049 ALLANBROOKE LN</t>
        </is>
      </c>
      <c r="B29" s="109" t="inlineStr">
        <is>
          <t>GENERIC_CITY</t>
        </is>
      </c>
      <c r="C29" s="109" t="inlineStr">
        <is>
          <t>GENERIC_STATE</t>
        </is>
      </c>
      <c r="D29" s="109" t="inlineStr">
        <is>
          <t>00000</t>
        </is>
      </c>
      <c r="E29" s="109" t="n"/>
      <c r="F29" s="109" t="n"/>
      <c r="G29" s="109" t="n"/>
      <c r="H29" s="109" t="inlineStr">
        <is>
          <t>Y</t>
        </is>
      </c>
      <c r="I29" s="68" t="n"/>
      <c r="J29">
        <f>IF('House Count'!H29="Y",IF('House Count'!F29="RES-SFU",1,IF('House Count'!F29="RES-MDU",1,IF('House Count'!F29="RES-HOA",1,0))),0)</f>
        <v/>
      </c>
      <c r="K29">
        <f>IF('House Count'!H29="Y",IF('House Count'!F29="COMM-SU",1,IF('House Count'!F29="COM-MTU",1,IF('House Count'!F29="ENT",1,0))),0)</f>
        <v/>
      </c>
    </row>
    <row r="30">
      <c r="A30" s="109" t="inlineStr">
        <is>
          <t>5053 ALLANBROOKE LN</t>
        </is>
      </c>
      <c r="B30" s="109" t="inlineStr">
        <is>
          <t>GENERIC_CITY</t>
        </is>
      </c>
      <c r="C30" s="109" t="inlineStr">
        <is>
          <t>GENERIC_STATE</t>
        </is>
      </c>
      <c r="D30" s="109" t="inlineStr">
        <is>
          <t>00000</t>
        </is>
      </c>
      <c r="E30" s="109" t="n"/>
      <c r="F30" s="109" t="n"/>
      <c r="G30" s="109" t="n"/>
      <c r="H30" s="109" t="inlineStr">
        <is>
          <t>Y</t>
        </is>
      </c>
      <c r="I30" s="68" t="n"/>
      <c r="J30">
        <f>IF('House Count'!H30="Y",IF('House Count'!F30="RES-SFU",1,IF('House Count'!F30="RES-MDU",1,IF('House Count'!F30="RES-HOA",1,0))),0)</f>
        <v/>
      </c>
      <c r="K30">
        <f>IF('House Count'!H30="Y",IF('House Count'!F30="COMM-SU",1,IF('House Count'!F30="COM-MTU",1,IF('House Count'!F30="ENT",1,0))),0)</f>
        <v/>
      </c>
    </row>
    <row r="31">
      <c r="A31" s="109" t="inlineStr">
        <is>
          <t>5056 ALLANBROOKE LN</t>
        </is>
      </c>
      <c r="B31" s="109" t="inlineStr">
        <is>
          <t>GENERIC_CITY</t>
        </is>
      </c>
      <c r="C31" s="109" t="inlineStr">
        <is>
          <t>GENERIC_STATE</t>
        </is>
      </c>
      <c r="D31" s="109" t="inlineStr">
        <is>
          <t>00000</t>
        </is>
      </c>
      <c r="E31" s="109" t="n"/>
      <c r="F31" s="109" t="n"/>
      <c r="G31" s="109" t="n"/>
      <c r="H31" s="109" t="inlineStr">
        <is>
          <t>Y</t>
        </is>
      </c>
      <c r="I31" s="68" t="n"/>
      <c r="J31">
        <f>IF('House Count'!H31="Y",IF('House Count'!F31="RES-SFU",1,IF('House Count'!F31="RES-MDU",1,IF('House Count'!F31="RES-HOA",1,0))),0)</f>
        <v/>
      </c>
      <c r="K31">
        <f>IF('House Count'!H31="Y",IF('House Count'!F31="COMM-SU",1,IF('House Count'!F31="COM-MTU",1,IF('House Count'!F31="ENT",1,0))),0)</f>
        <v/>
      </c>
    </row>
    <row r="32">
      <c r="A32" s="109" t="inlineStr">
        <is>
          <t>5052 ALLANBROOKE LN</t>
        </is>
      </c>
      <c r="B32" s="109" t="inlineStr">
        <is>
          <t>GENERIC_CITY</t>
        </is>
      </c>
      <c r="C32" s="109" t="inlineStr">
        <is>
          <t>GENERIC_STATE</t>
        </is>
      </c>
      <c r="D32" s="109" t="inlineStr">
        <is>
          <t>00000</t>
        </is>
      </c>
      <c r="E32" s="109" t="n"/>
      <c r="F32" s="109" t="n"/>
      <c r="G32" s="109" t="n"/>
      <c r="H32" s="109" t="inlineStr">
        <is>
          <t>Y</t>
        </is>
      </c>
      <c r="I32" s="68" t="n"/>
      <c r="J32">
        <f>IF('House Count'!H32="Y",IF('House Count'!F32="RES-SFU",1,IF('House Count'!F32="RES-MDU",1,IF('House Count'!F32="RES-HOA",1,0))),0)</f>
        <v/>
      </c>
      <c r="K32">
        <f>IF('House Count'!H32="Y",IF('House Count'!F32="COMM-SU",1,IF('House Count'!F32="COM-MTU",1,IF('House Count'!F32="ENT",1,0))),0)</f>
        <v/>
      </c>
    </row>
    <row r="33">
      <c r="A33" s="109" t="inlineStr">
        <is>
          <t>5048 ALLANBROOKE LN</t>
        </is>
      </c>
      <c r="B33" s="109" t="inlineStr">
        <is>
          <t>GENERIC_CITY</t>
        </is>
      </c>
      <c r="C33" s="109" t="inlineStr">
        <is>
          <t>GENERIC_STATE</t>
        </is>
      </c>
      <c r="D33" s="109" t="inlineStr">
        <is>
          <t>00000</t>
        </is>
      </c>
      <c r="E33" s="109" t="n"/>
      <c r="F33" s="109" t="n"/>
      <c r="G33" s="109" t="n"/>
      <c r="H33" s="109" t="inlineStr">
        <is>
          <t>Y</t>
        </is>
      </c>
      <c r="I33" s="68" t="n"/>
      <c r="J33">
        <f>IF('House Count'!H33="Y",IF('House Count'!F33="RES-SFU",1,IF('House Count'!F33="RES-MDU",1,IF('House Count'!F33="RES-HOA",1,0))),0)</f>
        <v/>
      </c>
      <c r="K33">
        <f>IF('House Count'!H33="Y",IF('House Count'!F33="COMM-SU",1,IF('House Count'!F33="COM-MTU",1,IF('House Count'!F33="ENT",1,0))),0)</f>
        <v/>
      </c>
    </row>
    <row r="34">
      <c r="A34" s="109" t="inlineStr">
        <is>
          <t>5044 ALLANBROOKE LN</t>
        </is>
      </c>
      <c r="B34" s="109" t="inlineStr">
        <is>
          <t>GENERIC_CITY</t>
        </is>
      </c>
      <c r="C34" s="109" t="inlineStr">
        <is>
          <t>GENERIC_STATE</t>
        </is>
      </c>
      <c r="D34" s="109" t="inlineStr">
        <is>
          <t>00000</t>
        </is>
      </c>
      <c r="E34" s="109" t="n"/>
      <c r="F34" s="109" t="n"/>
      <c r="G34" s="109" t="n"/>
      <c r="H34" s="109" t="inlineStr">
        <is>
          <t>Y</t>
        </is>
      </c>
      <c r="I34" s="68" t="n"/>
      <c r="J34">
        <f>IF('House Count'!H34="Y",IF('House Count'!F34="RES-SFU",1,IF('House Count'!F34="RES-MDU",1,IF('House Count'!F34="RES-HOA",1,0))),0)</f>
        <v/>
      </c>
      <c r="K34">
        <f>IF('House Count'!H34="Y",IF('House Count'!F34="COMM-SU",1,IF('House Count'!F34="COM-MTU",1,IF('House Count'!F34="ENT",1,0))),0)</f>
        <v/>
      </c>
    </row>
    <row r="35">
      <c r="A35" s="109" t="inlineStr">
        <is>
          <t>5037 ALLANBROOKE LN</t>
        </is>
      </c>
      <c r="B35" s="109" t="inlineStr">
        <is>
          <t>GENERIC_CITY</t>
        </is>
      </c>
      <c r="C35" s="109" t="inlineStr">
        <is>
          <t>GENERIC_STATE</t>
        </is>
      </c>
      <c r="D35" s="109" t="inlineStr">
        <is>
          <t>00000</t>
        </is>
      </c>
      <c r="E35" s="109" t="n"/>
      <c r="F35" s="109" t="n"/>
      <c r="G35" s="109" t="n"/>
      <c r="H35" s="109" t="inlineStr">
        <is>
          <t>Y</t>
        </is>
      </c>
      <c r="I35" s="68" t="n"/>
      <c r="J35">
        <f>IF('House Count'!H35="Y",IF('House Count'!F35="RES-SFU",1,IF('House Count'!F35="RES-MDU",1,IF('House Count'!F35="RES-HOA",1,0))),0)</f>
        <v/>
      </c>
      <c r="K35">
        <f>IF('House Count'!H35="Y",IF('House Count'!F35="COMM-SU",1,IF('House Count'!F35="COM-MTU",1,IF('House Count'!F35="ENT",1,0))),0)</f>
        <v/>
      </c>
    </row>
    <row r="36">
      <c r="A36" s="109" t="inlineStr">
        <is>
          <t>5040 ALLANBROOKE LN</t>
        </is>
      </c>
      <c r="B36" s="109" t="inlineStr">
        <is>
          <t>GENERIC_CITY</t>
        </is>
      </c>
      <c r="C36" s="109" t="inlineStr">
        <is>
          <t>GENERIC_STATE</t>
        </is>
      </c>
      <c r="D36" s="109" t="inlineStr">
        <is>
          <t>00000</t>
        </is>
      </c>
      <c r="E36" s="109" t="n"/>
      <c r="F36" s="109" t="n"/>
      <c r="G36" s="109" t="n"/>
      <c r="H36" s="109" t="inlineStr">
        <is>
          <t>Y</t>
        </is>
      </c>
      <c r="I36" s="68" t="n"/>
      <c r="J36">
        <f>IF('House Count'!H36="Y",IF('House Count'!F36="RES-SFU",1,IF('House Count'!F36="RES-MDU",1,IF('House Count'!F36="RES-HOA",1,0))),0)</f>
        <v/>
      </c>
      <c r="K36">
        <f>IF('House Count'!H36="Y",IF('House Count'!F36="COMM-SU",1,IF('House Count'!F36="COM-MTU",1,IF('House Count'!F36="ENT",1,0))),0)</f>
        <v/>
      </c>
    </row>
    <row r="37" ht="15.75" customHeight="1" thickBot="1">
      <c r="A37" s="545" t="inlineStr">
        <is>
          <t>5036 ALLANBROOKE LN</t>
        </is>
      </c>
      <c r="B37" s="545" t="inlineStr">
        <is>
          <t>GENERIC_CITY</t>
        </is>
      </c>
      <c r="C37" s="545" t="inlineStr">
        <is>
          <t>GENERIC_STATE</t>
        </is>
      </c>
      <c r="D37" s="545" t="inlineStr">
        <is>
          <t>00000</t>
        </is>
      </c>
      <c r="E37" s="545" t="n"/>
      <c r="F37" s="545" t="n"/>
      <c r="G37" s="545" t="n"/>
      <c r="H37" s="545" t="inlineStr">
        <is>
          <t>Y</t>
        </is>
      </c>
      <c r="I37" s="546" t="n"/>
      <c r="J37">
        <f>IF('House Count'!H37="Y",IF('House Count'!F37="RES-SFU",1,IF('House Count'!F37="RES-MDU",1,IF('House Count'!F37="RES-HOA",1,0))),0)</f>
        <v/>
      </c>
      <c r="K37">
        <f>IF('House Count'!H37="Y",IF('House Count'!F37="COMM-SU",1,IF('House Count'!F37="COM-MTU",1,IF('House Count'!F37="ENT",1,0))),0)</f>
        <v/>
      </c>
    </row>
    <row r="38" ht="15.75" customHeight="1" thickTop="1">
      <c r="A38" s="109" t="inlineStr">
        <is>
          <t>5032 ALLANBROOKE LN</t>
        </is>
      </c>
      <c r="B38" s="109" t="inlineStr">
        <is>
          <t>GENERIC_CITY</t>
        </is>
      </c>
      <c r="C38" s="109" t="inlineStr">
        <is>
          <t>GENERIC_STATE</t>
        </is>
      </c>
      <c r="D38" s="109" t="inlineStr">
        <is>
          <t>00000</t>
        </is>
      </c>
      <c r="E38" s="109" t="n"/>
      <c r="F38" s="109" t="n"/>
      <c r="G38" s="109" t="n"/>
      <c r="H38" s="109" t="inlineStr">
        <is>
          <t>Y</t>
        </is>
      </c>
      <c r="I38" s="68" t="n"/>
      <c r="J38">
        <f>IF('House Count'!H38="Y",IF('House Count'!F38="RES-SFU",1,IF('House Count'!F38="RES-MDU",1,IF('House Count'!F38="RES-HOA",1,0))),0)</f>
        <v/>
      </c>
      <c r="K38">
        <f>IF('House Count'!H38="Y",IF('House Count'!F38="COMM-SU",1,IF('House Count'!F38="COM-MTU",1,IF('House Count'!F38="ENT",1,0))),0)</f>
        <v/>
      </c>
    </row>
    <row r="39">
      <c r="A39" s="109" t="inlineStr">
        <is>
          <t>5021 ALLANBROOKE LN</t>
        </is>
      </c>
      <c r="B39" s="109" t="inlineStr">
        <is>
          <t>GENERIC_CITY</t>
        </is>
      </c>
      <c r="C39" s="109" t="inlineStr">
        <is>
          <t>GENERIC_STATE</t>
        </is>
      </c>
      <c r="D39" s="109" t="inlineStr">
        <is>
          <t>00000</t>
        </is>
      </c>
      <c r="E39" s="109" t="n"/>
      <c r="F39" s="109" t="n"/>
      <c r="G39" s="109" t="n"/>
      <c r="H39" s="109" t="inlineStr">
        <is>
          <t>Y</t>
        </is>
      </c>
      <c r="I39" s="68" t="n"/>
      <c r="J39">
        <f>IF('House Count'!H39="Y",IF('House Count'!F39="RES-SFU",1,IF('House Count'!F39="RES-MDU",1,IF('House Count'!F39="RES-HOA",1,0))),0)</f>
        <v/>
      </c>
      <c r="K39">
        <f>IF('House Count'!H39="Y",IF('House Count'!F39="COMM-SU",1,IF('House Count'!F39="COM-MTU",1,IF('House Count'!F39="ENT",1,0))),0)</f>
        <v/>
      </c>
    </row>
    <row r="40">
      <c r="A40" s="109" t="inlineStr">
        <is>
          <t>5025 ALLANBROOKE LN</t>
        </is>
      </c>
      <c r="B40" s="109" t="inlineStr">
        <is>
          <t>GENERIC_CITY</t>
        </is>
      </c>
      <c r="C40" s="109" t="inlineStr">
        <is>
          <t>GENERIC_STATE</t>
        </is>
      </c>
      <c r="D40" s="109" t="inlineStr">
        <is>
          <t>00000</t>
        </is>
      </c>
      <c r="E40" s="109" t="n"/>
      <c r="F40" s="109" t="n"/>
      <c r="G40" s="109" t="n"/>
      <c r="H40" s="109" t="inlineStr">
        <is>
          <t>Y</t>
        </is>
      </c>
      <c r="I40" s="68" t="n"/>
      <c r="J40">
        <f>IF('House Count'!H40="Y",IF('House Count'!F40="RES-SFU",1,IF('House Count'!F40="RES-MDU",1,IF('House Count'!F40="RES-HOA",1,0))),0)</f>
        <v/>
      </c>
      <c r="K40">
        <f>IF('House Count'!H40="Y",IF('House Count'!F40="COMM-SU",1,IF('House Count'!F40="COM-MTU",1,IF('House Count'!F40="ENT",1,0))),0)</f>
        <v/>
      </c>
    </row>
    <row r="41">
      <c r="A41" s="109" t="inlineStr">
        <is>
          <t>5029 ALLANBROOKE LN</t>
        </is>
      </c>
      <c r="B41" s="109" t="inlineStr">
        <is>
          <t>GENERIC_CITY</t>
        </is>
      </c>
      <c r="C41" s="109" t="inlineStr">
        <is>
          <t>GENERIC_STATE</t>
        </is>
      </c>
      <c r="D41" s="109" t="inlineStr">
        <is>
          <t>00000</t>
        </is>
      </c>
      <c r="E41" s="109" t="n"/>
      <c r="F41" s="109" t="n"/>
      <c r="G41" s="109" t="n"/>
      <c r="H41" s="109" t="inlineStr">
        <is>
          <t>Y</t>
        </is>
      </c>
      <c r="I41" s="68" t="n"/>
      <c r="J41">
        <f>IF('House Count'!H41="Y",IF('House Count'!F41="RES-SFU",1,IF('House Count'!F41="RES-MDU",1,IF('House Count'!F41="RES-HOA",1,0))),0)</f>
        <v/>
      </c>
      <c r="K41">
        <f>IF('House Count'!H41="Y",IF('House Count'!F41="COMM-SU",1,IF('House Count'!F41="COM-MTU",1,IF('House Count'!F41="ENT",1,0))),0)</f>
        <v/>
      </c>
    </row>
    <row r="42">
      <c r="A42" s="109" t="inlineStr">
        <is>
          <t>5033 ALLANBROOKE LN</t>
        </is>
      </c>
      <c r="B42" s="109" t="inlineStr">
        <is>
          <t>GENERIC_CITY</t>
        </is>
      </c>
      <c r="C42" s="109" t="inlineStr">
        <is>
          <t>GENERIC_STATE</t>
        </is>
      </c>
      <c r="D42" s="109" t="inlineStr">
        <is>
          <t>00000</t>
        </is>
      </c>
      <c r="E42" s="109" t="n"/>
      <c r="F42" s="109" t="n"/>
      <c r="G42" s="109" t="n"/>
      <c r="H42" s="109" t="inlineStr">
        <is>
          <t>Y</t>
        </is>
      </c>
      <c r="I42" s="68" t="n"/>
      <c r="J42">
        <f>IF('House Count'!H42="Y",IF('House Count'!F42="RES-SFU",1,IF('House Count'!F42="RES-MDU",1,IF('House Count'!F42="RES-HOA",1,0))),0)</f>
        <v/>
      </c>
      <c r="K42">
        <f>IF('House Count'!H42="Y",IF('House Count'!F42="COMM-SU",1,IF('House Count'!F42="COM-MTU",1,IF('House Count'!F42="ENT",1,0))),0)</f>
        <v/>
      </c>
    </row>
    <row r="43">
      <c r="A43" s="109" t="inlineStr">
        <is>
          <t>5028 ALLANBROOKE LN</t>
        </is>
      </c>
      <c r="B43" s="109" t="inlineStr">
        <is>
          <t>GENERIC_CITY</t>
        </is>
      </c>
      <c r="C43" s="109" t="inlineStr">
        <is>
          <t>GENERIC_STATE</t>
        </is>
      </c>
      <c r="D43" s="109" t="inlineStr">
        <is>
          <t>00000</t>
        </is>
      </c>
      <c r="E43" s="109" t="n"/>
      <c r="F43" s="109" t="n"/>
      <c r="G43" s="109" t="n"/>
      <c r="H43" s="109" t="inlineStr">
        <is>
          <t>Y</t>
        </is>
      </c>
      <c r="I43" s="68" t="n"/>
      <c r="J43">
        <f>IF('House Count'!H43="Y",IF('House Count'!F43="RES-SFU",1,IF('House Count'!F43="RES-MDU",1,IF('House Count'!F43="RES-HOA",1,0))),0)</f>
        <v/>
      </c>
      <c r="K43">
        <f>IF('House Count'!H43="Y",IF('House Count'!F43="COMM-SU",1,IF('House Count'!F43="COM-MTU",1,IF('House Count'!F43="ENT",1,0))),0)</f>
        <v/>
      </c>
    </row>
    <row r="44">
      <c r="A44" s="109" t="inlineStr">
        <is>
          <t>5024 ALLANBROOKE LN</t>
        </is>
      </c>
      <c r="B44" s="109" t="inlineStr">
        <is>
          <t>GENERIC_CITY</t>
        </is>
      </c>
      <c r="C44" s="109" t="inlineStr">
        <is>
          <t>GENERIC_STATE</t>
        </is>
      </c>
      <c r="D44" s="109" t="inlineStr">
        <is>
          <t>00000</t>
        </is>
      </c>
      <c r="E44" s="109" t="n"/>
      <c r="F44" s="109" t="n"/>
      <c r="G44" s="109" t="n"/>
      <c r="H44" s="109" t="inlineStr">
        <is>
          <t>Y</t>
        </is>
      </c>
      <c r="I44" s="68" t="n"/>
      <c r="J44">
        <f>IF('House Count'!H44="Y",IF('House Count'!F44="RES-SFU",1,IF('House Count'!F44="RES-MDU",1,IF('House Count'!F44="RES-HOA",1,0))),0)</f>
        <v/>
      </c>
      <c r="K44">
        <f>IF('House Count'!H44="Y",IF('House Count'!F44="COMM-SU",1,IF('House Count'!F44="COM-MTU",1,IF('House Count'!F44="ENT",1,0))),0)</f>
        <v/>
      </c>
    </row>
    <row r="45">
      <c r="A45" s="109" t="inlineStr">
        <is>
          <t>5009 ALLANBROOKE LN</t>
        </is>
      </c>
      <c r="B45" s="109" t="inlineStr">
        <is>
          <t>GENERIC_CITY</t>
        </is>
      </c>
      <c r="C45" s="109" t="inlineStr">
        <is>
          <t>GENERIC_STATE</t>
        </is>
      </c>
      <c r="D45" s="109" t="inlineStr">
        <is>
          <t>00000</t>
        </is>
      </c>
      <c r="E45" s="109" t="n"/>
      <c r="F45" s="109" t="n"/>
      <c r="G45" s="109" t="n"/>
      <c r="H45" s="109" t="inlineStr">
        <is>
          <t>Y</t>
        </is>
      </c>
      <c r="I45" s="68" t="n"/>
      <c r="J45">
        <f>IF('House Count'!H45="Y",IF('House Count'!F45="RES-SFU",1,IF('House Count'!F45="RES-MDU",1,IF('House Count'!F45="RES-HOA",1,0))),0)</f>
        <v/>
      </c>
      <c r="K45">
        <f>IF('House Count'!H45="Y",IF('House Count'!F45="COMM-SU",1,IF('House Count'!F45="COM-MTU",1,IF('House Count'!F45="ENT",1,0))),0)</f>
        <v/>
      </c>
    </row>
    <row r="46">
      <c r="A46" s="109" t="inlineStr">
        <is>
          <t>5013 ALLANBROOKE LN</t>
        </is>
      </c>
      <c r="B46" s="109" t="inlineStr">
        <is>
          <t>GENERIC_CITY</t>
        </is>
      </c>
      <c r="C46" s="109" t="inlineStr">
        <is>
          <t>GENERIC_STATE</t>
        </is>
      </c>
      <c r="D46" s="109" t="inlineStr">
        <is>
          <t>00000</t>
        </is>
      </c>
      <c r="E46" s="109" t="n"/>
      <c r="F46" s="109" t="n"/>
      <c r="G46" s="109" t="n"/>
      <c r="H46" s="109" t="inlineStr">
        <is>
          <t>Y</t>
        </is>
      </c>
      <c r="I46" s="68" t="n"/>
      <c r="J46">
        <f>IF('House Count'!H46="Y",IF('House Count'!F46="RES-SFU",1,IF('House Count'!F46="RES-MDU",1,IF('House Count'!F46="RES-HOA",1,0))),0)</f>
        <v/>
      </c>
      <c r="K46">
        <f>IF('House Count'!H46="Y",IF('House Count'!F46="COMM-SU",1,IF('House Count'!F46="COM-MTU",1,IF('House Count'!F46="ENT",1,0))),0)</f>
        <v/>
      </c>
    </row>
    <row r="47">
      <c r="A47" s="109" t="inlineStr">
        <is>
          <t>5017 ALLANBROOKE LN</t>
        </is>
      </c>
      <c r="B47" s="109" t="inlineStr">
        <is>
          <t>GENERIC_CITY</t>
        </is>
      </c>
      <c r="C47" s="109" t="inlineStr">
        <is>
          <t>GENERIC_STATE</t>
        </is>
      </c>
      <c r="D47" s="109" t="inlineStr">
        <is>
          <t>00000</t>
        </is>
      </c>
      <c r="E47" s="109" t="n"/>
      <c r="F47" s="109" t="n"/>
      <c r="G47" s="109" t="n"/>
      <c r="H47" s="109" t="inlineStr">
        <is>
          <t>Y</t>
        </is>
      </c>
      <c r="I47" s="68" t="n"/>
      <c r="J47">
        <f>IF('House Count'!H47="Y",IF('House Count'!F47="RES-SFU",1,IF('House Count'!F47="RES-MDU",1,IF('House Count'!F47="RES-HOA",1,0))),0)</f>
        <v/>
      </c>
      <c r="K47">
        <f>IF('House Count'!H47="Y",IF('House Count'!F47="COMM-SU",1,IF('House Count'!F47="COM-MTU",1,IF('House Count'!F47="ENT",1,0))),0)</f>
        <v/>
      </c>
    </row>
    <row r="48">
      <c r="A48" s="109" t="inlineStr">
        <is>
          <t>5020 ALLANBROOKE LN</t>
        </is>
      </c>
      <c r="B48" s="109" t="inlineStr">
        <is>
          <t>GENERIC_CITY</t>
        </is>
      </c>
      <c r="C48" s="109" t="inlineStr">
        <is>
          <t>GENERIC_STATE</t>
        </is>
      </c>
      <c r="D48" s="109" t="inlineStr">
        <is>
          <t>00000</t>
        </is>
      </c>
      <c r="E48" s="109" t="n"/>
      <c r="F48" s="109" t="n"/>
      <c r="G48" s="109" t="n"/>
      <c r="H48" s="109" t="inlineStr">
        <is>
          <t>Y</t>
        </is>
      </c>
      <c r="I48" s="68" t="n"/>
      <c r="J48">
        <f>IF('House Count'!H48="Y",IF('House Count'!F48="RES-SFU",1,IF('House Count'!F48="RES-MDU",1,IF('House Count'!F48="RES-HOA",1,0))),0)</f>
        <v/>
      </c>
      <c r="K48">
        <f>IF('House Count'!H48="Y",IF('House Count'!F48="COMM-SU",1,IF('House Count'!F48="COM-MTU",1,IF('House Count'!F48="ENT",1,0))),0)</f>
        <v/>
      </c>
    </row>
    <row r="49" ht="15.75" customHeight="1" thickBot="1">
      <c r="A49" s="545" t="inlineStr">
        <is>
          <t>5016 ALLANBROOKE LN</t>
        </is>
      </c>
      <c r="B49" s="545" t="inlineStr">
        <is>
          <t>GENERIC_CITY</t>
        </is>
      </c>
      <c r="C49" s="545" t="inlineStr">
        <is>
          <t>GENERIC_STATE</t>
        </is>
      </c>
      <c r="D49" s="545" t="inlineStr">
        <is>
          <t>00000</t>
        </is>
      </c>
      <c r="E49" s="545" t="n"/>
      <c r="F49" s="545" t="n"/>
      <c r="G49" s="545" t="n"/>
      <c r="H49" s="545" t="inlineStr">
        <is>
          <t>Y</t>
        </is>
      </c>
      <c r="I49" s="546" t="n"/>
      <c r="J49">
        <f>IF('House Count'!H49="Y",IF('House Count'!F49="RES-SFU",1,IF('House Count'!F49="RES-MDU",1,IF('House Count'!F49="RES-HOA",1,0))),0)</f>
        <v/>
      </c>
      <c r="K49">
        <f>IF('House Count'!H49="Y",IF('House Count'!F49="COMM-SU",1,IF('House Count'!F49="COM-MTU",1,IF('House Count'!F49="ENT",1,0))),0)</f>
        <v/>
      </c>
    </row>
    <row r="50" ht="15.75" customHeight="1" thickTop="1">
      <c r="A50" s="109" t="inlineStr">
        <is>
          <t>5012 ALLANBROOKE LN</t>
        </is>
      </c>
      <c r="B50" s="109" t="inlineStr">
        <is>
          <t>GENERIC_CITY</t>
        </is>
      </c>
      <c r="C50" s="109" t="inlineStr">
        <is>
          <t>GENERIC_STATE</t>
        </is>
      </c>
      <c r="D50" s="109" t="inlineStr">
        <is>
          <t>00000</t>
        </is>
      </c>
      <c r="E50" s="109" t="n"/>
      <c r="F50" s="109" t="n"/>
      <c r="G50" s="109" t="n"/>
      <c r="H50" s="109" t="inlineStr">
        <is>
          <t>Y</t>
        </is>
      </c>
      <c r="I50" s="68" t="n"/>
      <c r="J50">
        <f>IF('House Count'!H50="Y",IF('House Count'!F50="RES-SFU",1,IF('House Count'!F50="RES-MDU",1,IF('House Count'!F50="RES-HOA",1,0))),0)</f>
        <v/>
      </c>
      <c r="K50">
        <f>IF('House Count'!H50="Y",IF('House Count'!F50="COMM-SU",1,IF('House Count'!F50="COM-MTU",1,IF('House Count'!F50="ENT",1,0))),0)</f>
        <v/>
      </c>
    </row>
    <row r="51">
      <c r="A51" s="109" t="inlineStr">
        <is>
          <t>5001 ALLANBROOKE LN</t>
        </is>
      </c>
      <c r="B51" s="109" t="inlineStr">
        <is>
          <t>GENERIC_CITY</t>
        </is>
      </c>
      <c r="C51" s="109" t="inlineStr">
        <is>
          <t>GENERIC_STATE</t>
        </is>
      </c>
      <c r="D51" s="109" t="inlineStr">
        <is>
          <t>00000</t>
        </is>
      </c>
      <c r="E51" s="109" t="n"/>
      <c r="F51" s="109" t="n"/>
      <c r="G51" s="109" t="n"/>
      <c r="H51" s="109" t="inlineStr">
        <is>
          <t>Y</t>
        </is>
      </c>
      <c r="I51" s="68" t="n"/>
      <c r="J51">
        <f>IF('House Count'!H51="Y",IF('House Count'!F51="RES-SFU",1,IF('House Count'!F51="RES-MDU",1,IF('House Count'!F51="RES-HOA",1,0))),0)</f>
        <v/>
      </c>
      <c r="K51">
        <f>IF('House Count'!H51="Y",IF('House Count'!F51="COMM-SU",1,IF('House Count'!F51="COM-MTU",1,IF('House Count'!F51="ENT",1,0))),0)</f>
        <v/>
      </c>
    </row>
    <row r="52">
      <c r="A52" s="109" t="inlineStr">
        <is>
          <t>5005 ALLANBROOKE LN</t>
        </is>
      </c>
      <c r="B52" s="109" t="inlineStr">
        <is>
          <t>GENERIC_CITY</t>
        </is>
      </c>
      <c r="C52" s="109" t="inlineStr">
        <is>
          <t>GENERIC_STATE</t>
        </is>
      </c>
      <c r="D52" s="109" t="inlineStr">
        <is>
          <t>00000</t>
        </is>
      </c>
      <c r="E52" s="109" t="n"/>
      <c r="F52" s="109" t="n"/>
      <c r="G52" s="109" t="n"/>
      <c r="H52" s="109" t="inlineStr">
        <is>
          <t>Y</t>
        </is>
      </c>
      <c r="I52" s="68" t="n"/>
      <c r="J52">
        <f>IF('House Count'!H52="Y",IF('House Count'!F52="RES-SFU",1,IF('House Count'!F52="RES-MDU",1,IF('House Count'!F52="RES-HOA",1,0))),0)</f>
        <v/>
      </c>
      <c r="K52">
        <f>IF('House Count'!H52="Y",IF('House Count'!F52="COMM-SU",1,IF('House Count'!F52="COM-MTU",1,IF('House Count'!F52="ENT",1,0))),0)</f>
        <v/>
      </c>
    </row>
    <row r="53">
      <c r="A53" s="109" t="inlineStr">
        <is>
          <t>5008 ALLANBROOKE LN</t>
        </is>
      </c>
      <c r="B53" s="109" t="inlineStr">
        <is>
          <t>GENERIC_CITY</t>
        </is>
      </c>
      <c r="C53" s="109" t="inlineStr">
        <is>
          <t>GENERIC_STATE</t>
        </is>
      </c>
      <c r="D53" s="109" t="inlineStr">
        <is>
          <t>00000</t>
        </is>
      </c>
      <c r="E53" s="109" t="n"/>
      <c r="F53" s="109" t="n"/>
      <c r="G53" s="109" t="n"/>
      <c r="H53" s="109" t="inlineStr">
        <is>
          <t>Y</t>
        </is>
      </c>
      <c r="I53" s="68" t="n"/>
      <c r="J53">
        <f>IF('House Count'!H53="Y",IF('House Count'!F53="RES-SFU",1,IF('House Count'!F53="RES-MDU",1,IF('House Count'!F53="RES-HOA",1,0))),0)</f>
        <v/>
      </c>
      <c r="K53">
        <f>IF('House Count'!H53="Y",IF('House Count'!F53="COMM-SU",1,IF('House Count'!F53="COM-MTU",1,IF('House Count'!F53="ENT",1,0))),0)</f>
        <v/>
      </c>
    </row>
    <row r="54">
      <c r="A54" s="109" t="inlineStr">
        <is>
          <t>5000 ALLANBROOKE LN</t>
        </is>
      </c>
      <c r="B54" s="109" t="inlineStr">
        <is>
          <t>GENERIC_CITY</t>
        </is>
      </c>
      <c r="C54" s="109" t="inlineStr">
        <is>
          <t>GENERIC_STATE</t>
        </is>
      </c>
      <c r="D54" s="109" t="inlineStr">
        <is>
          <t>00000</t>
        </is>
      </c>
      <c r="E54" s="109" t="n"/>
      <c r="F54" s="109" t="n"/>
      <c r="G54" s="109" t="n"/>
      <c r="H54" s="109" t="inlineStr">
        <is>
          <t>Y</t>
        </is>
      </c>
      <c r="I54" s="68" t="n"/>
      <c r="J54">
        <f>IF('House Count'!H54="Y",IF('House Count'!F54="RES-SFU",1,IF('House Count'!F54="RES-MDU",1,IF('House Count'!F54="RES-HOA",1,0))),0)</f>
        <v/>
      </c>
      <c r="K54">
        <f>IF('House Count'!H54="Y",IF('House Count'!F54="COMM-SU",1,IF('House Count'!F54="COM-MTU",1,IF('House Count'!F54="ENT",1,0))),0)</f>
        <v/>
      </c>
    </row>
    <row r="55">
      <c r="A55" s="109" t="inlineStr">
        <is>
          <t>4933 ALLANBROOKE LN</t>
        </is>
      </c>
      <c r="B55" s="109" t="inlineStr">
        <is>
          <t>GENERIC_CITY</t>
        </is>
      </c>
      <c r="C55" s="109" t="inlineStr">
        <is>
          <t>GENERIC_STATE</t>
        </is>
      </c>
      <c r="D55" s="109" t="inlineStr">
        <is>
          <t>00000</t>
        </is>
      </c>
      <c r="E55" s="109" t="n"/>
      <c r="F55" s="109" t="n"/>
      <c r="G55" s="109" t="n"/>
      <c r="H55" s="109" t="inlineStr">
        <is>
          <t>Y</t>
        </is>
      </c>
      <c r="I55" s="68" t="n"/>
      <c r="J55">
        <f>IF('House Count'!H55="Y",IF('House Count'!F55="RES-SFU",1,IF('House Count'!F55="RES-MDU",1,IF('House Count'!F55="RES-HOA",1,0))),0)</f>
        <v/>
      </c>
      <c r="K55">
        <f>IF('House Count'!H55="Y",IF('House Count'!F55="COMM-SU",1,IF('House Count'!F55="COM-MTU",1,IF('House Count'!F55="ENT",1,0))),0)</f>
        <v/>
      </c>
    </row>
    <row r="56">
      <c r="A56" s="109" t="inlineStr">
        <is>
          <t>4937 ALLANBROOKE LN</t>
        </is>
      </c>
      <c r="B56" s="109" t="inlineStr">
        <is>
          <t>GENERIC_CITY</t>
        </is>
      </c>
      <c r="C56" s="109" t="inlineStr">
        <is>
          <t>GENERIC_STATE</t>
        </is>
      </c>
      <c r="D56" s="109" t="inlineStr">
        <is>
          <t>00000</t>
        </is>
      </c>
      <c r="E56" s="109" t="n"/>
      <c r="F56" s="109" t="n"/>
      <c r="G56" s="109" t="n"/>
      <c r="H56" s="109" t="inlineStr">
        <is>
          <t>Y</t>
        </is>
      </c>
      <c r="I56" s="68" t="n"/>
      <c r="J56">
        <f>IF('House Count'!H56="Y",IF('House Count'!F56="RES-SFU",1,IF('House Count'!F56="RES-MDU",1,IF('House Count'!F56="RES-HOA",1,0))),0)</f>
        <v/>
      </c>
      <c r="K56">
        <f>IF('House Count'!H56="Y",IF('House Count'!F56="COMM-SU",1,IF('House Count'!F56="COM-MTU",1,IF('House Count'!F56="ENT",1,0))),0)</f>
        <v/>
      </c>
    </row>
    <row r="57">
      <c r="A57" s="109" t="inlineStr">
        <is>
          <t>4941 ALLANBROOKE LN</t>
        </is>
      </c>
      <c r="B57" s="109" t="inlineStr">
        <is>
          <t>GENERIC_CITY</t>
        </is>
      </c>
      <c r="C57" s="109" t="inlineStr">
        <is>
          <t>GENERIC_STATE</t>
        </is>
      </c>
      <c r="D57" s="109" t="inlineStr">
        <is>
          <t>00000</t>
        </is>
      </c>
      <c r="E57" s="109" t="n"/>
      <c r="F57" s="109" t="n"/>
      <c r="G57" s="109" t="n"/>
      <c r="H57" s="109" t="inlineStr">
        <is>
          <t>Y</t>
        </is>
      </c>
      <c r="I57" s="68" t="n"/>
      <c r="J57">
        <f>IF('House Count'!H57="Y",IF('House Count'!F57="RES-SFU",1,IF('House Count'!F57="RES-MDU",1,IF('House Count'!F57="RES-HOA",1,0))),0)</f>
        <v/>
      </c>
      <c r="K57">
        <f>IF('House Count'!H57="Y",IF('House Count'!F57="COMM-SU",1,IF('House Count'!F57="COM-MTU",1,IF('House Count'!F57="ENT",1,0))),0)</f>
        <v/>
      </c>
    </row>
    <row r="58">
      <c r="A58" s="109" t="inlineStr">
        <is>
          <t>4945 ALLANBROOKE LN</t>
        </is>
      </c>
      <c r="B58" s="109" t="inlineStr">
        <is>
          <t>GENERIC_CITY</t>
        </is>
      </c>
      <c r="C58" s="109" t="inlineStr">
        <is>
          <t>GENERIC_STATE</t>
        </is>
      </c>
      <c r="D58" s="109" t="inlineStr">
        <is>
          <t>00000</t>
        </is>
      </c>
      <c r="E58" s="109" t="n"/>
      <c r="F58" s="109" t="n"/>
      <c r="G58" s="109" t="n"/>
      <c r="H58" s="109" t="inlineStr">
        <is>
          <t>Y</t>
        </is>
      </c>
      <c r="I58" s="68" t="n"/>
      <c r="J58">
        <f>IF('House Count'!H58="Y",IF('House Count'!F58="RES-SFU",1,IF('House Count'!F58="RES-MDU",1,IF('House Count'!F58="RES-HOA",1,0))),0)</f>
        <v/>
      </c>
      <c r="K58">
        <f>IF('House Count'!H58="Y",IF('House Count'!F58="COMM-SU",1,IF('House Count'!F58="COM-MTU",1,IF('House Count'!F58="ENT",1,0))),0)</f>
        <v/>
      </c>
    </row>
    <row r="59">
      <c r="A59" s="109" t="inlineStr">
        <is>
          <t>4944 ALLANBROOKE LN</t>
        </is>
      </c>
      <c r="B59" s="109" t="inlineStr">
        <is>
          <t>GENERIC_CITY</t>
        </is>
      </c>
      <c r="C59" s="109" t="inlineStr">
        <is>
          <t>GENERIC_STATE</t>
        </is>
      </c>
      <c r="D59" s="109" t="inlineStr">
        <is>
          <t>00000</t>
        </is>
      </c>
      <c r="E59" s="109" t="n"/>
      <c r="F59" s="109" t="n"/>
      <c r="G59" s="109" t="n"/>
      <c r="H59" s="109" t="inlineStr">
        <is>
          <t>Y</t>
        </is>
      </c>
      <c r="I59" s="68" t="n"/>
      <c r="J59">
        <f>IF('House Count'!H59="Y",IF('House Count'!F59="RES-SFU",1,IF('House Count'!F59="RES-MDU",1,IF('House Count'!F59="RES-HOA",1,0))),0)</f>
        <v/>
      </c>
      <c r="K59">
        <f>IF('House Count'!H59="Y",IF('House Count'!F59="COMM-SU",1,IF('House Count'!F59="COM-MTU",1,IF('House Count'!F59="ENT",1,0))),0)</f>
        <v/>
      </c>
    </row>
    <row r="60">
      <c r="A60" s="109" t="inlineStr">
        <is>
          <t>4932 ALLANBROOKE LN</t>
        </is>
      </c>
      <c r="B60" s="109" t="inlineStr">
        <is>
          <t>GENERIC_CITY</t>
        </is>
      </c>
      <c r="C60" s="109" t="inlineStr">
        <is>
          <t>GENERIC_STATE</t>
        </is>
      </c>
      <c r="D60" s="109" t="inlineStr">
        <is>
          <t>00000</t>
        </is>
      </c>
      <c r="E60" s="109" t="n"/>
      <c r="F60" s="109" t="n"/>
      <c r="G60" s="109" t="n"/>
      <c r="H60" s="109" t="inlineStr">
        <is>
          <t>Y</t>
        </is>
      </c>
      <c r="I60" s="68" t="n"/>
      <c r="J60">
        <f>IF('House Count'!H60="Y",IF('House Count'!F60="RES-SFU",1,IF('House Count'!F60="RES-MDU",1,IF('House Count'!F60="RES-HOA",1,0))),0)</f>
        <v/>
      </c>
      <c r="K60">
        <f>IF('House Count'!H60="Y",IF('House Count'!F60="COMM-SU",1,IF('House Count'!F60="COM-MTU",1,IF('House Count'!F60="ENT",1,0))),0)</f>
        <v/>
      </c>
    </row>
    <row r="61" ht="15.75" customHeight="1" thickBot="1">
      <c r="A61" s="545" t="inlineStr">
        <is>
          <t>4917 ALLANBROOKE LN</t>
        </is>
      </c>
      <c r="B61" s="545" t="inlineStr">
        <is>
          <t>GENERIC_CITY</t>
        </is>
      </c>
      <c r="C61" s="545" t="inlineStr">
        <is>
          <t>GENERIC_STATE</t>
        </is>
      </c>
      <c r="D61" s="545" t="inlineStr">
        <is>
          <t>00000</t>
        </is>
      </c>
      <c r="E61" s="545" t="n"/>
      <c r="F61" s="545" t="n"/>
      <c r="G61" s="545" t="n"/>
      <c r="H61" s="545" t="inlineStr">
        <is>
          <t>Y</t>
        </is>
      </c>
      <c r="I61" s="546" t="n"/>
      <c r="J61">
        <f>IF('House Count'!H61="Y",IF('House Count'!F61="RES-SFU",1,IF('House Count'!F61="RES-MDU",1,IF('House Count'!F61="RES-HOA",1,0))),0)</f>
        <v/>
      </c>
      <c r="K61">
        <f>IF('House Count'!H61="Y",IF('House Count'!F61="COMM-SU",1,IF('House Count'!F61="COM-MTU",1,IF('House Count'!F61="ENT",1,0))),0)</f>
        <v/>
      </c>
    </row>
    <row r="62" ht="15.75" customHeight="1" thickTop="1">
      <c r="A62" s="109" t="inlineStr">
        <is>
          <t>4921 ALLANBROOKE LN</t>
        </is>
      </c>
      <c r="B62" s="109" t="inlineStr">
        <is>
          <t>GENERIC_CITY</t>
        </is>
      </c>
      <c r="C62" s="109" t="inlineStr">
        <is>
          <t>GENERIC_STATE</t>
        </is>
      </c>
      <c r="D62" s="109" t="inlineStr">
        <is>
          <t>00000</t>
        </is>
      </c>
      <c r="E62" s="109" t="n"/>
      <c r="F62" s="109" t="n"/>
      <c r="G62" s="109" t="n"/>
      <c r="H62" s="109" t="inlineStr">
        <is>
          <t>Y</t>
        </is>
      </c>
      <c r="I62" s="68" t="n"/>
      <c r="J62">
        <f>IF('House Count'!H62="Y",IF('House Count'!F62="RES-SFU",1,IF('House Count'!F62="RES-MDU",1,IF('House Count'!F62="RES-HOA",1,0))),0)</f>
        <v/>
      </c>
      <c r="K62">
        <f>IF('House Count'!H62="Y",IF('House Count'!F62="COMM-SU",1,IF('House Count'!F62="COM-MTU",1,IF('House Count'!F62="ENT",1,0))),0)</f>
        <v/>
      </c>
    </row>
    <row r="63">
      <c r="A63" s="109" t="inlineStr">
        <is>
          <t>4925 ALLANBROOKE LN</t>
        </is>
      </c>
      <c r="B63" s="109" t="inlineStr">
        <is>
          <t>GENERIC_CITY</t>
        </is>
      </c>
      <c r="C63" s="109" t="inlineStr">
        <is>
          <t>GENERIC_STATE</t>
        </is>
      </c>
      <c r="D63" s="109" t="inlineStr">
        <is>
          <t>00000</t>
        </is>
      </c>
      <c r="E63" s="109" t="n"/>
      <c r="F63" s="109" t="n"/>
      <c r="G63" s="109" t="n"/>
      <c r="H63" s="109" t="inlineStr">
        <is>
          <t>Y</t>
        </is>
      </c>
      <c r="I63" s="68" t="n"/>
      <c r="J63">
        <f>IF('House Count'!H63="Y",IF('House Count'!F63="RES-SFU",1,IF('House Count'!F63="RES-MDU",1,IF('House Count'!F63="RES-HOA",1,0))),0)</f>
        <v/>
      </c>
      <c r="K63">
        <f>IF('House Count'!H63="Y",IF('House Count'!F63="COMM-SU",1,IF('House Count'!F63="COM-MTU",1,IF('House Count'!F63="ENT",1,0))),0)</f>
        <v/>
      </c>
    </row>
    <row r="64">
      <c r="A64" s="109" t="inlineStr">
        <is>
          <t>4929 ALLANBROOKE LN</t>
        </is>
      </c>
      <c r="B64" s="109" t="inlineStr">
        <is>
          <t>GENERIC_CITY</t>
        </is>
      </c>
      <c r="C64" s="109" t="inlineStr">
        <is>
          <t>GENERIC_STATE</t>
        </is>
      </c>
      <c r="D64" s="109" t="inlineStr">
        <is>
          <t>00000</t>
        </is>
      </c>
      <c r="E64" s="109" t="n"/>
      <c r="F64" s="109" t="n"/>
      <c r="G64" s="109" t="n"/>
      <c r="H64" s="109" t="inlineStr">
        <is>
          <t>Y</t>
        </is>
      </c>
      <c r="I64" s="68" t="n"/>
      <c r="J64">
        <f>IF('House Count'!H64="Y",IF('House Count'!F64="RES-SFU",1,IF('House Count'!F64="RES-MDU",1,IF('House Count'!F64="RES-HOA",1,0))),0)</f>
        <v/>
      </c>
      <c r="K64">
        <f>IF('House Count'!H64="Y",IF('House Count'!F64="COMM-SU",1,IF('House Count'!F64="COM-MTU",1,IF('House Count'!F64="ENT",1,0))),0)</f>
        <v/>
      </c>
    </row>
    <row r="65">
      <c r="A65" s="109" t="inlineStr">
        <is>
          <t>4928 ALLANBROOKE LN</t>
        </is>
      </c>
      <c r="B65" s="109" t="inlineStr">
        <is>
          <t>GENERIC_CITY</t>
        </is>
      </c>
      <c r="C65" s="109" t="inlineStr">
        <is>
          <t>GENERIC_STATE</t>
        </is>
      </c>
      <c r="D65" s="109" t="inlineStr">
        <is>
          <t>00000</t>
        </is>
      </c>
      <c r="E65" s="109" t="n"/>
      <c r="F65" s="109" t="n"/>
      <c r="G65" s="109" t="n"/>
      <c r="H65" s="109" t="inlineStr">
        <is>
          <t>Y</t>
        </is>
      </c>
      <c r="I65" s="68" t="n"/>
      <c r="J65">
        <f>IF('House Count'!H65="Y",IF('House Count'!F65="RES-SFU",1,IF('House Count'!F65="RES-MDU",1,IF('House Count'!F65="RES-HOA",1,0))),0)</f>
        <v/>
      </c>
      <c r="K65">
        <f>IF('House Count'!H65="Y",IF('House Count'!F65="COMM-SU",1,IF('House Count'!F65="COM-MTU",1,IF('House Count'!F65="ENT",1,0))),0)</f>
        <v/>
      </c>
    </row>
    <row r="66">
      <c r="A66" s="109" t="inlineStr">
        <is>
          <t>4924 ALLANBROOKE LN</t>
        </is>
      </c>
      <c r="B66" s="109" t="inlineStr">
        <is>
          <t>GENERIC_CITY</t>
        </is>
      </c>
      <c r="C66" s="109" t="inlineStr">
        <is>
          <t>GENERIC_STATE</t>
        </is>
      </c>
      <c r="D66" s="109" t="inlineStr">
        <is>
          <t>00000</t>
        </is>
      </c>
      <c r="E66" s="109" t="n"/>
      <c r="F66" s="109" t="n"/>
      <c r="G66" s="109" t="n"/>
      <c r="H66" s="109" t="inlineStr">
        <is>
          <t>Y</t>
        </is>
      </c>
      <c r="I66" s="68" t="n"/>
      <c r="J66">
        <f>IF('House Count'!H66="Y",IF('House Count'!F66="RES-SFU",1,IF('House Count'!F66="RES-MDU",1,IF('House Count'!F66="RES-HOA",1,0))),0)</f>
        <v/>
      </c>
      <c r="K66">
        <f>IF('House Count'!H66="Y",IF('House Count'!F66="COMM-SU",1,IF('House Count'!F66="COM-MTU",1,IF('House Count'!F66="ENT",1,0))),0)</f>
        <v/>
      </c>
    </row>
    <row r="67">
      <c r="A67" s="109" t="inlineStr">
        <is>
          <t>4920 ALLANBROOKE LN</t>
        </is>
      </c>
      <c r="B67" s="109" t="inlineStr">
        <is>
          <t>GENERIC_CITY</t>
        </is>
      </c>
      <c r="C67" s="109" t="inlineStr">
        <is>
          <t>GENERIC_STATE</t>
        </is>
      </c>
      <c r="D67" s="109" t="inlineStr">
        <is>
          <t>00000</t>
        </is>
      </c>
      <c r="E67" s="109" t="n"/>
      <c r="F67" s="109" t="n"/>
      <c r="G67" s="109" t="n"/>
      <c r="H67" s="109" t="inlineStr">
        <is>
          <t>Y</t>
        </is>
      </c>
      <c r="I67" s="68" t="n"/>
      <c r="J67">
        <f>IF('House Count'!H67="Y",IF('House Count'!F67="RES-SFU",1,IF('House Count'!F67="RES-MDU",1,IF('House Count'!F67="RES-HOA",1,0))),0)</f>
        <v/>
      </c>
      <c r="K67">
        <f>IF('House Count'!H67="Y",IF('House Count'!F67="COMM-SU",1,IF('House Count'!F67="COM-MTU",1,IF('House Count'!F67="ENT",1,0))),0)</f>
        <v/>
      </c>
    </row>
    <row r="68">
      <c r="A68" s="109" t="inlineStr">
        <is>
          <t>4916 ALLANBROOKE LN</t>
        </is>
      </c>
      <c r="B68" s="109" t="inlineStr">
        <is>
          <t>GENERIC_CITY</t>
        </is>
      </c>
      <c r="C68" s="109" t="inlineStr">
        <is>
          <t>GENERIC_STATE</t>
        </is>
      </c>
      <c r="D68" s="109" t="inlineStr">
        <is>
          <t>00000</t>
        </is>
      </c>
      <c r="E68" s="109" t="n"/>
      <c r="F68" s="109" t="n"/>
      <c r="G68" s="109" t="n"/>
      <c r="H68" s="109" t="inlineStr">
        <is>
          <t>Y</t>
        </is>
      </c>
      <c r="I68" s="68" t="n"/>
      <c r="J68">
        <f>IF('House Count'!H68="Y",IF('House Count'!F68="RES-SFU",1,IF('House Count'!F68="RES-MDU",1,IF('House Count'!F68="RES-HOA",1,0))),0)</f>
        <v/>
      </c>
      <c r="K68">
        <f>IF('House Count'!H68="Y",IF('House Count'!F68="COMM-SU",1,IF('House Count'!F68="COM-MTU",1,IF('House Count'!F68="ENT",1,0))),0)</f>
        <v/>
      </c>
    </row>
    <row r="69">
      <c r="A69" s="109" t="inlineStr">
        <is>
          <t>5125 HILLTOP NEEDMORE RD</t>
        </is>
      </c>
      <c r="B69" s="109" t="inlineStr">
        <is>
          <t>GENERIC_CITY</t>
        </is>
      </c>
      <c r="C69" s="109" t="inlineStr">
        <is>
          <t>GENERIC_STATE</t>
        </is>
      </c>
      <c r="D69" s="109" t="inlineStr">
        <is>
          <t>00000</t>
        </is>
      </c>
      <c r="E69" s="109" t="n"/>
      <c r="F69" s="109" t="n"/>
      <c r="G69" s="109" t="n"/>
      <c r="H69" s="109" t="inlineStr">
        <is>
          <t>Y</t>
        </is>
      </c>
      <c r="I69" s="68" t="n"/>
      <c r="J69">
        <f>IF('House Count'!H69="Y",IF('House Count'!F69="RES-SFU",1,IF('House Count'!F69="RES-MDU",1,IF('House Count'!F69="RES-HOA",1,0))),0)</f>
        <v/>
      </c>
      <c r="K69">
        <f>IF('House Count'!H69="Y",IF('House Count'!F69="COMM-SU",1,IF('House Count'!F69="COM-MTU",1,IF('House Count'!F69="ENT",1,0))),0)</f>
        <v/>
      </c>
    </row>
    <row r="70">
      <c r="A70" s="109" t="inlineStr">
        <is>
          <t>5201 HILLTOP NEEDMORE RD</t>
        </is>
      </c>
      <c r="B70" s="109" t="inlineStr">
        <is>
          <t>GENERIC_CITY</t>
        </is>
      </c>
      <c r="C70" s="109" t="inlineStr">
        <is>
          <t>GENERIC_STATE</t>
        </is>
      </c>
      <c r="D70" s="109" t="inlineStr">
        <is>
          <t>00000</t>
        </is>
      </c>
      <c r="E70" s="109" t="n"/>
      <c r="F70" s="109" t="n"/>
      <c r="G70" s="109" t="n"/>
      <c r="H70" s="109" t="inlineStr">
        <is>
          <t>Y</t>
        </is>
      </c>
      <c r="I70" s="68" t="n"/>
      <c r="J70">
        <f>IF('House Count'!H70="Y",IF('House Count'!F70="RES-SFU",1,IF('House Count'!F70="RES-MDU",1,IF('House Count'!F70="RES-HOA",1,0))),0)</f>
        <v/>
      </c>
      <c r="K70">
        <f>IF('House Count'!H70="Y",IF('House Count'!F70="COMM-SU",1,IF('House Count'!F70="COM-MTU",1,IF('House Count'!F70="ENT",1,0))),0)</f>
        <v/>
      </c>
    </row>
    <row r="71">
      <c r="A71" s="109" t="inlineStr">
        <is>
          <t>5205 HILLTOP NEEDMORE RD</t>
        </is>
      </c>
      <c r="B71" s="109" t="inlineStr">
        <is>
          <t>GENERIC_CITY</t>
        </is>
      </c>
      <c r="C71" s="109" t="inlineStr">
        <is>
          <t>GENERIC_STATE</t>
        </is>
      </c>
      <c r="D71" s="109" t="inlineStr">
        <is>
          <t>00000</t>
        </is>
      </c>
      <c r="E71" s="109" t="n"/>
      <c r="F71" s="109" t="n"/>
      <c r="G71" s="109" t="n"/>
      <c r="H71" s="109" t="inlineStr">
        <is>
          <t>Y</t>
        </is>
      </c>
      <c r="I71" s="68" t="n"/>
      <c r="J71">
        <f>IF('House Count'!H71="Y",IF('House Count'!F71="RES-SFU",1,IF('House Count'!F71="RES-MDU",1,IF('House Count'!F71="RES-HOA",1,0))),0)</f>
        <v/>
      </c>
      <c r="K71">
        <f>IF('House Count'!H71="Y",IF('House Count'!F71="COMM-SU",1,IF('House Count'!F71="COM-MTU",1,IF('House Count'!F71="ENT",1,0))),0)</f>
        <v/>
      </c>
    </row>
    <row r="72">
      <c r="A72" s="109" t="inlineStr">
        <is>
          <t>5209 HILLTOP NEEDMORE RD</t>
        </is>
      </c>
      <c r="B72" s="109" t="inlineStr">
        <is>
          <t>GENERIC_CITY</t>
        </is>
      </c>
      <c r="C72" s="109" t="inlineStr">
        <is>
          <t>GENERIC_STATE</t>
        </is>
      </c>
      <c r="D72" s="109" t="inlineStr">
        <is>
          <t>00000</t>
        </is>
      </c>
      <c r="E72" s="109" t="n"/>
      <c r="F72" s="109" t="n"/>
      <c r="G72" s="109" t="n"/>
      <c r="H72" s="109" t="inlineStr">
        <is>
          <t>Y</t>
        </is>
      </c>
      <c r="I72" s="68" t="n"/>
      <c r="J72">
        <f>IF('House Count'!H72="Y",IF('House Count'!F72="RES-SFU",1,IF('House Count'!F72="RES-MDU",1,IF('House Count'!F72="RES-HOA",1,0))),0)</f>
        <v/>
      </c>
      <c r="K72">
        <f>IF('House Count'!H72="Y",IF('House Count'!F72="COMM-SU",1,IF('House Count'!F72="COM-MTU",1,IF('House Count'!F72="ENT",1,0))),0)</f>
        <v/>
      </c>
    </row>
    <row r="73" ht="15.75" customHeight="1" thickBot="1">
      <c r="A73" s="545" t="inlineStr">
        <is>
          <t>5209 RIVINGTON RD</t>
        </is>
      </c>
      <c r="B73" s="545" t="inlineStr">
        <is>
          <t>GENERIC_CITY</t>
        </is>
      </c>
      <c r="C73" s="545" t="inlineStr">
        <is>
          <t>GENERIC_STATE</t>
        </is>
      </c>
      <c r="D73" s="545" t="inlineStr">
        <is>
          <t>00000</t>
        </is>
      </c>
      <c r="E73" s="545" t="n"/>
      <c r="F73" s="545" t="n"/>
      <c r="G73" s="545" t="n"/>
      <c r="H73" s="545" t="inlineStr">
        <is>
          <t>Y</t>
        </is>
      </c>
      <c r="I73" s="546" t="n"/>
      <c r="J73">
        <f>IF('House Count'!H73="Y",IF('House Count'!F73="RES-SFU",1,IF('House Count'!F73="RES-MDU",1,IF('House Count'!F73="RES-HOA",1,0))),0)</f>
        <v/>
      </c>
      <c r="K73">
        <f>IF('House Count'!H73="Y",IF('House Count'!F73="COMM-SU",1,IF('House Count'!F73="COM-MTU",1,IF('House Count'!F73="ENT",1,0))),0)</f>
        <v/>
      </c>
    </row>
    <row r="74" ht="15.75" customHeight="1" thickTop="1">
      <c r="A74" s="109" t="inlineStr">
        <is>
          <t>5205 RIVINGTON RD</t>
        </is>
      </c>
      <c r="B74" s="109" t="inlineStr">
        <is>
          <t>GENERIC_CITY</t>
        </is>
      </c>
      <c r="C74" s="109" t="inlineStr">
        <is>
          <t>GENERIC_STATE</t>
        </is>
      </c>
      <c r="D74" s="109" t="inlineStr">
        <is>
          <t>00000</t>
        </is>
      </c>
      <c r="E74" s="109" t="n"/>
      <c r="F74" s="109" t="n"/>
      <c r="G74" s="109" t="n"/>
      <c r="H74" s="109" t="inlineStr">
        <is>
          <t>Y</t>
        </is>
      </c>
      <c r="I74" s="68" t="n"/>
      <c r="J74">
        <f>IF('House Count'!H74="Y",IF('House Count'!F74="RES-SFU",1,IF('House Count'!F74="RES-MDU",1,IF('House Count'!F74="RES-HOA",1,0))),0)</f>
        <v/>
      </c>
      <c r="K74">
        <f>IF('House Count'!H74="Y",IF('House Count'!F74="COMM-SU",1,IF('House Count'!F74="COM-MTU",1,IF('House Count'!F74="ENT",1,0))),0)</f>
        <v/>
      </c>
    </row>
    <row r="75">
      <c r="A75" s="109" t="inlineStr">
        <is>
          <t>5204 RIVINGTON RD</t>
        </is>
      </c>
      <c r="B75" s="109" t="inlineStr">
        <is>
          <t>GENERIC_CITY</t>
        </is>
      </c>
      <c r="C75" s="109" t="inlineStr">
        <is>
          <t>GENERIC_STATE</t>
        </is>
      </c>
      <c r="D75" s="109" t="inlineStr">
        <is>
          <t>00000</t>
        </is>
      </c>
      <c r="E75" s="109" t="n"/>
      <c r="F75" s="109" t="n"/>
      <c r="G75" s="109" t="n"/>
      <c r="H75" s="109" t="inlineStr">
        <is>
          <t>Y</t>
        </is>
      </c>
      <c r="I75" s="68" t="n"/>
      <c r="J75">
        <f>IF('House Count'!H75="Y",IF('House Count'!F75="RES-SFU",1,IF('House Count'!F75="RES-MDU",1,IF('House Count'!F75="RES-HOA",1,0))),0)</f>
        <v/>
      </c>
      <c r="K75">
        <f>IF('House Count'!H75="Y",IF('House Count'!F75="COMM-SU",1,IF('House Count'!F75="COM-MTU",1,IF('House Count'!F75="ENT",1,0))),0)</f>
        <v/>
      </c>
    </row>
    <row r="76">
      <c r="A76" s="109" t="inlineStr">
        <is>
          <t>5208 RIVINGTON RD</t>
        </is>
      </c>
      <c r="B76" s="109" t="inlineStr">
        <is>
          <t>GENERIC_CITY</t>
        </is>
      </c>
      <c r="C76" s="109" t="inlineStr">
        <is>
          <t>GENERIC_STATE</t>
        </is>
      </c>
      <c r="D76" s="109" t="inlineStr">
        <is>
          <t>00000</t>
        </is>
      </c>
      <c r="E76" s="109" t="n"/>
      <c r="F76" s="109" t="n"/>
      <c r="G76" s="109" t="n"/>
      <c r="H76" s="109" t="inlineStr">
        <is>
          <t>Y</t>
        </is>
      </c>
      <c r="I76" s="68" t="n"/>
      <c r="J76">
        <f>IF('House Count'!H76="Y",IF('House Count'!F76="RES-SFU",1,IF('House Count'!F76="RES-MDU",1,IF('House Count'!F76="RES-HOA",1,0))),0)</f>
        <v/>
      </c>
      <c r="K76">
        <f>IF('House Count'!H76="Y",IF('House Count'!F76="COMM-SU",1,IF('House Count'!F76="COM-MTU",1,IF('House Count'!F76="ENT",1,0))),0)</f>
        <v/>
      </c>
    </row>
    <row r="77">
      <c r="A77" s="109" t="inlineStr">
        <is>
          <t>5221 RIVINGTON RD</t>
        </is>
      </c>
      <c r="B77" s="109" t="inlineStr">
        <is>
          <t>GENERIC_CITY</t>
        </is>
      </c>
      <c r="C77" s="109" t="inlineStr">
        <is>
          <t>GENERIC_STATE</t>
        </is>
      </c>
      <c r="D77" s="109" t="inlineStr">
        <is>
          <t>00000</t>
        </is>
      </c>
      <c r="E77" s="109" t="n"/>
      <c r="F77" s="109" t="n"/>
      <c r="G77" s="109" t="n"/>
      <c r="H77" s="109" t="inlineStr">
        <is>
          <t>Y</t>
        </is>
      </c>
      <c r="I77" s="68" t="n"/>
      <c r="J77">
        <f>IF('House Count'!H77="Y",IF('House Count'!F77="RES-SFU",1,IF('House Count'!F77="RES-MDU",1,IF('House Count'!F77="RES-HOA",1,0))),0)</f>
        <v/>
      </c>
      <c r="K77">
        <f>IF('House Count'!H77="Y",IF('House Count'!F77="COMM-SU",1,IF('House Count'!F77="COM-MTU",1,IF('House Count'!F77="ENT",1,0))),0)</f>
        <v/>
      </c>
    </row>
    <row r="78">
      <c r="A78" s="109" t="inlineStr">
        <is>
          <t>5213 RIVINGTON RD</t>
        </is>
      </c>
      <c r="B78" s="109" t="inlineStr">
        <is>
          <t>GENERIC_CITY</t>
        </is>
      </c>
      <c r="C78" s="109" t="inlineStr">
        <is>
          <t>GENERIC_STATE</t>
        </is>
      </c>
      <c r="D78" s="109" t="inlineStr">
        <is>
          <t>00000</t>
        </is>
      </c>
      <c r="E78" s="109" t="n"/>
      <c r="F78" s="109" t="n"/>
      <c r="G78" s="109" t="n"/>
      <c r="H78" s="109" t="inlineStr">
        <is>
          <t>Y</t>
        </is>
      </c>
      <c r="I78" s="68" t="n"/>
      <c r="J78">
        <f>IF('House Count'!H78="Y",IF('House Count'!F78="RES-SFU",1,IF('House Count'!F78="RES-MDU",1,IF('House Count'!F78="RES-HOA",1,0))),0)</f>
        <v/>
      </c>
      <c r="K78">
        <f>IF('House Count'!H78="Y",IF('House Count'!F78="COMM-SU",1,IF('House Count'!F78="COM-MTU",1,IF('House Count'!F78="ENT",1,0))),0)</f>
        <v/>
      </c>
    </row>
    <row r="79">
      <c r="A79" s="109" t="inlineStr">
        <is>
          <t>5212 RIVINGTON RD</t>
        </is>
      </c>
      <c r="B79" s="109" t="inlineStr">
        <is>
          <t>GENERIC_CITY</t>
        </is>
      </c>
      <c r="C79" s="109" t="inlineStr">
        <is>
          <t>GENERIC_STATE</t>
        </is>
      </c>
      <c r="D79" s="109" t="inlineStr">
        <is>
          <t>00000</t>
        </is>
      </c>
      <c r="E79" s="109" t="n"/>
      <c r="F79" s="109" t="n"/>
      <c r="G79" s="109" t="n"/>
      <c r="H79" s="109" t="inlineStr">
        <is>
          <t>Y</t>
        </is>
      </c>
      <c r="I79" s="68" t="n"/>
      <c r="J79">
        <f>IF('House Count'!H79="Y",IF('House Count'!F79="RES-SFU",1,IF('House Count'!F79="RES-MDU",1,IF('House Count'!F79="RES-HOA",1,0))),0)</f>
        <v/>
      </c>
      <c r="K79">
        <f>IF('House Count'!H79="Y",IF('House Count'!F79="COMM-SU",1,IF('House Count'!F79="COM-MTU",1,IF('House Count'!F79="ENT",1,0))),0)</f>
        <v/>
      </c>
    </row>
    <row r="80">
      <c r="A80" s="109" t="inlineStr">
        <is>
          <t>5216 RIVINGTON RD</t>
        </is>
      </c>
      <c r="B80" s="109" t="inlineStr">
        <is>
          <t>GENERIC_CITY</t>
        </is>
      </c>
      <c r="C80" s="109" t="inlineStr">
        <is>
          <t>GENERIC_STATE</t>
        </is>
      </c>
      <c r="D80" s="109" t="inlineStr">
        <is>
          <t>00000</t>
        </is>
      </c>
      <c r="E80" s="109" t="n"/>
      <c r="F80" s="109" t="n"/>
      <c r="G80" s="109" t="n"/>
      <c r="H80" s="109" t="inlineStr">
        <is>
          <t>Y</t>
        </is>
      </c>
      <c r="I80" s="68" t="n"/>
      <c r="J80">
        <f>IF('House Count'!H80="Y",IF('House Count'!F80="RES-SFU",1,IF('House Count'!F80="RES-MDU",1,IF('House Count'!F80="RES-HOA",1,0))),0)</f>
        <v/>
      </c>
      <c r="K80">
        <f>IF('House Count'!H80="Y",IF('House Count'!F80="COMM-SU",1,IF('House Count'!F80="COM-MTU",1,IF('House Count'!F80="ENT",1,0))),0)</f>
        <v/>
      </c>
    </row>
    <row r="81">
      <c r="A81" s="109" t="inlineStr">
        <is>
          <t>5220 RIVINGTON RD</t>
        </is>
      </c>
      <c r="B81" s="109" t="inlineStr">
        <is>
          <t>GENERIC_CITY</t>
        </is>
      </c>
      <c r="C81" s="109" t="inlineStr">
        <is>
          <t>GENERIC_STATE</t>
        </is>
      </c>
      <c r="D81" s="109" t="inlineStr">
        <is>
          <t>00000</t>
        </is>
      </c>
      <c r="E81" s="109" t="n"/>
      <c r="F81" s="109" t="n"/>
      <c r="G81" s="109" t="n"/>
      <c r="H81" s="109" t="inlineStr">
        <is>
          <t>Y</t>
        </is>
      </c>
      <c r="I81" s="68" t="n"/>
      <c r="J81">
        <f>IF('House Count'!H81="Y",IF('House Count'!F81="RES-SFU",1,IF('House Count'!F81="RES-MDU",1,IF('House Count'!F81="RES-HOA",1,0))),0)</f>
        <v/>
      </c>
      <c r="K81">
        <f>IF('House Count'!H81="Y",IF('House Count'!F81="COMM-SU",1,IF('House Count'!F81="COM-MTU",1,IF('House Count'!F81="ENT",1,0))),0)</f>
        <v/>
      </c>
    </row>
    <row r="82">
      <c r="A82" s="109" t="inlineStr">
        <is>
          <t>5224 RIVINGTON RD</t>
        </is>
      </c>
      <c r="B82" s="109" t="inlineStr">
        <is>
          <t>GENERIC_CITY</t>
        </is>
      </c>
      <c r="C82" s="109" t="inlineStr">
        <is>
          <t>GENERIC_STATE</t>
        </is>
      </c>
      <c r="D82" s="109" t="inlineStr">
        <is>
          <t>00000</t>
        </is>
      </c>
      <c r="E82" s="109" t="n"/>
      <c r="F82" s="109" t="n"/>
      <c r="G82" s="109" t="n"/>
      <c r="H82" s="109" t="inlineStr">
        <is>
          <t>Y</t>
        </is>
      </c>
      <c r="I82" s="68" t="n"/>
      <c r="J82">
        <f>IF('House Count'!H82="Y",IF('House Count'!F82="RES-SFU",1,IF('House Count'!F82="RES-MDU",1,IF('House Count'!F82="RES-HOA",1,0))),0)</f>
        <v/>
      </c>
      <c r="K82">
        <f>IF('House Count'!H82="Y",IF('House Count'!F82="COMM-SU",1,IF('House Count'!F82="COM-MTU",1,IF('House Count'!F82="ENT",1,0))),0)</f>
        <v/>
      </c>
    </row>
    <row r="83">
      <c r="A83" s="109" t="inlineStr">
        <is>
          <t>5228 RIVINGTON RD</t>
        </is>
      </c>
      <c r="B83" s="109" t="inlineStr">
        <is>
          <t>GENERIC_CITY</t>
        </is>
      </c>
      <c r="C83" s="109" t="inlineStr">
        <is>
          <t>GENERIC_STATE</t>
        </is>
      </c>
      <c r="D83" s="109" t="inlineStr">
        <is>
          <t>00000</t>
        </is>
      </c>
      <c r="E83" s="109" t="n"/>
      <c r="F83" s="109" t="n"/>
      <c r="G83" s="109" t="n"/>
      <c r="H83" s="109" t="inlineStr">
        <is>
          <t>Y</t>
        </is>
      </c>
      <c r="I83" s="68" t="n"/>
      <c r="J83">
        <f>IF('House Count'!H83="Y",IF('House Count'!F83="RES-SFU",1,IF('House Count'!F83="RES-MDU",1,IF('House Count'!F83="RES-HOA",1,0))),0)</f>
        <v/>
      </c>
      <c r="K83">
        <f>IF('House Count'!H83="Y",IF('House Count'!F83="COMM-SU",1,IF('House Count'!F83="COM-MTU",1,IF('House Count'!F83="ENT",1,0))),0)</f>
        <v/>
      </c>
    </row>
    <row r="84">
      <c r="A84" s="109" t="inlineStr">
        <is>
          <t>5232 RIVINGTON RD</t>
        </is>
      </c>
      <c r="B84" s="109" t="inlineStr">
        <is>
          <t>GENERIC_CITY</t>
        </is>
      </c>
      <c r="C84" s="109" t="inlineStr">
        <is>
          <t>GENERIC_STATE</t>
        </is>
      </c>
      <c r="D84" s="109" t="inlineStr">
        <is>
          <t>00000</t>
        </is>
      </c>
      <c r="E84" s="109" t="n"/>
      <c r="F84" s="109" t="n"/>
      <c r="G84" s="109" t="n"/>
      <c r="H84" s="109" t="inlineStr">
        <is>
          <t>Y</t>
        </is>
      </c>
      <c r="I84" s="68" t="n"/>
      <c r="J84">
        <f>IF('House Count'!H84="Y",IF('House Count'!F84="RES-SFU",1,IF('House Count'!F84="RES-MDU",1,IF('House Count'!F84="RES-HOA",1,0))),0)</f>
        <v/>
      </c>
      <c r="K84">
        <f>IF('House Count'!H84="Y",IF('House Count'!F84="COMM-SU",1,IF('House Count'!F84="COM-MTU",1,IF('House Count'!F84="ENT",1,0))),0)</f>
        <v/>
      </c>
    </row>
    <row r="85" ht="15.75" customHeight="1" thickBot="1">
      <c r="A85" s="545" t="inlineStr">
        <is>
          <t>6641 OLD MILLS RD</t>
        </is>
      </c>
      <c r="B85" s="545" t="inlineStr">
        <is>
          <t>GENERIC_CITY</t>
        </is>
      </c>
      <c r="C85" s="545" t="inlineStr">
        <is>
          <t>GENERIC_STATE</t>
        </is>
      </c>
      <c r="D85" s="545" t="inlineStr">
        <is>
          <t>00000</t>
        </is>
      </c>
      <c r="E85" s="545" t="n"/>
      <c r="F85" s="545" t="n"/>
      <c r="G85" s="545" t="n"/>
      <c r="H85" s="545" t="inlineStr">
        <is>
          <t>Y</t>
        </is>
      </c>
      <c r="I85" s="546" t="n"/>
      <c r="J85">
        <f>IF('House Count'!H85="Y",IF('House Count'!F85="RES-SFU",1,IF('House Count'!F85="RES-MDU",1,IF('House Count'!F85="RES-HOA",1,0))),0)</f>
        <v/>
      </c>
      <c r="K85">
        <f>IF('House Count'!H85="Y",IF('House Count'!F85="COMM-SU",1,IF('House Count'!F85="COM-MTU",1,IF('House Count'!F85="ENT",1,0))),0)</f>
        <v/>
      </c>
    </row>
    <row r="86" ht="15.75" customHeight="1" thickTop="1">
      <c r="A86" s="109" t="inlineStr">
        <is>
          <t>5305 RIVINGTON RD</t>
        </is>
      </c>
      <c r="B86" s="109" t="inlineStr">
        <is>
          <t>GENERIC_CITY</t>
        </is>
      </c>
      <c r="C86" s="109" t="inlineStr">
        <is>
          <t>GENERIC_STATE</t>
        </is>
      </c>
      <c r="D86" s="109" t="inlineStr">
        <is>
          <t>00000</t>
        </is>
      </c>
      <c r="E86" s="109" t="n"/>
      <c r="F86" s="109" t="n"/>
      <c r="G86" s="109" t="n"/>
      <c r="H86" s="109" t="inlineStr">
        <is>
          <t>Y</t>
        </is>
      </c>
      <c r="I86" s="68" t="n"/>
      <c r="J86">
        <f>IF('House Count'!H86="Y",IF('House Count'!F86="RES-SFU",1,IF('House Count'!F86="RES-MDU",1,IF('House Count'!F86="RES-HOA",1,0))),0)</f>
        <v/>
      </c>
      <c r="K86">
        <f>IF('House Count'!H86="Y",IF('House Count'!F86="COMM-SU",1,IF('House Count'!F86="COM-MTU",1,IF('House Count'!F86="ENT",1,0))),0)</f>
        <v/>
      </c>
    </row>
    <row r="87">
      <c r="A87" s="109" t="inlineStr">
        <is>
          <t>5300 RIVINGTON RD</t>
        </is>
      </c>
      <c r="B87" s="109" t="inlineStr">
        <is>
          <t>GENERIC_CITY</t>
        </is>
      </c>
      <c r="C87" s="109" t="inlineStr">
        <is>
          <t>GENERIC_STATE</t>
        </is>
      </c>
      <c r="D87" s="109" t="inlineStr">
        <is>
          <t>00000</t>
        </is>
      </c>
      <c r="E87" s="109" t="n"/>
      <c r="F87" s="109" t="n"/>
      <c r="G87" s="109" t="n"/>
      <c r="H87" s="109" t="inlineStr">
        <is>
          <t>Y</t>
        </is>
      </c>
      <c r="I87" s="68" t="n"/>
      <c r="J87">
        <f>IF('House Count'!H87="Y",IF('House Count'!F87="RES-SFU",1,IF('House Count'!F87="RES-MDU",1,IF('House Count'!F87="RES-HOA",1,0))),0)</f>
        <v/>
      </c>
      <c r="K87">
        <f>IF('House Count'!H87="Y",IF('House Count'!F87="COMM-SU",1,IF('House Count'!F87="COM-MTU",1,IF('House Count'!F87="ENT",1,0))),0)</f>
        <v/>
      </c>
    </row>
    <row r="88">
      <c r="A88" s="109" t="inlineStr">
        <is>
          <t>5309 RIVINGTON RD</t>
        </is>
      </c>
      <c r="B88" s="109" t="inlineStr">
        <is>
          <t>GENERIC_CITY</t>
        </is>
      </c>
      <c r="C88" s="109" t="inlineStr">
        <is>
          <t>GENERIC_STATE</t>
        </is>
      </c>
      <c r="D88" s="109" t="inlineStr">
        <is>
          <t>00000</t>
        </is>
      </c>
      <c r="E88" s="109" t="n"/>
      <c r="F88" s="109" t="n"/>
      <c r="G88" s="109" t="n"/>
      <c r="H88" s="109" t="inlineStr">
        <is>
          <t>Y</t>
        </is>
      </c>
      <c r="I88" s="68" t="n"/>
      <c r="J88">
        <f>IF('House Count'!H88="Y",IF('House Count'!F88="RES-SFU",1,IF('House Count'!F88="RES-MDU",1,IF('House Count'!F88="RES-HOA",1,0))),0)</f>
        <v/>
      </c>
      <c r="K88">
        <f>IF('House Count'!H88="Y",IF('House Count'!F88="COMM-SU",1,IF('House Count'!F88="COM-MTU",1,IF('House Count'!F88="ENT",1,0))),0)</f>
        <v/>
      </c>
    </row>
    <row r="89">
      <c r="A89" s="109" t="inlineStr">
        <is>
          <t>5308 RIVINGTON RD</t>
        </is>
      </c>
      <c r="B89" s="109" t="inlineStr">
        <is>
          <t>GENERIC_CITY</t>
        </is>
      </c>
      <c r="C89" s="109" t="inlineStr">
        <is>
          <t>GENERIC_STATE</t>
        </is>
      </c>
      <c r="D89" s="109" t="inlineStr">
        <is>
          <t>00000</t>
        </is>
      </c>
      <c r="E89" s="109" t="n"/>
      <c r="F89" s="109" t="n"/>
      <c r="G89" s="109" t="n"/>
      <c r="H89" s="109" t="inlineStr">
        <is>
          <t>Y</t>
        </is>
      </c>
      <c r="I89" s="68" t="n"/>
      <c r="J89">
        <f>IF('House Count'!H89="Y",IF('House Count'!F89="RES-SFU",1,IF('House Count'!F89="RES-MDU",1,IF('House Count'!F89="RES-HOA",1,0))),0)</f>
        <v/>
      </c>
      <c r="K89">
        <f>IF('House Count'!H89="Y",IF('House Count'!F89="COMM-SU",1,IF('House Count'!F89="COM-MTU",1,IF('House Count'!F89="ENT",1,0))),0)</f>
        <v/>
      </c>
    </row>
    <row r="90">
      <c r="A90" s="109" t="inlineStr">
        <is>
          <t>5009 NORTHRIDING CT</t>
        </is>
      </c>
      <c r="B90" s="109" t="inlineStr">
        <is>
          <t>GENERIC_CITY</t>
        </is>
      </c>
      <c r="C90" s="109" t="inlineStr">
        <is>
          <t>GENERIC_STATE</t>
        </is>
      </c>
      <c r="D90" s="109" t="inlineStr">
        <is>
          <t>00000</t>
        </is>
      </c>
      <c r="E90" s="109" t="n"/>
      <c r="F90" s="109" t="n"/>
      <c r="G90" s="109" t="n"/>
      <c r="H90" s="109" t="inlineStr">
        <is>
          <t>Y</t>
        </is>
      </c>
      <c r="I90" s="68" t="n"/>
      <c r="J90">
        <f>IF('House Count'!H90="Y",IF('House Count'!F90="RES-SFU",1,IF('House Count'!F90="RES-MDU",1,IF('House Count'!F90="RES-HOA",1,0))),0)</f>
        <v/>
      </c>
      <c r="K90">
        <f>IF('House Count'!H90="Y",IF('House Count'!F90="COMM-SU",1,IF('House Count'!F90="COM-MTU",1,IF('House Count'!F90="ENT",1,0))),0)</f>
        <v/>
      </c>
    </row>
    <row r="91">
      <c r="A91" s="109" t="inlineStr">
        <is>
          <t>5229 RIVINGTON RD</t>
        </is>
      </c>
      <c r="B91" s="109" t="inlineStr">
        <is>
          <t>GENERIC_CITY</t>
        </is>
      </c>
      <c r="C91" s="109" t="inlineStr">
        <is>
          <t>GENERIC_STATE</t>
        </is>
      </c>
      <c r="D91" s="109" t="inlineStr">
        <is>
          <t>00000</t>
        </is>
      </c>
      <c r="E91" s="109" t="n"/>
      <c r="F91" s="109" t="n"/>
      <c r="G91" s="109" t="n"/>
      <c r="H91" s="109" t="inlineStr">
        <is>
          <t>Y</t>
        </is>
      </c>
      <c r="I91" s="68" t="n"/>
      <c r="J91">
        <f>IF('House Count'!H91="Y",IF('House Count'!F91="RES-SFU",1,IF('House Count'!F91="RES-MDU",1,IF('House Count'!F91="RES-HOA",1,0))),0)</f>
        <v/>
      </c>
      <c r="K91">
        <f>IF('House Count'!H91="Y",IF('House Count'!F91="COMM-SU",1,IF('House Count'!F91="COM-MTU",1,IF('House Count'!F91="ENT",1,0))),0)</f>
        <v/>
      </c>
    </row>
    <row r="92">
      <c r="A92" s="109" t="inlineStr">
        <is>
          <t>5000 NORTHRIDING CT</t>
        </is>
      </c>
      <c r="B92" s="109" t="inlineStr">
        <is>
          <t>GENERIC_CITY</t>
        </is>
      </c>
      <c r="C92" s="109" t="inlineStr">
        <is>
          <t>GENERIC_STATE</t>
        </is>
      </c>
      <c r="D92" s="109" t="inlineStr">
        <is>
          <t>00000</t>
        </is>
      </c>
      <c r="E92" s="109" t="n"/>
      <c r="F92" s="109" t="n"/>
      <c r="G92" s="109" t="n"/>
      <c r="H92" s="109" t="inlineStr">
        <is>
          <t>Y</t>
        </is>
      </c>
      <c r="I92" s="68" t="n"/>
      <c r="J92">
        <f>IF('House Count'!H92="Y",IF('House Count'!F92="RES-SFU",1,IF('House Count'!F92="RES-MDU",1,IF('House Count'!F92="RES-HOA",1,0))),0)</f>
        <v/>
      </c>
      <c r="K92">
        <f>IF('House Count'!H92="Y",IF('House Count'!F92="COMM-SU",1,IF('House Count'!F92="COM-MTU",1,IF('House Count'!F92="ENT",1,0))),0)</f>
        <v/>
      </c>
    </row>
    <row r="93">
      <c r="A93" s="109" t="inlineStr">
        <is>
          <t>5004 NORTHRIDING CT</t>
        </is>
      </c>
      <c r="B93" s="109" t="inlineStr">
        <is>
          <t>GENERIC_CITY</t>
        </is>
      </c>
      <c r="C93" s="109" t="inlineStr">
        <is>
          <t>GENERIC_STATE</t>
        </is>
      </c>
      <c r="D93" s="109" t="inlineStr">
        <is>
          <t>00000</t>
        </is>
      </c>
      <c r="E93" s="109" t="n"/>
      <c r="F93" s="109" t="n"/>
      <c r="G93" s="109" t="n"/>
      <c r="H93" s="109" t="inlineStr">
        <is>
          <t>Y</t>
        </is>
      </c>
      <c r="I93" s="68" t="n"/>
      <c r="J93">
        <f>IF('House Count'!H93="Y",IF('House Count'!F93="RES-SFU",1,IF('House Count'!F93="RES-MDU",1,IF('House Count'!F93="RES-HOA",1,0))),0)</f>
        <v/>
      </c>
      <c r="K93">
        <f>IF('House Count'!H93="Y",IF('House Count'!F93="COMM-SU",1,IF('House Count'!F93="COM-MTU",1,IF('House Count'!F93="ENT",1,0))),0)</f>
        <v/>
      </c>
    </row>
    <row r="94">
      <c r="A94" s="109" t="inlineStr">
        <is>
          <t>5017 NORTHRIDING CT</t>
        </is>
      </c>
      <c r="B94" s="109" t="inlineStr">
        <is>
          <t>GENERIC_CITY</t>
        </is>
      </c>
      <c r="C94" s="109" t="inlineStr">
        <is>
          <t>GENERIC_STATE</t>
        </is>
      </c>
      <c r="D94" s="109" t="inlineStr">
        <is>
          <t>00000</t>
        </is>
      </c>
      <c r="E94" s="109" t="n"/>
      <c r="F94" s="109" t="n"/>
      <c r="G94" s="109" t="n"/>
      <c r="H94" s="109" t="inlineStr">
        <is>
          <t>Y</t>
        </is>
      </c>
      <c r="I94" s="68" t="n"/>
      <c r="J94">
        <f>IF('House Count'!H94="Y",IF('House Count'!F94="RES-SFU",1,IF('House Count'!F94="RES-MDU",1,IF('House Count'!F94="RES-HOA",1,0))),0)</f>
        <v/>
      </c>
      <c r="K94">
        <f>IF('House Count'!H94="Y",IF('House Count'!F94="COMM-SU",1,IF('House Count'!F94="COM-MTU",1,IF('House Count'!F94="ENT",1,0))),0)</f>
        <v/>
      </c>
    </row>
    <row r="95">
      <c r="A95" s="109" t="inlineStr">
        <is>
          <t>5021 NORTHRIDING CT</t>
        </is>
      </c>
      <c r="B95" s="109" t="inlineStr">
        <is>
          <t>GENERIC_CITY</t>
        </is>
      </c>
      <c r="C95" s="109" t="inlineStr">
        <is>
          <t>GENERIC_STATE</t>
        </is>
      </c>
      <c r="D95" s="109" t="inlineStr">
        <is>
          <t>00000</t>
        </is>
      </c>
      <c r="E95" s="109" t="n"/>
      <c r="F95" s="109" t="n"/>
      <c r="G95" s="109" t="n"/>
      <c r="H95" s="109" t="inlineStr">
        <is>
          <t>Y</t>
        </is>
      </c>
      <c r="I95" s="68" t="n"/>
      <c r="J95">
        <f>IF('House Count'!H95="Y",IF('House Count'!F95="RES-SFU",1,IF('House Count'!F95="RES-MDU",1,IF('House Count'!F95="RES-HOA",1,0))),0)</f>
        <v/>
      </c>
      <c r="K95">
        <f>IF('House Count'!H95="Y",IF('House Count'!F95="COMM-SU",1,IF('House Count'!F95="COM-MTU",1,IF('House Count'!F95="ENT",1,0))),0)</f>
        <v/>
      </c>
    </row>
    <row r="96">
      <c r="A96" s="109" t="inlineStr">
        <is>
          <t>5025 NORTHRIDING CT</t>
        </is>
      </c>
      <c r="B96" s="109" t="inlineStr">
        <is>
          <t>GENERIC_CITY</t>
        </is>
      </c>
      <c r="C96" s="109" t="inlineStr">
        <is>
          <t>GENERIC_STATE</t>
        </is>
      </c>
      <c r="D96" s="109" t="inlineStr">
        <is>
          <t>00000</t>
        </is>
      </c>
      <c r="E96" s="109" t="n"/>
      <c r="F96" s="109" t="n"/>
      <c r="G96" s="109" t="n"/>
      <c r="H96" s="109" t="inlineStr">
        <is>
          <t>Y</t>
        </is>
      </c>
      <c r="I96" s="68" t="n"/>
      <c r="J96">
        <f>IF('House Count'!H96="Y",IF('House Count'!F96="RES-SFU",1,IF('House Count'!F96="RES-MDU",1,IF('House Count'!F96="RES-HOA",1,0))),0)</f>
        <v/>
      </c>
      <c r="K96">
        <f>IF('House Count'!H96="Y",IF('House Count'!F96="COMM-SU",1,IF('House Count'!F96="COM-MTU",1,IF('House Count'!F96="ENT",1,0))),0)</f>
        <v/>
      </c>
    </row>
    <row r="97" ht="15.75" customHeight="1" thickBot="1">
      <c r="A97" s="545" t="inlineStr">
        <is>
          <t>5024 NORTHRIDING CT</t>
        </is>
      </c>
      <c r="B97" s="545" t="inlineStr">
        <is>
          <t>GENERIC_CITY</t>
        </is>
      </c>
      <c r="C97" s="545" t="inlineStr">
        <is>
          <t>GENERIC_STATE</t>
        </is>
      </c>
      <c r="D97" s="545" t="inlineStr">
        <is>
          <t>00000</t>
        </is>
      </c>
      <c r="E97" s="545" t="n"/>
      <c r="F97" s="545" t="n"/>
      <c r="G97" s="545" t="n"/>
      <c r="H97" s="545" t="inlineStr">
        <is>
          <t>Y</t>
        </is>
      </c>
      <c r="I97" s="546" t="n"/>
      <c r="J97">
        <f>IF('House Count'!H97="Y",IF('House Count'!F97="RES-SFU",1,IF('House Count'!F97="RES-MDU",1,IF('House Count'!F97="RES-HOA",1,0))),0)</f>
        <v/>
      </c>
      <c r="K97">
        <f>IF('House Count'!H97="Y",IF('House Count'!F97="COMM-SU",1,IF('House Count'!F97="COM-MTU",1,IF('House Count'!F97="ENT",1,0))),0)</f>
        <v/>
      </c>
    </row>
    <row r="98" ht="15.75" customHeight="1" thickTop="1">
      <c r="A98" s="109" t="inlineStr">
        <is>
          <t>5020 NORTHRIDING CT</t>
        </is>
      </c>
      <c r="B98" s="109" t="inlineStr">
        <is>
          <t>GENERIC_CITY</t>
        </is>
      </c>
      <c r="C98" s="109" t="inlineStr">
        <is>
          <t>GENERIC_STATE</t>
        </is>
      </c>
      <c r="D98" s="109" t="inlineStr">
        <is>
          <t>00000</t>
        </is>
      </c>
      <c r="E98" s="109" t="n"/>
      <c r="F98" s="109" t="n"/>
      <c r="G98" s="109" t="n"/>
      <c r="H98" s="109" t="inlineStr">
        <is>
          <t>Y</t>
        </is>
      </c>
      <c r="I98" s="68" t="n"/>
      <c r="J98">
        <f>IF('House Count'!H98="Y",IF('House Count'!F98="RES-SFU",1,IF('House Count'!F98="RES-MDU",1,IF('House Count'!F98="RES-HOA",1,0))),0)</f>
        <v/>
      </c>
      <c r="K98">
        <f>IF('House Count'!H98="Y",IF('House Count'!F98="COMM-SU",1,IF('House Count'!F98="COM-MTU",1,IF('House Count'!F98="ENT",1,0))),0)</f>
        <v/>
      </c>
    </row>
    <row r="99">
      <c r="A99" s="109" t="inlineStr">
        <is>
          <t>5016 NORTHRIDING CT</t>
        </is>
      </c>
      <c r="B99" s="109" t="inlineStr">
        <is>
          <t>GENERIC_CITY</t>
        </is>
      </c>
      <c r="C99" s="109" t="inlineStr">
        <is>
          <t>GENERIC_STATE</t>
        </is>
      </c>
      <c r="D99" s="109" t="inlineStr">
        <is>
          <t>00000</t>
        </is>
      </c>
      <c r="E99" s="109" t="n"/>
      <c r="F99" s="109" t="n"/>
      <c r="G99" s="109" t="n"/>
      <c r="H99" s="109" t="inlineStr">
        <is>
          <t>Y</t>
        </is>
      </c>
      <c r="I99" s="68" t="n"/>
      <c r="J99">
        <f>IF('House Count'!H99="Y",IF('House Count'!F99="RES-SFU",1,IF('House Count'!F99="RES-MDU",1,IF('House Count'!F99="RES-HOA",1,0))),0)</f>
        <v/>
      </c>
      <c r="K99">
        <f>IF('House Count'!H99="Y",IF('House Count'!F99="COMM-SU",1,IF('House Count'!F99="COM-MTU",1,IF('House Count'!F99="ENT",1,0))),0)</f>
        <v/>
      </c>
    </row>
    <row r="100">
      <c r="A100" s="109" t="inlineStr">
        <is>
          <t>5012 NORTHRIDING CT</t>
        </is>
      </c>
      <c r="B100" s="109" t="inlineStr">
        <is>
          <t>GENERIC_CITY</t>
        </is>
      </c>
      <c r="C100" s="109" t="inlineStr">
        <is>
          <t>GENERIC_STATE</t>
        </is>
      </c>
      <c r="D100" s="109" t="inlineStr">
        <is>
          <t>00000</t>
        </is>
      </c>
      <c r="E100" s="109" t="n"/>
      <c r="F100" s="109" t="n"/>
      <c r="G100" s="109" t="n"/>
      <c r="H100" s="109" t="inlineStr">
        <is>
          <t>Y</t>
        </is>
      </c>
      <c r="I100" s="68" t="n"/>
      <c r="J100">
        <f>IF('House Count'!H100="Y",IF('House Count'!F100="RES-SFU",1,IF('House Count'!F100="RES-MDU",1,IF('House Count'!F100="RES-HOA",1,0))),0)</f>
        <v/>
      </c>
      <c r="K100">
        <f>IF('House Count'!H100="Y",IF('House Count'!F100="COMM-SU",1,IF('House Count'!F100="COM-MTU",1,IF('House Count'!F100="ENT",1,0))),0)</f>
        <v/>
      </c>
    </row>
    <row r="101">
      <c r="A101" s="109" t="inlineStr">
        <is>
          <t>5008 NORTHRIDING CT</t>
        </is>
      </c>
      <c r="B101" s="109" t="inlineStr">
        <is>
          <t>GENERIC_CITY</t>
        </is>
      </c>
      <c r="C101" s="109" t="inlineStr">
        <is>
          <t>GENERIC_STATE</t>
        </is>
      </c>
      <c r="D101" s="109" t="inlineStr">
        <is>
          <t>00000</t>
        </is>
      </c>
      <c r="E101" s="109" t="n"/>
      <c r="F101" s="109" t="n"/>
      <c r="G101" s="109" t="n"/>
      <c r="H101" s="109" t="inlineStr">
        <is>
          <t>Y</t>
        </is>
      </c>
      <c r="I101" s="68" t="n"/>
      <c r="J101">
        <f>IF('House Count'!H101="Y",IF('House Count'!F101="RES-SFU",1,IF('House Count'!F101="RES-MDU",1,IF('House Count'!F101="RES-HOA",1,0))),0)</f>
        <v/>
      </c>
      <c r="K101">
        <f>IF('House Count'!H101="Y",IF('House Count'!F101="COMM-SU",1,IF('House Count'!F101="COM-MTU",1,IF('House Count'!F101="ENT",1,0))),0)</f>
        <v/>
      </c>
    </row>
    <row r="102">
      <c r="A102" s="109" t="inlineStr">
        <is>
          <t>3825 FAIRWAY VIEW DR</t>
        </is>
      </c>
      <c r="B102" s="109" t="inlineStr">
        <is>
          <t>GENERIC_CITY</t>
        </is>
      </c>
      <c r="C102" s="109" t="inlineStr">
        <is>
          <t>GENERIC_STATE</t>
        </is>
      </c>
      <c r="D102" s="109" t="inlineStr">
        <is>
          <t>00000</t>
        </is>
      </c>
      <c r="E102" s="109" t="n"/>
      <c r="F102" s="109" t="n"/>
      <c r="G102" s="109" t="n"/>
      <c r="H102" s="109" t="inlineStr">
        <is>
          <t>Y</t>
        </is>
      </c>
      <c r="I102" s="68" t="n"/>
      <c r="J102">
        <f>IF('House Count'!H102="Y",IF('House Count'!F102="RES-SFU",1,IF('House Count'!F102="RES-MDU",1,IF('House Count'!F102="RES-HOA",1,0))),0)</f>
        <v/>
      </c>
      <c r="K102">
        <f>IF('House Count'!H102="Y",IF('House Count'!F102="COMM-SU",1,IF('House Count'!F102="COM-MTU",1,IF('House Count'!F102="ENT",1,0))),0)</f>
        <v/>
      </c>
    </row>
    <row r="103">
      <c r="A103" s="109" t="inlineStr">
        <is>
          <t>3832 FAIRWAY VIEW DR</t>
        </is>
      </c>
      <c r="B103" s="109" t="inlineStr">
        <is>
          <t>GENERIC_CITY</t>
        </is>
      </c>
      <c r="C103" s="109" t="inlineStr">
        <is>
          <t>GENERIC_STATE</t>
        </is>
      </c>
      <c r="D103" s="109" t="inlineStr">
        <is>
          <t>00000</t>
        </is>
      </c>
      <c r="E103" s="109" t="n"/>
      <c r="F103" s="109" t="n"/>
      <c r="G103" s="109" t="n"/>
      <c r="H103" s="109" t="inlineStr">
        <is>
          <t>Y</t>
        </is>
      </c>
      <c r="I103" s="68" t="n"/>
      <c r="J103">
        <f>IF('House Count'!H103="Y",IF('House Count'!F103="RES-SFU",1,IF('House Count'!F103="RES-MDU",1,IF('House Count'!F103="RES-HOA",1,0))),0)</f>
        <v/>
      </c>
      <c r="K103">
        <f>IF('House Count'!H103="Y",IF('House Count'!F103="COMM-SU",1,IF('House Count'!F103="COM-MTU",1,IF('House Count'!F103="ENT",1,0))),0)</f>
        <v/>
      </c>
    </row>
    <row r="104">
      <c r="A104" s="109" t="inlineStr">
        <is>
          <t>3828 FAIRWAY VIEW DR</t>
        </is>
      </c>
      <c r="B104" s="109" t="inlineStr">
        <is>
          <t>GENERIC_CITY</t>
        </is>
      </c>
      <c r="C104" s="109" t="inlineStr">
        <is>
          <t>GENERIC_STATE</t>
        </is>
      </c>
      <c r="D104" s="109" t="inlineStr">
        <is>
          <t>00000</t>
        </is>
      </c>
      <c r="E104" s="109" t="n"/>
      <c r="F104" s="109" t="n"/>
      <c r="G104" s="109" t="n"/>
      <c r="H104" s="109" t="inlineStr">
        <is>
          <t>Y</t>
        </is>
      </c>
      <c r="I104" s="68" t="n"/>
      <c r="J104">
        <f>IF('House Count'!H104="Y",IF('House Count'!F104="RES-SFU",1,IF('House Count'!F104="RES-MDU",1,IF('House Count'!F104="RES-HOA",1,0))),0)</f>
        <v/>
      </c>
      <c r="K104">
        <f>IF('House Count'!H104="Y",IF('House Count'!F104="COMM-SU",1,IF('House Count'!F104="COM-MTU",1,IF('House Count'!F104="ENT",1,0))),0)</f>
        <v/>
      </c>
    </row>
    <row r="105">
      <c r="A105" s="109" t="inlineStr">
        <is>
          <t>3824 FAIRWAY VIEW DR</t>
        </is>
      </c>
      <c r="B105" s="109" t="inlineStr">
        <is>
          <t>GENERIC_CITY</t>
        </is>
      </c>
      <c r="C105" s="109" t="inlineStr">
        <is>
          <t>GENERIC_STATE</t>
        </is>
      </c>
      <c r="D105" s="109" t="inlineStr">
        <is>
          <t>00000</t>
        </is>
      </c>
      <c r="E105" s="109" t="n"/>
      <c r="F105" s="109" t="n"/>
      <c r="G105" s="109" t="n"/>
      <c r="H105" s="109" t="inlineStr">
        <is>
          <t>Y</t>
        </is>
      </c>
      <c r="I105" s="68" t="n"/>
      <c r="J105">
        <f>IF('House Count'!H105="Y",IF('House Count'!F105="RES-SFU",1,IF('House Count'!F105="RES-MDU",1,IF('House Count'!F105="RES-HOA",1,0))),0)</f>
        <v/>
      </c>
      <c r="K105">
        <f>IF('House Count'!H105="Y",IF('House Count'!F105="COMM-SU",1,IF('House Count'!F105="COM-MTU",1,IF('House Count'!F105="ENT",1,0))),0)</f>
        <v/>
      </c>
    </row>
    <row r="106">
      <c r="A106" s="109" t="inlineStr">
        <is>
          <t>2312 EAGLE SHOT CT</t>
        </is>
      </c>
      <c r="B106" s="109" t="inlineStr">
        <is>
          <t>GENERIC_CITY</t>
        </is>
      </c>
      <c r="C106" s="109" t="inlineStr">
        <is>
          <t>GENERIC_STATE</t>
        </is>
      </c>
      <c r="D106" s="109" t="inlineStr">
        <is>
          <t>00000</t>
        </is>
      </c>
      <c r="E106" s="109" t="n"/>
      <c r="F106" s="109" t="n"/>
      <c r="G106" s="109" t="n"/>
      <c r="H106" s="109" t="inlineStr">
        <is>
          <t>Y</t>
        </is>
      </c>
      <c r="I106" s="68" t="n"/>
      <c r="J106">
        <f>IF('House Count'!H106="Y",IF('House Count'!F106="RES-SFU",1,IF('House Count'!F106="RES-MDU",1,IF('House Count'!F106="RES-HOA",1,0))),0)</f>
        <v/>
      </c>
      <c r="K106">
        <f>IF('House Count'!H106="Y",IF('House Count'!F106="COMM-SU",1,IF('House Count'!F106="COM-MTU",1,IF('House Count'!F106="ENT",1,0))),0)</f>
        <v/>
      </c>
    </row>
    <row r="107">
      <c r="A107" s="109" t="inlineStr">
        <is>
          <t>2308 EAGLE SHOT CT</t>
        </is>
      </c>
      <c r="B107" s="109" t="inlineStr">
        <is>
          <t>GENERIC_CITY</t>
        </is>
      </c>
      <c r="C107" s="109" t="inlineStr">
        <is>
          <t>GENERIC_STATE</t>
        </is>
      </c>
      <c r="D107" s="109" t="inlineStr">
        <is>
          <t>00000</t>
        </is>
      </c>
      <c r="E107" s="109" t="n"/>
      <c r="F107" s="109" t="n"/>
      <c r="G107" s="109" t="n"/>
      <c r="H107" s="109" t="inlineStr">
        <is>
          <t>Y</t>
        </is>
      </c>
      <c r="I107" s="68" t="n"/>
      <c r="J107">
        <f>IF('House Count'!H107="Y",IF('House Count'!F107="RES-SFU",1,IF('House Count'!F107="RES-MDU",1,IF('House Count'!F107="RES-HOA",1,0))),0)</f>
        <v/>
      </c>
      <c r="K107">
        <f>IF('House Count'!H107="Y",IF('House Count'!F107="COMM-SU",1,IF('House Count'!F107="COM-MTU",1,IF('House Count'!F107="ENT",1,0))),0)</f>
        <v/>
      </c>
    </row>
    <row r="108">
      <c r="A108" s="109" t="inlineStr">
        <is>
          <t>2304 EAGLE SHOT CT</t>
        </is>
      </c>
      <c r="B108" s="109" t="inlineStr">
        <is>
          <t>GENERIC_CITY</t>
        </is>
      </c>
      <c r="C108" s="109" t="inlineStr">
        <is>
          <t>GENERIC_STATE</t>
        </is>
      </c>
      <c r="D108" s="109" t="inlineStr">
        <is>
          <t>00000</t>
        </is>
      </c>
      <c r="E108" s="109" t="n"/>
      <c r="F108" s="109" t="n"/>
      <c r="G108" s="109" t="n"/>
      <c r="H108" s="109" t="inlineStr">
        <is>
          <t>Y</t>
        </is>
      </c>
      <c r="I108" s="68" t="n"/>
      <c r="J108">
        <f>IF('House Count'!H108="Y",IF('House Count'!F108="RES-SFU",1,IF('House Count'!F108="RES-MDU",1,IF('House Count'!F108="RES-HOA",1,0))),0)</f>
        <v/>
      </c>
      <c r="K108">
        <f>IF('House Count'!H108="Y",IF('House Count'!F108="COMM-SU",1,IF('House Count'!F108="COM-MTU",1,IF('House Count'!F108="ENT",1,0))),0)</f>
        <v/>
      </c>
    </row>
    <row r="109" ht="15.75" customHeight="1" thickBot="1">
      <c r="A109" s="545" t="inlineStr">
        <is>
          <t>2300 EAGLE SHOT CT</t>
        </is>
      </c>
      <c r="B109" s="545" t="inlineStr">
        <is>
          <t>GENERIC_CITY</t>
        </is>
      </c>
      <c r="C109" s="545" t="inlineStr">
        <is>
          <t>GENERIC_STATE</t>
        </is>
      </c>
      <c r="D109" s="545" t="inlineStr">
        <is>
          <t>00000</t>
        </is>
      </c>
      <c r="E109" s="545" t="n"/>
      <c r="F109" s="545" t="n"/>
      <c r="G109" s="545" t="n"/>
      <c r="H109" s="545" t="inlineStr">
        <is>
          <t>Y</t>
        </is>
      </c>
      <c r="I109" s="546" t="n"/>
      <c r="J109">
        <f>IF('House Count'!H109="Y",IF('House Count'!F109="RES-SFU",1,IF('House Count'!F109="RES-MDU",1,IF('House Count'!F109="RES-HOA",1,0))),0)</f>
        <v/>
      </c>
      <c r="K109">
        <f>IF('House Count'!H109="Y",IF('House Count'!F109="COMM-SU",1,IF('House Count'!F109="COM-MTU",1,IF('House Count'!F109="ENT",1,0))),0)</f>
        <v/>
      </c>
    </row>
    <row r="110" ht="15.75" customHeight="1" thickTop="1">
      <c r="A110" s="109" t="inlineStr">
        <is>
          <t>2301 EAGLE SHOT CT</t>
        </is>
      </c>
      <c r="B110" s="109" t="inlineStr">
        <is>
          <t>GENERIC_CITY</t>
        </is>
      </c>
      <c r="C110" s="109" t="inlineStr">
        <is>
          <t>GENERIC_STATE</t>
        </is>
      </c>
      <c r="D110" s="109" t="inlineStr">
        <is>
          <t>00000</t>
        </is>
      </c>
      <c r="E110" s="109" t="n"/>
      <c r="F110" s="109" t="n"/>
      <c r="G110" s="109" t="n"/>
      <c r="H110" s="109" t="inlineStr">
        <is>
          <t>Y</t>
        </is>
      </c>
      <c r="I110" s="68" t="n"/>
      <c r="J110">
        <f>IF('House Count'!H110="Y",IF('House Count'!F110="RES-SFU",1,IF('House Count'!F110="RES-MDU",1,IF('House Count'!F110="RES-HOA",1,0))),0)</f>
        <v/>
      </c>
      <c r="K110">
        <f>IF('House Count'!H110="Y",IF('House Count'!F110="COMM-SU",1,IF('House Count'!F110="COM-MTU",1,IF('House Count'!F110="ENT",1,0))),0)</f>
        <v/>
      </c>
    </row>
    <row r="111">
      <c r="A111" s="109" t="inlineStr">
        <is>
          <t>2305 EAGLE SHOT CT</t>
        </is>
      </c>
      <c r="B111" s="109" t="inlineStr">
        <is>
          <t>GENERIC_CITY</t>
        </is>
      </c>
      <c r="C111" s="109" t="inlineStr">
        <is>
          <t>GENERIC_STATE</t>
        </is>
      </c>
      <c r="D111" s="109" t="inlineStr">
        <is>
          <t>00000</t>
        </is>
      </c>
      <c r="E111" s="109" t="n"/>
      <c r="F111" s="109" t="n"/>
      <c r="G111" s="109" t="n"/>
      <c r="H111" s="109" t="inlineStr">
        <is>
          <t>Y</t>
        </is>
      </c>
      <c r="I111" s="68" t="n"/>
      <c r="J111">
        <f>IF('House Count'!H111="Y",IF('House Count'!F111="RES-SFU",1,IF('House Count'!F111="RES-MDU",1,IF('House Count'!F111="RES-HOA",1,0))),0)</f>
        <v/>
      </c>
      <c r="K111">
        <f>IF('House Count'!H111="Y",IF('House Count'!F111="COMM-SU",1,IF('House Count'!F111="COM-MTU",1,IF('House Count'!F111="ENT",1,0))),0)</f>
        <v/>
      </c>
    </row>
    <row r="112">
      <c r="A112" s="109" t="inlineStr">
        <is>
          <t>2309 EAGLE SHOT CT</t>
        </is>
      </c>
      <c r="B112" s="109" t="inlineStr">
        <is>
          <t>GENERIC_CITY</t>
        </is>
      </c>
      <c r="C112" s="109" t="inlineStr">
        <is>
          <t>GENERIC_STATE</t>
        </is>
      </c>
      <c r="D112" s="109" t="inlineStr">
        <is>
          <t>00000</t>
        </is>
      </c>
      <c r="E112" s="109" t="n"/>
      <c r="F112" s="109" t="n"/>
      <c r="G112" s="109" t="n"/>
      <c r="H112" s="109" t="inlineStr">
        <is>
          <t>Y</t>
        </is>
      </c>
      <c r="I112" s="68" t="n"/>
      <c r="J112">
        <f>IF('House Count'!H112="Y",IF('House Count'!F112="RES-SFU",1,IF('House Count'!F112="RES-MDU",1,IF('House Count'!F112="RES-HOA",1,0))),0)</f>
        <v/>
      </c>
      <c r="K112">
        <f>IF('House Count'!H112="Y",IF('House Count'!F112="COMM-SU",1,IF('House Count'!F112="COM-MTU",1,IF('House Count'!F112="ENT",1,0))),0)</f>
        <v/>
      </c>
    </row>
    <row r="113">
      <c r="A113" s="109" t="inlineStr">
        <is>
          <t>2313 EAGLE SHOT CT</t>
        </is>
      </c>
      <c r="B113" s="109" t="inlineStr">
        <is>
          <t>GENERIC_CITY</t>
        </is>
      </c>
      <c r="C113" s="109" t="inlineStr">
        <is>
          <t>GENERIC_STATE</t>
        </is>
      </c>
      <c r="D113" s="109" t="inlineStr">
        <is>
          <t>00000</t>
        </is>
      </c>
      <c r="E113" s="109" t="n"/>
      <c r="F113" s="109" t="n"/>
      <c r="G113" s="109" t="n"/>
      <c r="H113" s="109" t="inlineStr">
        <is>
          <t>Y</t>
        </is>
      </c>
      <c r="I113" s="68" t="n"/>
      <c r="J113">
        <f>IF('House Count'!H113="Y",IF('House Count'!F113="RES-SFU",1,IF('House Count'!F113="RES-MDU",1,IF('House Count'!F113="RES-HOA",1,0))),0)</f>
        <v/>
      </c>
      <c r="K113">
        <f>IF('House Count'!H113="Y",IF('House Count'!F113="COMM-SU",1,IF('House Count'!F113="COM-MTU",1,IF('House Count'!F113="ENT",1,0))),0)</f>
        <v/>
      </c>
    </row>
    <row r="114">
      <c r="A114" s="109" t="inlineStr">
        <is>
          <t>2320 EAGLE SHOT CT</t>
        </is>
      </c>
      <c r="B114" s="109" t="inlineStr">
        <is>
          <t>GENERIC_CITY</t>
        </is>
      </c>
      <c r="C114" s="109" t="inlineStr">
        <is>
          <t>GENERIC_STATE</t>
        </is>
      </c>
      <c r="D114" s="109" t="inlineStr">
        <is>
          <t>00000</t>
        </is>
      </c>
      <c r="E114" s="109" t="n"/>
      <c r="F114" s="109" t="n"/>
      <c r="G114" s="109" t="n"/>
      <c r="H114" s="109" t="inlineStr">
        <is>
          <t>Y</t>
        </is>
      </c>
      <c r="I114" s="68" t="n"/>
      <c r="J114">
        <f>IF('House Count'!H114="Y",IF('House Count'!F114="RES-SFU",1,IF('House Count'!F114="RES-MDU",1,IF('House Count'!F114="RES-HOA",1,0))),0)</f>
        <v/>
      </c>
      <c r="K114">
        <f>IF('House Count'!H114="Y",IF('House Count'!F114="COMM-SU",1,IF('House Count'!F114="COM-MTU",1,IF('House Count'!F114="ENT",1,0))),0)</f>
        <v/>
      </c>
    </row>
    <row r="115">
      <c r="A115" s="109" t="inlineStr">
        <is>
          <t>2316 EAGLE SHOT CT</t>
        </is>
      </c>
      <c r="B115" s="109" t="inlineStr">
        <is>
          <t>GENERIC_CITY</t>
        </is>
      </c>
      <c r="C115" s="109" t="inlineStr">
        <is>
          <t>GENERIC_STATE</t>
        </is>
      </c>
      <c r="D115" s="109" t="inlineStr">
        <is>
          <t>00000</t>
        </is>
      </c>
      <c r="E115" s="109" t="n"/>
      <c r="F115" s="109" t="n"/>
      <c r="G115" s="109" t="n"/>
      <c r="H115" s="109" t="inlineStr">
        <is>
          <t>Y</t>
        </is>
      </c>
      <c r="I115" s="68" t="n"/>
      <c r="J115">
        <f>IF('House Count'!H115="Y",IF('House Count'!F115="RES-SFU",1,IF('House Count'!F115="RES-MDU",1,IF('House Count'!F115="RES-HOA",1,0))),0)</f>
        <v/>
      </c>
      <c r="K115">
        <f>IF('House Count'!H115="Y",IF('House Count'!F115="COMM-SU",1,IF('House Count'!F115="COM-MTU",1,IF('House Count'!F115="ENT",1,0))),0)</f>
        <v/>
      </c>
    </row>
    <row r="116">
      <c r="A116" s="109" t="inlineStr">
        <is>
          <t>2317 EAGLE SHOT CT</t>
        </is>
      </c>
      <c r="B116" s="109" t="inlineStr">
        <is>
          <t>GENERIC_CITY</t>
        </is>
      </c>
      <c r="C116" s="109" t="inlineStr">
        <is>
          <t>GENERIC_STATE</t>
        </is>
      </c>
      <c r="D116" s="109" t="inlineStr">
        <is>
          <t>00000</t>
        </is>
      </c>
      <c r="E116" s="109" t="n"/>
      <c r="F116" s="109" t="n"/>
      <c r="G116" s="109" t="n"/>
      <c r="H116" s="109" t="inlineStr">
        <is>
          <t>Y</t>
        </is>
      </c>
      <c r="I116" s="68" t="n"/>
      <c r="J116">
        <f>IF('House Count'!H116="Y",IF('House Count'!F116="RES-SFU",1,IF('House Count'!F116="RES-MDU",1,IF('House Count'!F116="RES-HOA",1,0))),0)</f>
        <v/>
      </c>
      <c r="K116">
        <f>IF('House Count'!H116="Y",IF('House Count'!F116="COMM-SU",1,IF('House Count'!F116="COM-MTU",1,IF('House Count'!F116="ENT",1,0))),0)</f>
        <v/>
      </c>
    </row>
    <row r="117">
      <c r="A117" s="109" t="inlineStr">
        <is>
          <t>2321 EAGLE SHOT CT</t>
        </is>
      </c>
      <c r="B117" s="109" t="inlineStr">
        <is>
          <t>GENERIC_CITY</t>
        </is>
      </c>
      <c r="C117" s="109" t="inlineStr">
        <is>
          <t>GENERIC_STATE</t>
        </is>
      </c>
      <c r="D117" s="109" t="inlineStr">
        <is>
          <t>00000</t>
        </is>
      </c>
      <c r="E117" s="109" t="n"/>
      <c r="F117" s="109" t="n"/>
      <c r="G117" s="109" t="n"/>
      <c r="H117" s="109" t="inlineStr">
        <is>
          <t>Y</t>
        </is>
      </c>
      <c r="I117" s="68" t="n"/>
      <c r="J117">
        <f>IF('House Count'!H117="Y",IF('House Count'!F117="RES-SFU",1,IF('House Count'!F117="RES-MDU",1,IF('House Count'!F117="RES-HOA",1,0))),0)</f>
        <v/>
      </c>
      <c r="K117">
        <f>IF('House Count'!H117="Y",IF('House Count'!F117="COMM-SU",1,IF('House Count'!F117="COM-MTU",1,IF('House Count'!F117="ENT",1,0))),0)</f>
        <v/>
      </c>
    </row>
    <row r="118">
      <c r="A118" s="109" t="inlineStr">
        <is>
          <t>3800 FAIRWAY VIEW DR</t>
        </is>
      </c>
      <c r="B118" s="109" t="inlineStr">
        <is>
          <t>GENERIC_CITY</t>
        </is>
      </c>
      <c r="C118" s="109" t="inlineStr">
        <is>
          <t>GENERIC_STATE</t>
        </is>
      </c>
      <c r="D118" s="109" t="inlineStr">
        <is>
          <t>00000</t>
        </is>
      </c>
      <c r="E118" s="109" t="n"/>
      <c r="F118" s="109" t="n"/>
      <c r="G118" s="109" t="n"/>
      <c r="H118" s="109" t="inlineStr">
        <is>
          <t>Y</t>
        </is>
      </c>
      <c r="I118" s="68" t="n"/>
      <c r="J118">
        <f>IF('House Count'!H118="Y",IF('House Count'!F118="RES-SFU",1,IF('House Count'!F118="RES-MDU",1,IF('House Count'!F118="RES-HOA",1,0))),0)</f>
        <v/>
      </c>
      <c r="K118">
        <f>IF('House Count'!H118="Y",IF('House Count'!F118="COMM-SU",1,IF('House Count'!F118="COM-MTU",1,IF('House Count'!F118="ENT",1,0))),0)</f>
        <v/>
      </c>
    </row>
    <row r="119">
      <c r="A119" s="109" t="inlineStr">
        <is>
          <t>2324 EAGLE SHOT CT</t>
        </is>
      </c>
      <c r="B119" s="109" t="inlineStr">
        <is>
          <t>GENERIC_CITY</t>
        </is>
      </c>
      <c r="C119" s="109" t="inlineStr">
        <is>
          <t>GENERIC_STATE</t>
        </is>
      </c>
      <c r="D119" s="109" t="inlineStr">
        <is>
          <t>00000</t>
        </is>
      </c>
      <c r="E119" s="109" t="n"/>
      <c r="F119" s="109" t="n"/>
      <c r="G119" s="109" t="n"/>
      <c r="H119" s="109" t="inlineStr">
        <is>
          <t>Y</t>
        </is>
      </c>
      <c r="I119" s="68" t="n"/>
      <c r="J119">
        <f>IF('House Count'!H119="Y",IF('House Count'!F119="RES-SFU",1,IF('House Count'!F119="RES-MDU",1,IF('House Count'!F119="RES-HOA",1,0))),0)</f>
        <v/>
      </c>
      <c r="K119">
        <f>IF('House Count'!H119="Y",IF('House Count'!F119="COMM-SU",1,IF('House Count'!F119="COM-MTU",1,IF('House Count'!F119="ENT",1,0))),0)</f>
        <v/>
      </c>
    </row>
    <row r="120">
      <c r="A120" s="109" t="inlineStr">
        <is>
          <t>2325 EAGLE SHOT CT</t>
        </is>
      </c>
      <c r="B120" s="109" t="inlineStr">
        <is>
          <t>GENERIC_CITY</t>
        </is>
      </c>
      <c r="C120" s="109" t="inlineStr">
        <is>
          <t>GENERIC_STATE</t>
        </is>
      </c>
      <c r="D120" s="109" t="inlineStr">
        <is>
          <t>00000</t>
        </is>
      </c>
      <c r="E120" s="109" t="n"/>
      <c r="F120" s="109" t="n"/>
      <c r="G120" s="109" t="n"/>
      <c r="H120" s="109" t="inlineStr">
        <is>
          <t>Y</t>
        </is>
      </c>
      <c r="I120" s="68" t="n"/>
      <c r="J120">
        <f>IF('House Count'!H120="Y",IF('House Count'!F120="RES-SFU",1,IF('House Count'!F120="RES-MDU",1,IF('House Count'!F120="RES-HOA",1,0))),0)</f>
        <v/>
      </c>
      <c r="K120">
        <f>IF('House Count'!H120="Y",IF('House Count'!F120="COMM-SU",1,IF('House Count'!F120="COM-MTU",1,IF('House Count'!F120="ENT",1,0))),0)</f>
        <v/>
      </c>
    </row>
    <row r="121" ht="15.75" customHeight="1" thickBot="1">
      <c r="A121" s="545" t="inlineStr">
        <is>
          <t>2329 EAGLE SHOT CT</t>
        </is>
      </c>
      <c r="B121" s="545" t="inlineStr">
        <is>
          <t>GENERIC_CITY</t>
        </is>
      </c>
      <c r="C121" s="545" t="inlineStr">
        <is>
          <t>GENERIC_STATE</t>
        </is>
      </c>
      <c r="D121" s="545" t="inlineStr">
        <is>
          <t>00000</t>
        </is>
      </c>
      <c r="E121" s="545" t="n"/>
      <c r="F121" s="545" t="n"/>
      <c r="G121" s="545" t="n"/>
      <c r="H121" s="545" t="inlineStr">
        <is>
          <t>Y</t>
        </is>
      </c>
      <c r="I121" s="546" t="n"/>
      <c r="J121">
        <f>IF('House Count'!H121="Y",IF('House Count'!F121="RES-SFU",1,IF('House Count'!F121="RES-MDU",1,IF('House Count'!F121="RES-HOA",1,0))),0)</f>
        <v/>
      </c>
      <c r="K121">
        <f>IF('House Count'!H121="Y",IF('House Count'!F121="COMM-SU",1,IF('House Count'!F121="COM-MTU",1,IF('House Count'!F121="ENT",1,0))),0)</f>
        <v/>
      </c>
    </row>
    <row r="122" ht="15.75" customHeight="1" thickTop="1">
      <c r="A122" s="109" t="inlineStr">
        <is>
          <t>3801 FAIRWAY VIEW DR</t>
        </is>
      </c>
      <c r="B122" s="109" t="inlineStr">
        <is>
          <t>GENERIC_CITY</t>
        </is>
      </c>
      <c r="C122" s="109" t="inlineStr">
        <is>
          <t>GENERIC_STATE</t>
        </is>
      </c>
      <c r="D122" s="109" t="inlineStr">
        <is>
          <t>00000</t>
        </is>
      </c>
      <c r="E122" s="109" t="n"/>
      <c r="F122" s="109" t="n"/>
      <c r="G122" s="109" t="n"/>
      <c r="H122" s="109" t="inlineStr">
        <is>
          <t>Y</t>
        </is>
      </c>
      <c r="I122" s="68" t="n"/>
      <c r="J122">
        <f>IF('House Count'!H122="Y",IF('House Count'!F122="RES-SFU",1,IF('House Count'!F122="RES-MDU",1,IF('House Count'!F122="RES-HOA",1,0))),0)</f>
        <v/>
      </c>
      <c r="K122">
        <f>IF('House Count'!H122="Y",IF('House Count'!F122="COMM-SU",1,IF('House Count'!F122="COM-MTU",1,IF('House Count'!F122="ENT",1,0))),0)</f>
        <v/>
      </c>
    </row>
    <row r="123">
      <c r="A123" s="109" t="inlineStr">
        <is>
          <t>2404 EAGLE SHOT CT</t>
        </is>
      </c>
      <c r="B123" s="109" t="inlineStr">
        <is>
          <t>GENERIC_CITY</t>
        </is>
      </c>
      <c r="C123" s="109" t="inlineStr">
        <is>
          <t>GENERIC_STATE</t>
        </is>
      </c>
      <c r="D123" s="109" t="inlineStr">
        <is>
          <t>00000</t>
        </is>
      </c>
      <c r="E123" s="109" t="n"/>
      <c r="F123" s="109" t="n"/>
      <c r="G123" s="109" t="n"/>
      <c r="H123" s="109" t="inlineStr">
        <is>
          <t>Y</t>
        </is>
      </c>
      <c r="I123" s="68" t="n"/>
      <c r="J123">
        <f>IF('House Count'!H123="Y",IF('House Count'!F123="RES-SFU",1,IF('House Count'!F123="RES-MDU",1,IF('House Count'!F123="RES-HOA",1,0))),0)</f>
        <v/>
      </c>
      <c r="K123">
        <f>IF('House Count'!H123="Y",IF('House Count'!F123="COMM-SU",1,IF('House Count'!F123="COM-MTU",1,IF('House Count'!F123="ENT",1,0))),0)</f>
        <v/>
      </c>
    </row>
    <row r="124">
      <c r="A124" s="109" t="inlineStr">
        <is>
          <t>2408 EAGLE SHOT CT</t>
        </is>
      </c>
      <c r="B124" s="109" t="inlineStr">
        <is>
          <t>GENERIC_CITY</t>
        </is>
      </c>
      <c r="C124" s="109" t="inlineStr">
        <is>
          <t>GENERIC_STATE</t>
        </is>
      </c>
      <c r="D124" s="109" t="inlineStr">
        <is>
          <t>00000</t>
        </is>
      </c>
      <c r="E124" s="109" t="n"/>
      <c r="F124" s="109" t="n"/>
      <c r="G124" s="109" t="n"/>
      <c r="H124" s="109" t="inlineStr">
        <is>
          <t>Y</t>
        </is>
      </c>
      <c r="I124" s="68" t="n"/>
      <c r="J124">
        <f>IF('House Count'!H124="Y",IF('House Count'!F124="RES-SFU",1,IF('House Count'!F124="RES-MDU",1,IF('House Count'!F124="RES-HOA",1,0))),0)</f>
        <v/>
      </c>
      <c r="K124">
        <f>IF('House Count'!H124="Y",IF('House Count'!F124="COMM-SU",1,IF('House Count'!F124="COM-MTU",1,IF('House Count'!F124="ENT",1,0))),0)</f>
        <v/>
      </c>
    </row>
    <row r="125">
      <c r="A125" s="109" t="inlineStr">
        <is>
          <t>2409 EAGLE SHOT CT</t>
        </is>
      </c>
      <c r="B125" s="109" t="inlineStr">
        <is>
          <t>GENERIC_CITY</t>
        </is>
      </c>
      <c r="C125" s="109" t="inlineStr">
        <is>
          <t>GENERIC_STATE</t>
        </is>
      </c>
      <c r="D125" s="109" t="inlineStr">
        <is>
          <t>00000</t>
        </is>
      </c>
      <c r="E125" s="109" t="n"/>
      <c r="F125" s="109" t="n"/>
      <c r="G125" s="109" t="n"/>
      <c r="H125" s="109" t="inlineStr">
        <is>
          <t>Y</t>
        </is>
      </c>
      <c r="I125" s="68" t="n"/>
      <c r="J125">
        <f>IF('House Count'!H125="Y",IF('House Count'!F125="RES-SFU",1,IF('House Count'!F125="RES-MDU",1,IF('House Count'!F125="RES-HOA",1,0))),0)</f>
        <v/>
      </c>
      <c r="K125">
        <f>IF('House Count'!H125="Y",IF('House Count'!F125="COMM-SU",1,IF('House Count'!F125="COM-MTU",1,IF('House Count'!F125="ENT",1,0))),0)</f>
        <v/>
      </c>
    </row>
    <row r="126">
      <c r="A126" s="109" t="inlineStr">
        <is>
          <t>2405 EAGLE SHOT CT</t>
        </is>
      </c>
      <c r="B126" s="109" t="inlineStr">
        <is>
          <t>GENERIC_CITY</t>
        </is>
      </c>
      <c r="C126" s="109" t="inlineStr">
        <is>
          <t>GENERIC_STATE</t>
        </is>
      </c>
      <c r="D126" s="109" t="inlineStr">
        <is>
          <t>00000</t>
        </is>
      </c>
      <c r="E126" s="109" t="n"/>
      <c r="F126" s="109" t="n"/>
      <c r="G126" s="109" t="n"/>
      <c r="H126" s="109" t="inlineStr">
        <is>
          <t>Y</t>
        </is>
      </c>
      <c r="I126" s="68" t="n"/>
      <c r="J126">
        <f>IF('House Count'!H126="Y",IF('House Count'!F126="RES-SFU",1,IF('House Count'!F126="RES-MDU",1,IF('House Count'!F126="RES-HOA",1,0))),0)</f>
        <v/>
      </c>
      <c r="K126">
        <f>IF('House Count'!H126="Y",IF('House Count'!F126="COMM-SU",1,IF('House Count'!F126="COM-MTU",1,IF('House Count'!F126="ENT",1,0))),0)</f>
        <v/>
      </c>
    </row>
    <row r="127">
      <c r="A127" s="109" t="inlineStr">
        <is>
          <t>2401 EAGLE SHOT CT</t>
        </is>
      </c>
      <c r="B127" s="109" t="inlineStr">
        <is>
          <t>GENERIC_CITY</t>
        </is>
      </c>
      <c r="C127" s="109" t="inlineStr">
        <is>
          <t>GENERIC_STATE</t>
        </is>
      </c>
      <c r="D127" s="109" t="inlineStr">
        <is>
          <t>00000</t>
        </is>
      </c>
      <c r="E127" s="109" t="n"/>
      <c r="F127" s="109" t="n"/>
      <c r="G127" s="109" t="n"/>
      <c r="H127" s="109" t="inlineStr">
        <is>
          <t>Y</t>
        </is>
      </c>
      <c r="I127" s="68" t="n"/>
      <c r="J127">
        <f>IF('House Count'!H127="Y",IF('House Count'!F127="RES-SFU",1,IF('House Count'!F127="RES-MDU",1,IF('House Count'!F127="RES-HOA",1,0))),0)</f>
        <v/>
      </c>
      <c r="K127">
        <f>IF('House Count'!H127="Y",IF('House Count'!F127="COMM-SU",1,IF('House Count'!F127="COM-MTU",1,IF('House Count'!F127="ENT",1,0))),0)</f>
        <v/>
      </c>
    </row>
    <row r="128">
      <c r="A128" s="109" t="inlineStr">
        <is>
          <t>3409 BENTWINDS BLUFFS LN</t>
        </is>
      </c>
      <c r="B128" s="109" t="inlineStr">
        <is>
          <t>GENERIC_CITY</t>
        </is>
      </c>
      <c r="C128" s="109" t="inlineStr">
        <is>
          <t>GENERIC_STATE</t>
        </is>
      </c>
      <c r="D128" s="109" t="inlineStr">
        <is>
          <t>00000</t>
        </is>
      </c>
      <c r="E128" s="109" t="n"/>
      <c r="F128" s="109" t="n"/>
      <c r="G128" s="109" t="n"/>
      <c r="H128" s="109" t="inlineStr">
        <is>
          <t>Y</t>
        </is>
      </c>
      <c r="I128" s="68" t="n"/>
      <c r="J128">
        <f>IF('House Count'!H128="Y",IF('House Count'!F128="RES-SFU",1,IF('House Count'!F128="RES-MDU",1,IF('House Count'!F128="RES-HOA",1,0))),0)</f>
        <v/>
      </c>
      <c r="K128">
        <f>IF('House Count'!H128="Y",IF('House Count'!F128="COMM-SU",1,IF('House Count'!F128="COM-MTU",1,IF('House Count'!F128="ENT",1,0))),0)</f>
        <v/>
      </c>
    </row>
    <row r="129">
      <c r="A129" s="109" t="inlineStr">
        <is>
          <t>3417 BENTWINDS BLUFFS LN</t>
        </is>
      </c>
      <c r="B129" s="109" t="inlineStr">
        <is>
          <t>GENERIC_CITY</t>
        </is>
      </c>
      <c r="C129" s="109" t="inlineStr">
        <is>
          <t>GENERIC_STATE</t>
        </is>
      </c>
      <c r="D129" s="109" t="inlineStr">
        <is>
          <t>00000</t>
        </is>
      </c>
      <c r="E129" s="109" t="n"/>
      <c r="F129" s="109" t="n"/>
      <c r="G129" s="109" t="n"/>
      <c r="H129" s="109" t="inlineStr">
        <is>
          <t>Y</t>
        </is>
      </c>
      <c r="I129" s="68" t="n"/>
      <c r="J129">
        <f>IF('House Count'!H129="Y",IF('House Count'!F129="RES-SFU",1,IF('House Count'!F129="RES-MDU",1,IF('House Count'!F129="RES-HOA",1,0))),0)</f>
        <v/>
      </c>
      <c r="K129">
        <f>IF('House Count'!H129="Y",IF('House Count'!F129="COMM-SU",1,IF('House Count'!F129="COM-MTU",1,IF('House Count'!F129="ENT",1,0))),0)</f>
        <v/>
      </c>
    </row>
    <row r="130">
      <c r="A130" s="109" t="inlineStr">
        <is>
          <t>3412 BENTWINDS BLUFFS LN</t>
        </is>
      </c>
      <c r="B130" s="109" t="inlineStr">
        <is>
          <t>GENERIC_CITY</t>
        </is>
      </c>
      <c r="C130" s="109" t="inlineStr">
        <is>
          <t>GENERIC_STATE</t>
        </is>
      </c>
      <c r="D130" s="109" t="inlineStr">
        <is>
          <t>00000</t>
        </is>
      </c>
      <c r="E130" s="109" t="n"/>
      <c r="F130" s="109" t="n"/>
      <c r="G130" s="109" t="n"/>
      <c r="H130" s="109" t="inlineStr">
        <is>
          <t>Y</t>
        </is>
      </c>
      <c r="I130" s="68" t="n"/>
      <c r="J130">
        <f>IF('House Count'!H130="Y",IF('House Count'!F130="RES-SFU",1,IF('House Count'!F130="RES-MDU",1,IF('House Count'!F130="RES-HOA",1,0))),0)</f>
        <v/>
      </c>
      <c r="K130">
        <f>IF('House Count'!H130="Y",IF('House Count'!F130="COMM-SU",1,IF('House Count'!F130="COM-MTU",1,IF('House Count'!F130="ENT",1,0))),0)</f>
        <v/>
      </c>
    </row>
    <row r="131">
      <c r="A131" s="109" t="inlineStr">
        <is>
          <t>3408 BENTWINDS BLUFFS LN</t>
        </is>
      </c>
      <c r="B131" s="109" t="inlineStr">
        <is>
          <t>GENERIC_CITY</t>
        </is>
      </c>
      <c r="C131" s="109" t="inlineStr">
        <is>
          <t>GENERIC_STATE</t>
        </is>
      </c>
      <c r="D131" s="109" t="inlineStr">
        <is>
          <t>00000</t>
        </is>
      </c>
      <c r="E131" s="109" t="n"/>
      <c r="F131" s="109" t="n"/>
      <c r="G131" s="109" t="n"/>
      <c r="H131" s="109" t="inlineStr">
        <is>
          <t>Y</t>
        </is>
      </c>
      <c r="I131" s="68" t="n"/>
      <c r="J131">
        <f>IF('House Count'!H131="Y",IF('House Count'!F131="RES-SFU",1,IF('House Count'!F131="RES-MDU",1,IF('House Count'!F131="RES-HOA",1,0))),0)</f>
        <v/>
      </c>
      <c r="K131">
        <f>IF('House Count'!H131="Y",IF('House Count'!F131="COMM-SU",1,IF('House Count'!F131="COM-MTU",1,IF('House Count'!F131="ENT",1,0))),0)</f>
        <v/>
      </c>
    </row>
    <row r="132">
      <c r="A132" s="109" t="inlineStr">
        <is>
          <t>3405 BENTWINDS BLUFFS LN</t>
        </is>
      </c>
      <c r="B132" s="109" t="inlineStr">
        <is>
          <t>GENERIC_CITY</t>
        </is>
      </c>
      <c r="C132" s="109" t="inlineStr">
        <is>
          <t>GENERIC_STATE</t>
        </is>
      </c>
      <c r="D132" s="109" t="inlineStr">
        <is>
          <t>00000</t>
        </is>
      </c>
      <c r="E132" s="109" t="n"/>
      <c r="F132" s="109" t="n"/>
      <c r="G132" s="109" t="n"/>
      <c r="H132" s="109" t="inlineStr">
        <is>
          <t>Y</t>
        </is>
      </c>
      <c r="I132" s="68" t="n"/>
      <c r="J132">
        <f>IF('House Count'!H132="Y",IF('House Count'!F132="RES-SFU",1,IF('House Count'!F132="RES-MDU",1,IF('House Count'!F132="RES-HOA",1,0))),0)</f>
        <v/>
      </c>
      <c r="K132">
        <f>IF('House Count'!H132="Y",IF('House Count'!F132="COMM-SU",1,IF('House Count'!F132="COM-MTU",1,IF('House Count'!F132="ENT",1,0))),0)</f>
        <v/>
      </c>
    </row>
    <row r="133" ht="15.75" customHeight="1" thickBot="1">
      <c r="A133" s="545" t="inlineStr">
        <is>
          <t>3401 BENTWINDS BLUFFS LN</t>
        </is>
      </c>
      <c r="B133" s="545" t="inlineStr">
        <is>
          <t>GENERIC_CITY</t>
        </is>
      </c>
      <c r="C133" s="545" t="inlineStr">
        <is>
          <t>GENERIC_STATE</t>
        </is>
      </c>
      <c r="D133" s="545" t="inlineStr">
        <is>
          <t>00000</t>
        </is>
      </c>
      <c r="E133" s="545" t="n"/>
      <c r="F133" s="545" t="n"/>
      <c r="G133" s="545" t="n"/>
      <c r="H133" s="545" t="inlineStr">
        <is>
          <t>Y</t>
        </is>
      </c>
      <c r="I133" s="546" t="n"/>
      <c r="J133">
        <f>IF('House Count'!H133="Y",IF('House Count'!F133="RES-SFU",1,IF('House Count'!F133="RES-MDU",1,IF('House Count'!F133="RES-HOA",1,0))),0)</f>
        <v/>
      </c>
      <c r="K133">
        <f>IF('House Count'!H133="Y",IF('House Count'!F133="COMM-SU",1,IF('House Count'!F133="COM-MTU",1,IF('House Count'!F133="ENT",1,0))),0)</f>
        <v/>
      </c>
    </row>
    <row r="134" ht="15.75" customHeight="1" thickTop="1">
      <c r="A134" s="109" t="inlineStr">
        <is>
          <t>3345 BENTWINDS BLUFFS LN</t>
        </is>
      </c>
      <c r="B134" s="109" t="inlineStr">
        <is>
          <t>GENERIC_CITY</t>
        </is>
      </c>
      <c r="C134" s="109" t="inlineStr">
        <is>
          <t>GENERIC_STATE</t>
        </is>
      </c>
      <c r="D134" s="109" t="inlineStr">
        <is>
          <t>00000</t>
        </is>
      </c>
      <c r="E134" s="109" t="n"/>
      <c r="F134" s="109" t="n"/>
      <c r="G134" s="109" t="n"/>
      <c r="H134" s="109" t="inlineStr">
        <is>
          <t>Y</t>
        </is>
      </c>
      <c r="I134" s="68" t="n"/>
      <c r="J134">
        <f>IF('House Count'!H134="Y",IF('House Count'!F134="RES-SFU",1,IF('House Count'!F134="RES-MDU",1,IF('House Count'!F134="RES-HOA",1,0))),0)</f>
        <v/>
      </c>
      <c r="K134">
        <f>IF('House Count'!H134="Y",IF('House Count'!F134="COMM-SU",1,IF('House Count'!F134="COM-MTU",1,IF('House Count'!F134="ENT",1,0))),0)</f>
        <v/>
      </c>
    </row>
    <row r="135">
      <c r="A135" s="109" t="inlineStr">
        <is>
          <t>3341 BENTWINDS BLUFFS LN</t>
        </is>
      </c>
      <c r="B135" s="109" t="inlineStr">
        <is>
          <t>GENERIC_CITY</t>
        </is>
      </c>
      <c r="C135" s="109" t="inlineStr">
        <is>
          <t>GENERIC_STATE</t>
        </is>
      </c>
      <c r="D135" s="109" t="inlineStr">
        <is>
          <t>00000</t>
        </is>
      </c>
      <c r="E135" s="109" t="n"/>
      <c r="F135" s="109" t="n"/>
      <c r="G135" s="109" t="n"/>
      <c r="H135" s="109" t="inlineStr">
        <is>
          <t>Y</t>
        </is>
      </c>
      <c r="I135" s="68" t="n"/>
      <c r="J135">
        <f>IF('House Count'!H135="Y",IF('House Count'!F135="RES-SFU",1,IF('House Count'!F135="RES-MDU",1,IF('House Count'!F135="RES-HOA",1,0))),0)</f>
        <v/>
      </c>
      <c r="K135">
        <f>IF('House Count'!H135="Y",IF('House Count'!F135="COMM-SU",1,IF('House Count'!F135="COM-MTU",1,IF('House Count'!F135="ENT",1,0))),0)</f>
        <v/>
      </c>
    </row>
    <row r="136">
      <c r="A136" s="109" t="inlineStr">
        <is>
          <t>3337 BENTWINDS BLUFFS LN</t>
        </is>
      </c>
      <c r="B136" s="109" t="inlineStr">
        <is>
          <t>GENERIC_CITY</t>
        </is>
      </c>
      <c r="C136" s="109" t="inlineStr">
        <is>
          <t>GENERIC_STATE</t>
        </is>
      </c>
      <c r="D136" s="109" t="inlineStr">
        <is>
          <t>00000</t>
        </is>
      </c>
      <c r="E136" s="109" t="n"/>
      <c r="F136" s="109" t="n"/>
      <c r="G136" s="109" t="n"/>
      <c r="H136" s="109" t="inlineStr">
        <is>
          <t>Y</t>
        </is>
      </c>
      <c r="I136" s="68" t="n"/>
      <c r="J136">
        <f>IF('House Count'!H136="Y",IF('House Count'!F136="RES-SFU",1,IF('House Count'!F136="RES-MDU",1,IF('House Count'!F136="RES-HOA",1,0))),0)</f>
        <v/>
      </c>
      <c r="K136">
        <f>IF('House Count'!H136="Y",IF('House Count'!F136="COMM-SU",1,IF('House Count'!F136="COM-MTU",1,IF('House Count'!F136="ENT",1,0))),0)</f>
        <v/>
      </c>
    </row>
    <row r="137">
      <c r="A137" s="109" t="inlineStr">
        <is>
          <t>3333 BENTWINDS BLUFFS LN</t>
        </is>
      </c>
      <c r="B137" s="109" t="inlineStr">
        <is>
          <t>GENERIC_CITY</t>
        </is>
      </c>
      <c r="C137" s="109" t="inlineStr">
        <is>
          <t>GENERIC_STATE</t>
        </is>
      </c>
      <c r="D137" s="109" t="inlineStr">
        <is>
          <t>00000</t>
        </is>
      </c>
      <c r="E137" s="109" t="n"/>
      <c r="F137" s="109" t="n"/>
      <c r="G137" s="109" t="n"/>
      <c r="H137" s="109" t="inlineStr">
        <is>
          <t>Y</t>
        </is>
      </c>
      <c r="I137" s="68" t="n"/>
      <c r="J137">
        <f>IF('House Count'!H137="Y",IF('House Count'!F137="RES-SFU",1,IF('House Count'!F137="RES-MDU",1,IF('House Count'!F137="RES-HOA",1,0))),0)</f>
        <v/>
      </c>
      <c r="K137">
        <f>IF('House Count'!H137="Y",IF('House Count'!F137="COMM-SU",1,IF('House Count'!F137="COM-MTU",1,IF('House Count'!F137="ENT",1,0))),0)</f>
        <v/>
      </c>
    </row>
    <row r="138">
      <c r="A138" s="109" t="inlineStr">
        <is>
          <t>3329 BENTWINDS BLUFFS LN</t>
        </is>
      </c>
      <c r="B138" s="109" t="inlineStr">
        <is>
          <t>GENERIC_CITY</t>
        </is>
      </c>
      <c r="C138" s="109" t="inlineStr">
        <is>
          <t>GENERIC_STATE</t>
        </is>
      </c>
      <c r="D138" s="109" t="inlineStr">
        <is>
          <t>00000</t>
        </is>
      </c>
      <c r="E138" s="109" t="n"/>
      <c r="F138" s="109" t="n"/>
      <c r="G138" s="109" t="n"/>
      <c r="H138" s="109" t="inlineStr">
        <is>
          <t>Y</t>
        </is>
      </c>
      <c r="I138" s="68" t="n"/>
      <c r="J138">
        <f>IF('House Count'!H138="Y",IF('House Count'!F138="RES-SFU",1,IF('House Count'!F138="RES-MDU",1,IF('House Count'!F138="RES-HOA",1,0))),0)</f>
        <v/>
      </c>
      <c r="K138">
        <f>IF('House Count'!H138="Y",IF('House Count'!F138="COMM-SU",1,IF('House Count'!F138="COM-MTU",1,IF('House Count'!F138="ENT",1,0))),0)</f>
        <v/>
      </c>
    </row>
    <row r="139">
      <c r="A139" s="109" t="inlineStr">
        <is>
          <t>3325 BENTWINDS BLUFFS LN</t>
        </is>
      </c>
      <c r="B139" s="109" t="inlineStr">
        <is>
          <t>GENERIC_CITY</t>
        </is>
      </c>
      <c r="C139" s="109" t="inlineStr">
        <is>
          <t>GENERIC_STATE</t>
        </is>
      </c>
      <c r="D139" s="109" t="inlineStr">
        <is>
          <t>00000</t>
        </is>
      </c>
      <c r="E139" s="109" t="n"/>
      <c r="F139" s="109" t="n"/>
      <c r="G139" s="109" t="n"/>
      <c r="H139" s="109" t="inlineStr">
        <is>
          <t>Y</t>
        </is>
      </c>
      <c r="I139" s="68" t="n"/>
      <c r="J139">
        <f>IF('House Count'!H139="Y",IF('House Count'!F139="RES-SFU",1,IF('House Count'!F139="RES-MDU",1,IF('House Count'!F139="RES-HOA",1,0))),0)</f>
        <v/>
      </c>
      <c r="K139">
        <f>IF('House Count'!H139="Y",IF('House Count'!F139="COMM-SU",1,IF('House Count'!F139="COM-MTU",1,IF('House Count'!F139="ENT",1,0))),0)</f>
        <v/>
      </c>
    </row>
    <row r="140">
      <c r="A140" s="109" t="inlineStr">
        <is>
          <t>3404 BENTWINDS BLUFFS LN</t>
        </is>
      </c>
      <c r="B140" s="109" t="inlineStr">
        <is>
          <t>GENERIC_CITY</t>
        </is>
      </c>
      <c r="C140" s="109" t="inlineStr">
        <is>
          <t>GENERIC_STATE</t>
        </is>
      </c>
      <c r="D140" s="109" t="inlineStr">
        <is>
          <t>00000</t>
        </is>
      </c>
      <c r="E140" s="109" t="n"/>
      <c r="F140" s="109" t="n"/>
      <c r="G140" s="109" t="n"/>
      <c r="H140" s="109" t="inlineStr">
        <is>
          <t>Y</t>
        </is>
      </c>
      <c r="I140" s="68" t="n"/>
      <c r="J140">
        <f>IF('House Count'!H140="Y",IF('House Count'!F140="RES-SFU",1,IF('House Count'!F140="RES-MDU",1,IF('House Count'!F140="RES-HOA",1,0))),0)</f>
        <v/>
      </c>
      <c r="K140">
        <f>IF('House Count'!H140="Y",IF('House Count'!F140="COMM-SU",1,IF('House Count'!F140="COM-MTU",1,IF('House Count'!F140="ENT",1,0))),0)</f>
        <v/>
      </c>
    </row>
    <row r="141">
      <c r="A141" s="109" t="inlineStr">
        <is>
          <t>3328 BENTWINDS BLUFFS LN</t>
        </is>
      </c>
      <c r="B141" s="109" t="inlineStr">
        <is>
          <t>GENERIC_CITY</t>
        </is>
      </c>
      <c r="C141" s="109" t="inlineStr">
        <is>
          <t>GENERIC_STATE</t>
        </is>
      </c>
      <c r="D141" s="109" t="inlineStr">
        <is>
          <t>00000</t>
        </is>
      </c>
      <c r="E141" s="109" t="n"/>
      <c r="F141" s="109" t="n"/>
      <c r="G141" s="109" t="n"/>
      <c r="H141" s="109" t="inlineStr">
        <is>
          <t>Y</t>
        </is>
      </c>
      <c r="I141" s="68" t="n"/>
      <c r="J141">
        <f>IF('House Count'!H141="Y",IF('House Count'!F141="RES-SFU",1,IF('House Count'!F141="RES-MDU",1,IF('House Count'!F141="RES-HOA",1,0))),0)</f>
        <v/>
      </c>
      <c r="K141">
        <f>IF('House Count'!H141="Y",IF('House Count'!F141="COMM-SU",1,IF('House Count'!F141="COM-MTU",1,IF('House Count'!F141="ENT",1,0))),0)</f>
        <v/>
      </c>
    </row>
    <row r="142">
      <c r="A142" s="109" t="inlineStr">
        <is>
          <t>3320 BENTWINDS BLUFFS LN</t>
        </is>
      </c>
      <c r="B142" s="109" t="inlineStr">
        <is>
          <t>GENERIC_CITY</t>
        </is>
      </c>
      <c r="C142" s="109" t="inlineStr">
        <is>
          <t>GENERIC_STATE</t>
        </is>
      </c>
      <c r="D142" s="109" t="inlineStr">
        <is>
          <t>00000</t>
        </is>
      </c>
      <c r="E142" s="109" t="n"/>
      <c r="F142" s="109" t="n"/>
      <c r="G142" s="109" t="n"/>
      <c r="H142" s="109" t="inlineStr">
        <is>
          <t>Y</t>
        </is>
      </c>
      <c r="I142" s="68" t="n"/>
      <c r="J142">
        <f>IF('House Count'!H142="Y",IF('House Count'!F142="RES-SFU",1,IF('House Count'!F142="RES-MDU",1,IF('House Count'!F142="RES-HOA",1,0))),0)</f>
        <v/>
      </c>
      <c r="K142">
        <f>IF('House Count'!H142="Y",IF('House Count'!F142="COMM-SU",1,IF('House Count'!F142="COM-MTU",1,IF('House Count'!F142="ENT",1,0))),0)</f>
        <v/>
      </c>
    </row>
    <row r="143">
      <c r="A143" s="109" t="inlineStr">
        <is>
          <t>3304 BENTWINDS BLUFFS LN</t>
        </is>
      </c>
      <c r="B143" s="109" t="inlineStr">
        <is>
          <t>GENERIC_CITY</t>
        </is>
      </c>
      <c r="C143" s="109" t="inlineStr">
        <is>
          <t>GENERIC_STATE</t>
        </is>
      </c>
      <c r="D143" s="109" t="inlineStr">
        <is>
          <t>00000</t>
        </is>
      </c>
      <c r="E143" s="109" t="n"/>
      <c r="F143" s="109" t="n"/>
      <c r="G143" s="109" t="n"/>
      <c r="H143" s="109" t="inlineStr">
        <is>
          <t>Y</t>
        </is>
      </c>
      <c r="I143" s="68" t="n"/>
      <c r="J143">
        <f>IF('House Count'!H143="Y",IF('House Count'!F143="RES-SFU",1,IF('House Count'!F143="RES-MDU",1,IF('House Count'!F143="RES-HOA",1,0))),0)</f>
        <v/>
      </c>
      <c r="K143">
        <f>IF('House Count'!H143="Y",IF('House Count'!F143="COMM-SU",1,IF('House Count'!F143="COM-MTU",1,IF('House Count'!F143="ENT",1,0))),0)</f>
        <v/>
      </c>
    </row>
    <row r="144">
      <c r="A144" s="109" t="inlineStr">
        <is>
          <t>3300 BENTWINDS BLUFFS LN</t>
        </is>
      </c>
      <c r="B144" s="109" t="inlineStr">
        <is>
          <t>GENERIC_CITY</t>
        </is>
      </c>
      <c r="C144" s="109" t="inlineStr">
        <is>
          <t>GENERIC_STATE</t>
        </is>
      </c>
      <c r="D144" s="109" t="inlineStr">
        <is>
          <t>00000</t>
        </is>
      </c>
      <c r="E144" s="109" t="n"/>
      <c r="F144" s="109" t="n"/>
      <c r="G144" s="109" t="n"/>
      <c r="H144" s="109" t="inlineStr">
        <is>
          <t>Y</t>
        </is>
      </c>
      <c r="I144" s="68" t="n"/>
      <c r="J144">
        <f>IF('House Count'!H144="Y",IF('House Count'!F144="RES-SFU",1,IF('House Count'!F144="RES-MDU",1,IF('House Count'!F144="RES-HOA",1,0))),0)</f>
        <v/>
      </c>
      <c r="K144">
        <f>IF('House Count'!H144="Y",IF('House Count'!F144="COMM-SU",1,IF('House Count'!F144="COM-MTU",1,IF('House Count'!F144="ENT",1,0))),0)</f>
        <v/>
      </c>
    </row>
    <row r="145" ht="15.75" customHeight="1" thickBot="1">
      <c r="A145" s="545" t="inlineStr">
        <is>
          <t>5705 MIZUNO DR</t>
        </is>
      </c>
      <c r="B145" s="545" t="inlineStr">
        <is>
          <t>GENERIC_CITY</t>
        </is>
      </c>
      <c r="C145" s="545" t="inlineStr">
        <is>
          <t>GENERIC_STATE</t>
        </is>
      </c>
      <c r="D145" s="545" t="inlineStr">
        <is>
          <t>00000</t>
        </is>
      </c>
      <c r="E145" s="545" t="n"/>
      <c r="F145" s="545" t="n"/>
      <c r="G145" s="545" t="n"/>
      <c r="H145" s="545" t="inlineStr">
        <is>
          <t>Y</t>
        </is>
      </c>
      <c r="I145" s="546" t="n"/>
      <c r="J145">
        <f>IF('House Count'!H145="Y",IF('House Count'!F145="RES-SFU",1,IF('House Count'!F145="RES-MDU",1,IF('House Count'!F145="RES-HOA",1,0))),0)</f>
        <v/>
      </c>
      <c r="K145">
        <f>IF('House Count'!H145="Y",IF('House Count'!F145="COMM-SU",1,IF('House Count'!F145="COM-MTU",1,IF('House Count'!F145="ENT",1,0))),0)</f>
        <v/>
      </c>
    </row>
    <row r="146" ht="15.75" customHeight="1" thickTop="1">
      <c r="A146" s="109" t="inlineStr">
        <is>
          <t>5709 MIZUNO DR</t>
        </is>
      </c>
      <c r="B146" s="109" t="inlineStr">
        <is>
          <t>GENERIC_CITY</t>
        </is>
      </c>
      <c r="C146" s="109" t="inlineStr">
        <is>
          <t>GENERIC_STATE</t>
        </is>
      </c>
      <c r="D146" s="109" t="inlineStr">
        <is>
          <t>00000</t>
        </is>
      </c>
      <c r="E146" s="109" t="n"/>
      <c r="F146" s="109" t="n"/>
      <c r="G146" s="109" t="n"/>
      <c r="H146" s="109" t="inlineStr">
        <is>
          <t>Y</t>
        </is>
      </c>
      <c r="I146" s="68" t="n"/>
      <c r="J146">
        <f>IF('House Count'!H146="Y",IF('House Count'!F146="RES-SFU",1,IF('House Count'!F146="RES-MDU",1,IF('House Count'!F146="RES-HOA",1,0))),0)</f>
        <v/>
      </c>
      <c r="K146">
        <f>IF('House Count'!H146="Y",IF('House Count'!F146="COMM-SU",1,IF('House Count'!F146="COM-MTU",1,IF('House Count'!F146="ENT",1,0))),0)</f>
        <v/>
      </c>
    </row>
    <row r="147">
      <c r="A147" s="109" t="inlineStr">
        <is>
          <t>5713 MIZUNO DR</t>
        </is>
      </c>
      <c r="B147" s="109" t="inlineStr">
        <is>
          <t>GENERIC_CITY</t>
        </is>
      </c>
      <c r="C147" s="109" t="inlineStr">
        <is>
          <t>GENERIC_STATE</t>
        </is>
      </c>
      <c r="D147" s="109" t="inlineStr">
        <is>
          <t>00000</t>
        </is>
      </c>
      <c r="E147" s="109" t="n"/>
      <c r="F147" s="109" t="n"/>
      <c r="G147" s="109" t="n"/>
      <c r="H147" s="109" t="inlineStr">
        <is>
          <t>Y</t>
        </is>
      </c>
      <c r="I147" s="68" t="n"/>
      <c r="J147">
        <f>IF('House Count'!H147="Y",IF('House Count'!F147="RES-SFU",1,IF('House Count'!F147="RES-MDU",1,IF('House Count'!F147="RES-HOA",1,0))),0)</f>
        <v/>
      </c>
      <c r="K147">
        <f>IF('House Count'!H147="Y",IF('House Count'!F147="COMM-SU",1,IF('House Count'!F147="COM-MTU",1,IF('House Count'!F147="ENT",1,0))),0)</f>
        <v/>
      </c>
    </row>
    <row r="148">
      <c r="A148" s="109" t="inlineStr">
        <is>
          <t>5717 MIZUNO DR</t>
        </is>
      </c>
      <c r="B148" s="109" t="inlineStr">
        <is>
          <t>GENERIC_CITY</t>
        </is>
      </c>
      <c r="C148" s="109" t="inlineStr">
        <is>
          <t>GENERIC_STATE</t>
        </is>
      </c>
      <c r="D148" s="109" t="inlineStr">
        <is>
          <t>00000</t>
        </is>
      </c>
      <c r="E148" s="109" t="n"/>
      <c r="F148" s="109" t="n"/>
      <c r="G148" s="109" t="n"/>
      <c r="H148" s="109" t="inlineStr">
        <is>
          <t>Y</t>
        </is>
      </c>
      <c r="I148" s="68" t="n"/>
      <c r="J148">
        <f>IF('House Count'!H148="Y",IF('House Count'!F148="RES-SFU",1,IF('House Count'!F148="RES-MDU",1,IF('House Count'!F148="RES-HOA",1,0))),0)</f>
        <v/>
      </c>
      <c r="K148">
        <f>IF('House Count'!H148="Y",IF('House Count'!F148="COMM-SU",1,IF('House Count'!F148="COM-MTU",1,IF('House Count'!F148="ENT",1,0))),0)</f>
        <v/>
      </c>
    </row>
    <row r="149">
      <c r="A149" s="109" t="inlineStr">
        <is>
          <t>5716 MIZUNO DR</t>
        </is>
      </c>
      <c r="B149" s="109" t="inlineStr">
        <is>
          <t>GENERIC_CITY</t>
        </is>
      </c>
      <c r="C149" s="109" t="inlineStr">
        <is>
          <t>GENERIC_STATE</t>
        </is>
      </c>
      <c r="D149" s="109" t="inlineStr">
        <is>
          <t>00000</t>
        </is>
      </c>
      <c r="E149" s="109" t="n"/>
      <c r="F149" s="109" t="n"/>
      <c r="G149" s="109" t="n"/>
      <c r="H149" s="109" t="inlineStr">
        <is>
          <t>Y</t>
        </is>
      </c>
      <c r="I149" s="68" t="n"/>
      <c r="J149">
        <f>IF('House Count'!H149="Y",IF('House Count'!F149="RES-SFU",1,IF('House Count'!F149="RES-MDU",1,IF('House Count'!F149="RES-HOA",1,0))),0)</f>
        <v/>
      </c>
      <c r="K149">
        <f>IF('House Count'!H149="Y",IF('House Count'!F149="COMM-SU",1,IF('House Count'!F149="COM-MTU",1,IF('House Count'!F149="ENT",1,0))),0)</f>
        <v/>
      </c>
    </row>
    <row r="150">
      <c r="A150" s="109" t="inlineStr">
        <is>
          <t>5712 MIZUNO DR</t>
        </is>
      </c>
      <c r="B150" s="109" t="inlineStr">
        <is>
          <t>GENERIC_CITY</t>
        </is>
      </c>
      <c r="C150" s="109" t="inlineStr">
        <is>
          <t>GENERIC_STATE</t>
        </is>
      </c>
      <c r="D150" s="109" t="inlineStr">
        <is>
          <t>00000</t>
        </is>
      </c>
      <c r="E150" s="109" t="n"/>
      <c r="F150" s="109" t="n"/>
      <c r="G150" s="109" t="n"/>
      <c r="H150" s="109" t="inlineStr">
        <is>
          <t>Y</t>
        </is>
      </c>
      <c r="I150" s="68" t="n"/>
      <c r="J150">
        <f>IF('House Count'!H150="Y",IF('House Count'!F150="RES-SFU",1,IF('House Count'!F150="RES-MDU",1,IF('House Count'!F150="RES-HOA",1,0))),0)</f>
        <v/>
      </c>
      <c r="K150">
        <f>IF('House Count'!H150="Y",IF('House Count'!F150="COMM-SU",1,IF('House Count'!F150="COM-MTU",1,IF('House Count'!F150="ENT",1,0))),0)</f>
        <v/>
      </c>
    </row>
    <row r="151">
      <c r="A151" s="109" t="inlineStr">
        <is>
          <t>5708 MIZUNO DR</t>
        </is>
      </c>
      <c r="B151" s="109" t="inlineStr">
        <is>
          <t>GENERIC_CITY</t>
        </is>
      </c>
      <c r="C151" s="109" t="inlineStr">
        <is>
          <t>GENERIC_STATE</t>
        </is>
      </c>
      <c r="D151" s="109" t="inlineStr">
        <is>
          <t>00000</t>
        </is>
      </c>
      <c r="E151" s="109" t="n"/>
      <c r="F151" s="109" t="n"/>
      <c r="G151" s="109" t="n"/>
      <c r="H151" s="109" t="inlineStr">
        <is>
          <t>Y</t>
        </is>
      </c>
      <c r="I151" s="68" t="n"/>
      <c r="J151">
        <f>IF('House Count'!H151="Y",IF('House Count'!F151="RES-SFU",1,IF('House Count'!F151="RES-MDU",1,IF('House Count'!F151="RES-HOA",1,0))),0)</f>
        <v/>
      </c>
      <c r="K151">
        <f>IF('House Count'!H151="Y",IF('House Count'!F151="COMM-SU",1,IF('House Count'!F151="COM-MTU",1,IF('House Count'!F151="ENT",1,0))),0)</f>
        <v/>
      </c>
    </row>
    <row r="152">
      <c r="A152" s="109" t="inlineStr">
        <is>
          <t>5700 MIZUNO DR</t>
        </is>
      </c>
      <c r="B152" s="109" t="inlineStr">
        <is>
          <t>GENERIC_CITY</t>
        </is>
      </c>
      <c r="C152" s="109" t="inlineStr">
        <is>
          <t>GENERIC_STATE</t>
        </is>
      </c>
      <c r="D152" s="109" t="inlineStr">
        <is>
          <t>00000</t>
        </is>
      </c>
      <c r="E152" s="109" t="n"/>
      <c r="F152" s="109" t="n"/>
      <c r="G152" s="109" t="n"/>
      <c r="H152" s="109" t="inlineStr">
        <is>
          <t>Y</t>
        </is>
      </c>
      <c r="I152" s="68" t="n"/>
      <c r="J152">
        <f>IF('House Count'!H152="Y",IF('House Count'!F152="RES-SFU",1,IF('House Count'!F152="RES-MDU",1,IF('House Count'!F152="RES-HOA",1,0))),0)</f>
        <v/>
      </c>
      <c r="K152">
        <f>IF('House Count'!H152="Y",IF('House Count'!F152="COMM-SU",1,IF('House Count'!F152="COM-MTU",1,IF('House Count'!F152="ENT",1,0))),0)</f>
        <v/>
      </c>
    </row>
    <row r="153">
      <c r="A153" s="109" t="inlineStr">
        <is>
          <t>5721 MIZUNO DR</t>
        </is>
      </c>
      <c r="B153" s="109" t="inlineStr">
        <is>
          <t>GENERIC_CITY</t>
        </is>
      </c>
      <c r="C153" s="109" t="inlineStr">
        <is>
          <t>GENERIC_STATE</t>
        </is>
      </c>
      <c r="D153" s="109" t="inlineStr">
        <is>
          <t>00000</t>
        </is>
      </c>
      <c r="E153" s="109" t="n"/>
      <c r="F153" s="109" t="n"/>
      <c r="G153" s="109" t="n"/>
      <c r="H153" s="109" t="inlineStr">
        <is>
          <t>Y</t>
        </is>
      </c>
      <c r="I153" s="68" t="n"/>
      <c r="J153">
        <f>IF('House Count'!H153="Y",IF('House Count'!F153="RES-SFU",1,IF('House Count'!F153="RES-MDU",1,IF('House Count'!F153="RES-HOA",1,0))),0)</f>
        <v/>
      </c>
      <c r="K153">
        <f>IF('House Count'!H153="Y",IF('House Count'!F153="COMM-SU",1,IF('House Count'!F153="COM-MTU",1,IF('House Count'!F153="ENT",1,0))),0)</f>
        <v/>
      </c>
    </row>
    <row r="154">
      <c r="A154" s="109" t="inlineStr">
        <is>
          <t>5725 MIZUNO DR</t>
        </is>
      </c>
      <c r="B154" s="109" t="inlineStr">
        <is>
          <t>GENERIC_CITY</t>
        </is>
      </c>
      <c r="C154" s="109" t="inlineStr">
        <is>
          <t>GENERIC_STATE</t>
        </is>
      </c>
      <c r="D154" s="109" t="inlineStr">
        <is>
          <t>00000</t>
        </is>
      </c>
      <c r="E154" s="109" t="n"/>
      <c r="F154" s="109" t="n"/>
      <c r="G154" s="109" t="n"/>
      <c r="H154" s="109" t="inlineStr">
        <is>
          <t>Y</t>
        </is>
      </c>
      <c r="I154" s="68" t="n"/>
      <c r="J154">
        <f>IF('House Count'!H154="Y",IF('House Count'!F154="RES-SFU",1,IF('House Count'!F154="RES-MDU",1,IF('House Count'!F154="RES-HOA",1,0))),0)</f>
        <v/>
      </c>
      <c r="K154">
        <f>IF('House Count'!H154="Y",IF('House Count'!F154="COMM-SU",1,IF('House Count'!F154="COM-MTU",1,IF('House Count'!F154="ENT",1,0))),0)</f>
        <v/>
      </c>
    </row>
    <row r="155">
      <c r="A155" s="109" t="inlineStr">
        <is>
          <t>5729 MIZUNO DR</t>
        </is>
      </c>
      <c r="B155" s="109" t="inlineStr">
        <is>
          <t>GENERIC_CITY</t>
        </is>
      </c>
      <c r="C155" s="109" t="inlineStr">
        <is>
          <t>GENERIC_STATE</t>
        </is>
      </c>
      <c r="D155" s="109" t="inlineStr">
        <is>
          <t>00000</t>
        </is>
      </c>
      <c r="E155" s="109" t="n"/>
      <c r="F155" s="109" t="n"/>
      <c r="G155" s="109" t="n"/>
      <c r="H155" s="109" t="inlineStr">
        <is>
          <t>Y</t>
        </is>
      </c>
      <c r="I155" s="68" t="n"/>
      <c r="J155">
        <f>IF('House Count'!H155="Y",IF('House Count'!F155="RES-SFU",1,IF('House Count'!F155="RES-MDU",1,IF('House Count'!F155="RES-HOA",1,0))),0)</f>
        <v/>
      </c>
      <c r="K155">
        <f>IF('House Count'!H155="Y",IF('House Count'!F155="COMM-SU",1,IF('House Count'!F155="COM-MTU",1,IF('House Count'!F155="ENT",1,0))),0)</f>
        <v/>
      </c>
    </row>
    <row r="156">
      <c r="A156" s="109" t="inlineStr">
        <is>
          <t>5733 MIZUNO DR</t>
        </is>
      </c>
      <c r="B156" s="109" t="inlineStr">
        <is>
          <t>GENERIC_CITY</t>
        </is>
      </c>
      <c r="C156" s="109" t="inlineStr">
        <is>
          <t>GENERIC_STATE</t>
        </is>
      </c>
      <c r="D156" s="109" t="inlineStr">
        <is>
          <t>00000</t>
        </is>
      </c>
      <c r="E156" s="109" t="n"/>
      <c r="F156" s="109" t="n"/>
      <c r="G156" s="109" t="n"/>
      <c r="H156" s="109" t="inlineStr">
        <is>
          <t>Y</t>
        </is>
      </c>
      <c r="I156" s="68" t="n"/>
      <c r="J156">
        <f>IF('House Count'!H156="Y",IF('House Count'!F156="RES-SFU",1,IF('House Count'!F156="RES-MDU",1,IF('House Count'!F156="RES-HOA",1,0))),0)</f>
        <v/>
      </c>
      <c r="K156">
        <f>IF('House Count'!H156="Y",IF('House Count'!F156="COMM-SU",1,IF('House Count'!F156="COM-MTU",1,IF('House Count'!F156="ENT",1,0))),0)</f>
        <v/>
      </c>
    </row>
    <row r="157" ht="15.75" customHeight="1" thickBot="1">
      <c r="A157" s="545" t="inlineStr">
        <is>
          <t>5732 MIZUNO DR</t>
        </is>
      </c>
      <c r="B157" s="545" t="inlineStr">
        <is>
          <t>GENERIC_CITY</t>
        </is>
      </c>
      <c r="C157" s="545" t="inlineStr">
        <is>
          <t>GENERIC_STATE</t>
        </is>
      </c>
      <c r="D157" s="545" t="inlineStr">
        <is>
          <t>00000</t>
        </is>
      </c>
      <c r="E157" s="545" t="n"/>
      <c r="F157" s="545" t="n"/>
      <c r="G157" s="545" t="n"/>
      <c r="H157" s="545" t="inlineStr">
        <is>
          <t>Y</t>
        </is>
      </c>
      <c r="I157" s="546" t="n"/>
      <c r="J157">
        <f>IF('House Count'!H157="Y",IF('House Count'!F157="RES-SFU",1,IF('House Count'!F157="RES-MDU",1,IF('House Count'!F157="RES-HOA",1,0))),0)</f>
        <v/>
      </c>
      <c r="K157">
        <f>IF('House Count'!H157="Y",IF('House Count'!F157="COMM-SU",1,IF('House Count'!F157="COM-MTU",1,IF('House Count'!F157="ENT",1,0))),0)</f>
        <v/>
      </c>
    </row>
    <row r="158" ht="15.75" customHeight="1" thickTop="1">
      <c r="A158" s="109" t="inlineStr">
        <is>
          <t>5728 MIZUNO DR</t>
        </is>
      </c>
      <c r="B158" s="109" t="inlineStr">
        <is>
          <t>GENERIC_CITY</t>
        </is>
      </c>
      <c r="C158" s="109" t="inlineStr">
        <is>
          <t>GENERIC_STATE</t>
        </is>
      </c>
      <c r="D158" s="109" t="inlineStr">
        <is>
          <t>00000</t>
        </is>
      </c>
      <c r="E158" s="109" t="n"/>
      <c r="F158" s="109" t="n"/>
      <c r="G158" s="109" t="n"/>
      <c r="H158" s="109" t="inlineStr">
        <is>
          <t>Y</t>
        </is>
      </c>
      <c r="I158" s="68" t="n"/>
      <c r="J158">
        <f>IF('House Count'!H158="Y",IF('House Count'!F158="RES-SFU",1,IF('House Count'!F158="RES-MDU",1,IF('House Count'!F158="RES-HOA",1,0))),0)</f>
        <v/>
      </c>
      <c r="K158">
        <f>IF('House Count'!H158="Y",IF('House Count'!F158="COMM-SU",1,IF('House Count'!F158="COM-MTU",1,IF('House Count'!F158="ENT",1,0))),0)</f>
        <v/>
      </c>
    </row>
    <row r="159">
      <c r="A159" s="109" t="inlineStr">
        <is>
          <t>5724 MIZUNO DR</t>
        </is>
      </c>
      <c r="B159" s="109" t="inlineStr">
        <is>
          <t>GENERIC_CITY</t>
        </is>
      </c>
      <c r="C159" s="109" t="inlineStr">
        <is>
          <t>GENERIC_STATE</t>
        </is>
      </c>
      <c r="D159" s="109" t="inlineStr">
        <is>
          <t>00000</t>
        </is>
      </c>
      <c r="E159" s="109" t="n"/>
      <c r="F159" s="109" t="n"/>
      <c r="G159" s="109" t="n"/>
      <c r="H159" s="109" t="inlineStr">
        <is>
          <t>Y</t>
        </is>
      </c>
      <c r="I159" s="68" t="n"/>
      <c r="J159">
        <f>IF('House Count'!H159="Y",IF('House Count'!F159="RES-SFU",1,IF('House Count'!F159="RES-MDU",1,IF('House Count'!F159="RES-HOA",1,0))),0)</f>
        <v/>
      </c>
      <c r="K159">
        <f>IF('House Count'!H159="Y",IF('House Count'!F159="COMM-SU",1,IF('House Count'!F159="COM-MTU",1,IF('House Count'!F159="ENT",1,0))),0)</f>
        <v/>
      </c>
    </row>
    <row r="160">
      <c r="A160" s="109" t="inlineStr">
        <is>
          <t>5720 MIZUNO DR</t>
        </is>
      </c>
      <c r="B160" s="109" t="inlineStr">
        <is>
          <t>GENERIC_CITY</t>
        </is>
      </c>
      <c r="C160" s="109" t="inlineStr">
        <is>
          <t>GENERIC_STATE</t>
        </is>
      </c>
      <c r="D160" s="109" t="inlineStr">
        <is>
          <t>00000</t>
        </is>
      </c>
      <c r="E160" s="109" t="n"/>
      <c r="F160" s="109" t="n"/>
      <c r="G160" s="109" t="n"/>
      <c r="H160" s="109" t="inlineStr">
        <is>
          <t>Y</t>
        </is>
      </c>
      <c r="I160" s="68" t="n"/>
      <c r="J160">
        <f>IF('House Count'!H160="Y",IF('House Count'!F160="RES-SFU",1,IF('House Count'!F160="RES-MDU",1,IF('House Count'!F160="RES-HOA",1,0))),0)</f>
        <v/>
      </c>
      <c r="K160">
        <f>IF('House Count'!H160="Y",IF('House Count'!F160="COMM-SU",1,IF('House Count'!F160="COM-MTU",1,IF('House Count'!F160="ENT",1,0))),0)</f>
        <v/>
      </c>
    </row>
    <row r="161">
      <c r="A161" s="109" t="inlineStr">
        <is>
          <t>3601 BENTWINDS BLUFFS LN</t>
        </is>
      </c>
      <c r="B161" s="109" t="inlineStr">
        <is>
          <t>GENERIC_CITY</t>
        </is>
      </c>
      <c r="C161" s="109" t="inlineStr">
        <is>
          <t>GENERIC_STATE</t>
        </is>
      </c>
      <c r="D161" s="109" t="inlineStr">
        <is>
          <t>00000</t>
        </is>
      </c>
      <c r="E161" s="109" t="n"/>
      <c r="F161" s="109" t="n"/>
      <c r="G161" s="109" t="n"/>
      <c r="H161" s="109" t="inlineStr">
        <is>
          <t>Y</t>
        </is>
      </c>
      <c r="I161" s="68" t="n"/>
      <c r="J161">
        <f>IF('House Count'!H161="Y",IF('House Count'!F161="RES-SFU",1,IF('House Count'!F161="RES-MDU",1,IF('House Count'!F161="RES-HOA",1,0))),0)</f>
        <v/>
      </c>
      <c r="K161">
        <f>IF('House Count'!H161="Y",IF('House Count'!F161="COMM-SU",1,IF('House Count'!F161="COM-MTU",1,IF('House Count'!F161="ENT",1,0))),0)</f>
        <v/>
      </c>
    </row>
    <row r="162">
      <c r="A162" s="109" t="inlineStr">
        <is>
          <t>3533 BENTWINDS BLUFFS LN</t>
        </is>
      </c>
      <c r="B162" s="109" t="inlineStr">
        <is>
          <t>GENERIC_CITY</t>
        </is>
      </c>
      <c r="C162" s="109" t="inlineStr">
        <is>
          <t>GENERIC_STATE</t>
        </is>
      </c>
      <c r="D162" s="109" t="inlineStr">
        <is>
          <t>00000</t>
        </is>
      </c>
      <c r="E162" s="109" t="n"/>
      <c r="F162" s="109" t="n"/>
      <c r="G162" s="109" t="n"/>
      <c r="H162" s="109" t="inlineStr">
        <is>
          <t>Y</t>
        </is>
      </c>
      <c r="I162" s="68" t="n"/>
      <c r="J162">
        <f>IF('House Count'!H162="Y",IF('House Count'!F162="RES-SFU",1,IF('House Count'!F162="RES-MDU",1,IF('House Count'!F162="RES-HOA",1,0))),0)</f>
        <v/>
      </c>
      <c r="K162">
        <f>IF('House Count'!H162="Y",IF('House Count'!F162="COMM-SU",1,IF('House Count'!F162="COM-MTU",1,IF('House Count'!F162="ENT",1,0))),0)</f>
        <v/>
      </c>
    </row>
    <row r="163">
      <c r="A163" s="109" t="inlineStr">
        <is>
          <t>3529 BENTWINDS BLUFFS LN</t>
        </is>
      </c>
      <c r="B163" s="109" t="inlineStr">
        <is>
          <t>GENERIC_CITY</t>
        </is>
      </c>
      <c r="C163" s="109" t="inlineStr">
        <is>
          <t>GENERIC_STATE</t>
        </is>
      </c>
      <c r="D163" s="109" t="inlineStr">
        <is>
          <t>00000</t>
        </is>
      </c>
      <c r="E163" s="109" t="n"/>
      <c r="F163" s="109" t="n"/>
      <c r="G163" s="109" t="n"/>
      <c r="H163" s="109" t="inlineStr">
        <is>
          <t>Y</t>
        </is>
      </c>
      <c r="I163" s="68" t="n"/>
      <c r="J163">
        <f>IF('House Count'!H163="Y",IF('House Count'!F163="RES-SFU",1,IF('House Count'!F163="RES-MDU",1,IF('House Count'!F163="RES-HOA",1,0))),0)</f>
        <v/>
      </c>
      <c r="K163">
        <f>IF('House Count'!H163="Y",IF('House Count'!F163="COMM-SU",1,IF('House Count'!F163="COM-MTU",1,IF('House Count'!F163="ENT",1,0))),0)</f>
        <v/>
      </c>
    </row>
    <row r="164">
      <c r="A164" s="109" t="inlineStr">
        <is>
          <t>3525 BENTWINDS BLUFFS LN</t>
        </is>
      </c>
      <c r="B164" s="109" t="inlineStr">
        <is>
          <t>GENERIC_CITY</t>
        </is>
      </c>
      <c r="C164" s="109" t="inlineStr">
        <is>
          <t>GENERIC_STATE</t>
        </is>
      </c>
      <c r="D164" s="109" t="inlineStr">
        <is>
          <t>00000</t>
        </is>
      </c>
      <c r="E164" s="109" t="n"/>
      <c r="F164" s="109" t="n"/>
      <c r="G164" s="109" t="n"/>
      <c r="H164" s="109" t="inlineStr">
        <is>
          <t>Y</t>
        </is>
      </c>
      <c r="I164" s="68" t="n"/>
      <c r="J164">
        <f>IF('House Count'!H164="Y",IF('House Count'!F164="RES-SFU",1,IF('House Count'!F164="RES-MDU",1,IF('House Count'!F164="RES-HOA",1,0))),0)</f>
        <v/>
      </c>
      <c r="K164">
        <f>IF('House Count'!H164="Y",IF('House Count'!F164="COMM-SU",1,IF('House Count'!F164="COM-MTU",1,IF('House Count'!F164="ENT",1,0))),0)</f>
        <v/>
      </c>
    </row>
    <row r="165">
      <c r="A165" s="109" t="inlineStr">
        <is>
          <t>3517 BENTWINDS BLUFFS LN</t>
        </is>
      </c>
      <c r="B165" s="109" t="inlineStr">
        <is>
          <t>GENERIC_CITY</t>
        </is>
      </c>
      <c r="C165" s="109" t="inlineStr">
        <is>
          <t>GENERIC_STATE</t>
        </is>
      </c>
      <c r="D165" s="109" t="inlineStr">
        <is>
          <t>00000</t>
        </is>
      </c>
      <c r="E165" s="109" t="n"/>
      <c r="F165" s="109" t="n"/>
      <c r="G165" s="109" t="n"/>
      <c r="H165" s="109" t="inlineStr">
        <is>
          <t>Y</t>
        </is>
      </c>
      <c r="I165" s="68" t="n"/>
      <c r="J165">
        <f>IF('House Count'!H165="Y",IF('House Count'!F165="RES-SFU",1,IF('House Count'!F165="RES-MDU",1,IF('House Count'!F165="RES-HOA",1,0))),0)</f>
        <v/>
      </c>
      <c r="K165">
        <f>IF('House Count'!H165="Y",IF('House Count'!F165="COMM-SU",1,IF('House Count'!F165="COM-MTU",1,IF('House Count'!F165="ENT",1,0))),0)</f>
        <v/>
      </c>
    </row>
    <row r="166">
      <c r="A166" s="109" t="inlineStr">
        <is>
          <t>3521 BENTWINDS BLUFFS LN</t>
        </is>
      </c>
      <c r="B166" s="109" t="inlineStr">
        <is>
          <t>GENERIC_CITY</t>
        </is>
      </c>
      <c r="C166" s="109" t="inlineStr">
        <is>
          <t>GENERIC_STATE</t>
        </is>
      </c>
      <c r="D166" s="109" t="inlineStr">
        <is>
          <t>00000</t>
        </is>
      </c>
      <c r="E166" s="109" t="n"/>
      <c r="F166" s="109" t="n"/>
      <c r="G166" s="109" t="n"/>
      <c r="H166" s="109" t="inlineStr">
        <is>
          <t>Y</t>
        </is>
      </c>
      <c r="I166" s="68" t="n"/>
      <c r="J166">
        <f>IF('House Count'!H166="Y",IF('House Count'!F166="RES-SFU",1,IF('House Count'!F166="RES-MDU",1,IF('House Count'!F166="RES-HOA",1,0))),0)</f>
        <v/>
      </c>
      <c r="K166">
        <f>IF('House Count'!H166="Y",IF('House Count'!F166="COMM-SU",1,IF('House Count'!F166="COM-MTU",1,IF('House Count'!F166="ENT",1,0))),0)</f>
        <v/>
      </c>
    </row>
    <row r="167">
      <c r="A167" s="109" t="inlineStr">
        <is>
          <t>3608 BENTWINDS BLUFFS LN</t>
        </is>
      </c>
      <c r="B167" s="109" t="inlineStr">
        <is>
          <t>GENERIC_CITY</t>
        </is>
      </c>
      <c r="C167" s="109" t="inlineStr">
        <is>
          <t>GENERIC_STATE</t>
        </is>
      </c>
      <c r="D167" s="109" t="inlineStr">
        <is>
          <t>00000</t>
        </is>
      </c>
      <c r="E167" s="109" t="n"/>
      <c r="F167" s="109" t="n"/>
      <c r="G167" s="109" t="n"/>
      <c r="H167" s="109" t="inlineStr">
        <is>
          <t>Y</t>
        </is>
      </c>
      <c r="I167" s="68" t="n"/>
      <c r="J167">
        <f>IF('House Count'!H167="Y",IF('House Count'!F167="RES-SFU",1,IF('House Count'!F167="RES-MDU",1,IF('House Count'!F167="RES-HOA",1,0))),0)</f>
        <v/>
      </c>
      <c r="K167">
        <f>IF('House Count'!H167="Y",IF('House Count'!F167="COMM-SU",1,IF('House Count'!F167="COM-MTU",1,IF('House Count'!F167="ENT",1,0))),0)</f>
        <v/>
      </c>
    </row>
    <row r="168">
      <c r="A168" s="109" t="inlineStr">
        <is>
          <t>3516 BENTWINDS BLUFFS LN</t>
        </is>
      </c>
      <c r="B168" s="109" t="inlineStr">
        <is>
          <t>GENERIC_CITY</t>
        </is>
      </c>
      <c r="C168" s="109" t="inlineStr">
        <is>
          <t>GENERIC_STATE</t>
        </is>
      </c>
      <c r="D168" s="109" t="inlineStr">
        <is>
          <t>00000</t>
        </is>
      </c>
      <c r="E168" s="109" t="n"/>
      <c r="F168" s="109" t="n"/>
      <c r="G168" s="109" t="n"/>
      <c r="H168" s="109" t="inlineStr">
        <is>
          <t>Y</t>
        </is>
      </c>
      <c r="I168" s="68" t="n"/>
      <c r="J168">
        <f>IF('House Count'!H168="Y",IF('House Count'!F168="RES-SFU",1,IF('House Count'!F168="RES-MDU",1,IF('House Count'!F168="RES-HOA",1,0))),0)</f>
        <v/>
      </c>
      <c r="K168">
        <f>IF('House Count'!H168="Y",IF('House Count'!F168="COMM-SU",1,IF('House Count'!F168="COM-MTU",1,IF('House Count'!F168="ENT",1,0))),0)</f>
        <v/>
      </c>
    </row>
    <row r="169" ht="15.75" customHeight="1" thickBot="1">
      <c r="A169" s="545" t="inlineStr">
        <is>
          <t>3501 BENTWINDS BLUFFS LN</t>
        </is>
      </c>
      <c r="B169" s="545" t="inlineStr">
        <is>
          <t>GENERIC_CITY</t>
        </is>
      </c>
      <c r="C169" s="545" t="inlineStr">
        <is>
          <t>GENERIC_STATE</t>
        </is>
      </c>
      <c r="D169" s="545" t="inlineStr">
        <is>
          <t>00000</t>
        </is>
      </c>
      <c r="E169" s="545" t="n"/>
      <c r="F169" s="545" t="n"/>
      <c r="G169" s="545" t="n"/>
      <c r="H169" s="545" t="inlineStr">
        <is>
          <t>Y</t>
        </is>
      </c>
      <c r="I169" s="546" t="n"/>
      <c r="J169">
        <f>IF('House Count'!H169="Y",IF('House Count'!F169="RES-SFU",1,IF('House Count'!F169="RES-MDU",1,IF('House Count'!F169="RES-HOA",1,0))),0)</f>
        <v/>
      </c>
      <c r="K169">
        <f>IF('House Count'!H169="Y",IF('House Count'!F169="COMM-SU",1,IF('House Count'!F169="COM-MTU",1,IF('House Count'!F169="ENT",1,0))),0)</f>
        <v/>
      </c>
    </row>
    <row r="170" ht="15.75" customHeight="1" thickTop="1">
      <c r="A170" s="109" t="inlineStr">
        <is>
          <t>3505 BENTWINDS BLUFFS LN</t>
        </is>
      </c>
      <c r="B170" s="109" t="inlineStr">
        <is>
          <t>GENERIC_CITY</t>
        </is>
      </c>
      <c r="C170" s="109" t="inlineStr">
        <is>
          <t>GENERIC_STATE</t>
        </is>
      </c>
      <c r="D170" s="109" t="inlineStr">
        <is>
          <t>00000</t>
        </is>
      </c>
      <c r="E170" s="109" t="n"/>
      <c r="F170" s="109" t="n"/>
      <c r="G170" s="109" t="n"/>
      <c r="H170" s="109" t="inlineStr">
        <is>
          <t>Y</t>
        </is>
      </c>
      <c r="I170" s="68" t="n"/>
      <c r="J170">
        <f>IF('House Count'!H170="Y",IF('House Count'!F170="RES-SFU",1,IF('House Count'!F170="RES-MDU",1,IF('House Count'!F170="RES-HOA",1,0))),0)</f>
        <v/>
      </c>
      <c r="K170">
        <f>IF('House Count'!H170="Y",IF('House Count'!F170="COMM-SU",1,IF('House Count'!F170="COM-MTU",1,IF('House Count'!F170="ENT",1,0))),0)</f>
        <v/>
      </c>
    </row>
    <row r="171">
      <c r="A171" s="109" t="inlineStr">
        <is>
          <t>3509 BENTWINDS BLUFFS LN</t>
        </is>
      </c>
      <c r="B171" s="109" t="inlineStr">
        <is>
          <t>GENERIC_CITY</t>
        </is>
      </c>
      <c r="C171" s="109" t="inlineStr">
        <is>
          <t>GENERIC_STATE</t>
        </is>
      </c>
      <c r="D171" s="109" t="inlineStr">
        <is>
          <t>00000</t>
        </is>
      </c>
      <c r="E171" s="109" t="n"/>
      <c r="F171" s="109" t="n"/>
      <c r="G171" s="109" t="n"/>
      <c r="H171" s="109" t="inlineStr">
        <is>
          <t>Y</t>
        </is>
      </c>
      <c r="I171" s="68" t="n"/>
      <c r="J171">
        <f>IF('House Count'!H171="Y",IF('House Count'!F171="RES-SFU",1,IF('House Count'!F171="RES-MDU",1,IF('House Count'!F171="RES-HOA",1,0))),0)</f>
        <v/>
      </c>
      <c r="K171">
        <f>IF('House Count'!H171="Y",IF('House Count'!F171="COMM-SU",1,IF('House Count'!F171="COM-MTU",1,IF('House Count'!F171="ENT",1,0))),0)</f>
        <v/>
      </c>
    </row>
    <row r="172">
      <c r="A172" s="109" t="inlineStr">
        <is>
          <t>3513 BENTWINDS BLUFFS LN</t>
        </is>
      </c>
      <c r="B172" s="109" t="inlineStr">
        <is>
          <t>GENERIC_CITY</t>
        </is>
      </c>
      <c r="C172" s="109" t="inlineStr">
        <is>
          <t>GENERIC_STATE</t>
        </is>
      </c>
      <c r="D172" s="109" t="inlineStr">
        <is>
          <t>00000</t>
        </is>
      </c>
      <c r="E172" s="109" t="n"/>
      <c r="F172" s="109" t="n"/>
      <c r="G172" s="109" t="n"/>
      <c r="H172" s="109" t="inlineStr">
        <is>
          <t>Y</t>
        </is>
      </c>
      <c r="I172" s="68" t="n"/>
      <c r="J172">
        <f>IF('House Count'!H172="Y",IF('House Count'!F172="RES-SFU",1,IF('House Count'!F172="RES-MDU",1,IF('House Count'!F172="RES-HOA",1,0))),0)</f>
        <v/>
      </c>
      <c r="K172">
        <f>IF('House Count'!H172="Y",IF('House Count'!F172="COMM-SU",1,IF('House Count'!F172="COM-MTU",1,IF('House Count'!F172="ENT",1,0))),0)</f>
        <v/>
      </c>
    </row>
    <row r="173">
      <c r="A173" s="109" t="inlineStr">
        <is>
          <t>3512 BENTWINDS BLUFFS LN</t>
        </is>
      </c>
      <c r="B173" s="109" t="inlineStr">
        <is>
          <t>GENERIC_CITY</t>
        </is>
      </c>
      <c r="C173" s="109" t="inlineStr">
        <is>
          <t>GENERIC_STATE</t>
        </is>
      </c>
      <c r="D173" s="109" t="inlineStr">
        <is>
          <t>00000</t>
        </is>
      </c>
      <c r="E173" s="109" t="n"/>
      <c r="F173" s="109" t="n"/>
      <c r="G173" s="109" t="n"/>
      <c r="H173" s="109" t="inlineStr">
        <is>
          <t>Y</t>
        </is>
      </c>
      <c r="I173" s="68" t="n"/>
      <c r="J173">
        <f>IF('House Count'!H173="Y",IF('House Count'!F173="RES-SFU",1,IF('House Count'!F173="RES-MDU",1,IF('House Count'!F173="RES-HOA",1,0))),0)</f>
        <v/>
      </c>
      <c r="K173">
        <f>IF('House Count'!H173="Y",IF('House Count'!F173="COMM-SU",1,IF('House Count'!F173="COM-MTU",1,IF('House Count'!F173="ENT",1,0))),0)</f>
        <v/>
      </c>
    </row>
    <row r="174">
      <c r="A174" s="109" t="inlineStr">
        <is>
          <t>3508 BENTWINDS BLUFFS LN</t>
        </is>
      </c>
      <c r="B174" s="109" t="inlineStr">
        <is>
          <t>GENERIC_CITY</t>
        </is>
      </c>
      <c r="C174" s="109" t="inlineStr">
        <is>
          <t>GENERIC_STATE</t>
        </is>
      </c>
      <c r="D174" s="109" t="inlineStr">
        <is>
          <t>00000</t>
        </is>
      </c>
      <c r="E174" s="109" t="n"/>
      <c r="F174" s="109" t="n"/>
      <c r="G174" s="109" t="n"/>
      <c r="H174" s="109" t="inlineStr">
        <is>
          <t>Y</t>
        </is>
      </c>
      <c r="I174" s="68" t="n"/>
      <c r="J174">
        <f>IF('House Count'!H174="Y",IF('House Count'!F174="RES-SFU",1,IF('House Count'!F174="RES-MDU",1,IF('House Count'!F174="RES-HOA",1,0))),0)</f>
        <v/>
      </c>
      <c r="K174">
        <f>IF('House Count'!H174="Y",IF('House Count'!F174="COMM-SU",1,IF('House Count'!F174="COM-MTU",1,IF('House Count'!F174="ENT",1,0))),0)</f>
        <v/>
      </c>
    </row>
    <row r="175">
      <c r="A175" s="109" t="inlineStr">
        <is>
          <t>3504 BENTWINDS BLUFFS LN</t>
        </is>
      </c>
      <c r="B175" s="109" t="inlineStr">
        <is>
          <t>GENERIC_CITY</t>
        </is>
      </c>
      <c r="C175" s="109" t="inlineStr">
        <is>
          <t>GENERIC_STATE</t>
        </is>
      </c>
      <c r="D175" s="109" t="inlineStr">
        <is>
          <t>00000</t>
        </is>
      </c>
      <c r="E175" s="109" t="n"/>
      <c r="F175" s="109" t="n"/>
      <c r="G175" s="109" t="n"/>
      <c r="H175" s="109" t="inlineStr">
        <is>
          <t>Y</t>
        </is>
      </c>
      <c r="I175" s="68" t="n"/>
      <c r="J175">
        <f>IF('House Count'!H175="Y",IF('House Count'!F175="RES-SFU",1,IF('House Count'!F175="RES-MDU",1,IF('House Count'!F175="RES-HOA",1,0))),0)</f>
        <v/>
      </c>
      <c r="K175">
        <f>IF('House Count'!H175="Y",IF('House Count'!F175="COMM-SU",1,IF('House Count'!F175="COM-MTU",1,IF('House Count'!F175="ENT",1,0))),0)</f>
        <v/>
      </c>
    </row>
    <row r="176">
      <c r="A176" s="109" t="inlineStr">
        <is>
          <t>3500 BENTWINDS BLUFFS LN</t>
        </is>
      </c>
      <c r="B176" s="109" t="inlineStr">
        <is>
          <t>GENERIC_CITY</t>
        </is>
      </c>
      <c r="C176" s="109" t="inlineStr">
        <is>
          <t>GENERIC_STATE</t>
        </is>
      </c>
      <c r="D176" s="109" t="inlineStr">
        <is>
          <t>00000</t>
        </is>
      </c>
      <c r="E176" s="109" t="n"/>
      <c r="F176" s="109" t="n"/>
      <c r="G176" s="109" t="n"/>
      <c r="H176" s="109" t="inlineStr">
        <is>
          <t>Y</t>
        </is>
      </c>
      <c r="I176" s="68" t="n"/>
      <c r="J176">
        <f>IF('House Count'!H176="Y",IF('House Count'!F176="RES-SFU",1,IF('House Count'!F176="RES-MDU",1,IF('House Count'!F176="RES-HOA",1,0))),0)</f>
        <v/>
      </c>
      <c r="K176">
        <f>IF('House Count'!H176="Y",IF('House Count'!F176="COMM-SU",1,IF('House Count'!F176="COM-MTU",1,IF('House Count'!F176="ENT",1,0))),0)</f>
        <v/>
      </c>
    </row>
    <row r="177">
      <c r="A177" s="109" t="inlineStr">
        <is>
          <t>7813 ST ANNES WAY</t>
        </is>
      </c>
      <c r="B177" s="109" t="inlineStr">
        <is>
          <t>GENERIC_CITY</t>
        </is>
      </c>
      <c r="C177" s="109" t="inlineStr">
        <is>
          <t>GENERIC_STATE</t>
        </is>
      </c>
      <c r="D177" s="109" t="inlineStr">
        <is>
          <t>00000</t>
        </is>
      </c>
      <c r="E177" s="109" t="n"/>
      <c r="F177" s="109" t="n"/>
      <c r="G177" s="109" t="n"/>
      <c r="H177" s="109" t="inlineStr">
        <is>
          <t>Y</t>
        </is>
      </c>
      <c r="I177" s="68" t="n"/>
      <c r="J177">
        <f>IF('House Count'!H177="Y",IF('House Count'!F177="RES-SFU",1,IF('House Count'!F177="RES-MDU",1,IF('House Count'!F177="RES-HOA",1,0))),0)</f>
        <v/>
      </c>
      <c r="K177">
        <f>IF('House Count'!H177="Y",IF('House Count'!F177="COMM-SU",1,IF('House Count'!F177="COM-MTU",1,IF('House Count'!F177="ENT",1,0))),0)</f>
        <v/>
      </c>
    </row>
    <row r="178">
      <c r="A178" s="109" t="inlineStr">
        <is>
          <t>6605 VARDON CT</t>
        </is>
      </c>
      <c r="B178" s="109" t="inlineStr">
        <is>
          <t>GENERIC_CITY</t>
        </is>
      </c>
      <c r="C178" s="109" t="inlineStr">
        <is>
          <t>GENERIC_STATE</t>
        </is>
      </c>
      <c r="D178" s="109" t="inlineStr">
        <is>
          <t>00000</t>
        </is>
      </c>
      <c r="E178" s="109" t="n"/>
      <c r="F178" s="109" t="n"/>
      <c r="G178" s="109" t="n"/>
      <c r="H178" s="109" t="inlineStr">
        <is>
          <t>Y</t>
        </is>
      </c>
      <c r="I178" s="68" t="n"/>
      <c r="J178">
        <f>IF('House Count'!H178="Y",IF('House Count'!F178="RES-SFU",1,IF('House Count'!F178="RES-MDU",1,IF('House Count'!F178="RES-HOA",1,0))),0)</f>
        <v/>
      </c>
      <c r="K178">
        <f>IF('House Count'!H178="Y",IF('House Count'!F178="COMM-SU",1,IF('House Count'!F178="COM-MTU",1,IF('House Count'!F178="ENT",1,0))),0)</f>
        <v/>
      </c>
    </row>
    <row r="179">
      <c r="A179" s="109" t="inlineStr">
        <is>
          <t>6609 VARDON CT</t>
        </is>
      </c>
      <c r="B179" s="109" t="inlineStr">
        <is>
          <t>GENERIC_CITY</t>
        </is>
      </c>
      <c r="C179" s="109" t="inlineStr">
        <is>
          <t>GENERIC_STATE</t>
        </is>
      </c>
      <c r="D179" s="109" t="inlineStr">
        <is>
          <t>00000</t>
        </is>
      </c>
      <c r="E179" s="109" t="n"/>
      <c r="F179" s="109" t="n"/>
      <c r="G179" s="109" t="n"/>
      <c r="H179" s="109" t="inlineStr">
        <is>
          <t>Y</t>
        </is>
      </c>
      <c r="I179" s="68" t="n"/>
      <c r="J179">
        <f>IF('House Count'!H179="Y",IF('House Count'!F179="RES-SFU",1,IF('House Count'!F179="RES-MDU",1,IF('House Count'!F179="RES-HOA",1,0))),0)</f>
        <v/>
      </c>
      <c r="K179">
        <f>IF('House Count'!H179="Y",IF('House Count'!F179="COMM-SU",1,IF('House Count'!F179="COM-MTU",1,IF('House Count'!F179="ENT",1,0))),0)</f>
        <v/>
      </c>
    </row>
    <row r="180">
      <c r="A180" s="109" t="inlineStr">
        <is>
          <t>6608 VARDON CT</t>
        </is>
      </c>
      <c r="B180" s="109" t="inlineStr">
        <is>
          <t>GENERIC_CITY</t>
        </is>
      </c>
      <c r="C180" s="109" t="inlineStr">
        <is>
          <t>GENERIC_STATE</t>
        </is>
      </c>
      <c r="D180" s="109" t="inlineStr">
        <is>
          <t>00000</t>
        </is>
      </c>
      <c r="E180" s="109" t="n"/>
      <c r="F180" s="109" t="n"/>
      <c r="G180" s="109" t="n"/>
      <c r="H180" s="109" t="inlineStr">
        <is>
          <t>Y</t>
        </is>
      </c>
      <c r="I180" s="68" t="n"/>
      <c r="J180">
        <f>IF('House Count'!H180="Y",IF('House Count'!F180="RES-SFU",1,IF('House Count'!F180="RES-MDU",1,IF('House Count'!F180="RES-HOA",1,0))),0)</f>
        <v/>
      </c>
      <c r="K180">
        <f>IF('House Count'!H180="Y",IF('House Count'!F180="COMM-SU",1,IF('House Count'!F180="COM-MTU",1,IF('House Count'!F180="ENT",1,0))),0)</f>
        <v/>
      </c>
    </row>
    <row r="181" ht="15.75" customHeight="1" thickBot="1">
      <c r="A181" s="545" t="inlineStr">
        <is>
          <t>6604 VARDON CT</t>
        </is>
      </c>
      <c r="B181" s="545" t="inlineStr">
        <is>
          <t>GENERIC_CITY</t>
        </is>
      </c>
      <c r="C181" s="545" t="inlineStr">
        <is>
          <t>GENERIC_STATE</t>
        </is>
      </c>
      <c r="D181" s="545" t="inlineStr">
        <is>
          <t>00000</t>
        </is>
      </c>
      <c r="E181" s="545" t="n"/>
      <c r="F181" s="545" t="n"/>
      <c r="G181" s="545" t="n"/>
      <c r="H181" s="545" t="inlineStr">
        <is>
          <t>Y</t>
        </is>
      </c>
      <c r="I181" s="546" t="n"/>
      <c r="J181">
        <f>IF('House Count'!H181="Y",IF('House Count'!F181="RES-SFU",1,IF('House Count'!F181="RES-MDU",1,IF('House Count'!F181="RES-HOA",1,0))),0)</f>
        <v/>
      </c>
      <c r="K181">
        <f>IF('House Count'!H181="Y",IF('House Count'!F181="COMM-SU",1,IF('House Count'!F181="COM-MTU",1,IF('House Count'!F181="ENT",1,0))),0)</f>
        <v/>
      </c>
    </row>
    <row r="182" ht="15.75" customHeight="1" thickTop="1">
      <c r="A182" s="109" t="inlineStr">
        <is>
          <t>7817 ST ANNES WAY</t>
        </is>
      </c>
      <c r="B182" s="109" t="inlineStr">
        <is>
          <t>GENERIC_CITY</t>
        </is>
      </c>
      <c r="C182" s="109" t="inlineStr">
        <is>
          <t>GENERIC_STATE</t>
        </is>
      </c>
      <c r="D182" s="109" t="inlineStr">
        <is>
          <t>00000</t>
        </is>
      </c>
      <c r="E182" s="109" t="n"/>
      <c r="F182" s="109" t="n"/>
      <c r="G182" s="109" t="n"/>
      <c r="H182" s="109" t="inlineStr">
        <is>
          <t>Y</t>
        </is>
      </c>
      <c r="I182" s="68" t="n"/>
      <c r="J182">
        <f>IF('House Count'!H182="Y",IF('House Count'!F182="RES-SFU",1,IF('House Count'!F182="RES-MDU",1,IF('House Count'!F182="RES-HOA",1,0))),0)</f>
        <v/>
      </c>
      <c r="K182">
        <f>IF('House Count'!H182="Y",IF('House Count'!F182="COMM-SU",1,IF('House Count'!F182="COM-MTU",1,IF('House Count'!F182="ENT",1,0))),0)</f>
        <v/>
      </c>
    </row>
    <row r="183">
      <c r="A183" s="109" t="inlineStr">
        <is>
          <t>7816 ST ANNES WAY</t>
        </is>
      </c>
      <c r="B183" s="109" t="inlineStr">
        <is>
          <t>GENERIC_CITY</t>
        </is>
      </c>
      <c r="C183" s="109" t="inlineStr">
        <is>
          <t>GENERIC_STATE</t>
        </is>
      </c>
      <c r="D183" s="109" t="inlineStr">
        <is>
          <t>00000</t>
        </is>
      </c>
      <c r="E183" s="109" t="n"/>
      <c r="F183" s="109" t="n"/>
      <c r="G183" s="109" t="n"/>
      <c r="H183" s="109" t="inlineStr">
        <is>
          <t>Y</t>
        </is>
      </c>
      <c r="I183" s="68" t="n"/>
      <c r="J183">
        <f>IF('House Count'!H183="Y",IF('House Count'!F183="RES-SFU",1,IF('House Count'!F183="RES-MDU",1,IF('House Count'!F183="RES-HOA",1,0))),0)</f>
        <v/>
      </c>
      <c r="K183">
        <f>IF('House Count'!H183="Y",IF('House Count'!F183="COMM-SU",1,IF('House Count'!F183="COM-MTU",1,IF('House Count'!F183="ENT",1,0))),0)</f>
        <v/>
      </c>
    </row>
    <row r="184">
      <c r="A184" s="109" t="inlineStr">
        <is>
          <t>7812 ST ANNES WAY</t>
        </is>
      </c>
      <c r="B184" s="109" t="inlineStr">
        <is>
          <t>GENERIC_CITY</t>
        </is>
      </c>
      <c r="C184" s="109" t="inlineStr">
        <is>
          <t>GENERIC_STATE</t>
        </is>
      </c>
      <c r="D184" s="109" t="inlineStr">
        <is>
          <t>00000</t>
        </is>
      </c>
      <c r="E184" s="109" t="n"/>
      <c r="F184" s="109" t="n"/>
      <c r="G184" s="109" t="n"/>
      <c r="H184" s="109" t="inlineStr">
        <is>
          <t>Y</t>
        </is>
      </c>
      <c r="I184" s="68" t="n"/>
      <c r="J184">
        <f>IF('House Count'!H184="Y",IF('House Count'!F184="RES-SFU",1,IF('House Count'!F184="RES-MDU",1,IF('House Count'!F184="RES-HOA",1,0))),0)</f>
        <v/>
      </c>
      <c r="K184">
        <f>IF('House Count'!H184="Y",IF('House Count'!F184="COMM-SU",1,IF('House Count'!F184="COM-MTU",1,IF('House Count'!F184="ENT",1,0))),0)</f>
        <v/>
      </c>
    </row>
    <row r="185">
      <c r="A185" s="109" t="inlineStr">
        <is>
          <t>7808 ST ANNES WAY</t>
        </is>
      </c>
      <c r="B185" s="109" t="inlineStr">
        <is>
          <t>GENERIC_CITY</t>
        </is>
      </c>
      <c r="C185" s="109" t="inlineStr">
        <is>
          <t>GENERIC_STATE</t>
        </is>
      </c>
      <c r="D185" s="109" t="inlineStr">
        <is>
          <t>00000</t>
        </is>
      </c>
      <c r="E185" s="109" t="n"/>
      <c r="F185" s="109" t="n"/>
      <c r="G185" s="109" t="n"/>
      <c r="H185" s="109" t="inlineStr">
        <is>
          <t>Y</t>
        </is>
      </c>
      <c r="I185" s="68" t="n"/>
      <c r="J185">
        <f>IF('House Count'!H185="Y",IF('House Count'!F185="RES-SFU",1,IF('House Count'!F185="RES-MDU",1,IF('House Count'!F185="RES-HOA",1,0))),0)</f>
        <v/>
      </c>
      <c r="K185">
        <f>IF('House Count'!H185="Y",IF('House Count'!F185="COMM-SU",1,IF('House Count'!F185="COM-MTU",1,IF('House Count'!F185="ENT",1,0))),0)</f>
        <v/>
      </c>
    </row>
    <row r="186">
      <c r="A186" s="109" t="inlineStr">
        <is>
          <t>7809 ST ANNES WAY</t>
        </is>
      </c>
      <c r="B186" s="109" t="inlineStr">
        <is>
          <t>GENERIC_CITY</t>
        </is>
      </c>
      <c r="C186" s="109" t="inlineStr">
        <is>
          <t>GENERIC_STATE</t>
        </is>
      </c>
      <c r="D186" s="109" t="inlineStr">
        <is>
          <t>00000</t>
        </is>
      </c>
      <c r="E186" s="109" t="n"/>
      <c r="F186" s="109" t="n"/>
      <c r="G186" s="109" t="n"/>
      <c r="H186" s="109" t="inlineStr">
        <is>
          <t>Y</t>
        </is>
      </c>
      <c r="I186" s="68" t="n"/>
      <c r="J186">
        <f>IF('House Count'!H186="Y",IF('House Count'!F186="RES-SFU",1,IF('House Count'!F186="RES-MDU",1,IF('House Count'!F186="RES-HOA",1,0))),0)</f>
        <v/>
      </c>
      <c r="K186">
        <f>IF('House Count'!H186="Y",IF('House Count'!F186="COMM-SU",1,IF('House Count'!F186="COM-MTU",1,IF('House Count'!F186="ENT",1,0))),0)</f>
        <v/>
      </c>
    </row>
    <row r="187">
      <c r="A187" s="109" t="inlineStr">
        <is>
          <t>7801 ST ANNES WAY</t>
        </is>
      </c>
      <c r="B187" s="109" t="inlineStr">
        <is>
          <t>GENERIC_CITY</t>
        </is>
      </c>
      <c r="C187" s="109" t="inlineStr">
        <is>
          <t>GENERIC_STATE</t>
        </is>
      </c>
      <c r="D187" s="109" t="inlineStr">
        <is>
          <t>00000</t>
        </is>
      </c>
      <c r="E187" s="109" t="n"/>
      <c r="F187" s="109" t="n"/>
      <c r="G187" s="109" t="n"/>
      <c r="H187" s="109" t="inlineStr">
        <is>
          <t>Y</t>
        </is>
      </c>
      <c r="I187" s="68" t="n"/>
      <c r="J187">
        <f>IF('House Count'!H187="Y",IF('House Count'!F187="RES-SFU",1,IF('House Count'!F187="RES-MDU",1,IF('House Count'!F187="RES-HOA",1,0))),0)</f>
        <v/>
      </c>
      <c r="K187">
        <f>IF('House Count'!H187="Y",IF('House Count'!F187="COMM-SU",1,IF('House Count'!F187="COM-MTU",1,IF('House Count'!F187="ENT",1,0))),0)</f>
        <v/>
      </c>
    </row>
    <row r="188">
      <c r="A188" s="109" t="inlineStr">
        <is>
          <t>7800 ST ANNES WAY</t>
        </is>
      </c>
      <c r="B188" s="109" t="inlineStr">
        <is>
          <t>GENERIC_CITY</t>
        </is>
      </c>
      <c r="C188" s="109" t="inlineStr">
        <is>
          <t>GENERIC_STATE</t>
        </is>
      </c>
      <c r="D188" s="109" t="inlineStr">
        <is>
          <t>00000</t>
        </is>
      </c>
      <c r="E188" s="109" t="n"/>
      <c r="F188" s="109" t="n"/>
      <c r="G188" s="109" t="n"/>
      <c r="H188" s="109" t="inlineStr">
        <is>
          <t>Y</t>
        </is>
      </c>
      <c r="I188" s="68" t="n"/>
      <c r="J188">
        <f>IF('House Count'!H188="Y",IF('House Count'!F188="RES-SFU",1,IF('House Count'!F188="RES-MDU",1,IF('House Count'!F188="RES-HOA",1,0))),0)</f>
        <v/>
      </c>
      <c r="K188">
        <f>IF('House Count'!H188="Y",IF('House Count'!F188="COMM-SU",1,IF('House Count'!F188="COM-MTU",1,IF('House Count'!F188="ENT",1,0))),0)</f>
        <v/>
      </c>
    </row>
    <row r="189">
      <c r="A189" s="109" t="inlineStr">
        <is>
          <t>7804 ST ANNES WAY</t>
        </is>
      </c>
      <c r="B189" s="109" t="inlineStr">
        <is>
          <t>GENERIC_CITY</t>
        </is>
      </c>
      <c r="C189" s="109" t="inlineStr">
        <is>
          <t>GENERIC_STATE</t>
        </is>
      </c>
      <c r="D189" s="109" t="inlineStr">
        <is>
          <t>00000</t>
        </is>
      </c>
      <c r="E189" s="109" t="n"/>
      <c r="F189" s="109" t="n"/>
      <c r="G189" s="109" t="n"/>
      <c r="H189" s="109" t="inlineStr">
        <is>
          <t>Y</t>
        </is>
      </c>
      <c r="I189" s="68" t="n"/>
      <c r="J189">
        <f>IF('House Count'!H189="Y",IF('House Count'!F189="RES-SFU",1,IF('House Count'!F189="RES-MDU",1,IF('House Count'!F189="RES-HOA",1,0))),0)</f>
        <v/>
      </c>
      <c r="K189">
        <f>IF('House Count'!H189="Y",IF('House Count'!F189="COMM-SU",1,IF('House Count'!F189="COM-MTU",1,IF('House Count'!F189="ENT",1,0))),0)</f>
        <v/>
      </c>
    </row>
    <row r="190">
      <c r="A190" s="109" t="inlineStr">
        <is>
          <t>7821 ST ANNES WAY</t>
        </is>
      </c>
      <c r="B190" s="109" t="inlineStr">
        <is>
          <t>GENERIC_CITY</t>
        </is>
      </c>
      <c r="C190" s="109" t="inlineStr">
        <is>
          <t>GENERIC_STATE</t>
        </is>
      </c>
      <c r="D190" s="109" t="inlineStr">
        <is>
          <t>00000</t>
        </is>
      </c>
      <c r="E190" s="109" t="n"/>
      <c r="F190" s="109" t="n"/>
      <c r="G190" s="109" t="n"/>
      <c r="H190" s="109" t="inlineStr">
        <is>
          <t>Y</t>
        </is>
      </c>
      <c r="I190" s="68" t="n"/>
      <c r="J190">
        <f>IF('House Count'!H190="Y",IF('House Count'!F190="RES-SFU",1,IF('House Count'!F190="RES-MDU",1,IF('House Count'!F190="RES-HOA",1,0))),0)</f>
        <v/>
      </c>
      <c r="K190">
        <f>IF('House Count'!H190="Y",IF('House Count'!F190="COMM-SU",1,IF('House Count'!F190="COM-MTU",1,IF('House Count'!F190="ENT",1,0))),0)</f>
        <v/>
      </c>
    </row>
    <row r="191">
      <c r="A191" s="109" t="inlineStr">
        <is>
          <t>7825 ST ANNES WAY</t>
        </is>
      </c>
      <c r="B191" s="109" t="inlineStr">
        <is>
          <t>GENERIC_CITY</t>
        </is>
      </c>
      <c r="C191" s="109" t="inlineStr">
        <is>
          <t>GENERIC_STATE</t>
        </is>
      </c>
      <c r="D191" s="109" t="inlineStr">
        <is>
          <t>00000</t>
        </is>
      </c>
      <c r="E191" s="109" t="n"/>
      <c r="F191" s="109" t="n"/>
      <c r="G191" s="109" t="n"/>
      <c r="H191" s="109" t="inlineStr">
        <is>
          <t>Y</t>
        </is>
      </c>
      <c r="I191" s="68" t="n"/>
      <c r="J191">
        <f>IF('House Count'!H191="Y",IF('House Count'!F191="RES-SFU",1,IF('House Count'!F191="RES-MDU",1,IF('House Count'!F191="RES-HOA",1,0))),0)</f>
        <v/>
      </c>
      <c r="K191">
        <f>IF('House Count'!H191="Y",IF('House Count'!F191="COMM-SU",1,IF('House Count'!F191="COM-MTU",1,IF('House Count'!F191="ENT",1,0))),0)</f>
        <v/>
      </c>
    </row>
    <row r="192">
      <c r="A192" s="109" t="inlineStr">
        <is>
          <t>7820 ST ANNES WAY</t>
        </is>
      </c>
      <c r="B192" s="109" t="inlineStr">
        <is>
          <t>GENERIC_CITY</t>
        </is>
      </c>
      <c r="C192" s="109" t="inlineStr">
        <is>
          <t>GENERIC_STATE</t>
        </is>
      </c>
      <c r="D192" s="109" t="inlineStr">
        <is>
          <t>00000</t>
        </is>
      </c>
      <c r="E192" s="109" t="n"/>
      <c r="F192" s="109" t="n"/>
      <c r="G192" s="109" t="n"/>
      <c r="H192" s="109" t="inlineStr">
        <is>
          <t>Y</t>
        </is>
      </c>
      <c r="I192" s="68" t="n"/>
      <c r="J192">
        <f>IF('House Count'!H192="Y",IF('House Count'!F192="RES-SFU",1,IF('House Count'!F192="RES-MDU",1,IF('House Count'!F192="RES-HOA",1,0))),0)</f>
        <v/>
      </c>
      <c r="K192">
        <f>IF('House Count'!H192="Y",IF('House Count'!F192="COMM-SU",1,IF('House Count'!F192="COM-MTU",1,IF('House Count'!F192="ENT",1,0))),0)</f>
        <v/>
      </c>
    </row>
    <row r="193" ht="15.75" customHeight="1" thickBot="1">
      <c r="A193" s="545" t="inlineStr">
        <is>
          <t>7824 ST ANNES WAY</t>
        </is>
      </c>
      <c r="B193" s="545" t="inlineStr">
        <is>
          <t>GENERIC_CITY</t>
        </is>
      </c>
      <c r="C193" s="545" t="inlineStr">
        <is>
          <t>GENERIC_STATE</t>
        </is>
      </c>
      <c r="D193" s="545" t="inlineStr">
        <is>
          <t>00000</t>
        </is>
      </c>
      <c r="E193" s="545" t="n"/>
      <c r="F193" s="545" t="n"/>
      <c r="G193" s="545" t="n"/>
      <c r="H193" s="545" t="inlineStr">
        <is>
          <t>Y</t>
        </is>
      </c>
      <c r="I193" s="546" t="n"/>
      <c r="J193">
        <f>IF('House Count'!H193="Y",IF('House Count'!F193="RES-SFU",1,IF('House Count'!F193="RES-MDU",1,IF('House Count'!F193="RES-HOA",1,0))),0)</f>
        <v/>
      </c>
      <c r="K193">
        <f>IF('House Count'!H193="Y",IF('House Count'!F193="COMM-SU",1,IF('House Count'!F193="COM-MTU",1,IF('House Count'!F193="ENT",1,0))),0)</f>
        <v/>
      </c>
    </row>
    <row r="194" ht="15.75" customHeight="1" thickTop="1">
      <c r="A194" s="109" t="inlineStr">
        <is>
          <t>8008 MUIRFIELD DR</t>
        </is>
      </c>
      <c r="B194" s="109" t="inlineStr">
        <is>
          <t>GENERIC_CITY</t>
        </is>
      </c>
      <c r="C194" s="109" t="inlineStr">
        <is>
          <t>GENERIC_STATE</t>
        </is>
      </c>
      <c r="D194" s="109" t="inlineStr">
        <is>
          <t>00000</t>
        </is>
      </c>
      <c r="E194" s="109" t="n"/>
      <c r="F194" s="109" t="n"/>
      <c r="G194" s="109" t="n"/>
      <c r="H194" s="109" t="inlineStr">
        <is>
          <t>Y</t>
        </is>
      </c>
      <c r="I194" s="68" t="n"/>
      <c r="J194">
        <f>IF('House Count'!H194="Y",IF('House Count'!F194="RES-SFU",1,IF('House Count'!F194="RES-MDU",1,IF('House Count'!F194="RES-HOA",1,0))),0)</f>
        <v/>
      </c>
      <c r="K194">
        <f>IF('House Count'!H194="Y",IF('House Count'!F194="COMM-SU",1,IF('House Count'!F194="COM-MTU",1,IF('House Count'!F194="ENT",1,0))),0)</f>
        <v/>
      </c>
    </row>
    <row r="195">
      <c r="A195" s="109" t="inlineStr">
        <is>
          <t>8016 MUIRFIELD DR</t>
        </is>
      </c>
      <c r="B195" s="109" t="inlineStr">
        <is>
          <t>GENERIC_CITY</t>
        </is>
      </c>
      <c r="C195" s="109" t="inlineStr">
        <is>
          <t>GENERIC_STATE</t>
        </is>
      </c>
      <c r="D195" s="109" t="inlineStr">
        <is>
          <t>00000</t>
        </is>
      </c>
      <c r="E195" s="109" t="n"/>
      <c r="F195" s="109" t="n"/>
      <c r="G195" s="109" t="n"/>
      <c r="H195" s="109" t="inlineStr">
        <is>
          <t>Y</t>
        </is>
      </c>
      <c r="I195" s="68" t="n"/>
      <c r="J195">
        <f>IF('House Count'!H195="Y",IF('House Count'!F195="RES-SFU",1,IF('House Count'!F195="RES-MDU",1,IF('House Count'!F195="RES-HOA",1,0))),0)</f>
        <v/>
      </c>
      <c r="K195">
        <f>IF('House Count'!H195="Y",IF('House Count'!F195="COMM-SU",1,IF('House Count'!F195="COM-MTU",1,IF('House Count'!F195="ENT",1,0))),0)</f>
        <v/>
      </c>
    </row>
    <row r="196">
      <c r="A196" s="109" t="inlineStr">
        <is>
          <t>8012 MUIRFIELD DR</t>
        </is>
      </c>
      <c r="B196" s="109" t="inlineStr">
        <is>
          <t>GENERIC_CITY</t>
        </is>
      </c>
      <c r="C196" s="109" t="inlineStr">
        <is>
          <t>GENERIC_STATE</t>
        </is>
      </c>
      <c r="D196" s="109" t="inlineStr">
        <is>
          <t>00000</t>
        </is>
      </c>
      <c r="E196" s="109" t="n"/>
      <c r="F196" s="109" t="n"/>
      <c r="G196" s="109" t="n"/>
      <c r="H196" s="109" t="inlineStr">
        <is>
          <t>Y</t>
        </is>
      </c>
      <c r="I196" s="68" t="n"/>
      <c r="J196">
        <f>IF('House Count'!H196="Y",IF('House Count'!F196="RES-SFU",1,IF('House Count'!F196="RES-MDU",1,IF('House Count'!F196="RES-HOA",1,0))),0)</f>
        <v/>
      </c>
      <c r="K196">
        <f>IF('House Count'!H196="Y",IF('House Count'!F196="COMM-SU",1,IF('House Count'!F196="COM-MTU",1,IF('House Count'!F196="ENT",1,0))),0)</f>
        <v/>
      </c>
    </row>
    <row r="197">
      <c r="A197" s="109" t="inlineStr">
        <is>
          <t>8013 MUIRFIELD DR</t>
        </is>
      </c>
      <c r="B197" s="109" t="inlineStr">
        <is>
          <t>GENERIC_CITY</t>
        </is>
      </c>
      <c r="C197" s="109" t="inlineStr">
        <is>
          <t>GENERIC_STATE</t>
        </is>
      </c>
      <c r="D197" s="109" t="inlineStr">
        <is>
          <t>00000</t>
        </is>
      </c>
      <c r="E197" s="109" t="n"/>
      <c r="F197" s="109" t="n"/>
      <c r="G197" s="109" t="n"/>
      <c r="H197" s="109" t="inlineStr">
        <is>
          <t>Y</t>
        </is>
      </c>
      <c r="I197" s="68" t="n"/>
      <c r="J197">
        <f>IF('House Count'!H197="Y",IF('House Count'!F197="RES-SFU",1,IF('House Count'!F197="RES-MDU",1,IF('House Count'!F197="RES-HOA",1,0))),0)</f>
        <v/>
      </c>
      <c r="K197">
        <f>IF('House Count'!H197="Y",IF('House Count'!F197="COMM-SU",1,IF('House Count'!F197="COM-MTU",1,IF('House Count'!F197="ENT",1,0))),0)</f>
        <v/>
      </c>
    </row>
    <row r="198">
      <c r="A198" s="109" t="inlineStr">
        <is>
          <t>8017 MUIRFIELD DR</t>
        </is>
      </c>
      <c r="B198" s="109" t="inlineStr">
        <is>
          <t>GENERIC_CITY</t>
        </is>
      </c>
      <c r="C198" s="109" t="inlineStr">
        <is>
          <t>GENERIC_STATE</t>
        </is>
      </c>
      <c r="D198" s="109" t="inlineStr">
        <is>
          <t>00000</t>
        </is>
      </c>
      <c r="E198" s="109" t="n"/>
      <c r="F198" s="109" t="n"/>
      <c r="G198" s="109" t="n"/>
      <c r="H198" s="109" t="inlineStr">
        <is>
          <t>Y</t>
        </is>
      </c>
      <c r="I198" s="68" t="n"/>
      <c r="J198">
        <f>IF('House Count'!H198="Y",IF('House Count'!F198="RES-SFU",1,IF('House Count'!F198="RES-MDU",1,IF('House Count'!F198="RES-HOA",1,0))),0)</f>
        <v/>
      </c>
      <c r="K198">
        <f>IF('House Count'!H198="Y",IF('House Count'!F198="COMM-SU",1,IF('House Count'!F198="COM-MTU",1,IF('House Count'!F198="ENT",1,0))),0)</f>
        <v/>
      </c>
    </row>
    <row r="199">
      <c r="A199" s="109" t="inlineStr">
        <is>
          <t>8024 MUIRFIELD DR</t>
        </is>
      </c>
      <c r="B199" s="109" t="inlineStr">
        <is>
          <t>GENERIC_CITY</t>
        </is>
      </c>
      <c r="C199" s="109" t="inlineStr">
        <is>
          <t>GENERIC_STATE</t>
        </is>
      </c>
      <c r="D199" s="109" t="inlineStr">
        <is>
          <t>00000</t>
        </is>
      </c>
      <c r="E199" s="109" t="n"/>
      <c r="F199" s="109" t="n"/>
      <c r="G199" s="109" t="n"/>
      <c r="H199" s="109" t="inlineStr">
        <is>
          <t>Y</t>
        </is>
      </c>
      <c r="I199" s="68" t="n"/>
      <c r="J199">
        <f>IF('House Count'!H199="Y",IF('House Count'!F199="RES-SFU",1,IF('House Count'!F199="RES-MDU",1,IF('House Count'!F199="RES-HOA",1,0))),0)</f>
        <v/>
      </c>
      <c r="K199">
        <f>IF('House Count'!H199="Y",IF('House Count'!F199="COMM-SU",1,IF('House Count'!F199="COM-MTU",1,IF('House Count'!F199="ENT",1,0))),0)</f>
        <v/>
      </c>
    </row>
    <row r="200">
      <c r="A200" s="109" t="inlineStr">
        <is>
          <t>8020 MUIRFIELD DR</t>
        </is>
      </c>
      <c r="B200" s="109" t="inlineStr">
        <is>
          <t>GENERIC_CITY</t>
        </is>
      </c>
      <c r="C200" s="109" t="inlineStr">
        <is>
          <t>GENERIC_STATE</t>
        </is>
      </c>
      <c r="D200" s="109" t="inlineStr">
        <is>
          <t>00000</t>
        </is>
      </c>
      <c r="E200" s="109" t="n"/>
      <c r="F200" s="109" t="n"/>
      <c r="G200" s="109" t="n"/>
      <c r="H200" s="109" t="inlineStr">
        <is>
          <t>Y</t>
        </is>
      </c>
      <c r="I200" s="68" t="n"/>
      <c r="J200">
        <f>IF('House Count'!H200="Y",IF('House Count'!F200="RES-SFU",1,IF('House Count'!F200="RES-MDU",1,IF('House Count'!F200="RES-HOA",1,0))),0)</f>
        <v/>
      </c>
      <c r="K200">
        <f>IF('House Count'!H200="Y",IF('House Count'!F200="COMM-SU",1,IF('House Count'!F200="COM-MTU",1,IF('House Count'!F200="ENT",1,0))),0)</f>
        <v/>
      </c>
    </row>
    <row r="201">
      <c r="A201" s="109" t="inlineStr">
        <is>
          <t>8021 MUIRFIELD DR</t>
        </is>
      </c>
      <c r="B201" s="109" t="inlineStr">
        <is>
          <t>GENERIC_CITY</t>
        </is>
      </c>
      <c r="C201" s="109" t="inlineStr">
        <is>
          <t>GENERIC_STATE</t>
        </is>
      </c>
      <c r="D201" s="109" t="inlineStr">
        <is>
          <t>00000</t>
        </is>
      </c>
      <c r="E201" s="109" t="n"/>
      <c r="F201" s="109" t="n"/>
      <c r="G201" s="109" t="n"/>
      <c r="H201" s="109" t="inlineStr">
        <is>
          <t>Y</t>
        </is>
      </c>
      <c r="I201" s="68" t="n"/>
      <c r="J201">
        <f>IF('House Count'!H201="Y",IF('House Count'!F201="RES-SFU",1,IF('House Count'!F201="RES-MDU",1,IF('House Count'!F201="RES-HOA",1,0))),0)</f>
        <v/>
      </c>
      <c r="K201">
        <f>IF('House Count'!H201="Y",IF('House Count'!F201="COMM-SU",1,IF('House Count'!F201="COM-MTU",1,IF('House Count'!F201="ENT",1,0))),0)</f>
        <v/>
      </c>
    </row>
    <row r="202">
      <c r="A202" s="109" t="inlineStr">
        <is>
          <t>8025 MUIRFIELD DR</t>
        </is>
      </c>
      <c r="B202" s="109" t="inlineStr">
        <is>
          <t>GENERIC_CITY</t>
        </is>
      </c>
      <c r="C202" s="109" t="inlineStr">
        <is>
          <t>GENERIC_STATE</t>
        </is>
      </c>
      <c r="D202" s="109" t="inlineStr">
        <is>
          <t>00000</t>
        </is>
      </c>
      <c r="E202" s="109" t="n"/>
      <c r="F202" s="109" t="n"/>
      <c r="G202" s="109" t="n"/>
      <c r="H202" s="109" t="inlineStr">
        <is>
          <t>Y</t>
        </is>
      </c>
      <c r="I202" s="68" t="n"/>
      <c r="J202">
        <f>IF('House Count'!H202="Y",IF('House Count'!F202="RES-SFU",1,IF('House Count'!F202="RES-MDU",1,IF('House Count'!F202="RES-HOA",1,0))),0)</f>
        <v/>
      </c>
      <c r="K202">
        <f>IF('House Count'!H202="Y",IF('House Count'!F202="COMM-SU",1,IF('House Count'!F202="COM-MTU",1,IF('House Count'!F202="ENT",1,0))),0)</f>
        <v/>
      </c>
    </row>
    <row r="203">
      <c r="A203" s="109" t="inlineStr">
        <is>
          <t>6517 BIRKDALE CT</t>
        </is>
      </c>
      <c r="B203" s="109" t="inlineStr">
        <is>
          <t>GENERIC_CITY</t>
        </is>
      </c>
      <c r="C203" s="109" t="inlineStr">
        <is>
          <t>GENERIC_STATE</t>
        </is>
      </c>
      <c r="D203" s="109" t="inlineStr">
        <is>
          <t>00000</t>
        </is>
      </c>
      <c r="E203" s="109" t="n"/>
      <c r="F203" s="109" t="n"/>
      <c r="G203" s="109" t="n"/>
      <c r="H203" s="109" t="inlineStr">
        <is>
          <t>Y</t>
        </is>
      </c>
      <c r="I203" s="68" t="n"/>
      <c r="J203">
        <f>IF('House Count'!H203="Y",IF('House Count'!F203="RES-SFU",1,IF('House Count'!F203="RES-MDU",1,IF('House Count'!F203="RES-HOA",1,0))),0)</f>
        <v/>
      </c>
      <c r="K203">
        <f>IF('House Count'!H203="Y",IF('House Count'!F203="COMM-SU",1,IF('House Count'!F203="COM-MTU",1,IF('House Count'!F203="ENT",1,0))),0)</f>
        <v/>
      </c>
    </row>
    <row r="204">
      <c r="A204" s="109" t="inlineStr">
        <is>
          <t>6513 BIRKDALE CT</t>
        </is>
      </c>
      <c r="B204" s="109" t="inlineStr">
        <is>
          <t>GENERIC_CITY</t>
        </is>
      </c>
      <c r="C204" s="109" t="inlineStr">
        <is>
          <t>GENERIC_STATE</t>
        </is>
      </c>
      <c r="D204" s="109" t="inlineStr">
        <is>
          <t>00000</t>
        </is>
      </c>
      <c r="E204" s="109" t="n"/>
      <c r="F204" s="109" t="n"/>
      <c r="G204" s="109" t="n"/>
      <c r="H204" s="109" t="inlineStr">
        <is>
          <t>Y</t>
        </is>
      </c>
      <c r="I204" s="68" t="n"/>
      <c r="J204">
        <f>IF('House Count'!H204="Y",IF('House Count'!F204="RES-SFU",1,IF('House Count'!F204="RES-MDU",1,IF('House Count'!F204="RES-HOA",1,0))),0)</f>
        <v/>
      </c>
      <c r="K204">
        <f>IF('House Count'!H204="Y",IF('House Count'!F204="COMM-SU",1,IF('House Count'!F204="COM-MTU",1,IF('House Count'!F204="ENT",1,0))),0)</f>
        <v/>
      </c>
    </row>
    <row r="205" ht="15.75" customHeight="1" thickBot="1">
      <c r="A205" s="545" t="inlineStr">
        <is>
          <t>6509 BIRKDALE CT</t>
        </is>
      </c>
      <c r="B205" s="545" t="inlineStr">
        <is>
          <t>GENERIC_CITY</t>
        </is>
      </c>
      <c r="C205" s="545" t="inlineStr">
        <is>
          <t>GENERIC_STATE</t>
        </is>
      </c>
      <c r="D205" s="545" t="inlineStr">
        <is>
          <t>00000</t>
        </is>
      </c>
      <c r="E205" s="545" t="n"/>
      <c r="F205" s="545" t="n"/>
      <c r="G205" s="545" t="n"/>
      <c r="H205" s="545" t="inlineStr">
        <is>
          <t>Y</t>
        </is>
      </c>
      <c r="I205" s="546" t="n"/>
      <c r="J205">
        <f>IF('House Count'!H205="Y",IF('House Count'!F205="RES-SFU",1,IF('House Count'!F205="RES-MDU",1,IF('House Count'!F205="RES-HOA",1,0))),0)</f>
        <v/>
      </c>
      <c r="K205">
        <f>IF('House Count'!H205="Y",IF('House Count'!F205="COMM-SU",1,IF('House Count'!F205="COM-MTU",1,IF('House Count'!F205="ENT",1,0))),0)</f>
        <v/>
      </c>
    </row>
    <row r="206" ht="15.75" customHeight="1" thickTop="1">
      <c r="A206" s="109" t="inlineStr">
        <is>
          <t>6508 BIRKDALE CT</t>
        </is>
      </c>
      <c r="B206" s="109" t="inlineStr">
        <is>
          <t>GENERIC_CITY</t>
        </is>
      </c>
      <c r="C206" s="109" t="inlineStr">
        <is>
          <t>GENERIC_STATE</t>
        </is>
      </c>
      <c r="D206" s="109" t="inlineStr">
        <is>
          <t>00000</t>
        </is>
      </c>
      <c r="E206" s="109" t="n"/>
      <c r="F206" s="109" t="n"/>
      <c r="G206" s="109" t="n"/>
      <c r="H206" s="109" t="inlineStr">
        <is>
          <t>Y</t>
        </is>
      </c>
      <c r="I206" s="68" t="n"/>
      <c r="J206">
        <f>IF('House Count'!H206="Y",IF('House Count'!F206="RES-SFU",1,IF('House Count'!F206="RES-MDU",1,IF('House Count'!F206="RES-HOA",1,0))),0)</f>
        <v/>
      </c>
      <c r="K206">
        <f>IF('House Count'!H206="Y",IF('House Count'!F206="COMM-SU",1,IF('House Count'!F206="COM-MTU",1,IF('House Count'!F206="ENT",1,0))),0)</f>
        <v/>
      </c>
    </row>
    <row r="207">
      <c r="A207" s="109" t="inlineStr">
        <is>
          <t>8100 MUIRFIELD DR</t>
        </is>
      </c>
      <c r="B207" s="109" t="inlineStr">
        <is>
          <t>GENERIC_CITY</t>
        </is>
      </c>
      <c r="C207" s="109" t="inlineStr">
        <is>
          <t>GENERIC_STATE</t>
        </is>
      </c>
      <c r="D207" s="109" t="inlineStr">
        <is>
          <t>00000</t>
        </is>
      </c>
      <c r="E207" s="109" t="n"/>
      <c r="F207" s="109" t="n"/>
      <c r="G207" s="109" t="n"/>
      <c r="H207" s="109" t="inlineStr">
        <is>
          <t>Y</t>
        </is>
      </c>
      <c r="I207" s="68" t="n"/>
      <c r="J207">
        <f>IF('House Count'!H207="Y",IF('House Count'!F207="RES-SFU",1,IF('House Count'!F207="RES-MDU",1,IF('House Count'!F207="RES-HOA",1,0))),0)</f>
        <v/>
      </c>
      <c r="K207">
        <f>IF('House Count'!H207="Y",IF('House Count'!F207="COMM-SU",1,IF('House Count'!F207="COM-MTU",1,IF('House Count'!F207="ENT",1,0))),0)</f>
        <v/>
      </c>
    </row>
    <row r="208">
      <c r="A208" s="109" t="inlineStr">
        <is>
          <t>6528 OLD MILLS RD</t>
        </is>
      </c>
      <c r="B208" s="109" t="inlineStr">
        <is>
          <t>GENERIC_CITY</t>
        </is>
      </c>
      <c r="C208" s="109" t="inlineStr">
        <is>
          <t>GENERIC_STATE</t>
        </is>
      </c>
      <c r="D208" s="109" t="inlineStr">
        <is>
          <t>00000</t>
        </is>
      </c>
      <c r="E208" s="109" t="n"/>
      <c r="F208" s="109" t="n"/>
      <c r="G208" s="109" t="n"/>
      <c r="H208" s="109" t="inlineStr">
        <is>
          <t>Y</t>
        </is>
      </c>
      <c r="I208" s="68" t="n"/>
      <c r="J208">
        <f>IF('House Count'!H208="Y",IF('House Count'!F208="RES-SFU",1,IF('House Count'!F208="RES-MDU",1,IF('House Count'!F208="RES-HOA",1,0))),0)</f>
        <v/>
      </c>
      <c r="K208">
        <f>IF('House Count'!H208="Y",IF('House Count'!F208="COMM-SU",1,IF('House Count'!F208="COM-MTU",1,IF('House Count'!F208="ENT",1,0))),0)</f>
        <v/>
      </c>
    </row>
    <row r="209">
      <c r="A209" s="109" t="inlineStr">
        <is>
          <t>6524 OLD MILLS RD</t>
        </is>
      </c>
      <c r="B209" s="109" t="inlineStr">
        <is>
          <t>GENERIC_CITY</t>
        </is>
      </c>
      <c r="C209" s="109" t="inlineStr">
        <is>
          <t>GENERIC_STATE</t>
        </is>
      </c>
      <c r="D209" s="109" t="inlineStr">
        <is>
          <t>00000</t>
        </is>
      </c>
      <c r="E209" s="109" t="n"/>
      <c r="F209" s="109" t="n"/>
      <c r="G209" s="109" t="n"/>
      <c r="H209" s="109" t="inlineStr">
        <is>
          <t>Y</t>
        </is>
      </c>
      <c r="I209" s="68" t="n"/>
      <c r="J209">
        <f>IF('House Count'!H209="Y",IF('House Count'!F209="RES-SFU",1,IF('House Count'!F209="RES-MDU",1,IF('House Count'!F209="RES-HOA",1,0))),0)</f>
        <v/>
      </c>
      <c r="K209">
        <f>IF('House Count'!H209="Y",IF('House Count'!F209="COMM-SU",1,IF('House Count'!F209="COM-MTU",1,IF('House Count'!F209="ENT",1,0))),0)</f>
        <v/>
      </c>
    </row>
    <row r="210">
      <c r="A210" s="109" t="inlineStr">
        <is>
          <t>6520 OLD MILLS RD</t>
        </is>
      </c>
      <c r="B210" s="109" t="inlineStr">
        <is>
          <t>GENERIC_CITY</t>
        </is>
      </c>
      <c r="C210" s="109" t="inlineStr">
        <is>
          <t>GENERIC_STATE</t>
        </is>
      </c>
      <c r="D210" s="109" t="inlineStr">
        <is>
          <t>00000</t>
        </is>
      </c>
      <c r="E210" s="109" t="n"/>
      <c r="F210" s="109" t="n"/>
      <c r="G210" s="109" t="n"/>
      <c r="H210" s="109" t="inlineStr">
        <is>
          <t>Y</t>
        </is>
      </c>
      <c r="I210" s="68" t="n"/>
      <c r="J210">
        <f>IF('House Count'!H210="Y",IF('House Count'!F210="RES-SFU",1,IF('House Count'!F210="RES-MDU",1,IF('House Count'!F210="RES-HOA",1,0))),0)</f>
        <v/>
      </c>
      <c r="K210">
        <f>IF('House Count'!H210="Y",IF('House Count'!F210="COMM-SU",1,IF('House Count'!F210="COM-MTU",1,IF('House Count'!F210="ENT",1,0))),0)</f>
        <v/>
      </c>
    </row>
    <row r="211">
      <c r="A211" s="109" t="inlineStr">
        <is>
          <t>6512 OLD MILLS RD</t>
        </is>
      </c>
      <c r="B211" s="109" t="inlineStr">
        <is>
          <t>GENERIC_CITY</t>
        </is>
      </c>
      <c r="C211" s="109" t="inlineStr">
        <is>
          <t>GENERIC_STATE</t>
        </is>
      </c>
      <c r="D211" s="109" t="inlineStr">
        <is>
          <t>00000</t>
        </is>
      </c>
      <c r="E211" s="109" t="n"/>
      <c r="F211" s="109" t="n"/>
      <c r="G211" s="109" t="n"/>
      <c r="H211" s="109" t="inlineStr">
        <is>
          <t>Y</t>
        </is>
      </c>
      <c r="I211" s="68" t="n"/>
      <c r="J211">
        <f>IF('House Count'!H211="Y",IF('House Count'!F211="RES-SFU",1,IF('House Count'!F211="RES-MDU",1,IF('House Count'!F211="RES-HOA",1,0))),0)</f>
        <v/>
      </c>
      <c r="K211">
        <f>IF('House Count'!H211="Y",IF('House Count'!F211="COMM-SU",1,IF('House Count'!F211="COM-MTU",1,IF('House Count'!F211="ENT",1,0))),0)</f>
        <v/>
      </c>
    </row>
    <row r="212">
      <c r="A212" s="109" t="inlineStr">
        <is>
          <t>6508 OLD MILLS RD</t>
        </is>
      </c>
      <c r="B212" s="109" t="inlineStr">
        <is>
          <t>GENERIC_CITY</t>
        </is>
      </c>
      <c r="C212" s="109" t="inlineStr">
        <is>
          <t>GENERIC_STATE</t>
        </is>
      </c>
      <c r="D212" s="109" t="inlineStr">
        <is>
          <t>00000</t>
        </is>
      </c>
      <c r="E212" s="109" t="n"/>
      <c r="F212" s="109" t="n"/>
      <c r="G212" s="109" t="n"/>
      <c r="H212" s="109" t="inlineStr">
        <is>
          <t>Y</t>
        </is>
      </c>
      <c r="I212" s="68" t="n"/>
      <c r="J212">
        <f>IF('House Count'!H212="Y",IF('House Count'!F212="RES-SFU",1,IF('House Count'!F212="RES-MDU",1,IF('House Count'!F212="RES-HOA",1,0))),0)</f>
        <v/>
      </c>
      <c r="K212">
        <f>IF('House Count'!H212="Y",IF('House Count'!F212="COMM-SU",1,IF('House Count'!F212="COM-MTU",1,IF('House Count'!F212="ENT",1,0))),0)</f>
        <v/>
      </c>
    </row>
    <row r="213">
      <c r="A213" s="109" t="inlineStr">
        <is>
          <t>6620 OLD MILLS RD</t>
        </is>
      </c>
      <c r="B213" s="109" t="inlineStr">
        <is>
          <t>GENERIC_CITY</t>
        </is>
      </c>
      <c r="C213" s="109" t="inlineStr">
        <is>
          <t>GENERIC_STATE</t>
        </is>
      </c>
      <c r="D213" s="109" t="inlineStr">
        <is>
          <t>00000</t>
        </is>
      </c>
      <c r="E213" s="109" t="n"/>
      <c r="F213" s="109" t="n"/>
      <c r="G213" s="109" t="n"/>
      <c r="H213" s="109" t="inlineStr">
        <is>
          <t>Y</t>
        </is>
      </c>
      <c r="I213" s="68" t="n"/>
      <c r="J213">
        <f>IF('House Count'!H213="Y",IF('House Count'!F213="RES-SFU",1,IF('House Count'!F213="RES-MDU",1,IF('House Count'!F213="RES-HOA",1,0))),0)</f>
        <v/>
      </c>
      <c r="K213">
        <f>IF('House Count'!H213="Y",IF('House Count'!F213="COMM-SU",1,IF('House Count'!F213="COM-MTU",1,IF('House Count'!F213="ENT",1,0))),0)</f>
        <v/>
      </c>
    </row>
    <row r="214">
      <c r="A214" s="109" t="inlineStr">
        <is>
          <t>6612 OLD MILLS RD</t>
        </is>
      </c>
      <c r="B214" s="109" t="inlineStr">
        <is>
          <t>GENERIC_CITY</t>
        </is>
      </c>
      <c r="C214" s="109" t="inlineStr">
        <is>
          <t>GENERIC_STATE</t>
        </is>
      </c>
      <c r="D214" s="109" t="inlineStr">
        <is>
          <t>00000</t>
        </is>
      </c>
      <c r="E214" s="109" t="n"/>
      <c r="F214" s="109" t="n"/>
      <c r="G214" s="109" t="n"/>
      <c r="H214" s="109" t="inlineStr">
        <is>
          <t>Y</t>
        </is>
      </c>
      <c r="I214" s="68" t="n"/>
      <c r="J214">
        <f>IF('House Count'!H214="Y",IF('House Count'!F214="RES-SFU",1,IF('House Count'!F214="RES-MDU",1,IF('House Count'!F214="RES-HOA",1,0))),0)</f>
        <v/>
      </c>
      <c r="K214">
        <f>IF('House Count'!H214="Y",IF('House Count'!F214="COMM-SU",1,IF('House Count'!F214="COM-MTU",1,IF('House Count'!F214="ENT",1,0))),0)</f>
        <v/>
      </c>
    </row>
    <row r="215">
      <c r="A215" s="109" t="inlineStr">
        <is>
          <t>6505 BIRKDALE CT</t>
        </is>
      </c>
      <c r="B215" s="109" t="inlineStr">
        <is>
          <t>GENERIC_CITY</t>
        </is>
      </c>
      <c r="C215" s="109" t="inlineStr">
        <is>
          <t>GENERIC_STATE</t>
        </is>
      </c>
      <c r="D215" s="109" t="inlineStr">
        <is>
          <t>00000</t>
        </is>
      </c>
      <c r="E215" s="109" t="n"/>
      <c r="F215" s="109" t="n"/>
      <c r="G215" s="109" t="n"/>
      <c r="H215" s="109" t="inlineStr">
        <is>
          <t>Y</t>
        </is>
      </c>
      <c r="I215" s="68" t="n"/>
      <c r="J215">
        <f>IF('House Count'!H215="Y",IF('House Count'!F215="RES-SFU",1,IF('House Count'!F215="RES-MDU",1,IF('House Count'!F215="RES-HOA",1,0))),0)</f>
        <v/>
      </c>
      <c r="K215">
        <f>IF('House Count'!H215="Y",IF('House Count'!F215="COMM-SU",1,IF('House Count'!F215="COM-MTU",1,IF('House Count'!F215="ENT",1,0))),0)</f>
        <v/>
      </c>
    </row>
    <row r="216">
      <c r="A216" s="109" t="inlineStr">
        <is>
          <t>6501 BIRKDALE CT</t>
        </is>
      </c>
      <c r="B216" s="109" t="inlineStr">
        <is>
          <t>GENERIC_CITY</t>
        </is>
      </c>
      <c r="C216" s="109" t="inlineStr">
        <is>
          <t>GENERIC_STATE</t>
        </is>
      </c>
      <c r="D216" s="109" t="inlineStr">
        <is>
          <t>00000</t>
        </is>
      </c>
      <c r="E216" s="109" t="n"/>
      <c r="F216" s="109" t="n"/>
      <c r="G216" s="109" t="n"/>
      <c r="H216" s="109" t="inlineStr">
        <is>
          <t>Y</t>
        </is>
      </c>
      <c r="I216" s="68" t="n"/>
      <c r="J216">
        <f>IF('House Count'!H216="Y",IF('House Count'!F216="RES-SFU",1,IF('House Count'!F216="RES-MDU",1,IF('House Count'!F216="RES-HOA",1,0))),0)</f>
        <v/>
      </c>
      <c r="K216">
        <f>IF('House Count'!H216="Y",IF('House Count'!F216="COMM-SU",1,IF('House Count'!F216="COM-MTU",1,IF('House Count'!F216="ENT",1,0))),0)</f>
        <v/>
      </c>
    </row>
    <row r="217" ht="15.75" customHeight="1" thickBot="1">
      <c r="A217" s="545" t="inlineStr">
        <is>
          <t>6500 BIRKDALE CT</t>
        </is>
      </c>
      <c r="B217" s="545" t="inlineStr">
        <is>
          <t>GENERIC_CITY</t>
        </is>
      </c>
      <c r="C217" s="545" t="inlineStr">
        <is>
          <t>GENERIC_STATE</t>
        </is>
      </c>
      <c r="D217" s="545" t="inlineStr">
        <is>
          <t>00000</t>
        </is>
      </c>
      <c r="E217" s="545" t="n"/>
      <c r="F217" s="545" t="n"/>
      <c r="G217" s="545" t="n"/>
      <c r="H217" s="545" t="inlineStr">
        <is>
          <t>Y</t>
        </is>
      </c>
      <c r="I217" s="546" t="n"/>
      <c r="J217">
        <f>IF('House Count'!H217="Y",IF('House Count'!F217="RES-SFU",1,IF('House Count'!F217="RES-MDU",1,IF('House Count'!F217="RES-HOA",1,0))),0)</f>
        <v/>
      </c>
      <c r="K217">
        <f>IF('House Count'!H217="Y",IF('House Count'!F217="COMM-SU",1,IF('House Count'!F217="COM-MTU",1,IF('House Count'!F217="ENT",1,0))),0)</f>
        <v/>
      </c>
    </row>
    <row r="218" ht="15.75" customHeight="1" thickTop="1">
      <c r="A218" s="109" t="inlineStr">
        <is>
          <t>6504 BIRKDALE CT</t>
        </is>
      </c>
      <c r="B218" s="109" t="inlineStr">
        <is>
          <t>GENERIC_CITY</t>
        </is>
      </c>
      <c r="C218" s="109" t="inlineStr">
        <is>
          <t>GENERIC_STATE</t>
        </is>
      </c>
      <c r="D218" s="109" t="inlineStr">
        <is>
          <t>00000</t>
        </is>
      </c>
      <c r="E218" s="109" t="n"/>
      <c r="F218" s="109" t="n"/>
      <c r="G218" s="109" t="n"/>
      <c r="H218" s="109" t="inlineStr">
        <is>
          <t>Y</t>
        </is>
      </c>
      <c r="I218" s="68" t="n"/>
      <c r="J218">
        <f>IF('House Count'!H218="Y",IF('House Count'!F218="RES-SFU",1,IF('House Count'!F218="RES-MDU",1,IF('House Count'!F218="RES-HOA",1,0))),0)</f>
        <v/>
      </c>
      <c r="K218">
        <f>IF('House Count'!H218="Y",IF('House Count'!F218="COMM-SU",1,IF('House Count'!F218="COM-MTU",1,IF('House Count'!F218="ENT",1,0))),0)</f>
        <v/>
      </c>
    </row>
    <row r="219">
      <c r="A219" s="109" t="inlineStr">
        <is>
          <t>3421 BENTWINDS BLUFFS LN</t>
        </is>
      </c>
      <c r="B219" s="109" t="inlineStr">
        <is>
          <t>GENERIC_CITY</t>
        </is>
      </c>
      <c r="C219" s="109" t="inlineStr">
        <is>
          <t>GENERIC_STATE</t>
        </is>
      </c>
      <c r="D219" s="109" t="inlineStr">
        <is>
          <t>00000</t>
        </is>
      </c>
      <c r="E219" s="109" t="n"/>
      <c r="F219" s="109" t="n"/>
      <c r="G219" s="109" t="n"/>
      <c r="H219" s="109" t="inlineStr">
        <is>
          <t>Y</t>
        </is>
      </c>
      <c r="I219" s="68" t="n"/>
      <c r="J219">
        <f>IF('House Count'!H219="Y",IF('House Count'!F219="RES-SFU",1,IF('House Count'!F219="RES-MDU",1,IF('House Count'!F219="RES-HOA",1,0))),0)</f>
        <v/>
      </c>
      <c r="K219">
        <f>IF('House Count'!H219="Y",IF('House Count'!F219="COMM-SU",1,IF('House Count'!F219="COM-MTU",1,IF('House Count'!F219="ENT",1,0))),0)</f>
        <v/>
      </c>
    </row>
    <row r="220">
      <c r="A220" s="109" t="inlineStr">
        <is>
          <t>3425 BENTWINDS BLUFFS LN</t>
        </is>
      </c>
      <c r="B220" s="109" t="inlineStr">
        <is>
          <t>GENERIC_CITY</t>
        </is>
      </c>
      <c r="C220" s="109" t="inlineStr">
        <is>
          <t>GENERIC_STATE</t>
        </is>
      </c>
      <c r="D220" s="109" t="inlineStr">
        <is>
          <t>00000</t>
        </is>
      </c>
      <c r="E220" s="109" t="n"/>
      <c r="F220" s="109" t="n"/>
      <c r="G220" s="109" t="n"/>
      <c r="H220" s="109" t="inlineStr">
        <is>
          <t>Y</t>
        </is>
      </c>
      <c r="I220" s="68" t="n"/>
      <c r="J220">
        <f>IF('House Count'!H220="Y",IF('House Count'!F220="RES-SFU",1,IF('House Count'!F220="RES-MDU",1,IF('House Count'!F220="RES-HOA",1,0))),0)</f>
        <v/>
      </c>
      <c r="K220">
        <f>IF('House Count'!H220="Y",IF('House Count'!F220="COMM-SU",1,IF('House Count'!F220="COM-MTU",1,IF('House Count'!F220="ENT",1,0))),0)</f>
        <v/>
      </c>
    </row>
    <row r="221">
      <c r="A221" s="109" t="inlineStr">
        <is>
          <t>3428 BENTWINDS BLUFFS LN</t>
        </is>
      </c>
      <c r="B221" s="109" t="inlineStr">
        <is>
          <t>GENERIC_CITY</t>
        </is>
      </c>
      <c r="C221" s="109" t="inlineStr">
        <is>
          <t>GENERIC_STATE</t>
        </is>
      </c>
      <c r="D221" s="109" t="inlineStr">
        <is>
          <t>00000</t>
        </is>
      </c>
      <c r="E221" s="109" t="n"/>
      <c r="F221" s="109" t="n"/>
      <c r="G221" s="109" t="n"/>
      <c r="H221" s="109" t="inlineStr">
        <is>
          <t>Y</t>
        </is>
      </c>
      <c r="I221" s="68" t="n"/>
      <c r="J221">
        <f>IF('House Count'!H221="Y",IF('House Count'!F221="RES-SFU",1,IF('House Count'!F221="RES-MDU",1,IF('House Count'!F221="RES-HOA",1,0))),0)</f>
        <v/>
      </c>
      <c r="K221">
        <f>IF('House Count'!H221="Y",IF('House Count'!F221="COMM-SU",1,IF('House Count'!F221="COM-MTU",1,IF('House Count'!F221="ENT",1,0))),0)</f>
        <v/>
      </c>
    </row>
    <row r="222">
      <c r="A222" s="109" t="inlineStr">
        <is>
          <t>3424 BENTWINDS BLUFFS LN</t>
        </is>
      </c>
      <c r="B222" s="109" t="inlineStr">
        <is>
          <t>GENERIC_CITY</t>
        </is>
      </c>
      <c r="C222" s="109" t="inlineStr">
        <is>
          <t>GENERIC_STATE</t>
        </is>
      </c>
      <c r="D222" s="109" t="inlineStr">
        <is>
          <t>00000</t>
        </is>
      </c>
      <c r="E222" s="109" t="n"/>
      <c r="F222" s="109" t="n"/>
      <c r="G222" s="109" t="n"/>
      <c r="H222" s="109" t="inlineStr">
        <is>
          <t>Y</t>
        </is>
      </c>
      <c r="I222" s="68" t="n"/>
      <c r="J222">
        <f>IF('House Count'!H222="Y",IF('House Count'!F222="RES-SFU",1,IF('House Count'!F222="RES-MDU",1,IF('House Count'!F222="RES-HOA",1,0))),0)</f>
        <v/>
      </c>
      <c r="K222">
        <f>IF('House Count'!H222="Y",IF('House Count'!F222="COMM-SU",1,IF('House Count'!F222="COM-MTU",1,IF('House Count'!F222="ENT",1,0))),0)</f>
        <v/>
      </c>
    </row>
    <row r="223">
      <c r="A223" s="109" t="inlineStr">
        <is>
          <t>3420 BENTWINDS BLUFFS LN</t>
        </is>
      </c>
      <c r="B223" s="109" t="inlineStr">
        <is>
          <t>GENERIC_CITY</t>
        </is>
      </c>
      <c r="C223" s="109" t="inlineStr">
        <is>
          <t>GENERIC_STATE</t>
        </is>
      </c>
      <c r="D223" s="109" t="inlineStr">
        <is>
          <t>00000</t>
        </is>
      </c>
      <c r="E223" s="109" t="n"/>
      <c r="F223" s="109" t="n"/>
      <c r="G223" s="109" t="n"/>
      <c r="H223" s="109" t="inlineStr">
        <is>
          <t>Y</t>
        </is>
      </c>
      <c r="I223" s="68" t="n"/>
      <c r="J223">
        <f>IF('House Count'!H223="Y",IF('House Count'!F223="RES-SFU",1,IF('House Count'!F223="RES-MDU",1,IF('House Count'!F223="RES-HOA",1,0))),0)</f>
        <v/>
      </c>
      <c r="K223">
        <f>IF('House Count'!H223="Y",IF('House Count'!F223="COMM-SU",1,IF('House Count'!F223="COM-MTU",1,IF('House Count'!F223="ENT",1,0))),0)</f>
        <v/>
      </c>
    </row>
    <row r="224">
      <c r="A224" s="109" t="inlineStr">
        <is>
          <t>3416 BENTWINDS BLUFFS LN</t>
        </is>
      </c>
      <c r="B224" s="109" t="inlineStr">
        <is>
          <t>GENERIC_CITY</t>
        </is>
      </c>
      <c r="C224" s="109" t="inlineStr">
        <is>
          <t>GENERIC_STATE</t>
        </is>
      </c>
      <c r="D224" s="109" t="inlineStr">
        <is>
          <t>00000</t>
        </is>
      </c>
      <c r="E224" s="109" t="n"/>
      <c r="F224" s="109" t="n"/>
      <c r="G224" s="109" t="n"/>
      <c r="H224" s="109" t="inlineStr">
        <is>
          <t>Y</t>
        </is>
      </c>
      <c r="I224" s="68" t="n"/>
      <c r="J224">
        <f>IF('House Count'!H224="Y",IF('House Count'!F224="RES-SFU",1,IF('House Count'!F224="RES-MDU",1,IF('House Count'!F224="RES-HOA",1,0))),0)</f>
        <v/>
      </c>
      <c r="K224">
        <f>IF('House Count'!H224="Y",IF('House Count'!F224="COMM-SU",1,IF('House Count'!F224="COM-MTU",1,IF('House Count'!F224="ENT",1,0))),0)</f>
        <v/>
      </c>
    </row>
    <row r="225">
      <c r="A225" s="109" t="inlineStr">
        <is>
          <t>5701 WYSTERIA DR</t>
        </is>
      </c>
      <c r="B225" s="109" t="inlineStr">
        <is>
          <t>GENERIC_CITY</t>
        </is>
      </c>
      <c r="C225" s="109" t="inlineStr">
        <is>
          <t>GENERIC_STATE</t>
        </is>
      </c>
      <c r="D225" s="109" t="inlineStr">
        <is>
          <t>00000</t>
        </is>
      </c>
      <c r="E225" s="109" t="n"/>
      <c r="F225" s="109" t="n"/>
      <c r="G225" s="109" t="n"/>
      <c r="H225" s="109" t="inlineStr">
        <is>
          <t>Y</t>
        </is>
      </c>
      <c r="I225" s="68" t="n"/>
      <c r="J225">
        <f>IF('House Count'!H225="Y",IF('House Count'!F225="RES-SFU",1,IF('House Count'!F225="RES-MDU",1,IF('House Count'!F225="RES-HOA",1,0))),0)</f>
        <v/>
      </c>
      <c r="K225">
        <f>IF('House Count'!H225="Y",IF('House Count'!F225="COMM-SU",1,IF('House Count'!F225="COM-MTU",1,IF('House Count'!F225="ENT",1,0))),0)</f>
        <v/>
      </c>
    </row>
    <row r="226">
      <c r="A226" s="109" t="inlineStr">
        <is>
          <t>5705 WYSTERIA DR</t>
        </is>
      </c>
      <c r="B226" s="109" t="inlineStr">
        <is>
          <t>GENERIC_CITY</t>
        </is>
      </c>
      <c r="C226" s="109" t="inlineStr">
        <is>
          <t>GENERIC_STATE</t>
        </is>
      </c>
      <c r="D226" s="109" t="inlineStr">
        <is>
          <t>00000</t>
        </is>
      </c>
      <c r="E226" s="109" t="n"/>
      <c r="F226" s="109" t="n"/>
      <c r="G226" s="109" t="n"/>
      <c r="H226" s="109" t="inlineStr">
        <is>
          <t>Y</t>
        </is>
      </c>
      <c r="I226" s="68" t="n"/>
      <c r="J226">
        <f>IF('House Count'!H226="Y",IF('House Count'!F226="RES-SFU",1,IF('House Count'!F226="RES-MDU",1,IF('House Count'!F226="RES-HOA",1,0))),0)</f>
        <v/>
      </c>
      <c r="K226">
        <f>IF('House Count'!H226="Y",IF('House Count'!F226="COMM-SU",1,IF('House Count'!F226="COM-MTU",1,IF('House Count'!F226="ENT",1,0))),0)</f>
        <v/>
      </c>
    </row>
    <row r="227">
      <c r="A227" s="109" t="inlineStr">
        <is>
          <t>5713 WYSTERIA DR</t>
        </is>
      </c>
      <c r="B227" s="109" t="inlineStr">
        <is>
          <t>GENERIC_CITY</t>
        </is>
      </c>
      <c r="C227" s="109" t="inlineStr">
        <is>
          <t>GENERIC_STATE</t>
        </is>
      </c>
      <c r="D227" s="109" t="inlineStr">
        <is>
          <t>00000</t>
        </is>
      </c>
      <c r="E227" s="109" t="n"/>
      <c r="F227" s="109" t="n"/>
      <c r="G227" s="109" t="n"/>
      <c r="H227" s="109" t="inlineStr">
        <is>
          <t>Y</t>
        </is>
      </c>
      <c r="I227" s="68" t="n"/>
      <c r="J227">
        <f>IF('House Count'!H227="Y",IF('House Count'!F227="RES-SFU",1,IF('House Count'!F227="RES-MDU",1,IF('House Count'!F227="RES-HOA",1,0))),0)</f>
        <v/>
      </c>
      <c r="K227">
        <f>IF('House Count'!H227="Y",IF('House Count'!F227="COMM-SU",1,IF('House Count'!F227="COM-MTU",1,IF('House Count'!F227="ENT",1,0))),0)</f>
        <v/>
      </c>
    </row>
    <row r="228">
      <c r="A228" s="109" t="inlineStr">
        <is>
          <t>5708 WYSTERIA DR</t>
        </is>
      </c>
      <c r="B228" s="109" t="inlineStr">
        <is>
          <t>GENERIC_CITY</t>
        </is>
      </c>
      <c r="C228" s="109" t="inlineStr">
        <is>
          <t>GENERIC_STATE</t>
        </is>
      </c>
      <c r="D228" s="109" t="inlineStr">
        <is>
          <t>00000</t>
        </is>
      </c>
      <c r="E228" s="109" t="n"/>
      <c r="F228" s="109" t="n"/>
      <c r="G228" s="109" t="n"/>
      <c r="H228" s="109" t="inlineStr">
        <is>
          <t>Y</t>
        </is>
      </c>
      <c r="I228" s="68" t="n"/>
      <c r="J228">
        <f>IF('House Count'!H228="Y",IF('House Count'!F228="RES-SFU",1,IF('House Count'!F228="RES-MDU",1,IF('House Count'!F228="RES-HOA",1,0))),0)</f>
        <v/>
      </c>
      <c r="K228">
        <f>IF('House Count'!H228="Y",IF('House Count'!F228="COMM-SU",1,IF('House Count'!F228="COM-MTU",1,IF('House Count'!F228="ENT",1,0))),0)</f>
        <v/>
      </c>
    </row>
    <row r="229" ht="15.75" customHeight="1" thickBot="1">
      <c r="A229" s="545" t="inlineStr">
        <is>
          <t>3605 BENTWINDS BLUFFS LN</t>
        </is>
      </c>
      <c r="B229" s="545" t="inlineStr">
        <is>
          <t>GENERIC_CITY</t>
        </is>
      </c>
      <c r="C229" s="545" t="inlineStr">
        <is>
          <t>GENERIC_STATE</t>
        </is>
      </c>
      <c r="D229" s="545" t="inlineStr">
        <is>
          <t>00000</t>
        </is>
      </c>
      <c r="E229" s="545" t="n"/>
      <c r="F229" s="545" t="n"/>
      <c r="G229" s="545" t="n"/>
      <c r="H229" s="545" t="inlineStr">
        <is>
          <t>Y</t>
        </is>
      </c>
      <c r="I229" s="546" t="n"/>
      <c r="J229">
        <f>IF('House Count'!H229="Y",IF('House Count'!F229="RES-SFU",1,IF('House Count'!F229="RES-MDU",1,IF('House Count'!F229="RES-HOA",1,0))),0)</f>
        <v/>
      </c>
      <c r="K229">
        <f>IF('House Count'!H229="Y",IF('House Count'!F229="COMM-SU",1,IF('House Count'!F229="COM-MTU",1,IF('House Count'!F229="ENT",1,0))),0)</f>
        <v/>
      </c>
    </row>
    <row r="230" ht="15.75" customHeight="1" thickTop="1">
      <c r="A230" s="109" t="inlineStr">
        <is>
          <t>3609 BENTWINDS BLUFFS LN</t>
        </is>
      </c>
      <c r="B230" s="109" t="inlineStr">
        <is>
          <t>GENERIC_CITY</t>
        </is>
      </c>
      <c r="C230" s="109" t="inlineStr">
        <is>
          <t>GENERIC_STATE</t>
        </is>
      </c>
      <c r="D230" s="109" t="inlineStr">
        <is>
          <t>00000</t>
        </is>
      </c>
      <c r="E230" s="109" t="n"/>
      <c r="F230" s="109" t="n"/>
      <c r="G230" s="109" t="n"/>
      <c r="H230" s="109" t="inlineStr">
        <is>
          <t>Y</t>
        </is>
      </c>
      <c r="I230" s="68" t="n"/>
      <c r="J230">
        <f>IF('House Count'!H230="Y",IF('House Count'!F230="RES-SFU",1,IF('House Count'!F230="RES-MDU",1,IF('House Count'!F230="RES-HOA",1,0))),0)</f>
        <v/>
      </c>
      <c r="K230">
        <f>IF('House Count'!H230="Y",IF('House Count'!F230="COMM-SU",1,IF('House Count'!F230="COM-MTU",1,IF('House Count'!F230="ENT",1,0))),0)</f>
        <v/>
      </c>
    </row>
    <row r="231">
      <c r="A231" s="109" t="inlineStr">
        <is>
          <t>3613 BENTWINDS BLUFFS LN</t>
        </is>
      </c>
      <c r="B231" s="109" t="inlineStr">
        <is>
          <t>GENERIC_CITY</t>
        </is>
      </c>
      <c r="C231" s="109" t="inlineStr">
        <is>
          <t>GENERIC_STATE</t>
        </is>
      </c>
      <c r="D231" s="109" t="inlineStr">
        <is>
          <t>00000</t>
        </is>
      </c>
      <c r="E231" s="109" t="n"/>
      <c r="F231" s="109" t="n"/>
      <c r="G231" s="109" t="n"/>
      <c r="H231" s="109" t="inlineStr">
        <is>
          <t>Y</t>
        </is>
      </c>
      <c r="I231" s="68" t="n"/>
      <c r="J231">
        <f>IF('House Count'!H231="Y",IF('House Count'!F231="RES-SFU",1,IF('House Count'!F231="RES-MDU",1,IF('House Count'!F231="RES-HOA",1,0))),0)</f>
        <v/>
      </c>
      <c r="K231">
        <f>IF('House Count'!H231="Y",IF('House Count'!F231="COMM-SU",1,IF('House Count'!F231="COM-MTU",1,IF('House Count'!F231="ENT",1,0))),0)</f>
        <v/>
      </c>
    </row>
    <row r="232">
      <c r="A232" s="109" t="inlineStr">
        <is>
          <t>3617 BENTWINDS BLUFFS LN</t>
        </is>
      </c>
      <c r="B232" s="109" t="inlineStr">
        <is>
          <t>GENERIC_CITY</t>
        </is>
      </c>
      <c r="C232" s="109" t="inlineStr">
        <is>
          <t>GENERIC_STATE</t>
        </is>
      </c>
      <c r="D232" s="109" t="inlineStr">
        <is>
          <t>00000</t>
        </is>
      </c>
      <c r="E232" s="109" t="n"/>
      <c r="F232" s="109" t="n"/>
      <c r="G232" s="109" t="n"/>
      <c r="H232" s="109" t="inlineStr">
        <is>
          <t>Y</t>
        </is>
      </c>
      <c r="I232" s="68" t="n"/>
      <c r="J232">
        <f>IF('House Count'!H232="Y",IF('House Count'!F232="RES-SFU",1,IF('House Count'!F232="RES-MDU",1,IF('House Count'!F232="RES-HOA",1,0))),0)</f>
        <v/>
      </c>
      <c r="K232">
        <f>IF('House Count'!H232="Y",IF('House Count'!F232="COMM-SU",1,IF('House Count'!F232="COM-MTU",1,IF('House Count'!F232="ENT",1,0))),0)</f>
        <v/>
      </c>
    </row>
    <row r="233">
      <c r="A233" s="109" t="inlineStr">
        <is>
          <t>5721 BUTEO CT</t>
        </is>
      </c>
      <c r="B233" s="109" t="inlineStr">
        <is>
          <t>GENERIC_CITY</t>
        </is>
      </c>
      <c r="C233" s="109" t="inlineStr">
        <is>
          <t>GENERIC_STATE</t>
        </is>
      </c>
      <c r="D233" s="109" t="inlineStr">
        <is>
          <t>00000</t>
        </is>
      </c>
      <c r="E233" s="109" t="n"/>
      <c r="F233" s="109" t="n"/>
      <c r="G233" s="109" t="n"/>
      <c r="H233" s="109" t="inlineStr">
        <is>
          <t>Y</t>
        </is>
      </c>
      <c r="I233" s="68" t="n"/>
      <c r="J233">
        <f>IF('House Count'!H233="Y",IF('House Count'!F233="RES-SFU",1,IF('House Count'!F233="RES-MDU",1,IF('House Count'!F233="RES-HOA",1,0))),0)</f>
        <v/>
      </c>
      <c r="K233">
        <f>IF('House Count'!H233="Y",IF('House Count'!F233="COMM-SU",1,IF('House Count'!F233="COM-MTU",1,IF('House Count'!F233="ENT",1,0))),0)</f>
        <v/>
      </c>
    </row>
    <row r="234">
      <c r="A234" s="109" t="inlineStr">
        <is>
          <t>5713 BUTEO CT</t>
        </is>
      </c>
      <c r="B234" s="109" t="inlineStr">
        <is>
          <t>GENERIC_CITY</t>
        </is>
      </c>
      <c r="C234" s="109" t="inlineStr">
        <is>
          <t>GENERIC_STATE</t>
        </is>
      </c>
      <c r="D234" s="109" t="inlineStr">
        <is>
          <t>00000</t>
        </is>
      </c>
      <c r="E234" s="109" t="n"/>
      <c r="F234" s="109" t="n"/>
      <c r="G234" s="109" t="n"/>
      <c r="H234" s="109" t="inlineStr">
        <is>
          <t>Y</t>
        </is>
      </c>
      <c r="I234" s="68" t="n"/>
      <c r="J234">
        <f>IF('House Count'!H234="Y",IF('House Count'!F234="RES-SFU",1,IF('House Count'!F234="RES-MDU",1,IF('House Count'!F234="RES-HOA",1,0))),0)</f>
        <v/>
      </c>
      <c r="K234">
        <f>IF('House Count'!H234="Y",IF('House Count'!F234="COMM-SU",1,IF('House Count'!F234="COM-MTU",1,IF('House Count'!F234="ENT",1,0))),0)</f>
        <v/>
      </c>
    </row>
    <row r="235">
      <c r="A235" s="109" t="inlineStr">
        <is>
          <t>5709 BUTEO CT</t>
        </is>
      </c>
      <c r="B235" s="109" t="inlineStr">
        <is>
          <t>GENERIC_CITY</t>
        </is>
      </c>
      <c r="C235" s="109" t="inlineStr">
        <is>
          <t>GENERIC_STATE</t>
        </is>
      </c>
      <c r="D235" s="109" t="inlineStr">
        <is>
          <t>00000</t>
        </is>
      </c>
      <c r="E235" s="109" t="n"/>
      <c r="F235" s="109" t="n"/>
      <c r="G235" s="109" t="n"/>
      <c r="H235" s="109" t="inlineStr">
        <is>
          <t>Y</t>
        </is>
      </c>
      <c r="I235" s="68" t="n"/>
      <c r="J235">
        <f>IF('House Count'!H235="Y",IF('House Count'!F235="RES-SFU",1,IF('House Count'!F235="RES-MDU",1,IF('House Count'!F235="RES-HOA",1,0))),0)</f>
        <v/>
      </c>
      <c r="K235">
        <f>IF('House Count'!H235="Y",IF('House Count'!F235="COMM-SU",1,IF('House Count'!F235="COM-MTU",1,IF('House Count'!F235="ENT",1,0))),0)</f>
        <v/>
      </c>
    </row>
    <row r="236">
      <c r="A236" s="109" t="inlineStr">
        <is>
          <t>5705 BUTEO CT</t>
        </is>
      </c>
      <c r="B236" s="109" t="inlineStr">
        <is>
          <t>GENERIC_CITY</t>
        </is>
      </c>
      <c r="C236" s="109" t="inlineStr">
        <is>
          <t>GENERIC_STATE</t>
        </is>
      </c>
      <c r="D236" s="109" t="inlineStr">
        <is>
          <t>00000</t>
        </is>
      </c>
      <c r="E236" s="109" t="n"/>
      <c r="F236" s="109" t="n"/>
      <c r="G236" s="109" t="n"/>
      <c r="H236" s="109" t="inlineStr">
        <is>
          <t>Y</t>
        </is>
      </c>
      <c r="I236" s="68" t="n"/>
      <c r="J236">
        <f>IF('House Count'!H236="Y",IF('House Count'!F236="RES-SFU",1,IF('House Count'!F236="RES-MDU",1,IF('House Count'!F236="RES-HOA",1,0))),0)</f>
        <v/>
      </c>
      <c r="K236">
        <f>IF('House Count'!H236="Y",IF('House Count'!F236="COMM-SU",1,IF('House Count'!F236="COM-MTU",1,IF('House Count'!F236="ENT",1,0))),0)</f>
        <v/>
      </c>
    </row>
    <row r="237">
      <c r="A237" s="109" t="inlineStr">
        <is>
          <t>6909 OLD MILLS RD</t>
        </is>
      </c>
      <c r="B237" s="109" t="inlineStr">
        <is>
          <t>GENERIC_CITY</t>
        </is>
      </c>
      <c r="C237" s="109" t="inlineStr">
        <is>
          <t>GENERIC_STATE</t>
        </is>
      </c>
      <c r="D237" s="109" t="inlineStr">
        <is>
          <t>00000</t>
        </is>
      </c>
      <c r="E237" s="109" t="n"/>
      <c r="F237" s="109" t="n"/>
      <c r="G237" s="109" t="n"/>
      <c r="H237" s="109" t="inlineStr">
        <is>
          <t>Y</t>
        </is>
      </c>
      <c r="I237" s="68" t="n"/>
      <c r="J237">
        <f>IF('House Count'!H237="Y",IF('House Count'!F237="RES-SFU",1,IF('House Count'!F237="RES-MDU",1,IF('House Count'!F237="RES-HOA",1,0))),0)</f>
        <v/>
      </c>
      <c r="K237">
        <f>IF('House Count'!H237="Y",IF('House Count'!F237="COMM-SU",1,IF('House Count'!F237="COM-MTU",1,IF('House Count'!F237="ENT",1,0))),0)</f>
        <v/>
      </c>
    </row>
    <row r="238">
      <c r="A238" s="109" t="inlineStr">
        <is>
          <t>6913 OLD MILLS RD</t>
        </is>
      </c>
      <c r="B238" s="109" t="inlineStr">
        <is>
          <t>GENERIC_CITY</t>
        </is>
      </c>
      <c r="C238" s="109" t="inlineStr">
        <is>
          <t>GENERIC_STATE</t>
        </is>
      </c>
      <c r="D238" s="109" t="inlineStr">
        <is>
          <t>00000</t>
        </is>
      </c>
      <c r="E238" s="109" t="n"/>
      <c r="F238" s="109" t="n"/>
      <c r="G238" s="109" t="n"/>
      <c r="H238" s="109" t="inlineStr">
        <is>
          <t>Y</t>
        </is>
      </c>
      <c r="I238" s="68" t="n"/>
      <c r="J238">
        <f>IF('House Count'!H238="Y",IF('House Count'!F238="RES-SFU",1,IF('House Count'!F238="RES-MDU",1,IF('House Count'!F238="RES-HOA",1,0))),0)</f>
        <v/>
      </c>
      <c r="K238">
        <f>IF('House Count'!H238="Y",IF('House Count'!F238="COMM-SU",1,IF('House Count'!F238="COM-MTU",1,IF('House Count'!F238="ENT",1,0))),0)</f>
        <v/>
      </c>
    </row>
    <row r="239">
      <c r="A239" s="109" t="inlineStr">
        <is>
          <t>6908 OLD MILLS RD</t>
        </is>
      </c>
      <c r="B239" s="109" t="inlineStr">
        <is>
          <t>GENERIC_CITY</t>
        </is>
      </c>
      <c r="C239" s="109" t="inlineStr">
        <is>
          <t>GENERIC_STATE</t>
        </is>
      </c>
      <c r="D239" s="109" t="inlineStr">
        <is>
          <t>00000</t>
        </is>
      </c>
      <c r="E239" s="109" t="n"/>
      <c r="F239" s="109" t="n"/>
      <c r="G239" s="109" t="n"/>
      <c r="H239" s="109" t="inlineStr">
        <is>
          <t>Y</t>
        </is>
      </c>
      <c r="I239" s="68" t="n"/>
      <c r="J239">
        <f>IF('House Count'!H239="Y",IF('House Count'!F239="RES-SFU",1,IF('House Count'!F239="RES-MDU",1,IF('House Count'!F239="RES-HOA",1,0))),0)</f>
        <v/>
      </c>
      <c r="K239">
        <f>IF('House Count'!H239="Y",IF('House Count'!F239="COMM-SU",1,IF('House Count'!F239="COM-MTU",1,IF('House Count'!F239="ENT",1,0))),0)</f>
        <v/>
      </c>
    </row>
    <row r="240">
      <c r="A240" s="109" t="inlineStr">
        <is>
          <t>6900 OLD MILLS RD</t>
        </is>
      </c>
      <c r="B240" s="109" t="inlineStr">
        <is>
          <t>GENERIC_CITY</t>
        </is>
      </c>
      <c r="C240" s="109" t="inlineStr">
        <is>
          <t>GENERIC_STATE</t>
        </is>
      </c>
      <c r="D240" s="109" t="inlineStr">
        <is>
          <t>00000</t>
        </is>
      </c>
      <c r="E240" s="109" t="n"/>
      <c r="F240" s="109" t="n"/>
      <c r="G240" s="109" t="n"/>
      <c r="H240" s="109" t="inlineStr">
        <is>
          <t>Y</t>
        </is>
      </c>
      <c r="I240" s="68" t="n"/>
      <c r="J240">
        <f>IF('House Count'!H240="Y",IF('House Count'!F240="RES-SFU",1,IF('House Count'!F240="RES-MDU",1,IF('House Count'!F240="RES-HOA",1,0))),0)</f>
        <v/>
      </c>
      <c r="K240">
        <f>IF('House Count'!H240="Y",IF('House Count'!F240="COMM-SU",1,IF('House Count'!F240="COM-MTU",1,IF('House Count'!F240="ENT",1,0))),0)</f>
        <v/>
      </c>
    </row>
    <row r="241" ht="15.75" customHeight="1" thickBot="1">
      <c r="A241" s="545" t="inlineStr">
        <is>
          <t>3633 BENTWINDS BLUFFS LN</t>
        </is>
      </c>
      <c r="B241" s="545" t="inlineStr">
        <is>
          <t>GENERIC_CITY</t>
        </is>
      </c>
      <c r="C241" s="545" t="inlineStr">
        <is>
          <t>GENERIC_STATE</t>
        </is>
      </c>
      <c r="D241" s="545" t="inlineStr">
        <is>
          <t>00000</t>
        </is>
      </c>
      <c r="E241" s="545" t="n"/>
      <c r="F241" s="545" t="n"/>
      <c r="G241" s="545" t="n"/>
      <c r="H241" s="545" t="inlineStr">
        <is>
          <t>Y</t>
        </is>
      </c>
      <c r="I241" s="546" t="n"/>
      <c r="J241">
        <f>IF('House Count'!H241="Y",IF('House Count'!F241="RES-SFU",1,IF('House Count'!F241="RES-MDU",1,IF('House Count'!F241="RES-HOA",1,0))),0)</f>
        <v/>
      </c>
      <c r="K241">
        <f>IF('House Count'!H241="Y",IF('House Count'!F241="COMM-SU",1,IF('House Count'!F241="COM-MTU",1,IF('House Count'!F241="ENT",1,0))),0)</f>
        <v/>
      </c>
    </row>
    <row r="242" ht="15.75" customHeight="1" thickTop="1">
      <c r="A242" s="109" t="inlineStr">
        <is>
          <t>3629 BENTWINDS BLUFFS LN</t>
        </is>
      </c>
      <c r="B242" s="109" t="inlineStr">
        <is>
          <t>GENERIC_CITY</t>
        </is>
      </c>
      <c r="C242" s="109" t="inlineStr">
        <is>
          <t>GENERIC_STATE</t>
        </is>
      </c>
      <c r="D242" s="109" t="inlineStr">
        <is>
          <t>00000</t>
        </is>
      </c>
      <c r="E242" s="109" t="n"/>
      <c r="F242" s="109" t="n"/>
      <c r="G242" s="109" t="n"/>
      <c r="H242" s="109" t="inlineStr">
        <is>
          <t>Y</t>
        </is>
      </c>
      <c r="I242" s="68" t="n"/>
      <c r="J242">
        <f>IF('House Count'!H242="Y",IF('House Count'!F242="RES-SFU",1,IF('House Count'!F242="RES-MDU",1,IF('House Count'!F242="RES-HOA",1,0))),0)</f>
        <v/>
      </c>
      <c r="K242">
        <f>IF('House Count'!H242="Y",IF('House Count'!F242="COMM-SU",1,IF('House Count'!F242="COM-MTU",1,IF('House Count'!F242="ENT",1,0))),0)</f>
        <v/>
      </c>
    </row>
    <row r="243">
      <c r="A243" s="109" t="inlineStr">
        <is>
          <t>3625 BENTWINDS BLUFFS LN</t>
        </is>
      </c>
      <c r="B243" s="109" t="inlineStr">
        <is>
          <t>GENERIC_CITY</t>
        </is>
      </c>
      <c r="C243" s="109" t="inlineStr">
        <is>
          <t>GENERIC_STATE</t>
        </is>
      </c>
      <c r="D243" s="109" t="inlineStr">
        <is>
          <t>00000</t>
        </is>
      </c>
      <c r="E243" s="109" t="n"/>
      <c r="F243" s="109" t="n"/>
      <c r="G243" s="109" t="n"/>
      <c r="H243" s="109" t="inlineStr">
        <is>
          <t>Y</t>
        </is>
      </c>
      <c r="I243" s="68" t="n"/>
      <c r="J243">
        <f>IF('House Count'!H243="Y",IF('House Count'!F243="RES-SFU",1,IF('House Count'!F243="RES-MDU",1,IF('House Count'!F243="RES-HOA",1,0))),0)</f>
        <v/>
      </c>
      <c r="K243">
        <f>IF('House Count'!H243="Y",IF('House Count'!F243="COMM-SU",1,IF('House Count'!F243="COM-MTU",1,IF('House Count'!F243="ENT",1,0))),0)</f>
        <v/>
      </c>
    </row>
    <row r="244">
      <c r="A244" s="109" t="inlineStr">
        <is>
          <t>3621 BENTWINDS BLUFFS LN</t>
        </is>
      </c>
      <c r="B244" s="109" t="inlineStr">
        <is>
          <t>GENERIC_CITY</t>
        </is>
      </c>
      <c r="C244" s="109" t="inlineStr">
        <is>
          <t>GENERIC_STATE</t>
        </is>
      </c>
      <c r="D244" s="109" t="inlineStr">
        <is>
          <t>00000</t>
        </is>
      </c>
      <c r="E244" s="109" t="n"/>
      <c r="F244" s="109" t="n"/>
      <c r="G244" s="109" t="n"/>
      <c r="H244" s="109" t="inlineStr">
        <is>
          <t>Y</t>
        </is>
      </c>
      <c r="I244" s="68" t="n"/>
      <c r="J244">
        <f>IF('House Count'!H244="Y",IF('House Count'!F244="RES-SFU",1,IF('House Count'!F244="RES-MDU",1,IF('House Count'!F244="RES-HOA",1,0))),0)</f>
        <v/>
      </c>
      <c r="K244">
        <f>IF('House Count'!H244="Y",IF('House Count'!F244="COMM-SU",1,IF('House Count'!F244="COM-MTU",1,IF('House Count'!F244="ENT",1,0))),0)</f>
        <v/>
      </c>
    </row>
    <row r="245">
      <c r="A245" s="109" t="inlineStr">
        <is>
          <t>3616 BENTWINDS BLUFFS LN</t>
        </is>
      </c>
      <c r="B245" s="109" t="inlineStr">
        <is>
          <t>GENERIC_CITY</t>
        </is>
      </c>
      <c r="C245" s="109" t="inlineStr">
        <is>
          <t>GENERIC_STATE</t>
        </is>
      </c>
      <c r="D245" s="109" t="inlineStr">
        <is>
          <t>00000</t>
        </is>
      </c>
      <c r="E245" s="109" t="n"/>
      <c r="F245" s="109" t="n"/>
      <c r="G245" s="109" t="n"/>
      <c r="H245" s="109" t="inlineStr">
        <is>
          <t>Y</t>
        </is>
      </c>
      <c r="I245" s="68" t="n"/>
      <c r="J245">
        <f>IF('House Count'!H245="Y",IF('House Count'!F245="RES-SFU",1,IF('House Count'!F245="RES-MDU",1,IF('House Count'!F245="RES-HOA",1,0))),0)</f>
        <v/>
      </c>
      <c r="K245">
        <f>IF('House Count'!H245="Y",IF('House Count'!F245="COMM-SU",1,IF('House Count'!F245="COM-MTU",1,IF('House Count'!F245="ENT",1,0))),0)</f>
        <v/>
      </c>
    </row>
    <row r="246">
      <c r="A246" s="109" t="inlineStr">
        <is>
          <t>3620 BENTWINDS BLUFFS LN</t>
        </is>
      </c>
      <c r="B246" s="109" t="inlineStr">
        <is>
          <t>GENERIC_CITY</t>
        </is>
      </c>
      <c r="C246" s="109" t="inlineStr">
        <is>
          <t>GENERIC_STATE</t>
        </is>
      </c>
      <c r="D246" s="109" t="inlineStr">
        <is>
          <t>00000</t>
        </is>
      </c>
      <c r="E246" s="109" t="n"/>
      <c r="F246" s="109" t="n"/>
      <c r="G246" s="109" t="n"/>
      <c r="H246" s="109" t="inlineStr">
        <is>
          <t>Y</t>
        </is>
      </c>
      <c r="I246" s="68" t="n"/>
      <c r="J246">
        <f>IF('House Count'!H246="Y",IF('House Count'!F246="RES-SFU",1,IF('House Count'!F246="RES-MDU",1,IF('House Count'!F246="RES-HOA",1,0))),0)</f>
        <v/>
      </c>
      <c r="K246">
        <f>IF('House Count'!H246="Y",IF('House Count'!F246="COMM-SU",1,IF('House Count'!F246="COM-MTU",1,IF('House Count'!F246="ENT",1,0))),0)</f>
        <v/>
      </c>
    </row>
    <row r="247">
      <c r="A247" s="109" t="inlineStr">
        <is>
          <t>5736 MIZUNO DR</t>
        </is>
      </c>
      <c r="B247" s="109" t="inlineStr">
        <is>
          <t>GENERIC_CITY</t>
        </is>
      </c>
      <c r="C247" s="109" t="inlineStr">
        <is>
          <t>GENERIC_STATE</t>
        </is>
      </c>
      <c r="D247" s="109" t="inlineStr">
        <is>
          <t>00000</t>
        </is>
      </c>
      <c r="E247" s="109" t="n"/>
      <c r="F247" s="109" t="n"/>
      <c r="G247" s="109" t="n"/>
      <c r="H247" s="109" t="inlineStr">
        <is>
          <t>Y</t>
        </is>
      </c>
      <c r="I247" s="68" t="n"/>
      <c r="J247">
        <f>IF('House Count'!H247="Y",IF('House Count'!F247="RES-SFU",1,IF('House Count'!F247="RES-MDU",1,IF('House Count'!F247="RES-HOA",1,0))),0)</f>
        <v/>
      </c>
      <c r="K247">
        <f>IF('House Count'!H247="Y",IF('House Count'!F247="COMM-SU",1,IF('House Count'!F247="COM-MTU",1,IF('House Count'!F247="ENT",1,0))),0)</f>
        <v/>
      </c>
    </row>
    <row r="248">
      <c r="A248" s="109" t="inlineStr">
        <is>
          <t>3636 BENTWINDS BLUFFS LN</t>
        </is>
      </c>
      <c r="B248" s="109" t="inlineStr">
        <is>
          <t>GENERIC_CITY</t>
        </is>
      </c>
      <c r="C248" s="109" t="inlineStr">
        <is>
          <t>GENERIC_STATE</t>
        </is>
      </c>
      <c r="D248" s="109" t="inlineStr">
        <is>
          <t>00000</t>
        </is>
      </c>
      <c r="E248" s="109" t="n"/>
      <c r="F248" s="109" t="n"/>
      <c r="G248" s="109" t="n"/>
      <c r="H248" s="109" t="inlineStr">
        <is>
          <t>Y</t>
        </is>
      </c>
      <c r="I248" s="68" t="n"/>
      <c r="J248">
        <f>IF('House Count'!H248="Y",IF('House Count'!F248="RES-SFU",1,IF('House Count'!F248="RES-MDU",1,IF('House Count'!F248="RES-HOA",1,0))),0)</f>
        <v/>
      </c>
      <c r="K248">
        <f>IF('House Count'!H248="Y",IF('House Count'!F248="COMM-SU",1,IF('House Count'!F248="COM-MTU",1,IF('House Count'!F248="ENT",1,0))),0)</f>
        <v/>
      </c>
    </row>
    <row r="249">
      <c r="A249" s="109" t="inlineStr">
        <is>
          <t>3812 FAIRWAY VIEW DR</t>
        </is>
      </c>
      <c r="B249" s="109" t="inlineStr">
        <is>
          <t>GENERIC_CITY</t>
        </is>
      </c>
      <c r="C249" s="109" t="inlineStr">
        <is>
          <t>GENERIC_STATE</t>
        </is>
      </c>
      <c r="D249" s="109" t="inlineStr">
        <is>
          <t>00000</t>
        </is>
      </c>
      <c r="E249" s="109" t="n"/>
      <c r="F249" s="109" t="n"/>
      <c r="G249" s="109" t="n"/>
      <c r="H249" s="109" t="inlineStr">
        <is>
          <t>Y</t>
        </is>
      </c>
      <c r="I249" s="68" t="n"/>
      <c r="J249">
        <f>IF('House Count'!H249="Y",IF('House Count'!F249="RES-SFU",1,IF('House Count'!F249="RES-MDU",1,IF('House Count'!F249="RES-HOA",1,0))),0)</f>
        <v/>
      </c>
      <c r="K249">
        <f>IF('House Count'!H249="Y",IF('House Count'!F249="COMM-SU",1,IF('House Count'!F249="COM-MTU",1,IF('House Count'!F249="ENT",1,0))),0)</f>
        <v/>
      </c>
    </row>
    <row r="250">
      <c r="A250" s="109" t="inlineStr">
        <is>
          <t>3820 FAIRWAY VIEW DR</t>
        </is>
      </c>
      <c r="B250" s="109" t="inlineStr">
        <is>
          <t>GENERIC_CITY</t>
        </is>
      </c>
      <c r="C250" s="109" t="inlineStr">
        <is>
          <t>GENERIC_STATE</t>
        </is>
      </c>
      <c r="D250" s="109" t="inlineStr">
        <is>
          <t>00000</t>
        </is>
      </c>
      <c r="E250" s="109" t="n"/>
      <c r="F250" s="109" t="n"/>
      <c r="G250" s="109" t="n"/>
      <c r="H250" s="109" t="inlineStr">
        <is>
          <t>Y</t>
        </is>
      </c>
      <c r="I250" s="68" t="n"/>
      <c r="J250">
        <f>IF('House Count'!H250="Y",IF('House Count'!F250="RES-SFU",1,IF('House Count'!F250="RES-MDU",1,IF('House Count'!F250="RES-HOA",1,0))),0)</f>
        <v/>
      </c>
      <c r="K250">
        <f>IF('House Count'!H250="Y",IF('House Count'!F250="COMM-SU",1,IF('House Count'!F250="COM-MTU",1,IF('House Count'!F250="ENT",1,0))),0)</f>
        <v/>
      </c>
    </row>
    <row r="251">
      <c r="A251" s="109" t="inlineStr">
        <is>
          <t>3821 FAIRWAY VIEW DR</t>
        </is>
      </c>
      <c r="B251" s="109" t="inlineStr">
        <is>
          <t>GENERIC_CITY</t>
        </is>
      </c>
      <c r="C251" s="109" t="inlineStr">
        <is>
          <t>GENERIC_STATE</t>
        </is>
      </c>
      <c r="D251" s="109" t="inlineStr">
        <is>
          <t>00000</t>
        </is>
      </c>
      <c r="E251" s="109" t="n"/>
      <c r="F251" s="109" t="n"/>
      <c r="G251" s="109" t="n"/>
      <c r="H251" s="109" t="inlineStr">
        <is>
          <t>Y</t>
        </is>
      </c>
      <c r="I251" s="68" t="n"/>
      <c r="J251">
        <f>IF('House Count'!H251="Y",IF('House Count'!F251="RES-SFU",1,IF('House Count'!F251="RES-MDU",1,IF('House Count'!F251="RES-HOA",1,0))),0)</f>
        <v/>
      </c>
      <c r="K251">
        <f>IF('House Count'!H251="Y",IF('House Count'!F251="COMM-SU",1,IF('House Count'!F251="COM-MTU",1,IF('House Count'!F251="ENT",1,0))),0)</f>
        <v/>
      </c>
    </row>
    <row r="252">
      <c r="A252" s="109" t="inlineStr">
        <is>
          <t>3817 FAIRWAY VIEW DR</t>
        </is>
      </c>
      <c r="B252" s="109" t="inlineStr">
        <is>
          <t>GENERIC_CITY</t>
        </is>
      </c>
      <c r="C252" s="109" t="inlineStr">
        <is>
          <t>GENERIC_STATE</t>
        </is>
      </c>
      <c r="D252" s="109" t="inlineStr">
        <is>
          <t>00000</t>
        </is>
      </c>
      <c r="E252" s="109" t="n"/>
      <c r="F252" s="109" t="n"/>
      <c r="G252" s="109" t="n"/>
      <c r="H252" s="109" t="inlineStr">
        <is>
          <t>Y</t>
        </is>
      </c>
      <c r="I252" s="68" t="n"/>
      <c r="J252">
        <f>IF('House Count'!H252="Y",IF('House Count'!F252="RES-SFU",1,IF('House Count'!F252="RES-MDU",1,IF('House Count'!F252="RES-HOA",1,0))),0)</f>
        <v/>
      </c>
      <c r="K252">
        <f>IF('House Count'!H252="Y",IF('House Count'!F252="COMM-SU",1,IF('House Count'!F252="COM-MTU",1,IF('House Count'!F252="ENT",1,0))),0)</f>
        <v/>
      </c>
    </row>
    <row r="253" ht="15.75" customHeight="1" thickBot="1">
      <c r="A253" s="545" t="inlineStr">
        <is>
          <t>3813 FAIRWAY VIEW DR</t>
        </is>
      </c>
      <c r="B253" s="545" t="inlineStr">
        <is>
          <t>GENERIC_CITY</t>
        </is>
      </c>
      <c r="C253" s="545" t="inlineStr">
        <is>
          <t>GENERIC_STATE</t>
        </is>
      </c>
      <c r="D253" s="545" t="inlineStr">
        <is>
          <t>00000</t>
        </is>
      </c>
      <c r="E253" s="545" t="n"/>
      <c r="F253" s="545" t="n"/>
      <c r="G253" s="545" t="n"/>
      <c r="H253" s="545" t="inlineStr">
        <is>
          <t>Y</t>
        </is>
      </c>
      <c r="I253" s="546" t="n"/>
      <c r="J253">
        <f>IF('House Count'!H253="Y",IF('House Count'!F253="RES-SFU",1,IF('House Count'!F253="RES-MDU",1,IF('House Count'!F253="RES-HOA",1,0))),0)</f>
        <v/>
      </c>
      <c r="K253">
        <f>IF('House Count'!H253="Y",IF('House Count'!F253="COMM-SU",1,IF('House Count'!F253="COM-MTU",1,IF('House Count'!F253="ENT",1,0))),0)</f>
        <v/>
      </c>
    </row>
    <row r="254" ht="15.75" customHeight="1" thickTop="1">
      <c r="A254" s="109" t="inlineStr">
        <is>
          <t>3809 FAIRWAY VIEW DR</t>
        </is>
      </c>
      <c r="B254" s="109" t="inlineStr">
        <is>
          <t>GENERIC_CITY</t>
        </is>
      </c>
      <c r="C254" s="109" t="inlineStr">
        <is>
          <t>GENERIC_STATE</t>
        </is>
      </c>
      <c r="D254" s="109" t="inlineStr">
        <is>
          <t>00000</t>
        </is>
      </c>
      <c r="E254" s="109" t="n"/>
      <c r="F254" s="109" t="n"/>
      <c r="G254" s="109" t="n"/>
      <c r="H254" s="109" t="inlineStr">
        <is>
          <t>Y</t>
        </is>
      </c>
      <c r="I254" s="68" t="n"/>
      <c r="J254">
        <f>IF('House Count'!H254="Y",IF('House Count'!F254="RES-SFU",1,IF('House Count'!F254="RES-MDU",1,IF('House Count'!F254="RES-HOA",1,0))),0)</f>
        <v/>
      </c>
      <c r="K254">
        <f>IF('House Count'!H254="Y",IF('House Count'!F254="COMM-SU",1,IF('House Count'!F254="COM-MTU",1,IF('House Count'!F254="ENT",1,0))),0)</f>
        <v/>
      </c>
    </row>
    <row r="255">
      <c r="A255" s="109" t="inlineStr">
        <is>
          <t>3805 FAIRWAY VIEW DR</t>
        </is>
      </c>
      <c r="B255" s="109" t="inlineStr">
        <is>
          <t>GENERIC_CITY</t>
        </is>
      </c>
      <c r="C255" s="109" t="inlineStr">
        <is>
          <t>GENERIC_STATE</t>
        </is>
      </c>
      <c r="D255" s="109" t="inlineStr">
        <is>
          <t>00000</t>
        </is>
      </c>
      <c r="E255" s="109" t="n"/>
      <c r="F255" s="109" t="n"/>
      <c r="G255" s="109" t="n"/>
      <c r="H255" s="109" t="inlineStr">
        <is>
          <t>Y</t>
        </is>
      </c>
      <c r="I255" s="68" t="n"/>
      <c r="J255">
        <f>IF('House Count'!H255="Y",IF('House Count'!F255="RES-SFU",1,IF('House Count'!F255="RES-MDU",1,IF('House Count'!F255="RES-HOA",1,0))),0)</f>
        <v/>
      </c>
      <c r="K255">
        <f>IF('House Count'!H255="Y",IF('House Count'!F255="COMM-SU",1,IF('House Count'!F255="COM-MTU",1,IF('House Count'!F255="ENT",1,0))),0)</f>
        <v/>
      </c>
    </row>
    <row r="256">
      <c r="A256" s="109" t="inlineStr">
        <is>
          <t>3305 BENTWINDS BLUFFS LN</t>
        </is>
      </c>
      <c r="B256" s="109" t="inlineStr">
        <is>
          <t>GENERIC_CITY</t>
        </is>
      </c>
      <c r="C256" s="109" t="inlineStr">
        <is>
          <t>GENERIC_STATE</t>
        </is>
      </c>
      <c r="D256" s="109" t="inlineStr">
        <is>
          <t>00000</t>
        </is>
      </c>
      <c r="E256" s="109" t="n"/>
      <c r="F256" s="109" t="n"/>
      <c r="G256" s="109" t="n"/>
      <c r="H256" s="109" t="inlineStr">
        <is>
          <t>Y</t>
        </is>
      </c>
      <c r="I256" s="68" t="n"/>
      <c r="J256">
        <f>IF('House Count'!H256="Y",IF('House Count'!F256="RES-SFU",1,IF('House Count'!F256="RES-MDU",1,IF('House Count'!F256="RES-HOA",1,0))),0)</f>
        <v/>
      </c>
      <c r="K256">
        <f>IF('House Count'!H256="Y",IF('House Count'!F256="COMM-SU",1,IF('House Count'!F256="COM-MTU",1,IF('House Count'!F256="ENT",1,0))),0)</f>
        <v/>
      </c>
    </row>
    <row r="257">
      <c r="A257" s="109" t="inlineStr">
        <is>
          <t>3313 BENTWINDS BLUFFS LN</t>
        </is>
      </c>
      <c r="B257" s="109" t="inlineStr">
        <is>
          <t>GENERIC_CITY</t>
        </is>
      </c>
      <c r="C257" s="109" t="inlineStr">
        <is>
          <t>GENERIC_STATE</t>
        </is>
      </c>
      <c r="D257" s="109" t="inlineStr">
        <is>
          <t>00000</t>
        </is>
      </c>
      <c r="E257" s="109" t="n"/>
      <c r="F257" s="109" t="n"/>
      <c r="G257" s="109" t="n"/>
      <c r="H257" s="109" t="inlineStr">
        <is>
          <t>Y</t>
        </is>
      </c>
      <c r="I257" s="68" t="n"/>
      <c r="J257">
        <f>IF('House Count'!H257="Y",IF('House Count'!F257="RES-SFU",1,IF('House Count'!F257="RES-MDU",1,IF('House Count'!F257="RES-HOA",1,0))),0)</f>
        <v/>
      </c>
      <c r="K257">
        <f>IF('House Count'!H257="Y",IF('House Count'!F257="COMM-SU",1,IF('House Count'!F257="COM-MTU",1,IF('House Count'!F257="ENT",1,0))),0)</f>
        <v/>
      </c>
    </row>
    <row r="258">
      <c r="A258" s="109" t="inlineStr">
        <is>
          <t>3317 BENTWINDS BLUFFS LN</t>
        </is>
      </c>
      <c r="B258" s="109" t="inlineStr">
        <is>
          <t>GENERIC_CITY</t>
        </is>
      </c>
      <c r="C258" s="109" t="inlineStr">
        <is>
          <t>GENERIC_STATE</t>
        </is>
      </c>
      <c r="D258" s="109" t="inlineStr">
        <is>
          <t>00000</t>
        </is>
      </c>
      <c r="E258" s="109" t="n"/>
      <c r="F258" s="109" t="n"/>
      <c r="G258" s="109" t="n"/>
      <c r="H258" s="109" t="inlineStr">
        <is>
          <t>Y</t>
        </is>
      </c>
      <c r="I258" s="68" t="n"/>
      <c r="J258">
        <f>IF('House Count'!H258="Y",IF('House Count'!F258="RES-SFU",1,IF('House Count'!F258="RES-MDU",1,IF('House Count'!F258="RES-HOA",1,0))),0)</f>
        <v/>
      </c>
      <c r="K258">
        <f>IF('House Count'!H258="Y",IF('House Count'!F258="COMM-SU",1,IF('House Count'!F258="COM-MTU",1,IF('House Count'!F258="ENT",1,0))),0)</f>
        <v/>
      </c>
    </row>
    <row r="259">
      <c r="A259" s="109" t="inlineStr">
        <is>
          <t>3321 BENTWINDS BLUFFS LN</t>
        </is>
      </c>
      <c r="B259" s="109" t="inlineStr">
        <is>
          <t>GENERIC_CITY</t>
        </is>
      </c>
      <c r="C259" s="109" t="inlineStr">
        <is>
          <t>GENERIC_STATE</t>
        </is>
      </c>
      <c r="D259" s="109" t="inlineStr">
        <is>
          <t>00000</t>
        </is>
      </c>
      <c r="E259" s="109" t="n"/>
      <c r="F259" s="109" t="n"/>
      <c r="G259" s="109" t="n"/>
      <c r="H259" s="109" t="inlineStr">
        <is>
          <t>Y</t>
        </is>
      </c>
      <c r="I259" s="68" t="n"/>
      <c r="J259">
        <f>IF('House Count'!H259="Y",IF('House Count'!F259="RES-SFU",1,IF('House Count'!F259="RES-MDU",1,IF('House Count'!F259="RES-HOA",1,0))),0)</f>
        <v/>
      </c>
      <c r="K259">
        <f>IF('House Count'!H259="Y",IF('House Count'!F259="COMM-SU",1,IF('House Count'!F259="COM-MTU",1,IF('House Count'!F259="ENT",1,0))),0)</f>
        <v/>
      </c>
    </row>
    <row r="260">
      <c r="A260" s="109" t="inlineStr">
        <is>
          <t>4709 BENTCREEK DR</t>
        </is>
      </c>
      <c r="B260" s="109" t="inlineStr">
        <is>
          <t>GENERIC_CITY</t>
        </is>
      </c>
      <c r="C260" s="109" t="inlineStr">
        <is>
          <t>GENERIC_STATE</t>
        </is>
      </c>
      <c r="D260" s="109" t="inlineStr">
        <is>
          <t>00000</t>
        </is>
      </c>
      <c r="E260" s="109" t="n"/>
      <c r="F260" s="109" t="n"/>
      <c r="G260" s="109" t="n"/>
      <c r="H260" s="109" t="inlineStr">
        <is>
          <t>Y</t>
        </is>
      </c>
      <c r="I260" s="68" t="n"/>
      <c r="J260">
        <f>IF('House Count'!H260="Y",IF('House Count'!F260="RES-SFU",1,IF('House Count'!F260="RES-MDU",1,IF('House Count'!F260="RES-HOA",1,0))),0)</f>
        <v/>
      </c>
      <c r="K260">
        <f>IF('House Count'!H260="Y",IF('House Count'!F260="COMM-SU",1,IF('House Count'!F260="COM-MTU",1,IF('House Count'!F260="ENT",1,0))),0)</f>
        <v/>
      </c>
    </row>
    <row r="261">
      <c r="A261" s="109" t="inlineStr">
        <is>
          <t>4705 BENTCREEK DR</t>
        </is>
      </c>
      <c r="B261" s="109" t="inlineStr">
        <is>
          <t>GENERIC_CITY</t>
        </is>
      </c>
      <c r="C261" s="109" t="inlineStr">
        <is>
          <t>GENERIC_STATE</t>
        </is>
      </c>
      <c r="D261" s="109" t="inlineStr">
        <is>
          <t>00000</t>
        </is>
      </c>
      <c r="E261" s="109" t="n"/>
      <c r="F261" s="109" t="n"/>
      <c r="G261" s="109" t="n"/>
      <c r="H261" s="109" t="inlineStr">
        <is>
          <t>Y</t>
        </is>
      </c>
      <c r="I261" s="68" t="n"/>
      <c r="J261">
        <f>IF('House Count'!H261="Y",IF('House Count'!F261="RES-SFU",1,IF('House Count'!F261="RES-MDU",1,IF('House Count'!F261="RES-HOA",1,0))),0)</f>
        <v/>
      </c>
      <c r="K261">
        <f>IF('House Count'!H261="Y",IF('House Count'!F261="COMM-SU",1,IF('House Count'!F261="COM-MTU",1,IF('House Count'!F261="ENT",1,0))),0)</f>
        <v/>
      </c>
    </row>
    <row r="262">
      <c r="A262" s="109" t="inlineStr">
        <is>
          <t>4701 BENTCREEK DR</t>
        </is>
      </c>
      <c r="B262" s="109" t="inlineStr">
        <is>
          <t>GENERIC_CITY</t>
        </is>
      </c>
      <c r="C262" s="109" t="inlineStr">
        <is>
          <t>GENERIC_STATE</t>
        </is>
      </c>
      <c r="D262" s="109" t="inlineStr">
        <is>
          <t>00000</t>
        </is>
      </c>
      <c r="E262" s="109" t="n"/>
      <c r="F262" s="109" t="n"/>
      <c r="G262" s="109" t="n"/>
      <c r="H262" s="109" t="inlineStr">
        <is>
          <t>Y</t>
        </is>
      </c>
      <c r="I262" s="68" t="n"/>
      <c r="J262">
        <f>IF('House Count'!H262="Y",IF('House Count'!F262="RES-SFU",1,IF('House Count'!F262="RES-MDU",1,IF('House Count'!F262="RES-HOA",1,0))),0)</f>
        <v/>
      </c>
      <c r="K262">
        <f>IF('House Count'!H262="Y",IF('House Count'!F262="COMM-SU",1,IF('House Count'!F262="COM-MTU",1,IF('House Count'!F262="ENT",1,0))),0)</f>
        <v/>
      </c>
    </row>
    <row r="263">
      <c r="A263" s="109" t="inlineStr">
        <is>
          <t>4700 BENTCREEK DR</t>
        </is>
      </c>
      <c r="B263" s="109" t="inlineStr">
        <is>
          <t>GENERIC_CITY</t>
        </is>
      </c>
      <c r="C263" s="109" t="inlineStr">
        <is>
          <t>GENERIC_STATE</t>
        </is>
      </c>
      <c r="D263" s="109" t="inlineStr">
        <is>
          <t>00000</t>
        </is>
      </c>
      <c r="E263" s="109" t="n"/>
      <c r="F263" s="109" t="n"/>
      <c r="G263" s="109" t="n"/>
      <c r="H263" s="109" t="inlineStr">
        <is>
          <t>Y</t>
        </is>
      </c>
      <c r="I263" s="68" t="n"/>
      <c r="J263">
        <f>IF('House Count'!H263="Y",IF('House Count'!F263="RES-SFU",1,IF('House Count'!F263="RES-MDU",1,IF('House Count'!F263="RES-HOA",1,0))),0)</f>
        <v/>
      </c>
      <c r="K263">
        <f>IF('House Count'!H263="Y",IF('House Count'!F263="COMM-SU",1,IF('House Count'!F263="COM-MTU",1,IF('House Count'!F263="ENT",1,0))),0)</f>
        <v/>
      </c>
    </row>
    <row r="264">
      <c r="A264" s="109" t="inlineStr">
        <is>
          <t>4704 BENTCREEK DR</t>
        </is>
      </c>
      <c r="B264" s="109" t="inlineStr">
        <is>
          <t>GENERIC_CITY</t>
        </is>
      </c>
      <c r="C264" s="109" t="inlineStr">
        <is>
          <t>GENERIC_STATE</t>
        </is>
      </c>
      <c r="D264" s="109" t="inlineStr">
        <is>
          <t>00000</t>
        </is>
      </c>
      <c r="E264" s="109" t="n"/>
      <c r="F264" s="109" t="n"/>
      <c r="G264" s="109" t="n"/>
      <c r="H264" s="109" t="inlineStr">
        <is>
          <t>Y</t>
        </is>
      </c>
      <c r="I264" s="68" t="n"/>
      <c r="J264">
        <f>IF('House Count'!H264="Y",IF('House Count'!F264="RES-SFU",1,IF('House Count'!F264="RES-MDU",1,IF('House Count'!F264="RES-HOA",1,0))),0)</f>
        <v/>
      </c>
      <c r="K264">
        <f>IF('House Count'!H264="Y",IF('House Count'!F264="COMM-SU",1,IF('House Count'!F264="COM-MTU",1,IF('House Count'!F264="ENT",1,0))),0)</f>
        <v/>
      </c>
    </row>
    <row r="265" ht="15.75" customHeight="1" thickBot="1">
      <c r="A265" s="545" t="inlineStr">
        <is>
          <t>4708 BENTCREEK DR</t>
        </is>
      </c>
      <c r="B265" s="545" t="inlineStr">
        <is>
          <t>GENERIC_CITY</t>
        </is>
      </c>
      <c r="C265" s="545" t="inlineStr">
        <is>
          <t>GENERIC_STATE</t>
        </is>
      </c>
      <c r="D265" s="545" t="inlineStr">
        <is>
          <t>00000</t>
        </is>
      </c>
      <c r="E265" s="545" t="n"/>
      <c r="F265" s="545" t="n"/>
      <c r="G265" s="545" t="n"/>
      <c r="H265" s="545" t="inlineStr">
        <is>
          <t>Y</t>
        </is>
      </c>
      <c r="I265" s="546" t="n"/>
      <c r="J265">
        <f>IF('House Count'!H265="Y",IF('House Count'!F265="RES-SFU",1,IF('House Count'!F265="RES-MDU",1,IF('House Count'!F265="RES-HOA",1,0))),0)</f>
        <v/>
      </c>
      <c r="K265">
        <f>IF('House Count'!H265="Y",IF('House Count'!F265="COMM-SU",1,IF('House Count'!F265="COM-MTU",1,IF('House Count'!F265="ENT",1,0))),0)</f>
        <v/>
      </c>
    </row>
    <row r="266" ht="15.75" customHeight="1" thickTop="1">
      <c r="A266" s="109" t="inlineStr">
        <is>
          <t>4712 BENTCREEK DR</t>
        </is>
      </c>
      <c r="B266" s="109" t="inlineStr">
        <is>
          <t>GENERIC_CITY</t>
        </is>
      </c>
      <c r="C266" s="109" t="inlineStr">
        <is>
          <t>GENERIC_STATE</t>
        </is>
      </c>
      <c r="D266" s="109" t="inlineStr">
        <is>
          <t>00000</t>
        </is>
      </c>
      <c r="E266" s="109" t="n"/>
      <c r="F266" s="109" t="n"/>
      <c r="G266" s="109" t="n"/>
      <c r="H266" s="109" t="inlineStr">
        <is>
          <t>Y</t>
        </is>
      </c>
      <c r="I266" s="68" t="n"/>
      <c r="J266">
        <f>IF('House Count'!H266="Y",IF('House Count'!F266="RES-SFU",1,IF('House Count'!F266="RES-MDU",1,IF('House Count'!F266="RES-HOA",1,0))),0)</f>
        <v/>
      </c>
      <c r="K266">
        <f>IF('House Count'!H266="Y",IF('House Count'!F266="COMM-SU",1,IF('House Count'!F266="COM-MTU",1,IF('House Count'!F266="ENT",1,0))),0)</f>
        <v/>
      </c>
    </row>
    <row r="267">
      <c r="A267" s="109" t="inlineStr">
        <is>
          <t>4713 BENTCREEK DR</t>
        </is>
      </c>
      <c r="B267" s="109" t="inlineStr">
        <is>
          <t>GENERIC_CITY</t>
        </is>
      </c>
      <c r="C267" s="109" t="inlineStr">
        <is>
          <t>GENERIC_STATE</t>
        </is>
      </c>
      <c r="D267" s="109" t="inlineStr">
        <is>
          <t>00000</t>
        </is>
      </c>
      <c r="E267" s="109" t="n"/>
      <c r="F267" s="109" t="n"/>
      <c r="G267" s="109" t="n"/>
      <c r="H267" s="109" t="inlineStr">
        <is>
          <t>Y</t>
        </is>
      </c>
      <c r="I267" s="68" t="n"/>
      <c r="J267">
        <f>IF('House Count'!H267="Y",IF('House Count'!F267="RES-SFU",1,IF('House Count'!F267="RES-MDU",1,IF('House Count'!F267="RES-HOA",1,0))),0)</f>
        <v/>
      </c>
      <c r="K267">
        <f>IF('House Count'!H267="Y",IF('House Count'!F267="COMM-SU",1,IF('House Count'!F267="COM-MTU",1,IF('House Count'!F267="ENT",1,0))),0)</f>
        <v/>
      </c>
    </row>
    <row r="268">
      <c r="A268" s="109" t="inlineStr">
        <is>
          <t>4716 BENTCREEK DR</t>
        </is>
      </c>
      <c r="B268" s="109" t="inlineStr">
        <is>
          <t>GENERIC_CITY</t>
        </is>
      </c>
      <c r="C268" s="109" t="inlineStr">
        <is>
          <t>GENERIC_STATE</t>
        </is>
      </c>
      <c r="D268" s="109" t="inlineStr">
        <is>
          <t>00000</t>
        </is>
      </c>
      <c r="E268" s="109" t="n"/>
      <c r="F268" s="109" t="n"/>
      <c r="G268" s="109" t="n"/>
      <c r="H268" s="109" t="inlineStr">
        <is>
          <t>Y</t>
        </is>
      </c>
      <c r="I268" s="68" t="n"/>
      <c r="J268">
        <f>IF('House Count'!H268="Y",IF('House Count'!F268="RES-SFU",1,IF('House Count'!F268="RES-MDU",1,IF('House Count'!F268="RES-HOA",1,0))),0)</f>
        <v/>
      </c>
      <c r="K268">
        <f>IF('House Count'!H268="Y",IF('House Count'!F268="COMM-SU",1,IF('House Count'!F268="COM-MTU",1,IF('House Count'!F268="ENT",1,0))),0)</f>
        <v/>
      </c>
    </row>
    <row r="269">
      <c r="A269" s="109" t="inlineStr">
        <is>
          <t>4720 BENTCREEK DR</t>
        </is>
      </c>
      <c r="B269" s="109" t="inlineStr">
        <is>
          <t>GENERIC_CITY</t>
        </is>
      </c>
      <c r="C269" s="109" t="inlineStr">
        <is>
          <t>GENERIC_STATE</t>
        </is>
      </c>
      <c r="D269" s="109" t="inlineStr">
        <is>
          <t>00000</t>
        </is>
      </c>
      <c r="E269" s="109" t="n"/>
      <c r="F269" s="109" t="n"/>
      <c r="G269" s="109" t="n"/>
      <c r="H269" s="109" t="inlineStr">
        <is>
          <t>Y</t>
        </is>
      </c>
      <c r="I269" s="68" t="n"/>
      <c r="J269">
        <f>IF('House Count'!H269="Y",IF('House Count'!F269="RES-SFU",1,IF('House Count'!F269="RES-MDU",1,IF('House Count'!F269="RES-HOA",1,0))),0)</f>
        <v/>
      </c>
      <c r="K269">
        <f>IF('House Count'!H269="Y",IF('House Count'!F269="COMM-SU",1,IF('House Count'!F269="COM-MTU",1,IF('House Count'!F269="ENT",1,0))),0)</f>
        <v/>
      </c>
    </row>
    <row r="270">
      <c r="A270" s="109" t="inlineStr">
        <is>
          <t>4717 BENTCREEK DR</t>
        </is>
      </c>
      <c r="B270" s="109" t="inlineStr">
        <is>
          <t>GENERIC_CITY</t>
        </is>
      </c>
      <c r="C270" s="109" t="inlineStr">
        <is>
          <t>GENERIC_STATE</t>
        </is>
      </c>
      <c r="D270" s="109" t="inlineStr">
        <is>
          <t>00000</t>
        </is>
      </c>
      <c r="E270" s="109" t="n"/>
      <c r="F270" s="109" t="n"/>
      <c r="G270" s="109" t="n"/>
      <c r="H270" s="109" t="inlineStr">
        <is>
          <t>Y</t>
        </is>
      </c>
      <c r="I270" s="68" t="n"/>
      <c r="J270">
        <f>IF('House Count'!H270="Y",IF('House Count'!F270="RES-SFU",1,IF('House Count'!F270="RES-MDU",1,IF('House Count'!F270="RES-HOA",1,0))),0)</f>
        <v/>
      </c>
      <c r="K270">
        <f>IF('House Count'!H270="Y",IF('House Count'!F270="COMM-SU",1,IF('House Count'!F270="COM-MTU",1,IF('House Count'!F270="ENT",1,0))),0)</f>
        <v/>
      </c>
    </row>
    <row r="271">
      <c r="A271" s="109" t="inlineStr">
        <is>
          <t>4721 BENTCREEK DR</t>
        </is>
      </c>
      <c r="B271" s="109" t="inlineStr">
        <is>
          <t>GENERIC_CITY</t>
        </is>
      </c>
      <c r="C271" s="109" t="inlineStr">
        <is>
          <t>GENERIC_STATE</t>
        </is>
      </c>
      <c r="D271" s="109" t="inlineStr">
        <is>
          <t>00000</t>
        </is>
      </c>
      <c r="E271" s="109" t="n"/>
      <c r="F271" s="109" t="n"/>
      <c r="G271" s="109" t="n"/>
      <c r="H271" s="109" t="inlineStr">
        <is>
          <t>Y</t>
        </is>
      </c>
      <c r="I271" s="68" t="n"/>
      <c r="J271">
        <f>IF('House Count'!H271="Y",IF('House Count'!F271="RES-SFU",1,IF('House Count'!F271="RES-MDU",1,IF('House Count'!F271="RES-HOA",1,0))),0)</f>
        <v/>
      </c>
      <c r="K271">
        <f>IF('House Count'!H271="Y",IF('House Count'!F271="COMM-SU",1,IF('House Count'!F271="COM-MTU",1,IF('House Count'!F271="ENT",1,0))),0)</f>
        <v/>
      </c>
    </row>
    <row r="272">
      <c r="A272" s="109" t="inlineStr">
        <is>
          <t>4801 BENTCREEK DR</t>
        </is>
      </c>
      <c r="B272" s="109" t="inlineStr">
        <is>
          <t>GENERIC_CITY</t>
        </is>
      </c>
      <c r="C272" s="109" t="inlineStr">
        <is>
          <t>GENERIC_STATE</t>
        </is>
      </c>
      <c r="D272" s="109" t="inlineStr">
        <is>
          <t>00000</t>
        </is>
      </c>
      <c r="E272" s="109" t="n"/>
      <c r="F272" s="109" t="n"/>
      <c r="G272" s="109" t="n"/>
      <c r="H272" s="109" t="inlineStr">
        <is>
          <t>Y</t>
        </is>
      </c>
      <c r="I272" s="68" t="n"/>
      <c r="J272">
        <f>IF('House Count'!H272="Y",IF('House Count'!F272="RES-SFU",1,IF('House Count'!F272="RES-MDU",1,IF('House Count'!F272="RES-HOA",1,0))),0)</f>
        <v/>
      </c>
      <c r="K272">
        <f>IF('House Count'!H272="Y",IF('House Count'!F272="COMM-SU",1,IF('House Count'!F272="COM-MTU",1,IF('House Count'!F272="ENT",1,0))),0)</f>
        <v/>
      </c>
    </row>
    <row r="273">
      <c r="A273" s="109" t="inlineStr">
        <is>
          <t>4800 BENTCREEK DR</t>
        </is>
      </c>
      <c r="B273" s="109" t="inlineStr">
        <is>
          <t>GENERIC_CITY</t>
        </is>
      </c>
      <c r="C273" s="109" t="inlineStr">
        <is>
          <t>GENERIC_STATE</t>
        </is>
      </c>
      <c r="D273" s="109" t="inlineStr">
        <is>
          <t>00000</t>
        </is>
      </c>
      <c r="E273" s="109" t="n"/>
      <c r="F273" s="109" t="n"/>
      <c r="G273" s="109" t="n"/>
      <c r="H273" s="109" t="inlineStr">
        <is>
          <t>Y</t>
        </is>
      </c>
      <c r="I273" s="68" t="n"/>
      <c r="J273">
        <f>IF('House Count'!H273="Y",IF('House Count'!F273="RES-SFU",1,IF('House Count'!F273="RES-MDU",1,IF('House Count'!F273="RES-HOA",1,0))),0)</f>
        <v/>
      </c>
      <c r="K273">
        <f>IF('House Count'!H273="Y",IF('House Count'!F273="COMM-SU",1,IF('House Count'!F273="COM-MTU",1,IF('House Count'!F273="ENT",1,0))),0)</f>
        <v/>
      </c>
    </row>
    <row r="274">
      <c r="A274" s="109" t="inlineStr">
        <is>
          <t>4805 BENTCREEK DR</t>
        </is>
      </c>
      <c r="B274" s="109" t="inlineStr">
        <is>
          <t>GENERIC_CITY</t>
        </is>
      </c>
      <c r="C274" s="109" t="inlineStr">
        <is>
          <t>GENERIC_STATE</t>
        </is>
      </c>
      <c r="D274" s="109" t="inlineStr">
        <is>
          <t>00000</t>
        </is>
      </c>
      <c r="E274" s="109" t="n"/>
      <c r="F274" s="109" t="n"/>
      <c r="G274" s="109" t="n"/>
      <c r="H274" s="109" t="inlineStr">
        <is>
          <t>Y</t>
        </is>
      </c>
      <c r="I274" s="68" t="n"/>
      <c r="J274">
        <f>IF('House Count'!H274="Y",IF('House Count'!F274="RES-SFU",1,IF('House Count'!F274="RES-MDU",1,IF('House Count'!F274="RES-HOA",1,0))),0)</f>
        <v/>
      </c>
      <c r="K274">
        <f>IF('House Count'!H274="Y",IF('House Count'!F274="COMM-SU",1,IF('House Count'!F274="COM-MTU",1,IF('House Count'!F274="ENT",1,0))),0)</f>
        <v/>
      </c>
    </row>
    <row r="275">
      <c r="A275" s="109" t="inlineStr">
        <is>
          <t>4804 BENTCREEK DR</t>
        </is>
      </c>
      <c r="B275" s="109" t="inlineStr">
        <is>
          <t>GENERIC_CITY</t>
        </is>
      </c>
      <c r="C275" s="109" t="inlineStr">
        <is>
          <t>GENERIC_STATE</t>
        </is>
      </c>
      <c r="D275" s="109" t="inlineStr">
        <is>
          <t>00000</t>
        </is>
      </c>
      <c r="E275" s="109" t="n"/>
      <c r="F275" s="109" t="n"/>
      <c r="G275" s="109" t="n"/>
      <c r="H275" s="109" t="inlineStr">
        <is>
          <t>Y</t>
        </is>
      </c>
      <c r="I275" s="68" t="n"/>
      <c r="J275">
        <f>IF('House Count'!H275="Y",IF('House Count'!F275="RES-SFU",1,IF('House Count'!F275="RES-MDU",1,IF('House Count'!F275="RES-HOA",1,0))),0)</f>
        <v/>
      </c>
      <c r="K275">
        <f>IF('House Count'!H275="Y",IF('House Count'!F275="COMM-SU",1,IF('House Count'!F275="COM-MTU",1,IF('House Count'!F275="ENT",1,0))),0)</f>
        <v/>
      </c>
    </row>
    <row r="276">
      <c r="A276" s="109" t="inlineStr">
        <is>
          <t>4809 BENTCREEK DR</t>
        </is>
      </c>
      <c r="B276" s="109" t="inlineStr">
        <is>
          <t>GENERIC_CITY</t>
        </is>
      </c>
      <c r="C276" s="109" t="inlineStr">
        <is>
          <t>GENERIC_STATE</t>
        </is>
      </c>
      <c r="D276" s="109" t="inlineStr">
        <is>
          <t>00000</t>
        </is>
      </c>
      <c r="E276" s="109" t="n"/>
      <c r="F276" s="109" t="n"/>
      <c r="G276" s="109" t="n"/>
      <c r="H276" s="109" t="inlineStr">
        <is>
          <t>Y</t>
        </is>
      </c>
      <c r="I276" s="68" t="n"/>
      <c r="J276">
        <f>IF('House Count'!H276="Y",IF('House Count'!F276="RES-SFU",1,IF('House Count'!F276="RES-MDU",1,IF('House Count'!F276="RES-HOA",1,0))),0)</f>
        <v/>
      </c>
      <c r="K276">
        <f>IF('House Count'!H276="Y",IF('House Count'!F276="COMM-SU",1,IF('House Count'!F276="COM-MTU",1,IF('House Count'!F276="ENT",1,0))),0)</f>
        <v/>
      </c>
    </row>
    <row r="277" ht="15.75" customHeight="1" thickBot="1">
      <c r="A277" s="545" t="inlineStr">
        <is>
          <t>4808 BENTCREEK DR</t>
        </is>
      </c>
      <c r="B277" s="545" t="inlineStr">
        <is>
          <t>GENERIC_CITY</t>
        </is>
      </c>
      <c r="C277" s="545" t="inlineStr">
        <is>
          <t>GENERIC_STATE</t>
        </is>
      </c>
      <c r="D277" s="545" t="inlineStr">
        <is>
          <t>00000</t>
        </is>
      </c>
      <c r="E277" s="545" t="n"/>
      <c r="F277" s="545" t="n"/>
      <c r="G277" s="545" t="n"/>
      <c r="H277" s="545" t="inlineStr">
        <is>
          <t>Y</t>
        </is>
      </c>
      <c r="I277" s="546" t="n"/>
      <c r="J277">
        <f>IF('House Count'!H277="Y",IF('House Count'!F277="RES-SFU",1,IF('House Count'!F277="RES-MDU",1,IF('House Count'!F277="RES-HOA",1,0))),0)</f>
        <v/>
      </c>
      <c r="K277">
        <f>IF('House Count'!H277="Y",IF('House Count'!F277="COMM-SU",1,IF('House Count'!F277="COM-MTU",1,IF('House Count'!F277="ENT",1,0))),0)</f>
        <v/>
      </c>
    </row>
    <row r="278" ht="15.75" customHeight="1" thickTop="1">
      <c r="A278" s="109" t="inlineStr">
        <is>
          <t>4813 BENTCREEK DR</t>
        </is>
      </c>
      <c r="B278" s="109" t="inlineStr">
        <is>
          <t>GENERIC_CITY</t>
        </is>
      </c>
      <c r="C278" s="109" t="inlineStr">
        <is>
          <t>GENERIC_STATE</t>
        </is>
      </c>
      <c r="D278" s="109" t="inlineStr">
        <is>
          <t>00000</t>
        </is>
      </c>
      <c r="E278" s="109" t="n"/>
      <c r="F278" s="109" t="n"/>
      <c r="G278" s="109" t="n"/>
      <c r="H278" s="109" t="inlineStr">
        <is>
          <t>Y</t>
        </is>
      </c>
      <c r="I278" s="68" t="n"/>
      <c r="J278">
        <f>IF('House Count'!H278="Y",IF('House Count'!F278="RES-SFU",1,IF('House Count'!F278="RES-MDU",1,IF('House Count'!F278="RES-HOA",1,0))),0)</f>
        <v/>
      </c>
      <c r="K278">
        <f>IF('House Count'!H278="Y",IF('House Count'!F278="COMM-SU",1,IF('House Count'!F278="COM-MTU",1,IF('House Count'!F278="ENT",1,0))),0)</f>
        <v/>
      </c>
    </row>
    <row r="279">
      <c r="A279" s="109" t="inlineStr">
        <is>
          <t>4812 BENTCREEK DR</t>
        </is>
      </c>
      <c r="B279" s="109" t="inlineStr">
        <is>
          <t>GENERIC_CITY</t>
        </is>
      </c>
      <c r="C279" s="109" t="inlineStr">
        <is>
          <t>GENERIC_STATE</t>
        </is>
      </c>
      <c r="D279" s="109" t="inlineStr">
        <is>
          <t>00000</t>
        </is>
      </c>
      <c r="E279" s="109" t="n"/>
      <c r="F279" s="109" t="n"/>
      <c r="G279" s="109" t="n"/>
      <c r="H279" s="109" t="inlineStr">
        <is>
          <t>Y</t>
        </is>
      </c>
      <c r="I279" s="68" t="n"/>
      <c r="J279">
        <f>IF('House Count'!H279="Y",IF('House Count'!F279="RES-SFU",1,IF('House Count'!F279="RES-MDU",1,IF('House Count'!F279="RES-HOA",1,0))),0)</f>
        <v/>
      </c>
      <c r="K279">
        <f>IF('House Count'!H279="Y",IF('House Count'!F279="COMM-SU",1,IF('House Count'!F279="COM-MTU",1,IF('House Count'!F279="ENT",1,0))),0)</f>
        <v/>
      </c>
    </row>
    <row r="280">
      <c r="A280" s="109" t="inlineStr">
        <is>
          <t>4817 BENTCREEK DR</t>
        </is>
      </c>
      <c r="B280" s="109" t="inlineStr">
        <is>
          <t>GENERIC_CITY</t>
        </is>
      </c>
      <c r="C280" s="109" t="inlineStr">
        <is>
          <t>GENERIC_STATE</t>
        </is>
      </c>
      <c r="D280" s="109" t="inlineStr">
        <is>
          <t>00000</t>
        </is>
      </c>
      <c r="E280" s="109" t="n"/>
      <c r="F280" s="109" t="n"/>
      <c r="G280" s="109" t="n"/>
      <c r="H280" s="109" t="inlineStr">
        <is>
          <t>Y</t>
        </is>
      </c>
      <c r="I280" s="68" t="n"/>
      <c r="J280">
        <f>IF('House Count'!H280="Y",IF('House Count'!F280="RES-SFU",1,IF('House Count'!F280="RES-MDU",1,IF('House Count'!F280="RES-HOA",1,0))),0)</f>
        <v/>
      </c>
      <c r="K280">
        <f>IF('House Count'!H280="Y",IF('House Count'!F280="COMM-SU",1,IF('House Count'!F280="COM-MTU",1,IF('House Count'!F280="ENT",1,0))),0)</f>
        <v/>
      </c>
    </row>
    <row r="281">
      <c r="A281" s="109" t="inlineStr">
        <is>
          <t>4816 BENTCREEK DR</t>
        </is>
      </c>
      <c r="B281" s="109" t="inlineStr">
        <is>
          <t>GENERIC_CITY</t>
        </is>
      </c>
      <c r="C281" s="109" t="inlineStr">
        <is>
          <t>GENERIC_STATE</t>
        </is>
      </c>
      <c r="D281" s="109" t="inlineStr">
        <is>
          <t>00000</t>
        </is>
      </c>
      <c r="E281" s="109" t="n"/>
      <c r="F281" s="109" t="n"/>
      <c r="G281" s="109" t="n"/>
      <c r="H281" s="109" t="inlineStr">
        <is>
          <t>Y</t>
        </is>
      </c>
      <c r="I281" s="68" t="n"/>
      <c r="J281">
        <f>IF('House Count'!H281="Y",IF('House Count'!F281="RES-SFU",1,IF('House Count'!F281="RES-MDU",1,IF('House Count'!F281="RES-HOA",1,0))),0)</f>
        <v/>
      </c>
      <c r="K281">
        <f>IF('House Count'!H281="Y",IF('House Count'!F281="COMM-SU",1,IF('House Count'!F281="COM-MTU",1,IF('House Count'!F281="ENT",1,0))),0)</f>
        <v/>
      </c>
    </row>
    <row r="282">
      <c r="A282" s="109" t="inlineStr">
        <is>
          <t>4821 BENTCREEK DR</t>
        </is>
      </c>
      <c r="B282" s="109" t="inlineStr">
        <is>
          <t>GENERIC_CITY</t>
        </is>
      </c>
      <c r="C282" s="109" t="inlineStr">
        <is>
          <t>GENERIC_STATE</t>
        </is>
      </c>
      <c r="D282" s="109" t="inlineStr">
        <is>
          <t>00000</t>
        </is>
      </c>
      <c r="E282" s="109" t="n"/>
      <c r="F282" s="109" t="n"/>
      <c r="G282" s="109" t="n"/>
      <c r="H282" s="109" t="inlineStr">
        <is>
          <t>Y</t>
        </is>
      </c>
      <c r="I282" s="68" t="n"/>
      <c r="J282">
        <f>IF('House Count'!H282="Y",IF('House Count'!F282="RES-SFU",1,IF('House Count'!F282="RES-MDU",1,IF('House Count'!F282="RES-HOA",1,0))),0)</f>
        <v/>
      </c>
      <c r="K282">
        <f>IF('House Count'!H282="Y",IF('House Count'!F282="COMM-SU",1,IF('House Count'!F282="COM-MTU",1,IF('House Count'!F282="ENT",1,0))),0)</f>
        <v/>
      </c>
    </row>
    <row r="283">
      <c r="A283" s="109" t="inlineStr">
        <is>
          <t>4901 ALLANBROOKE LN</t>
        </is>
      </c>
      <c r="B283" s="109" t="inlineStr">
        <is>
          <t>GENERIC_CITY</t>
        </is>
      </c>
      <c r="C283" s="109" t="inlineStr">
        <is>
          <t>GENERIC_STATE</t>
        </is>
      </c>
      <c r="D283" s="109" t="inlineStr">
        <is>
          <t>00000</t>
        </is>
      </c>
      <c r="E283" s="109" t="n"/>
      <c r="F283" s="109" t="n"/>
      <c r="G283" s="109" t="n"/>
      <c r="H283" s="109" t="inlineStr">
        <is>
          <t>Y</t>
        </is>
      </c>
      <c r="I283" s="68" t="n"/>
      <c r="J283">
        <f>IF('House Count'!H283="Y",IF('House Count'!F283="RES-SFU",1,IF('House Count'!F283="RES-MDU",1,IF('House Count'!F283="RES-HOA",1,0))),0)</f>
        <v/>
      </c>
      <c r="K283">
        <f>IF('House Count'!H283="Y",IF('House Count'!F283="COMM-SU",1,IF('House Count'!F283="COM-MTU",1,IF('House Count'!F283="ENT",1,0))),0)</f>
        <v/>
      </c>
    </row>
    <row r="284">
      <c r="A284" s="109" t="inlineStr">
        <is>
          <t>5117 HILLTOP NEEDMORE RD</t>
        </is>
      </c>
      <c r="B284" s="109" t="inlineStr">
        <is>
          <t>GENERIC_CITY</t>
        </is>
      </c>
      <c r="C284" s="109" t="inlineStr">
        <is>
          <t>GENERIC_STATE</t>
        </is>
      </c>
      <c r="D284" s="109" t="inlineStr">
        <is>
          <t>00000</t>
        </is>
      </c>
      <c r="E284" s="109" t="n"/>
      <c r="F284" s="109" t="n"/>
      <c r="G284" s="109" t="n"/>
      <c r="H284" s="109" t="inlineStr">
        <is>
          <t>Y</t>
        </is>
      </c>
      <c r="I284" s="68" t="n"/>
      <c r="J284">
        <f>IF('House Count'!H284="Y",IF('House Count'!F284="RES-SFU",1,IF('House Count'!F284="RES-MDU",1,IF('House Count'!F284="RES-HOA",1,0))),0)</f>
        <v/>
      </c>
      <c r="K284">
        <f>IF('House Count'!H284="Y",IF('House Count'!F284="COMM-SU",1,IF('House Count'!F284="COM-MTU",1,IF('House Count'!F284="ENT",1,0))),0)</f>
        <v/>
      </c>
    </row>
    <row r="285">
      <c r="A285" s="109" t="inlineStr">
        <is>
          <t>4844 FRANKIE RD</t>
        </is>
      </c>
      <c r="B285" s="109" t="inlineStr">
        <is>
          <t>GENERIC_CITY</t>
        </is>
      </c>
      <c r="C285" s="109" t="inlineStr">
        <is>
          <t>GENERIC_STATE</t>
        </is>
      </c>
      <c r="D285" s="109" t="inlineStr">
        <is>
          <t>00000</t>
        </is>
      </c>
      <c r="E285" s="109" t="n"/>
      <c r="F285" s="109" t="n"/>
      <c r="G285" s="109" t="n"/>
      <c r="H285" s="109" t="inlineStr">
        <is>
          <t>Y</t>
        </is>
      </c>
      <c r="I285" s="68" t="n"/>
      <c r="J285">
        <f>IF('House Count'!H285="Y",IF('House Count'!F285="RES-SFU",1,IF('House Count'!F285="RES-MDU",1,IF('House Count'!F285="RES-HOA",1,0))),0)</f>
        <v/>
      </c>
      <c r="K285">
        <f>IF('House Count'!H285="Y",IF('House Count'!F285="COMM-SU",1,IF('House Count'!F285="COM-MTU",1,IF('House Count'!F285="ENT",1,0))),0)</f>
        <v/>
      </c>
    </row>
    <row r="286">
      <c r="A286" s="109" t="inlineStr">
        <is>
          <t>5120 HILLTOP NEEDMORE RD</t>
        </is>
      </c>
      <c r="B286" s="109" t="inlineStr">
        <is>
          <t>GENERIC_CITY</t>
        </is>
      </c>
      <c r="C286" s="109" t="inlineStr">
        <is>
          <t>GENERIC_STATE</t>
        </is>
      </c>
      <c r="D286" s="109" t="inlineStr">
        <is>
          <t>00000</t>
        </is>
      </c>
      <c r="E286" s="109" t="n"/>
      <c r="F286" s="109" t="n"/>
      <c r="G286" s="109" t="n"/>
      <c r="H286" s="109" t="inlineStr">
        <is>
          <t>Y</t>
        </is>
      </c>
      <c r="I286" s="68" t="n"/>
      <c r="J286">
        <f>IF('House Count'!H286="Y",IF('House Count'!F286="RES-SFU",1,IF('House Count'!F286="RES-MDU",1,IF('House Count'!F286="RES-HOA",1,0))),0)</f>
        <v/>
      </c>
      <c r="K286">
        <f>IF('House Count'!H286="Y",IF('House Count'!F286="COMM-SU",1,IF('House Count'!F286="COM-MTU",1,IF('House Count'!F286="ENT",1,0))),0)</f>
        <v/>
      </c>
    </row>
    <row r="287">
      <c r="A287" s="109" t="inlineStr">
        <is>
          <t>4821 FRANKIE RD</t>
        </is>
      </c>
      <c r="B287" s="109" t="inlineStr">
        <is>
          <t>GENERIC_CITY</t>
        </is>
      </c>
      <c r="C287" s="109" t="inlineStr">
        <is>
          <t>GENERIC_STATE</t>
        </is>
      </c>
      <c r="D287" s="109" t="inlineStr">
        <is>
          <t>00000</t>
        </is>
      </c>
      <c r="E287" s="109" t="n"/>
      <c r="F287" s="109" t="n"/>
      <c r="G287" s="109" t="n"/>
      <c r="H287" s="109" t="inlineStr">
        <is>
          <t>Y</t>
        </is>
      </c>
      <c r="I287" s="68" t="n"/>
      <c r="J287">
        <f>IF('House Count'!H287="Y",IF('House Count'!F287="RES-SFU",1,IF('House Count'!F287="RES-MDU",1,IF('House Count'!F287="RES-HOA",1,0))),0)</f>
        <v/>
      </c>
      <c r="K287">
        <f>IF('House Count'!H287="Y",IF('House Count'!F287="COMM-SU",1,IF('House Count'!F287="COM-MTU",1,IF('House Count'!F287="ENT",1,0))),0)</f>
        <v/>
      </c>
    </row>
    <row r="288">
      <c r="A288" s="109" t="inlineStr">
        <is>
          <t>4825 FRANKIE RD</t>
        </is>
      </c>
      <c r="B288" s="109" t="inlineStr">
        <is>
          <t>GENERIC_CITY</t>
        </is>
      </c>
      <c r="C288" s="109" t="inlineStr">
        <is>
          <t>GENERIC_STATE</t>
        </is>
      </c>
      <c r="D288" s="109" t="inlineStr">
        <is>
          <t>00000</t>
        </is>
      </c>
      <c r="E288" s="109" t="n"/>
      <c r="F288" s="109" t="n"/>
      <c r="G288" s="109" t="n"/>
      <c r="H288" s="109" t="inlineStr">
        <is>
          <t>Y</t>
        </is>
      </c>
      <c r="I288" s="68" t="n"/>
      <c r="J288">
        <f>IF('House Count'!H288="Y",IF('House Count'!F288="RES-SFU",1,IF('House Count'!F288="RES-MDU",1,IF('House Count'!F288="RES-HOA",1,0))),0)</f>
        <v/>
      </c>
      <c r="K288">
        <f>IF('House Count'!H288="Y",IF('House Count'!F288="COMM-SU",1,IF('House Count'!F288="COM-MTU",1,IF('House Count'!F288="ENT",1,0))),0)</f>
        <v/>
      </c>
    </row>
    <row r="289" ht="15.75" customHeight="1" thickBot="1">
      <c r="A289" s="545" t="inlineStr">
        <is>
          <t>4829 FRANKIE RD</t>
        </is>
      </c>
      <c r="B289" s="545" t="inlineStr">
        <is>
          <t>GENERIC_CITY</t>
        </is>
      </c>
      <c r="C289" s="545" t="inlineStr">
        <is>
          <t>GENERIC_STATE</t>
        </is>
      </c>
      <c r="D289" s="545" t="inlineStr">
        <is>
          <t>00000</t>
        </is>
      </c>
      <c r="E289" s="545" t="n"/>
      <c r="F289" s="545" t="n"/>
      <c r="G289" s="545" t="n"/>
      <c r="H289" s="545" t="inlineStr">
        <is>
          <t>Y</t>
        </is>
      </c>
      <c r="I289" s="546" t="n"/>
      <c r="J289">
        <f>IF('House Count'!H289="Y",IF('House Count'!F289="RES-SFU",1,IF('House Count'!F289="RES-MDU",1,IF('House Count'!F289="RES-HOA",1,0))),0)</f>
        <v/>
      </c>
      <c r="K289">
        <f>IF('House Count'!H289="Y",IF('House Count'!F289="COMM-SU",1,IF('House Count'!F289="COM-MTU",1,IF('House Count'!F289="ENT",1,0))),0)</f>
        <v/>
      </c>
    </row>
    <row r="290" ht="15.75" customHeight="1" thickTop="1">
      <c r="A290" s="109" t="inlineStr">
        <is>
          <t>4833 FRANKIE RD</t>
        </is>
      </c>
      <c r="B290" s="109" t="inlineStr">
        <is>
          <t>GENERIC_CITY</t>
        </is>
      </c>
      <c r="C290" s="109" t="inlineStr">
        <is>
          <t>GENERIC_STATE</t>
        </is>
      </c>
      <c r="D290" s="109" t="inlineStr">
        <is>
          <t>00000</t>
        </is>
      </c>
      <c r="E290" s="109" t="n"/>
      <c r="F290" s="109" t="n"/>
      <c r="G290" s="109" t="n"/>
      <c r="H290" s="109" t="inlineStr">
        <is>
          <t>Y</t>
        </is>
      </c>
      <c r="I290" s="68" t="n"/>
      <c r="J290">
        <f>IF('House Count'!H290="Y",IF('House Count'!F290="RES-SFU",1,IF('House Count'!F290="RES-MDU",1,IF('House Count'!F290="RES-HOA",1,0))),0)</f>
        <v/>
      </c>
      <c r="K290">
        <f>IF('House Count'!H290="Y",IF('House Count'!F290="COMM-SU",1,IF('House Count'!F290="COM-MTU",1,IF('House Count'!F290="ENT",1,0))),0)</f>
        <v/>
      </c>
    </row>
    <row r="291">
      <c r="A291" s="109" t="inlineStr">
        <is>
          <t>4836 FRANKIE RD</t>
        </is>
      </c>
      <c r="B291" s="109" t="inlineStr">
        <is>
          <t>GENERIC_CITY</t>
        </is>
      </c>
      <c r="C291" s="109" t="inlineStr">
        <is>
          <t>GENERIC_STATE</t>
        </is>
      </c>
      <c r="D291" s="109" t="inlineStr">
        <is>
          <t>00000</t>
        </is>
      </c>
      <c r="E291" s="109" t="n"/>
      <c r="F291" s="109" t="n"/>
      <c r="G291" s="109" t="n"/>
      <c r="H291" s="109" t="inlineStr">
        <is>
          <t>Y</t>
        </is>
      </c>
      <c r="I291" s="68" t="n"/>
      <c r="J291">
        <f>IF('House Count'!H291="Y",IF('House Count'!F291="RES-SFU",1,IF('House Count'!F291="RES-MDU",1,IF('House Count'!F291="RES-HOA",1,0))),0)</f>
        <v/>
      </c>
      <c r="K291">
        <f>IF('House Count'!H291="Y",IF('House Count'!F291="COMM-SU",1,IF('House Count'!F291="COM-MTU",1,IF('House Count'!F291="ENT",1,0))),0)</f>
        <v/>
      </c>
    </row>
    <row r="292">
      <c r="A292" s="109" t="inlineStr">
        <is>
          <t>4832 FRANKIE RD</t>
        </is>
      </c>
      <c r="B292" s="109" t="inlineStr">
        <is>
          <t>GENERIC_CITY</t>
        </is>
      </c>
      <c r="C292" s="109" t="inlineStr">
        <is>
          <t>GENERIC_STATE</t>
        </is>
      </c>
      <c r="D292" s="109" t="inlineStr">
        <is>
          <t>00000</t>
        </is>
      </c>
      <c r="E292" s="109" t="n"/>
      <c r="F292" s="109" t="n"/>
      <c r="G292" s="109" t="n"/>
      <c r="H292" s="109" t="inlineStr">
        <is>
          <t>Y</t>
        </is>
      </c>
      <c r="I292" s="68" t="n"/>
      <c r="J292">
        <f>IF('House Count'!H292="Y",IF('House Count'!F292="RES-SFU",1,IF('House Count'!F292="RES-MDU",1,IF('House Count'!F292="RES-HOA",1,0))),0)</f>
        <v/>
      </c>
      <c r="K292">
        <f>IF('House Count'!H292="Y",IF('House Count'!F292="COMM-SU",1,IF('House Count'!F292="COM-MTU",1,IF('House Count'!F292="ENT",1,0))),0)</f>
        <v/>
      </c>
    </row>
    <row r="293">
      <c r="A293" s="109" t="inlineStr">
        <is>
          <t>4828 FRANKIE RD</t>
        </is>
      </c>
      <c r="B293" s="109" t="inlineStr">
        <is>
          <t>GENERIC_CITY</t>
        </is>
      </c>
      <c r="C293" s="109" t="inlineStr">
        <is>
          <t>GENERIC_STATE</t>
        </is>
      </c>
      <c r="D293" s="109" t="inlineStr">
        <is>
          <t>00000</t>
        </is>
      </c>
      <c r="E293" s="109" t="n"/>
      <c r="F293" s="109" t="n"/>
      <c r="G293" s="109" t="n"/>
      <c r="H293" s="109" t="inlineStr">
        <is>
          <t>Y</t>
        </is>
      </c>
      <c r="I293" s="68" t="n"/>
      <c r="J293">
        <f>IF('House Count'!H293="Y",IF('House Count'!F293="RES-SFU",1,IF('House Count'!F293="RES-MDU",1,IF('House Count'!F293="RES-HOA",1,0))),0)</f>
        <v/>
      </c>
      <c r="K293">
        <f>IF('House Count'!H293="Y",IF('House Count'!F293="COMM-SU",1,IF('House Count'!F293="COM-MTU",1,IF('House Count'!F293="ENT",1,0))),0)</f>
        <v/>
      </c>
    </row>
    <row r="294">
      <c r="A294" s="109" t="inlineStr">
        <is>
          <t>4824 FRANKIE RD</t>
        </is>
      </c>
      <c r="B294" s="109" t="inlineStr">
        <is>
          <t>GENERIC_CITY</t>
        </is>
      </c>
      <c r="C294" s="109" t="inlineStr">
        <is>
          <t>GENERIC_STATE</t>
        </is>
      </c>
      <c r="D294" s="109" t="inlineStr">
        <is>
          <t>00000</t>
        </is>
      </c>
      <c r="E294" s="109" t="n"/>
      <c r="F294" s="109" t="n"/>
      <c r="G294" s="109" t="n"/>
      <c r="H294" s="109" t="inlineStr">
        <is>
          <t>Y</t>
        </is>
      </c>
      <c r="I294" s="68" t="n"/>
      <c r="J294">
        <f>IF('House Count'!H294="Y",IF('House Count'!F294="RES-SFU",1,IF('House Count'!F294="RES-MDU",1,IF('House Count'!F294="RES-HOA",1,0))),0)</f>
        <v/>
      </c>
      <c r="K294">
        <f>IF('House Count'!H294="Y",IF('House Count'!F294="COMM-SU",1,IF('House Count'!F294="COM-MTU",1,IF('House Count'!F294="ENT",1,0))),0)</f>
        <v/>
      </c>
    </row>
    <row r="295">
      <c r="A295" s="109" t="inlineStr">
        <is>
          <t>4817 FRANKIE RD</t>
        </is>
      </c>
      <c r="B295" s="109" t="inlineStr">
        <is>
          <t>GENERIC_CITY</t>
        </is>
      </c>
      <c r="C295" s="109" t="inlineStr">
        <is>
          <t>GENERIC_STATE</t>
        </is>
      </c>
      <c r="D295" s="109" t="inlineStr">
        <is>
          <t>00000</t>
        </is>
      </c>
      <c r="E295" s="109" t="n"/>
      <c r="F295" s="109" t="n"/>
      <c r="G295" s="109" t="n"/>
      <c r="H295" s="109" t="inlineStr">
        <is>
          <t>Y</t>
        </is>
      </c>
      <c r="I295" s="68" t="n"/>
      <c r="J295">
        <f>IF('House Count'!H295="Y",IF('House Count'!F295="RES-SFU",1,IF('House Count'!F295="RES-MDU",1,IF('House Count'!F295="RES-HOA",1,0))),0)</f>
        <v/>
      </c>
      <c r="K295">
        <f>IF('House Count'!H295="Y",IF('House Count'!F295="COMM-SU",1,IF('House Count'!F295="COM-MTU",1,IF('House Count'!F295="ENT",1,0))),0)</f>
        <v/>
      </c>
    </row>
    <row r="296">
      <c r="A296" s="109" t="inlineStr">
        <is>
          <t>4813 FRANKIE RD</t>
        </is>
      </c>
      <c r="B296" s="109" t="inlineStr">
        <is>
          <t>GENERIC_CITY</t>
        </is>
      </c>
      <c r="C296" s="109" t="inlineStr">
        <is>
          <t>GENERIC_STATE</t>
        </is>
      </c>
      <c r="D296" s="109" t="inlineStr">
        <is>
          <t>00000</t>
        </is>
      </c>
      <c r="E296" s="109" t="n"/>
      <c r="F296" s="109" t="n"/>
      <c r="G296" s="109" t="n"/>
      <c r="H296" s="109" t="inlineStr">
        <is>
          <t>Y</t>
        </is>
      </c>
      <c r="I296" s="68" t="n"/>
      <c r="J296">
        <f>IF('House Count'!H296="Y",IF('House Count'!F296="RES-SFU",1,IF('House Count'!F296="RES-MDU",1,IF('House Count'!F296="RES-HOA",1,0))),0)</f>
        <v/>
      </c>
      <c r="K296">
        <f>IF('House Count'!H296="Y",IF('House Count'!F296="COMM-SU",1,IF('House Count'!F296="COM-MTU",1,IF('House Count'!F296="ENT",1,0))),0)</f>
        <v/>
      </c>
    </row>
    <row r="297">
      <c r="A297" s="109" t="inlineStr">
        <is>
          <t>4809 FRANKIE RD</t>
        </is>
      </c>
      <c r="B297" s="109" t="inlineStr">
        <is>
          <t>GENERIC_CITY</t>
        </is>
      </c>
      <c r="C297" s="109" t="inlineStr">
        <is>
          <t>GENERIC_STATE</t>
        </is>
      </c>
      <c r="D297" s="109" t="inlineStr">
        <is>
          <t>00000</t>
        </is>
      </c>
      <c r="E297" s="109" t="n"/>
      <c r="F297" s="109" t="n"/>
      <c r="G297" s="109" t="n"/>
      <c r="H297" s="109" t="inlineStr">
        <is>
          <t>Y</t>
        </is>
      </c>
      <c r="I297" s="68" t="n"/>
      <c r="J297">
        <f>IF('House Count'!H297="Y",IF('House Count'!F297="RES-SFU",1,IF('House Count'!F297="RES-MDU",1,IF('House Count'!F297="RES-HOA",1,0))),0)</f>
        <v/>
      </c>
      <c r="K297">
        <f>IF('House Count'!H297="Y",IF('House Count'!F297="COMM-SU",1,IF('House Count'!F297="COM-MTU",1,IF('House Count'!F297="ENT",1,0))),0)</f>
        <v/>
      </c>
    </row>
    <row r="298">
      <c r="A298" s="109" t="inlineStr">
        <is>
          <t>4805 FRANKIE RD</t>
        </is>
      </c>
      <c r="B298" s="109" t="inlineStr">
        <is>
          <t>GENERIC_CITY</t>
        </is>
      </c>
      <c r="C298" s="109" t="inlineStr">
        <is>
          <t>GENERIC_STATE</t>
        </is>
      </c>
      <c r="D298" s="109" t="inlineStr">
        <is>
          <t>00000</t>
        </is>
      </c>
      <c r="E298" s="109" t="n"/>
      <c r="F298" s="109" t="n"/>
      <c r="G298" s="109" t="n"/>
      <c r="H298" s="109" t="inlineStr">
        <is>
          <t>Y</t>
        </is>
      </c>
      <c r="I298" s="68" t="n"/>
      <c r="J298">
        <f>IF('House Count'!H298="Y",IF('House Count'!F298="RES-SFU",1,IF('House Count'!F298="RES-MDU",1,IF('House Count'!F298="RES-HOA",1,0))),0)</f>
        <v/>
      </c>
      <c r="K298">
        <f>IF('House Count'!H298="Y",IF('House Count'!F298="COMM-SU",1,IF('House Count'!F298="COM-MTU",1,IF('House Count'!F298="ENT",1,0))),0)</f>
        <v/>
      </c>
    </row>
    <row r="299">
      <c r="A299" s="109" t="inlineStr">
        <is>
          <t>4808 FRANKIE RD</t>
        </is>
      </c>
      <c r="B299" s="109" t="inlineStr">
        <is>
          <t>GENERIC_CITY</t>
        </is>
      </c>
      <c r="C299" s="109" t="inlineStr">
        <is>
          <t>GENERIC_STATE</t>
        </is>
      </c>
      <c r="D299" s="109" t="inlineStr">
        <is>
          <t>00000</t>
        </is>
      </c>
      <c r="E299" s="109" t="n"/>
      <c r="F299" s="109" t="n"/>
      <c r="G299" s="109" t="n"/>
      <c r="H299" s="109" t="inlineStr">
        <is>
          <t>Y</t>
        </is>
      </c>
      <c r="I299" s="68" t="n"/>
      <c r="J299">
        <f>IF('House Count'!H299="Y",IF('House Count'!F299="RES-SFU",1,IF('House Count'!F299="RES-MDU",1,IF('House Count'!F299="RES-HOA",1,0))),0)</f>
        <v/>
      </c>
      <c r="K299">
        <f>IF('House Count'!H299="Y",IF('House Count'!F299="COMM-SU",1,IF('House Count'!F299="COM-MTU",1,IF('House Count'!F299="ENT",1,0))),0)</f>
        <v/>
      </c>
    </row>
    <row r="300">
      <c r="A300" s="109" t="inlineStr">
        <is>
          <t>4812 FRANKIE RD</t>
        </is>
      </c>
      <c r="B300" s="109" t="inlineStr">
        <is>
          <t>GENERIC_CITY</t>
        </is>
      </c>
      <c r="C300" s="109" t="inlineStr">
        <is>
          <t>GENERIC_STATE</t>
        </is>
      </c>
      <c r="D300" s="109" t="inlineStr">
        <is>
          <t>00000</t>
        </is>
      </c>
      <c r="E300" s="109" t="n"/>
      <c r="F300" s="109" t="n"/>
      <c r="G300" s="109" t="n"/>
      <c r="H300" s="109" t="inlineStr">
        <is>
          <t>Y</t>
        </is>
      </c>
      <c r="I300" s="68" t="n"/>
      <c r="J300">
        <f>IF('House Count'!H300="Y",IF('House Count'!F300="RES-SFU",1,IF('House Count'!F300="RES-MDU",1,IF('House Count'!F300="RES-HOA",1,0))),0)</f>
        <v/>
      </c>
      <c r="K300">
        <f>IF('House Count'!H300="Y",IF('House Count'!F300="COMM-SU",1,IF('House Count'!F300="COM-MTU",1,IF('House Count'!F300="ENT",1,0))),0)</f>
        <v/>
      </c>
    </row>
    <row r="301" ht="15.75" customHeight="1" thickBot="1">
      <c r="A301" s="545" t="inlineStr">
        <is>
          <t>4816 FRANKIE RD</t>
        </is>
      </c>
      <c r="B301" s="545" t="inlineStr">
        <is>
          <t>GENERIC_CITY</t>
        </is>
      </c>
      <c r="C301" s="545" t="inlineStr">
        <is>
          <t>GENERIC_STATE</t>
        </is>
      </c>
      <c r="D301" s="545" t="inlineStr">
        <is>
          <t>00000</t>
        </is>
      </c>
      <c r="E301" s="545" t="n"/>
      <c r="F301" s="545" t="n"/>
      <c r="G301" s="545" t="n"/>
      <c r="H301" s="545" t="inlineStr">
        <is>
          <t>Y</t>
        </is>
      </c>
      <c r="I301" s="546" t="n"/>
      <c r="J301">
        <f>IF('House Count'!H301="Y",IF('House Count'!F301="RES-SFU",1,IF('House Count'!F301="RES-MDU",1,IF('House Count'!F301="RES-HOA",1,0))),0)</f>
        <v/>
      </c>
      <c r="K301">
        <f>IF('House Count'!H301="Y",IF('House Count'!F301="COMM-SU",1,IF('House Count'!F301="COM-MTU",1,IF('House Count'!F301="ENT",1,0))),0)</f>
        <v/>
      </c>
    </row>
    <row r="302" ht="15.75" customHeight="1" thickTop="1">
      <c r="A302" s="109" t="inlineStr">
        <is>
          <t>4820 FRANKIE RD</t>
        </is>
      </c>
      <c r="B302" s="109" t="inlineStr">
        <is>
          <t>GENERIC_CITY</t>
        </is>
      </c>
      <c r="C302" s="109" t="inlineStr">
        <is>
          <t>GENERIC_STATE</t>
        </is>
      </c>
      <c r="D302" s="109" t="inlineStr">
        <is>
          <t>00000</t>
        </is>
      </c>
      <c r="E302" s="109" t="n"/>
      <c r="F302" s="109" t="n"/>
      <c r="G302" s="109" t="n"/>
      <c r="H302" s="109" t="inlineStr">
        <is>
          <t>Y</t>
        </is>
      </c>
      <c r="I302" s="68" t="n"/>
      <c r="J302">
        <f>IF('House Count'!H302="Y",IF('House Count'!F302="RES-SFU",1,IF('House Count'!F302="RES-MDU",1,IF('House Count'!F302="RES-HOA",1,0))),0)</f>
        <v/>
      </c>
      <c r="K302">
        <f>IF('House Count'!H302="Y",IF('House Count'!F302="COMM-SU",1,IF('House Count'!F302="COM-MTU",1,IF('House Count'!F302="ENT",1,0))),0)</f>
        <v/>
      </c>
    </row>
    <row r="303">
      <c r="A303" s="109" t="inlineStr">
        <is>
          <t>4837 FRANKIE RD</t>
        </is>
      </c>
      <c r="B303" s="109" t="inlineStr">
        <is>
          <t>GENERIC_CITY</t>
        </is>
      </c>
      <c r="C303" s="109" t="inlineStr">
        <is>
          <t>GENERIC_STATE</t>
        </is>
      </c>
      <c r="D303" s="109" t="inlineStr">
        <is>
          <t>00000</t>
        </is>
      </c>
      <c r="E303" s="109" t="n"/>
      <c r="F303" s="109" t="n"/>
      <c r="G303" s="109" t="n"/>
      <c r="H303" s="109" t="inlineStr">
        <is>
          <t>Y</t>
        </is>
      </c>
      <c r="I303" s="68" t="n"/>
      <c r="J303">
        <f>IF('House Count'!H303="Y",IF('House Count'!F303="RES-SFU",1,IF('House Count'!F303="RES-MDU",1,IF('House Count'!F303="RES-HOA",1,0))),0)</f>
        <v/>
      </c>
      <c r="K303">
        <f>IF('House Count'!H303="Y",IF('House Count'!F303="COMM-SU",1,IF('House Count'!F303="COM-MTU",1,IF('House Count'!F303="ENT",1,0))),0)</f>
        <v/>
      </c>
    </row>
    <row r="304">
      <c r="A304" s="109" t="inlineStr">
        <is>
          <t>4841 FRANKIE RD</t>
        </is>
      </c>
      <c r="B304" s="109" t="inlineStr">
        <is>
          <t>GENERIC_CITY</t>
        </is>
      </c>
      <c r="C304" s="109" t="inlineStr">
        <is>
          <t>GENERIC_STATE</t>
        </is>
      </c>
      <c r="D304" s="109" t="inlineStr">
        <is>
          <t>00000</t>
        </is>
      </c>
      <c r="E304" s="109" t="n"/>
      <c r="F304" s="109" t="n"/>
      <c r="G304" s="109" t="n"/>
      <c r="H304" s="109" t="inlineStr">
        <is>
          <t>Y</t>
        </is>
      </c>
      <c r="I304" s="68" t="n"/>
      <c r="J304">
        <f>IF('House Count'!H304="Y",IF('House Count'!F304="RES-SFU",1,IF('House Count'!F304="RES-MDU",1,IF('House Count'!F304="RES-HOA",1,0))),0)</f>
        <v/>
      </c>
      <c r="K304">
        <f>IF('House Count'!H304="Y",IF('House Count'!F304="COMM-SU",1,IF('House Count'!F304="COM-MTU",1,IF('House Count'!F304="ENT",1,0))),0)</f>
        <v/>
      </c>
    </row>
    <row r="305">
      <c r="A305" s="109" t="inlineStr">
        <is>
          <t>4845 FRANKIE RD</t>
        </is>
      </c>
      <c r="B305" s="109" t="inlineStr">
        <is>
          <t>GENERIC_CITY</t>
        </is>
      </c>
      <c r="C305" s="109" t="inlineStr">
        <is>
          <t>GENERIC_STATE</t>
        </is>
      </c>
      <c r="D305" s="109" t="inlineStr">
        <is>
          <t>00000</t>
        </is>
      </c>
      <c r="E305" s="109" t="n"/>
      <c r="F305" s="109" t="n"/>
      <c r="G305" s="109" t="n"/>
      <c r="H305" s="109" t="inlineStr">
        <is>
          <t>Y</t>
        </is>
      </c>
      <c r="I305" s="68" t="n"/>
      <c r="J305">
        <f>IF('House Count'!H305="Y",IF('House Count'!F305="RES-SFU",1,IF('House Count'!F305="RES-MDU",1,IF('House Count'!F305="RES-HOA",1,0))),0)</f>
        <v/>
      </c>
      <c r="K305">
        <f>IF('House Count'!H305="Y",IF('House Count'!F305="COMM-SU",1,IF('House Count'!F305="COM-MTU",1,IF('House Count'!F305="ENT",1,0))),0)</f>
        <v/>
      </c>
    </row>
    <row r="306">
      <c r="A306" s="109" t="inlineStr">
        <is>
          <t>4840 FRANKIE RD</t>
        </is>
      </c>
      <c r="B306" s="109" t="inlineStr">
        <is>
          <t>GENERIC_CITY</t>
        </is>
      </c>
      <c r="C306" s="109" t="inlineStr">
        <is>
          <t>GENERIC_STATE</t>
        </is>
      </c>
      <c r="D306" s="109" t="inlineStr">
        <is>
          <t>00000</t>
        </is>
      </c>
      <c r="E306" s="109" t="n"/>
      <c r="F306" s="109" t="n"/>
      <c r="G306" s="109" t="n"/>
      <c r="H306" s="109" t="inlineStr">
        <is>
          <t>Y</t>
        </is>
      </c>
      <c r="I306" s="68" t="n"/>
      <c r="J306">
        <f>IF('House Count'!H306="Y",IF('House Count'!F306="RES-SFU",1,IF('House Count'!F306="RES-MDU",1,IF('House Count'!F306="RES-HOA",1,0))),0)</f>
        <v/>
      </c>
      <c r="K306">
        <f>IF('House Count'!H306="Y",IF('House Count'!F306="COMM-SU",1,IF('House Count'!F306="COM-MTU",1,IF('House Count'!F306="ENT",1,0))),0)</f>
        <v/>
      </c>
    </row>
    <row r="307">
      <c r="A307" s="109" t="inlineStr">
        <is>
          <t>5025 HILLTOP NEEDMORE RD</t>
        </is>
      </c>
      <c r="B307" s="109" t="inlineStr">
        <is>
          <t>GENERIC_CITY</t>
        </is>
      </c>
      <c r="C307" s="109" t="inlineStr">
        <is>
          <t>GENERIC_STATE</t>
        </is>
      </c>
      <c r="D307" s="109" t="inlineStr">
        <is>
          <t>00000</t>
        </is>
      </c>
      <c r="E307" s="109" t="n"/>
      <c r="F307" s="109" t="n"/>
      <c r="G307" s="109" t="n"/>
      <c r="H307" s="109" t="inlineStr">
        <is>
          <t>Y</t>
        </is>
      </c>
      <c r="I307" s="68" t="n"/>
      <c r="J307">
        <f>IF('House Count'!H307="Y",IF('House Count'!F307="RES-SFU",1,IF('House Count'!F307="RES-MDU",1,IF('House Count'!F307="RES-HOA",1,0))),0)</f>
        <v/>
      </c>
      <c r="K307">
        <f>IF('House Count'!H307="Y",IF('House Count'!F307="COMM-SU",1,IF('House Count'!F307="COM-MTU",1,IF('House Count'!F307="ENT",1,0))),0)</f>
        <v/>
      </c>
    </row>
    <row r="308">
      <c r="A308" s="109" t="inlineStr">
        <is>
          <t>5029 HILLTOP NEEDMORE RD</t>
        </is>
      </c>
      <c r="B308" s="109" t="inlineStr">
        <is>
          <t>GENERIC_CITY</t>
        </is>
      </c>
      <c r="C308" s="109" t="inlineStr">
        <is>
          <t>GENERIC_STATE</t>
        </is>
      </c>
      <c r="D308" s="109" t="inlineStr">
        <is>
          <t>00000</t>
        </is>
      </c>
      <c r="E308" s="109" t="n"/>
      <c r="F308" s="109" t="n"/>
      <c r="G308" s="109" t="n"/>
      <c r="H308" s="109" t="inlineStr">
        <is>
          <t>Y</t>
        </is>
      </c>
      <c r="I308" s="68" t="n"/>
      <c r="J308">
        <f>IF('House Count'!H308="Y",IF('House Count'!F308="RES-SFU",1,IF('House Count'!F308="RES-MDU",1,IF('House Count'!F308="RES-HOA",1,0))),0)</f>
        <v/>
      </c>
      <c r="K308">
        <f>IF('House Count'!H308="Y",IF('House Count'!F308="COMM-SU",1,IF('House Count'!F308="COM-MTU",1,IF('House Count'!F308="ENT",1,0))),0)</f>
        <v/>
      </c>
    </row>
    <row r="309">
      <c r="A309" s="109" t="inlineStr">
        <is>
          <t>5109 HILLTOP NEEDMORE RD</t>
        </is>
      </c>
      <c r="B309" s="109" t="inlineStr">
        <is>
          <t>GENERIC_CITY</t>
        </is>
      </c>
      <c r="C309" s="109" t="inlineStr">
        <is>
          <t>GENERIC_STATE</t>
        </is>
      </c>
      <c r="D309" s="109" t="inlineStr">
        <is>
          <t>00000</t>
        </is>
      </c>
      <c r="E309" s="109" t="n"/>
      <c r="F309" s="109" t="n"/>
      <c r="G309" s="109" t="n"/>
      <c r="H309" s="109" t="inlineStr">
        <is>
          <t>Y</t>
        </is>
      </c>
      <c r="I309" s="68" t="n"/>
      <c r="J309">
        <f>IF('House Count'!H309="Y",IF('House Count'!F309="RES-SFU",1,IF('House Count'!F309="RES-MDU",1,IF('House Count'!F309="RES-HOA",1,0))),0)</f>
        <v/>
      </c>
      <c r="K309">
        <f>IF('House Count'!H309="Y",IF('House Count'!F309="COMM-SU",1,IF('House Count'!F309="COM-MTU",1,IF('House Count'!F309="ENT",1,0))),0)</f>
        <v/>
      </c>
    </row>
    <row r="310">
      <c r="A310" s="109" t="inlineStr">
        <is>
          <t>5100 HILLTOP NEEDMORE RD</t>
        </is>
      </c>
      <c r="B310" s="109" t="inlineStr">
        <is>
          <t>GENERIC_CITY</t>
        </is>
      </c>
      <c r="C310" s="109" t="inlineStr">
        <is>
          <t>GENERIC_STATE</t>
        </is>
      </c>
      <c r="D310" s="109" t="inlineStr">
        <is>
          <t>00000</t>
        </is>
      </c>
      <c r="E310" s="109" t="n"/>
      <c r="F310" s="109" t="n"/>
      <c r="G310" s="109" t="n"/>
      <c r="H310" s="109" t="inlineStr">
        <is>
          <t>Y</t>
        </is>
      </c>
      <c r="I310" s="68" t="n"/>
      <c r="J310">
        <f>IF('House Count'!H310="Y",IF('House Count'!F310="RES-SFU",1,IF('House Count'!F310="RES-MDU",1,IF('House Count'!F310="RES-HOA",1,0))),0)</f>
        <v/>
      </c>
      <c r="K310">
        <f>IF('House Count'!H310="Y",IF('House Count'!F310="COMM-SU",1,IF('House Count'!F310="COM-MTU",1,IF('House Count'!F310="ENT",1,0))),0)</f>
        <v/>
      </c>
    </row>
    <row r="311">
      <c r="A311" s="109" t="inlineStr">
        <is>
          <t>5005 HILLTOP NEEDMORE RD</t>
        </is>
      </c>
      <c r="B311" s="109" t="inlineStr">
        <is>
          <t>GENERIC_CITY</t>
        </is>
      </c>
      <c r="C311" s="109" t="inlineStr">
        <is>
          <t>GENERIC_STATE</t>
        </is>
      </c>
      <c r="D311" s="109" t="inlineStr">
        <is>
          <t>00000</t>
        </is>
      </c>
      <c r="E311" s="109" t="n"/>
      <c r="F311" s="109" t="n"/>
      <c r="G311" s="109" t="n"/>
      <c r="H311" s="109" t="inlineStr">
        <is>
          <t>Y</t>
        </is>
      </c>
      <c r="I311" s="68" t="n"/>
      <c r="J311">
        <f>IF('House Count'!H311="Y",IF('House Count'!F311="RES-SFU",1,IF('House Count'!F311="RES-MDU",1,IF('House Count'!F311="RES-HOA",1,0))),0)</f>
        <v/>
      </c>
      <c r="K311">
        <f>IF('House Count'!H311="Y",IF('House Count'!F311="COMM-SU",1,IF('House Count'!F311="COM-MTU",1,IF('House Count'!F311="ENT",1,0))),0)</f>
        <v/>
      </c>
    </row>
    <row r="312">
      <c r="A312" s="109" t="inlineStr">
        <is>
          <t>5009 HILLTOP NEEDMORE RD</t>
        </is>
      </c>
      <c r="B312" s="109" t="inlineStr">
        <is>
          <t>GENERIC_CITY</t>
        </is>
      </c>
      <c r="C312" s="109" t="inlineStr">
        <is>
          <t>GENERIC_STATE</t>
        </is>
      </c>
      <c r="D312" s="109" t="inlineStr">
        <is>
          <t>00000</t>
        </is>
      </c>
      <c r="E312" s="109" t="n"/>
      <c r="F312" s="109" t="n"/>
      <c r="G312" s="109" t="n"/>
      <c r="H312" s="109" t="inlineStr">
        <is>
          <t>Y</t>
        </is>
      </c>
      <c r="I312" s="68" t="n"/>
      <c r="J312">
        <f>IF('House Count'!H312="Y",IF('House Count'!F312="RES-SFU",1,IF('House Count'!F312="RES-MDU",1,IF('House Count'!F312="RES-HOA",1,0))),0)</f>
        <v/>
      </c>
      <c r="K312">
        <f>IF('House Count'!H312="Y",IF('House Count'!F312="COMM-SU",1,IF('House Count'!F312="COM-MTU",1,IF('House Count'!F312="ENT",1,0))),0)</f>
        <v/>
      </c>
    </row>
    <row r="313" ht="15.75" customHeight="1" thickBot="1">
      <c r="A313" s="545" t="inlineStr">
        <is>
          <t>6004 JOHNSON POND RD</t>
        </is>
      </c>
      <c r="B313" s="545" t="inlineStr">
        <is>
          <t>GENERIC_CITY</t>
        </is>
      </c>
      <c r="C313" s="545" t="inlineStr">
        <is>
          <t>GENERIC_STATE</t>
        </is>
      </c>
      <c r="D313" s="545" t="inlineStr">
        <is>
          <t>00000</t>
        </is>
      </c>
      <c r="E313" s="545" t="n"/>
      <c r="F313" s="545" t="n"/>
      <c r="G313" s="545" t="n"/>
      <c r="H313" s="545" t="inlineStr">
        <is>
          <t>Y</t>
        </is>
      </c>
      <c r="I313" s="546" t="n"/>
      <c r="J313">
        <f>IF('House Count'!H313="Y",IF('House Count'!F313="RES-SFU",1,IF('House Count'!F313="RES-MDU",1,IF('House Count'!F313="RES-HOA",1,0))),0)</f>
        <v/>
      </c>
      <c r="K313">
        <f>IF('House Count'!H313="Y",IF('House Count'!F313="COMM-SU",1,IF('House Count'!F313="COM-MTU",1,IF('House Count'!F313="ENT",1,0))),0)</f>
        <v/>
      </c>
    </row>
    <row r="314" ht="15.75" customHeight="1" thickTop="1">
      <c r="A314" s="109" t="inlineStr">
        <is>
          <t>8009 MUIRFIELD DR</t>
        </is>
      </c>
      <c r="B314" s="109" t="inlineStr">
        <is>
          <t>GENERIC_CITY</t>
        </is>
      </c>
      <c r="C314" s="109" t="inlineStr">
        <is>
          <t>GENERIC_STATE</t>
        </is>
      </c>
      <c r="D314" s="109" t="inlineStr">
        <is>
          <t>00000</t>
        </is>
      </c>
      <c r="E314" s="109" t="n"/>
      <c r="F314" s="109" t="n"/>
      <c r="G314" s="109" t="n"/>
      <c r="H314" s="109" t="inlineStr">
        <is>
          <t>Y</t>
        </is>
      </c>
      <c r="I314" s="68" t="n"/>
      <c r="J314">
        <f>IF('House Count'!H314="Y",IF('House Count'!F314="RES-SFU",1,IF('House Count'!F314="RES-MDU",1,IF('House Count'!F314="RES-HOA",1,0))),0)</f>
        <v/>
      </c>
      <c r="K314">
        <f>IF('House Count'!H314="Y",IF('House Count'!F314="COMM-SU",1,IF('House Count'!F314="COM-MTU",1,IF('House Count'!F314="ENT",1,0))),0)</f>
        <v/>
      </c>
    </row>
    <row r="315">
      <c r="A315" s="109" t="inlineStr">
        <is>
          <t>8005 MUIRFIELD DR</t>
        </is>
      </c>
      <c r="B315" s="109" t="inlineStr">
        <is>
          <t>GENERIC_CITY</t>
        </is>
      </c>
      <c r="C315" s="109" t="inlineStr">
        <is>
          <t>GENERIC_STATE</t>
        </is>
      </c>
      <c r="D315" s="109" t="inlineStr">
        <is>
          <t>00000</t>
        </is>
      </c>
      <c r="E315" s="109" t="n"/>
      <c r="F315" s="109" t="n"/>
      <c r="G315" s="109" t="n"/>
      <c r="H315" s="109" t="inlineStr">
        <is>
          <t>Y</t>
        </is>
      </c>
      <c r="I315" s="68" t="n"/>
      <c r="J315">
        <f>IF('House Count'!H315="Y",IF('House Count'!F315="RES-SFU",1,IF('House Count'!F315="RES-MDU",1,IF('House Count'!F315="RES-HOA",1,0))),0)</f>
        <v/>
      </c>
      <c r="K315">
        <f>IF('House Count'!H315="Y",IF('House Count'!F315="COMM-SU",1,IF('House Count'!F315="COM-MTU",1,IF('House Count'!F315="ENT",1,0))),0)</f>
        <v/>
      </c>
    </row>
    <row r="316">
      <c r="A316" s="109" t="inlineStr">
        <is>
          <t>7829 ST ANNES WAY</t>
        </is>
      </c>
      <c r="B316" s="109" t="inlineStr">
        <is>
          <t>GENERIC_CITY</t>
        </is>
      </c>
      <c r="C316" s="109" t="inlineStr">
        <is>
          <t>GENERIC_STATE</t>
        </is>
      </c>
      <c r="D316" s="109" t="inlineStr">
        <is>
          <t>00000</t>
        </is>
      </c>
      <c r="E316" s="109" t="n"/>
      <c r="F316" s="109" t="n"/>
      <c r="G316" s="109" t="n"/>
      <c r="H316" s="109" t="inlineStr">
        <is>
          <t>Y</t>
        </is>
      </c>
      <c r="I316" s="68" t="n"/>
      <c r="J316">
        <f>IF('House Count'!H316="Y",IF('House Count'!F316="RES-SFU",1,IF('House Count'!F316="RES-MDU",1,IF('House Count'!F316="RES-HOA",1,0))),0)</f>
        <v/>
      </c>
      <c r="K316">
        <f>IF('House Count'!H316="Y",IF('House Count'!F316="COMM-SU",1,IF('House Count'!F316="COM-MTU",1,IF('House Count'!F316="ENT",1,0))),0)</f>
        <v/>
      </c>
    </row>
    <row r="317">
      <c r="A317" s="109" t="inlineStr">
        <is>
          <t>7833 ST ANNES WAY</t>
        </is>
      </c>
      <c r="B317" s="109" t="inlineStr">
        <is>
          <t>GENERIC_CITY</t>
        </is>
      </c>
      <c r="C317" s="109" t="inlineStr">
        <is>
          <t>GENERIC_STATE</t>
        </is>
      </c>
      <c r="D317" s="109" t="inlineStr">
        <is>
          <t>00000</t>
        </is>
      </c>
      <c r="E317" s="109" t="n"/>
      <c r="F317" s="109" t="n"/>
      <c r="G317" s="109" t="n"/>
      <c r="H317" s="109" t="inlineStr">
        <is>
          <t>Y</t>
        </is>
      </c>
      <c r="I317" s="68" t="n"/>
      <c r="J317">
        <f>IF('House Count'!H317="Y",IF('House Count'!F317="RES-SFU",1,IF('House Count'!F317="RES-MDU",1,IF('House Count'!F317="RES-HOA",1,0))),0)</f>
        <v/>
      </c>
      <c r="K317">
        <f>IF('House Count'!H317="Y",IF('House Count'!F317="COMM-SU",1,IF('House Count'!F317="COM-MTU",1,IF('House Count'!F317="ENT",1,0))),0)</f>
        <v/>
      </c>
    </row>
    <row r="318">
      <c r="A318" s="109" t="inlineStr">
        <is>
          <t>5209 HILLTOP NEEDMORE RD</t>
        </is>
      </c>
      <c r="B318" s="109" t="inlineStr">
        <is>
          <t>GENERIC_CITY</t>
        </is>
      </c>
      <c r="C318" s="109" t="inlineStr">
        <is>
          <t>GENERIC_STATE</t>
        </is>
      </c>
      <c r="D318" s="109" t="inlineStr">
        <is>
          <t>00000</t>
        </is>
      </c>
      <c r="E318" s="109" t="n"/>
      <c r="F318" s="109" t="n"/>
      <c r="G318" s="109" t="n"/>
      <c r="H318" s="109" t="inlineStr">
        <is>
          <t>Y</t>
        </is>
      </c>
      <c r="I318" s="68" t="n"/>
      <c r="J318">
        <f>IF('House Count'!H318="Y",IF('House Count'!F318="RES-SFU",1,IF('House Count'!F318="RES-MDU",1,IF('House Count'!F318="RES-HOA",1,0))),0)</f>
        <v/>
      </c>
      <c r="K318">
        <f>IF('House Count'!H318="Y",IF('House Count'!F318="COMM-SU",1,IF('House Count'!F318="COM-MTU",1,IF('House Count'!F318="ENT",1,0))),0)</f>
        <v/>
      </c>
    </row>
    <row r="319">
      <c r="A319" s="109" t="inlineStr">
        <is>
          <t>5105 HILLTOP NEEDMORE RD</t>
        </is>
      </c>
      <c r="B319" s="109" t="inlineStr">
        <is>
          <t>GENERIC_CITY</t>
        </is>
      </c>
      <c r="C319" s="109" t="inlineStr">
        <is>
          <t>GENERIC_STATE</t>
        </is>
      </c>
      <c r="D319" s="109" t="inlineStr">
        <is>
          <t>00000</t>
        </is>
      </c>
      <c r="E319" s="109" t="n"/>
      <c r="F319" s="109" t="n"/>
      <c r="G319" s="109" t="n"/>
      <c r="H319" s="109" t="inlineStr">
        <is>
          <t>Y</t>
        </is>
      </c>
      <c r="I319" s="68" t="n"/>
      <c r="J319">
        <f>IF('House Count'!H319="Y",IF('House Count'!F319="RES-SFU",1,IF('House Count'!F319="RES-MDU",1,IF('House Count'!F319="RES-HOA",1,0))),0)</f>
        <v/>
      </c>
      <c r="K319">
        <f>IF('House Count'!H319="Y",IF('House Count'!F319="COMM-SU",1,IF('House Count'!F319="COM-MTU",1,IF('House Count'!F319="ENT",1,0))),0)</f>
        <v/>
      </c>
    </row>
    <row r="320">
      <c r="A320" s="109" t="inlineStr">
        <is>
          <t>5201 HILTOP NEEDMORE RD</t>
        </is>
      </c>
      <c r="B320" s="109" t="inlineStr">
        <is>
          <t>GENERIC_CITY</t>
        </is>
      </c>
      <c r="C320" s="109" t="inlineStr">
        <is>
          <t>GENERIC_STATE</t>
        </is>
      </c>
      <c r="D320" s="109" t="inlineStr">
        <is>
          <t>00000</t>
        </is>
      </c>
      <c r="E320" s="109" t="n"/>
      <c r="F320" s="109" t="n"/>
      <c r="G320" s="109" t="n"/>
      <c r="H320" s="109" t="inlineStr">
        <is>
          <t>Y</t>
        </is>
      </c>
      <c r="I320" s="68" t="n"/>
      <c r="J320">
        <f>IF('House Count'!H320="Y",IF('House Count'!F320="RES-SFU",1,IF('House Count'!F320="RES-MDU",1,IF('House Count'!F320="RES-HOA",1,0))),0)</f>
        <v/>
      </c>
      <c r="K320">
        <f>IF('House Count'!H320="Y",IF('House Count'!F320="COMM-SU",1,IF('House Count'!F320="COM-MTU",1,IF('House Count'!F320="ENT",1,0))),0)</f>
        <v/>
      </c>
    </row>
    <row r="321">
      <c r="A321" s="109" t="inlineStr">
        <is>
          <t>5125 HILLTOP NEEDMORE RD</t>
        </is>
      </c>
      <c r="B321" s="109" t="inlineStr">
        <is>
          <t>GENERIC_CITY</t>
        </is>
      </c>
      <c r="C321" s="109" t="inlineStr">
        <is>
          <t>GENERIC_STATE</t>
        </is>
      </c>
      <c r="D321" s="109" t="inlineStr">
        <is>
          <t>00000</t>
        </is>
      </c>
      <c r="E321" s="109" t="n"/>
      <c r="F321" s="109" t="n"/>
      <c r="G321" s="109" t="n"/>
      <c r="H321" s="109" t="inlineStr">
        <is>
          <t>Y</t>
        </is>
      </c>
      <c r="I321" s="68" t="n"/>
      <c r="J321">
        <f>IF('House Count'!H321="Y",IF('House Count'!F321="RES-SFU",1,IF('House Count'!F321="RES-MDU",1,IF('House Count'!F321="RES-HOA",1,0))),0)</f>
        <v/>
      </c>
      <c r="K321">
        <f>IF('House Count'!H321="Y",IF('House Count'!F321="COMM-SU",1,IF('House Count'!F321="COM-MTU",1,IF('House Count'!F321="ENT",1,0))),0)</f>
        <v/>
      </c>
    </row>
    <row r="322">
      <c r="A322" s="109" t="inlineStr">
        <is>
          <t>5209 HILLTOP NEEDMORE RD</t>
        </is>
      </c>
      <c r="B322" s="109" t="inlineStr">
        <is>
          <t>GENERIC_CITY</t>
        </is>
      </c>
      <c r="C322" s="109" t="inlineStr">
        <is>
          <t>GENERIC_STATE</t>
        </is>
      </c>
      <c r="D322" s="109" t="inlineStr">
        <is>
          <t>00000</t>
        </is>
      </c>
      <c r="E322" s="109" t="n"/>
      <c r="F322" s="109" t="n"/>
      <c r="G322" s="109" t="n"/>
      <c r="H322" s="109" t="inlineStr">
        <is>
          <t>Y</t>
        </is>
      </c>
      <c r="I322" s="68" t="n"/>
      <c r="J322">
        <f>IF('House Count'!H322="Y",IF('House Count'!F322="RES-SFU",1,IF('House Count'!F322="RES-MDU",1,IF('House Count'!F322="RES-HOA",1,0))),0)</f>
        <v/>
      </c>
      <c r="K322">
        <f>IF('House Count'!H322="Y",IF('House Count'!F322="COMM-SU",1,IF('House Count'!F322="COM-MTU",1,IF('House Count'!F322="ENT",1,0))),0)</f>
        <v/>
      </c>
    </row>
    <row r="323">
      <c r="A323" s="109" t="inlineStr">
        <is>
          <t>4844 HILLTOP NEEDMORE RD</t>
        </is>
      </c>
      <c r="B323" s="109" t="inlineStr">
        <is>
          <t>GENERIC_CITY</t>
        </is>
      </c>
      <c r="C323" s="109" t="inlineStr">
        <is>
          <t>GENERIC_STATE</t>
        </is>
      </c>
      <c r="D323" s="109" t="inlineStr">
        <is>
          <t>00000</t>
        </is>
      </c>
      <c r="E323" s="109" t="n"/>
      <c r="F323" s="109" t="n"/>
      <c r="G323" s="109" t="n"/>
      <c r="H323" s="109" t="inlineStr">
        <is>
          <t>Y</t>
        </is>
      </c>
      <c r="I323" s="68" t="n"/>
      <c r="J323">
        <f>IF('House Count'!H323="Y",IF('House Count'!F323="RES-SFU",1,IF('House Count'!F323="RES-MDU",1,IF('House Count'!F323="RES-HOA",1,0))),0)</f>
        <v/>
      </c>
      <c r="K323">
        <f>IF('House Count'!H323="Y",IF('House Count'!F323="COMM-SU",1,IF('House Count'!F323="COM-MTU",1,IF('House Count'!F323="ENT",1,0))),0)</f>
        <v/>
      </c>
    </row>
    <row r="324">
      <c r="A324" s="109" t="inlineStr">
        <is>
          <t>4825 HILLTOP NEEDMORE RD</t>
        </is>
      </c>
      <c r="B324" s="109" t="inlineStr">
        <is>
          <t>GENERIC_CITY</t>
        </is>
      </c>
      <c r="C324" s="109" t="inlineStr">
        <is>
          <t>GENERIC_STATE</t>
        </is>
      </c>
      <c r="D324" s="109" t="inlineStr">
        <is>
          <t>00000</t>
        </is>
      </c>
      <c r="E324" s="109" t="n"/>
      <c r="F324" s="109" t="n"/>
      <c r="G324" s="109" t="n"/>
      <c r="H324" s="109" t="inlineStr">
        <is>
          <t>Y</t>
        </is>
      </c>
      <c r="I324" s="68" t="n"/>
      <c r="J324">
        <f>IF('House Count'!H324="Y",IF('House Count'!F324="RES-SFU",1,IF('House Count'!F324="RES-MDU",1,IF('House Count'!F324="RES-HOA",1,0))),0)</f>
        <v/>
      </c>
      <c r="K324">
        <f>IF('House Count'!H324="Y",IF('House Count'!F324="COMM-SU",1,IF('House Count'!F324="COM-MTU",1,IF('House Count'!F324="ENT",1,0))),0)</f>
        <v/>
      </c>
    </row>
    <row r="325" ht="15.75" customHeight="1" thickBot="1">
      <c r="A325" s="545" t="inlineStr">
        <is>
          <t>5204 HILLTOP NEEDMORE RD</t>
        </is>
      </c>
      <c r="B325" s="545" t="inlineStr">
        <is>
          <t>GENERIC_CITY</t>
        </is>
      </c>
      <c r="C325" s="545" t="inlineStr">
        <is>
          <t>GENERIC_STATE</t>
        </is>
      </c>
      <c r="D325" s="545" t="inlineStr">
        <is>
          <t>00000</t>
        </is>
      </c>
      <c r="E325" s="545" t="n"/>
      <c r="F325" s="545" t="n"/>
      <c r="G325" s="545" t="n"/>
      <c r="H325" s="545" t="inlineStr">
        <is>
          <t>Y</t>
        </is>
      </c>
      <c r="I325" s="546" t="n"/>
      <c r="J325">
        <f>IF('House Count'!H325="Y",IF('House Count'!F325="RES-SFU",1,IF('House Count'!F325="RES-MDU",1,IF('House Count'!F325="RES-HOA",1,0))),0)</f>
        <v/>
      </c>
      <c r="K325">
        <f>IF('House Count'!H325="Y",IF('House Count'!F325="COMM-SU",1,IF('House Count'!F325="COM-MTU",1,IF('House Count'!F325="ENT",1,0))),0)</f>
        <v/>
      </c>
    </row>
    <row r="326" ht="15.75" customHeight="1" thickTop="1">
      <c r="A326" s="109" t="n"/>
      <c r="B326" s="109" t="n"/>
      <c r="C326" s="109" t="n"/>
      <c r="D326" s="109" t="n"/>
      <c r="E326" s="109" t="n"/>
      <c r="F326" s="109" t="n"/>
      <c r="G326" s="109" t="n"/>
      <c r="H326" s="109" t="n"/>
      <c r="I326" s="68" t="n"/>
      <c r="J326">
        <f>IF('House Count'!H326="Y",IF('House Count'!F326="RES-SFU",1,IF('House Count'!F326="RES-MDU",1,IF('House Count'!F326="RES-HOA",1,0))),0)</f>
        <v/>
      </c>
      <c r="K326">
        <f>IF('House Count'!H326="Y",IF('House Count'!F326="COMM-SU",1,IF('House Count'!F326="COM-MTU",1,IF('House Count'!F326="ENT",1,0))),0)</f>
        <v/>
      </c>
    </row>
    <row r="327">
      <c r="A327" s="109" t="n"/>
      <c r="B327" s="109" t="n"/>
      <c r="C327" s="109" t="n"/>
      <c r="D327" s="109" t="n"/>
      <c r="E327" s="109" t="n"/>
      <c r="F327" s="109" t="n"/>
      <c r="G327" s="109" t="n"/>
      <c r="H327" s="109" t="n"/>
      <c r="I327" s="68" t="n"/>
      <c r="J327">
        <f>IF('House Count'!H327="Y",IF('House Count'!F327="RES-SFU",1,IF('House Count'!F327="RES-MDU",1,IF('House Count'!F327="RES-HOA",1,0))),0)</f>
        <v/>
      </c>
      <c r="K327">
        <f>IF('House Count'!H327="Y",IF('House Count'!F327="COMM-SU",1,IF('House Count'!F327="COM-MTU",1,IF('House Count'!F327="ENT",1,0))),0)</f>
        <v/>
      </c>
    </row>
    <row r="328">
      <c r="A328" s="109" t="n"/>
      <c r="B328" s="109" t="n"/>
      <c r="C328" s="109" t="n"/>
      <c r="D328" s="109" t="n"/>
      <c r="E328" s="109" t="n"/>
      <c r="F328" s="109" t="n"/>
      <c r="G328" s="109" t="n"/>
      <c r="H328" s="109" t="n"/>
      <c r="I328" s="68" t="n"/>
      <c r="J328">
        <f>IF('House Count'!H328="Y",IF('House Count'!F328="RES-SFU",1,IF('House Count'!F328="RES-MDU",1,IF('House Count'!F328="RES-HOA",1,0))),0)</f>
        <v/>
      </c>
      <c r="K328">
        <f>IF('House Count'!H328="Y",IF('House Count'!F328="COMM-SU",1,IF('House Count'!F328="COM-MTU",1,IF('House Count'!F328="ENT",1,0))),0)</f>
        <v/>
      </c>
    </row>
    <row r="329">
      <c r="A329" s="109" t="n"/>
      <c r="B329" s="109" t="n"/>
      <c r="C329" s="109" t="n"/>
      <c r="D329" s="109" t="n"/>
      <c r="E329" s="109" t="n"/>
      <c r="F329" s="109" t="n"/>
      <c r="G329" s="109" t="n"/>
      <c r="H329" s="109" t="n"/>
      <c r="I329" s="68" t="n"/>
      <c r="J329">
        <f>IF('House Count'!H329="Y",IF('House Count'!F329="RES-SFU",1,IF('House Count'!F329="RES-MDU",1,IF('House Count'!F329="RES-HOA",1,0))),0)</f>
        <v/>
      </c>
      <c r="K329">
        <f>IF('House Count'!H329="Y",IF('House Count'!F329="COMM-SU",1,IF('House Count'!F329="COM-MTU",1,IF('House Count'!F329="ENT",1,0))),0)</f>
        <v/>
      </c>
    </row>
    <row r="330">
      <c r="A330" s="109" t="n"/>
      <c r="B330" s="109" t="n"/>
      <c r="C330" s="109" t="n"/>
      <c r="D330" s="109" t="n"/>
      <c r="E330" s="109" t="n"/>
      <c r="F330" s="109" t="n"/>
      <c r="G330" s="109" t="n"/>
      <c r="H330" s="109" t="n"/>
      <c r="I330" s="68" t="n"/>
      <c r="J330">
        <f>IF('House Count'!H330="Y",IF('House Count'!F330="RES-SFU",1,IF('House Count'!F330="RES-MDU",1,IF('House Count'!F330="RES-HOA",1,0))),0)</f>
        <v/>
      </c>
      <c r="K330">
        <f>IF('House Count'!H330="Y",IF('House Count'!F330="COMM-SU",1,IF('House Count'!F330="COM-MTU",1,IF('House Count'!F330="ENT",1,0))),0)</f>
        <v/>
      </c>
    </row>
    <row r="331">
      <c r="A331" s="109" t="n"/>
      <c r="B331" s="109" t="n"/>
      <c r="C331" s="109" t="n"/>
      <c r="D331" s="109" t="n"/>
      <c r="E331" s="109" t="n"/>
      <c r="F331" s="109" t="n"/>
      <c r="G331" s="109" t="n"/>
      <c r="H331" s="109" t="n"/>
      <c r="I331" s="68" t="n"/>
      <c r="J331">
        <f>IF('House Count'!H331="Y",IF('House Count'!F331="RES-SFU",1,IF('House Count'!F331="RES-MDU",1,IF('House Count'!F331="RES-HOA",1,0))),0)</f>
        <v/>
      </c>
      <c r="K331">
        <f>IF('House Count'!H331="Y",IF('House Count'!F331="COMM-SU",1,IF('House Count'!F331="COM-MTU",1,IF('House Count'!F331="ENT",1,0))),0)</f>
        <v/>
      </c>
    </row>
    <row r="332">
      <c r="A332" s="109" t="n"/>
      <c r="B332" s="109" t="n"/>
      <c r="C332" s="109" t="n"/>
      <c r="D332" s="109" t="n"/>
      <c r="E332" s="109" t="n"/>
      <c r="F332" s="109" t="n"/>
      <c r="G332" s="109" t="n"/>
      <c r="H332" s="109" t="n"/>
      <c r="I332" s="68" t="n"/>
      <c r="J332">
        <f>IF('House Count'!H332="Y",IF('House Count'!F332="RES-SFU",1,IF('House Count'!F332="RES-MDU",1,IF('House Count'!F332="RES-HOA",1,0))),0)</f>
        <v/>
      </c>
      <c r="K332">
        <f>IF('House Count'!H332="Y",IF('House Count'!F332="COMM-SU",1,IF('House Count'!F332="COM-MTU",1,IF('House Count'!F332="ENT",1,0))),0)</f>
        <v/>
      </c>
    </row>
    <row r="333">
      <c r="A333" s="109" t="n"/>
      <c r="B333" s="109" t="n"/>
      <c r="C333" s="109" t="n"/>
      <c r="D333" s="109" t="n"/>
      <c r="E333" s="109" t="n"/>
      <c r="F333" s="109" t="n"/>
      <c r="G333" s="109" t="n"/>
      <c r="H333" s="109" t="n"/>
      <c r="I333" s="68" t="n"/>
      <c r="J333">
        <f>IF('House Count'!H333="Y",IF('House Count'!F333="RES-SFU",1,IF('House Count'!F333="RES-MDU",1,IF('House Count'!F333="RES-HOA",1,0))),0)</f>
        <v/>
      </c>
      <c r="K333">
        <f>IF('House Count'!H333="Y",IF('House Count'!F333="COMM-SU",1,IF('House Count'!F333="COM-MTU",1,IF('House Count'!F333="ENT",1,0))),0)</f>
        <v/>
      </c>
    </row>
    <row r="334">
      <c r="A334" s="109" t="n"/>
      <c r="B334" s="109" t="n"/>
      <c r="C334" s="109" t="n"/>
      <c r="D334" s="109" t="n"/>
      <c r="E334" s="109" t="n"/>
      <c r="F334" s="109" t="n"/>
      <c r="G334" s="109" t="n"/>
      <c r="H334" s="109" t="n"/>
      <c r="I334" s="68" t="n"/>
      <c r="J334">
        <f>IF('House Count'!H334="Y",IF('House Count'!F334="RES-SFU",1,IF('House Count'!F334="RES-MDU",1,IF('House Count'!F334="RES-HOA",1,0))),0)</f>
        <v/>
      </c>
      <c r="K334">
        <f>IF('House Count'!H334="Y",IF('House Count'!F334="COMM-SU",1,IF('House Count'!F334="COM-MTU",1,IF('House Count'!F334="ENT",1,0))),0)</f>
        <v/>
      </c>
    </row>
    <row r="335">
      <c r="A335" s="109" t="n"/>
      <c r="B335" s="109" t="n"/>
      <c r="C335" s="109" t="n"/>
      <c r="D335" s="109" t="n"/>
      <c r="E335" s="109" t="n"/>
      <c r="F335" s="109" t="n"/>
      <c r="G335" s="109" t="n"/>
      <c r="H335" s="109" t="n"/>
      <c r="I335" s="68" t="n"/>
      <c r="J335">
        <f>IF('House Count'!H335="Y",IF('House Count'!F335="RES-SFU",1,IF('House Count'!F335="RES-MDU",1,IF('House Count'!F335="RES-HOA",1,0))),0)</f>
        <v/>
      </c>
      <c r="K335">
        <f>IF('House Count'!H335="Y",IF('House Count'!F335="COMM-SU",1,IF('House Count'!F335="COM-MTU",1,IF('House Count'!F335="ENT",1,0))),0)</f>
        <v/>
      </c>
    </row>
    <row r="336">
      <c r="A336" s="109" t="n"/>
      <c r="B336" s="109" t="n"/>
      <c r="C336" s="109" t="n"/>
      <c r="D336" s="109" t="n"/>
      <c r="E336" s="109" t="n"/>
      <c r="F336" s="109" t="n"/>
      <c r="G336" s="109" t="n"/>
      <c r="H336" s="109" t="n"/>
      <c r="I336" s="68" t="n"/>
      <c r="J336">
        <f>IF('House Count'!H336="Y",IF('House Count'!F336="RES-SFU",1,IF('House Count'!F336="RES-MDU",1,IF('House Count'!F336="RES-HOA",1,0))),0)</f>
        <v/>
      </c>
      <c r="K336">
        <f>IF('House Count'!H336="Y",IF('House Count'!F336="COMM-SU",1,IF('House Count'!F336="COM-MTU",1,IF('House Count'!F336="ENT",1,0))),0)</f>
        <v/>
      </c>
    </row>
    <row r="337" ht="15.75" customHeight="1" thickBot="1">
      <c r="A337" s="545" t="n"/>
      <c r="B337" s="545" t="n"/>
      <c r="C337" s="545" t="n"/>
      <c r="D337" s="545" t="n"/>
      <c r="E337" s="545" t="n"/>
      <c r="F337" s="545" t="n"/>
      <c r="G337" s="545" t="n"/>
      <c r="H337" s="545" t="n"/>
      <c r="I337" s="546" t="n"/>
      <c r="J337">
        <f>IF('House Count'!H337="Y",IF('House Count'!F337="RES-SFU",1,IF('House Count'!F337="RES-MDU",1,IF('House Count'!F337="RES-HOA",1,0))),0)</f>
        <v/>
      </c>
      <c r="K337">
        <f>IF('House Count'!H337="Y",IF('House Count'!F337="COMM-SU",1,IF('House Count'!F337="COM-MTU",1,IF('House Count'!F337="ENT",1,0))),0)</f>
        <v/>
      </c>
    </row>
    <row r="338" ht="15.75" customHeight="1" thickTop="1">
      <c r="A338" s="109" t="n"/>
      <c r="B338" s="109" t="n"/>
      <c r="C338" s="109" t="n"/>
      <c r="D338" s="109" t="n"/>
      <c r="E338" s="109" t="n"/>
      <c r="F338" s="109" t="n"/>
      <c r="G338" s="109" t="n"/>
      <c r="H338" s="109" t="n"/>
      <c r="I338" s="68" t="n"/>
      <c r="J338">
        <f>IF('House Count'!H338="Y",IF('House Count'!F338="RES-SFU",1,IF('House Count'!F338="RES-MDU",1,IF('House Count'!F338="RES-HOA",1,0))),0)</f>
        <v/>
      </c>
      <c r="K338">
        <f>IF('House Count'!H338="Y",IF('House Count'!F338="COMM-SU",1,IF('House Count'!F338="COM-MTU",1,IF('House Count'!F338="ENT",1,0))),0)</f>
        <v/>
      </c>
    </row>
    <row r="339">
      <c r="A339" s="109" t="n"/>
      <c r="B339" s="109" t="n"/>
      <c r="C339" s="109" t="n"/>
      <c r="D339" s="109" t="n"/>
      <c r="E339" s="109" t="n"/>
      <c r="F339" s="109" t="n"/>
      <c r="G339" s="109" t="n"/>
      <c r="H339" s="109" t="n"/>
      <c r="I339" s="68" t="n"/>
      <c r="J339">
        <f>IF('House Count'!H339="Y",IF('House Count'!F339="RES-SFU",1,IF('House Count'!F339="RES-MDU",1,IF('House Count'!F339="RES-HOA",1,0))),0)</f>
        <v/>
      </c>
      <c r="K339">
        <f>IF('House Count'!H339="Y",IF('House Count'!F339="COMM-SU",1,IF('House Count'!F339="COM-MTU",1,IF('House Count'!F339="ENT",1,0))),0)</f>
        <v/>
      </c>
    </row>
    <row r="340">
      <c r="A340" s="109" t="n"/>
      <c r="B340" s="109" t="n"/>
      <c r="C340" s="109" t="n"/>
      <c r="D340" s="109" t="n"/>
      <c r="E340" s="109" t="n"/>
      <c r="F340" s="109" t="n"/>
      <c r="G340" s="109" t="n"/>
      <c r="H340" s="109" t="n"/>
      <c r="I340" s="68" t="n"/>
      <c r="J340">
        <f>IF('House Count'!H340="Y",IF('House Count'!F340="RES-SFU",1,IF('House Count'!F340="RES-MDU",1,IF('House Count'!F340="RES-HOA",1,0))),0)</f>
        <v/>
      </c>
      <c r="K340">
        <f>IF('House Count'!H340="Y",IF('House Count'!F340="COMM-SU",1,IF('House Count'!F340="COM-MTU",1,IF('House Count'!F340="ENT",1,0))),0)</f>
        <v/>
      </c>
    </row>
    <row r="341">
      <c r="A341" s="109" t="n"/>
      <c r="B341" s="109" t="n"/>
      <c r="C341" s="109" t="n"/>
      <c r="D341" s="109" t="n"/>
      <c r="E341" s="109" t="n"/>
      <c r="F341" s="109" t="n"/>
      <c r="G341" s="109" t="n"/>
      <c r="H341" s="109" t="n"/>
      <c r="I341" s="68" t="n"/>
      <c r="J341">
        <f>IF('House Count'!H341="Y",IF('House Count'!F341="RES-SFU",1,IF('House Count'!F341="RES-MDU",1,IF('House Count'!F341="RES-HOA",1,0))),0)</f>
        <v/>
      </c>
      <c r="K341">
        <f>IF('House Count'!H341="Y",IF('House Count'!F341="COMM-SU",1,IF('House Count'!F341="COM-MTU",1,IF('House Count'!F341="ENT",1,0))),0)</f>
        <v/>
      </c>
    </row>
    <row r="342">
      <c r="A342" s="109" t="n"/>
      <c r="B342" s="109" t="n"/>
      <c r="C342" s="109" t="n"/>
      <c r="D342" s="109" t="n"/>
      <c r="E342" s="109" t="n"/>
      <c r="F342" s="109" t="n"/>
      <c r="G342" s="109" t="n"/>
      <c r="H342" s="109" t="n"/>
      <c r="I342" s="68" t="n"/>
      <c r="J342">
        <f>IF('House Count'!H342="Y",IF('House Count'!F342="RES-SFU",1,IF('House Count'!F342="RES-MDU",1,IF('House Count'!F342="RES-HOA",1,0))),0)</f>
        <v/>
      </c>
      <c r="K342">
        <f>IF('House Count'!H342="Y",IF('House Count'!F342="COMM-SU",1,IF('House Count'!F342="COM-MTU",1,IF('House Count'!F342="ENT",1,0))),0)</f>
        <v/>
      </c>
    </row>
    <row r="343">
      <c r="A343" s="109" t="n"/>
      <c r="B343" s="109" t="n"/>
      <c r="C343" s="109" t="n"/>
      <c r="D343" s="109" t="n"/>
      <c r="E343" s="109" t="n"/>
      <c r="F343" s="109" t="n"/>
      <c r="G343" s="109" t="n"/>
      <c r="H343" s="109" t="n"/>
      <c r="I343" s="68" t="n"/>
      <c r="J343">
        <f>IF('House Count'!H343="Y",IF('House Count'!F343="RES-SFU",1,IF('House Count'!F343="RES-MDU",1,IF('House Count'!F343="RES-HOA",1,0))),0)</f>
        <v/>
      </c>
      <c r="K343">
        <f>IF('House Count'!H343="Y",IF('House Count'!F343="COMM-SU",1,IF('House Count'!F343="COM-MTU",1,IF('House Count'!F343="ENT",1,0))),0)</f>
        <v/>
      </c>
    </row>
    <row r="344">
      <c r="A344" s="109" t="n"/>
      <c r="B344" s="109" t="n"/>
      <c r="C344" s="109" t="n"/>
      <c r="D344" s="109" t="n"/>
      <c r="E344" s="109" t="n"/>
      <c r="F344" s="109" t="n"/>
      <c r="G344" s="109" t="n"/>
      <c r="H344" s="109" t="n"/>
      <c r="I344" s="68" t="n"/>
      <c r="J344">
        <f>IF('House Count'!H344="Y",IF('House Count'!F344="RES-SFU",1,IF('House Count'!F344="RES-MDU",1,IF('House Count'!F344="RES-HOA",1,0))),0)</f>
        <v/>
      </c>
      <c r="K344">
        <f>IF('House Count'!H344="Y",IF('House Count'!F344="COMM-SU",1,IF('House Count'!F344="COM-MTU",1,IF('House Count'!F344="ENT",1,0))),0)</f>
        <v/>
      </c>
    </row>
    <row r="345">
      <c r="A345" s="109" t="n"/>
      <c r="B345" s="109" t="n"/>
      <c r="C345" s="109" t="n"/>
      <c r="D345" s="109" t="n"/>
      <c r="E345" s="109" t="n"/>
      <c r="F345" s="109" t="n"/>
      <c r="G345" s="109" t="n"/>
      <c r="H345" s="109" t="n"/>
      <c r="I345" s="68" t="n"/>
      <c r="J345">
        <f>IF('House Count'!H345="Y",IF('House Count'!F345="RES-SFU",1,IF('House Count'!F345="RES-MDU",1,IF('House Count'!F345="RES-HOA",1,0))),0)</f>
        <v/>
      </c>
      <c r="K345">
        <f>IF('House Count'!H345="Y",IF('House Count'!F345="COMM-SU",1,IF('House Count'!F345="COM-MTU",1,IF('House Count'!F345="ENT",1,0))),0)</f>
        <v/>
      </c>
    </row>
    <row r="346">
      <c r="A346" s="109" t="n"/>
      <c r="B346" s="109" t="n"/>
      <c r="C346" s="109" t="n"/>
      <c r="D346" s="109" t="n"/>
      <c r="E346" s="109" t="n"/>
      <c r="F346" s="109" t="n"/>
      <c r="G346" s="109" t="n"/>
      <c r="H346" s="109" t="n"/>
      <c r="I346" s="68" t="n"/>
      <c r="J346">
        <f>IF('House Count'!H346="Y",IF('House Count'!F346="RES-SFU",1,IF('House Count'!F346="RES-MDU",1,IF('House Count'!F346="RES-HOA",1,0))),0)</f>
        <v/>
      </c>
      <c r="K346">
        <f>IF('House Count'!H346="Y",IF('House Count'!F346="COMM-SU",1,IF('House Count'!F346="COM-MTU",1,IF('House Count'!F346="ENT",1,0))),0)</f>
        <v/>
      </c>
    </row>
    <row r="347">
      <c r="A347" s="109" t="n"/>
      <c r="B347" s="109" t="n"/>
      <c r="C347" s="109" t="n"/>
      <c r="D347" s="109" t="n"/>
      <c r="E347" s="109" t="n"/>
      <c r="F347" s="109" t="n"/>
      <c r="G347" s="109" t="n"/>
      <c r="H347" s="109" t="n"/>
      <c r="I347" s="68" t="n"/>
      <c r="J347">
        <f>IF('House Count'!H347="Y",IF('House Count'!F347="RES-SFU",1,IF('House Count'!F347="RES-MDU",1,IF('House Count'!F347="RES-HOA",1,0))),0)</f>
        <v/>
      </c>
      <c r="K347">
        <f>IF('House Count'!H347="Y",IF('House Count'!F347="COMM-SU",1,IF('House Count'!F347="COM-MTU",1,IF('House Count'!F347="ENT",1,0))),0)</f>
        <v/>
      </c>
    </row>
    <row r="348">
      <c r="A348" s="109" t="n"/>
      <c r="B348" s="109" t="n"/>
      <c r="C348" s="109" t="n"/>
      <c r="D348" s="109" t="n"/>
      <c r="E348" s="109" t="n"/>
      <c r="F348" s="109" t="n"/>
      <c r="G348" s="109" t="n"/>
      <c r="H348" s="109" t="n"/>
      <c r="I348" s="68" t="n"/>
      <c r="J348">
        <f>IF('House Count'!H348="Y",IF('House Count'!F348="RES-SFU",1,IF('House Count'!F348="RES-MDU",1,IF('House Count'!F348="RES-HOA",1,0))),0)</f>
        <v/>
      </c>
      <c r="K348">
        <f>IF('House Count'!H348="Y",IF('House Count'!F348="COMM-SU",1,IF('House Count'!F348="COM-MTU",1,IF('House Count'!F348="ENT",1,0))),0)</f>
        <v/>
      </c>
    </row>
    <row r="349" ht="15.75" customHeight="1" thickBot="1">
      <c r="A349" s="545" t="n"/>
      <c r="B349" s="545" t="n"/>
      <c r="C349" s="545" t="n"/>
      <c r="D349" s="545" t="n"/>
      <c r="E349" s="545" t="n"/>
      <c r="F349" s="545" t="n"/>
      <c r="G349" s="545" t="n"/>
      <c r="H349" s="545" t="n"/>
      <c r="I349" s="546" t="n"/>
      <c r="J349">
        <f>IF('House Count'!H349="Y",IF('House Count'!F349="RES-SFU",1,IF('House Count'!F349="RES-MDU",1,IF('House Count'!F349="RES-HOA",1,0))),0)</f>
        <v/>
      </c>
      <c r="K349">
        <f>IF('House Count'!H349="Y",IF('House Count'!F349="COMM-SU",1,IF('House Count'!F349="COM-MTU",1,IF('House Count'!F349="ENT",1,0))),0)</f>
        <v/>
      </c>
    </row>
    <row r="350" ht="15.75" customHeight="1" thickTop="1">
      <c r="A350" s="109" t="n"/>
      <c r="B350" s="109" t="n"/>
      <c r="C350" s="109" t="n"/>
      <c r="D350" s="109" t="n"/>
      <c r="E350" s="109" t="n"/>
      <c r="F350" s="109" t="n"/>
      <c r="G350" s="109" t="n"/>
      <c r="H350" s="109" t="n"/>
      <c r="I350" s="68" t="n"/>
      <c r="J350">
        <f>IF('House Count'!H350="Y",IF('House Count'!F350="RES-SFU",1,IF('House Count'!F350="RES-MDU",1,IF('House Count'!F350="RES-HOA",1,0))),0)</f>
        <v/>
      </c>
      <c r="K350">
        <f>IF('House Count'!H350="Y",IF('House Count'!F350="COMM-SU",1,IF('House Count'!F350="COM-MTU",1,IF('House Count'!F350="ENT",1,0))),0)</f>
        <v/>
      </c>
    </row>
    <row r="351">
      <c r="A351" s="109" t="n"/>
      <c r="B351" s="109" t="n"/>
      <c r="C351" s="109" t="n"/>
      <c r="D351" s="109" t="n"/>
      <c r="E351" s="109" t="n"/>
      <c r="F351" s="109" t="n"/>
      <c r="G351" s="109" t="n"/>
      <c r="H351" s="109" t="n"/>
      <c r="I351" s="68" t="n"/>
      <c r="J351">
        <f>IF('House Count'!H351="Y",IF('House Count'!F351="RES-SFU",1,IF('House Count'!F351="RES-MDU",1,IF('House Count'!F351="RES-HOA",1,0))),0)</f>
        <v/>
      </c>
      <c r="K351">
        <f>IF('House Count'!H351="Y",IF('House Count'!F351="COMM-SU",1,IF('House Count'!F351="COM-MTU",1,IF('House Count'!F351="ENT",1,0))),0)</f>
        <v/>
      </c>
    </row>
    <row r="352">
      <c r="A352" s="109" t="n"/>
      <c r="B352" s="109" t="n"/>
      <c r="C352" s="109" t="n"/>
      <c r="D352" s="109" t="n"/>
      <c r="E352" s="109" t="n"/>
      <c r="F352" s="109" t="n"/>
      <c r="G352" s="109" t="n"/>
      <c r="H352" s="109" t="n"/>
      <c r="I352" s="68" t="n"/>
      <c r="J352">
        <f>IF('House Count'!H352="Y",IF('House Count'!F352="RES-SFU",1,IF('House Count'!F352="RES-MDU",1,IF('House Count'!F352="RES-HOA",1,0))),0)</f>
        <v/>
      </c>
      <c r="K352">
        <f>IF('House Count'!H352="Y",IF('House Count'!F352="COMM-SU",1,IF('House Count'!F352="COM-MTU",1,IF('House Count'!F352="ENT",1,0))),0)</f>
        <v/>
      </c>
    </row>
    <row r="353">
      <c r="A353" s="109" t="n"/>
      <c r="B353" s="109" t="n"/>
      <c r="C353" s="109" t="n"/>
      <c r="D353" s="109" t="n"/>
      <c r="E353" s="109" t="n"/>
      <c r="F353" s="109" t="n"/>
      <c r="G353" s="109" t="n"/>
      <c r="H353" s="109" t="n"/>
      <c r="I353" s="68" t="n"/>
      <c r="J353">
        <f>IF('House Count'!H353="Y",IF('House Count'!F353="RES-SFU",1,IF('House Count'!F353="RES-MDU",1,IF('House Count'!F353="RES-HOA",1,0))),0)</f>
        <v/>
      </c>
      <c r="K353">
        <f>IF('House Count'!H353="Y",IF('House Count'!F353="COMM-SU",1,IF('House Count'!F353="COM-MTU",1,IF('House Count'!F353="ENT",1,0))),0)</f>
        <v/>
      </c>
    </row>
    <row r="354">
      <c r="A354" s="109" t="n"/>
      <c r="B354" s="109" t="n"/>
      <c r="C354" s="109" t="n"/>
      <c r="D354" s="109" t="n"/>
      <c r="E354" s="109" t="n"/>
      <c r="F354" s="109" t="n"/>
      <c r="G354" s="109" t="n"/>
      <c r="H354" s="109" t="n"/>
      <c r="I354" s="68" t="n"/>
      <c r="J354">
        <f>IF('House Count'!H354="Y",IF('House Count'!F354="RES-SFU",1,IF('House Count'!F354="RES-MDU",1,IF('House Count'!F354="RES-HOA",1,0))),0)</f>
        <v/>
      </c>
      <c r="K354">
        <f>IF('House Count'!H354="Y",IF('House Count'!F354="COMM-SU",1,IF('House Count'!F354="COM-MTU",1,IF('House Count'!F354="ENT",1,0))),0)</f>
        <v/>
      </c>
    </row>
    <row r="355">
      <c r="A355" s="109" t="n"/>
      <c r="B355" s="109" t="n"/>
      <c r="C355" s="109" t="n"/>
      <c r="D355" s="109" t="n"/>
      <c r="E355" s="109" t="n"/>
      <c r="F355" s="109" t="n"/>
      <c r="G355" s="109" t="n"/>
      <c r="H355" s="109" t="n"/>
      <c r="I355" s="68" t="n"/>
      <c r="J355">
        <f>IF('House Count'!H355="Y",IF('House Count'!F355="RES-SFU",1,IF('House Count'!F355="RES-MDU",1,IF('House Count'!F355="RES-HOA",1,0))),0)</f>
        <v/>
      </c>
      <c r="K355">
        <f>IF('House Count'!H355="Y",IF('House Count'!F355="COMM-SU",1,IF('House Count'!F355="COM-MTU",1,IF('House Count'!F355="ENT",1,0))),0)</f>
        <v/>
      </c>
    </row>
    <row r="356">
      <c r="A356" s="109" t="n"/>
      <c r="B356" s="109" t="n"/>
      <c r="C356" s="109" t="n"/>
      <c r="D356" s="109" t="n"/>
      <c r="E356" s="109" t="n"/>
      <c r="F356" s="109" t="n"/>
      <c r="G356" s="109" t="n"/>
      <c r="H356" s="109" t="n"/>
      <c r="I356" s="68" t="n"/>
      <c r="J356">
        <f>IF('House Count'!H356="Y",IF('House Count'!F356="RES-SFU",1,IF('House Count'!F356="RES-MDU",1,IF('House Count'!F356="RES-HOA",1,0))),0)</f>
        <v/>
      </c>
      <c r="K356">
        <f>IF('House Count'!H356="Y",IF('House Count'!F356="COMM-SU",1,IF('House Count'!F356="COM-MTU",1,IF('House Count'!F356="ENT",1,0))),0)</f>
        <v/>
      </c>
    </row>
    <row r="357">
      <c r="A357" s="109" t="n"/>
      <c r="B357" s="109" t="n"/>
      <c r="C357" s="109" t="n"/>
      <c r="D357" s="109" t="n"/>
      <c r="E357" s="109" t="n"/>
      <c r="F357" s="109" t="n"/>
      <c r="G357" s="109" t="n"/>
      <c r="H357" s="109" t="n"/>
      <c r="I357" s="68" t="n"/>
      <c r="J357">
        <f>IF('House Count'!H357="Y",IF('House Count'!F357="RES-SFU",1,IF('House Count'!F357="RES-MDU",1,IF('House Count'!F357="RES-HOA",1,0))),0)</f>
        <v/>
      </c>
      <c r="K357">
        <f>IF('House Count'!H357="Y",IF('House Count'!F357="COMM-SU",1,IF('House Count'!F357="COM-MTU",1,IF('House Count'!F357="ENT",1,0))),0)</f>
        <v/>
      </c>
    </row>
    <row r="358">
      <c r="A358" s="109" t="n"/>
      <c r="B358" s="109" t="n"/>
      <c r="C358" s="109" t="n"/>
      <c r="D358" s="109" t="n"/>
      <c r="E358" s="109" t="n"/>
      <c r="F358" s="109" t="n"/>
      <c r="G358" s="109" t="n"/>
      <c r="H358" s="109" t="n"/>
      <c r="I358" s="68" t="n"/>
      <c r="J358">
        <f>IF('House Count'!H358="Y",IF('House Count'!F358="RES-SFU",1,IF('House Count'!F358="RES-MDU",1,IF('House Count'!F358="RES-HOA",1,0))),0)</f>
        <v/>
      </c>
      <c r="K358">
        <f>IF('House Count'!H358="Y",IF('House Count'!F358="COMM-SU",1,IF('House Count'!F358="COM-MTU",1,IF('House Count'!F358="ENT",1,0))),0)</f>
        <v/>
      </c>
    </row>
    <row r="359">
      <c r="A359" s="109" t="n"/>
      <c r="B359" s="109" t="n"/>
      <c r="C359" s="109" t="n"/>
      <c r="D359" s="109" t="n"/>
      <c r="E359" s="109" t="n"/>
      <c r="F359" s="109" t="n"/>
      <c r="G359" s="109" t="n"/>
      <c r="H359" s="109" t="n"/>
      <c r="I359" s="68" t="n"/>
      <c r="J359">
        <f>IF('House Count'!H359="Y",IF('House Count'!F359="RES-SFU",1,IF('House Count'!F359="RES-MDU",1,IF('House Count'!F359="RES-HOA",1,0))),0)</f>
        <v/>
      </c>
      <c r="K359">
        <f>IF('House Count'!H359="Y",IF('House Count'!F359="COMM-SU",1,IF('House Count'!F359="COM-MTU",1,IF('House Count'!F359="ENT",1,0))),0)</f>
        <v/>
      </c>
    </row>
    <row r="360">
      <c r="A360" s="109" t="n"/>
      <c r="B360" s="109" t="n"/>
      <c r="C360" s="109" t="n"/>
      <c r="D360" s="109" t="n"/>
      <c r="E360" s="109" t="n"/>
      <c r="F360" s="109" t="n"/>
      <c r="G360" s="109" t="n"/>
      <c r="H360" s="109" t="n"/>
      <c r="I360" s="68" t="n"/>
      <c r="J360">
        <f>IF('House Count'!H360="Y",IF('House Count'!F360="RES-SFU",1,IF('House Count'!F360="RES-MDU",1,IF('House Count'!F360="RES-HOA",1,0))),0)</f>
        <v/>
      </c>
      <c r="K360">
        <f>IF('House Count'!H360="Y",IF('House Count'!F360="COMM-SU",1,IF('House Count'!F360="COM-MTU",1,IF('House Count'!F360="ENT",1,0))),0)</f>
        <v/>
      </c>
    </row>
    <row r="361" ht="15.75" customHeight="1" thickBot="1">
      <c r="A361" s="545" t="n"/>
      <c r="B361" s="545" t="n"/>
      <c r="C361" s="545" t="n"/>
      <c r="D361" s="545" t="n"/>
      <c r="E361" s="545" t="n"/>
      <c r="F361" s="545" t="n"/>
      <c r="G361" s="545" t="n"/>
      <c r="H361" s="545" t="n"/>
      <c r="I361" s="546" t="n"/>
      <c r="J361">
        <f>IF('House Count'!H361="Y",IF('House Count'!F361="RES-SFU",1,IF('House Count'!F361="RES-MDU",1,IF('House Count'!F361="RES-HOA",1,0))),0)</f>
        <v/>
      </c>
      <c r="K361">
        <f>IF('House Count'!H361="Y",IF('House Count'!F361="COMM-SU",1,IF('House Count'!F361="COM-MTU",1,IF('House Count'!F361="ENT",1,0))),0)</f>
        <v/>
      </c>
    </row>
    <row r="362" ht="15.75" customHeight="1" thickTop="1">
      <c r="A362" s="109" t="n"/>
      <c r="B362" s="109" t="n"/>
      <c r="C362" s="109" t="n"/>
      <c r="D362" s="109" t="n"/>
      <c r="E362" s="109" t="n"/>
      <c r="F362" s="109" t="n"/>
      <c r="G362" s="109" t="n"/>
      <c r="H362" s="109" t="n"/>
      <c r="I362" s="68" t="n"/>
      <c r="J362">
        <f>IF('House Count'!H362="Y",IF('House Count'!F362="RES-SFU",1,IF('House Count'!F362="RES-MDU",1,IF('House Count'!F362="RES-HOA",1,0))),0)</f>
        <v/>
      </c>
      <c r="K362">
        <f>IF('House Count'!H362="Y",IF('House Count'!F362="COMM-SU",1,IF('House Count'!F362="COM-MTU",1,IF('House Count'!F362="ENT",1,0))),0)</f>
        <v/>
      </c>
    </row>
    <row r="363">
      <c r="A363" s="109" t="n"/>
      <c r="B363" s="109" t="n"/>
      <c r="C363" s="109" t="n"/>
      <c r="D363" s="109" t="n"/>
      <c r="E363" s="109" t="n"/>
      <c r="F363" s="109" t="n"/>
      <c r="G363" s="109" t="n"/>
      <c r="H363" s="109" t="n"/>
      <c r="I363" s="68" t="n"/>
      <c r="J363">
        <f>IF('House Count'!H363="Y",IF('House Count'!F363="RES-SFU",1,IF('House Count'!F363="RES-MDU",1,IF('House Count'!F363="RES-HOA",1,0))),0)</f>
        <v/>
      </c>
      <c r="K363">
        <f>IF('House Count'!H363="Y",IF('House Count'!F363="COMM-SU",1,IF('House Count'!F363="COM-MTU",1,IF('House Count'!F363="ENT",1,0))),0)</f>
        <v/>
      </c>
    </row>
    <row r="364">
      <c r="A364" s="109" t="n"/>
      <c r="B364" s="109" t="n"/>
      <c r="C364" s="109" t="n"/>
      <c r="D364" s="109" t="n"/>
      <c r="E364" s="109" t="n"/>
      <c r="F364" s="109" t="n"/>
      <c r="G364" s="109" t="n"/>
      <c r="H364" s="109" t="n"/>
      <c r="I364" s="68" t="n"/>
      <c r="J364">
        <f>IF('House Count'!H364="Y",IF('House Count'!F364="RES-SFU",1,IF('House Count'!F364="RES-MDU",1,IF('House Count'!F364="RES-HOA",1,0))),0)</f>
        <v/>
      </c>
      <c r="K364">
        <f>IF('House Count'!H364="Y",IF('House Count'!F364="COMM-SU",1,IF('House Count'!F364="COM-MTU",1,IF('House Count'!F364="ENT",1,0))),0)</f>
        <v/>
      </c>
    </row>
    <row r="365">
      <c r="A365" s="109" t="n"/>
      <c r="B365" s="109" t="n"/>
      <c r="C365" s="109" t="n"/>
      <c r="D365" s="109" t="n"/>
      <c r="E365" s="109" t="n"/>
      <c r="F365" s="109" t="n"/>
      <c r="G365" s="109" t="n"/>
      <c r="H365" s="109" t="n"/>
      <c r="I365" s="68" t="n"/>
      <c r="J365">
        <f>IF('House Count'!H365="Y",IF('House Count'!F365="RES-SFU",1,IF('House Count'!F365="RES-MDU",1,IF('House Count'!F365="RES-HOA",1,0))),0)</f>
        <v/>
      </c>
      <c r="K365">
        <f>IF('House Count'!H365="Y",IF('House Count'!F365="COMM-SU",1,IF('House Count'!F365="COM-MTU",1,IF('House Count'!F365="ENT",1,0))),0)</f>
        <v/>
      </c>
    </row>
    <row r="366">
      <c r="A366" s="109" t="n"/>
      <c r="B366" s="109" t="n"/>
      <c r="C366" s="109" t="n"/>
      <c r="D366" s="109" t="n"/>
      <c r="E366" s="109" t="n"/>
      <c r="F366" s="109" t="n"/>
      <c r="G366" s="109" t="n"/>
      <c r="H366" s="109" t="n"/>
      <c r="I366" s="68" t="n"/>
      <c r="J366">
        <f>IF('House Count'!H366="Y",IF('House Count'!F366="RES-SFU",1,IF('House Count'!F366="RES-MDU",1,IF('House Count'!F366="RES-HOA",1,0))),0)</f>
        <v/>
      </c>
      <c r="K366">
        <f>IF('House Count'!H366="Y",IF('House Count'!F366="COMM-SU",1,IF('House Count'!F366="COM-MTU",1,IF('House Count'!F366="ENT",1,0))),0)</f>
        <v/>
      </c>
    </row>
    <row r="367">
      <c r="A367" s="109" t="n"/>
      <c r="B367" s="109" t="n"/>
      <c r="C367" s="109" t="n"/>
      <c r="D367" s="109" t="n"/>
      <c r="E367" s="109" t="n"/>
      <c r="F367" s="109" t="n"/>
      <c r="G367" s="109" t="n"/>
      <c r="H367" s="109" t="n"/>
      <c r="I367" s="68" t="n"/>
      <c r="J367">
        <f>IF('House Count'!H367="Y",IF('House Count'!F367="RES-SFU",1,IF('House Count'!F367="RES-MDU",1,IF('House Count'!F367="RES-HOA",1,0))),0)</f>
        <v/>
      </c>
      <c r="K367">
        <f>IF('House Count'!H367="Y",IF('House Count'!F367="COMM-SU",1,IF('House Count'!F367="COM-MTU",1,IF('House Count'!F367="ENT",1,0))),0)</f>
        <v/>
      </c>
    </row>
    <row r="368">
      <c r="A368" s="109" t="n"/>
      <c r="B368" s="109" t="n"/>
      <c r="C368" s="109" t="n"/>
      <c r="D368" s="109" t="n"/>
      <c r="E368" s="109" t="n"/>
      <c r="F368" s="109" t="n"/>
      <c r="G368" s="109" t="n"/>
      <c r="H368" s="109" t="n"/>
      <c r="I368" s="68" t="n"/>
      <c r="J368">
        <f>IF('House Count'!H368="Y",IF('House Count'!F368="RES-SFU",1,IF('House Count'!F368="RES-MDU",1,IF('House Count'!F368="RES-HOA",1,0))),0)</f>
        <v/>
      </c>
      <c r="K368">
        <f>IF('House Count'!H368="Y",IF('House Count'!F368="COMM-SU",1,IF('House Count'!F368="COM-MTU",1,IF('House Count'!F368="ENT",1,0))),0)</f>
        <v/>
      </c>
    </row>
    <row r="369">
      <c r="A369" s="109" t="n"/>
      <c r="B369" s="109" t="n"/>
      <c r="C369" s="109" t="n"/>
      <c r="D369" s="109" t="n"/>
      <c r="E369" s="109" t="n"/>
      <c r="F369" s="109" t="n"/>
      <c r="G369" s="109" t="n"/>
      <c r="H369" s="109" t="n"/>
      <c r="I369" s="68" t="n"/>
      <c r="J369">
        <f>IF('House Count'!H369="Y",IF('House Count'!F369="RES-SFU",1,IF('House Count'!F369="RES-MDU",1,IF('House Count'!F369="RES-HOA",1,0))),0)</f>
        <v/>
      </c>
      <c r="K369">
        <f>IF('House Count'!H369="Y",IF('House Count'!F369="COMM-SU",1,IF('House Count'!F369="COM-MTU",1,IF('House Count'!F369="ENT",1,0))),0)</f>
        <v/>
      </c>
    </row>
    <row r="370">
      <c r="A370" s="109" t="n"/>
      <c r="B370" s="109" t="n"/>
      <c r="C370" s="109" t="n"/>
      <c r="D370" s="109" t="n"/>
      <c r="E370" s="109" t="n"/>
      <c r="F370" s="109" t="n"/>
      <c r="G370" s="109" t="n"/>
      <c r="H370" s="109" t="n"/>
      <c r="I370" s="68" t="n"/>
      <c r="J370">
        <f>IF('House Count'!H370="Y",IF('House Count'!F370="RES-SFU",1,IF('House Count'!F370="RES-MDU",1,IF('House Count'!F370="RES-HOA",1,0))),0)</f>
        <v/>
      </c>
      <c r="K370">
        <f>IF('House Count'!H370="Y",IF('House Count'!F370="COMM-SU",1,IF('House Count'!F370="COM-MTU",1,IF('House Count'!F370="ENT",1,0))),0)</f>
        <v/>
      </c>
    </row>
    <row r="371">
      <c r="A371" s="109" t="n"/>
      <c r="B371" s="109" t="n"/>
      <c r="C371" s="109" t="n"/>
      <c r="D371" s="109" t="n"/>
      <c r="E371" s="109" t="n"/>
      <c r="F371" s="109" t="n"/>
      <c r="G371" s="109" t="n"/>
      <c r="H371" s="109" t="n"/>
      <c r="I371" s="68" t="n"/>
      <c r="J371">
        <f>IF('House Count'!H371="Y",IF('House Count'!F371="RES-SFU",1,IF('House Count'!F371="RES-MDU",1,IF('House Count'!F371="RES-HOA",1,0))),0)</f>
        <v/>
      </c>
      <c r="K371">
        <f>IF('House Count'!H371="Y",IF('House Count'!F371="COMM-SU",1,IF('House Count'!F371="COM-MTU",1,IF('House Count'!F371="ENT",1,0))),0)</f>
        <v/>
      </c>
    </row>
    <row r="372">
      <c r="A372" s="109" t="n"/>
      <c r="B372" s="109" t="n"/>
      <c r="C372" s="109" t="n"/>
      <c r="D372" s="109" t="n"/>
      <c r="E372" s="109" t="n"/>
      <c r="F372" s="109" t="n"/>
      <c r="G372" s="109" t="n"/>
      <c r="H372" s="109" t="n"/>
      <c r="I372" s="68" t="n"/>
      <c r="J372">
        <f>IF('House Count'!H372="Y",IF('House Count'!F372="RES-SFU",1,IF('House Count'!F372="RES-MDU",1,IF('House Count'!F372="RES-HOA",1,0))),0)</f>
        <v/>
      </c>
      <c r="K372">
        <f>IF('House Count'!H372="Y",IF('House Count'!F372="COMM-SU",1,IF('House Count'!F372="COM-MTU",1,IF('House Count'!F372="ENT",1,0))),0)</f>
        <v/>
      </c>
    </row>
    <row r="373" ht="15.75" customHeight="1" thickBot="1">
      <c r="A373" s="545" t="n"/>
      <c r="B373" s="545" t="n"/>
      <c r="C373" s="545" t="n"/>
      <c r="D373" s="545" t="n"/>
      <c r="E373" s="545" t="n"/>
      <c r="F373" s="545" t="n"/>
      <c r="G373" s="545" t="n"/>
      <c r="H373" s="545" t="n"/>
      <c r="I373" s="546" t="n"/>
      <c r="J373">
        <f>IF('House Count'!H373="Y",IF('House Count'!F373="RES-SFU",1,IF('House Count'!F373="RES-MDU",1,IF('House Count'!F373="RES-HOA",1,0))),0)</f>
        <v/>
      </c>
      <c r="K373">
        <f>IF('House Count'!H373="Y",IF('House Count'!F373="COMM-SU",1,IF('House Count'!F373="COM-MTU",1,IF('House Count'!F373="ENT",1,0))),0)</f>
        <v/>
      </c>
    </row>
    <row r="374" ht="15.75" customHeight="1" thickTop="1">
      <c r="A374" s="109" t="n"/>
      <c r="B374" s="109" t="n"/>
      <c r="C374" s="109" t="n"/>
      <c r="D374" s="109" t="n"/>
      <c r="E374" s="109" t="n"/>
      <c r="F374" s="109" t="n"/>
      <c r="G374" s="109" t="n"/>
      <c r="H374" s="109" t="n"/>
      <c r="I374" s="68" t="n"/>
      <c r="J374">
        <f>IF('House Count'!H374="Y",IF('House Count'!F374="RES-SFU",1,IF('House Count'!F374="RES-MDU",1,IF('House Count'!F374="RES-HOA",1,0))),0)</f>
        <v/>
      </c>
      <c r="K374">
        <f>IF('House Count'!H374="Y",IF('House Count'!F374="COMM-SU",1,IF('House Count'!F374="COM-MTU",1,IF('House Count'!F374="ENT",1,0))),0)</f>
        <v/>
      </c>
    </row>
    <row r="375">
      <c r="A375" s="109" t="n"/>
      <c r="B375" s="109" t="n"/>
      <c r="C375" s="109" t="n"/>
      <c r="D375" s="109" t="n"/>
      <c r="E375" s="109" t="n"/>
      <c r="F375" s="109" t="n"/>
      <c r="G375" s="109" t="n"/>
      <c r="H375" s="109" t="n"/>
      <c r="I375" s="68" t="n"/>
      <c r="J375">
        <f>IF('House Count'!H375="Y",IF('House Count'!F375="RES-SFU",1,IF('House Count'!F375="RES-MDU",1,IF('House Count'!F375="RES-HOA",1,0))),0)</f>
        <v/>
      </c>
      <c r="K375">
        <f>IF('House Count'!H375="Y",IF('House Count'!F375="COMM-SU",1,IF('House Count'!F375="COM-MTU",1,IF('House Count'!F375="ENT",1,0))),0)</f>
        <v/>
      </c>
    </row>
    <row r="376">
      <c r="A376" s="109" t="n"/>
      <c r="B376" s="109" t="n"/>
      <c r="C376" s="109" t="n"/>
      <c r="D376" s="109" t="n"/>
      <c r="E376" s="109" t="n"/>
      <c r="F376" s="109" t="n"/>
      <c r="G376" s="109" t="n"/>
      <c r="H376" s="109" t="n"/>
      <c r="I376" s="68" t="n"/>
      <c r="J376">
        <f>IF('House Count'!H376="Y",IF('House Count'!F376="RES-SFU",1,IF('House Count'!F376="RES-MDU",1,IF('House Count'!F376="RES-HOA",1,0))),0)</f>
        <v/>
      </c>
      <c r="K376">
        <f>IF('House Count'!H376="Y",IF('House Count'!F376="COMM-SU",1,IF('House Count'!F376="COM-MTU",1,IF('House Count'!F376="ENT",1,0))),0)</f>
        <v/>
      </c>
    </row>
    <row r="377">
      <c r="A377" s="109" t="n"/>
      <c r="B377" s="109" t="n"/>
      <c r="C377" s="109" t="n"/>
      <c r="D377" s="109" t="n"/>
      <c r="E377" s="109" t="n"/>
      <c r="F377" s="109" t="n"/>
      <c r="G377" s="109" t="n"/>
      <c r="H377" s="109" t="n"/>
      <c r="I377" s="68" t="n"/>
      <c r="J377">
        <f>IF('House Count'!H377="Y",IF('House Count'!F377="RES-SFU",1,IF('House Count'!F377="RES-MDU",1,IF('House Count'!F377="RES-HOA",1,0))),0)</f>
        <v/>
      </c>
      <c r="K377">
        <f>IF('House Count'!H377="Y",IF('House Count'!F377="COMM-SU",1,IF('House Count'!F377="COM-MTU",1,IF('House Count'!F377="ENT",1,0))),0)</f>
        <v/>
      </c>
    </row>
    <row r="378">
      <c r="A378" s="109" t="n"/>
      <c r="B378" s="109" t="n"/>
      <c r="C378" s="109" t="n"/>
      <c r="D378" s="109" t="n"/>
      <c r="E378" s="109" t="n"/>
      <c r="F378" s="109" t="n"/>
      <c r="G378" s="109" t="n"/>
      <c r="H378" s="109" t="n"/>
      <c r="I378" s="68" t="n"/>
      <c r="J378">
        <f>IF('House Count'!H378="Y",IF('House Count'!F378="RES-SFU",1,IF('House Count'!F378="RES-MDU",1,IF('House Count'!F378="RES-HOA",1,0))),0)</f>
        <v/>
      </c>
      <c r="K378">
        <f>IF('House Count'!H378="Y",IF('House Count'!F378="COMM-SU",1,IF('House Count'!F378="COM-MTU",1,IF('House Count'!F378="ENT",1,0))),0)</f>
        <v/>
      </c>
    </row>
    <row r="379">
      <c r="A379" s="109" t="n"/>
      <c r="B379" s="109" t="n"/>
      <c r="C379" s="109" t="n"/>
      <c r="D379" s="109" t="n"/>
      <c r="E379" s="109" t="n"/>
      <c r="F379" s="109" t="n"/>
      <c r="G379" s="109" t="n"/>
      <c r="H379" s="109" t="n"/>
      <c r="I379" s="68" t="n"/>
      <c r="J379">
        <f>IF('House Count'!H379="Y",IF('House Count'!F379="RES-SFU",1,IF('House Count'!F379="RES-MDU",1,IF('House Count'!F379="RES-HOA",1,0))),0)</f>
        <v/>
      </c>
      <c r="K379">
        <f>IF('House Count'!H379="Y",IF('House Count'!F379="COMM-SU",1,IF('House Count'!F379="COM-MTU",1,IF('House Count'!F379="ENT",1,0))),0)</f>
        <v/>
      </c>
    </row>
    <row r="380">
      <c r="A380" s="109" t="n"/>
      <c r="B380" s="109" t="n"/>
      <c r="C380" s="109" t="n"/>
      <c r="D380" s="109" t="n"/>
      <c r="E380" s="109" t="n"/>
      <c r="F380" s="109" t="n"/>
      <c r="G380" s="109" t="n"/>
      <c r="H380" s="109" t="n"/>
      <c r="I380" s="68" t="n"/>
      <c r="J380">
        <f>IF('House Count'!H380="Y",IF('House Count'!F380="RES-SFU",1,IF('House Count'!F380="RES-MDU",1,IF('House Count'!F380="RES-HOA",1,0))),0)</f>
        <v/>
      </c>
      <c r="K380">
        <f>IF('House Count'!H380="Y",IF('House Count'!F380="COMM-SU",1,IF('House Count'!F380="COM-MTU",1,IF('House Count'!F380="ENT",1,0))),0)</f>
        <v/>
      </c>
    </row>
    <row r="381">
      <c r="A381" s="109" t="n"/>
      <c r="B381" s="109" t="n"/>
      <c r="C381" s="109" t="n"/>
      <c r="D381" s="109" t="n"/>
      <c r="E381" s="109" t="n"/>
      <c r="F381" s="109" t="n"/>
      <c r="G381" s="109" t="n"/>
      <c r="H381" s="109" t="n"/>
      <c r="I381" s="68" t="n"/>
      <c r="J381">
        <f>IF('House Count'!H381="Y",IF('House Count'!F381="RES-SFU",1,IF('House Count'!F381="RES-MDU",1,IF('House Count'!F381="RES-HOA",1,0))),0)</f>
        <v/>
      </c>
      <c r="K381">
        <f>IF('House Count'!H381="Y",IF('House Count'!F381="COMM-SU",1,IF('House Count'!F381="COM-MTU",1,IF('House Count'!F381="ENT",1,0))),0)</f>
        <v/>
      </c>
    </row>
    <row r="382">
      <c r="A382" s="109" t="n"/>
      <c r="B382" s="109" t="n"/>
      <c r="C382" s="109" t="n"/>
      <c r="D382" s="109" t="n"/>
      <c r="E382" s="109" t="n"/>
      <c r="F382" s="109" t="n"/>
      <c r="G382" s="109" t="n"/>
      <c r="H382" s="109" t="n"/>
      <c r="I382" s="68" t="n"/>
      <c r="J382">
        <f>IF('House Count'!H382="Y",IF('House Count'!F382="RES-SFU",1,IF('House Count'!F382="RES-MDU",1,IF('House Count'!F382="RES-HOA",1,0))),0)</f>
        <v/>
      </c>
      <c r="K382">
        <f>IF('House Count'!H382="Y",IF('House Count'!F382="COMM-SU",1,IF('House Count'!F382="COM-MTU",1,IF('House Count'!F382="ENT",1,0))),0)</f>
        <v/>
      </c>
    </row>
    <row r="383">
      <c r="A383" s="109" t="n"/>
      <c r="B383" s="109" t="n"/>
      <c r="C383" s="109" t="n"/>
      <c r="D383" s="109" t="n"/>
      <c r="E383" s="109" t="n"/>
      <c r="F383" s="109" t="n"/>
      <c r="G383" s="109" t="n"/>
      <c r="H383" s="109" t="n"/>
      <c r="I383" s="68" t="n"/>
      <c r="J383">
        <f>IF('House Count'!H383="Y",IF('House Count'!F383="RES-SFU",1,IF('House Count'!F383="RES-MDU",1,IF('House Count'!F383="RES-HOA",1,0))),0)</f>
        <v/>
      </c>
      <c r="K383">
        <f>IF('House Count'!H383="Y",IF('House Count'!F383="COMM-SU",1,IF('House Count'!F383="COM-MTU",1,IF('House Count'!F383="ENT",1,0))),0)</f>
        <v/>
      </c>
    </row>
    <row r="384">
      <c r="A384" s="109" t="n"/>
      <c r="B384" s="109" t="n"/>
      <c r="C384" s="109" t="n"/>
      <c r="D384" s="109" t="n"/>
      <c r="E384" s="109" t="n"/>
      <c r="F384" s="109" t="n"/>
      <c r="G384" s="109" t="n"/>
      <c r="H384" s="109" t="n"/>
      <c r="I384" s="68" t="n"/>
      <c r="J384">
        <f>IF('House Count'!H384="Y",IF('House Count'!F384="RES-SFU",1,IF('House Count'!F384="RES-MDU",1,IF('House Count'!F384="RES-HOA",1,0))),0)</f>
        <v/>
      </c>
      <c r="K384">
        <f>IF('House Count'!H384="Y",IF('House Count'!F384="COMM-SU",1,IF('House Count'!F384="COM-MTU",1,IF('House Count'!F384="ENT",1,0))),0)</f>
        <v/>
      </c>
    </row>
    <row r="385" ht="15.75" customHeight="1" thickBot="1">
      <c r="A385" s="545" t="n"/>
      <c r="B385" s="545" t="n"/>
      <c r="C385" s="545" t="n"/>
      <c r="D385" s="545" t="n"/>
      <c r="E385" s="545" t="n"/>
      <c r="F385" s="545" t="n"/>
      <c r="G385" s="545" t="n"/>
      <c r="H385" s="545" t="n"/>
      <c r="I385" s="546" t="n"/>
      <c r="J385">
        <f>IF('House Count'!H385="Y",IF('House Count'!F385="RES-SFU",1,IF('House Count'!F385="RES-MDU",1,IF('House Count'!F385="RES-HOA",1,0))),0)</f>
        <v/>
      </c>
      <c r="K385">
        <f>IF('House Count'!H385="Y",IF('House Count'!F385="COMM-SU",1,IF('House Count'!F385="COM-MTU",1,IF('House Count'!F385="ENT",1,0))),0)</f>
        <v/>
      </c>
    </row>
    <row r="386" ht="15.75" customHeight="1" thickTop="1">
      <c r="A386" s="109" t="n"/>
      <c r="B386" s="109" t="n"/>
      <c r="C386" s="109" t="n"/>
      <c r="D386" s="109" t="n"/>
      <c r="E386" s="109" t="n"/>
      <c r="F386" s="109" t="n"/>
      <c r="G386" s="109" t="n"/>
      <c r="H386" s="109" t="n"/>
      <c r="I386" s="68" t="n"/>
      <c r="J386">
        <f>IF('House Count'!H386="Y",IF('House Count'!F386="RES-SFU",1,IF('House Count'!F386="RES-MDU",1,IF('House Count'!F386="RES-HOA",1,0))),0)</f>
        <v/>
      </c>
      <c r="K386">
        <f>IF('House Count'!H386="Y",IF('House Count'!F386="COMM-SU",1,IF('House Count'!F386="COM-MTU",1,IF('House Count'!F386="ENT",1,0))),0)</f>
        <v/>
      </c>
    </row>
    <row r="387">
      <c r="A387" s="109" t="n"/>
      <c r="B387" s="109" t="n"/>
      <c r="C387" s="109" t="n"/>
      <c r="D387" s="109" t="n"/>
      <c r="E387" s="109" t="n"/>
      <c r="F387" s="109" t="n"/>
      <c r="G387" s="109" t="n"/>
      <c r="H387" s="109" t="n"/>
      <c r="I387" s="68" t="n"/>
      <c r="J387">
        <f>IF('House Count'!H387="Y",IF('House Count'!F387="RES-SFU",1,IF('House Count'!F387="RES-MDU",1,IF('House Count'!F387="RES-HOA",1,0))),0)</f>
        <v/>
      </c>
      <c r="K387">
        <f>IF('House Count'!H387="Y",IF('House Count'!F387="COMM-SU",1,IF('House Count'!F387="COM-MTU",1,IF('House Count'!F387="ENT",1,0))),0)</f>
        <v/>
      </c>
    </row>
    <row r="388">
      <c r="A388" s="109" t="n"/>
      <c r="B388" s="109" t="n"/>
      <c r="C388" s="109" t="n"/>
      <c r="D388" s="109" t="n"/>
      <c r="E388" s="109" t="n"/>
      <c r="F388" s="109" t="n"/>
      <c r="G388" s="109" t="n"/>
      <c r="H388" s="109" t="n"/>
      <c r="I388" s="68" t="n"/>
      <c r="J388">
        <f>IF('House Count'!H388="Y",IF('House Count'!F388="RES-SFU",1,IF('House Count'!F388="RES-MDU",1,IF('House Count'!F388="RES-HOA",1,0))),0)</f>
        <v/>
      </c>
      <c r="K388">
        <f>IF('House Count'!H388="Y",IF('House Count'!F388="COMM-SU",1,IF('House Count'!F388="COM-MTU",1,IF('House Count'!F388="ENT",1,0))),0)</f>
        <v/>
      </c>
    </row>
    <row r="389">
      <c r="A389" s="109" t="n"/>
      <c r="B389" s="109" t="n"/>
      <c r="C389" s="109" t="n"/>
      <c r="D389" s="109" t="n"/>
      <c r="E389" s="109" t="n"/>
      <c r="F389" s="109" t="n"/>
      <c r="G389" s="109" t="n"/>
      <c r="H389" s="109" t="n"/>
      <c r="I389" s="68" t="n"/>
      <c r="J389">
        <f>IF('House Count'!H389="Y",IF('House Count'!F389="RES-SFU",1,IF('House Count'!F389="RES-MDU",1,IF('House Count'!F389="RES-HOA",1,0))),0)</f>
        <v/>
      </c>
      <c r="K389">
        <f>IF('House Count'!H389="Y",IF('House Count'!F389="COMM-SU",1,IF('House Count'!F389="COM-MTU",1,IF('House Count'!F389="ENT",1,0))),0)</f>
        <v/>
      </c>
    </row>
    <row r="390">
      <c r="A390" s="109" t="n"/>
      <c r="B390" s="109" t="n"/>
      <c r="C390" s="109" t="n"/>
      <c r="D390" s="109" t="n"/>
      <c r="E390" s="109" t="n"/>
      <c r="F390" s="109" t="n"/>
      <c r="G390" s="109" t="n"/>
      <c r="H390" s="109" t="n"/>
      <c r="I390" s="68" t="n"/>
      <c r="J390">
        <f>IF('House Count'!H390="Y",IF('House Count'!F390="RES-SFU",1,IF('House Count'!F390="RES-MDU",1,IF('House Count'!F390="RES-HOA",1,0))),0)</f>
        <v/>
      </c>
      <c r="K390">
        <f>IF('House Count'!H390="Y",IF('House Count'!F390="COMM-SU",1,IF('House Count'!F390="COM-MTU",1,IF('House Count'!F390="ENT",1,0))),0)</f>
        <v/>
      </c>
    </row>
    <row r="391">
      <c r="A391" s="109" t="n"/>
      <c r="B391" s="109" t="n"/>
      <c r="C391" s="109" t="n"/>
      <c r="D391" s="109" t="n"/>
      <c r="E391" s="109" t="n"/>
      <c r="F391" s="109" t="n"/>
      <c r="G391" s="109" t="n"/>
      <c r="H391" s="109" t="n"/>
      <c r="I391" s="68" t="n"/>
      <c r="J391">
        <f>IF('House Count'!H391="Y",IF('House Count'!F391="RES-SFU",1,IF('House Count'!F391="RES-MDU",1,IF('House Count'!F391="RES-HOA",1,0))),0)</f>
        <v/>
      </c>
      <c r="K391">
        <f>IF('House Count'!H391="Y",IF('House Count'!F391="COMM-SU",1,IF('House Count'!F391="COM-MTU",1,IF('House Count'!F391="ENT",1,0))),0)</f>
        <v/>
      </c>
    </row>
    <row r="392">
      <c r="A392" s="109" t="n"/>
      <c r="B392" s="109" t="n"/>
      <c r="C392" s="109" t="n"/>
      <c r="D392" s="109" t="n"/>
      <c r="E392" s="109" t="n"/>
      <c r="F392" s="109" t="n"/>
      <c r="G392" s="109" t="n"/>
      <c r="H392" s="109" t="n"/>
      <c r="I392" s="68" t="n"/>
      <c r="J392">
        <f>IF('House Count'!H392="Y",IF('House Count'!F392="RES-SFU",1,IF('House Count'!F392="RES-MDU",1,IF('House Count'!F392="RES-HOA",1,0))),0)</f>
        <v/>
      </c>
      <c r="K392">
        <f>IF('House Count'!H392="Y",IF('House Count'!F392="COMM-SU",1,IF('House Count'!F392="COM-MTU",1,IF('House Count'!F392="ENT",1,0))),0)</f>
        <v/>
      </c>
    </row>
    <row r="393">
      <c r="A393" s="109" t="n"/>
      <c r="B393" s="109" t="n"/>
      <c r="C393" s="109" t="n"/>
      <c r="D393" s="109" t="n"/>
      <c r="E393" s="109" t="n"/>
      <c r="F393" s="109" t="n"/>
      <c r="G393" s="109" t="n"/>
      <c r="H393" s="109" t="n"/>
      <c r="I393" s="68" t="n"/>
      <c r="J393">
        <f>IF('House Count'!H393="Y",IF('House Count'!F393="RES-SFU",1,IF('House Count'!F393="RES-MDU",1,IF('House Count'!F393="RES-HOA",1,0))),0)</f>
        <v/>
      </c>
      <c r="K393">
        <f>IF('House Count'!H393="Y",IF('House Count'!F393="COMM-SU",1,IF('House Count'!F393="COM-MTU",1,IF('House Count'!F393="ENT",1,0))),0)</f>
        <v/>
      </c>
    </row>
    <row r="394">
      <c r="A394" s="109" t="n"/>
      <c r="B394" s="109" t="n"/>
      <c r="C394" s="109" t="n"/>
      <c r="D394" s="109" t="n"/>
      <c r="E394" s="109" t="n"/>
      <c r="F394" s="109" t="n"/>
      <c r="G394" s="109" t="n"/>
      <c r="H394" s="109" t="n"/>
      <c r="I394" s="68" t="n"/>
      <c r="J394">
        <f>IF('House Count'!H394="Y",IF('House Count'!F394="RES-SFU",1,IF('House Count'!F394="RES-MDU",1,IF('House Count'!F394="RES-HOA",1,0))),0)</f>
        <v/>
      </c>
      <c r="K394">
        <f>IF('House Count'!H394="Y",IF('House Count'!F394="COMM-SU",1,IF('House Count'!F394="COM-MTU",1,IF('House Count'!F394="ENT",1,0))),0)</f>
        <v/>
      </c>
    </row>
    <row r="395">
      <c r="A395" s="109" t="n"/>
      <c r="B395" s="109" t="n"/>
      <c r="C395" s="109" t="n"/>
      <c r="D395" s="109" t="n"/>
      <c r="E395" s="109" t="n"/>
      <c r="F395" s="109" t="n"/>
      <c r="G395" s="109" t="n"/>
      <c r="H395" s="109" t="n"/>
      <c r="I395" s="68" t="n"/>
      <c r="J395">
        <f>IF('House Count'!H395="Y",IF('House Count'!F395="RES-SFU",1,IF('House Count'!F395="RES-MDU",1,IF('House Count'!F395="RES-HOA",1,0))),0)</f>
        <v/>
      </c>
      <c r="K395">
        <f>IF('House Count'!H395="Y",IF('House Count'!F395="COMM-SU",1,IF('House Count'!F395="COM-MTU",1,IF('House Count'!F395="ENT",1,0))),0)</f>
        <v/>
      </c>
    </row>
    <row r="396">
      <c r="A396" s="109" t="n"/>
      <c r="B396" s="109" t="n"/>
      <c r="C396" s="109" t="n"/>
      <c r="D396" s="109" t="n"/>
      <c r="E396" s="109" t="n"/>
      <c r="F396" s="109" t="n"/>
      <c r="G396" s="109" t="n"/>
      <c r="H396" s="109" t="n"/>
      <c r="I396" s="68" t="n"/>
      <c r="J396">
        <f>IF('House Count'!H396="Y",IF('House Count'!F396="RES-SFU",1,IF('House Count'!F396="RES-MDU",1,IF('House Count'!F396="RES-HOA",1,0))),0)</f>
        <v/>
      </c>
      <c r="K396">
        <f>IF('House Count'!H396="Y",IF('House Count'!F396="COMM-SU",1,IF('House Count'!F396="COM-MTU",1,IF('House Count'!F396="ENT",1,0))),0)</f>
        <v/>
      </c>
    </row>
    <row r="397" ht="15.75" customHeight="1" thickBot="1">
      <c r="A397" s="545" t="n"/>
      <c r="B397" s="545" t="n"/>
      <c r="C397" s="545" t="n"/>
      <c r="D397" s="545" t="n"/>
      <c r="E397" s="545" t="n"/>
      <c r="F397" s="545" t="n"/>
      <c r="G397" s="545" t="n"/>
      <c r="H397" s="545" t="n"/>
      <c r="I397" s="546" t="n"/>
      <c r="J397">
        <f>IF('House Count'!H397="Y",IF('House Count'!F397="RES-SFU",1,IF('House Count'!F397="RES-MDU",1,IF('House Count'!F397="RES-HOA",1,0))),0)</f>
        <v/>
      </c>
      <c r="K397">
        <f>IF('House Count'!H397="Y",IF('House Count'!F397="COMM-SU",1,IF('House Count'!F397="COM-MTU",1,IF('House Count'!F397="ENT",1,0))),0)</f>
        <v/>
      </c>
    </row>
    <row r="398" ht="15.75" customHeight="1" thickTop="1">
      <c r="A398" s="109" t="n"/>
      <c r="B398" s="109" t="n"/>
      <c r="C398" s="109" t="n"/>
      <c r="D398" s="109" t="n"/>
      <c r="E398" s="109" t="n"/>
      <c r="F398" s="109" t="n"/>
      <c r="G398" s="109" t="n"/>
      <c r="H398" s="109" t="n"/>
      <c r="I398" s="68" t="n"/>
      <c r="J398">
        <f>IF('House Count'!H398="Y",IF('House Count'!F398="RES-SFU",1,IF('House Count'!F398="RES-MDU",1,IF('House Count'!F398="RES-HOA",1,0))),0)</f>
        <v/>
      </c>
      <c r="K398">
        <f>IF('House Count'!H398="Y",IF('House Count'!F398="COMM-SU",1,IF('House Count'!F398="COM-MTU",1,IF('House Count'!F398="ENT",1,0))),0)</f>
        <v/>
      </c>
    </row>
    <row r="399">
      <c r="A399" s="109" t="n"/>
      <c r="B399" s="109" t="n"/>
      <c r="C399" s="109" t="n"/>
      <c r="D399" s="109" t="n"/>
      <c r="E399" s="109" t="n"/>
      <c r="F399" s="109" t="n"/>
      <c r="G399" s="109" t="n"/>
      <c r="H399" s="109" t="n"/>
      <c r="I399" s="68" t="n"/>
      <c r="J399">
        <f>IF('House Count'!H399="Y",IF('House Count'!F399="RES-SFU",1,IF('House Count'!F399="RES-MDU",1,IF('House Count'!F399="RES-HOA",1,0))),0)</f>
        <v/>
      </c>
      <c r="K399">
        <f>IF('House Count'!H399="Y",IF('House Count'!F399="COMM-SU",1,IF('House Count'!F399="COM-MTU",1,IF('House Count'!F399="ENT",1,0))),0)</f>
        <v/>
      </c>
    </row>
    <row r="400">
      <c r="A400" s="109" t="n"/>
      <c r="B400" s="109" t="n"/>
      <c r="C400" s="109" t="n"/>
      <c r="D400" s="109" t="n"/>
      <c r="E400" s="109" t="n"/>
      <c r="F400" s="109" t="n"/>
      <c r="G400" s="109" t="n"/>
      <c r="H400" s="109" t="n"/>
      <c r="I400" s="68" t="n"/>
      <c r="J400">
        <f>IF('House Count'!H400="Y",IF('House Count'!F400="RES-SFU",1,IF('House Count'!F400="RES-MDU",1,IF('House Count'!F400="RES-HOA",1,0))),0)</f>
        <v/>
      </c>
      <c r="K400">
        <f>IF('House Count'!H400="Y",IF('House Count'!F400="COMM-SU",1,IF('House Count'!F400="COM-MTU",1,IF('House Count'!F400="ENT",1,0))),0)</f>
        <v/>
      </c>
    </row>
    <row r="401">
      <c r="A401" s="109" t="n"/>
      <c r="B401" s="109" t="n"/>
      <c r="C401" s="109" t="n"/>
      <c r="D401" s="109" t="n"/>
      <c r="E401" s="109" t="n"/>
      <c r="F401" s="109" t="n"/>
      <c r="G401" s="109" t="n"/>
      <c r="H401" s="109" t="n"/>
      <c r="I401" s="68" t="n"/>
      <c r="J401">
        <f>IF('House Count'!H401="Y",IF('House Count'!F401="RES-SFU",1,IF('House Count'!F401="RES-MDU",1,IF('House Count'!F401="RES-HOA",1,0))),0)</f>
        <v/>
      </c>
      <c r="K401">
        <f>IF('House Count'!H401="Y",IF('House Count'!F401="COMM-SU",1,IF('House Count'!F401="COM-MTU",1,IF('House Count'!F401="ENT",1,0))),0)</f>
        <v/>
      </c>
    </row>
    <row r="402">
      <c r="A402" s="109" t="n"/>
      <c r="B402" s="109" t="n"/>
      <c r="C402" s="109" t="n"/>
      <c r="D402" s="109" t="n"/>
      <c r="E402" s="109" t="n"/>
      <c r="F402" s="109" t="n"/>
      <c r="G402" s="109" t="n"/>
      <c r="H402" s="109" t="n"/>
      <c r="I402" s="68" t="n"/>
      <c r="J402">
        <f>IF('House Count'!H402="Y",IF('House Count'!F402="RES-SFU",1,IF('House Count'!F402="RES-MDU",1,IF('House Count'!F402="RES-HOA",1,0))),0)</f>
        <v/>
      </c>
      <c r="K402">
        <f>IF('House Count'!H402="Y",IF('House Count'!F402="COMM-SU",1,IF('House Count'!F402="COM-MTU",1,IF('House Count'!F402="ENT",1,0))),0)</f>
        <v/>
      </c>
    </row>
    <row r="403">
      <c r="A403" s="109" t="n"/>
      <c r="B403" s="109" t="n"/>
      <c r="C403" s="109" t="n"/>
      <c r="D403" s="109" t="n"/>
      <c r="E403" s="109" t="n"/>
      <c r="F403" s="109" t="n"/>
      <c r="G403" s="109" t="n"/>
      <c r="H403" s="109" t="n"/>
      <c r="I403" s="68" t="n"/>
      <c r="J403">
        <f>IF('House Count'!H403="Y",IF('House Count'!F403="RES-SFU",1,IF('House Count'!F403="RES-MDU",1,IF('House Count'!F403="RES-HOA",1,0))),0)</f>
        <v/>
      </c>
      <c r="K403">
        <f>IF('House Count'!H403="Y",IF('House Count'!F403="COMM-SU",1,IF('House Count'!F403="COM-MTU",1,IF('House Count'!F403="ENT",1,0))),0)</f>
        <v/>
      </c>
    </row>
    <row r="404">
      <c r="A404" s="109" t="n"/>
      <c r="B404" s="109" t="n"/>
      <c r="C404" s="109" t="n"/>
      <c r="D404" s="109" t="n"/>
      <c r="E404" s="109" t="n"/>
      <c r="F404" s="109" t="n"/>
      <c r="G404" s="109" t="n"/>
      <c r="H404" s="109" t="n"/>
      <c r="I404" s="68" t="n"/>
      <c r="J404">
        <f>IF('House Count'!H404="Y",IF('House Count'!F404="RES-SFU",1,IF('House Count'!F404="RES-MDU",1,IF('House Count'!F404="RES-HOA",1,0))),0)</f>
        <v/>
      </c>
      <c r="K404">
        <f>IF('House Count'!H404="Y",IF('House Count'!F404="COMM-SU",1,IF('House Count'!F404="COM-MTU",1,IF('House Count'!F404="ENT",1,0))),0)</f>
        <v/>
      </c>
    </row>
    <row r="405">
      <c r="A405" s="109" t="n"/>
      <c r="B405" s="109" t="n"/>
      <c r="C405" s="109" t="n"/>
      <c r="D405" s="109" t="n"/>
      <c r="E405" s="109" t="n"/>
      <c r="F405" s="109" t="n"/>
      <c r="G405" s="109" t="n"/>
      <c r="H405" s="109" t="n"/>
      <c r="I405" s="68" t="n"/>
      <c r="J405">
        <f>IF('House Count'!H405="Y",IF('House Count'!F405="RES-SFU",1,IF('House Count'!F405="RES-MDU",1,IF('House Count'!F405="RES-HOA",1,0))),0)</f>
        <v/>
      </c>
      <c r="K405">
        <f>IF('House Count'!H405="Y",IF('House Count'!F405="COMM-SU",1,IF('House Count'!F405="COM-MTU",1,IF('House Count'!F405="ENT",1,0))),0)</f>
        <v/>
      </c>
    </row>
    <row r="406">
      <c r="A406" s="109" t="n"/>
      <c r="B406" s="109" t="n"/>
      <c r="C406" s="109" t="n"/>
      <c r="D406" s="109" t="n"/>
      <c r="E406" s="109" t="n"/>
      <c r="F406" s="109" t="n"/>
      <c r="G406" s="109" t="n"/>
      <c r="H406" s="109" t="n"/>
      <c r="I406" s="68" t="n"/>
      <c r="J406">
        <f>IF('House Count'!H406="Y",IF('House Count'!F406="RES-SFU",1,IF('House Count'!F406="RES-MDU",1,IF('House Count'!F406="RES-HOA",1,0))),0)</f>
        <v/>
      </c>
      <c r="K406">
        <f>IF('House Count'!H406="Y",IF('House Count'!F406="COMM-SU",1,IF('House Count'!F406="COM-MTU",1,IF('House Count'!F406="ENT",1,0))),0)</f>
        <v/>
      </c>
    </row>
    <row r="407">
      <c r="A407" s="109" t="n"/>
      <c r="B407" s="109" t="n"/>
      <c r="C407" s="109" t="n"/>
      <c r="D407" s="109" t="n"/>
      <c r="E407" s="109" t="n"/>
      <c r="F407" s="109" t="n"/>
      <c r="G407" s="109" t="n"/>
      <c r="H407" s="109" t="n"/>
      <c r="I407" s="68" t="n"/>
      <c r="J407">
        <f>IF('House Count'!H407="Y",IF('House Count'!F407="RES-SFU",1,IF('House Count'!F407="RES-MDU",1,IF('House Count'!F407="RES-HOA",1,0))),0)</f>
        <v/>
      </c>
      <c r="K407">
        <f>IF('House Count'!H407="Y",IF('House Count'!F407="COMM-SU",1,IF('House Count'!F407="COM-MTU",1,IF('House Count'!F407="ENT",1,0))),0)</f>
        <v/>
      </c>
    </row>
    <row r="408">
      <c r="A408" s="109" t="n"/>
      <c r="B408" s="109" t="n"/>
      <c r="C408" s="109" t="n"/>
      <c r="D408" s="109" t="n"/>
      <c r="E408" s="109" t="n"/>
      <c r="F408" s="109" t="n"/>
      <c r="G408" s="109" t="n"/>
      <c r="H408" s="109" t="n"/>
      <c r="I408" s="68" t="n"/>
      <c r="J408">
        <f>IF('House Count'!H408="Y",IF('House Count'!F408="RES-SFU",1,IF('House Count'!F408="RES-MDU",1,IF('House Count'!F408="RES-HOA",1,0))),0)</f>
        <v/>
      </c>
      <c r="K408">
        <f>IF('House Count'!H408="Y",IF('House Count'!F408="COMM-SU",1,IF('House Count'!F408="COM-MTU",1,IF('House Count'!F408="ENT",1,0))),0)</f>
        <v/>
      </c>
    </row>
    <row r="409" ht="15.75" customHeight="1" thickBot="1">
      <c r="A409" s="545" t="n"/>
      <c r="B409" s="545" t="n"/>
      <c r="C409" s="545" t="n"/>
      <c r="D409" s="545" t="n"/>
      <c r="E409" s="545" t="n"/>
      <c r="F409" s="545" t="n"/>
      <c r="G409" s="545" t="n"/>
      <c r="H409" s="545" t="n"/>
      <c r="I409" s="546" t="n"/>
      <c r="J409">
        <f>IF('House Count'!H409="Y",IF('House Count'!F409="RES-SFU",1,IF('House Count'!F409="RES-MDU",1,IF('House Count'!F409="RES-HOA",1,0))),0)</f>
        <v/>
      </c>
      <c r="K409">
        <f>IF('House Count'!H409="Y",IF('House Count'!F409="COMM-SU",1,IF('House Count'!F409="COM-MTU",1,IF('House Count'!F409="ENT",1,0))),0)</f>
        <v/>
      </c>
    </row>
    <row r="410" ht="15.75" customHeight="1" thickTop="1">
      <c r="A410" s="109" t="n"/>
      <c r="B410" s="109" t="n"/>
      <c r="C410" s="109" t="n"/>
      <c r="D410" s="109" t="n"/>
      <c r="E410" s="109" t="n"/>
      <c r="F410" s="109" t="n"/>
      <c r="G410" s="109" t="n"/>
      <c r="H410" s="109" t="n"/>
      <c r="I410" s="68" t="n"/>
      <c r="J410">
        <f>IF('House Count'!H410="Y",IF('House Count'!F410="RES-SFU",1,IF('House Count'!F410="RES-MDU",1,IF('House Count'!F410="RES-HOA",1,0))),0)</f>
        <v/>
      </c>
      <c r="K410">
        <f>IF('House Count'!H410="Y",IF('House Count'!F410="COMM-SU",1,IF('House Count'!F410="COM-MTU",1,IF('House Count'!F410="ENT",1,0))),0)</f>
        <v/>
      </c>
    </row>
    <row r="411">
      <c r="A411" s="109" t="n"/>
      <c r="B411" s="109" t="n"/>
      <c r="C411" s="109" t="n"/>
      <c r="D411" s="109" t="n"/>
      <c r="E411" s="109" t="n"/>
      <c r="F411" s="109" t="n"/>
      <c r="G411" s="109" t="n"/>
      <c r="H411" s="109" t="n"/>
      <c r="I411" s="68" t="n"/>
      <c r="J411">
        <f>IF('House Count'!H411="Y",IF('House Count'!F411="RES-SFU",1,IF('House Count'!F411="RES-MDU",1,IF('House Count'!F411="RES-HOA",1,0))),0)</f>
        <v/>
      </c>
      <c r="K411">
        <f>IF('House Count'!H411="Y",IF('House Count'!F411="COMM-SU",1,IF('House Count'!F411="COM-MTU",1,IF('House Count'!F411="ENT",1,0))),0)</f>
        <v/>
      </c>
    </row>
    <row r="412">
      <c r="A412" s="109" t="n"/>
      <c r="B412" s="109" t="n"/>
      <c r="C412" s="109" t="n"/>
      <c r="D412" s="109" t="n"/>
      <c r="E412" s="109" t="n"/>
      <c r="F412" s="109" t="n"/>
      <c r="G412" s="109" t="n"/>
      <c r="H412" s="109" t="n"/>
      <c r="I412" s="68" t="n"/>
      <c r="J412">
        <f>IF('House Count'!H412="Y",IF('House Count'!F412="RES-SFU",1,IF('House Count'!F412="RES-MDU",1,IF('House Count'!F412="RES-HOA",1,0))),0)</f>
        <v/>
      </c>
      <c r="K412">
        <f>IF('House Count'!H412="Y",IF('House Count'!F412="COMM-SU",1,IF('House Count'!F412="COM-MTU",1,IF('House Count'!F412="ENT",1,0))),0)</f>
        <v/>
      </c>
    </row>
    <row r="413">
      <c r="A413" s="109" t="n"/>
      <c r="B413" s="109" t="n"/>
      <c r="C413" s="109" t="n"/>
      <c r="D413" s="109" t="n"/>
      <c r="E413" s="109" t="n"/>
      <c r="F413" s="109" t="n"/>
      <c r="G413" s="109" t="n"/>
      <c r="H413" s="109" t="n"/>
      <c r="I413" s="68" t="n"/>
      <c r="J413">
        <f>IF('House Count'!H413="Y",IF('House Count'!F413="RES-SFU",1,IF('House Count'!F413="RES-MDU",1,IF('House Count'!F413="RES-HOA",1,0))),0)</f>
        <v/>
      </c>
      <c r="K413">
        <f>IF('House Count'!H413="Y",IF('House Count'!F413="COMM-SU",1,IF('House Count'!F413="COM-MTU",1,IF('House Count'!F413="ENT",1,0))),0)</f>
        <v/>
      </c>
    </row>
    <row r="414">
      <c r="A414" s="109" t="n"/>
      <c r="B414" s="109" t="n"/>
      <c r="C414" s="109" t="n"/>
      <c r="D414" s="109" t="n"/>
      <c r="E414" s="109" t="n"/>
      <c r="F414" s="109" t="n"/>
      <c r="G414" s="109" t="n"/>
      <c r="H414" s="109" t="n"/>
      <c r="I414" s="68" t="n"/>
      <c r="J414">
        <f>IF('House Count'!H414="Y",IF('House Count'!F414="RES-SFU",1,IF('House Count'!F414="RES-MDU",1,IF('House Count'!F414="RES-HOA",1,0))),0)</f>
        <v/>
      </c>
      <c r="K414">
        <f>IF('House Count'!H414="Y",IF('House Count'!F414="COMM-SU",1,IF('House Count'!F414="COM-MTU",1,IF('House Count'!F414="ENT",1,0))),0)</f>
        <v/>
      </c>
    </row>
    <row r="415">
      <c r="A415" s="109" t="n"/>
      <c r="B415" s="109" t="n"/>
      <c r="C415" s="109" t="n"/>
      <c r="D415" s="109" t="n"/>
      <c r="E415" s="109" t="n"/>
      <c r="F415" s="109" t="n"/>
      <c r="G415" s="109" t="n"/>
      <c r="H415" s="109" t="n"/>
      <c r="I415" s="68" t="n"/>
      <c r="J415">
        <f>IF('House Count'!H415="Y",IF('House Count'!F415="RES-SFU",1,IF('House Count'!F415="RES-MDU",1,IF('House Count'!F415="RES-HOA",1,0))),0)</f>
        <v/>
      </c>
      <c r="K415">
        <f>IF('House Count'!H415="Y",IF('House Count'!F415="COMM-SU",1,IF('House Count'!F415="COM-MTU",1,IF('House Count'!F415="ENT",1,0))),0)</f>
        <v/>
      </c>
    </row>
    <row r="416">
      <c r="A416" s="109" t="n"/>
      <c r="B416" s="109" t="n"/>
      <c r="C416" s="109" t="n"/>
      <c r="D416" s="109" t="n"/>
      <c r="E416" s="109" t="n"/>
      <c r="F416" s="109" t="n"/>
      <c r="G416" s="109" t="n"/>
      <c r="H416" s="109" t="n"/>
      <c r="I416" s="68" t="n"/>
      <c r="J416">
        <f>IF('House Count'!H416="Y",IF('House Count'!F416="RES-SFU",1,IF('House Count'!F416="RES-MDU",1,IF('House Count'!F416="RES-HOA",1,0))),0)</f>
        <v/>
      </c>
      <c r="K416">
        <f>IF('House Count'!H416="Y",IF('House Count'!F416="COMM-SU",1,IF('House Count'!F416="COM-MTU",1,IF('House Count'!F416="ENT",1,0))),0)</f>
        <v/>
      </c>
    </row>
    <row r="417">
      <c r="A417" s="109" t="n"/>
      <c r="B417" s="109" t="n"/>
      <c r="C417" s="109" t="n"/>
      <c r="D417" s="109" t="n"/>
      <c r="E417" s="109" t="n"/>
      <c r="F417" s="109" t="n"/>
      <c r="G417" s="109" t="n"/>
      <c r="H417" s="109" t="n"/>
      <c r="I417" s="68" t="n"/>
      <c r="J417">
        <f>IF('House Count'!H417="Y",IF('House Count'!F417="RES-SFU",1,IF('House Count'!F417="RES-MDU",1,IF('House Count'!F417="RES-HOA",1,0))),0)</f>
        <v/>
      </c>
      <c r="K417">
        <f>IF('House Count'!H417="Y",IF('House Count'!F417="COMM-SU",1,IF('House Count'!F417="COM-MTU",1,IF('House Count'!F417="ENT",1,0))),0)</f>
        <v/>
      </c>
    </row>
    <row r="418">
      <c r="A418" s="109" t="n"/>
      <c r="B418" s="109" t="n"/>
      <c r="C418" s="109" t="n"/>
      <c r="D418" s="109" t="n"/>
      <c r="E418" s="109" t="n"/>
      <c r="F418" s="109" t="n"/>
      <c r="G418" s="109" t="n"/>
      <c r="H418" s="109" t="n"/>
      <c r="I418" s="68" t="n"/>
      <c r="J418">
        <f>IF('House Count'!H418="Y",IF('House Count'!F418="RES-SFU",1,IF('House Count'!F418="RES-MDU",1,IF('House Count'!F418="RES-HOA",1,0))),0)</f>
        <v/>
      </c>
      <c r="K418">
        <f>IF('House Count'!H418="Y",IF('House Count'!F418="COMM-SU",1,IF('House Count'!F418="COM-MTU",1,IF('House Count'!F418="ENT",1,0))),0)</f>
        <v/>
      </c>
    </row>
    <row r="419">
      <c r="A419" s="109" t="n"/>
      <c r="B419" s="109" t="n"/>
      <c r="C419" s="109" t="n"/>
      <c r="D419" s="109" t="n"/>
      <c r="E419" s="109" t="n"/>
      <c r="F419" s="109" t="n"/>
      <c r="G419" s="109" t="n"/>
      <c r="H419" s="109" t="n"/>
      <c r="I419" s="68" t="n"/>
      <c r="J419">
        <f>IF('House Count'!H419="Y",IF('House Count'!F419="RES-SFU",1,IF('House Count'!F419="RES-MDU",1,IF('House Count'!F419="RES-HOA",1,0))),0)</f>
        <v/>
      </c>
      <c r="K419">
        <f>IF('House Count'!H419="Y",IF('House Count'!F419="COMM-SU",1,IF('House Count'!F419="COM-MTU",1,IF('House Count'!F419="ENT",1,0))),0)</f>
        <v/>
      </c>
    </row>
    <row r="420">
      <c r="A420" s="109" t="n"/>
      <c r="B420" s="109" t="n"/>
      <c r="C420" s="109" t="n"/>
      <c r="D420" s="109" t="n"/>
      <c r="E420" s="109" t="n"/>
      <c r="F420" s="109" t="n"/>
      <c r="G420" s="109" t="n"/>
      <c r="H420" s="109" t="n"/>
      <c r="I420" s="68" t="n"/>
      <c r="J420">
        <f>IF('House Count'!H420="Y",IF('House Count'!F420="RES-SFU",1,IF('House Count'!F420="RES-MDU",1,IF('House Count'!F420="RES-HOA",1,0))),0)</f>
        <v/>
      </c>
      <c r="K420">
        <f>IF('House Count'!H420="Y",IF('House Count'!F420="COMM-SU",1,IF('House Count'!F420="COM-MTU",1,IF('House Count'!F420="ENT",1,0))),0)</f>
        <v/>
      </c>
    </row>
    <row r="421" ht="15.75" customHeight="1" thickBot="1">
      <c r="A421" s="545" t="n"/>
      <c r="B421" s="545" t="n"/>
      <c r="C421" s="545" t="n"/>
      <c r="D421" s="545" t="n"/>
      <c r="E421" s="545" t="n"/>
      <c r="F421" s="545" t="n"/>
      <c r="G421" s="545" t="n"/>
      <c r="H421" s="545" t="n"/>
      <c r="I421" s="546" t="n"/>
      <c r="J421">
        <f>IF('House Count'!H421="Y",IF('House Count'!F421="RES-SFU",1,IF('House Count'!F421="RES-MDU",1,IF('House Count'!F421="RES-HOA",1,0))),0)</f>
        <v/>
      </c>
      <c r="K421">
        <f>IF('House Count'!H421="Y",IF('House Count'!F421="COMM-SU",1,IF('House Count'!F421="COM-MTU",1,IF('House Count'!F421="ENT",1,0))),0)</f>
        <v/>
      </c>
    </row>
    <row r="422" ht="15.75" customHeight="1" thickTop="1">
      <c r="A422" s="109" t="n"/>
      <c r="B422" s="109" t="n"/>
      <c r="C422" s="109" t="n"/>
      <c r="D422" s="109" t="n"/>
      <c r="E422" s="109" t="n"/>
      <c r="F422" s="109" t="n"/>
      <c r="G422" s="109" t="n"/>
      <c r="H422" s="109" t="n"/>
      <c r="I422" s="68" t="n"/>
      <c r="J422">
        <f>IF('House Count'!H422="Y",IF('House Count'!F422="RES-SFU",1,IF('House Count'!F422="RES-MDU",1,IF('House Count'!F422="RES-HOA",1,0))),0)</f>
        <v/>
      </c>
      <c r="K422">
        <f>IF('House Count'!H422="Y",IF('House Count'!F422="COMM-SU",1,IF('House Count'!F422="COM-MTU",1,IF('House Count'!F422="ENT",1,0))),0)</f>
        <v/>
      </c>
    </row>
    <row r="423">
      <c r="A423" s="109" t="n"/>
      <c r="B423" s="109" t="n"/>
      <c r="C423" s="109" t="n"/>
      <c r="D423" s="109" t="n"/>
      <c r="E423" s="109" t="n"/>
      <c r="F423" s="109" t="n"/>
      <c r="G423" s="109" t="n"/>
      <c r="H423" s="109" t="n"/>
      <c r="I423" s="68" t="n"/>
      <c r="J423">
        <f>IF('House Count'!H423="Y",IF('House Count'!F423="RES-SFU",1,IF('House Count'!F423="RES-MDU",1,IF('House Count'!F423="RES-HOA",1,0))),0)</f>
        <v/>
      </c>
      <c r="K423">
        <f>IF('House Count'!H423="Y",IF('House Count'!F423="COMM-SU",1,IF('House Count'!F423="COM-MTU",1,IF('House Count'!F423="ENT",1,0))),0)</f>
        <v/>
      </c>
    </row>
    <row r="424">
      <c r="A424" s="109" t="n"/>
      <c r="B424" s="109" t="n"/>
      <c r="C424" s="109" t="n"/>
      <c r="D424" s="109" t="n"/>
      <c r="E424" s="109" t="n"/>
      <c r="F424" s="109" t="n"/>
      <c r="G424" s="109" t="n"/>
      <c r="H424" s="109" t="n"/>
      <c r="I424" s="68" t="n"/>
      <c r="J424">
        <f>IF('House Count'!H424="Y",IF('House Count'!F424="RES-SFU",1,IF('House Count'!F424="RES-MDU",1,IF('House Count'!F424="RES-HOA",1,0))),0)</f>
        <v/>
      </c>
      <c r="K424">
        <f>IF('House Count'!H424="Y",IF('House Count'!F424="COMM-SU",1,IF('House Count'!F424="COM-MTU",1,IF('House Count'!F424="ENT",1,0))),0)</f>
        <v/>
      </c>
    </row>
    <row r="425">
      <c r="A425" s="109" t="n"/>
      <c r="B425" s="109" t="n"/>
      <c r="C425" s="109" t="n"/>
      <c r="D425" s="109" t="n"/>
      <c r="E425" s="109" t="n"/>
      <c r="F425" s="109" t="n"/>
      <c r="G425" s="109" t="n"/>
      <c r="H425" s="109" t="n"/>
      <c r="I425" s="68" t="n"/>
      <c r="J425">
        <f>IF('House Count'!H425="Y",IF('House Count'!F425="RES-SFU",1,IF('House Count'!F425="RES-MDU",1,IF('House Count'!F425="RES-HOA",1,0))),0)</f>
        <v/>
      </c>
      <c r="K425">
        <f>IF('House Count'!H425="Y",IF('House Count'!F425="COMM-SU",1,IF('House Count'!F425="COM-MTU",1,IF('House Count'!F425="ENT",1,0))),0)</f>
        <v/>
      </c>
    </row>
    <row r="426">
      <c r="A426" s="109" t="n"/>
      <c r="B426" s="109" t="n"/>
      <c r="C426" s="109" t="n"/>
      <c r="D426" s="109" t="n"/>
      <c r="E426" s="109" t="n"/>
      <c r="F426" s="109" t="n"/>
      <c r="G426" s="109" t="n"/>
      <c r="H426" s="109" t="n"/>
      <c r="I426" s="68" t="n"/>
      <c r="J426">
        <f>IF('House Count'!H426="Y",IF('House Count'!F426="RES-SFU",1,IF('House Count'!F426="RES-MDU",1,IF('House Count'!F426="RES-HOA",1,0))),0)</f>
        <v/>
      </c>
      <c r="K426">
        <f>IF('House Count'!H426="Y",IF('House Count'!F426="COMM-SU",1,IF('House Count'!F426="COM-MTU",1,IF('House Count'!F426="ENT",1,0))),0)</f>
        <v/>
      </c>
    </row>
    <row r="427">
      <c r="A427" s="109" t="n"/>
      <c r="B427" s="109" t="n"/>
      <c r="C427" s="109" t="n"/>
      <c r="D427" s="109" t="n"/>
      <c r="E427" s="109" t="n"/>
      <c r="F427" s="109" t="n"/>
      <c r="G427" s="109" t="n"/>
      <c r="H427" s="109" t="n"/>
      <c r="I427" s="68" t="n"/>
      <c r="J427">
        <f>IF('House Count'!H427="Y",IF('House Count'!F427="RES-SFU",1,IF('House Count'!F427="RES-MDU",1,IF('House Count'!F427="RES-HOA",1,0))),0)</f>
        <v/>
      </c>
      <c r="K427">
        <f>IF('House Count'!H427="Y",IF('House Count'!F427="COMM-SU",1,IF('House Count'!F427="COM-MTU",1,IF('House Count'!F427="ENT",1,0))),0)</f>
        <v/>
      </c>
    </row>
    <row r="428">
      <c r="A428" s="109" t="n"/>
      <c r="B428" s="109" t="n"/>
      <c r="C428" s="109" t="n"/>
      <c r="D428" s="109" t="n"/>
      <c r="E428" s="109" t="n"/>
      <c r="F428" s="109" t="n"/>
      <c r="G428" s="109" t="n"/>
      <c r="H428" s="109" t="n"/>
      <c r="I428" s="68" t="n"/>
      <c r="J428">
        <f>IF('House Count'!H428="Y",IF('House Count'!F428="RES-SFU",1,IF('House Count'!F428="RES-MDU",1,IF('House Count'!F428="RES-HOA",1,0))),0)</f>
        <v/>
      </c>
      <c r="K428">
        <f>IF('House Count'!H428="Y",IF('House Count'!F428="COMM-SU",1,IF('House Count'!F428="COM-MTU",1,IF('House Count'!F428="ENT",1,0))),0)</f>
        <v/>
      </c>
    </row>
    <row r="429">
      <c r="A429" s="109" t="n"/>
      <c r="B429" s="109" t="n"/>
      <c r="C429" s="109" t="n"/>
      <c r="D429" s="109" t="n"/>
      <c r="E429" s="109" t="n"/>
      <c r="F429" s="109" t="n"/>
      <c r="G429" s="109" t="n"/>
      <c r="H429" s="109" t="n"/>
      <c r="I429" s="68" t="n"/>
      <c r="J429">
        <f>IF('House Count'!H429="Y",IF('House Count'!F429="RES-SFU",1,IF('House Count'!F429="RES-MDU",1,IF('House Count'!F429="RES-HOA",1,0))),0)</f>
        <v/>
      </c>
      <c r="K429">
        <f>IF('House Count'!H429="Y",IF('House Count'!F429="COMM-SU",1,IF('House Count'!F429="COM-MTU",1,IF('House Count'!F429="ENT",1,0))),0)</f>
        <v/>
      </c>
    </row>
    <row r="430">
      <c r="A430" s="109" t="n"/>
      <c r="B430" s="109" t="n"/>
      <c r="C430" s="109" t="n"/>
      <c r="D430" s="109" t="n"/>
      <c r="E430" s="109" t="n"/>
      <c r="F430" s="109" t="n"/>
      <c r="G430" s="109" t="n"/>
      <c r="H430" s="109" t="n"/>
      <c r="I430" s="68" t="n"/>
      <c r="J430">
        <f>IF('House Count'!H430="Y",IF('House Count'!F430="RES-SFU",1,IF('House Count'!F430="RES-MDU",1,IF('House Count'!F430="RES-HOA",1,0))),0)</f>
        <v/>
      </c>
      <c r="K430">
        <f>IF('House Count'!H430="Y",IF('House Count'!F430="COMM-SU",1,IF('House Count'!F430="COM-MTU",1,IF('House Count'!F430="ENT",1,0))),0)</f>
        <v/>
      </c>
    </row>
    <row r="431">
      <c r="A431" s="109" t="n"/>
      <c r="B431" s="109" t="n"/>
      <c r="C431" s="109" t="n"/>
      <c r="D431" s="109" t="n"/>
      <c r="E431" s="109" t="n"/>
      <c r="F431" s="109" t="n"/>
      <c r="G431" s="109" t="n"/>
      <c r="H431" s="109" t="n"/>
      <c r="I431" s="68" t="n"/>
      <c r="J431">
        <f>IF('House Count'!H431="Y",IF('House Count'!F431="RES-SFU",1,IF('House Count'!F431="RES-MDU",1,IF('House Count'!F431="RES-HOA",1,0))),0)</f>
        <v/>
      </c>
      <c r="K431">
        <f>IF('House Count'!H431="Y",IF('House Count'!F431="COMM-SU",1,IF('House Count'!F431="COM-MTU",1,IF('House Count'!F431="ENT",1,0))),0)</f>
        <v/>
      </c>
    </row>
    <row r="432">
      <c r="A432" s="109" t="n"/>
      <c r="B432" s="109" t="n"/>
      <c r="C432" s="109" t="n"/>
      <c r="D432" s="109" t="n"/>
      <c r="E432" s="109" t="n"/>
      <c r="F432" s="109" t="n"/>
      <c r="G432" s="109" t="n"/>
      <c r="H432" s="109" t="n"/>
      <c r="I432" s="68" t="n"/>
      <c r="J432">
        <f>IF('House Count'!H432="Y",IF('House Count'!F432="RES-SFU",1,IF('House Count'!F432="RES-MDU",1,IF('House Count'!F432="RES-HOA",1,0))),0)</f>
        <v/>
      </c>
      <c r="K432">
        <f>IF('House Count'!H432="Y",IF('House Count'!F432="COMM-SU",1,IF('House Count'!F432="COM-MTU",1,IF('House Count'!F432="ENT",1,0))),0)</f>
        <v/>
      </c>
    </row>
    <row r="433" ht="15.75" customHeight="1" thickBot="1">
      <c r="A433" s="545" t="n"/>
      <c r="B433" s="545" t="n"/>
      <c r="C433" s="545" t="n"/>
      <c r="D433" s="545" t="n"/>
      <c r="E433" s="545" t="n"/>
      <c r="F433" s="545" t="n"/>
      <c r="G433" s="545" t="n"/>
      <c r="H433" s="545" t="n"/>
      <c r="I433" s="546" t="n"/>
      <c r="J433">
        <f>IF('House Count'!H433="Y",IF('House Count'!F433="RES-SFU",1,IF('House Count'!F433="RES-MDU",1,IF('House Count'!F433="RES-HOA",1,0))),0)</f>
        <v/>
      </c>
      <c r="K433">
        <f>IF('House Count'!H433="Y",IF('House Count'!F433="COMM-SU",1,IF('House Count'!F433="COM-MTU",1,IF('House Count'!F433="ENT",1,0))),0)</f>
        <v/>
      </c>
    </row>
    <row r="434" ht="15.75" customHeight="1" thickTop="1">
      <c r="A434" s="109" t="n"/>
      <c r="B434" s="109" t="n"/>
      <c r="C434" s="109" t="n"/>
      <c r="D434" s="109" t="n"/>
      <c r="E434" s="109" t="n"/>
      <c r="F434" s="109" t="n"/>
      <c r="G434" s="109" t="n"/>
      <c r="H434" s="109" t="n"/>
      <c r="I434" s="68" t="n"/>
      <c r="J434">
        <f>IF('House Count'!H434="Y",IF('House Count'!F434="RES-SFU",1,IF('House Count'!F434="RES-MDU",1,IF('House Count'!F434="RES-HOA",1,0))),0)</f>
        <v/>
      </c>
      <c r="K434">
        <f>IF('House Count'!H434="Y",IF('House Count'!F434="COMM-SU",1,IF('House Count'!F434="COM-MTU",1,IF('House Count'!F434="ENT",1,0))),0)</f>
        <v/>
      </c>
    </row>
    <row r="435">
      <c r="A435" s="109" t="n"/>
      <c r="B435" s="109" t="n"/>
      <c r="C435" s="109" t="n"/>
      <c r="D435" s="109" t="n"/>
      <c r="E435" s="109" t="n"/>
      <c r="F435" s="109" t="n"/>
      <c r="G435" s="109" t="n"/>
      <c r="H435" s="109" t="n"/>
      <c r="I435" s="68" t="n"/>
      <c r="J435">
        <f>IF('House Count'!H435="Y",IF('House Count'!F435="RES-SFU",1,IF('House Count'!F435="RES-MDU",1,IF('House Count'!F435="RES-HOA",1,0))),0)</f>
        <v/>
      </c>
      <c r="K435">
        <f>IF('House Count'!H435="Y",IF('House Count'!F435="COMM-SU",1,IF('House Count'!F435="COM-MTU",1,IF('House Count'!F435="ENT",1,0))),0)</f>
        <v/>
      </c>
    </row>
    <row r="436">
      <c r="A436" s="109" t="n"/>
      <c r="B436" s="109" t="n"/>
      <c r="C436" s="109" t="n"/>
      <c r="D436" s="109" t="n"/>
      <c r="E436" s="109" t="n"/>
      <c r="F436" s="109" t="n"/>
      <c r="G436" s="109" t="n"/>
      <c r="H436" s="109" t="n"/>
      <c r="I436" s="68" t="n"/>
      <c r="J436">
        <f>IF('House Count'!H436="Y",IF('House Count'!F436="RES-SFU",1,IF('House Count'!F436="RES-MDU",1,IF('House Count'!F436="RES-HOA",1,0))),0)</f>
        <v/>
      </c>
      <c r="K436">
        <f>IF('House Count'!H436="Y",IF('House Count'!F436="COMM-SU",1,IF('House Count'!F436="COM-MTU",1,IF('House Count'!F436="ENT",1,0))),0)</f>
        <v/>
      </c>
    </row>
    <row r="437">
      <c r="A437" s="109" t="n"/>
      <c r="B437" s="109" t="n"/>
      <c r="C437" s="109" t="n"/>
      <c r="D437" s="109" t="n"/>
      <c r="E437" s="109" t="n"/>
      <c r="F437" s="109" t="n"/>
      <c r="G437" s="109" t="n"/>
      <c r="H437" s="109" t="n"/>
      <c r="I437" s="68" t="n"/>
      <c r="J437">
        <f>IF('House Count'!H437="Y",IF('House Count'!F437="RES-SFU",1,IF('House Count'!F437="RES-MDU",1,IF('House Count'!F437="RES-HOA",1,0))),0)</f>
        <v/>
      </c>
      <c r="K437">
        <f>IF('House Count'!H437="Y",IF('House Count'!F437="COMM-SU",1,IF('House Count'!F437="COM-MTU",1,IF('House Count'!F437="ENT",1,0))),0)</f>
        <v/>
      </c>
    </row>
    <row r="438">
      <c r="A438" s="109" t="n"/>
      <c r="B438" s="109" t="n"/>
      <c r="C438" s="109" t="n"/>
      <c r="D438" s="109" t="n"/>
      <c r="E438" s="109" t="n"/>
      <c r="F438" s="109" t="n"/>
      <c r="G438" s="109" t="n"/>
      <c r="H438" s="109" t="n"/>
      <c r="I438" s="68" t="n"/>
      <c r="J438">
        <f>IF('House Count'!H438="Y",IF('House Count'!F438="RES-SFU",1,IF('House Count'!F438="RES-MDU",1,IF('House Count'!F438="RES-HOA",1,0))),0)</f>
        <v/>
      </c>
      <c r="K438">
        <f>IF('House Count'!H438="Y",IF('House Count'!F438="COMM-SU",1,IF('House Count'!F438="COM-MTU",1,IF('House Count'!F438="ENT",1,0))),0)</f>
        <v/>
      </c>
    </row>
    <row r="439">
      <c r="A439" s="109" t="n"/>
      <c r="B439" s="109" t="n"/>
      <c r="C439" s="109" t="n"/>
      <c r="D439" s="109" t="n"/>
      <c r="E439" s="109" t="n"/>
      <c r="F439" s="109" t="n"/>
      <c r="G439" s="109" t="n"/>
      <c r="H439" s="109" t="n"/>
      <c r="I439" s="68" t="n"/>
      <c r="J439">
        <f>IF('House Count'!H439="Y",IF('House Count'!F439="RES-SFU",1,IF('House Count'!F439="RES-MDU",1,IF('House Count'!F439="RES-HOA",1,0))),0)</f>
        <v/>
      </c>
      <c r="K439">
        <f>IF('House Count'!H439="Y",IF('House Count'!F439="COMM-SU",1,IF('House Count'!F439="COM-MTU",1,IF('House Count'!F439="ENT",1,0))),0)</f>
        <v/>
      </c>
    </row>
    <row r="440">
      <c r="A440" s="109" t="n"/>
      <c r="B440" s="109" t="n"/>
      <c r="C440" s="109" t="n"/>
      <c r="D440" s="109" t="n"/>
      <c r="E440" s="109" t="n"/>
      <c r="F440" s="109" t="n"/>
      <c r="G440" s="109" t="n"/>
      <c r="H440" s="109" t="n"/>
      <c r="I440" s="68" t="n"/>
      <c r="J440">
        <f>IF('House Count'!H440="Y",IF('House Count'!F440="RES-SFU",1,IF('House Count'!F440="RES-MDU",1,IF('House Count'!F440="RES-HOA",1,0))),0)</f>
        <v/>
      </c>
      <c r="K440">
        <f>IF('House Count'!H440="Y",IF('House Count'!F440="COMM-SU",1,IF('House Count'!F440="COM-MTU",1,IF('House Count'!F440="ENT",1,0))),0)</f>
        <v/>
      </c>
    </row>
    <row r="441">
      <c r="A441" s="109" t="n"/>
      <c r="B441" s="109" t="n"/>
      <c r="C441" s="109" t="n"/>
      <c r="D441" s="109" t="n"/>
      <c r="E441" s="109" t="n"/>
      <c r="F441" s="109" t="n"/>
      <c r="G441" s="109" t="n"/>
      <c r="H441" s="109" t="n"/>
      <c r="I441" s="68" t="n"/>
      <c r="J441">
        <f>IF('House Count'!H441="Y",IF('House Count'!F441="RES-SFU",1,IF('House Count'!F441="RES-MDU",1,IF('House Count'!F441="RES-HOA",1,0))),0)</f>
        <v/>
      </c>
      <c r="K441">
        <f>IF('House Count'!H441="Y",IF('House Count'!F441="COMM-SU",1,IF('House Count'!F441="COM-MTU",1,IF('House Count'!F441="ENT",1,0))),0)</f>
        <v/>
      </c>
    </row>
    <row r="442">
      <c r="A442" s="109" t="n"/>
      <c r="B442" s="109" t="n"/>
      <c r="C442" s="109" t="n"/>
      <c r="D442" s="109" t="n"/>
      <c r="E442" s="109" t="n"/>
      <c r="F442" s="109" t="n"/>
      <c r="G442" s="109" t="n"/>
      <c r="H442" s="109" t="n"/>
      <c r="I442" s="68" t="n"/>
      <c r="J442">
        <f>IF('House Count'!H442="Y",IF('House Count'!F442="RES-SFU",1,IF('House Count'!F442="RES-MDU",1,IF('House Count'!F442="RES-HOA",1,0))),0)</f>
        <v/>
      </c>
      <c r="K442">
        <f>IF('House Count'!H442="Y",IF('House Count'!F442="COMM-SU",1,IF('House Count'!F442="COM-MTU",1,IF('House Count'!F442="ENT",1,0))),0)</f>
        <v/>
      </c>
    </row>
    <row r="443">
      <c r="A443" s="109" t="n"/>
      <c r="B443" s="109" t="n"/>
      <c r="C443" s="109" t="n"/>
      <c r="D443" s="109" t="n"/>
      <c r="E443" s="109" t="n"/>
      <c r="F443" s="109" t="n"/>
      <c r="G443" s="109" t="n"/>
      <c r="H443" s="109" t="n"/>
      <c r="I443" s="68" t="n"/>
      <c r="J443">
        <f>IF('House Count'!H443="Y",IF('House Count'!F443="RES-SFU",1,IF('House Count'!F443="RES-MDU",1,IF('House Count'!F443="RES-HOA",1,0))),0)</f>
        <v/>
      </c>
      <c r="K443">
        <f>IF('House Count'!H443="Y",IF('House Count'!F443="COMM-SU",1,IF('House Count'!F443="COM-MTU",1,IF('House Count'!F443="ENT",1,0))),0)</f>
        <v/>
      </c>
    </row>
    <row r="444">
      <c r="A444" s="109" t="n"/>
      <c r="B444" s="109" t="n"/>
      <c r="C444" s="109" t="n"/>
      <c r="D444" s="109" t="n"/>
      <c r="E444" s="109" t="n"/>
      <c r="F444" s="109" t="n"/>
      <c r="G444" s="109" t="n"/>
      <c r="H444" s="109" t="n"/>
      <c r="I444" s="68" t="n"/>
      <c r="J444">
        <f>IF('House Count'!H444="Y",IF('House Count'!F444="RES-SFU",1,IF('House Count'!F444="RES-MDU",1,IF('House Count'!F444="RES-HOA",1,0))),0)</f>
        <v/>
      </c>
      <c r="K444">
        <f>IF('House Count'!H444="Y",IF('House Count'!F444="COMM-SU",1,IF('House Count'!F444="COM-MTU",1,IF('House Count'!F444="ENT",1,0))),0)</f>
        <v/>
      </c>
    </row>
    <row r="445" ht="15.75" customHeight="1" thickBot="1">
      <c r="A445" s="545" t="n"/>
      <c r="B445" s="545" t="n"/>
      <c r="C445" s="545" t="n"/>
      <c r="D445" s="545" t="n"/>
      <c r="E445" s="545" t="n"/>
      <c r="F445" s="545" t="n"/>
      <c r="G445" s="545" t="n"/>
      <c r="H445" s="545" t="n"/>
      <c r="I445" s="546" t="n"/>
      <c r="J445">
        <f>IF('House Count'!H445="Y",IF('House Count'!F445="RES-SFU",1,IF('House Count'!F445="RES-MDU",1,IF('House Count'!F445="RES-HOA",1,0))),0)</f>
        <v/>
      </c>
      <c r="K445">
        <f>IF('House Count'!H445="Y",IF('House Count'!F445="COMM-SU",1,IF('House Count'!F445="COM-MTU",1,IF('House Count'!F445="ENT",1,0))),0)</f>
        <v/>
      </c>
    </row>
    <row r="446" ht="15.75" customHeight="1" thickTop="1">
      <c r="A446" s="109" t="n"/>
      <c r="B446" s="109" t="n"/>
      <c r="C446" s="109" t="n"/>
      <c r="D446" s="109" t="n"/>
      <c r="E446" s="109" t="n"/>
      <c r="F446" s="109" t="n"/>
      <c r="G446" s="109" t="n"/>
      <c r="H446" s="109" t="n"/>
      <c r="I446" s="68" t="n"/>
      <c r="J446">
        <f>IF('House Count'!H446="Y",IF('House Count'!F446="RES-SFU",1,IF('House Count'!F446="RES-MDU",1,IF('House Count'!F446="RES-HOA",1,0))),0)</f>
        <v/>
      </c>
      <c r="K446">
        <f>IF('House Count'!H446="Y",IF('House Count'!F446="COMM-SU",1,IF('House Count'!F446="COM-MTU",1,IF('House Count'!F446="ENT",1,0))),0)</f>
        <v/>
      </c>
    </row>
    <row r="447">
      <c r="A447" s="109" t="n"/>
      <c r="B447" s="109" t="n"/>
      <c r="C447" s="109" t="n"/>
      <c r="D447" s="109" t="n"/>
      <c r="E447" s="109" t="n"/>
      <c r="F447" s="109" t="n"/>
      <c r="G447" s="109" t="n"/>
      <c r="H447" s="109" t="n"/>
      <c r="I447" s="68" t="n"/>
      <c r="J447">
        <f>IF('House Count'!H447="Y",IF('House Count'!F447="RES-SFU",1,IF('House Count'!F447="RES-MDU",1,IF('House Count'!F447="RES-HOA",1,0))),0)</f>
        <v/>
      </c>
      <c r="K447">
        <f>IF('House Count'!H447="Y",IF('House Count'!F447="COMM-SU",1,IF('House Count'!F447="COM-MTU",1,IF('House Count'!F447="ENT",1,0))),0)</f>
        <v/>
      </c>
    </row>
    <row r="448">
      <c r="A448" s="109" t="n"/>
      <c r="B448" s="109" t="n"/>
      <c r="C448" s="109" t="n"/>
      <c r="D448" s="109" t="n"/>
      <c r="E448" s="109" t="n"/>
      <c r="F448" s="109" t="n"/>
      <c r="G448" s="109" t="n"/>
      <c r="H448" s="109" t="n"/>
      <c r="I448" s="68" t="n"/>
      <c r="J448">
        <f>IF('House Count'!H448="Y",IF('House Count'!F448="RES-SFU",1,IF('House Count'!F448="RES-MDU",1,IF('House Count'!F448="RES-HOA",1,0))),0)</f>
        <v/>
      </c>
      <c r="K448">
        <f>IF('House Count'!H448="Y",IF('House Count'!F448="COMM-SU",1,IF('House Count'!F448="COM-MTU",1,IF('House Count'!F448="ENT",1,0))),0)</f>
        <v/>
      </c>
    </row>
    <row r="449">
      <c r="A449" s="109" t="n"/>
      <c r="B449" s="109" t="n"/>
      <c r="C449" s="109" t="n"/>
      <c r="D449" s="109" t="n"/>
      <c r="E449" s="109" t="n"/>
      <c r="F449" s="109" t="n"/>
      <c r="G449" s="109" t="n"/>
      <c r="H449" s="109" t="n"/>
      <c r="I449" s="68" t="n"/>
      <c r="J449">
        <f>IF('House Count'!H449="Y",IF('House Count'!F449="RES-SFU",1,IF('House Count'!F449="RES-MDU",1,IF('House Count'!F449="RES-HOA",1,0))),0)</f>
        <v/>
      </c>
      <c r="K449">
        <f>IF('House Count'!H449="Y",IF('House Count'!F449="COMM-SU",1,IF('House Count'!F449="COM-MTU",1,IF('House Count'!F449="ENT",1,0))),0)</f>
        <v/>
      </c>
    </row>
    <row r="450">
      <c r="A450" s="109" t="n"/>
      <c r="B450" s="109" t="n"/>
      <c r="C450" s="109" t="n"/>
      <c r="D450" s="109" t="n"/>
      <c r="E450" s="109" t="n"/>
      <c r="F450" s="109" t="n"/>
      <c r="G450" s="109" t="n"/>
      <c r="H450" s="109" t="n"/>
      <c r="I450" s="68" t="n"/>
      <c r="J450">
        <f>IF('House Count'!H450="Y",IF('House Count'!F450="RES-SFU",1,IF('House Count'!F450="RES-MDU",1,IF('House Count'!F450="RES-HOA",1,0))),0)</f>
        <v/>
      </c>
      <c r="K450">
        <f>IF('House Count'!H450="Y",IF('House Count'!F450="COMM-SU",1,IF('House Count'!F450="COM-MTU",1,IF('House Count'!F450="ENT",1,0))),0)</f>
        <v/>
      </c>
    </row>
    <row r="451">
      <c r="A451" s="109" t="n"/>
      <c r="B451" s="109" t="n"/>
      <c r="C451" s="109" t="n"/>
      <c r="D451" s="109" t="n"/>
      <c r="E451" s="109" t="n"/>
      <c r="F451" s="109" t="n"/>
      <c r="G451" s="109" t="n"/>
      <c r="H451" s="109" t="n"/>
      <c r="I451" s="68" t="n"/>
      <c r="J451">
        <f>IF('House Count'!H451="Y",IF('House Count'!F451="RES-SFU",1,IF('House Count'!F451="RES-MDU",1,IF('House Count'!F451="RES-HOA",1,0))),0)</f>
        <v/>
      </c>
      <c r="K451">
        <f>IF('House Count'!H451="Y",IF('House Count'!F451="COMM-SU",1,IF('House Count'!F451="COM-MTU",1,IF('House Count'!F451="ENT",1,0))),0)</f>
        <v/>
      </c>
    </row>
    <row r="452">
      <c r="A452" s="109" t="n"/>
      <c r="B452" s="109" t="n"/>
      <c r="C452" s="109" t="n"/>
      <c r="D452" s="109" t="n"/>
      <c r="E452" s="109" t="n"/>
      <c r="F452" s="109" t="n"/>
      <c r="G452" s="109" t="n"/>
      <c r="H452" s="109" t="n"/>
      <c r="I452" s="68" t="n"/>
      <c r="J452">
        <f>IF('House Count'!H452="Y",IF('House Count'!F452="RES-SFU",1,IF('House Count'!F452="RES-MDU",1,IF('House Count'!F452="RES-HOA",1,0))),0)</f>
        <v/>
      </c>
      <c r="K452">
        <f>IF('House Count'!H452="Y",IF('House Count'!F452="COMM-SU",1,IF('House Count'!F452="COM-MTU",1,IF('House Count'!F452="ENT",1,0))),0)</f>
        <v/>
      </c>
    </row>
    <row r="453">
      <c r="A453" s="109" t="n"/>
      <c r="B453" s="109" t="n"/>
      <c r="C453" s="109" t="n"/>
      <c r="D453" s="109" t="n"/>
      <c r="E453" s="109" t="n"/>
      <c r="F453" s="109" t="n"/>
      <c r="G453" s="109" t="n"/>
      <c r="H453" s="109" t="n"/>
      <c r="I453" s="68" t="n"/>
      <c r="J453">
        <f>IF('House Count'!H453="Y",IF('House Count'!F453="RES-SFU",1,IF('House Count'!F453="RES-MDU",1,IF('House Count'!F453="RES-HOA",1,0))),0)</f>
        <v/>
      </c>
      <c r="K453">
        <f>IF('House Count'!H453="Y",IF('House Count'!F453="COMM-SU",1,IF('House Count'!F453="COM-MTU",1,IF('House Count'!F453="ENT",1,0))),0)</f>
        <v/>
      </c>
    </row>
    <row r="454">
      <c r="A454" s="109" t="n"/>
      <c r="B454" s="109" t="n"/>
      <c r="C454" s="109" t="n"/>
      <c r="D454" s="109" t="n"/>
      <c r="E454" s="109" t="n"/>
      <c r="F454" s="109" t="n"/>
      <c r="G454" s="109" t="n"/>
      <c r="H454" s="109" t="n"/>
      <c r="I454" s="68" t="n"/>
      <c r="J454">
        <f>IF('House Count'!H454="Y",IF('House Count'!F454="RES-SFU",1,IF('House Count'!F454="RES-MDU",1,IF('House Count'!F454="RES-HOA",1,0))),0)</f>
        <v/>
      </c>
      <c r="K454">
        <f>IF('House Count'!H454="Y",IF('House Count'!F454="COMM-SU",1,IF('House Count'!F454="COM-MTU",1,IF('House Count'!F454="ENT",1,0))),0)</f>
        <v/>
      </c>
    </row>
    <row r="455">
      <c r="A455" s="109" t="n"/>
      <c r="B455" s="109" t="n"/>
      <c r="C455" s="109" t="n"/>
      <c r="D455" s="109" t="n"/>
      <c r="E455" s="109" t="n"/>
      <c r="F455" s="109" t="n"/>
      <c r="G455" s="109" t="n"/>
      <c r="H455" s="109" t="n"/>
      <c r="I455" s="68" t="n"/>
      <c r="J455">
        <f>IF('House Count'!H455="Y",IF('House Count'!F455="RES-SFU",1,IF('House Count'!F455="RES-MDU",1,IF('House Count'!F455="RES-HOA",1,0))),0)</f>
        <v/>
      </c>
      <c r="K455">
        <f>IF('House Count'!H455="Y",IF('House Count'!F455="COMM-SU",1,IF('House Count'!F455="COM-MTU",1,IF('House Count'!F455="ENT",1,0))),0)</f>
        <v/>
      </c>
    </row>
    <row r="456">
      <c r="A456" s="109" t="n"/>
      <c r="B456" s="109" t="n"/>
      <c r="C456" s="109" t="n"/>
      <c r="D456" s="109" t="n"/>
      <c r="E456" s="109" t="n"/>
      <c r="F456" s="109" t="n"/>
      <c r="G456" s="109" t="n"/>
      <c r="H456" s="109" t="n"/>
      <c r="I456" s="68" t="n"/>
      <c r="J456">
        <f>IF('House Count'!H456="Y",IF('House Count'!F456="RES-SFU",1,IF('House Count'!F456="RES-MDU",1,IF('House Count'!F456="RES-HOA",1,0))),0)</f>
        <v/>
      </c>
      <c r="K456">
        <f>IF('House Count'!H456="Y",IF('House Count'!F456="COMM-SU",1,IF('House Count'!F456="COM-MTU",1,IF('House Count'!F456="ENT",1,0))),0)</f>
        <v/>
      </c>
    </row>
    <row r="457" ht="15.75" customHeight="1" thickBot="1">
      <c r="A457" s="545" t="n"/>
      <c r="B457" s="545" t="n"/>
      <c r="C457" s="545" t="n"/>
      <c r="D457" s="545" t="n"/>
      <c r="E457" s="545" t="n"/>
      <c r="F457" s="545" t="n"/>
      <c r="G457" s="545" t="n"/>
      <c r="H457" s="545" t="n"/>
      <c r="I457" s="546" t="n"/>
      <c r="J457">
        <f>IF('House Count'!H457="Y",IF('House Count'!F457="RES-SFU",1,IF('House Count'!F457="RES-MDU",1,IF('House Count'!F457="RES-HOA",1,0))),0)</f>
        <v/>
      </c>
      <c r="K457">
        <f>IF('House Count'!H457="Y",IF('House Count'!F457="COMM-SU",1,IF('House Count'!F457="COM-MTU",1,IF('House Count'!F457="ENT",1,0))),0)</f>
        <v/>
      </c>
    </row>
    <row r="458" ht="15.75" customHeight="1" thickTop="1">
      <c r="A458" s="109" t="n"/>
      <c r="B458" s="109" t="n"/>
      <c r="C458" s="109" t="n"/>
      <c r="D458" s="109" t="n"/>
      <c r="E458" s="109" t="n"/>
      <c r="F458" s="109" t="n"/>
      <c r="G458" s="109" t="n"/>
      <c r="H458" s="109" t="n"/>
      <c r="I458" s="68" t="n"/>
      <c r="J458">
        <f>IF('House Count'!H458="Y",IF('House Count'!F458="RES-SFU",1,IF('House Count'!F458="RES-MDU",1,IF('House Count'!F458="RES-HOA",1,0))),0)</f>
        <v/>
      </c>
      <c r="K458">
        <f>IF('House Count'!H458="Y",IF('House Count'!F458="COMM-SU",1,IF('House Count'!F458="COM-MTU",1,IF('House Count'!F458="ENT",1,0))),0)</f>
        <v/>
      </c>
    </row>
    <row r="459">
      <c r="A459" s="109" t="n"/>
      <c r="B459" s="109" t="n"/>
      <c r="C459" s="109" t="n"/>
      <c r="D459" s="109" t="n"/>
      <c r="E459" s="109" t="n"/>
      <c r="F459" s="109" t="n"/>
      <c r="G459" s="109" t="n"/>
      <c r="H459" s="109" t="n"/>
      <c r="I459" s="68" t="n"/>
      <c r="J459">
        <f>IF('House Count'!H459="Y",IF('House Count'!F459="RES-SFU",1,IF('House Count'!F459="RES-MDU",1,IF('House Count'!F459="RES-HOA",1,0))),0)</f>
        <v/>
      </c>
      <c r="K459">
        <f>IF('House Count'!H459="Y",IF('House Count'!F459="COMM-SU",1,IF('House Count'!F459="COM-MTU",1,IF('House Count'!F459="ENT",1,0))),0)</f>
        <v/>
      </c>
    </row>
    <row r="460">
      <c r="A460" s="109" t="n"/>
      <c r="B460" s="109" t="n"/>
      <c r="C460" s="109" t="n"/>
      <c r="D460" s="109" t="n"/>
      <c r="E460" s="109" t="n"/>
      <c r="F460" s="109" t="n"/>
      <c r="G460" s="109" t="n"/>
      <c r="H460" s="109" t="n"/>
      <c r="I460" s="68" t="n"/>
      <c r="J460">
        <f>IF('House Count'!H460="Y",IF('House Count'!F460="RES-SFU",1,IF('House Count'!F460="RES-MDU",1,IF('House Count'!F460="RES-HOA",1,0))),0)</f>
        <v/>
      </c>
      <c r="K460">
        <f>IF('House Count'!H460="Y",IF('House Count'!F460="COMM-SU",1,IF('House Count'!F460="COM-MTU",1,IF('House Count'!F460="ENT",1,0))),0)</f>
        <v/>
      </c>
    </row>
    <row r="461">
      <c r="A461" s="109" t="n"/>
      <c r="B461" s="109" t="n"/>
      <c r="C461" s="109" t="n"/>
      <c r="D461" s="109" t="n"/>
      <c r="E461" s="109" t="n"/>
      <c r="F461" s="109" t="n"/>
      <c r="G461" s="109" t="n"/>
      <c r="H461" s="109" t="n"/>
      <c r="I461" s="68" t="n"/>
      <c r="J461">
        <f>IF('House Count'!H461="Y",IF('House Count'!F461="RES-SFU",1,IF('House Count'!F461="RES-MDU",1,IF('House Count'!F461="RES-HOA",1,0))),0)</f>
        <v/>
      </c>
      <c r="K461">
        <f>IF('House Count'!H461="Y",IF('House Count'!F461="COMM-SU",1,IF('House Count'!F461="COM-MTU",1,IF('House Count'!F461="ENT",1,0))),0)</f>
        <v/>
      </c>
    </row>
    <row r="462">
      <c r="A462" s="109" t="n"/>
      <c r="B462" s="109" t="n"/>
      <c r="C462" s="109" t="n"/>
      <c r="D462" s="109" t="n"/>
      <c r="E462" s="109" t="n"/>
      <c r="F462" s="109" t="n"/>
      <c r="G462" s="109" t="n"/>
      <c r="H462" s="109" t="n"/>
      <c r="I462" s="68" t="n"/>
      <c r="J462">
        <f>IF('House Count'!H462="Y",IF('House Count'!F462="RES-SFU",1,IF('House Count'!F462="RES-MDU",1,IF('House Count'!F462="RES-HOA",1,0))),0)</f>
        <v/>
      </c>
      <c r="K462">
        <f>IF('House Count'!H462="Y",IF('House Count'!F462="COMM-SU",1,IF('House Count'!F462="COM-MTU",1,IF('House Count'!F462="ENT",1,0))),0)</f>
        <v/>
      </c>
    </row>
    <row r="463">
      <c r="A463" s="109" t="n"/>
      <c r="B463" s="109" t="n"/>
      <c r="C463" s="109" t="n"/>
      <c r="D463" s="109" t="n"/>
      <c r="E463" s="109" t="n"/>
      <c r="F463" s="109" t="n"/>
      <c r="G463" s="109" t="n"/>
      <c r="H463" s="109" t="n"/>
      <c r="I463" s="68" t="n"/>
      <c r="J463">
        <f>IF('House Count'!H463="Y",IF('House Count'!F463="RES-SFU",1,IF('House Count'!F463="RES-MDU",1,IF('House Count'!F463="RES-HOA",1,0))),0)</f>
        <v/>
      </c>
      <c r="K463">
        <f>IF('House Count'!H463="Y",IF('House Count'!F463="COMM-SU",1,IF('House Count'!F463="COM-MTU",1,IF('House Count'!F463="ENT",1,0))),0)</f>
        <v/>
      </c>
    </row>
    <row r="464">
      <c r="A464" s="109" t="n"/>
      <c r="B464" s="109" t="n"/>
      <c r="C464" s="109" t="n"/>
      <c r="D464" s="109" t="n"/>
      <c r="E464" s="109" t="n"/>
      <c r="F464" s="109" t="n"/>
      <c r="G464" s="109" t="n"/>
      <c r="H464" s="109" t="n"/>
      <c r="I464" s="68" t="n"/>
      <c r="J464">
        <f>IF('House Count'!H464="Y",IF('House Count'!F464="RES-SFU",1,IF('House Count'!F464="RES-MDU",1,IF('House Count'!F464="RES-HOA",1,0))),0)</f>
        <v/>
      </c>
      <c r="K464">
        <f>IF('House Count'!H464="Y",IF('House Count'!F464="COMM-SU",1,IF('House Count'!F464="COM-MTU",1,IF('House Count'!F464="ENT",1,0))),0)</f>
        <v/>
      </c>
    </row>
    <row r="465">
      <c r="A465" s="109" t="n"/>
      <c r="B465" s="109" t="n"/>
      <c r="C465" s="109" t="n"/>
      <c r="D465" s="109" t="n"/>
      <c r="E465" s="109" t="n"/>
      <c r="F465" s="109" t="n"/>
      <c r="G465" s="109" t="n"/>
      <c r="H465" s="109" t="n"/>
      <c r="I465" s="68" t="n"/>
      <c r="J465">
        <f>IF('House Count'!H465="Y",IF('House Count'!F465="RES-SFU",1,IF('House Count'!F465="RES-MDU",1,IF('House Count'!F465="RES-HOA",1,0))),0)</f>
        <v/>
      </c>
      <c r="K465">
        <f>IF('House Count'!H465="Y",IF('House Count'!F465="COMM-SU",1,IF('House Count'!F465="COM-MTU",1,IF('House Count'!F465="ENT",1,0))),0)</f>
        <v/>
      </c>
    </row>
    <row r="466">
      <c r="A466" s="109" t="n"/>
      <c r="B466" s="109" t="n"/>
      <c r="C466" s="109" t="n"/>
      <c r="D466" s="109" t="n"/>
      <c r="E466" s="109" t="n"/>
      <c r="F466" s="109" t="n"/>
      <c r="G466" s="109" t="n"/>
      <c r="H466" s="109" t="n"/>
      <c r="I466" s="68" t="n"/>
      <c r="J466">
        <f>IF('House Count'!H466="Y",IF('House Count'!F466="RES-SFU",1,IF('House Count'!F466="RES-MDU",1,IF('House Count'!F466="RES-HOA",1,0))),0)</f>
        <v/>
      </c>
      <c r="K466">
        <f>IF('House Count'!H466="Y",IF('House Count'!F466="COMM-SU",1,IF('House Count'!F466="COM-MTU",1,IF('House Count'!F466="ENT",1,0))),0)</f>
        <v/>
      </c>
    </row>
    <row r="467">
      <c r="A467" s="109" t="n"/>
      <c r="B467" s="109" t="n"/>
      <c r="C467" s="109" t="n"/>
      <c r="D467" s="109" t="n"/>
      <c r="E467" s="109" t="n"/>
      <c r="F467" s="109" t="n"/>
      <c r="G467" s="109" t="n"/>
      <c r="H467" s="109" t="n"/>
      <c r="I467" s="68" t="n"/>
      <c r="J467">
        <f>IF('House Count'!H467="Y",IF('House Count'!F467="RES-SFU",1,IF('House Count'!F467="RES-MDU",1,IF('House Count'!F467="RES-HOA",1,0))),0)</f>
        <v/>
      </c>
      <c r="K467">
        <f>IF('House Count'!H467="Y",IF('House Count'!F467="COMM-SU",1,IF('House Count'!F467="COM-MTU",1,IF('House Count'!F467="ENT",1,0))),0)</f>
        <v/>
      </c>
    </row>
    <row r="468">
      <c r="A468" s="109" t="n"/>
      <c r="B468" s="109" t="n"/>
      <c r="C468" s="109" t="n"/>
      <c r="D468" s="109" t="n"/>
      <c r="E468" s="109" t="n"/>
      <c r="F468" s="109" t="n"/>
      <c r="G468" s="109" t="n"/>
      <c r="H468" s="109" t="n"/>
      <c r="I468" s="68" t="n"/>
      <c r="J468">
        <f>IF('House Count'!H468="Y",IF('House Count'!F468="RES-SFU",1,IF('House Count'!F468="RES-MDU",1,IF('House Count'!F468="RES-HOA",1,0))),0)</f>
        <v/>
      </c>
      <c r="K468">
        <f>IF('House Count'!H468="Y",IF('House Count'!F468="COMM-SU",1,IF('House Count'!F468="COM-MTU",1,IF('House Count'!F468="ENT",1,0))),0)</f>
        <v/>
      </c>
    </row>
    <row r="469" ht="15.75" customHeight="1" thickBot="1">
      <c r="A469" s="545" t="n"/>
      <c r="B469" s="545" t="n"/>
      <c r="C469" s="545" t="n"/>
      <c r="D469" s="545" t="n"/>
      <c r="E469" s="545" t="n"/>
      <c r="F469" s="545" t="n"/>
      <c r="G469" s="545" t="n"/>
      <c r="H469" s="545" t="n"/>
      <c r="I469" s="546" t="n"/>
      <c r="J469">
        <f>IF('House Count'!H469="Y",IF('House Count'!F469="RES-SFU",1,IF('House Count'!F469="RES-MDU",1,IF('House Count'!F469="RES-HOA",1,0))),0)</f>
        <v/>
      </c>
      <c r="K469">
        <f>IF('House Count'!H469="Y",IF('House Count'!F469="COMM-SU",1,IF('House Count'!F469="COM-MTU",1,IF('House Count'!F469="ENT",1,0))),0)</f>
        <v/>
      </c>
    </row>
    <row r="470" ht="15.75" customHeight="1" thickTop="1">
      <c r="A470" s="109" t="n"/>
      <c r="B470" s="109" t="n"/>
      <c r="C470" s="109" t="n"/>
      <c r="D470" s="109" t="n"/>
      <c r="E470" s="109" t="n"/>
      <c r="F470" s="109" t="n"/>
      <c r="G470" s="109" t="n"/>
      <c r="H470" s="109" t="n"/>
      <c r="I470" s="68" t="n"/>
      <c r="J470">
        <f>IF('House Count'!H470="Y",IF('House Count'!F470="RES-SFU",1,IF('House Count'!F470="RES-MDU",1,IF('House Count'!F470="RES-HOA",1,0))),0)</f>
        <v/>
      </c>
      <c r="K470">
        <f>IF('House Count'!H470="Y",IF('House Count'!F470="COMM-SU",1,IF('House Count'!F470="COM-MTU",1,IF('House Count'!F470="ENT",1,0))),0)</f>
        <v/>
      </c>
    </row>
    <row r="471">
      <c r="A471" s="109" t="n"/>
      <c r="B471" s="109" t="n"/>
      <c r="C471" s="109" t="n"/>
      <c r="D471" s="109" t="n"/>
      <c r="E471" s="109" t="n"/>
      <c r="F471" s="109" t="n"/>
      <c r="G471" s="109" t="n"/>
      <c r="H471" s="109" t="n"/>
      <c r="I471" s="68" t="n"/>
      <c r="J471">
        <f>IF('House Count'!H471="Y",IF('House Count'!F471="RES-SFU",1,IF('House Count'!F471="RES-MDU",1,IF('House Count'!F471="RES-HOA",1,0))),0)</f>
        <v/>
      </c>
      <c r="K471">
        <f>IF('House Count'!H471="Y",IF('House Count'!F471="COMM-SU",1,IF('House Count'!F471="COM-MTU",1,IF('House Count'!F471="ENT",1,0))),0)</f>
        <v/>
      </c>
    </row>
    <row r="472">
      <c r="A472" s="109" t="n"/>
      <c r="B472" s="109" t="n"/>
      <c r="C472" s="109" t="n"/>
      <c r="D472" s="109" t="n"/>
      <c r="E472" s="109" t="n"/>
      <c r="F472" s="109" t="n"/>
      <c r="G472" s="109" t="n"/>
      <c r="H472" s="109" t="n"/>
      <c r="I472" s="68" t="n"/>
      <c r="J472">
        <f>IF('House Count'!H472="Y",IF('House Count'!F472="RES-SFU",1,IF('House Count'!F472="RES-MDU",1,IF('House Count'!F472="RES-HOA",1,0))),0)</f>
        <v/>
      </c>
      <c r="K472">
        <f>IF('House Count'!H472="Y",IF('House Count'!F472="COMM-SU",1,IF('House Count'!F472="COM-MTU",1,IF('House Count'!F472="ENT",1,0))),0)</f>
        <v/>
      </c>
    </row>
    <row r="473">
      <c r="A473" s="109" t="n"/>
      <c r="B473" s="109" t="n"/>
      <c r="C473" s="109" t="n"/>
      <c r="D473" s="109" t="n"/>
      <c r="E473" s="109" t="n"/>
      <c r="F473" s="109" t="n"/>
      <c r="G473" s="109" t="n"/>
      <c r="H473" s="109" t="n"/>
      <c r="I473" s="68" t="n"/>
      <c r="J473">
        <f>IF('House Count'!H473="Y",IF('House Count'!F473="RES-SFU",1,IF('House Count'!F473="RES-MDU",1,IF('House Count'!F473="RES-HOA",1,0))),0)</f>
        <v/>
      </c>
      <c r="K473">
        <f>IF('House Count'!H473="Y",IF('House Count'!F473="COMM-SU",1,IF('House Count'!F473="COM-MTU",1,IF('House Count'!F473="ENT",1,0))),0)</f>
        <v/>
      </c>
    </row>
    <row r="474">
      <c r="A474" s="109" t="n"/>
      <c r="B474" s="109" t="n"/>
      <c r="C474" s="109" t="n"/>
      <c r="D474" s="109" t="n"/>
      <c r="E474" s="109" t="n"/>
      <c r="F474" s="109" t="n"/>
      <c r="G474" s="109" t="n"/>
      <c r="H474" s="109" t="n"/>
      <c r="I474" s="68" t="n"/>
      <c r="J474">
        <f>IF('House Count'!H474="Y",IF('House Count'!F474="RES-SFU",1,IF('House Count'!F474="RES-MDU",1,IF('House Count'!F474="RES-HOA",1,0))),0)</f>
        <v/>
      </c>
      <c r="K474">
        <f>IF('House Count'!H474="Y",IF('House Count'!F474="COMM-SU",1,IF('House Count'!F474="COM-MTU",1,IF('House Count'!F474="ENT",1,0))),0)</f>
        <v/>
      </c>
    </row>
    <row r="475">
      <c r="A475" s="109" t="n"/>
      <c r="B475" s="109" t="n"/>
      <c r="C475" s="109" t="n"/>
      <c r="D475" s="109" t="n"/>
      <c r="E475" s="109" t="n"/>
      <c r="F475" s="109" t="n"/>
      <c r="G475" s="109" t="n"/>
      <c r="H475" s="109" t="n"/>
      <c r="I475" s="68" t="n"/>
      <c r="J475">
        <f>IF('House Count'!H475="Y",IF('House Count'!F475="RES-SFU",1,IF('House Count'!F475="RES-MDU",1,IF('House Count'!F475="RES-HOA",1,0))),0)</f>
        <v/>
      </c>
      <c r="K475">
        <f>IF('House Count'!H475="Y",IF('House Count'!F475="COMM-SU",1,IF('House Count'!F475="COM-MTU",1,IF('House Count'!F475="ENT",1,0))),0)</f>
        <v/>
      </c>
    </row>
    <row r="476">
      <c r="A476" s="109" t="n"/>
      <c r="B476" s="109" t="n"/>
      <c r="C476" s="109" t="n"/>
      <c r="D476" s="109" t="n"/>
      <c r="E476" s="109" t="n"/>
      <c r="F476" s="109" t="n"/>
      <c r="G476" s="109" t="n"/>
      <c r="H476" s="109" t="n"/>
      <c r="I476" s="68" t="n"/>
      <c r="J476">
        <f>IF('House Count'!H476="Y",IF('House Count'!F476="RES-SFU",1,IF('House Count'!F476="RES-MDU",1,IF('House Count'!F476="RES-HOA",1,0))),0)</f>
        <v/>
      </c>
      <c r="K476">
        <f>IF('House Count'!H476="Y",IF('House Count'!F476="COMM-SU",1,IF('House Count'!F476="COM-MTU",1,IF('House Count'!F476="ENT",1,0))),0)</f>
        <v/>
      </c>
    </row>
    <row r="477">
      <c r="A477" s="109" t="n"/>
      <c r="B477" s="109" t="n"/>
      <c r="C477" s="109" t="n"/>
      <c r="D477" s="109" t="n"/>
      <c r="E477" s="109" t="n"/>
      <c r="F477" s="109" t="n"/>
      <c r="G477" s="109" t="n"/>
      <c r="H477" s="109" t="n"/>
      <c r="I477" s="68" t="n"/>
      <c r="J477">
        <f>IF('House Count'!H477="Y",IF('House Count'!F477="RES-SFU",1,IF('House Count'!F477="RES-MDU",1,IF('House Count'!F477="RES-HOA",1,0))),0)</f>
        <v/>
      </c>
      <c r="K477">
        <f>IF('House Count'!H477="Y",IF('House Count'!F477="COMM-SU",1,IF('House Count'!F477="COM-MTU",1,IF('House Count'!F477="ENT",1,0))),0)</f>
        <v/>
      </c>
    </row>
    <row r="478">
      <c r="A478" s="109" t="n"/>
      <c r="B478" s="109" t="n"/>
      <c r="C478" s="109" t="n"/>
      <c r="D478" s="109" t="n"/>
      <c r="E478" s="109" t="n"/>
      <c r="F478" s="109" t="n"/>
      <c r="G478" s="109" t="n"/>
      <c r="H478" s="109" t="n"/>
      <c r="I478" s="68" t="n"/>
      <c r="J478">
        <f>IF('House Count'!H478="Y",IF('House Count'!F478="RES-SFU",1,IF('House Count'!F478="RES-MDU",1,IF('House Count'!F478="RES-HOA",1,0))),0)</f>
        <v/>
      </c>
      <c r="K478">
        <f>IF('House Count'!H478="Y",IF('House Count'!F478="COMM-SU",1,IF('House Count'!F478="COM-MTU",1,IF('House Count'!F478="ENT",1,0))),0)</f>
        <v/>
      </c>
    </row>
    <row r="479">
      <c r="A479" s="109" t="n"/>
      <c r="B479" s="109" t="n"/>
      <c r="C479" s="109" t="n"/>
      <c r="D479" s="109" t="n"/>
      <c r="E479" s="109" t="n"/>
      <c r="F479" s="109" t="n"/>
      <c r="G479" s="109" t="n"/>
      <c r="H479" s="109" t="n"/>
      <c r="I479" s="68" t="n"/>
      <c r="J479">
        <f>IF('House Count'!H479="Y",IF('House Count'!F479="RES-SFU",1,IF('House Count'!F479="RES-MDU",1,IF('House Count'!F479="RES-HOA",1,0))),0)</f>
        <v/>
      </c>
      <c r="K479">
        <f>IF('House Count'!H479="Y",IF('House Count'!F479="COMM-SU",1,IF('House Count'!F479="COM-MTU",1,IF('House Count'!F479="ENT",1,0))),0)</f>
        <v/>
      </c>
    </row>
    <row r="480">
      <c r="A480" s="109" t="n"/>
      <c r="B480" s="109" t="n"/>
      <c r="C480" s="109" t="n"/>
      <c r="D480" s="109" t="n"/>
      <c r="E480" s="109" t="n"/>
      <c r="F480" s="109" t="n"/>
      <c r="G480" s="109" t="n"/>
      <c r="H480" s="109" t="n"/>
      <c r="I480" s="68" t="n"/>
      <c r="J480">
        <f>IF('House Count'!H480="Y",IF('House Count'!F480="RES-SFU",1,IF('House Count'!F480="RES-MDU",1,IF('House Count'!F480="RES-HOA",1,0))),0)</f>
        <v/>
      </c>
      <c r="K480">
        <f>IF('House Count'!H480="Y",IF('House Count'!F480="COMM-SU",1,IF('House Count'!F480="COM-MTU",1,IF('House Count'!F480="ENT",1,0))),0)</f>
        <v/>
      </c>
    </row>
    <row r="481" ht="15.75" customHeight="1" thickBot="1">
      <c r="A481" s="545" t="n"/>
      <c r="B481" s="545" t="n"/>
      <c r="C481" s="545" t="n"/>
      <c r="D481" s="545" t="n"/>
      <c r="E481" s="545" t="n"/>
      <c r="F481" s="545" t="n"/>
      <c r="G481" s="545" t="n"/>
      <c r="H481" s="545" t="n"/>
      <c r="I481" s="546" t="n"/>
      <c r="J481">
        <f>IF('House Count'!H481="Y",IF('House Count'!F481="RES-SFU",1,IF('House Count'!F481="RES-MDU",1,IF('House Count'!F481="RES-HOA",1,0))),0)</f>
        <v/>
      </c>
      <c r="K481">
        <f>IF('House Count'!H481="Y",IF('House Count'!F481="COMM-SU",1,IF('House Count'!F481="COM-MTU",1,IF('House Count'!F481="ENT",1,0))),0)</f>
        <v/>
      </c>
    </row>
    <row r="482" ht="15.75" customHeight="1" thickTop="1">
      <c r="A482" s="109" t="n"/>
      <c r="B482" s="109" t="n"/>
      <c r="C482" s="109" t="n"/>
      <c r="D482" s="109" t="n"/>
      <c r="E482" s="109" t="n"/>
      <c r="F482" s="109" t="n"/>
      <c r="G482" s="109" t="n"/>
      <c r="H482" s="109" t="n"/>
      <c r="I482" s="68" t="n"/>
      <c r="J482">
        <f>IF('House Count'!H482="Y",IF('House Count'!F482="RES-SFU",1,IF('House Count'!F482="RES-MDU",1,IF('House Count'!F482="RES-HOA",1,0))),0)</f>
        <v/>
      </c>
      <c r="K482">
        <f>IF('House Count'!H482="Y",IF('House Count'!F482="COMM-SU",1,IF('House Count'!F482="COM-MTU",1,IF('House Count'!F482="ENT",1,0))),0)</f>
        <v/>
      </c>
    </row>
    <row r="483">
      <c r="A483" s="109" t="n"/>
      <c r="B483" s="109" t="n"/>
      <c r="C483" s="109" t="n"/>
      <c r="D483" s="109" t="n"/>
      <c r="E483" s="109" t="n"/>
      <c r="F483" s="109" t="n"/>
      <c r="G483" s="109" t="n"/>
      <c r="H483" s="109" t="n"/>
      <c r="I483" s="68" t="n"/>
      <c r="J483">
        <f>IF('House Count'!H483="Y",IF('House Count'!F483="RES-SFU",1,IF('House Count'!F483="RES-MDU",1,IF('House Count'!F483="RES-HOA",1,0))),0)</f>
        <v/>
      </c>
      <c r="K483">
        <f>IF('House Count'!H483="Y",IF('House Count'!F483="COMM-SU",1,IF('House Count'!F483="COM-MTU",1,IF('House Count'!F483="ENT",1,0))),0)</f>
        <v/>
      </c>
    </row>
    <row r="484">
      <c r="A484" s="109" t="n"/>
      <c r="B484" s="109" t="n"/>
      <c r="C484" s="109" t="n"/>
      <c r="D484" s="109" t="n"/>
      <c r="E484" s="109" t="n"/>
      <c r="F484" s="109" t="n"/>
      <c r="G484" s="109" t="n"/>
      <c r="H484" s="109" t="n"/>
      <c r="I484" s="68" t="n"/>
      <c r="J484">
        <f>IF('House Count'!H484="Y",IF('House Count'!F484="RES-SFU",1,IF('House Count'!F484="RES-MDU",1,IF('House Count'!F484="RES-HOA",1,0))),0)</f>
        <v/>
      </c>
      <c r="K484">
        <f>IF('House Count'!H484="Y",IF('House Count'!F484="COMM-SU",1,IF('House Count'!F484="COM-MTU",1,IF('House Count'!F484="ENT",1,0))),0)</f>
        <v/>
      </c>
    </row>
    <row r="485">
      <c r="A485" s="109" t="n"/>
      <c r="B485" s="109" t="n"/>
      <c r="C485" s="109" t="n"/>
      <c r="D485" s="109" t="n"/>
      <c r="E485" s="109" t="n"/>
      <c r="F485" s="109" t="n"/>
      <c r="G485" s="109" t="n"/>
      <c r="H485" s="109" t="n"/>
      <c r="I485" s="68" t="n"/>
      <c r="J485">
        <f>IF('House Count'!H485="Y",IF('House Count'!F485="RES-SFU",1,IF('House Count'!F485="RES-MDU",1,IF('House Count'!F485="RES-HOA",1,0))),0)</f>
        <v/>
      </c>
      <c r="K485">
        <f>IF('House Count'!H485="Y",IF('House Count'!F485="COMM-SU",1,IF('House Count'!F485="COM-MTU",1,IF('House Count'!F485="ENT",1,0))),0)</f>
        <v/>
      </c>
    </row>
    <row r="486">
      <c r="A486" s="109" t="n"/>
      <c r="B486" s="109" t="n"/>
      <c r="C486" s="109" t="n"/>
      <c r="D486" s="109" t="n"/>
      <c r="E486" s="109" t="n"/>
      <c r="F486" s="109" t="n"/>
      <c r="G486" s="109" t="n"/>
      <c r="H486" s="109" t="n"/>
      <c r="I486" s="68" t="n"/>
      <c r="J486">
        <f>IF('House Count'!H486="Y",IF('House Count'!F486="RES-SFU",1,IF('House Count'!F486="RES-MDU",1,IF('House Count'!F486="RES-HOA",1,0))),0)</f>
        <v/>
      </c>
      <c r="K486">
        <f>IF('House Count'!H486="Y",IF('House Count'!F486="COMM-SU",1,IF('House Count'!F486="COM-MTU",1,IF('House Count'!F486="ENT",1,0))),0)</f>
        <v/>
      </c>
    </row>
    <row r="487">
      <c r="A487" s="109" t="n"/>
      <c r="B487" s="109" t="n"/>
      <c r="C487" s="109" t="n"/>
      <c r="D487" s="109" t="n"/>
      <c r="E487" s="109" t="n"/>
      <c r="F487" s="109" t="n"/>
      <c r="G487" s="109" t="n"/>
      <c r="H487" s="109" t="n"/>
      <c r="I487" s="68" t="n"/>
      <c r="J487">
        <f>IF('House Count'!H487="Y",IF('House Count'!F487="RES-SFU",1,IF('House Count'!F487="RES-MDU",1,IF('House Count'!F487="RES-HOA",1,0))),0)</f>
        <v/>
      </c>
      <c r="K487">
        <f>IF('House Count'!H487="Y",IF('House Count'!F487="COMM-SU",1,IF('House Count'!F487="COM-MTU",1,IF('House Count'!F487="ENT",1,0))),0)</f>
        <v/>
      </c>
    </row>
    <row r="488">
      <c r="A488" s="109" t="n"/>
      <c r="B488" s="109" t="n"/>
      <c r="C488" s="109" t="n"/>
      <c r="D488" s="109" t="n"/>
      <c r="E488" s="109" t="n"/>
      <c r="F488" s="109" t="n"/>
      <c r="G488" s="109" t="n"/>
      <c r="H488" s="109" t="n"/>
      <c r="I488" s="68" t="n"/>
      <c r="J488">
        <f>IF('House Count'!H488="Y",IF('House Count'!F488="RES-SFU",1,IF('House Count'!F488="RES-MDU",1,IF('House Count'!F488="RES-HOA",1,0))),0)</f>
        <v/>
      </c>
      <c r="K488">
        <f>IF('House Count'!H488="Y",IF('House Count'!F488="COMM-SU",1,IF('House Count'!F488="COM-MTU",1,IF('House Count'!F488="ENT",1,0))),0)</f>
        <v/>
      </c>
    </row>
    <row r="489">
      <c r="A489" s="109" t="n"/>
      <c r="B489" s="109" t="n"/>
      <c r="C489" s="109" t="n"/>
      <c r="D489" s="109" t="n"/>
      <c r="E489" s="109" t="n"/>
      <c r="F489" s="109" t="n"/>
      <c r="G489" s="109" t="n"/>
      <c r="H489" s="109" t="n"/>
      <c r="I489" s="68" t="n"/>
      <c r="J489">
        <f>IF('House Count'!H489="Y",IF('House Count'!F489="RES-SFU",1,IF('House Count'!F489="RES-MDU",1,IF('House Count'!F489="RES-HOA",1,0))),0)</f>
        <v/>
      </c>
      <c r="K489">
        <f>IF('House Count'!H489="Y",IF('House Count'!F489="COMM-SU",1,IF('House Count'!F489="COM-MTU",1,IF('House Count'!F489="ENT",1,0))),0)</f>
        <v/>
      </c>
    </row>
    <row r="490">
      <c r="A490" s="109" t="n"/>
      <c r="B490" s="109" t="n"/>
      <c r="C490" s="109" t="n"/>
      <c r="D490" s="109" t="n"/>
      <c r="E490" s="109" t="n"/>
      <c r="F490" s="109" t="n"/>
      <c r="G490" s="109" t="n"/>
      <c r="H490" s="109" t="n"/>
      <c r="I490" s="68" t="n"/>
      <c r="J490">
        <f>IF('House Count'!H490="Y",IF('House Count'!F490="RES-SFU",1,IF('House Count'!F490="RES-MDU",1,IF('House Count'!F490="RES-HOA",1,0))),0)</f>
        <v/>
      </c>
      <c r="K490">
        <f>IF('House Count'!H490="Y",IF('House Count'!F490="COMM-SU",1,IF('House Count'!F490="COM-MTU",1,IF('House Count'!F490="ENT",1,0))),0)</f>
        <v/>
      </c>
    </row>
    <row r="491">
      <c r="A491" s="109" t="n"/>
      <c r="B491" s="109" t="n"/>
      <c r="C491" s="109" t="n"/>
      <c r="D491" s="109" t="n"/>
      <c r="E491" s="109" t="n"/>
      <c r="F491" s="109" t="n"/>
      <c r="G491" s="109" t="n"/>
      <c r="H491" s="109" t="n"/>
      <c r="I491" s="68" t="n"/>
      <c r="J491">
        <f>IF('House Count'!H491="Y",IF('House Count'!F491="RES-SFU",1,IF('House Count'!F491="RES-MDU",1,IF('House Count'!F491="RES-HOA",1,0))),0)</f>
        <v/>
      </c>
      <c r="K491">
        <f>IF('House Count'!H491="Y",IF('House Count'!F491="COMM-SU",1,IF('House Count'!F491="COM-MTU",1,IF('House Count'!F491="ENT",1,0))),0)</f>
        <v/>
      </c>
    </row>
    <row r="492">
      <c r="A492" s="109" t="n"/>
      <c r="B492" s="109" t="n"/>
      <c r="C492" s="109" t="n"/>
      <c r="D492" s="109" t="n"/>
      <c r="E492" s="109" t="n"/>
      <c r="F492" s="109" t="n"/>
      <c r="G492" s="109" t="n"/>
      <c r="H492" s="109" t="n"/>
      <c r="I492" s="68" t="n"/>
      <c r="J492">
        <f>IF('House Count'!H492="Y",IF('House Count'!F492="RES-SFU",1,IF('House Count'!F492="RES-MDU",1,IF('House Count'!F492="RES-HOA",1,0))),0)</f>
        <v/>
      </c>
      <c r="K492">
        <f>IF('House Count'!H492="Y",IF('House Count'!F492="COMM-SU",1,IF('House Count'!F492="COM-MTU",1,IF('House Count'!F492="ENT",1,0))),0)</f>
        <v/>
      </c>
    </row>
    <row r="493" ht="15.75" customHeight="1" thickBot="1">
      <c r="A493" s="545" t="n"/>
      <c r="B493" s="545" t="n"/>
      <c r="C493" s="545" t="n"/>
      <c r="D493" s="545" t="n"/>
      <c r="E493" s="545" t="n"/>
      <c r="F493" s="545" t="n"/>
      <c r="G493" s="545" t="n"/>
      <c r="H493" s="545" t="n"/>
      <c r="I493" s="546" t="n"/>
      <c r="J493">
        <f>IF('House Count'!H493="Y",IF('House Count'!F493="RES-SFU",1,IF('House Count'!F493="RES-MDU",1,IF('House Count'!F493="RES-HOA",1,0))),0)</f>
        <v/>
      </c>
      <c r="K493">
        <f>IF('House Count'!H493="Y",IF('House Count'!F493="COMM-SU",1,IF('House Count'!F493="COM-MTU",1,IF('House Count'!F493="ENT",1,0))),0)</f>
        <v/>
      </c>
    </row>
    <row r="494" ht="15.75" customHeight="1" thickTop="1">
      <c r="A494" s="109" t="n"/>
      <c r="B494" s="109" t="n"/>
      <c r="C494" s="109" t="n"/>
      <c r="D494" s="109" t="n"/>
      <c r="E494" s="109" t="n"/>
      <c r="F494" s="109" t="n"/>
      <c r="G494" s="109" t="n"/>
      <c r="H494" s="109" t="n"/>
      <c r="I494" s="68" t="n"/>
      <c r="J494">
        <f>IF('House Count'!H494="Y",IF('House Count'!F494="RES-SFU",1,IF('House Count'!F494="RES-MDU",1,IF('House Count'!F494="RES-HOA",1,0))),0)</f>
        <v/>
      </c>
      <c r="K494">
        <f>IF('House Count'!H494="Y",IF('House Count'!F494="COMM-SU",1,IF('House Count'!F494="COM-MTU",1,IF('House Count'!F494="ENT",1,0))),0)</f>
        <v/>
      </c>
    </row>
    <row r="495">
      <c r="A495" s="109" t="n"/>
      <c r="B495" s="109" t="n"/>
      <c r="C495" s="109" t="n"/>
      <c r="D495" s="109" t="n"/>
      <c r="E495" s="109" t="n"/>
      <c r="F495" s="109" t="n"/>
      <c r="G495" s="109" t="n"/>
      <c r="H495" s="109" t="n"/>
      <c r="I495" s="68" t="n"/>
      <c r="J495">
        <f>IF('House Count'!H495="Y",IF('House Count'!F495="RES-SFU",1,IF('House Count'!F495="RES-MDU",1,IF('House Count'!F495="RES-HOA",1,0))),0)</f>
        <v/>
      </c>
      <c r="K495">
        <f>IF('House Count'!H495="Y",IF('House Count'!F495="COMM-SU",1,IF('House Count'!F495="COM-MTU",1,IF('House Count'!F495="ENT",1,0))),0)</f>
        <v/>
      </c>
    </row>
    <row r="496">
      <c r="A496" s="109" t="n"/>
      <c r="B496" s="109" t="n"/>
      <c r="C496" s="109" t="n"/>
      <c r="D496" s="109" t="n"/>
      <c r="E496" s="109" t="n"/>
      <c r="F496" s="109" t="n"/>
      <c r="G496" s="109" t="n"/>
      <c r="H496" s="109" t="n"/>
      <c r="I496" s="68" t="n"/>
      <c r="J496">
        <f>IF('House Count'!H496="Y",IF('House Count'!F496="RES-SFU",1,IF('House Count'!F496="RES-MDU",1,IF('House Count'!F496="RES-HOA",1,0))),0)</f>
        <v/>
      </c>
      <c r="K496">
        <f>IF('House Count'!H496="Y",IF('House Count'!F496="COMM-SU",1,IF('House Count'!F496="COM-MTU",1,IF('House Count'!F496="ENT",1,0))),0)</f>
        <v/>
      </c>
    </row>
    <row r="497">
      <c r="A497" s="109" t="n"/>
      <c r="B497" s="109" t="n"/>
      <c r="C497" s="109" t="n"/>
      <c r="D497" s="109" t="n"/>
      <c r="E497" s="109" t="n"/>
      <c r="F497" s="109" t="n"/>
      <c r="G497" s="109" t="n"/>
      <c r="H497" s="109" t="n"/>
      <c r="I497" s="68" t="n"/>
      <c r="J497">
        <f>IF('House Count'!H497="Y",IF('House Count'!F497="RES-SFU",1,IF('House Count'!F497="RES-MDU",1,IF('House Count'!F497="RES-HOA",1,0))),0)</f>
        <v/>
      </c>
      <c r="K497">
        <f>IF('House Count'!H497="Y",IF('House Count'!F497="COMM-SU",1,IF('House Count'!F497="COM-MTU",1,IF('House Count'!F497="ENT",1,0))),0)</f>
        <v/>
      </c>
    </row>
    <row r="498">
      <c r="A498" s="109" t="n"/>
      <c r="B498" s="109" t="n"/>
      <c r="C498" s="109" t="n"/>
      <c r="D498" s="109" t="n"/>
      <c r="E498" s="109" t="n"/>
      <c r="F498" s="109" t="n"/>
      <c r="G498" s="109" t="n"/>
      <c r="H498" s="109" t="n"/>
      <c r="I498" s="68" t="n"/>
      <c r="J498">
        <f>IF('House Count'!H498="Y",IF('House Count'!F498="RES-SFU",1,IF('House Count'!F498="RES-MDU",1,IF('House Count'!F498="RES-HOA",1,0))),0)</f>
        <v/>
      </c>
      <c r="K498">
        <f>IF('House Count'!H498="Y",IF('House Count'!F498="COMM-SU",1,IF('House Count'!F498="COM-MTU",1,IF('House Count'!F498="ENT",1,0))),0)</f>
        <v/>
      </c>
    </row>
    <row r="499">
      <c r="A499" s="109" t="n"/>
      <c r="B499" s="109" t="n"/>
      <c r="C499" s="109" t="n"/>
      <c r="D499" s="109" t="n"/>
      <c r="E499" s="109" t="n"/>
      <c r="F499" s="109" t="n"/>
      <c r="G499" s="109" t="n"/>
      <c r="H499" s="109" t="n"/>
      <c r="I499" s="68" t="n"/>
      <c r="J499">
        <f>IF('House Count'!H499="Y",IF('House Count'!F499="RES-SFU",1,IF('House Count'!F499="RES-MDU",1,IF('House Count'!F499="RES-HOA",1,0))),0)</f>
        <v/>
      </c>
      <c r="K499">
        <f>IF('House Count'!H499="Y",IF('House Count'!F499="COMM-SU",1,IF('House Count'!F499="COM-MTU",1,IF('House Count'!F499="ENT",1,0))),0)</f>
        <v/>
      </c>
    </row>
    <row r="500">
      <c r="A500" s="109" t="n"/>
      <c r="B500" s="109" t="n"/>
      <c r="C500" s="109" t="n"/>
      <c r="D500" s="109" t="n"/>
      <c r="E500" s="109" t="n"/>
      <c r="F500" s="109" t="n"/>
      <c r="G500" s="109" t="n"/>
      <c r="H500" s="109" t="n"/>
      <c r="I500" s="68" t="n"/>
      <c r="J500">
        <f>IF('House Count'!H500="Y",IF('House Count'!F500="RES-SFU",1,IF('House Count'!F500="RES-MDU",1,IF('House Count'!F500="RES-HOA",1,0))),0)</f>
        <v/>
      </c>
      <c r="K500">
        <f>IF('House Count'!H500="Y",IF('House Count'!F500="COMM-SU",1,IF('House Count'!F500="COM-MTU",1,IF('House Count'!F500="ENT",1,0))),0)</f>
        <v/>
      </c>
    </row>
    <row r="501">
      <c r="A501" s="109" t="n"/>
      <c r="B501" s="109" t="n"/>
      <c r="C501" s="109" t="n"/>
      <c r="D501" s="109" t="n"/>
      <c r="E501" s="109" t="n"/>
      <c r="F501" s="109" t="n"/>
      <c r="G501" s="109" t="n"/>
      <c r="H501" s="109" t="n"/>
      <c r="I501" s="68" t="n"/>
      <c r="J501">
        <f>IF('House Count'!H501="Y",IF('House Count'!F501="RES-SFU",1,IF('House Count'!F501="RES-MDU",1,IF('House Count'!F501="RES-HOA",1,0))),0)</f>
        <v/>
      </c>
      <c r="K501">
        <f>IF('House Count'!H501="Y",IF('House Count'!F501="COMM-SU",1,IF('House Count'!F501="COM-MTU",1,IF('House Count'!F501="ENT",1,0))),0)</f>
        <v/>
      </c>
    </row>
    <row r="502">
      <c r="A502" s="109" t="n"/>
      <c r="B502" s="109" t="n"/>
      <c r="C502" s="109" t="n"/>
      <c r="D502" s="109" t="n"/>
      <c r="E502" s="109" t="n"/>
      <c r="F502" s="109" t="n"/>
      <c r="G502" s="109" t="n"/>
      <c r="H502" s="109" t="n"/>
      <c r="I502" s="68" t="n"/>
      <c r="J502">
        <f>IF('House Count'!H502="Y",IF('House Count'!F502="RES-SFU",1,IF('House Count'!F502="RES-MDU",1,IF('House Count'!F502="RES-HOA",1,0))),0)</f>
        <v/>
      </c>
      <c r="K502">
        <f>IF('House Count'!H502="Y",IF('House Count'!F502="COMM-SU",1,IF('House Count'!F502="COM-MTU",1,IF('House Count'!F502="ENT",1,0))),0)</f>
        <v/>
      </c>
    </row>
    <row r="503">
      <c r="A503" s="109" t="n"/>
      <c r="B503" s="109" t="n"/>
      <c r="C503" s="109" t="n"/>
      <c r="D503" s="109" t="n"/>
      <c r="E503" s="109" t="n"/>
      <c r="F503" s="109" t="n"/>
      <c r="G503" s="109" t="n"/>
      <c r="H503" s="109" t="n"/>
      <c r="I503" s="68" t="n"/>
      <c r="J503">
        <f>IF('House Count'!H503="Y",IF('House Count'!F503="RES-SFU",1,IF('House Count'!F503="RES-MDU",1,IF('House Count'!F503="RES-HOA",1,0))),0)</f>
        <v/>
      </c>
      <c r="K503">
        <f>IF('House Count'!H503="Y",IF('House Count'!F503="COMM-SU",1,IF('House Count'!F503="COM-MTU",1,IF('House Count'!F503="ENT",1,0))),0)</f>
        <v/>
      </c>
    </row>
    <row r="504">
      <c r="A504" s="109" t="n"/>
      <c r="B504" s="109" t="n"/>
      <c r="C504" s="109" t="n"/>
      <c r="D504" s="109" t="n"/>
      <c r="E504" s="109" t="n"/>
      <c r="F504" s="109" t="n"/>
      <c r="G504" s="109" t="n"/>
      <c r="H504" s="109" t="n"/>
      <c r="I504" s="68" t="n"/>
      <c r="J504">
        <f>IF('House Count'!H504="Y",IF('House Count'!F504="RES-SFU",1,IF('House Count'!F504="RES-MDU",1,IF('House Count'!F504="RES-HOA",1,0))),0)</f>
        <v/>
      </c>
      <c r="K504">
        <f>IF('House Count'!H504="Y",IF('House Count'!F504="COMM-SU",1,IF('House Count'!F504="COM-MTU",1,IF('House Count'!F504="ENT",1,0))),0)</f>
        <v/>
      </c>
    </row>
    <row r="505" ht="15.75" customHeight="1" thickBot="1">
      <c r="A505" s="545" t="n"/>
      <c r="B505" s="545" t="n"/>
      <c r="C505" s="545" t="n"/>
      <c r="D505" s="545" t="n"/>
      <c r="E505" s="545" t="n"/>
      <c r="F505" s="545" t="n"/>
      <c r="G505" s="545" t="n"/>
      <c r="H505" s="545" t="n"/>
      <c r="I505" s="546" t="n"/>
      <c r="J505">
        <f>IF('House Count'!H505="Y",IF('House Count'!F505="RES-SFU",1,IF('House Count'!F505="RES-MDU",1,IF('House Count'!F505="RES-HOA",1,0))),0)</f>
        <v/>
      </c>
      <c r="K505">
        <f>IF('House Count'!H505="Y",IF('House Count'!F505="COMM-SU",1,IF('House Count'!F505="COM-MTU",1,IF('House Count'!F505="ENT",1,0))),0)</f>
        <v/>
      </c>
    </row>
    <row r="506" ht="15.75" customHeight="1" thickTop="1">
      <c r="A506" s="109" t="n"/>
      <c r="B506" s="109" t="n"/>
      <c r="C506" s="109" t="n"/>
      <c r="D506" s="109" t="n"/>
      <c r="E506" s="109" t="n"/>
      <c r="F506" s="109" t="n"/>
      <c r="G506" s="109" t="n"/>
      <c r="H506" s="109" t="n"/>
      <c r="I506" s="68" t="n"/>
      <c r="J506">
        <f>IF('House Count'!H506="Y",IF('House Count'!F506="RES-SFU",1,IF('House Count'!F506="RES-MDU",1,IF('House Count'!F506="RES-HOA",1,0))),0)</f>
        <v/>
      </c>
      <c r="K506">
        <f>IF('House Count'!H506="Y",IF('House Count'!F506="COMM-SU",1,IF('House Count'!F506="COM-MTU",1,IF('House Count'!F506="ENT",1,0))),0)</f>
        <v/>
      </c>
    </row>
    <row r="507">
      <c r="A507" s="109" t="n"/>
      <c r="B507" s="109" t="n"/>
      <c r="C507" s="109" t="n"/>
      <c r="D507" s="109" t="n"/>
      <c r="E507" s="109" t="n"/>
      <c r="F507" s="109" t="n"/>
      <c r="G507" s="109" t="n"/>
      <c r="H507" s="109" t="n"/>
      <c r="I507" s="68" t="n"/>
      <c r="J507">
        <f>IF('House Count'!H507="Y",IF('House Count'!F507="RES-SFU",1,IF('House Count'!F507="RES-MDU",1,IF('House Count'!F507="RES-HOA",1,0))),0)</f>
        <v/>
      </c>
      <c r="K507">
        <f>IF('House Count'!H507="Y",IF('House Count'!F507="COMM-SU",1,IF('House Count'!F507="COM-MTU",1,IF('House Count'!F507="ENT",1,0))),0)</f>
        <v/>
      </c>
    </row>
    <row r="508">
      <c r="A508" s="109" t="n"/>
      <c r="B508" s="109" t="n"/>
      <c r="C508" s="109" t="n"/>
      <c r="D508" s="109" t="n"/>
      <c r="E508" s="109" t="n"/>
      <c r="F508" s="109" t="n"/>
      <c r="G508" s="109" t="n"/>
      <c r="H508" s="109" t="n"/>
      <c r="I508" s="68" t="n"/>
      <c r="J508">
        <f>IF('House Count'!H508="Y",IF('House Count'!F508="RES-SFU",1,IF('House Count'!F508="RES-MDU",1,IF('House Count'!F508="RES-HOA",1,0))),0)</f>
        <v/>
      </c>
      <c r="K508">
        <f>IF('House Count'!H508="Y",IF('House Count'!F508="COMM-SU",1,IF('House Count'!F508="COM-MTU",1,IF('House Count'!F508="ENT",1,0))),0)</f>
        <v/>
      </c>
    </row>
    <row r="509">
      <c r="A509" s="109" t="n"/>
      <c r="B509" s="109" t="n"/>
      <c r="C509" s="109" t="n"/>
      <c r="D509" s="109" t="n"/>
      <c r="E509" s="109" t="n"/>
      <c r="F509" s="109" t="n"/>
      <c r="G509" s="109" t="n"/>
      <c r="H509" s="109" t="n"/>
      <c r="I509" s="68" t="n"/>
      <c r="J509">
        <f>IF('House Count'!H509="Y",IF('House Count'!F509="RES-SFU",1,IF('House Count'!F509="RES-MDU",1,IF('House Count'!F509="RES-HOA",1,0))),0)</f>
        <v/>
      </c>
      <c r="K509">
        <f>IF('House Count'!H509="Y",IF('House Count'!F509="COMM-SU",1,IF('House Count'!F509="COM-MTU",1,IF('House Count'!F509="ENT",1,0))),0)</f>
        <v/>
      </c>
    </row>
    <row r="510">
      <c r="A510" s="109" t="n"/>
      <c r="B510" s="109" t="n"/>
      <c r="C510" s="109" t="n"/>
      <c r="D510" s="109" t="n"/>
      <c r="E510" s="109" t="n"/>
      <c r="F510" s="109" t="n"/>
      <c r="G510" s="109" t="n"/>
      <c r="H510" s="109" t="n"/>
      <c r="I510" s="68" t="n"/>
      <c r="J510">
        <f>IF('House Count'!H510="Y",IF('House Count'!F510="RES-SFU",1,IF('House Count'!F510="RES-MDU",1,IF('House Count'!F510="RES-HOA",1,0))),0)</f>
        <v/>
      </c>
      <c r="K510">
        <f>IF('House Count'!H510="Y",IF('House Count'!F510="COMM-SU",1,IF('House Count'!F510="COM-MTU",1,IF('House Count'!F510="ENT",1,0))),0)</f>
        <v/>
      </c>
    </row>
    <row r="511">
      <c r="A511" s="109" t="n"/>
      <c r="B511" s="109" t="n"/>
      <c r="C511" s="109" t="n"/>
      <c r="D511" s="109" t="n"/>
      <c r="E511" s="109" t="n"/>
      <c r="F511" s="109" t="n"/>
      <c r="G511" s="109" t="n"/>
      <c r="H511" s="109" t="n"/>
      <c r="I511" s="68" t="n"/>
      <c r="J511">
        <f>IF('House Count'!H511="Y",IF('House Count'!F511="RES-SFU",1,IF('House Count'!F511="RES-MDU",1,IF('House Count'!F511="RES-HOA",1,0))),0)</f>
        <v/>
      </c>
      <c r="K511">
        <f>IF('House Count'!H511="Y",IF('House Count'!F511="COMM-SU",1,IF('House Count'!F511="COM-MTU",1,IF('House Count'!F511="ENT",1,0))),0)</f>
        <v/>
      </c>
    </row>
    <row r="512">
      <c r="A512" s="109" t="n"/>
      <c r="B512" s="109" t="n"/>
      <c r="C512" s="109" t="n"/>
      <c r="D512" s="109" t="n"/>
      <c r="E512" s="109" t="n"/>
      <c r="F512" s="109" t="n"/>
      <c r="G512" s="109" t="n"/>
      <c r="H512" s="109" t="n"/>
      <c r="I512" s="68" t="n"/>
      <c r="J512">
        <f>IF('House Count'!H512="Y",IF('House Count'!F512="RES-SFU",1,IF('House Count'!F512="RES-MDU",1,IF('House Count'!F512="RES-HOA",1,0))),0)</f>
        <v/>
      </c>
      <c r="K512">
        <f>IF('House Count'!H512="Y",IF('House Count'!F512="COMM-SU",1,IF('House Count'!F512="COM-MTU",1,IF('House Count'!F512="ENT",1,0))),0)</f>
        <v/>
      </c>
    </row>
    <row r="513">
      <c r="A513" s="109" t="n"/>
      <c r="B513" s="109" t="n"/>
      <c r="C513" s="109" t="n"/>
      <c r="D513" s="109" t="n"/>
      <c r="E513" s="109" t="n"/>
      <c r="F513" s="109" t="n"/>
      <c r="G513" s="109" t="n"/>
      <c r="H513" s="109" t="n"/>
      <c r="I513" s="68" t="n"/>
      <c r="J513">
        <f>IF('House Count'!H513="Y",IF('House Count'!F513="RES-SFU",1,IF('House Count'!F513="RES-MDU",1,IF('House Count'!F513="RES-HOA",1,0))),0)</f>
        <v/>
      </c>
      <c r="K513">
        <f>IF('House Count'!H513="Y",IF('House Count'!F513="COMM-SU",1,IF('House Count'!F513="COM-MTU",1,IF('House Count'!F513="ENT",1,0))),0)</f>
        <v/>
      </c>
    </row>
    <row r="514">
      <c r="A514" s="109" t="n"/>
      <c r="B514" s="109" t="n"/>
      <c r="C514" s="109" t="n"/>
      <c r="D514" s="109" t="n"/>
      <c r="E514" s="109" t="n"/>
      <c r="F514" s="109" t="n"/>
      <c r="G514" s="109" t="n"/>
      <c r="H514" s="109" t="n"/>
      <c r="I514" s="68" t="n"/>
      <c r="J514">
        <f>IF('House Count'!H514="Y",IF('House Count'!F514="RES-SFU",1,IF('House Count'!F514="RES-MDU",1,IF('House Count'!F514="RES-HOA",1,0))),0)</f>
        <v/>
      </c>
      <c r="K514">
        <f>IF('House Count'!H514="Y",IF('House Count'!F514="COMM-SU",1,IF('House Count'!F514="COM-MTU",1,IF('House Count'!F514="ENT",1,0))),0)</f>
        <v/>
      </c>
    </row>
    <row r="515">
      <c r="A515" s="109" t="n"/>
      <c r="B515" s="109" t="n"/>
      <c r="C515" s="109" t="n"/>
      <c r="D515" s="109" t="n"/>
      <c r="E515" s="109" t="n"/>
      <c r="F515" s="109" t="n"/>
      <c r="G515" s="109" t="n"/>
      <c r="H515" s="109" t="n"/>
      <c r="I515" s="68" t="n"/>
      <c r="J515">
        <f>IF('House Count'!H515="Y",IF('House Count'!F515="RES-SFU",1,IF('House Count'!F515="RES-MDU",1,IF('House Count'!F515="RES-HOA",1,0))),0)</f>
        <v/>
      </c>
      <c r="K515">
        <f>IF('House Count'!H515="Y",IF('House Count'!F515="COMM-SU",1,IF('House Count'!F515="COM-MTU",1,IF('House Count'!F515="ENT",1,0))),0)</f>
        <v/>
      </c>
    </row>
    <row r="516">
      <c r="A516" s="109" t="n"/>
      <c r="B516" s="109" t="n"/>
      <c r="C516" s="109" t="n"/>
      <c r="D516" s="109" t="n"/>
      <c r="E516" s="109" t="n"/>
      <c r="F516" s="109" t="n"/>
      <c r="G516" s="109" t="n"/>
      <c r="H516" s="109" t="n"/>
      <c r="I516" s="68" t="n"/>
      <c r="J516">
        <f>IF('House Count'!H516="Y",IF('House Count'!F516="RES-SFU",1,IF('House Count'!F516="RES-MDU",1,IF('House Count'!F516="RES-HOA",1,0))),0)</f>
        <v/>
      </c>
      <c r="K516">
        <f>IF('House Count'!H516="Y",IF('House Count'!F516="COMM-SU",1,IF('House Count'!F516="COM-MTU",1,IF('House Count'!F516="ENT",1,0))),0)</f>
        <v/>
      </c>
    </row>
    <row r="517" ht="15.75" customHeight="1" thickBot="1">
      <c r="A517" s="545" t="n"/>
      <c r="B517" s="545" t="n"/>
      <c r="C517" s="545" t="n"/>
      <c r="D517" s="545" t="n"/>
      <c r="E517" s="545" t="n"/>
      <c r="F517" s="545" t="n"/>
      <c r="G517" s="545" t="n"/>
      <c r="H517" s="545" t="n"/>
      <c r="I517" s="546" t="n"/>
      <c r="J517">
        <f>IF('House Count'!H517="Y",IF('House Count'!F517="RES-SFU",1,IF('House Count'!F517="RES-MDU",1,IF('House Count'!F517="RES-HOA",1,0))),0)</f>
        <v/>
      </c>
      <c r="K517">
        <f>IF('House Count'!H517="Y",IF('House Count'!F517="COMM-SU",1,IF('House Count'!F517="COM-MTU",1,IF('House Count'!F517="ENT",1,0))),0)</f>
        <v/>
      </c>
    </row>
    <row r="518" ht="15.75" customHeight="1" thickTop="1">
      <c r="A518" s="109" t="n"/>
      <c r="B518" s="109" t="n"/>
      <c r="C518" s="109" t="n"/>
      <c r="D518" s="109" t="n"/>
      <c r="E518" s="109" t="n"/>
      <c r="F518" s="109" t="n"/>
      <c r="G518" s="109" t="n"/>
      <c r="H518" s="109" t="n"/>
      <c r="I518" s="68" t="n"/>
      <c r="J518">
        <f>IF('House Count'!H518="Y",IF('House Count'!F518="RES-SFU",1,IF('House Count'!F518="RES-MDU",1,IF('House Count'!F518="RES-HOA",1,0))),0)</f>
        <v/>
      </c>
      <c r="K518">
        <f>IF('House Count'!H518="Y",IF('House Count'!F518="COMM-SU",1,IF('House Count'!F518="COM-MTU",1,IF('House Count'!F518="ENT",1,0))),0)</f>
        <v/>
      </c>
    </row>
    <row r="519">
      <c r="A519" s="109" t="n"/>
      <c r="B519" s="109" t="n"/>
      <c r="C519" s="109" t="n"/>
      <c r="D519" s="109" t="n"/>
      <c r="E519" s="109" t="n"/>
      <c r="F519" s="109" t="n"/>
      <c r="G519" s="109" t="n"/>
      <c r="H519" s="109" t="n"/>
      <c r="I519" s="68" t="n"/>
      <c r="J519">
        <f>IF('House Count'!H519="Y",IF('House Count'!F519="RES-SFU",1,IF('House Count'!F519="RES-MDU",1,IF('House Count'!F519="RES-HOA",1,0))),0)</f>
        <v/>
      </c>
      <c r="K519">
        <f>IF('House Count'!H519="Y",IF('House Count'!F519="COMM-SU",1,IF('House Count'!F519="COM-MTU",1,IF('House Count'!F519="ENT",1,0))),0)</f>
        <v/>
      </c>
    </row>
    <row r="520">
      <c r="A520" s="109" t="n"/>
      <c r="B520" s="109" t="n"/>
      <c r="C520" s="109" t="n"/>
      <c r="D520" s="109" t="n"/>
      <c r="E520" s="109" t="n"/>
      <c r="F520" s="109" t="n"/>
      <c r="G520" s="109" t="n"/>
      <c r="H520" s="109" t="n"/>
      <c r="I520" s="68" t="n"/>
      <c r="J520">
        <f>IF('House Count'!H520="Y",IF('House Count'!F520="RES-SFU",1,IF('House Count'!F520="RES-MDU",1,IF('House Count'!F520="RES-HOA",1,0))),0)</f>
        <v/>
      </c>
      <c r="K520">
        <f>IF('House Count'!H520="Y",IF('House Count'!F520="COMM-SU",1,IF('House Count'!F520="COM-MTU",1,IF('House Count'!F520="ENT",1,0))),0)</f>
        <v/>
      </c>
    </row>
    <row r="521">
      <c r="A521" s="109" t="n"/>
      <c r="B521" s="109" t="n"/>
      <c r="C521" s="109" t="n"/>
      <c r="D521" s="109" t="n"/>
      <c r="E521" s="109" t="n"/>
      <c r="F521" s="109" t="n"/>
      <c r="G521" s="109" t="n"/>
      <c r="H521" s="109" t="n"/>
      <c r="I521" s="68" t="n"/>
      <c r="J521">
        <f>IF('House Count'!H521="Y",IF('House Count'!F521="RES-SFU",1,IF('House Count'!F521="RES-MDU",1,IF('House Count'!F521="RES-HOA",1,0))),0)</f>
        <v/>
      </c>
      <c r="K521">
        <f>IF('House Count'!H521="Y",IF('House Count'!F521="COMM-SU",1,IF('House Count'!F521="COM-MTU",1,IF('House Count'!F521="ENT",1,0))),0)</f>
        <v/>
      </c>
    </row>
    <row r="522">
      <c r="A522" s="109" t="n"/>
      <c r="B522" s="109" t="n"/>
      <c r="C522" s="109" t="n"/>
      <c r="D522" s="109" t="n"/>
      <c r="E522" s="109" t="n"/>
      <c r="F522" s="109" t="n"/>
      <c r="G522" s="109" t="n"/>
      <c r="H522" s="109" t="n"/>
      <c r="I522" s="68" t="n"/>
      <c r="J522">
        <f>IF('House Count'!H522="Y",IF('House Count'!F522="RES-SFU",1,IF('House Count'!F522="RES-MDU",1,IF('House Count'!F522="RES-HOA",1,0))),0)</f>
        <v/>
      </c>
      <c r="K522">
        <f>IF('House Count'!H522="Y",IF('House Count'!F522="COMM-SU",1,IF('House Count'!F522="COM-MTU",1,IF('House Count'!F522="ENT",1,0))),0)</f>
        <v/>
      </c>
    </row>
    <row r="523">
      <c r="A523" s="109" t="n"/>
      <c r="B523" s="109" t="n"/>
      <c r="C523" s="109" t="n"/>
      <c r="D523" s="109" t="n"/>
      <c r="E523" s="109" t="n"/>
      <c r="F523" s="109" t="n"/>
      <c r="G523" s="109" t="n"/>
      <c r="H523" s="109" t="n"/>
      <c r="I523" s="68" t="n"/>
      <c r="J523">
        <f>IF('House Count'!H523="Y",IF('House Count'!F523="RES-SFU",1,IF('House Count'!F523="RES-MDU",1,IF('House Count'!F523="RES-HOA",1,0))),0)</f>
        <v/>
      </c>
      <c r="K523">
        <f>IF('House Count'!H523="Y",IF('House Count'!F523="COMM-SU",1,IF('House Count'!F523="COM-MTU",1,IF('House Count'!F523="ENT",1,0))),0)</f>
        <v/>
      </c>
    </row>
    <row r="524">
      <c r="A524" s="109" t="n"/>
      <c r="B524" s="109" t="n"/>
      <c r="C524" s="109" t="n"/>
      <c r="D524" s="109" t="n"/>
      <c r="E524" s="109" t="n"/>
      <c r="F524" s="109" t="n"/>
      <c r="G524" s="109" t="n"/>
      <c r="H524" s="109" t="n"/>
      <c r="I524" s="68" t="n"/>
      <c r="J524">
        <f>IF('House Count'!H524="Y",IF('House Count'!F524="RES-SFU",1,IF('House Count'!F524="RES-MDU",1,IF('House Count'!F524="RES-HOA",1,0))),0)</f>
        <v/>
      </c>
      <c r="K524">
        <f>IF('House Count'!H524="Y",IF('House Count'!F524="COMM-SU",1,IF('House Count'!F524="COM-MTU",1,IF('House Count'!F524="ENT",1,0))),0)</f>
        <v/>
      </c>
    </row>
    <row r="525">
      <c r="A525" s="109" t="n"/>
      <c r="B525" s="109" t="n"/>
      <c r="C525" s="109" t="n"/>
      <c r="D525" s="109" t="n"/>
      <c r="E525" s="109" t="n"/>
      <c r="F525" s="109" t="n"/>
      <c r="G525" s="109" t="n"/>
      <c r="H525" s="109" t="n"/>
      <c r="I525" s="68" t="n"/>
      <c r="J525">
        <f>IF('House Count'!H525="Y",IF('House Count'!F525="RES-SFU",1,IF('House Count'!F525="RES-MDU",1,IF('House Count'!F525="RES-HOA",1,0))),0)</f>
        <v/>
      </c>
      <c r="K525">
        <f>IF('House Count'!H525="Y",IF('House Count'!F525="COMM-SU",1,IF('House Count'!F525="COM-MTU",1,IF('House Count'!F525="ENT",1,0))),0)</f>
        <v/>
      </c>
    </row>
    <row r="526">
      <c r="A526" s="109" t="n"/>
      <c r="B526" s="109" t="n"/>
      <c r="C526" s="109" t="n"/>
      <c r="D526" s="109" t="n"/>
      <c r="E526" s="109" t="n"/>
      <c r="F526" s="109" t="n"/>
      <c r="G526" s="109" t="n"/>
      <c r="H526" s="109" t="n"/>
      <c r="I526" s="68" t="n"/>
      <c r="J526">
        <f>IF('House Count'!H526="Y",IF('House Count'!F526="RES-SFU",1,IF('House Count'!F526="RES-MDU",1,IF('House Count'!F526="RES-HOA",1,0))),0)</f>
        <v/>
      </c>
      <c r="K526">
        <f>IF('House Count'!H526="Y",IF('House Count'!F526="COMM-SU",1,IF('House Count'!F526="COM-MTU",1,IF('House Count'!F526="ENT",1,0))),0)</f>
        <v/>
      </c>
    </row>
    <row r="527">
      <c r="A527" s="109" t="n"/>
      <c r="B527" s="109" t="n"/>
      <c r="C527" s="109" t="n"/>
      <c r="D527" s="109" t="n"/>
      <c r="E527" s="109" t="n"/>
      <c r="F527" s="109" t="n"/>
      <c r="G527" s="109" t="n"/>
      <c r="H527" s="109" t="n"/>
      <c r="I527" s="68" t="n"/>
      <c r="J527">
        <f>IF('House Count'!H527="Y",IF('House Count'!F527="RES-SFU",1,IF('House Count'!F527="RES-MDU",1,IF('House Count'!F527="RES-HOA",1,0))),0)</f>
        <v/>
      </c>
      <c r="K527">
        <f>IF('House Count'!H527="Y",IF('House Count'!F527="COMM-SU",1,IF('House Count'!F527="COM-MTU",1,IF('House Count'!F527="ENT",1,0))),0)</f>
        <v/>
      </c>
    </row>
    <row r="528">
      <c r="A528" s="109" t="n"/>
      <c r="B528" s="109" t="n"/>
      <c r="C528" s="109" t="n"/>
      <c r="D528" s="109" t="n"/>
      <c r="E528" s="109" t="n"/>
      <c r="F528" s="109" t="n"/>
      <c r="G528" s="109" t="n"/>
      <c r="H528" s="109" t="n"/>
      <c r="I528" s="68" t="n"/>
      <c r="J528">
        <f>IF('House Count'!H528="Y",IF('House Count'!F528="RES-SFU",1,IF('House Count'!F528="RES-MDU",1,IF('House Count'!F528="RES-HOA",1,0))),0)</f>
        <v/>
      </c>
      <c r="K528">
        <f>IF('House Count'!H528="Y",IF('House Count'!F528="COMM-SU",1,IF('House Count'!F528="COM-MTU",1,IF('House Count'!F528="ENT",1,0))),0)</f>
        <v/>
      </c>
    </row>
    <row r="529" ht="15.75" customHeight="1" thickBot="1">
      <c r="A529" s="545" t="n"/>
      <c r="B529" s="545" t="n"/>
      <c r="C529" s="545" t="n"/>
      <c r="D529" s="545" t="n"/>
      <c r="E529" s="545" t="n"/>
      <c r="F529" s="545" t="n"/>
      <c r="G529" s="545" t="n"/>
      <c r="H529" s="545" t="n"/>
      <c r="I529" s="546" t="n"/>
      <c r="J529">
        <f>IF('House Count'!H529="Y",IF('House Count'!F529="RES-SFU",1,IF('House Count'!F529="RES-MDU",1,IF('House Count'!F529="RES-HOA",1,0))),0)</f>
        <v/>
      </c>
      <c r="K529">
        <f>IF('House Count'!H529="Y",IF('House Count'!F529="COMM-SU",1,IF('House Count'!F529="COM-MTU",1,IF('House Count'!F529="ENT",1,0))),0)</f>
        <v/>
      </c>
    </row>
    <row r="530" ht="15.75" customHeight="1" thickTop="1">
      <c r="A530" s="109" t="n"/>
      <c r="B530" s="109" t="n"/>
      <c r="C530" s="109" t="n"/>
      <c r="D530" s="109" t="n"/>
      <c r="E530" s="109" t="n"/>
      <c r="F530" s="109" t="n"/>
      <c r="G530" s="109" t="n"/>
      <c r="H530" s="109" t="n"/>
      <c r="I530" s="68" t="n"/>
      <c r="J530">
        <f>IF('House Count'!H530="Y",IF('House Count'!F530="RES-SFU",1,IF('House Count'!F530="RES-MDU",1,IF('House Count'!F530="RES-HOA",1,0))),0)</f>
        <v/>
      </c>
      <c r="K530">
        <f>IF('House Count'!H530="Y",IF('House Count'!F530="COMM-SU",1,IF('House Count'!F530="COM-MTU",1,IF('House Count'!F530="ENT",1,0))),0)</f>
        <v/>
      </c>
    </row>
    <row r="531">
      <c r="A531" s="109" t="n"/>
      <c r="B531" s="109" t="n"/>
      <c r="C531" s="109" t="n"/>
      <c r="D531" s="109" t="n"/>
      <c r="E531" s="109" t="n"/>
      <c r="F531" s="109" t="n"/>
      <c r="G531" s="109" t="n"/>
      <c r="H531" s="109" t="n"/>
      <c r="I531" s="68" t="n"/>
      <c r="J531">
        <f>IF('House Count'!H531="Y",IF('House Count'!F531="RES-SFU",1,IF('House Count'!F531="RES-MDU",1,IF('House Count'!F531="RES-HOA",1,0))),0)</f>
        <v/>
      </c>
      <c r="K531">
        <f>IF('House Count'!H531="Y",IF('House Count'!F531="COMM-SU",1,IF('House Count'!F531="COM-MTU",1,IF('House Count'!F531="ENT",1,0))),0)</f>
        <v/>
      </c>
    </row>
    <row r="532">
      <c r="A532" s="109" t="n"/>
      <c r="B532" s="109" t="n"/>
      <c r="C532" s="109" t="n"/>
      <c r="D532" s="109" t="n"/>
      <c r="E532" s="109" t="n"/>
      <c r="F532" s="109" t="n"/>
      <c r="G532" s="109" t="n"/>
      <c r="H532" s="109" t="n"/>
      <c r="I532" s="68" t="n"/>
      <c r="J532">
        <f>IF('House Count'!H532="Y",IF('House Count'!F532="RES-SFU",1,IF('House Count'!F532="RES-MDU",1,IF('House Count'!F532="RES-HOA",1,0))),0)</f>
        <v/>
      </c>
      <c r="K532">
        <f>IF('House Count'!H532="Y",IF('House Count'!F532="COMM-SU",1,IF('House Count'!F532="COM-MTU",1,IF('House Count'!F532="ENT",1,0))),0)</f>
        <v/>
      </c>
    </row>
    <row r="533">
      <c r="A533" s="109" t="n"/>
      <c r="B533" s="109" t="n"/>
      <c r="C533" s="109" t="n"/>
      <c r="D533" s="109" t="n"/>
      <c r="E533" s="109" t="n"/>
      <c r="F533" s="109" t="n"/>
      <c r="G533" s="109" t="n"/>
      <c r="H533" s="109" t="n"/>
      <c r="I533" s="68" t="n"/>
      <c r="J533">
        <f>IF('House Count'!H533="Y",IF('House Count'!F533="RES-SFU",1,IF('House Count'!F533="RES-MDU",1,IF('House Count'!F533="RES-HOA",1,0))),0)</f>
        <v/>
      </c>
      <c r="K533">
        <f>IF('House Count'!H533="Y",IF('House Count'!F533="COMM-SU",1,IF('House Count'!F533="COM-MTU",1,IF('House Count'!F533="ENT",1,0))),0)</f>
        <v/>
      </c>
    </row>
    <row r="534">
      <c r="A534" s="109" t="n"/>
      <c r="B534" s="109" t="n"/>
      <c r="C534" s="109" t="n"/>
      <c r="D534" s="109" t="n"/>
      <c r="E534" s="109" t="n"/>
      <c r="F534" s="109" t="n"/>
      <c r="G534" s="109" t="n"/>
      <c r="H534" s="109" t="n"/>
      <c r="I534" s="68" t="n"/>
      <c r="J534">
        <f>IF('House Count'!H534="Y",IF('House Count'!F534="RES-SFU",1,IF('House Count'!F534="RES-MDU",1,IF('House Count'!F534="RES-HOA",1,0))),0)</f>
        <v/>
      </c>
      <c r="K534">
        <f>IF('House Count'!H534="Y",IF('House Count'!F534="COMM-SU",1,IF('House Count'!F534="COM-MTU",1,IF('House Count'!F534="ENT",1,0))),0)</f>
        <v/>
      </c>
    </row>
    <row r="535">
      <c r="A535" s="109" t="n"/>
      <c r="B535" s="109" t="n"/>
      <c r="C535" s="109" t="n"/>
      <c r="D535" s="109" t="n"/>
      <c r="E535" s="109" t="n"/>
      <c r="F535" s="109" t="n"/>
      <c r="G535" s="109" t="n"/>
      <c r="H535" s="109" t="n"/>
      <c r="I535" s="68" t="n"/>
      <c r="J535">
        <f>IF('House Count'!H535="Y",IF('House Count'!F535="RES-SFU",1,IF('House Count'!F535="RES-MDU",1,IF('House Count'!F535="RES-HOA",1,0))),0)</f>
        <v/>
      </c>
      <c r="K535">
        <f>IF('House Count'!H535="Y",IF('House Count'!F535="COMM-SU",1,IF('House Count'!F535="COM-MTU",1,IF('House Count'!F535="ENT",1,0))),0)</f>
        <v/>
      </c>
    </row>
    <row r="536">
      <c r="A536" s="109" t="n"/>
      <c r="B536" s="109" t="n"/>
      <c r="C536" s="109" t="n"/>
      <c r="D536" s="109" t="n"/>
      <c r="E536" s="109" t="n"/>
      <c r="F536" s="109" t="n"/>
      <c r="G536" s="109" t="n"/>
      <c r="H536" s="109" t="n"/>
      <c r="I536" s="68" t="n"/>
      <c r="J536">
        <f>IF('House Count'!H536="Y",IF('House Count'!F536="RES-SFU",1,IF('House Count'!F536="RES-MDU",1,IF('House Count'!F536="RES-HOA",1,0))),0)</f>
        <v/>
      </c>
      <c r="K536">
        <f>IF('House Count'!H536="Y",IF('House Count'!F536="COMM-SU",1,IF('House Count'!F536="COM-MTU",1,IF('House Count'!F536="ENT",1,0))),0)</f>
        <v/>
      </c>
    </row>
    <row r="537">
      <c r="A537" s="109" t="n"/>
      <c r="B537" s="109" t="n"/>
      <c r="C537" s="109" t="n"/>
      <c r="D537" s="109" t="n"/>
      <c r="E537" s="109" t="n"/>
      <c r="F537" s="109" t="n"/>
      <c r="G537" s="109" t="n"/>
      <c r="H537" s="109" t="n"/>
      <c r="I537" s="68" t="n"/>
      <c r="J537">
        <f>IF('House Count'!H537="Y",IF('House Count'!F537="RES-SFU",1,IF('House Count'!F537="RES-MDU",1,IF('House Count'!F537="RES-HOA",1,0))),0)</f>
        <v/>
      </c>
      <c r="K537">
        <f>IF('House Count'!H537="Y",IF('House Count'!F537="COMM-SU",1,IF('House Count'!F537="COM-MTU",1,IF('House Count'!F537="ENT",1,0))),0)</f>
        <v/>
      </c>
    </row>
    <row r="538">
      <c r="A538" s="109" t="n"/>
      <c r="B538" s="109" t="n"/>
      <c r="C538" s="109" t="n"/>
      <c r="D538" s="109" t="n"/>
      <c r="E538" s="109" t="n"/>
      <c r="F538" s="109" t="n"/>
      <c r="G538" s="109" t="n"/>
      <c r="H538" s="109" t="n"/>
      <c r="I538" s="68" t="n"/>
      <c r="J538">
        <f>IF('House Count'!H538="Y",IF('House Count'!F538="RES-SFU",1,IF('House Count'!F538="RES-MDU",1,IF('House Count'!F538="RES-HOA",1,0))),0)</f>
        <v/>
      </c>
      <c r="K538">
        <f>IF('House Count'!H538="Y",IF('House Count'!F538="COMM-SU",1,IF('House Count'!F538="COM-MTU",1,IF('House Count'!F538="ENT",1,0))),0)</f>
        <v/>
      </c>
    </row>
    <row r="539">
      <c r="A539" s="109" t="n"/>
      <c r="B539" s="109" t="n"/>
      <c r="C539" s="109" t="n"/>
      <c r="D539" s="109" t="n"/>
      <c r="E539" s="109" t="n"/>
      <c r="F539" s="109" t="n"/>
      <c r="G539" s="109" t="n"/>
      <c r="H539" s="109" t="n"/>
      <c r="I539" s="68" t="n"/>
      <c r="J539">
        <f>IF('House Count'!H539="Y",IF('House Count'!F539="RES-SFU",1,IF('House Count'!F539="RES-MDU",1,IF('House Count'!F539="RES-HOA",1,0))),0)</f>
        <v/>
      </c>
      <c r="K539">
        <f>IF('House Count'!H539="Y",IF('House Count'!F539="COMM-SU",1,IF('House Count'!F539="COM-MTU",1,IF('House Count'!F539="ENT",1,0))),0)</f>
        <v/>
      </c>
    </row>
    <row r="540">
      <c r="A540" s="109" t="n"/>
      <c r="B540" s="109" t="n"/>
      <c r="C540" s="109" t="n"/>
      <c r="D540" s="109" t="n"/>
      <c r="E540" s="109" t="n"/>
      <c r="F540" s="109" t="n"/>
      <c r="G540" s="109" t="n"/>
      <c r="H540" s="109" t="n"/>
      <c r="I540" s="68" t="n"/>
      <c r="J540">
        <f>IF('House Count'!H540="Y",IF('House Count'!F540="RES-SFU",1,IF('House Count'!F540="RES-MDU",1,IF('House Count'!F540="RES-HOA",1,0))),0)</f>
        <v/>
      </c>
      <c r="K540">
        <f>IF('House Count'!H540="Y",IF('House Count'!F540="COMM-SU",1,IF('House Count'!F540="COM-MTU",1,IF('House Count'!F540="ENT",1,0))),0)</f>
        <v/>
      </c>
    </row>
    <row r="541" ht="15.75" customHeight="1" thickBot="1">
      <c r="A541" s="545" t="n"/>
      <c r="B541" s="545" t="n"/>
      <c r="C541" s="545" t="n"/>
      <c r="D541" s="545" t="n"/>
      <c r="E541" s="545" t="n"/>
      <c r="F541" s="545" t="n"/>
      <c r="G541" s="545" t="n"/>
      <c r="H541" s="545" t="n"/>
      <c r="I541" s="546" t="n"/>
      <c r="J541">
        <f>IF('House Count'!H541="Y",IF('House Count'!F541="RES-SFU",1,IF('House Count'!F541="RES-MDU",1,IF('House Count'!F541="RES-HOA",1,0))),0)</f>
        <v/>
      </c>
      <c r="K541">
        <f>IF('House Count'!H541="Y",IF('House Count'!F541="COMM-SU",1,IF('House Count'!F541="COM-MTU",1,IF('House Count'!F541="ENT",1,0))),0)</f>
        <v/>
      </c>
    </row>
    <row r="542" ht="15.75" customHeight="1" thickTop="1">
      <c r="A542" s="109" t="n"/>
      <c r="B542" s="109" t="n"/>
      <c r="C542" s="109" t="n"/>
      <c r="D542" s="109" t="n"/>
      <c r="E542" s="109" t="n"/>
      <c r="F542" s="109" t="n"/>
      <c r="G542" s="109" t="n"/>
      <c r="H542" s="109" t="n"/>
      <c r="I542" s="68" t="n"/>
      <c r="J542">
        <f>IF('House Count'!H542="Y",IF('House Count'!F542="RES-SFU",1,IF('House Count'!F542="RES-MDU",1,IF('House Count'!F542="RES-HOA",1,0))),0)</f>
        <v/>
      </c>
      <c r="K542">
        <f>IF('House Count'!H542="Y",IF('House Count'!F542="COMM-SU",1,IF('House Count'!F542="COM-MTU",1,IF('House Count'!F542="ENT",1,0))),0)</f>
        <v/>
      </c>
    </row>
    <row r="543">
      <c r="A543" s="109" t="n"/>
      <c r="B543" s="109" t="n"/>
      <c r="C543" s="109" t="n"/>
      <c r="D543" s="109" t="n"/>
      <c r="E543" s="109" t="n"/>
      <c r="F543" s="109" t="n"/>
      <c r="G543" s="109" t="n"/>
      <c r="H543" s="109" t="n"/>
      <c r="I543" s="68" t="n"/>
      <c r="J543">
        <f>IF('House Count'!H543="Y",IF('House Count'!F543="RES-SFU",1,IF('House Count'!F543="RES-MDU",1,IF('House Count'!F543="RES-HOA",1,0))),0)</f>
        <v/>
      </c>
      <c r="K543">
        <f>IF('House Count'!H543="Y",IF('House Count'!F543="COMM-SU",1,IF('House Count'!F543="COM-MTU",1,IF('House Count'!F543="ENT",1,0))),0)</f>
        <v/>
      </c>
    </row>
    <row r="544">
      <c r="A544" s="109" t="n"/>
      <c r="B544" s="109" t="n"/>
      <c r="C544" s="109" t="n"/>
      <c r="D544" s="109" t="n"/>
      <c r="E544" s="109" t="n"/>
      <c r="F544" s="109" t="n"/>
      <c r="G544" s="109" t="n"/>
      <c r="H544" s="109" t="n"/>
      <c r="I544" s="68" t="n"/>
      <c r="J544">
        <f>IF('House Count'!H544="Y",IF('House Count'!F544="RES-SFU",1,IF('House Count'!F544="RES-MDU",1,IF('House Count'!F544="RES-HOA",1,0))),0)</f>
        <v/>
      </c>
      <c r="K544">
        <f>IF('House Count'!H544="Y",IF('House Count'!F544="COMM-SU",1,IF('House Count'!F544="COM-MTU",1,IF('House Count'!F544="ENT",1,0))),0)</f>
        <v/>
      </c>
    </row>
    <row r="545">
      <c r="A545" s="109" t="n"/>
      <c r="B545" s="109" t="n"/>
      <c r="C545" s="109" t="n"/>
      <c r="D545" s="109" t="n"/>
      <c r="E545" s="109" t="n"/>
      <c r="F545" s="109" t="n"/>
      <c r="G545" s="109" t="n"/>
      <c r="H545" s="109" t="n"/>
      <c r="I545" s="68" t="n"/>
      <c r="J545">
        <f>IF('House Count'!H545="Y",IF('House Count'!F545="RES-SFU",1,IF('House Count'!F545="RES-MDU",1,IF('House Count'!F545="RES-HOA",1,0))),0)</f>
        <v/>
      </c>
      <c r="K545">
        <f>IF('House Count'!H545="Y",IF('House Count'!F545="COMM-SU",1,IF('House Count'!F545="COM-MTU",1,IF('House Count'!F545="ENT",1,0))),0)</f>
        <v/>
      </c>
    </row>
    <row r="546">
      <c r="A546" s="109" t="n"/>
      <c r="B546" s="109" t="n"/>
      <c r="C546" s="109" t="n"/>
      <c r="D546" s="109" t="n"/>
      <c r="E546" s="109" t="n"/>
      <c r="F546" s="109" t="n"/>
      <c r="G546" s="109" t="n"/>
      <c r="H546" s="109" t="n"/>
      <c r="I546" s="68" t="n"/>
      <c r="J546">
        <f>IF('House Count'!H546="Y",IF('House Count'!F546="RES-SFU",1,IF('House Count'!F546="RES-MDU",1,IF('House Count'!F546="RES-HOA",1,0))),0)</f>
        <v/>
      </c>
      <c r="K546">
        <f>IF('House Count'!H546="Y",IF('House Count'!F546="COMM-SU",1,IF('House Count'!F546="COM-MTU",1,IF('House Count'!F546="ENT",1,0))),0)</f>
        <v/>
      </c>
    </row>
    <row r="547">
      <c r="A547" s="109" t="n"/>
      <c r="B547" s="109" t="n"/>
      <c r="C547" s="109" t="n"/>
      <c r="D547" s="109" t="n"/>
      <c r="E547" s="109" t="n"/>
      <c r="F547" s="109" t="n"/>
      <c r="G547" s="109" t="n"/>
      <c r="H547" s="109" t="n"/>
      <c r="I547" s="68" t="n"/>
      <c r="J547">
        <f>IF('House Count'!H547="Y",IF('House Count'!F547="RES-SFU",1,IF('House Count'!F547="RES-MDU",1,IF('House Count'!F547="RES-HOA",1,0))),0)</f>
        <v/>
      </c>
      <c r="K547">
        <f>IF('House Count'!H547="Y",IF('House Count'!F547="COMM-SU",1,IF('House Count'!F547="COM-MTU",1,IF('House Count'!F547="ENT",1,0))),0)</f>
        <v/>
      </c>
    </row>
    <row r="548">
      <c r="A548" s="109" t="n"/>
      <c r="B548" s="109" t="n"/>
      <c r="C548" s="109" t="n"/>
      <c r="D548" s="109" t="n"/>
      <c r="E548" s="109" t="n"/>
      <c r="F548" s="109" t="n"/>
      <c r="G548" s="109" t="n"/>
      <c r="H548" s="109" t="n"/>
      <c r="I548" s="68" t="n"/>
      <c r="J548">
        <f>IF('House Count'!H548="Y",IF('House Count'!F548="RES-SFU",1,IF('House Count'!F548="RES-MDU",1,IF('House Count'!F548="RES-HOA",1,0))),0)</f>
        <v/>
      </c>
      <c r="K548">
        <f>IF('House Count'!H548="Y",IF('House Count'!F548="COMM-SU",1,IF('House Count'!F548="COM-MTU",1,IF('House Count'!F548="ENT",1,0))),0)</f>
        <v/>
      </c>
    </row>
    <row r="549">
      <c r="A549" s="109" t="n"/>
      <c r="B549" s="109" t="n"/>
      <c r="C549" s="109" t="n"/>
      <c r="D549" s="109" t="n"/>
      <c r="E549" s="109" t="n"/>
      <c r="F549" s="109" t="n"/>
      <c r="G549" s="109" t="n"/>
      <c r="H549" s="109" t="n"/>
      <c r="I549" s="68" t="n"/>
      <c r="J549">
        <f>IF('House Count'!H549="Y",IF('House Count'!F549="RES-SFU",1,IF('House Count'!F549="RES-MDU",1,IF('House Count'!F549="RES-HOA",1,0))),0)</f>
        <v/>
      </c>
      <c r="K549">
        <f>IF('House Count'!H549="Y",IF('House Count'!F549="COMM-SU",1,IF('House Count'!F549="COM-MTU",1,IF('House Count'!F549="ENT",1,0))),0)</f>
        <v/>
      </c>
    </row>
    <row r="550">
      <c r="A550" s="109" t="n"/>
      <c r="B550" s="109" t="n"/>
      <c r="C550" s="109" t="n"/>
      <c r="D550" s="109" t="n"/>
      <c r="E550" s="109" t="n"/>
      <c r="F550" s="109" t="n"/>
      <c r="G550" s="109" t="n"/>
      <c r="H550" s="109" t="n"/>
      <c r="I550" s="68" t="n"/>
      <c r="J550">
        <f>IF('House Count'!H550="Y",IF('House Count'!F550="RES-SFU",1,IF('House Count'!F550="RES-MDU",1,IF('House Count'!F550="RES-HOA",1,0))),0)</f>
        <v/>
      </c>
      <c r="K550">
        <f>IF('House Count'!H550="Y",IF('House Count'!F550="COMM-SU",1,IF('House Count'!F550="COM-MTU",1,IF('House Count'!F550="ENT",1,0))),0)</f>
        <v/>
      </c>
    </row>
    <row r="551">
      <c r="A551" s="109" t="n"/>
      <c r="B551" s="109" t="n"/>
      <c r="C551" s="109" t="n"/>
      <c r="D551" s="109" t="n"/>
      <c r="E551" s="109" t="n"/>
      <c r="F551" s="109" t="n"/>
      <c r="G551" s="109" t="n"/>
      <c r="H551" s="109" t="n"/>
      <c r="I551" s="68" t="n"/>
      <c r="J551">
        <f>IF('House Count'!H551="Y",IF('House Count'!F551="RES-SFU",1,IF('House Count'!F551="RES-MDU",1,IF('House Count'!F551="RES-HOA",1,0))),0)</f>
        <v/>
      </c>
      <c r="K551">
        <f>IF('House Count'!H551="Y",IF('House Count'!F551="COMM-SU",1,IF('House Count'!F551="COM-MTU",1,IF('House Count'!F551="ENT",1,0))),0)</f>
        <v/>
      </c>
    </row>
    <row r="552">
      <c r="A552" s="109" t="n"/>
      <c r="B552" s="109" t="n"/>
      <c r="C552" s="109" t="n"/>
      <c r="D552" s="109" t="n"/>
      <c r="E552" s="109" t="n"/>
      <c r="F552" s="109" t="n"/>
      <c r="G552" s="109" t="n"/>
      <c r="H552" s="109" t="n"/>
      <c r="I552" s="68" t="n"/>
      <c r="J552">
        <f>IF('House Count'!H552="Y",IF('House Count'!F552="RES-SFU",1,IF('House Count'!F552="RES-MDU",1,IF('House Count'!F552="RES-HOA",1,0))),0)</f>
        <v/>
      </c>
      <c r="K552">
        <f>IF('House Count'!H552="Y",IF('House Count'!F552="COMM-SU",1,IF('House Count'!F552="COM-MTU",1,IF('House Count'!F552="ENT",1,0))),0)</f>
        <v/>
      </c>
    </row>
    <row r="553" ht="15.75" customHeight="1" thickBot="1">
      <c r="A553" s="545" t="n"/>
      <c r="B553" s="545" t="n"/>
      <c r="C553" s="545" t="n"/>
      <c r="D553" s="545" t="n"/>
      <c r="E553" s="545" t="n"/>
      <c r="F553" s="545" t="n"/>
      <c r="G553" s="545" t="n"/>
      <c r="H553" s="545" t="n"/>
      <c r="I553" s="546" t="n"/>
      <c r="J553">
        <f>IF('House Count'!H553="Y",IF('House Count'!F553="RES-SFU",1,IF('House Count'!F553="RES-MDU",1,IF('House Count'!F553="RES-HOA",1,0))),0)</f>
        <v/>
      </c>
      <c r="K553">
        <f>IF('House Count'!H553="Y",IF('House Count'!F553="COMM-SU",1,IF('House Count'!F553="COM-MTU",1,IF('House Count'!F553="ENT",1,0))),0)</f>
        <v/>
      </c>
    </row>
    <row r="554" ht="15.75" customHeight="1" thickTop="1">
      <c r="A554" s="109" t="n"/>
      <c r="B554" s="109" t="n"/>
      <c r="C554" s="109" t="n"/>
      <c r="D554" s="109" t="n"/>
      <c r="E554" s="109" t="n"/>
      <c r="F554" s="109" t="n"/>
      <c r="G554" s="109" t="n"/>
      <c r="H554" s="109" t="n"/>
      <c r="I554" s="68" t="n"/>
      <c r="J554">
        <f>IF('House Count'!H554="Y",IF('House Count'!F554="RES-SFU",1,IF('House Count'!F554="RES-MDU",1,IF('House Count'!F554="RES-HOA",1,0))),0)</f>
        <v/>
      </c>
      <c r="K554">
        <f>IF('House Count'!H554="Y",IF('House Count'!F554="COMM-SU",1,IF('House Count'!F554="COM-MTU",1,IF('House Count'!F554="ENT",1,0))),0)</f>
        <v/>
      </c>
    </row>
    <row r="555">
      <c r="A555" s="109" t="n"/>
      <c r="B555" s="109" t="n"/>
      <c r="C555" s="109" t="n"/>
      <c r="D555" s="109" t="n"/>
      <c r="E555" s="109" t="n"/>
      <c r="F555" s="109" t="n"/>
      <c r="G555" s="109" t="n"/>
      <c r="H555" s="109" t="n"/>
      <c r="I555" s="68" t="n"/>
      <c r="J555">
        <f>IF('House Count'!H555="Y",IF('House Count'!F555="RES-SFU",1,IF('House Count'!F555="RES-MDU",1,IF('House Count'!F555="RES-HOA",1,0))),0)</f>
        <v/>
      </c>
      <c r="K555">
        <f>IF('House Count'!H555="Y",IF('House Count'!F555="COMM-SU",1,IF('House Count'!F555="COM-MTU",1,IF('House Count'!F555="ENT",1,0))),0)</f>
        <v/>
      </c>
    </row>
    <row r="556">
      <c r="A556" s="109" t="n"/>
      <c r="B556" s="109" t="n"/>
      <c r="C556" s="109" t="n"/>
      <c r="D556" s="109" t="n"/>
      <c r="E556" s="109" t="n"/>
      <c r="F556" s="109" t="n"/>
      <c r="G556" s="109" t="n"/>
      <c r="H556" s="109" t="n"/>
      <c r="I556" s="68" t="n"/>
      <c r="J556">
        <f>IF('House Count'!H556="Y",IF('House Count'!F556="RES-SFU",1,IF('House Count'!F556="RES-MDU",1,IF('House Count'!F556="RES-HOA",1,0))),0)</f>
        <v/>
      </c>
      <c r="K556">
        <f>IF('House Count'!H556="Y",IF('House Count'!F556="COMM-SU",1,IF('House Count'!F556="COM-MTU",1,IF('House Count'!F556="ENT",1,0))),0)</f>
        <v/>
      </c>
    </row>
    <row r="557">
      <c r="A557" s="109" t="n"/>
      <c r="B557" s="109" t="n"/>
      <c r="C557" s="109" t="n"/>
      <c r="D557" s="109" t="n"/>
      <c r="E557" s="109" t="n"/>
      <c r="F557" s="109" t="n"/>
      <c r="G557" s="109" t="n"/>
      <c r="H557" s="109" t="n"/>
      <c r="I557" s="68" t="n"/>
      <c r="J557">
        <f>IF('House Count'!H557="Y",IF('House Count'!F557="RES-SFU",1,IF('House Count'!F557="RES-MDU",1,IF('House Count'!F557="RES-HOA",1,0))),0)</f>
        <v/>
      </c>
      <c r="K557">
        <f>IF('House Count'!H557="Y",IF('House Count'!F557="COMM-SU",1,IF('House Count'!F557="COM-MTU",1,IF('House Count'!F557="ENT",1,0))),0)</f>
        <v/>
      </c>
    </row>
    <row r="558">
      <c r="A558" s="109" t="n"/>
      <c r="B558" s="109" t="n"/>
      <c r="C558" s="109" t="n"/>
      <c r="D558" s="109" t="n"/>
      <c r="E558" s="109" t="n"/>
      <c r="F558" s="109" t="n"/>
      <c r="G558" s="109" t="n"/>
      <c r="H558" s="109" t="n"/>
      <c r="I558" s="68" t="n"/>
      <c r="J558">
        <f>IF('House Count'!H558="Y",IF('House Count'!F558="RES-SFU",1,IF('House Count'!F558="RES-MDU",1,IF('House Count'!F558="RES-HOA",1,0))),0)</f>
        <v/>
      </c>
      <c r="K558">
        <f>IF('House Count'!H558="Y",IF('House Count'!F558="COMM-SU",1,IF('House Count'!F558="COM-MTU",1,IF('House Count'!F558="ENT",1,0))),0)</f>
        <v/>
      </c>
    </row>
    <row r="559">
      <c r="A559" s="109" t="n"/>
      <c r="B559" s="109" t="n"/>
      <c r="C559" s="109" t="n"/>
      <c r="D559" s="109" t="n"/>
      <c r="E559" s="109" t="n"/>
      <c r="F559" s="109" t="n"/>
      <c r="G559" s="109" t="n"/>
      <c r="H559" s="109" t="n"/>
      <c r="I559" s="68" t="n"/>
      <c r="J559">
        <f>IF('House Count'!H559="Y",IF('House Count'!F559="RES-SFU",1,IF('House Count'!F559="RES-MDU",1,IF('House Count'!F559="RES-HOA",1,0))),0)</f>
        <v/>
      </c>
      <c r="K559">
        <f>IF('House Count'!H559="Y",IF('House Count'!F559="COMM-SU",1,IF('House Count'!F559="COM-MTU",1,IF('House Count'!F559="ENT",1,0))),0)</f>
        <v/>
      </c>
    </row>
    <row r="560">
      <c r="A560" s="109" t="n"/>
      <c r="B560" s="109" t="n"/>
      <c r="C560" s="109" t="n"/>
      <c r="D560" s="109" t="n"/>
      <c r="E560" s="109" t="n"/>
      <c r="F560" s="109" t="n"/>
      <c r="G560" s="109" t="n"/>
      <c r="H560" s="109" t="n"/>
      <c r="I560" s="68" t="n"/>
      <c r="J560">
        <f>IF('House Count'!H560="Y",IF('House Count'!F560="RES-SFU",1,IF('House Count'!F560="RES-MDU",1,IF('House Count'!F560="RES-HOA",1,0))),0)</f>
        <v/>
      </c>
      <c r="K560">
        <f>IF('House Count'!H560="Y",IF('House Count'!F560="COMM-SU",1,IF('House Count'!F560="COM-MTU",1,IF('House Count'!F560="ENT",1,0))),0)</f>
        <v/>
      </c>
    </row>
    <row r="561">
      <c r="A561" s="109" t="n"/>
      <c r="B561" s="109" t="n"/>
      <c r="C561" s="109" t="n"/>
      <c r="D561" s="109" t="n"/>
      <c r="E561" s="109" t="n"/>
      <c r="F561" s="109" t="n"/>
      <c r="G561" s="109" t="n"/>
      <c r="H561" s="109" t="n"/>
      <c r="I561" s="68" t="n"/>
      <c r="J561">
        <f>IF('House Count'!H561="Y",IF('House Count'!F561="RES-SFU",1,IF('House Count'!F561="RES-MDU",1,IF('House Count'!F561="RES-HOA",1,0))),0)</f>
        <v/>
      </c>
      <c r="K561">
        <f>IF('House Count'!H561="Y",IF('House Count'!F561="COMM-SU",1,IF('House Count'!F561="COM-MTU",1,IF('House Count'!F561="ENT",1,0))),0)</f>
        <v/>
      </c>
    </row>
    <row r="562">
      <c r="A562" s="109" t="n"/>
      <c r="B562" s="109" t="n"/>
      <c r="C562" s="109" t="n"/>
      <c r="D562" s="109" t="n"/>
      <c r="E562" s="109" t="n"/>
      <c r="F562" s="109" t="n"/>
      <c r="G562" s="109" t="n"/>
      <c r="H562" s="109" t="n"/>
      <c r="I562" s="68" t="n"/>
      <c r="J562">
        <f>IF('House Count'!H562="Y",IF('House Count'!F562="RES-SFU",1,IF('House Count'!F562="RES-MDU",1,IF('House Count'!F562="RES-HOA",1,0))),0)</f>
        <v/>
      </c>
      <c r="K562">
        <f>IF('House Count'!H562="Y",IF('House Count'!F562="COMM-SU",1,IF('House Count'!F562="COM-MTU",1,IF('House Count'!F562="ENT",1,0))),0)</f>
        <v/>
      </c>
    </row>
    <row r="563">
      <c r="A563" s="109" t="n"/>
      <c r="B563" s="109" t="n"/>
      <c r="C563" s="109" t="n"/>
      <c r="D563" s="109" t="n"/>
      <c r="E563" s="109" t="n"/>
      <c r="F563" s="109" t="n"/>
      <c r="G563" s="109" t="n"/>
      <c r="H563" s="109" t="n"/>
      <c r="I563" s="68" t="n"/>
      <c r="J563">
        <f>IF('House Count'!H563="Y",IF('House Count'!F563="RES-SFU",1,IF('House Count'!F563="RES-MDU",1,IF('House Count'!F563="RES-HOA",1,0))),0)</f>
        <v/>
      </c>
      <c r="K563">
        <f>IF('House Count'!H563="Y",IF('House Count'!F563="COMM-SU",1,IF('House Count'!F563="COM-MTU",1,IF('House Count'!F563="ENT",1,0))),0)</f>
        <v/>
      </c>
    </row>
    <row r="564">
      <c r="A564" s="109" t="n"/>
      <c r="B564" s="109" t="n"/>
      <c r="C564" s="109" t="n"/>
      <c r="D564" s="109" t="n"/>
      <c r="E564" s="109" t="n"/>
      <c r="F564" s="109" t="n"/>
      <c r="G564" s="109" t="n"/>
      <c r="H564" s="109" t="n"/>
      <c r="I564" s="68" t="n"/>
      <c r="J564">
        <f>IF('House Count'!H564="Y",IF('House Count'!F564="RES-SFU",1,IF('House Count'!F564="RES-MDU",1,IF('House Count'!F564="RES-HOA",1,0))),0)</f>
        <v/>
      </c>
      <c r="K564">
        <f>IF('House Count'!H564="Y",IF('House Count'!F564="COMM-SU",1,IF('House Count'!F564="COM-MTU",1,IF('House Count'!F564="ENT",1,0))),0)</f>
        <v/>
      </c>
    </row>
    <row r="565" ht="15.75" customHeight="1" thickBot="1">
      <c r="A565" s="545" t="n"/>
      <c r="B565" s="545" t="n"/>
      <c r="C565" s="545" t="n"/>
      <c r="D565" s="545" t="n"/>
      <c r="E565" s="545" t="n"/>
      <c r="F565" s="545" t="n"/>
      <c r="G565" s="545" t="n"/>
      <c r="H565" s="545" t="n"/>
      <c r="I565" s="546" t="n"/>
      <c r="J565">
        <f>IF('House Count'!H565="Y",IF('House Count'!F565="RES-SFU",1,IF('House Count'!F565="RES-MDU",1,IF('House Count'!F565="RES-HOA",1,0))),0)</f>
        <v/>
      </c>
      <c r="K565">
        <f>IF('House Count'!H565="Y",IF('House Count'!F565="COMM-SU",1,IF('House Count'!F565="COM-MTU",1,IF('House Count'!F565="ENT",1,0))),0)</f>
        <v/>
      </c>
    </row>
    <row r="566" ht="15.75" customHeight="1" thickTop="1">
      <c r="A566" s="109" t="n"/>
      <c r="B566" s="109" t="n"/>
      <c r="C566" s="109" t="n"/>
      <c r="D566" s="109" t="n"/>
      <c r="E566" s="109" t="n"/>
      <c r="F566" s="109" t="n"/>
      <c r="G566" s="109" t="n"/>
      <c r="H566" s="109" t="n"/>
      <c r="I566" s="68" t="n"/>
      <c r="J566">
        <f>IF('House Count'!H566="Y",IF('House Count'!F566="RES-SFU",1,IF('House Count'!F566="RES-MDU",1,IF('House Count'!F566="RES-HOA",1,0))),0)</f>
        <v/>
      </c>
      <c r="K566">
        <f>IF('House Count'!H566="Y",IF('House Count'!F566="COMM-SU",1,IF('House Count'!F566="COM-MTU",1,IF('House Count'!F566="ENT",1,0))),0)</f>
        <v/>
      </c>
    </row>
    <row r="567">
      <c r="A567" s="109" t="n"/>
      <c r="B567" s="109" t="n"/>
      <c r="C567" s="109" t="n"/>
      <c r="D567" s="109" t="n"/>
      <c r="E567" s="109" t="n"/>
      <c r="F567" s="109" t="n"/>
      <c r="G567" s="109" t="n"/>
      <c r="H567" s="109" t="n"/>
      <c r="I567" s="68" t="n"/>
      <c r="J567">
        <f>IF('House Count'!H567="Y",IF('House Count'!F567="RES-SFU",1,IF('House Count'!F567="RES-MDU",1,IF('House Count'!F567="RES-HOA",1,0))),0)</f>
        <v/>
      </c>
      <c r="K567">
        <f>IF('House Count'!H567="Y",IF('House Count'!F567="COMM-SU",1,IF('House Count'!F567="COM-MTU",1,IF('House Count'!F567="ENT",1,0))),0)</f>
        <v/>
      </c>
    </row>
    <row r="568">
      <c r="A568" s="109" t="n"/>
      <c r="B568" s="109" t="n"/>
      <c r="C568" s="109" t="n"/>
      <c r="D568" s="109" t="n"/>
      <c r="E568" s="109" t="n"/>
      <c r="F568" s="109" t="n"/>
      <c r="G568" s="109" t="n"/>
      <c r="H568" s="109" t="n"/>
      <c r="I568" s="68" t="n"/>
      <c r="J568">
        <f>IF('House Count'!H568="Y",IF('House Count'!F568="RES-SFU",1,IF('House Count'!F568="RES-MDU",1,IF('House Count'!F568="RES-HOA",1,0))),0)</f>
        <v/>
      </c>
      <c r="K568">
        <f>IF('House Count'!H568="Y",IF('House Count'!F568="COMM-SU",1,IF('House Count'!F568="COM-MTU",1,IF('House Count'!F568="ENT",1,0))),0)</f>
        <v/>
      </c>
    </row>
    <row r="569">
      <c r="A569" s="109" t="n"/>
      <c r="B569" s="109" t="n"/>
      <c r="C569" s="109" t="n"/>
      <c r="D569" s="109" t="n"/>
      <c r="E569" s="109" t="n"/>
      <c r="F569" s="109" t="n"/>
      <c r="G569" s="109" t="n"/>
      <c r="H569" s="109" t="n"/>
      <c r="I569" s="68" t="n"/>
      <c r="J569">
        <f>IF('House Count'!H569="Y",IF('House Count'!F569="RES-SFU",1,IF('House Count'!F569="RES-MDU",1,IF('House Count'!F569="RES-HOA",1,0))),0)</f>
        <v/>
      </c>
      <c r="K569">
        <f>IF('House Count'!H569="Y",IF('House Count'!F569="COMM-SU",1,IF('House Count'!F569="COM-MTU",1,IF('House Count'!F569="ENT",1,0))),0)</f>
        <v/>
      </c>
    </row>
    <row r="570">
      <c r="A570" s="109" t="n"/>
      <c r="B570" s="109" t="n"/>
      <c r="C570" s="109" t="n"/>
      <c r="D570" s="109" t="n"/>
      <c r="E570" s="109" t="n"/>
      <c r="F570" s="109" t="n"/>
      <c r="G570" s="109" t="n"/>
      <c r="H570" s="109" t="n"/>
      <c r="I570" s="68" t="n"/>
      <c r="J570">
        <f>IF('House Count'!H570="Y",IF('House Count'!F570="RES-SFU",1,IF('House Count'!F570="RES-MDU",1,IF('House Count'!F570="RES-HOA",1,0))),0)</f>
        <v/>
      </c>
      <c r="K570">
        <f>IF('House Count'!H570="Y",IF('House Count'!F570="COMM-SU",1,IF('House Count'!F570="COM-MTU",1,IF('House Count'!F570="ENT",1,0))),0)</f>
        <v/>
      </c>
    </row>
    <row r="571">
      <c r="A571" s="109" t="n"/>
      <c r="B571" s="109" t="n"/>
      <c r="C571" s="109" t="n"/>
      <c r="D571" s="109" t="n"/>
      <c r="E571" s="109" t="n"/>
      <c r="F571" s="109" t="n"/>
      <c r="G571" s="109" t="n"/>
      <c r="H571" s="109" t="n"/>
      <c r="I571" s="68" t="n"/>
      <c r="J571">
        <f>IF('House Count'!H571="Y",IF('House Count'!F571="RES-SFU",1,IF('House Count'!F571="RES-MDU",1,IF('House Count'!F571="RES-HOA",1,0))),0)</f>
        <v/>
      </c>
      <c r="K571">
        <f>IF('House Count'!H571="Y",IF('House Count'!F571="COMM-SU",1,IF('House Count'!F571="COM-MTU",1,IF('House Count'!F571="ENT",1,0))),0)</f>
        <v/>
      </c>
    </row>
    <row r="572">
      <c r="A572" s="109" t="n"/>
      <c r="B572" s="109" t="n"/>
      <c r="C572" s="109" t="n"/>
      <c r="D572" s="109" t="n"/>
      <c r="E572" s="109" t="n"/>
      <c r="F572" s="109" t="n"/>
      <c r="G572" s="109" t="n"/>
      <c r="H572" s="109" t="n"/>
      <c r="I572" s="68" t="n"/>
      <c r="J572">
        <f>IF('House Count'!H572="Y",IF('House Count'!F572="RES-SFU",1,IF('House Count'!F572="RES-MDU",1,IF('House Count'!F572="RES-HOA",1,0))),0)</f>
        <v/>
      </c>
      <c r="K572">
        <f>IF('House Count'!H572="Y",IF('House Count'!F572="COMM-SU",1,IF('House Count'!F572="COM-MTU",1,IF('House Count'!F572="ENT",1,0))),0)</f>
        <v/>
      </c>
    </row>
    <row r="573">
      <c r="A573" s="109" t="n"/>
      <c r="B573" s="109" t="n"/>
      <c r="C573" s="109" t="n"/>
      <c r="D573" s="109" t="n"/>
      <c r="E573" s="109" t="n"/>
      <c r="F573" s="109" t="n"/>
      <c r="G573" s="109" t="n"/>
      <c r="H573" s="109" t="n"/>
      <c r="I573" s="68" t="n"/>
      <c r="J573">
        <f>IF('House Count'!H573="Y",IF('House Count'!F573="RES-SFU",1,IF('House Count'!F573="RES-MDU",1,IF('House Count'!F573="RES-HOA",1,0))),0)</f>
        <v/>
      </c>
      <c r="K573">
        <f>IF('House Count'!H573="Y",IF('House Count'!F573="COMM-SU",1,IF('House Count'!F573="COM-MTU",1,IF('House Count'!F573="ENT",1,0))),0)</f>
        <v/>
      </c>
    </row>
    <row r="574">
      <c r="A574" s="109" t="n"/>
      <c r="B574" s="109" t="n"/>
      <c r="C574" s="109" t="n"/>
      <c r="D574" s="109" t="n"/>
      <c r="E574" s="109" t="n"/>
      <c r="F574" s="109" t="n"/>
      <c r="G574" s="109" t="n"/>
      <c r="H574" s="109" t="n"/>
      <c r="I574" s="68" t="n"/>
      <c r="J574">
        <f>IF('House Count'!H574="Y",IF('House Count'!F574="RES-SFU",1,IF('House Count'!F574="RES-MDU",1,IF('House Count'!F574="RES-HOA",1,0))),0)</f>
        <v/>
      </c>
      <c r="K574">
        <f>IF('House Count'!H574="Y",IF('House Count'!F574="COMM-SU",1,IF('House Count'!F574="COM-MTU",1,IF('House Count'!F574="ENT",1,0))),0)</f>
        <v/>
      </c>
    </row>
    <row r="575">
      <c r="A575" s="109" t="n"/>
      <c r="B575" s="109" t="n"/>
      <c r="C575" s="109" t="n"/>
      <c r="D575" s="109" t="n"/>
      <c r="E575" s="109" t="n"/>
      <c r="F575" s="109" t="n"/>
      <c r="G575" s="109" t="n"/>
      <c r="H575" s="109" t="n"/>
      <c r="I575" s="68" t="n"/>
      <c r="J575">
        <f>IF('House Count'!H575="Y",IF('House Count'!F575="RES-SFU",1,IF('House Count'!F575="RES-MDU",1,IF('House Count'!F575="RES-HOA",1,0))),0)</f>
        <v/>
      </c>
      <c r="K575">
        <f>IF('House Count'!H575="Y",IF('House Count'!F575="COMM-SU",1,IF('House Count'!F575="COM-MTU",1,IF('House Count'!F575="ENT",1,0))),0)</f>
        <v/>
      </c>
    </row>
    <row r="576">
      <c r="A576" s="109" t="n"/>
      <c r="B576" s="109" t="n"/>
      <c r="C576" s="109" t="n"/>
      <c r="D576" s="109" t="n"/>
      <c r="E576" s="109" t="n"/>
      <c r="F576" s="109" t="n"/>
      <c r="G576" s="109" t="n"/>
      <c r="H576" s="109" t="n"/>
      <c r="I576" s="68" t="n"/>
      <c r="J576">
        <f>IF('House Count'!H576="Y",IF('House Count'!F576="RES-SFU",1,IF('House Count'!F576="RES-MDU",1,IF('House Count'!F576="RES-HOA",1,0))),0)</f>
        <v/>
      </c>
      <c r="K576">
        <f>IF('House Count'!H576="Y",IF('House Count'!F576="COMM-SU",1,IF('House Count'!F576="COM-MTU",1,IF('House Count'!F576="ENT",1,0))),0)</f>
        <v/>
      </c>
    </row>
    <row r="577" ht="15.75" customHeight="1" thickBot="1">
      <c r="A577" s="545" t="n"/>
      <c r="B577" s="545" t="n"/>
      <c r="C577" s="545" t="n"/>
      <c r="D577" s="545" t="n"/>
      <c r="E577" s="545" t="n"/>
      <c r="F577" s="545" t="n"/>
      <c r="G577" s="545" t="n"/>
      <c r="H577" s="545" t="n"/>
      <c r="I577" s="546" t="n"/>
      <c r="J577">
        <f>IF('House Count'!H577="Y",IF('House Count'!F577="RES-SFU",1,IF('House Count'!F577="RES-MDU",1,IF('House Count'!F577="RES-HOA",1,0))),0)</f>
        <v/>
      </c>
      <c r="K577">
        <f>IF('House Count'!H577="Y",IF('House Count'!F577="COMM-SU",1,IF('House Count'!F577="COM-MTU",1,IF('House Count'!F577="ENT",1,0))),0)</f>
        <v/>
      </c>
    </row>
    <row r="578" ht="15.75" customHeight="1" thickTop="1">
      <c r="A578" s="109" t="n"/>
      <c r="B578" s="109" t="n"/>
      <c r="C578" s="109" t="n"/>
      <c r="D578" s="109" t="n"/>
      <c r="E578" s="109" t="n"/>
      <c r="F578" s="109" t="n"/>
      <c r="G578" s="109" t="n"/>
      <c r="H578" s="109" t="n"/>
      <c r="I578" s="68" t="n"/>
      <c r="J578">
        <f>IF('House Count'!H578="Y",IF('House Count'!F578="RES-SFU",1,IF('House Count'!F578="RES-MDU",1,IF('House Count'!F578="RES-HOA",1,0))),0)</f>
        <v/>
      </c>
      <c r="K578">
        <f>IF('House Count'!H578="Y",IF('House Count'!F578="COMM-SU",1,IF('House Count'!F578="COM-MTU",1,IF('House Count'!F578="ENT",1,0))),0)</f>
        <v/>
      </c>
    </row>
    <row r="579">
      <c r="A579" s="109" t="n"/>
      <c r="B579" s="109" t="n"/>
      <c r="C579" s="109" t="n"/>
      <c r="D579" s="109" t="n"/>
      <c r="E579" s="109" t="n"/>
      <c r="F579" s="109" t="n"/>
      <c r="G579" s="109" t="n"/>
      <c r="H579" s="109" t="n"/>
      <c r="I579" s="68" t="n"/>
      <c r="J579">
        <f>IF('House Count'!H579="Y",IF('House Count'!F579="RES-SFU",1,IF('House Count'!F579="RES-MDU",1,IF('House Count'!F579="RES-HOA",1,0))),0)</f>
        <v/>
      </c>
      <c r="K579">
        <f>IF('House Count'!H579="Y",IF('House Count'!F579="COMM-SU",1,IF('House Count'!F579="COM-MTU",1,IF('House Count'!F579="ENT",1,0))),0)</f>
        <v/>
      </c>
    </row>
    <row r="580">
      <c r="A580" s="109" t="n"/>
      <c r="B580" s="109" t="n"/>
      <c r="C580" s="109" t="n"/>
      <c r="D580" s="109" t="n"/>
      <c r="E580" s="109" t="n"/>
      <c r="F580" s="109" t="n"/>
      <c r="G580" s="109" t="n"/>
      <c r="H580" s="109" t="n"/>
      <c r="I580" s="68" t="n"/>
      <c r="J580">
        <f>IF('House Count'!H580="Y",IF('House Count'!F580="RES-SFU",1,IF('House Count'!F580="RES-MDU",1,IF('House Count'!F580="RES-HOA",1,0))),0)</f>
        <v/>
      </c>
      <c r="K580">
        <f>IF('House Count'!H580="Y",IF('House Count'!F580="COMM-SU",1,IF('House Count'!F580="COM-MTU",1,IF('House Count'!F580="ENT",1,0))),0)</f>
        <v/>
      </c>
    </row>
    <row r="581">
      <c r="A581" s="109" t="n"/>
      <c r="B581" s="109" t="n"/>
      <c r="C581" s="109" t="n"/>
      <c r="D581" s="109" t="n"/>
      <c r="E581" s="109" t="n"/>
      <c r="F581" s="109" t="n"/>
      <c r="G581" s="109" t="n"/>
      <c r="H581" s="109" t="n"/>
      <c r="I581" s="68" t="n"/>
      <c r="J581">
        <f>IF('House Count'!H581="Y",IF('House Count'!F581="RES-SFU",1,IF('House Count'!F581="RES-MDU",1,IF('House Count'!F581="RES-HOA",1,0))),0)</f>
        <v/>
      </c>
      <c r="K581">
        <f>IF('House Count'!H581="Y",IF('House Count'!F581="COMM-SU",1,IF('House Count'!F581="COM-MTU",1,IF('House Count'!F581="ENT",1,0))),0)</f>
        <v/>
      </c>
    </row>
    <row r="582">
      <c r="A582" s="109" t="n"/>
      <c r="B582" s="109" t="n"/>
      <c r="C582" s="109" t="n"/>
      <c r="D582" s="109" t="n"/>
      <c r="E582" s="109" t="n"/>
      <c r="F582" s="109" t="n"/>
      <c r="G582" s="109" t="n"/>
      <c r="H582" s="109" t="n"/>
      <c r="I582" s="68" t="n"/>
      <c r="J582">
        <f>IF('House Count'!H582="Y",IF('House Count'!F582="RES-SFU",1,IF('House Count'!F582="RES-MDU",1,IF('House Count'!F582="RES-HOA",1,0))),0)</f>
        <v/>
      </c>
      <c r="K582">
        <f>IF('House Count'!H582="Y",IF('House Count'!F582="COMM-SU",1,IF('House Count'!F582="COM-MTU",1,IF('House Count'!F582="ENT",1,0))),0)</f>
        <v/>
      </c>
    </row>
    <row r="583">
      <c r="A583" s="109" t="n"/>
      <c r="B583" s="109" t="n"/>
      <c r="C583" s="109" t="n"/>
      <c r="D583" s="109" t="n"/>
      <c r="E583" s="109" t="n"/>
      <c r="F583" s="109" t="n"/>
      <c r="G583" s="109" t="n"/>
      <c r="H583" s="109" t="n"/>
      <c r="I583" s="68" t="n"/>
      <c r="J583">
        <f>IF('House Count'!H583="Y",IF('House Count'!F583="RES-SFU",1,IF('House Count'!F583="RES-MDU",1,IF('House Count'!F583="RES-HOA",1,0))),0)</f>
        <v/>
      </c>
      <c r="K583">
        <f>IF('House Count'!H583="Y",IF('House Count'!F583="COMM-SU",1,IF('House Count'!F583="COM-MTU",1,IF('House Count'!F583="ENT",1,0))),0)</f>
        <v/>
      </c>
    </row>
    <row r="584">
      <c r="A584" s="109" t="n"/>
      <c r="B584" s="109" t="n"/>
      <c r="C584" s="109" t="n"/>
      <c r="D584" s="109" t="n"/>
      <c r="E584" s="109" t="n"/>
      <c r="F584" s="109" t="n"/>
      <c r="G584" s="109" t="n"/>
      <c r="H584" s="109" t="n"/>
      <c r="I584" s="68" t="n"/>
      <c r="J584">
        <f>IF('House Count'!H584="Y",IF('House Count'!F584="RES-SFU",1,IF('House Count'!F584="RES-MDU",1,IF('House Count'!F584="RES-HOA",1,0))),0)</f>
        <v/>
      </c>
      <c r="K584">
        <f>IF('House Count'!H584="Y",IF('House Count'!F584="COMM-SU",1,IF('House Count'!F584="COM-MTU",1,IF('House Count'!F584="ENT",1,0))),0)</f>
        <v/>
      </c>
    </row>
    <row r="585">
      <c r="A585" s="109" t="n"/>
      <c r="B585" s="109" t="n"/>
      <c r="C585" s="109" t="n"/>
      <c r="D585" s="109" t="n"/>
      <c r="E585" s="109" t="n"/>
      <c r="F585" s="109" t="n"/>
      <c r="G585" s="109" t="n"/>
      <c r="H585" s="109" t="n"/>
      <c r="I585" s="68" t="n"/>
      <c r="J585">
        <f>IF('House Count'!H585="Y",IF('House Count'!F585="RES-SFU",1,IF('House Count'!F585="RES-MDU",1,IF('House Count'!F585="RES-HOA",1,0))),0)</f>
        <v/>
      </c>
      <c r="K585">
        <f>IF('House Count'!H585="Y",IF('House Count'!F585="COMM-SU",1,IF('House Count'!F585="COM-MTU",1,IF('House Count'!F585="ENT",1,0))),0)</f>
        <v/>
      </c>
    </row>
    <row r="586">
      <c r="A586" s="109" t="n"/>
      <c r="B586" s="109" t="n"/>
      <c r="C586" s="109" t="n"/>
      <c r="D586" s="109" t="n"/>
      <c r="E586" s="109" t="n"/>
      <c r="F586" s="109" t="n"/>
      <c r="G586" s="109" t="n"/>
      <c r="H586" s="109" t="n"/>
      <c r="I586" s="68" t="n"/>
      <c r="J586">
        <f>IF('House Count'!H586="Y",IF('House Count'!F586="RES-SFU",1,IF('House Count'!F586="RES-MDU",1,IF('House Count'!F586="RES-HOA",1,0))),0)</f>
        <v/>
      </c>
      <c r="K586">
        <f>IF('House Count'!H586="Y",IF('House Count'!F586="COMM-SU",1,IF('House Count'!F586="COM-MTU",1,IF('House Count'!F586="ENT",1,0))),0)</f>
        <v/>
      </c>
    </row>
    <row r="587">
      <c r="A587" s="109" t="n"/>
      <c r="B587" s="109" t="n"/>
      <c r="C587" s="109" t="n"/>
      <c r="D587" s="109" t="n"/>
      <c r="E587" s="109" t="n"/>
      <c r="F587" s="109" t="n"/>
      <c r="G587" s="109" t="n"/>
      <c r="H587" s="109" t="n"/>
      <c r="I587" s="68" t="n"/>
      <c r="J587">
        <f>IF('House Count'!H587="Y",IF('House Count'!F587="RES-SFU",1,IF('House Count'!F587="RES-MDU",1,IF('House Count'!F587="RES-HOA",1,0))),0)</f>
        <v/>
      </c>
      <c r="K587">
        <f>IF('House Count'!H587="Y",IF('House Count'!F587="COMM-SU",1,IF('House Count'!F587="COM-MTU",1,IF('House Count'!F587="ENT",1,0))),0)</f>
        <v/>
      </c>
    </row>
    <row r="588">
      <c r="A588" s="109" t="n"/>
      <c r="B588" s="109" t="n"/>
      <c r="C588" s="109" t="n"/>
      <c r="D588" s="109" t="n"/>
      <c r="E588" s="109" t="n"/>
      <c r="F588" s="109" t="n"/>
      <c r="G588" s="109" t="n"/>
      <c r="H588" s="109" t="n"/>
      <c r="I588" s="68" t="n"/>
      <c r="J588">
        <f>IF('House Count'!H588="Y",IF('House Count'!F588="RES-SFU",1,IF('House Count'!F588="RES-MDU",1,IF('House Count'!F588="RES-HOA",1,0))),0)</f>
        <v/>
      </c>
      <c r="K588">
        <f>IF('House Count'!H588="Y",IF('House Count'!F588="COMM-SU",1,IF('House Count'!F588="COM-MTU",1,IF('House Count'!F588="ENT",1,0))),0)</f>
        <v/>
      </c>
    </row>
    <row r="589" ht="15.75" customHeight="1" thickBot="1">
      <c r="A589" s="545" t="n"/>
      <c r="B589" s="545" t="n"/>
      <c r="C589" s="545" t="n"/>
      <c r="D589" s="545" t="n"/>
      <c r="E589" s="545" t="n"/>
      <c r="F589" s="545" t="n"/>
      <c r="G589" s="545" t="n"/>
      <c r="H589" s="545" t="n"/>
      <c r="I589" s="546" t="n"/>
      <c r="J589">
        <f>IF('House Count'!H589="Y",IF('House Count'!F589="RES-SFU",1,IF('House Count'!F589="RES-MDU",1,IF('House Count'!F589="RES-HOA",1,0))),0)</f>
        <v/>
      </c>
      <c r="K589">
        <f>IF('House Count'!H589="Y",IF('House Count'!F589="COMM-SU",1,IF('House Count'!F589="COM-MTU",1,IF('House Count'!F589="ENT",1,0))),0)</f>
        <v/>
      </c>
    </row>
    <row r="590" ht="15.75" customHeight="1" thickTop="1">
      <c r="A590" s="109" t="n"/>
      <c r="B590" s="109" t="n"/>
      <c r="C590" s="109" t="n"/>
      <c r="D590" s="109" t="n"/>
      <c r="E590" s="109" t="n"/>
      <c r="F590" s="109" t="n"/>
      <c r="G590" s="109" t="n"/>
      <c r="H590" s="109" t="n"/>
      <c r="I590" s="68" t="n"/>
      <c r="J590">
        <f>IF('House Count'!H590="Y",IF('House Count'!F590="RES-SFU",1,IF('House Count'!F590="RES-MDU",1,IF('House Count'!F590="RES-HOA",1,0))),0)</f>
        <v/>
      </c>
      <c r="K590">
        <f>IF('House Count'!H590="Y",IF('House Count'!F590="COMM-SU",1,IF('House Count'!F590="COM-MTU",1,IF('House Count'!F590="ENT",1,0))),0)</f>
        <v/>
      </c>
    </row>
    <row r="591">
      <c r="A591" s="109" t="n"/>
      <c r="B591" s="109" t="n"/>
      <c r="C591" s="109" t="n"/>
      <c r="D591" s="109" t="n"/>
      <c r="E591" s="109" t="n"/>
      <c r="F591" s="109" t="n"/>
      <c r="G591" s="109" t="n"/>
      <c r="H591" s="109" t="n"/>
      <c r="I591" s="68" t="n"/>
      <c r="J591">
        <f>IF('House Count'!H591="Y",IF('House Count'!F591="RES-SFU",1,IF('House Count'!F591="RES-MDU",1,IF('House Count'!F591="RES-HOA",1,0))),0)</f>
        <v/>
      </c>
      <c r="K591">
        <f>IF('House Count'!H591="Y",IF('House Count'!F591="COMM-SU",1,IF('House Count'!F591="COM-MTU",1,IF('House Count'!F591="ENT",1,0))),0)</f>
        <v/>
      </c>
    </row>
    <row r="592">
      <c r="A592" s="109" t="n"/>
      <c r="B592" s="109" t="n"/>
      <c r="C592" s="109" t="n"/>
      <c r="D592" s="109" t="n"/>
      <c r="E592" s="109" t="n"/>
      <c r="F592" s="109" t="n"/>
      <c r="G592" s="109" t="n"/>
      <c r="H592" s="109" t="n"/>
      <c r="I592" s="68" t="n"/>
      <c r="J592">
        <f>IF('House Count'!H592="Y",IF('House Count'!F592="RES-SFU",1,IF('House Count'!F592="RES-MDU",1,IF('House Count'!F592="RES-HOA",1,0))),0)</f>
        <v/>
      </c>
      <c r="K592">
        <f>IF('House Count'!H592="Y",IF('House Count'!F592="COMM-SU",1,IF('House Count'!F592="COM-MTU",1,IF('House Count'!F592="ENT",1,0))),0)</f>
        <v/>
      </c>
    </row>
    <row r="593">
      <c r="A593" s="109" t="n"/>
      <c r="B593" s="109" t="n"/>
      <c r="C593" s="109" t="n"/>
      <c r="D593" s="109" t="n"/>
      <c r="E593" s="109" t="n"/>
      <c r="F593" s="109" t="n"/>
      <c r="G593" s="109" t="n"/>
      <c r="H593" s="109" t="n"/>
      <c r="I593" s="68" t="n"/>
      <c r="J593">
        <f>IF('House Count'!H593="Y",IF('House Count'!F593="RES-SFU",1,IF('House Count'!F593="RES-MDU",1,IF('House Count'!F593="RES-HOA",1,0))),0)</f>
        <v/>
      </c>
      <c r="K593">
        <f>IF('House Count'!H593="Y",IF('House Count'!F593="COMM-SU",1,IF('House Count'!F593="COM-MTU",1,IF('House Count'!F593="ENT",1,0))),0)</f>
        <v/>
      </c>
    </row>
    <row r="594">
      <c r="A594" s="109" t="n"/>
      <c r="B594" s="109" t="n"/>
      <c r="C594" s="109" t="n"/>
      <c r="D594" s="109" t="n"/>
      <c r="E594" s="109" t="n"/>
      <c r="F594" s="109" t="n"/>
      <c r="G594" s="109" t="n"/>
      <c r="H594" s="109" t="n"/>
      <c r="I594" s="68" t="n"/>
      <c r="J594">
        <f>IF('House Count'!H594="Y",IF('House Count'!F594="RES-SFU",1,IF('House Count'!F594="RES-MDU",1,IF('House Count'!F594="RES-HOA",1,0))),0)</f>
        <v/>
      </c>
      <c r="K594">
        <f>IF('House Count'!H594="Y",IF('House Count'!F594="COMM-SU",1,IF('House Count'!F594="COM-MTU",1,IF('House Count'!F594="ENT",1,0))),0)</f>
        <v/>
      </c>
    </row>
    <row r="595">
      <c r="A595" s="109" t="n"/>
      <c r="B595" s="109" t="n"/>
      <c r="C595" s="109" t="n"/>
      <c r="D595" s="109" t="n"/>
      <c r="E595" s="109" t="n"/>
      <c r="F595" s="109" t="n"/>
      <c r="G595" s="109" t="n"/>
      <c r="H595" s="109" t="n"/>
      <c r="I595" s="68" t="n"/>
      <c r="J595">
        <f>IF('House Count'!H595="Y",IF('House Count'!F595="RES-SFU",1,IF('House Count'!F595="RES-MDU",1,IF('House Count'!F595="RES-HOA",1,0))),0)</f>
        <v/>
      </c>
      <c r="K595">
        <f>IF('House Count'!H595="Y",IF('House Count'!F595="COMM-SU",1,IF('House Count'!F595="COM-MTU",1,IF('House Count'!F595="ENT",1,0))),0)</f>
        <v/>
      </c>
    </row>
    <row r="596">
      <c r="A596" s="109" t="n"/>
      <c r="B596" s="109" t="n"/>
      <c r="C596" s="109" t="n"/>
      <c r="D596" s="109" t="n"/>
      <c r="E596" s="109" t="n"/>
      <c r="F596" s="109" t="n"/>
      <c r="G596" s="109" t="n"/>
      <c r="H596" s="109" t="n"/>
      <c r="I596" s="68" t="n"/>
      <c r="J596">
        <f>IF('House Count'!H596="Y",IF('House Count'!F596="RES-SFU",1,IF('House Count'!F596="RES-MDU",1,IF('House Count'!F596="RES-HOA",1,0))),0)</f>
        <v/>
      </c>
      <c r="K596">
        <f>IF('House Count'!H596="Y",IF('House Count'!F596="COMM-SU",1,IF('House Count'!F596="COM-MTU",1,IF('House Count'!F596="ENT",1,0))),0)</f>
        <v/>
      </c>
    </row>
    <row r="597">
      <c r="A597" s="109" t="n"/>
      <c r="B597" s="109" t="n"/>
      <c r="C597" s="109" t="n"/>
      <c r="D597" s="109" t="n"/>
      <c r="E597" s="109" t="n"/>
      <c r="F597" s="109" t="n"/>
      <c r="G597" s="109" t="n"/>
      <c r="H597" s="109" t="n"/>
      <c r="I597" s="68" t="n"/>
      <c r="J597">
        <f>IF('House Count'!H597="Y",IF('House Count'!F597="RES-SFU",1,IF('House Count'!F597="RES-MDU",1,IF('House Count'!F597="RES-HOA",1,0))),0)</f>
        <v/>
      </c>
      <c r="K597">
        <f>IF('House Count'!H597="Y",IF('House Count'!F597="COMM-SU",1,IF('House Count'!F597="COM-MTU",1,IF('House Count'!F597="ENT",1,0))),0)</f>
        <v/>
      </c>
    </row>
    <row r="598">
      <c r="A598" s="109" t="n"/>
      <c r="B598" s="109" t="n"/>
      <c r="C598" s="109" t="n"/>
      <c r="D598" s="109" t="n"/>
      <c r="E598" s="109" t="n"/>
      <c r="F598" s="109" t="n"/>
      <c r="G598" s="109" t="n"/>
      <c r="H598" s="109" t="n"/>
      <c r="I598" s="68" t="n"/>
      <c r="J598">
        <f>IF('House Count'!H598="Y",IF('House Count'!F598="RES-SFU",1,IF('House Count'!F598="RES-MDU",1,IF('House Count'!F598="RES-HOA",1,0))),0)</f>
        <v/>
      </c>
      <c r="K598">
        <f>IF('House Count'!H598="Y",IF('House Count'!F598="COMM-SU",1,IF('House Count'!F598="COM-MTU",1,IF('House Count'!F598="ENT",1,0))),0)</f>
        <v/>
      </c>
    </row>
    <row r="599">
      <c r="A599" s="109" t="n"/>
      <c r="B599" s="109" t="n"/>
      <c r="C599" s="109" t="n"/>
      <c r="D599" s="109" t="n"/>
      <c r="E599" s="109" t="n"/>
      <c r="F599" s="109" t="n"/>
      <c r="G599" s="109" t="n"/>
      <c r="H599" s="109" t="n"/>
      <c r="I599" s="68" t="n"/>
      <c r="J599">
        <f>IF('House Count'!H599="Y",IF('House Count'!F599="RES-SFU",1,IF('House Count'!F599="RES-MDU",1,IF('House Count'!F599="RES-HOA",1,0))),0)</f>
        <v/>
      </c>
      <c r="K599">
        <f>IF('House Count'!H599="Y",IF('House Count'!F599="COMM-SU",1,IF('House Count'!F599="COM-MTU",1,IF('House Count'!F599="ENT",1,0))),0)</f>
        <v/>
      </c>
    </row>
    <row r="600">
      <c r="A600" s="109" t="n"/>
      <c r="B600" s="109" t="n"/>
      <c r="C600" s="109" t="n"/>
      <c r="D600" s="109" t="n"/>
      <c r="E600" s="109" t="n"/>
      <c r="F600" s="109" t="n"/>
      <c r="G600" s="109" t="n"/>
      <c r="H600" s="109" t="n"/>
      <c r="I600" s="68" t="n"/>
      <c r="J600">
        <f>IF('House Count'!H600="Y",IF('House Count'!F600="RES-SFU",1,IF('House Count'!F600="RES-MDU",1,IF('House Count'!F600="RES-HOA",1,0))),0)</f>
        <v/>
      </c>
      <c r="K600">
        <f>IF('House Count'!H600="Y",IF('House Count'!F600="COMM-SU",1,IF('House Count'!F600="COM-MTU",1,IF('House Count'!F600="ENT",1,0))),0)</f>
        <v/>
      </c>
    </row>
    <row r="601" ht="15.75" customHeight="1" thickBot="1">
      <c r="A601" s="545" t="n"/>
      <c r="B601" s="545" t="n"/>
      <c r="C601" s="545" t="n"/>
      <c r="D601" s="545" t="n"/>
      <c r="E601" s="545" t="n"/>
      <c r="F601" s="545" t="n"/>
      <c r="G601" s="545" t="n"/>
      <c r="H601" s="545" t="n"/>
      <c r="I601" s="546" t="n"/>
      <c r="J601">
        <f>IF('House Count'!H601="Y",IF('House Count'!F601="RES-SFU",1,IF('House Count'!F601="RES-MDU",1,IF('House Count'!F601="RES-HOA",1,0))),0)</f>
        <v/>
      </c>
      <c r="K601">
        <f>IF('House Count'!H601="Y",IF('House Count'!F601="COMM-SU",1,IF('House Count'!F601="COM-MTU",1,IF('House Count'!F601="ENT",1,0))),0)</f>
        <v/>
      </c>
    </row>
    <row r="602" ht="15.75" customHeight="1" thickTop="1">
      <c r="A602" s="109" t="n"/>
      <c r="B602" s="109" t="n"/>
      <c r="C602" s="109" t="n"/>
      <c r="D602" s="109" t="n"/>
      <c r="E602" s="109" t="n"/>
      <c r="F602" s="109" t="n"/>
      <c r="G602" s="109" t="n"/>
      <c r="H602" s="109" t="n"/>
      <c r="I602" s="68" t="n"/>
      <c r="J602">
        <f>IF('House Count'!H602="Y",IF('House Count'!F602="RES-SFU",1,IF('House Count'!F602="RES-MDU",1,IF('House Count'!F602="RES-HOA",1,0))),0)</f>
        <v/>
      </c>
      <c r="K602">
        <f>IF('House Count'!H602="Y",IF('House Count'!F602="COMM-SU",1,IF('House Count'!F602="COM-MTU",1,IF('House Count'!F602="ENT",1,0))),0)</f>
        <v/>
      </c>
    </row>
    <row r="603">
      <c r="A603" s="109" t="n"/>
      <c r="B603" s="109" t="n"/>
      <c r="C603" s="109" t="n"/>
      <c r="D603" s="109" t="n"/>
      <c r="E603" s="109" t="n"/>
      <c r="F603" s="109" t="n"/>
      <c r="G603" s="109" t="n"/>
      <c r="H603" s="109" t="n"/>
      <c r="I603" s="68" t="n"/>
      <c r="J603">
        <f>IF('House Count'!H603="Y",IF('House Count'!F603="RES-SFU",1,IF('House Count'!F603="RES-MDU",1,IF('House Count'!F603="RES-HOA",1,0))),0)</f>
        <v/>
      </c>
      <c r="K603">
        <f>IF('House Count'!H603="Y",IF('House Count'!F603="COMM-SU",1,IF('House Count'!F603="COM-MTU",1,IF('House Count'!F603="ENT",1,0))),0)</f>
        <v/>
      </c>
    </row>
    <row r="604">
      <c r="A604" s="109" t="n"/>
      <c r="B604" s="109" t="n"/>
      <c r="C604" s="109" t="n"/>
      <c r="D604" s="109" t="n"/>
      <c r="E604" s="109" t="n"/>
      <c r="F604" s="109" t="n"/>
      <c r="G604" s="109" t="n"/>
      <c r="H604" s="109" t="n"/>
      <c r="I604" s="68" t="n"/>
      <c r="J604">
        <f>IF('House Count'!H604="Y",IF('House Count'!F604="RES-SFU",1,IF('House Count'!F604="RES-MDU",1,IF('House Count'!F604="RES-HOA",1,0))),0)</f>
        <v/>
      </c>
      <c r="K604">
        <f>IF('House Count'!H604="Y",IF('House Count'!F604="COMM-SU",1,IF('House Count'!F604="COM-MTU",1,IF('House Count'!F604="ENT",1,0))),0)</f>
        <v/>
      </c>
    </row>
    <row r="605">
      <c r="A605" s="109" t="n"/>
      <c r="B605" s="109" t="n"/>
      <c r="C605" s="109" t="n"/>
      <c r="D605" s="109" t="n"/>
      <c r="E605" s="109" t="n"/>
      <c r="F605" s="109" t="n"/>
      <c r="G605" s="109" t="n"/>
      <c r="H605" s="109" t="n"/>
      <c r="I605" s="68" t="n"/>
      <c r="J605">
        <f>IF('House Count'!H605="Y",IF('House Count'!F605="RES-SFU",1,IF('House Count'!F605="RES-MDU",1,IF('House Count'!F605="RES-HOA",1,0))),0)</f>
        <v/>
      </c>
      <c r="K605">
        <f>IF('House Count'!H605="Y",IF('House Count'!F605="COMM-SU",1,IF('House Count'!F605="COM-MTU",1,IF('House Count'!F605="ENT",1,0))),0)</f>
        <v/>
      </c>
    </row>
    <row r="606">
      <c r="A606" s="109" t="n"/>
      <c r="B606" s="109" t="n"/>
      <c r="C606" s="109" t="n"/>
      <c r="D606" s="109" t="n"/>
      <c r="E606" s="109" t="n"/>
      <c r="F606" s="109" t="n"/>
      <c r="G606" s="109" t="n"/>
      <c r="H606" s="109" t="n"/>
      <c r="I606" s="68" t="n"/>
      <c r="J606">
        <f>IF('House Count'!H606="Y",IF('House Count'!F606="RES-SFU",1,IF('House Count'!F606="RES-MDU",1,IF('House Count'!F606="RES-HOA",1,0))),0)</f>
        <v/>
      </c>
      <c r="K606">
        <f>IF('House Count'!H606="Y",IF('House Count'!F606="COMM-SU",1,IF('House Count'!F606="COM-MTU",1,IF('House Count'!F606="ENT",1,0))),0)</f>
        <v/>
      </c>
    </row>
    <row r="607">
      <c r="A607" s="109" t="n"/>
      <c r="B607" s="109" t="n"/>
      <c r="C607" s="109" t="n"/>
      <c r="D607" s="109" t="n"/>
      <c r="E607" s="109" t="n"/>
      <c r="F607" s="109" t="n"/>
      <c r="G607" s="109" t="n"/>
      <c r="H607" s="109" t="n"/>
      <c r="I607" s="68" t="n"/>
      <c r="J607">
        <f>IF('House Count'!H607="Y",IF('House Count'!F607="RES-SFU",1,IF('House Count'!F607="RES-MDU",1,IF('House Count'!F607="RES-HOA",1,0))),0)</f>
        <v/>
      </c>
      <c r="K607">
        <f>IF('House Count'!H607="Y",IF('House Count'!F607="COMM-SU",1,IF('House Count'!F607="COM-MTU",1,IF('House Count'!F607="ENT",1,0))),0)</f>
        <v/>
      </c>
    </row>
    <row r="608">
      <c r="A608" s="109" t="n"/>
      <c r="B608" s="109" t="n"/>
      <c r="C608" s="109" t="n"/>
      <c r="D608" s="109" t="n"/>
      <c r="E608" s="109" t="n"/>
      <c r="F608" s="109" t="n"/>
      <c r="G608" s="109" t="n"/>
      <c r="H608" s="109" t="n"/>
      <c r="I608" s="68" t="n"/>
      <c r="J608">
        <f>IF('House Count'!H608="Y",IF('House Count'!F608="RES-SFU",1,IF('House Count'!F608="RES-MDU",1,IF('House Count'!F608="RES-HOA",1,0))),0)</f>
        <v/>
      </c>
      <c r="K608">
        <f>IF('House Count'!H608="Y",IF('House Count'!F608="COMM-SU",1,IF('House Count'!F608="COM-MTU",1,IF('House Count'!F608="ENT",1,0))),0)</f>
        <v/>
      </c>
    </row>
    <row r="609">
      <c r="A609" s="109" t="n"/>
      <c r="B609" s="109" t="n"/>
      <c r="C609" s="109" t="n"/>
      <c r="D609" s="109" t="n"/>
      <c r="E609" s="109" t="n"/>
      <c r="F609" s="109" t="n"/>
      <c r="G609" s="109" t="n"/>
      <c r="H609" s="109" t="n"/>
      <c r="I609" s="68" t="n"/>
      <c r="J609">
        <f>IF('House Count'!H609="Y",IF('House Count'!F609="RES-SFU",1,IF('House Count'!F609="RES-MDU",1,IF('House Count'!F609="RES-HOA",1,0))),0)</f>
        <v/>
      </c>
      <c r="K609">
        <f>IF('House Count'!H609="Y",IF('House Count'!F609="COMM-SU",1,IF('House Count'!F609="COM-MTU",1,IF('House Count'!F609="ENT",1,0))),0)</f>
        <v/>
      </c>
    </row>
    <row r="610">
      <c r="A610" s="109" t="n"/>
      <c r="B610" s="109" t="n"/>
      <c r="C610" s="109" t="n"/>
      <c r="D610" s="109" t="n"/>
      <c r="E610" s="109" t="n"/>
      <c r="F610" s="109" t="n"/>
      <c r="G610" s="109" t="n"/>
      <c r="H610" s="109" t="n"/>
      <c r="I610" s="68" t="n"/>
      <c r="J610">
        <f>IF('House Count'!H610="Y",IF('House Count'!F610="RES-SFU",1,IF('House Count'!F610="RES-MDU",1,IF('House Count'!F610="RES-HOA",1,0))),0)</f>
        <v/>
      </c>
      <c r="K610">
        <f>IF('House Count'!H610="Y",IF('House Count'!F610="COMM-SU",1,IF('House Count'!F610="COM-MTU",1,IF('House Count'!F610="ENT",1,0))),0)</f>
        <v/>
      </c>
    </row>
    <row r="611">
      <c r="A611" s="109" t="n"/>
      <c r="B611" s="109" t="n"/>
      <c r="C611" s="109" t="n"/>
      <c r="D611" s="109" t="n"/>
      <c r="E611" s="109" t="n"/>
      <c r="F611" s="109" t="n"/>
      <c r="G611" s="109" t="n"/>
      <c r="H611" s="109" t="n"/>
      <c r="I611" s="68" t="n"/>
      <c r="J611">
        <f>IF('House Count'!H611="Y",IF('House Count'!F611="RES-SFU",1,IF('House Count'!F611="RES-MDU",1,IF('House Count'!F611="RES-HOA",1,0))),0)</f>
        <v/>
      </c>
      <c r="K611">
        <f>IF('House Count'!H611="Y",IF('House Count'!F611="COMM-SU",1,IF('House Count'!F611="COM-MTU",1,IF('House Count'!F611="ENT",1,0))),0)</f>
        <v/>
      </c>
    </row>
    <row r="612">
      <c r="A612" s="109" t="n"/>
      <c r="B612" s="109" t="n"/>
      <c r="C612" s="109" t="n"/>
      <c r="D612" s="109" t="n"/>
      <c r="E612" s="109" t="n"/>
      <c r="F612" s="109" t="n"/>
      <c r="G612" s="109" t="n"/>
      <c r="H612" s="109" t="n"/>
      <c r="I612" s="68" t="n"/>
      <c r="J612">
        <f>IF('House Count'!H612="Y",IF('House Count'!F612="RES-SFU",1,IF('House Count'!F612="RES-MDU",1,IF('House Count'!F612="RES-HOA",1,0))),0)</f>
        <v/>
      </c>
      <c r="K612">
        <f>IF('House Count'!H612="Y",IF('House Count'!F612="COMM-SU",1,IF('House Count'!F612="COM-MTU",1,IF('House Count'!F612="ENT",1,0))),0)</f>
        <v/>
      </c>
    </row>
    <row r="613" ht="15.75" customHeight="1" thickBot="1">
      <c r="A613" s="545" t="n"/>
      <c r="B613" s="545" t="n"/>
      <c r="C613" s="545" t="n"/>
      <c r="D613" s="545" t="n"/>
      <c r="E613" s="545" t="n"/>
      <c r="F613" s="545" t="n"/>
      <c r="G613" s="545" t="n"/>
      <c r="H613" s="545" t="n"/>
      <c r="I613" s="546" t="n"/>
      <c r="J613">
        <f>IF('House Count'!H613="Y",IF('House Count'!F613="RES-SFU",1,IF('House Count'!F613="RES-MDU",1,IF('House Count'!F613="RES-HOA",1,0))),0)</f>
        <v/>
      </c>
      <c r="K613">
        <f>IF('House Count'!H613="Y",IF('House Count'!F613="COMM-SU",1,IF('House Count'!F613="COM-MTU",1,IF('House Count'!F613="ENT",1,0))),0)</f>
        <v/>
      </c>
    </row>
    <row r="614" ht="15.75" customHeight="1" thickTop="1">
      <c r="A614" s="109" t="n"/>
      <c r="B614" s="109" t="n"/>
      <c r="C614" s="109" t="n"/>
      <c r="D614" s="109" t="n"/>
      <c r="E614" s="109" t="n"/>
      <c r="F614" s="109" t="n"/>
      <c r="G614" s="109" t="n"/>
      <c r="H614" s="109" t="n"/>
      <c r="I614" s="68" t="n"/>
      <c r="J614">
        <f>IF('House Count'!H614="Y",IF('House Count'!F614="RES-SFU",1,IF('House Count'!F614="RES-MDU",1,IF('House Count'!F614="RES-HOA",1,0))),0)</f>
        <v/>
      </c>
      <c r="K614">
        <f>IF('House Count'!H614="Y",IF('House Count'!F614="COMM-SU",1,IF('House Count'!F614="COM-MTU",1,IF('House Count'!F614="ENT",1,0))),0)</f>
        <v/>
      </c>
    </row>
    <row r="615">
      <c r="A615" s="109" t="n"/>
      <c r="B615" s="109" t="n"/>
      <c r="C615" s="109" t="n"/>
      <c r="D615" s="109" t="n"/>
      <c r="E615" s="109" t="n"/>
      <c r="F615" s="109" t="n"/>
      <c r="G615" s="109" t="n"/>
      <c r="H615" s="109" t="n"/>
      <c r="I615" s="68" t="n"/>
      <c r="J615">
        <f>IF('House Count'!H615="Y",IF('House Count'!F615="RES-SFU",1,IF('House Count'!F615="RES-MDU",1,IF('House Count'!F615="RES-HOA",1,0))),0)</f>
        <v/>
      </c>
      <c r="K615">
        <f>IF('House Count'!H615="Y",IF('House Count'!F615="COMM-SU",1,IF('House Count'!F615="COM-MTU",1,IF('House Count'!F615="ENT",1,0))),0)</f>
        <v/>
      </c>
    </row>
    <row r="616">
      <c r="A616" s="109" t="n"/>
      <c r="B616" s="109" t="n"/>
      <c r="C616" s="109" t="n"/>
      <c r="D616" s="109" t="n"/>
      <c r="E616" s="109" t="n"/>
      <c r="F616" s="109" t="n"/>
      <c r="G616" s="109" t="n"/>
      <c r="H616" s="109" t="n"/>
      <c r="I616" s="68" t="n"/>
      <c r="J616">
        <f>IF('House Count'!H616="Y",IF('House Count'!F616="RES-SFU",1,IF('House Count'!F616="RES-MDU",1,IF('House Count'!F616="RES-HOA",1,0))),0)</f>
        <v/>
      </c>
      <c r="K616">
        <f>IF('House Count'!H616="Y",IF('House Count'!F616="COMM-SU",1,IF('House Count'!F616="COM-MTU",1,IF('House Count'!F616="ENT",1,0))),0)</f>
        <v/>
      </c>
    </row>
    <row r="617">
      <c r="A617" s="109" t="n"/>
      <c r="B617" s="109" t="n"/>
      <c r="C617" s="109" t="n"/>
      <c r="D617" s="109" t="n"/>
      <c r="E617" s="109" t="n"/>
      <c r="F617" s="109" t="n"/>
      <c r="G617" s="109" t="n"/>
      <c r="H617" s="109" t="n"/>
      <c r="I617" s="68" t="n"/>
      <c r="J617">
        <f>IF('House Count'!H617="Y",IF('House Count'!F617="RES-SFU",1,IF('House Count'!F617="RES-MDU",1,IF('House Count'!F617="RES-HOA",1,0))),0)</f>
        <v/>
      </c>
      <c r="K617">
        <f>IF('House Count'!H617="Y",IF('House Count'!F617="COMM-SU",1,IF('House Count'!F617="COM-MTU",1,IF('House Count'!F617="ENT",1,0))),0)</f>
        <v/>
      </c>
    </row>
    <row r="618">
      <c r="A618" s="109" t="n"/>
      <c r="B618" s="109" t="n"/>
      <c r="C618" s="109" t="n"/>
      <c r="D618" s="109" t="n"/>
      <c r="E618" s="109" t="n"/>
      <c r="F618" s="109" t="n"/>
      <c r="G618" s="109" t="n"/>
      <c r="H618" s="109" t="n"/>
      <c r="I618" s="68" t="n"/>
      <c r="J618">
        <f>IF('House Count'!H618="Y",IF('House Count'!F618="RES-SFU",1,IF('House Count'!F618="RES-MDU",1,IF('House Count'!F618="RES-HOA",1,0))),0)</f>
        <v/>
      </c>
      <c r="K618">
        <f>IF('House Count'!H618="Y",IF('House Count'!F618="COMM-SU",1,IF('House Count'!F618="COM-MTU",1,IF('House Count'!F618="ENT",1,0))),0)</f>
        <v/>
      </c>
    </row>
    <row r="619">
      <c r="A619" s="109" t="n"/>
      <c r="B619" s="109" t="n"/>
      <c r="C619" s="109" t="n"/>
      <c r="D619" s="109" t="n"/>
      <c r="E619" s="109" t="n"/>
      <c r="F619" s="109" t="n"/>
      <c r="G619" s="109" t="n"/>
      <c r="H619" s="109" t="n"/>
      <c r="I619" s="68" t="n"/>
      <c r="J619">
        <f>IF('House Count'!H619="Y",IF('House Count'!F619="RES-SFU",1,IF('House Count'!F619="RES-MDU",1,IF('House Count'!F619="RES-HOA",1,0))),0)</f>
        <v/>
      </c>
      <c r="K619">
        <f>IF('House Count'!H619="Y",IF('House Count'!F619="COMM-SU",1,IF('House Count'!F619="COM-MTU",1,IF('House Count'!F619="ENT",1,0))),0)</f>
        <v/>
      </c>
    </row>
    <row r="620">
      <c r="A620" s="109" t="n"/>
      <c r="B620" s="109" t="n"/>
      <c r="C620" s="109" t="n"/>
      <c r="D620" s="109" t="n"/>
      <c r="E620" s="109" t="n"/>
      <c r="F620" s="109" t="n"/>
      <c r="G620" s="109" t="n"/>
      <c r="H620" s="109" t="n"/>
      <c r="I620" s="68" t="n"/>
      <c r="J620">
        <f>IF('House Count'!H620="Y",IF('House Count'!F620="RES-SFU",1,IF('House Count'!F620="RES-MDU",1,IF('House Count'!F620="RES-HOA",1,0))),0)</f>
        <v/>
      </c>
      <c r="K620">
        <f>IF('House Count'!H620="Y",IF('House Count'!F620="COMM-SU",1,IF('House Count'!F620="COM-MTU",1,IF('House Count'!F620="ENT",1,0))),0)</f>
        <v/>
      </c>
    </row>
    <row r="621">
      <c r="A621" s="109" t="n"/>
      <c r="B621" s="109" t="n"/>
      <c r="C621" s="109" t="n"/>
      <c r="D621" s="109" t="n"/>
      <c r="E621" s="109" t="n"/>
      <c r="F621" s="109" t="n"/>
      <c r="G621" s="109" t="n"/>
      <c r="H621" s="109" t="n"/>
      <c r="I621" s="68" t="n"/>
      <c r="J621">
        <f>IF('House Count'!H621="Y",IF('House Count'!F621="RES-SFU",1,IF('House Count'!F621="RES-MDU",1,IF('House Count'!F621="RES-HOA",1,0))),0)</f>
        <v/>
      </c>
      <c r="K621">
        <f>IF('House Count'!H621="Y",IF('House Count'!F621="COMM-SU",1,IF('House Count'!F621="COM-MTU",1,IF('House Count'!F621="ENT",1,0))),0)</f>
        <v/>
      </c>
    </row>
    <row r="622">
      <c r="A622" s="109" t="n"/>
      <c r="B622" s="109" t="n"/>
      <c r="C622" s="109" t="n"/>
      <c r="D622" s="109" t="n"/>
      <c r="E622" s="109" t="n"/>
      <c r="F622" s="109" t="n"/>
      <c r="G622" s="109" t="n"/>
      <c r="H622" s="109" t="n"/>
      <c r="I622" s="68" t="n"/>
      <c r="J622">
        <f>IF('House Count'!H622="Y",IF('House Count'!F622="RES-SFU",1,IF('House Count'!F622="RES-MDU",1,IF('House Count'!F622="RES-HOA",1,0))),0)</f>
        <v/>
      </c>
      <c r="K622">
        <f>IF('House Count'!H622="Y",IF('House Count'!F622="COMM-SU",1,IF('House Count'!F622="COM-MTU",1,IF('House Count'!F622="ENT",1,0))),0)</f>
        <v/>
      </c>
    </row>
    <row r="623">
      <c r="A623" s="109" t="n"/>
      <c r="B623" s="109" t="n"/>
      <c r="C623" s="109" t="n"/>
      <c r="D623" s="109" t="n"/>
      <c r="E623" s="109" t="n"/>
      <c r="F623" s="109" t="n"/>
      <c r="G623" s="109" t="n"/>
      <c r="H623" s="109" t="n"/>
      <c r="I623" s="68" t="n"/>
      <c r="J623">
        <f>IF('House Count'!H623="Y",IF('House Count'!F623="RES-SFU",1,IF('House Count'!F623="RES-MDU",1,IF('House Count'!F623="RES-HOA",1,0))),0)</f>
        <v/>
      </c>
      <c r="K623">
        <f>IF('House Count'!H623="Y",IF('House Count'!F623="COMM-SU",1,IF('House Count'!F623="COM-MTU",1,IF('House Count'!F623="ENT",1,0))),0)</f>
        <v/>
      </c>
    </row>
    <row r="624">
      <c r="A624" s="109" t="n"/>
      <c r="B624" s="109" t="n"/>
      <c r="C624" s="109" t="n"/>
      <c r="D624" s="109" t="n"/>
      <c r="E624" s="109" t="n"/>
      <c r="F624" s="109" t="n"/>
      <c r="G624" s="109" t="n"/>
      <c r="H624" s="109" t="n"/>
      <c r="I624" s="68" t="n"/>
      <c r="J624">
        <f>IF('House Count'!H624="Y",IF('House Count'!F624="RES-SFU",1,IF('House Count'!F624="RES-MDU",1,IF('House Count'!F624="RES-HOA",1,0))),0)</f>
        <v/>
      </c>
      <c r="K624">
        <f>IF('House Count'!H624="Y",IF('House Count'!F624="COMM-SU",1,IF('House Count'!F624="COM-MTU",1,IF('House Count'!F624="ENT",1,0))),0)</f>
        <v/>
      </c>
    </row>
    <row r="625" ht="15.75" customHeight="1" thickBot="1">
      <c r="A625" s="545" t="n"/>
      <c r="B625" s="545" t="n"/>
      <c r="C625" s="545" t="n"/>
      <c r="D625" s="545" t="n"/>
      <c r="E625" s="545" t="n"/>
      <c r="F625" s="545" t="n"/>
      <c r="G625" s="545" t="n"/>
      <c r="H625" s="545" t="n"/>
      <c r="I625" s="546" t="n"/>
      <c r="J625">
        <f>IF('House Count'!H625="Y",IF('House Count'!F625="RES-SFU",1,IF('House Count'!F625="RES-MDU",1,IF('House Count'!F625="RES-HOA",1,0))),0)</f>
        <v/>
      </c>
      <c r="K625">
        <f>IF('House Count'!H625="Y",IF('House Count'!F625="COMM-SU",1,IF('House Count'!F625="COM-MTU",1,IF('House Count'!F625="ENT",1,0))),0)</f>
        <v/>
      </c>
    </row>
    <row r="626" ht="15.75" customHeight="1" thickTop="1">
      <c r="A626" s="109" t="n"/>
      <c r="B626" s="109" t="n"/>
      <c r="C626" s="109" t="n"/>
      <c r="D626" s="109" t="n"/>
      <c r="E626" s="109" t="n"/>
      <c r="F626" s="109" t="n"/>
      <c r="G626" s="109" t="n"/>
      <c r="H626" s="109" t="n"/>
      <c r="I626" s="68" t="n"/>
      <c r="J626">
        <f>IF('House Count'!H626="Y",IF('House Count'!F626="RES-SFU",1,IF('House Count'!F626="RES-MDU",1,IF('House Count'!F626="RES-HOA",1,0))),0)</f>
        <v/>
      </c>
      <c r="K626">
        <f>IF('House Count'!H626="Y",IF('House Count'!F626="COMM-SU",1,IF('House Count'!F626="COM-MTU",1,IF('House Count'!F626="ENT",1,0))),0)</f>
        <v/>
      </c>
    </row>
    <row r="627">
      <c r="A627" s="109" t="n"/>
      <c r="B627" s="109" t="n"/>
      <c r="C627" s="109" t="n"/>
      <c r="D627" s="109" t="n"/>
      <c r="E627" s="109" t="n"/>
      <c r="F627" s="109" t="n"/>
      <c r="G627" s="109" t="n"/>
      <c r="H627" s="109" t="n"/>
      <c r="I627" s="68" t="n"/>
      <c r="J627">
        <f>IF('House Count'!H627="Y",IF('House Count'!F627="RES-SFU",1,IF('House Count'!F627="RES-MDU",1,IF('House Count'!F627="RES-HOA",1,0))),0)</f>
        <v/>
      </c>
      <c r="K627">
        <f>IF('House Count'!H627="Y",IF('House Count'!F627="COMM-SU",1,IF('House Count'!F627="COM-MTU",1,IF('House Count'!F627="ENT",1,0))),0)</f>
        <v/>
      </c>
    </row>
    <row r="628">
      <c r="A628" s="109" t="n"/>
      <c r="B628" s="109" t="n"/>
      <c r="C628" s="109" t="n"/>
      <c r="D628" s="109" t="n"/>
      <c r="E628" s="109" t="n"/>
      <c r="F628" s="109" t="n"/>
      <c r="G628" s="109" t="n"/>
      <c r="H628" s="109" t="n"/>
      <c r="I628" s="68" t="n"/>
      <c r="J628">
        <f>IF('House Count'!H628="Y",IF('House Count'!F628="RES-SFU",1,IF('House Count'!F628="RES-MDU",1,IF('House Count'!F628="RES-HOA",1,0))),0)</f>
        <v/>
      </c>
      <c r="K628">
        <f>IF('House Count'!H628="Y",IF('House Count'!F628="COMM-SU",1,IF('House Count'!F628="COM-MTU",1,IF('House Count'!F628="ENT",1,0))),0)</f>
        <v/>
      </c>
    </row>
    <row r="629">
      <c r="A629" s="109" t="n"/>
      <c r="B629" s="109" t="n"/>
      <c r="C629" s="109" t="n"/>
      <c r="D629" s="109" t="n"/>
      <c r="E629" s="109" t="n"/>
      <c r="F629" s="109" t="n"/>
      <c r="G629" s="109" t="n"/>
      <c r="H629" s="109" t="n"/>
      <c r="I629" s="68" t="n"/>
      <c r="J629">
        <f>IF('House Count'!H629="Y",IF('House Count'!F629="RES-SFU",1,IF('House Count'!F629="RES-MDU",1,IF('House Count'!F629="RES-HOA",1,0))),0)</f>
        <v/>
      </c>
      <c r="K629">
        <f>IF('House Count'!H629="Y",IF('House Count'!F629="COMM-SU",1,IF('House Count'!F629="COM-MTU",1,IF('House Count'!F629="ENT",1,0))),0)</f>
        <v/>
      </c>
    </row>
    <row r="630">
      <c r="A630" s="109" t="n"/>
      <c r="B630" s="109" t="n"/>
      <c r="C630" s="109" t="n"/>
      <c r="D630" s="109" t="n"/>
      <c r="E630" s="109" t="n"/>
      <c r="F630" s="109" t="n"/>
      <c r="G630" s="109" t="n"/>
      <c r="H630" s="109" t="n"/>
      <c r="I630" s="68" t="n"/>
      <c r="J630">
        <f>IF('House Count'!H630="Y",IF('House Count'!F630="RES-SFU",1,IF('House Count'!F630="RES-MDU",1,IF('House Count'!F630="RES-HOA",1,0))),0)</f>
        <v/>
      </c>
      <c r="K630">
        <f>IF('House Count'!H630="Y",IF('House Count'!F630="COMM-SU",1,IF('House Count'!F630="COM-MTU",1,IF('House Count'!F630="ENT",1,0))),0)</f>
        <v/>
      </c>
    </row>
    <row r="631">
      <c r="A631" s="109" t="n"/>
      <c r="B631" s="109" t="n"/>
      <c r="C631" s="109" t="n"/>
      <c r="D631" s="109" t="n"/>
      <c r="E631" s="109" t="n"/>
      <c r="F631" s="109" t="n"/>
      <c r="G631" s="109" t="n"/>
      <c r="H631" s="109" t="n"/>
      <c r="I631" s="68" t="n"/>
      <c r="J631">
        <f>IF('House Count'!H631="Y",IF('House Count'!F631="RES-SFU",1,IF('House Count'!F631="RES-MDU",1,IF('House Count'!F631="RES-HOA",1,0))),0)</f>
        <v/>
      </c>
      <c r="K631">
        <f>IF('House Count'!H631="Y",IF('House Count'!F631="COMM-SU",1,IF('House Count'!F631="COM-MTU",1,IF('House Count'!F631="ENT",1,0))),0)</f>
        <v/>
      </c>
    </row>
    <row r="632">
      <c r="A632" s="109" t="n"/>
      <c r="B632" s="109" t="n"/>
      <c r="C632" s="109" t="n"/>
      <c r="D632" s="109" t="n"/>
      <c r="E632" s="109" t="n"/>
      <c r="F632" s="109" t="n"/>
      <c r="G632" s="109" t="n"/>
      <c r="H632" s="109" t="n"/>
      <c r="I632" s="68" t="n"/>
      <c r="J632">
        <f>IF('House Count'!H632="Y",IF('House Count'!F632="RES-SFU",1,IF('House Count'!F632="RES-MDU",1,IF('House Count'!F632="RES-HOA",1,0))),0)</f>
        <v/>
      </c>
      <c r="K632">
        <f>IF('House Count'!H632="Y",IF('House Count'!F632="COMM-SU",1,IF('House Count'!F632="COM-MTU",1,IF('House Count'!F632="ENT",1,0))),0)</f>
        <v/>
      </c>
    </row>
    <row r="633">
      <c r="A633" s="109" t="n"/>
      <c r="B633" s="109" t="n"/>
      <c r="C633" s="109" t="n"/>
      <c r="D633" s="109" t="n"/>
      <c r="E633" s="109" t="n"/>
      <c r="F633" s="109" t="n"/>
      <c r="G633" s="109" t="n"/>
      <c r="H633" s="109" t="n"/>
      <c r="I633" s="68" t="n"/>
      <c r="J633">
        <f>IF('House Count'!H633="Y",IF('House Count'!F633="RES-SFU",1,IF('House Count'!F633="RES-MDU",1,IF('House Count'!F633="RES-HOA",1,0))),0)</f>
        <v/>
      </c>
      <c r="K633">
        <f>IF('House Count'!H633="Y",IF('House Count'!F633="COMM-SU",1,IF('House Count'!F633="COM-MTU",1,IF('House Count'!F633="ENT",1,0))),0)</f>
        <v/>
      </c>
    </row>
    <row r="634">
      <c r="A634" s="109" t="n"/>
      <c r="B634" s="109" t="n"/>
      <c r="C634" s="109" t="n"/>
      <c r="D634" s="109" t="n"/>
      <c r="E634" s="109" t="n"/>
      <c r="F634" s="109" t="n"/>
      <c r="G634" s="109" t="n"/>
      <c r="H634" s="109" t="n"/>
      <c r="I634" s="68" t="n"/>
      <c r="J634">
        <f>IF('House Count'!H634="Y",IF('House Count'!F634="RES-SFU",1,IF('House Count'!F634="RES-MDU",1,IF('House Count'!F634="RES-HOA",1,0))),0)</f>
        <v/>
      </c>
      <c r="K634">
        <f>IF('House Count'!H634="Y",IF('House Count'!F634="COMM-SU",1,IF('House Count'!F634="COM-MTU",1,IF('House Count'!F634="ENT",1,0))),0)</f>
        <v/>
      </c>
    </row>
    <row r="635">
      <c r="A635" s="109" t="n"/>
      <c r="B635" s="109" t="n"/>
      <c r="C635" s="109" t="n"/>
      <c r="D635" s="109" t="n"/>
      <c r="E635" s="109" t="n"/>
      <c r="F635" s="109" t="n"/>
      <c r="G635" s="109" t="n"/>
      <c r="H635" s="109" t="n"/>
      <c r="I635" s="68" t="n"/>
      <c r="J635">
        <f>IF('House Count'!H635="Y",IF('House Count'!F635="RES-SFU",1,IF('House Count'!F635="RES-MDU",1,IF('House Count'!F635="RES-HOA",1,0))),0)</f>
        <v/>
      </c>
      <c r="K635">
        <f>IF('House Count'!H635="Y",IF('House Count'!F635="COMM-SU",1,IF('House Count'!F635="COM-MTU",1,IF('House Count'!F635="ENT",1,0))),0)</f>
        <v/>
      </c>
    </row>
    <row r="636">
      <c r="A636" s="109" t="n"/>
      <c r="B636" s="109" t="n"/>
      <c r="C636" s="109" t="n"/>
      <c r="D636" s="109" t="n"/>
      <c r="E636" s="109" t="n"/>
      <c r="F636" s="109" t="n"/>
      <c r="G636" s="109" t="n"/>
      <c r="H636" s="109" t="n"/>
      <c r="I636" s="68" t="n"/>
      <c r="J636">
        <f>IF('House Count'!H636="Y",IF('House Count'!F636="RES-SFU",1,IF('House Count'!F636="RES-MDU",1,IF('House Count'!F636="RES-HOA",1,0))),0)</f>
        <v/>
      </c>
      <c r="K636">
        <f>IF('House Count'!H636="Y",IF('House Count'!F636="COMM-SU",1,IF('House Count'!F636="COM-MTU",1,IF('House Count'!F636="ENT",1,0))),0)</f>
        <v/>
      </c>
    </row>
    <row r="637" ht="15.75" customHeight="1" thickBot="1">
      <c r="A637" s="545" t="n"/>
      <c r="B637" s="545" t="n"/>
      <c r="C637" s="545" t="n"/>
      <c r="D637" s="545" t="n"/>
      <c r="E637" s="545" t="n"/>
      <c r="F637" s="545" t="n"/>
      <c r="G637" s="545" t="n"/>
      <c r="H637" s="545" t="n"/>
      <c r="I637" s="546" t="n"/>
      <c r="J637">
        <f>IF('House Count'!H637="Y",IF('House Count'!F637="RES-SFU",1,IF('House Count'!F637="RES-MDU",1,IF('House Count'!F637="RES-HOA",1,0))),0)</f>
        <v/>
      </c>
      <c r="K637">
        <f>IF('House Count'!H637="Y",IF('House Count'!F637="COMM-SU",1,IF('House Count'!F637="COM-MTU",1,IF('House Count'!F637="ENT",1,0))),0)</f>
        <v/>
      </c>
    </row>
    <row r="638" ht="15.75" customHeight="1" thickTop="1">
      <c r="A638" s="109" t="n"/>
      <c r="B638" s="109" t="n"/>
      <c r="C638" s="109" t="n"/>
      <c r="D638" s="109" t="n"/>
      <c r="E638" s="109" t="n"/>
      <c r="F638" s="109" t="n"/>
      <c r="G638" s="109" t="n"/>
      <c r="H638" s="109" t="n"/>
      <c r="I638" s="68" t="n"/>
      <c r="J638">
        <f>IF('House Count'!H638="Y",IF('House Count'!F638="RES-SFU",1,IF('House Count'!F638="RES-MDU",1,IF('House Count'!F638="RES-HOA",1,0))),0)</f>
        <v/>
      </c>
      <c r="K638">
        <f>IF('House Count'!H638="Y",IF('House Count'!F638="COMM-SU",1,IF('House Count'!F638="COM-MTU",1,IF('House Count'!F638="ENT",1,0))),0)</f>
        <v/>
      </c>
    </row>
    <row r="639">
      <c r="A639" s="109" t="n"/>
      <c r="B639" s="109" t="n"/>
      <c r="C639" s="109" t="n"/>
      <c r="D639" s="109" t="n"/>
      <c r="E639" s="109" t="n"/>
      <c r="F639" s="109" t="n"/>
      <c r="G639" s="109" t="n"/>
      <c r="H639" s="109" t="n"/>
      <c r="I639" s="68" t="n"/>
      <c r="J639">
        <f>IF('House Count'!H639="Y",IF('House Count'!F639="RES-SFU",1,IF('House Count'!F639="RES-MDU",1,IF('House Count'!F639="RES-HOA",1,0))),0)</f>
        <v/>
      </c>
      <c r="K639">
        <f>IF('House Count'!H639="Y",IF('House Count'!F639="COMM-SU",1,IF('House Count'!F639="COM-MTU",1,IF('House Count'!F639="ENT",1,0))),0)</f>
        <v/>
      </c>
    </row>
    <row r="640">
      <c r="A640" s="109" t="n"/>
      <c r="B640" s="109" t="n"/>
      <c r="C640" s="109" t="n"/>
      <c r="D640" s="109" t="n"/>
      <c r="E640" s="109" t="n"/>
      <c r="F640" s="109" t="n"/>
      <c r="G640" s="109" t="n"/>
      <c r="H640" s="109" t="n"/>
      <c r="I640" s="68" t="n"/>
      <c r="J640">
        <f>IF('House Count'!H640="Y",IF('House Count'!F640="RES-SFU",1,IF('House Count'!F640="RES-MDU",1,IF('House Count'!F640="RES-HOA",1,0))),0)</f>
        <v/>
      </c>
      <c r="K640">
        <f>IF('House Count'!H640="Y",IF('House Count'!F640="COMM-SU",1,IF('House Count'!F640="COM-MTU",1,IF('House Count'!F640="ENT",1,0))),0)</f>
        <v/>
      </c>
    </row>
    <row r="641">
      <c r="A641" s="109" t="n"/>
      <c r="B641" s="109" t="n"/>
      <c r="C641" s="109" t="n"/>
      <c r="D641" s="109" t="n"/>
      <c r="E641" s="109" t="n"/>
      <c r="F641" s="109" t="n"/>
      <c r="G641" s="109" t="n"/>
      <c r="H641" s="109" t="n"/>
      <c r="I641" s="68" t="n"/>
      <c r="J641">
        <f>IF('House Count'!H641="Y",IF('House Count'!F641="RES-SFU",1,IF('House Count'!F641="RES-MDU",1,IF('House Count'!F641="RES-HOA",1,0))),0)</f>
        <v/>
      </c>
      <c r="K641">
        <f>IF('House Count'!H641="Y",IF('House Count'!F641="COMM-SU",1,IF('House Count'!F641="COM-MTU",1,IF('House Count'!F641="ENT",1,0))),0)</f>
        <v/>
      </c>
    </row>
    <row r="642">
      <c r="A642" s="109" t="n"/>
      <c r="B642" s="109" t="n"/>
      <c r="C642" s="109" t="n"/>
      <c r="D642" s="109" t="n"/>
      <c r="E642" s="109" t="n"/>
      <c r="F642" s="109" t="n"/>
      <c r="G642" s="109" t="n"/>
      <c r="H642" s="109" t="n"/>
      <c r="I642" s="68" t="n"/>
      <c r="J642">
        <f>IF('House Count'!H642="Y",IF('House Count'!F642="RES-SFU",1,IF('House Count'!F642="RES-MDU",1,IF('House Count'!F642="RES-HOA",1,0))),0)</f>
        <v/>
      </c>
      <c r="K642">
        <f>IF('House Count'!H642="Y",IF('House Count'!F642="COMM-SU",1,IF('House Count'!F642="COM-MTU",1,IF('House Count'!F642="ENT",1,0))),0)</f>
        <v/>
      </c>
    </row>
    <row r="643">
      <c r="A643" s="109" t="n"/>
      <c r="B643" s="109" t="n"/>
      <c r="C643" s="109" t="n"/>
      <c r="D643" s="109" t="n"/>
      <c r="E643" s="109" t="n"/>
      <c r="F643" s="109" t="n"/>
      <c r="G643" s="109" t="n"/>
      <c r="H643" s="109" t="n"/>
      <c r="I643" s="68" t="n"/>
      <c r="J643">
        <f>IF('House Count'!H643="Y",IF('House Count'!F643="RES-SFU",1,IF('House Count'!F643="RES-MDU",1,IF('House Count'!F643="RES-HOA",1,0))),0)</f>
        <v/>
      </c>
      <c r="K643">
        <f>IF('House Count'!H643="Y",IF('House Count'!F643="COMM-SU",1,IF('House Count'!F643="COM-MTU",1,IF('House Count'!F643="ENT",1,0))),0)</f>
        <v/>
      </c>
    </row>
    <row r="644">
      <c r="A644" s="109" t="n"/>
      <c r="B644" s="109" t="n"/>
      <c r="C644" s="109" t="n"/>
      <c r="D644" s="109" t="n"/>
      <c r="E644" s="109" t="n"/>
      <c r="F644" s="109" t="n"/>
      <c r="G644" s="109" t="n"/>
      <c r="H644" s="109" t="n"/>
      <c r="I644" s="68" t="n"/>
      <c r="J644">
        <f>IF('House Count'!H644="Y",IF('House Count'!F644="RES-SFU",1,IF('House Count'!F644="RES-MDU",1,IF('House Count'!F644="RES-HOA",1,0))),0)</f>
        <v/>
      </c>
      <c r="K644">
        <f>IF('House Count'!H644="Y",IF('House Count'!F644="COMM-SU",1,IF('House Count'!F644="COM-MTU",1,IF('House Count'!F644="ENT",1,0))),0)</f>
        <v/>
      </c>
    </row>
    <row r="645">
      <c r="A645" s="109" t="n"/>
      <c r="B645" s="109" t="n"/>
      <c r="C645" s="109" t="n"/>
      <c r="D645" s="109" t="n"/>
      <c r="E645" s="109" t="n"/>
      <c r="F645" s="109" t="n"/>
      <c r="G645" s="109" t="n"/>
      <c r="H645" s="109" t="n"/>
      <c r="I645" s="68" t="n"/>
      <c r="J645">
        <f>IF('House Count'!H645="Y",IF('House Count'!F645="RES-SFU",1,IF('House Count'!F645="RES-MDU",1,IF('House Count'!F645="RES-HOA",1,0))),0)</f>
        <v/>
      </c>
      <c r="K645">
        <f>IF('House Count'!H645="Y",IF('House Count'!F645="COMM-SU",1,IF('House Count'!F645="COM-MTU",1,IF('House Count'!F645="ENT",1,0))),0)</f>
        <v/>
      </c>
    </row>
    <row r="646">
      <c r="A646" s="109" t="n"/>
      <c r="B646" s="109" t="n"/>
      <c r="C646" s="109" t="n"/>
      <c r="D646" s="109" t="n"/>
      <c r="E646" s="109" t="n"/>
      <c r="F646" s="109" t="n"/>
      <c r="G646" s="109" t="n"/>
      <c r="H646" s="109" t="n"/>
      <c r="I646" s="68" t="n"/>
      <c r="J646">
        <f>IF('House Count'!H646="Y",IF('House Count'!F646="RES-SFU",1,IF('House Count'!F646="RES-MDU",1,IF('House Count'!F646="RES-HOA",1,0))),0)</f>
        <v/>
      </c>
      <c r="K646">
        <f>IF('House Count'!H646="Y",IF('House Count'!F646="COMM-SU",1,IF('House Count'!F646="COM-MTU",1,IF('House Count'!F646="ENT",1,0))),0)</f>
        <v/>
      </c>
    </row>
    <row r="647">
      <c r="A647" s="109" t="n"/>
      <c r="B647" s="109" t="n"/>
      <c r="C647" s="109" t="n"/>
      <c r="D647" s="109" t="n"/>
      <c r="E647" s="109" t="n"/>
      <c r="F647" s="109" t="n"/>
      <c r="G647" s="109" t="n"/>
      <c r="H647" s="109" t="n"/>
      <c r="I647" s="68" t="n"/>
      <c r="J647">
        <f>IF('House Count'!H647="Y",IF('House Count'!F647="RES-SFU",1,IF('House Count'!F647="RES-MDU",1,IF('House Count'!F647="RES-HOA",1,0))),0)</f>
        <v/>
      </c>
      <c r="K647">
        <f>IF('House Count'!H647="Y",IF('House Count'!F647="COMM-SU",1,IF('House Count'!F647="COM-MTU",1,IF('House Count'!F647="ENT",1,0))),0)</f>
        <v/>
      </c>
    </row>
    <row r="648">
      <c r="A648" s="109" t="n"/>
      <c r="B648" s="109" t="n"/>
      <c r="C648" s="109" t="n"/>
      <c r="D648" s="109" t="n"/>
      <c r="E648" s="109" t="n"/>
      <c r="F648" s="109" t="n"/>
      <c r="G648" s="109" t="n"/>
      <c r="H648" s="109" t="n"/>
      <c r="I648" s="68" t="n"/>
      <c r="J648">
        <f>IF('House Count'!H648="Y",IF('House Count'!F648="RES-SFU",1,IF('House Count'!F648="RES-MDU",1,IF('House Count'!F648="RES-HOA",1,0))),0)</f>
        <v/>
      </c>
      <c r="K648">
        <f>IF('House Count'!H648="Y",IF('House Count'!F648="COMM-SU",1,IF('House Count'!F648="COM-MTU",1,IF('House Count'!F648="ENT",1,0))),0)</f>
        <v/>
      </c>
    </row>
    <row r="649" ht="15.75" customHeight="1" thickBot="1">
      <c r="A649" s="545" t="n"/>
      <c r="B649" s="545" t="n"/>
      <c r="C649" s="545" t="n"/>
      <c r="D649" s="545" t="n"/>
      <c r="E649" s="545" t="n"/>
      <c r="F649" s="545" t="n"/>
      <c r="G649" s="545" t="n"/>
      <c r="H649" s="545" t="n"/>
      <c r="I649" s="546" t="n"/>
      <c r="J649">
        <f>IF('House Count'!H649="Y",IF('House Count'!F649="RES-SFU",1,IF('House Count'!F649="RES-MDU",1,IF('House Count'!F649="RES-HOA",1,0))),0)</f>
        <v/>
      </c>
      <c r="K649">
        <f>IF('House Count'!H649="Y",IF('House Count'!F649="COMM-SU",1,IF('House Count'!F649="COM-MTU",1,IF('House Count'!F649="ENT",1,0))),0)</f>
        <v/>
      </c>
    </row>
    <row r="650" ht="15.75" customHeight="1" thickTop="1">
      <c r="A650" s="109" t="n"/>
      <c r="B650" s="109" t="n"/>
      <c r="C650" s="109" t="n"/>
      <c r="D650" s="109" t="n"/>
      <c r="E650" s="109" t="n"/>
      <c r="F650" s="109" t="n"/>
      <c r="G650" s="109" t="n"/>
      <c r="H650" s="109" t="n"/>
      <c r="I650" s="68" t="n"/>
      <c r="J650">
        <f>IF('House Count'!H650="Y",IF('House Count'!F650="RES-SFU",1,IF('House Count'!F650="RES-MDU",1,IF('House Count'!F650="RES-HOA",1,0))),0)</f>
        <v/>
      </c>
      <c r="K650">
        <f>IF('House Count'!H650="Y",IF('House Count'!F650="COMM-SU",1,IF('House Count'!F650="COM-MTU",1,IF('House Count'!F650="ENT",1,0))),0)</f>
        <v/>
      </c>
    </row>
    <row r="651">
      <c r="A651" s="109" t="n"/>
      <c r="B651" s="109" t="n"/>
      <c r="C651" s="109" t="n"/>
      <c r="D651" s="109" t="n"/>
      <c r="E651" s="109" t="n"/>
      <c r="F651" s="109" t="n"/>
      <c r="G651" s="109" t="n"/>
      <c r="H651" s="109" t="n"/>
      <c r="I651" s="68" t="n"/>
      <c r="J651">
        <f>IF('House Count'!H651="Y",IF('House Count'!F651="RES-SFU",1,IF('House Count'!F651="RES-MDU",1,IF('House Count'!F651="RES-HOA",1,0))),0)</f>
        <v/>
      </c>
      <c r="K651">
        <f>IF('House Count'!H651="Y",IF('House Count'!F651="COMM-SU",1,IF('House Count'!F651="COM-MTU",1,IF('House Count'!F651="ENT",1,0))),0)</f>
        <v/>
      </c>
    </row>
    <row r="652">
      <c r="A652" s="109" t="n"/>
      <c r="B652" s="109" t="n"/>
      <c r="C652" s="109" t="n"/>
      <c r="D652" s="109" t="n"/>
      <c r="E652" s="109" t="n"/>
      <c r="F652" s="109" t="n"/>
      <c r="G652" s="109" t="n"/>
      <c r="H652" s="109" t="n"/>
      <c r="I652" s="68" t="n"/>
      <c r="J652">
        <f>IF('House Count'!H652="Y",IF('House Count'!F652="RES-SFU",1,IF('House Count'!F652="RES-MDU",1,IF('House Count'!F652="RES-HOA",1,0))),0)</f>
        <v/>
      </c>
      <c r="K652">
        <f>IF('House Count'!H652="Y",IF('House Count'!F652="COMM-SU",1,IF('House Count'!F652="COM-MTU",1,IF('House Count'!F652="ENT",1,0))),0)</f>
        <v/>
      </c>
    </row>
    <row r="653">
      <c r="A653" s="109" t="n"/>
      <c r="B653" s="109" t="n"/>
      <c r="C653" s="109" t="n"/>
      <c r="D653" s="109" t="n"/>
      <c r="E653" s="109" t="n"/>
      <c r="F653" s="109" t="n"/>
      <c r="G653" s="109" t="n"/>
      <c r="H653" s="109" t="n"/>
      <c r="I653" s="68" t="n"/>
      <c r="J653">
        <f>IF('House Count'!H653="Y",IF('House Count'!F653="RES-SFU",1,IF('House Count'!F653="RES-MDU",1,IF('House Count'!F653="RES-HOA",1,0))),0)</f>
        <v/>
      </c>
      <c r="K653">
        <f>IF('House Count'!H653="Y",IF('House Count'!F653="COMM-SU",1,IF('House Count'!F653="COM-MTU",1,IF('House Count'!F653="ENT",1,0))),0)</f>
        <v/>
      </c>
    </row>
    <row r="654">
      <c r="A654" s="109" t="n"/>
      <c r="B654" s="109" t="n"/>
      <c r="C654" s="109" t="n"/>
      <c r="D654" s="109" t="n"/>
      <c r="E654" s="109" t="n"/>
      <c r="F654" s="109" t="n"/>
      <c r="G654" s="109" t="n"/>
      <c r="H654" s="109" t="n"/>
      <c r="I654" s="68" t="n"/>
      <c r="J654">
        <f>IF('House Count'!H654="Y",IF('House Count'!F654="RES-SFU",1,IF('House Count'!F654="RES-MDU",1,IF('House Count'!F654="RES-HOA",1,0))),0)</f>
        <v/>
      </c>
      <c r="K654">
        <f>IF('House Count'!H654="Y",IF('House Count'!F654="COMM-SU",1,IF('House Count'!F654="COM-MTU",1,IF('House Count'!F654="ENT",1,0))),0)</f>
        <v/>
      </c>
    </row>
    <row r="655">
      <c r="A655" s="109" t="n"/>
      <c r="B655" s="109" t="n"/>
      <c r="C655" s="109" t="n"/>
      <c r="D655" s="109" t="n"/>
      <c r="E655" s="109" t="n"/>
      <c r="F655" s="109" t="n"/>
      <c r="G655" s="109" t="n"/>
      <c r="H655" s="109" t="n"/>
      <c r="I655" s="68" t="n"/>
      <c r="J655">
        <f>IF('House Count'!H655="Y",IF('House Count'!F655="RES-SFU",1,IF('House Count'!F655="RES-MDU",1,IF('House Count'!F655="RES-HOA",1,0))),0)</f>
        <v/>
      </c>
      <c r="K655">
        <f>IF('House Count'!H655="Y",IF('House Count'!F655="COMM-SU",1,IF('House Count'!F655="COM-MTU",1,IF('House Count'!F655="ENT",1,0))),0)</f>
        <v/>
      </c>
    </row>
    <row r="656">
      <c r="A656" s="109" t="n"/>
      <c r="B656" s="109" t="n"/>
      <c r="C656" s="109" t="n"/>
      <c r="D656" s="109" t="n"/>
      <c r="E656" s="109" t="n"/>
      <c r="F656" s="109" t="n"/>
      <c r="G656" s="109" t="n"/>
      <c r="H656" s="109" t="n"/>
      <c r="I656" s="68" t="n"/>
      <c r="J656">
        <f>IF('House Count'!H656="Y",IF('House Count'!F656="RES-SFU",1,IF('House Count'!F656="RES-MDU",1,IF('House Count'!F656="RES-HOA",1,0))),0)</f>
        <v/>
      </c>
      <c r="K656">
        <f>IF('House Count'!H656="Y",IF('House Count'!F656="COMM-SU",1,IF('House Count'!F656="COM-MTU",1,IF('House Count'!F656="ENT",1,0))),0)</f>
        <v/>
      </c>
    </row>
    <row r="657">
      <c r="A657" s="109" t="n"/>
      <c r="B657" s="109" t="n"/>
      <c r="C657" s="109" t="n"/>
      <c r="D657" s="109" t="n"/>
      <c r="E657" s="109" t="n"/>
      <c r="F657" s="109" t="n"/>
      <c r="G657" s="109" t="n"/>
      <c r="H657" s="109" t="n"/>
      <c r="I657" s="68" t="n"/>
      <c r="J657">
        <f>IF('House Count'!H657="Y",IF('House Count'!F657="RES-SFU",1,IF('House Count'!F657="RES-MDU",1,IF('House Count'!F657="RES-HOA",1,0))),0)</f>
        <v/>
      </c>
      <c r="K657">
        <f>IF('House Count'!H657="Y",IF('House Count'!F657="COMM-SU",1,IF('House Count'!F657="COM-MTU",1,IF('House Count'!F657="ENT",1,0))),0)</f>
        <v/>
      </c>
    </row>
    <row r="658">
      <c r="A658" s="109" t="n"/>
      <c r="B658" s="109" t="n"/>
      <c r="C658" s="109" t="n"/>
      <c r="D658" s="109" t="n"/>
      <c r="E658" s="109" t="n"/>
      <c r="F658" s="109" t="n"/>
      <c r="G658" s="109" t="n"/>
      <c r="H658" s="109" t="n"/>
      <c r="I658" s="68" t="n"/>
      <c r="J658">
        <f>IF('House Count'!H658="Y",IF('House Count'!F658="RES-SFU",1,IF('House Count'!F658="RES-MDU",1,IF('House Count'!F658="RES-HOA",1,0))),0)</f>
        <v/>
      </c>
      <c r="K658">
        <f>IF('House Count'!H658="Y",IF('House Count'!F658="COMM-SU",1,IF('House Count'!F658="COM-MTU",1,IF('House Count'!F658="ENT",1,0))),0)</f>
        <v/>
      </c>
    </row>
    <row r="659">
      <c r="A659" s="109" t="n"/>
      <c r="B659" s="109" t="n"/>
      <c r="C659" s="109" t="n"/>
      <c r="D659" s="109" t="n"/>
      <c r="E659" s="109" t="n"/>
      <c r="F659" s="109" t="n"/>
      <c r="G659" s="109" t="n"/>
      <c r="H659" s="109" t="n"/>
      <c r="I659" s="68" t="n"/>
      <c r="J659">
        <f>IF('House Count'!H659="Y",IF('House Count'!F659="RES-SFU",1,IF('House Count'!F659="RES-MDU",1,IF('House Count'!F659="RES-HOA",1,0))),0)</f>
        <v/>
      </c>
      <c r="K659">
        <f>IF('House Count'!H659="Y",IF('House Count'!F659="COMM-SU",1,IF('House Count'!F659="COM-MTU",1,IF('House Count'!F659="ENT",1,0))),0)</f>
        <v/>
      </c>
    </row>
    <row r="660">
      <c r="A660" s="109" t="n"/>
      <c r="B660" s="109" t="n"/>
      <c r="C660" s="109" t="n"/>
      <c r="D660" s="109" t="n"/>
      <c r="E660" s="109" t="n"/>
      <c r="F660" s="109" t="n"/>
      <c r="G660" s="109" t="n"/>
      <c r="H660" s="109" t="n"/>
      <c r="I660" s="68" t="n"/>
      <c r="J660">
        <f>IF('House Count'!H660="Y",IF('House Count'!F660="RES-SFU",1,IF('House Count'!F660="RES-MDU",1,IF('House Count'!F660="RES-HOA",1,0))),0)</f>
        <v/>
      </c>
      <c r="K660">
        <f>IF('House Count'!H660="Y",IF('House Count'!F660="COMM-SU",1,IF('House Count'!F660="COM-MTU",1,IF('House Count'!F660="ENT",1,0))),0)</f>
        <v/>
      </c>
    </row>
    <row r="661" ht="15.75" customHeight="1" thickBot="1">
      <c r="A661" s="545" t="n"/>
      <c r="B661" s="545" t="n"/>
      <c r="C661" s="545" t="n"/>
      <c r="D661" s="545" t="n"/>
      <c r="E661" s="545" t="n"/>
      <c r="F661" s="545" t="n"/>
      <c r="G661" s="545" t="n"/>
      <c r="H661" s="545" t="n"/>
      <c r="I661" s="546" t="n"/>
      <c r="J661">
        <f>IF('House Count'!H661="Y",IF('House Count'!F661="RES-SFU",1,IF('House Count'!F661="RES-MDU",1,IF('House Count'!F661="RES-HOA",1,0))),0)</f>
        <v/>
      </c>
      <c r="K661">
        <f>IF('House Count'!H661="Y",IF('House Count'!F661="COMM-SU",1,IF('House Count'!F661="COM-MTU",1,IF('House Count'!F661="ENT",1,0))),0)</f>
        <v/>
      </c>
    </row>
    <row r="662" ht="15.75" customHeight="1" thickTop="1">
      <c r="A662" s="109" t="n"/>
      <c r="B662" s="109" t="n"/>
      <c r="C662" s="109" t="n"/>
      <c r="D662" s="109" t="n"/>
      <c r="E662" s="109" t="n"/>
      <c r="F662" s="109" t="n"/>
      <c r="G662" s="109" t="n"/>
      <c r="H662" s="109" t="n"/>
      <c r="I662" s="68" t="n"/>
      <c r="J662">
        <f>IF('House Count'!H662="Y",IF('House Count'!F662="RES-SFU",1,IF('House Count'!F662="RES-MDU",1,IF('House Count'!F662="RES-HOA",1,0))),0)</f>
        <v/>
      </c>
      <c r="K662">
        <f>IF('House Count'!H662="Y",IF('House Count'!F662="COMM-SU",1,IF('House Count'!F662="COM-MTU",1,IF('House Count'!F662="ENT",1,0))),0)</f>
        <v/>
      </c>
    </row>
    <row r="663">
      <c r="A663" s="109" t="n"/>
      <c r="B663" s="109" t="n"/>
      <c r="C663" s="109" t="n"/>
      <c r="D663" s="109" t="n"/>
      <c r="E663" s="109" t="n"/>
      <c r="F663" s="109" t="n"/>
      <c r="G663" s="109" t="n"/>
      <c r="H663" s="109" t="n"/>
      <c r="I663" s="68" t="n"/>
      <c r="J663">
        <f>IF('House Count'!H663="Y",IF('House Count'!F663="RES-SFU",1,IF('House Count'!F663="RES-MDU",1,IF('House Count'!F663="RES-HOA",1,0))),0)</f>
        <v/>
      </c>
      <c r="K663">
        <f>IF('House Count'!H663="Y",IF('House Count'!F663="COMM-SU",1,IF('House Count'!F663="COM-MTU",1,IF('House Count'!F663="ENT",1,0))),0)</f>
        <v/>
      </c>
    </row>
    <row r="664">
      <c r="A664" s="109" t="n"/>
      <c r="B664" s="109" t="n"/>
      <c r="C664" s="109" t="n"/>
      <c r="D664" s="109" t="n"/>
      <c r="E664" s="109" t="n"/>
      <c r="F664" s="109" t="n"/>
      <c r="G664" s="109" t="n"/>
      <c r="H664" s="109" t="n"/>
      <c r="I664" s="68" t="n"/>
      <c r="J664">
        <f>IF('House Count'!H664="Y",IF('House Count'!F664="RES-SFU",1,IF('House Count'!F664="RES-MDU",1,IF('House Count'!F664="RES-HOA",1,0))),0)</f>
        <v/>
      </c>
      <c r="K664">
        <f>IF('House Count'!H664="Y",IF('House Count'!F664="COMM-SU",1,IF('House Count'!F664="COM-MTU",1,IF('House Count'!F664="ENT",1,0))),0)</f>
        <v/>
      </c>
    </row>
    <row r="665">
      <c r="A665" s="109" t="n"/>
      <c r="B665" s="109" t="n"/>
      <c r="C665" s="109" t="n"/>
      <c r="D665" s="109" t="n"/>
      <c r="E665" s="109" t="n"/>
      <c r="F665" s="109" t="n"/>
      <c r="G665" s="109" t="n"/>
      <c r="H665" s="109" t="n"/>
      <c r="I665" s="68" t="n"/>
      <c r="J665">
        <f>IF('House Count'!H665="Y",IF('House Count'!F665="RES-SFU",1,IF('House Count'!F665="RES-MDU",1,IF('House Count'!F665="RES-HOA",1,0))),0)</f>
        <v/>
      </c>
      <c r="K665">
        <f>IF('House Count'!H665="Y",IF('House Count'!F665="COMM-SU",1,IF('House Count'!F665="COM-MTU",1,IF('House Count'!F665="ENT",1,0))),0)</f>
        <v/>
      </c>
    </row>
    <row r="666">
      <c r="A666" s="109" t="n"/>
      <c r="B666" s="109" t="n"/>
      <c r="C666" s="109" t="n"/>
      <c r="D666" s="109" t="n"/>
      <c r="E666" s="109" t="n"/>
      <c r="F666" s="109" t="n"/>
      <c r="G666" s="109" t="n"/>
      <c r="H666" s="109" t="n"/>
      <c r="I666" s="68" t="n"/>
      <c r="J666">
        <f>IF('House Count'!H666="Y",IF('House Count'!F666="RES-SFU",1,IF('House Count'!F666="RES-MDU",1,IF('House Count'!F666="RES-HOA",1,0))),0)</f>
        <v/>
      </c>
      <c r="K666">
        <f>IF('House Count'!H666="Y",IF('House Count'!F666="COMM-SU",1,IF('House Count'!F666="COM-MTU",1,IF('House Count'!F666="ENT",1,0))),0)</f>
        <v/>
      </c>
    </row>
    <row r="667">
      <c r="A667" s="109" t="n"/>
      <c r="B667" s="109" t="n"/>
      <c r="C667" s="109" t="n"/>
      <c r="D667" s="109" t="n"/>
      <c r="E667" s="109" t="n"/>
      <c r="F667" s="109" t="n"/>
      <c r="G667" s="109" t="n"/>
      <c r="H667" s="109" t="n"/>
      <c r="I667" s="68" t="n"/>
      <c r="J667">
        <f>IF('House Count'!H667="Y",IF('House Count'!F667="RES-SFU",1,IF('House Count'!F667="RES-MDU",1,IF('House Count'!F667="RES-HOA",1,0))),0)</f>
        <v/>
      </c>
      <c r="K667">
        <f>IF('House Count'!H667="Y",IF('House Count'!F667="COMM-SU",1,IF('House Count'!F667="COM-MTU",1,IF('House Count'!F667="ENT",1,0))),0)</f>
        <v/>
      </c>
    </row>
    <row r="668">
      <c r="A668" s="109" t="n"/>
      <c r="B668" s="109" t="n"/>
      <c r="C668" s="109" t="n"/>
      <c r="D668" s="109" t="n"/>
      <c r="E668" s="109" t="n"/>
      <c r="F668" s="109" t="n"/>
      <c r="G668" s="109" t="n"/>
      <c r="H668" s="109" t="n"/>
      <c r="I668" s="68" t="n"/>
      <c r="J668">
        <f>IF('House Count'!H668="Y",IF('House Count'!F668="RES-SFU",1,IF('House Count'!F668="RES-MDU",1,IF('House Count'!F668="RES-HOA",1,0))),0)</f>
        <v/>
      </c>
      <c r="K668">
        <f>IF('House Count'!H668="Y",IF('House Count'!F668="COMM-SU",1,IF('House Count'!F668="COM-MTU",1,IF('House Count'!F668="ENT",1,0))),0)</f>
        <v/>
      </c>
    </row>
    <row r="669">
      <c r="A669" s="109" t="n"/>
      <c r="B669" s="109" t="n"/>
      <c r="C669" s="109" t="n"/>
      <c r="D669" s="109" t="n"/>
      <c r="E669" s="109" t="n"/>
      <c r="F669" s="109" t="n"/>
      <c r="G669" s="109" t="n"/>
      <c r="H669" s="109" t="n"/>
      <c r="I669" s="68" t="n"/>
      <c r="J669">
        <f>IF('House Count'!H669="Y",IF('House Count'!F669="RES-SFU",1,IF('House Count'!F669="RES-MDU",1,IF('House Count'!F669="RES-HOA",1,0))),0)</f>
        <v/>
      </c>
      <c r="K669">
        <f>IF('House Count'!H669="Y",IF('House Count'!F669="COMM-SU",1,IF('House Count'!F669="COM-MTU",1,IF('House Count'!F669="ENT",1,0))),0)</f>
        <v/>
      </c>
    </row>
    <row r="670">
      <c r="A670" s="109" t="n"/>
      <c r="B670" s="109" t="n"/>
      <c r="C670" s="109" t="n"/>
      <c r="D670" s="109" t="n"/>
      <c r="E670" s="109" t="n"/>
      <c r="F670" s="109" t="n"/>
      <c r="G670" s="109" t="n"/>
      <c r="H670" s="109" t="n"/>
      <c r="I670" s="68" t="n"/>
      <c r="J670">
        <f>IF('House Count'!H670="Y",IF('House Count'!F670="RES-SFU",1,IF('House Count'!F670="RES-MDU",1,IF('House Count'!F670="RES-HOA",1,0))),0)</f>
        <v/>
      </c>
      <c r="K670">
        <f>IF('House Count'!H670="Y",IF('House Count'!F670="COMM-SU",1,IF('House Count'!F670="COM-MTU",1,IF('House Count'!F670="ENT",1,0))),0)</f>
        <v/>
      </c>
    </row>
    <row r="671">
      <c r="A671" s="109" t="n"/>
      <c r="B671" s="109" t="n"/>
      <c r="C671" s="109" t="n"/>
      <c r="D671" s="109" t="n"/>
      <c r="E671" s="109" t="n"/>
      <c r="F671" s="109" t="n"/>
      <c r="G671" s="109" t="n"/>
      <c r="H671" s="109" t="n"/>
      <c r="I671" s="68" t="n"/>
      <c r="J671">
        <f>IF('House Count'!H671="Y",IF('House Count'!F671="RES-SFU",1,IF('House Count'!F671="RES-MDU",1,IF('House Count'!F671="RES-HOA",1,0))),0)</f>
        <v/>
      </c>
      <c r="K671">
        <f>IF('House Count'!H671="Y",IF('House Count'!F671="COMM-SU",1,IF('House Count'!F671="COM-MTU",1,IF('House Count'!F671="ENT",1,0))),0)</f>
        <v/>
      </c>
    </row>
    <row r="672">
      <c r="A672" s="109" t="n"/>
      <c r="B672" s="109" t="n"/>
      <c r="C672" s="109" t="n"/>
      <c r="D672" s="109" t="n"/>
      <c r="E672" s="109" t="n"/>
      <c r="F672" s="109" t="n"/>
      <c r="G672" s="109" t="n"/>
      <c r="H672" s="109" t="n"/>
      <c r="I672" s="68" t="n"/>
      <c r="J672">
        <f>IF('House Count'!H672="Y",IF('House Count'!F672="RES-SFU",1,IF('House Count'!F672="RES-MDU",1,IF('House Count'!F672="RES-HOA",1,0))),0)</f>
        <v/>
      </c>
      <c r="K672">
        <f>IF('House Count'!H672="Y",IF('House Count'!F672="COMM-SU",1,IF('House Count'!F672="COM-MTU",1,IF('House Count'!F672="ENT",1,0))),0)</f>
        <v/>
      </c>
    </row>
    <row r="673" ht="15.75" customHeight="1" thickBot="1">
      <c r="A673" s="545" t="n"/>
      <c r="B673" s="545" t="n"/>
      <c r="C673" s="545" t="n"/>
      <c r="D673" s="545" t="n"/>
      <c r="E673" s="545" t="n"/>
      <c r="F673" s="545" t="n"/>
      <c r="G673" s="545" t="n"/>
      <c r="H673" s="545" t="n"/>
      <c r="I673" s="546" t="n"/>
      <c r="J673">
        <f>IF('House Count'!H673="Y",IF('House Count'!F673="RES-SFU",1,IF('House Count'!F673="RES-MDU",1,IF('House Count'!F673="RES-HOA",1,0))),0)</f>
        <v/>
      </c>
      <c r="K673">
        <f>IF('House Count'!H673="Y",IF('House Count'!F673="COMM-SU",1,IF('House Count'!F673="COM-MTU",1,IF('House Count'!F673="ENT",1,0))),0)</f>
        <v/>
      </c>
    </row>
    <row r="674" ht="15.75" customHeight="1" thickTop="1">
      <c r="A674" s="109" t="n"/>
      <c r="B674" s="109" t="n"/>
      <c r="C674" s="109" t="n"/>
      <c r="D674" s="109" t="n"/>
      <c r="E674" s="109" t="n"/>
      <c r="F674" s="109" t="n"/>
      <c r="G674" s="109" t="n"/>
      <c r="H674" s="109" t="n"/>
      <c r="I674" s="68" t="n"/>
      <c r="J674">
        <f>IF('House Count'!H674="Y",IF('House Count'!F674="RES-SFU",1,IF('House Count'!F674="RES-MDU",1,IF('House Count'!F674="RES-HOA",1,0))),0)</f>
        <v/>
      </c>
      <c r="K674">
        <f>IF('House Count'!H674="Y",IF('House Count'!F674="COMM-SU",1,IF('House Count'!F674="COM-MTU",1,IF('House Count'!F674="ENT",1,0))),0)</f>
        <v/>
      </c>
    </row>
    <row r="675">
      <c r="A675" s="109" t="n"/>
      <c r="B675" s="109" t="n"/>
      <c r="C675" s="109" t="n"/>
      <c r="D675" s="109" t="n"/>
      <c r="E675" s="109" t="n"/>
      <c r="F675" s="109" t="n"/>
      <c r="G675" s="109" t="n"/>
      <c r="H675" s="109" t="n"/>
      <c r="I675" s="68" t="n"/>
      <c r="J675">
        <f>IF('House Count'!H675="Y",IF('House Count'!F675="RES-SFU",1,IF('House Count'!F675="RES-MDU",1,IF('House Count'!F675="RES-HOA",1,0))),0)</f>
        <v/>
      </c>
      <c r="K675">
        <f>IF('House Count'!H675="Y",IF('House Count'!F675="COMM-SU",1,IF('House Count'!F675="COM-MTU",1,IF('House Count'!F675="ENT",1,0))),0)</f>
        <v/>
      </c>
    </row>
    <row r="676">
      <c r="A676" s="109" t="n"/>
      <c r="B676" s="109" t="n"/>
      <c r="C676" s="109" t="n"/>
      <c r="D676" s="109" t="n"/>
      <c r="E676" s="109" t="n"/>
      <c r="F676" s="109" t="n"/>
      <c r="G676" s="109" t="n"/>
      <c r="H676" s="109" t="n"/>
      <c r="I676" s="68" t="n"/>
      <c r="J676">
        <f>IF('House Count'!H676="Y",IF('House Count'!F676="RES-SFU",1,IF('House Count'!F676="RES-MDU",1,IF('House Count'!F676="RES-HOA",1,0))),0)</f>
        <v/>
      </c>
      <c r="K676">
        <f>IF('House Count'!H676="Y",IF('House Count'!F676="COMM-SU",1,IF('House Count'!F676="COM-MTU",1,IF('House Count'!F676="ENT",1,0))),0)</f>
        <v/>
      </c>
    </row>
    <row r="677">
      <c r="A677" s="109" t="n"/>
      <c r="B677" s="109" t="n"/>
      <c r="C677" s="109" t="n"/>
      <c r="D677" s="109" t="n"/>
      <c r="E677" s="109" t="n"/>
      <c r="F677" s="109" t="n"/>
      <c r="G677" s="109" t="n"/>
      <c r="H677" s="109" t="n"/>
      <c r="I677" s="68" t="n"/>
      <c r="J677">
        <f>IF('House Count'!H677="Y",IF('House Count'!F677="RES-SFU",1,IF('House Count'!F677="RES-MDU",1,IF('House Count'!F677="RES-HOA",1,0))),0)</f>
        <v/>
      </c>
      <c r="K677">
        <f>IF('House Count'!H677="Y",IF('House Count'!F677="COMM-SU",1,IF('House Count'!F677="COM-MTU",1,IF('House Count'!F677="ENT",1,0))),0)</f>
        <v/>
      </c>
    </row>
    <row r="678">
      <c r="A678" s="109" t="n"/>
      <c r="B678" s="109" t="n"/>
      <c r="C678" s="109" t="n"/>
      <c r="D678" s="109" t="n"/>
      <c r="E678" s="109" t="n"/>
      <c r="F678" s="109" t="n"/>
      <c r="G678" s="109" t="n"/>
      <c r="H678" s="109" t="n"/>
      <c r="I678" s="68" t="n"/>
      <c r="J678">
        <f>IF('House Count'!H678="Y",IF('House Count'!F678="RES-SFU",1,IF('House Count'!F678="RES-MDU",1,IF('House Count'!F678="RES-HOA",1,0))),0)</f>
        <v/>
      </c>
      <c r="K678">
        <f>IF('House Count'!H678="Y",IF('House Count'!F678="COMM-SU",1,IF('House Count'!F678="COM-MTU",1,IF('House Count'!F678="ENT",1,0))),0)</f>
        <v/>
      </c>
    </row>
    <row r="679">
      <c r="A679" s="109" t="n"/>
      <c r="B679" s="109" t="n"/>
      <c r="C679" s="109" t="n"/>
      <c r="D679" s="109" t="n"/>
      <c r="E679" s="109" t="n"/>
      <c r="F679" s="109" t="n"/>
      <c r="G679" s="109" t="n"/>
      <c r="H679" s="109" t="n"/>
      <c r="I679" s="68" t="n"/>
      <c r="J679">
        <f>IF('House Count'!H679="Y",IF('House Count'!F679="RES-SFU",1,IF('House Count'!F679="RES-MDU",1,IF('House Count'!F679="RES-HOA",1,0))),0)</f>
        <v/>
      </c>
      <c r="K679">
        <f>IF('House Count'!H679="Y",IF('House Count'!F679="COMM-SU",1,IF('House Count'!F679="COM-MTU",1,IF('House Count'!F679="ENT",1,0))),0)</f>
        <v/>
      </c>
    </row>
    <row r="680">
      <c r="A680" s="109" t="n"/>
      <c r="B680" s="109" t="n"/>
      <c r="C680" s="109" t="n"/>
      <c r="D680" s="109" t="n"/>
      <c r="E680" s="109" t="n"/>
      <c r="F680" s="109" t="n"/>
      <c r="G680" s="109" t="n"/>
      <c r="H680" s="109" t="n"/>
      <c r="I680" s="68" t="n"/>
      <c r="J680">
        <f>IF('House Count'!H680="Y",IF('House Count'!F680="RES-SFU",1,IF('House Count'!F680="RES-MDU",1,IF('House Count'!F680="RES-HOA",1,0))),0)</f>
        <v/>
      </c>
      <c r="K680">
        <f>IF('House Count'!H680="Y",IF('House Count'!F680="COMM-SU",1,IF('House Count'!F680="COM-MTU",1,IF('House Count'!F680="ENT",1,0))),0)</f>
        <v/>
      </c>
    </row>
    <row r="681">
      <c r="A681" s="109" t="n"/>
      <c r="B681" s="109" t="n"/>
      <c r="C681" s="109" t="n"/>
      <c r="D681" s="109" t="n"/>
      <c r="E681" s="109" t="n"/>
      <c r="F681" s="109" t="n"/>
      <c r="G681" s="109" t="n"/>
      <c r="H681" s="109" t="n"/>
      <c r="I681" s="68" t="n"/>
      <c r="J681">
        <f>IF('House Count'!H681="Y",IF('House Count'!F681="RES-SFU",1,IF('House Count'!F681="RES-MDU",1,IF('House Count'!F681="RES-HOA",1,0))),0)</f>
        <v/>
      </c>
      <c r="K681">
        <f>IF('House Count'!H681="Y",IF('House Count'!F681="COMM-SU",1,IF('House Count'!F681="COM-MTU",1,IF('House Count'!F681="ENT",1,0))),0)</f>
        <v/>
      </c>
    </row>
    <row r="682">
      <c r="A682" s="109" t="n"/>
      <c r="B682" s="109" t="n"/>
      <c r="C682" s="109" t="n"/>
      <c r="D682" s="109" t="n"/>
      <c r="E682" s="109" t="n"/>
      <c r="F682" s="109" t="n"/>
      <c r="G682" s="109" t="n"/>
      <c r="H682" s="109" t="n"/>
      <c r="I682" s="68" t="n"/>
      <c r="J682">
        <f>IF('House Count'!H682="Y",IF('House Count'!F682="RES-SFU",1,IF('House Count'!F682="RES-MDU",1,IF('House Count'!F682="RES-HOA",1,0))),0)</f>
        <v/>
      </c>
      <c r="K682">
        <f>IF('House Count'!H682="Y",IF('House Count'!F682="COMM-SU",1,IF('House Count'!F682="COM-MTU",1,IF('House Count'!F682="ENT",1,0))),0)</f>
        <v/>
      </c>
    </row>
    <row r="683">
      <c r="A683" s="109" t="n"/>
      <c r="B683" s="109" t="n"/>
      <c r="C683" s="109" t="n"/>
      <c r="D683" s="109" t="n"/>
      <c r="E683" s="109" t="n"/>
      <c r="F683" s="109" t="n"/>
      <c r="G683" s="109" t="n"/>
      <c r="H683" s="109" t="n"/>
      <c r="I683" s="68" t="n"/>
      <c r="J683">
        <f>IF('House Count'!H683="Y",IF('House Count'!F683="RES-SFU",1,IF('House Count'!F683="RES-MDU",1,IF('House Count'!F683="RES-HOA",1,0))),0)</f>
        <v/>
      </c>
      <c r="K683">
        <f>IF('House Count'!H683="Y",IF('House Count'!F683="COMM-SU",1,IF('House Count'!F683="COM-MTU",1,IF('House Count'!F683="ENT",1,0))),0)</f>
        <v/>
      </c>
    </row>
    <row r="684">
      <c r="A684" s="109" t="n"/>
      <c r="B684" s="109" t="n"/>
      <c r="C684" s="109" t="n"/>
      <c r="D684" s="109" t="n"/>
      <c r="E684" s="109" t="n"/>
      <c r="F684" s="109" t="n"/>
      <c r="G684" s="109" t="n"/>
      <c r="H684" s="109" t="n"/>
      <c r="I684" s="68" t="n"/>
      <c r="J684">
        <f>IF('House Count'!H684="Y",IF('House Count'!F684="RES-SFU",1,IF('House Count'!F684="RES-MDU",1,IF('House Count'!F684="RES-HOA",1,0))),0)</f>
        <v/>
      </c>
      <c r="K684">
        <f>IF('House Count'!H684="Y",IF('House Count'!F684="COMM-SU",1,IF('House Count'!F684="COM-MTU",1,IF('House Count'!F684="ENT",1,0))),0)</f>
        <v/>
      </c>
    </row>
    <row r="685" ht="15.75" customHeight="1" thickBot="1">
      <c r="A685" s="545" t="n"/>
      <c r="B685" s="545" t="n"/>
      <c r="C685" s="545" t="n"/>
      <c r="D685" s="545" t="n"/>
      <c r="E685" s="545" t="n"/>
      <c r="F685" s="545" t="n"/>
      <c r="G685" s="545" t="n"/>
      <c r="H685" s="545" t="n"/>
      <c r="I685" s="546" t="n"/>
      <c r="J685">
        <f>IF('House Count'!H685="Y",IF('House Count'!F685="RES-SFU",1,IF('House Count'!F685="RES-MDU",1,IF('House Count'!F685="RES-HOA",1,0))),0)</f>
        <v/>
      </c>
      <c r="K685">
        <f>IF('House Count'!H685="Y",IF('House Count'!F685="COMM-SU",1,IF('House Count'!F685="COM-MTU",1,IF('House Count'!F685="ENT",1,0))),0)</f>
        <v/>
      </c>
    </row>
    <row r="686" ht="15.75" customHeight="1" thickTop="1">
      <c r="A686" s="109" t="n"/>
      <c r="B686" s="109" t="n"/>
      <c r="C686" s="109" t="n"/>
      <c r="D686" s="109" t="n"/>
      <c r="E686" s="109" t="n"/>
      <c r="F686" s="109" t="n"/>
      <c r="G686" s="109" t="n"/>
      <c r="H686" s="109" t="n"/>
      <c r="I686" s="68" t="n"/>
      <c r="J686">
        <f>IF('House Count'!H686="Y",IF('House Count'!F686="RES-SFU",1,IF('House Count'!F686="RES-MDU",1,IF('House Count'!F686="RES-HOA",1,0))),0)</f>
        <v/>
      </c>
      <c r="K686">
        <f>IF('House Count'!H686="Y",IF('House Count'!F686="COMM-SU",1,IF('House Count'!F686="COM-MTU",1,IF('House Count'!F686="ENT",1,0))),0)</f>
        <v/>
      </c>
    </row>
    <row r="687">
      <c r="A687" s="109" t="n"/>
      <c r="B687" s="109" t="n"/>
      <c r="C687" s="109" t="n"/>
      <c r="D687" s="109" t="n"/>
      <c r="E687" s="109" t="n"/>
      <c r="F687" s="109" t="n"/>
      <c r="G687" s="109" t="n"/>
      <c r="H687" s="109" t="n"/>
      <c r="I687" s="68" t="n"/>
      <c r="J687">
        <f>IF('House Count'!H687="Y",IF('House Count'!F687="RES-SFU",1,IF('House Count'!F687="RES-MDU",1,IF('House Count'!F687="RES-HOA",1,0))),0)</f>
        <v/>
      </c>
      <c r="K687">
        <f>IF('House Count'!H687="Y",IF('House Count'!F687="COMM-SU",1,IF('House Count'!F687="COM-MTU",1,IF('House Count'!F687="ENT",1,0))),0)</f>
        <v/>
      </c>
    </row>
    <row r="688">
      <c r="A688" s="109" t="n"/>
      <c r="B688" s="109" t="n"/>
      <c r="C688" s="109" t="n"/>
      <c r="D688" s="109" t="n"/>
      <c r="E688" s="109" t="n"/>
      <c r="F688" s="109" t="n"/>
      <c r="G688" s="109" t="n"/>
      <c r="H688" s="109" t="n"/>
      <c r="I688" s="68" t="n"/>
      <c r="J688">
        <f>IF('House Count'!H688="Y",IF('House Count'!F688="RES-SFU",1,IF('House Count'!F688="RES-MDU",1,IF('House Count'!F688="RES-HOA",1,0))),0)</f>
        <v/>
      </c>
      <c r="K688">
        <f>IF('House Count'!H688="Y",IF('House Count'!F688="COMM-SU",1,IF('House Count'!F688="COM-MTU",1,IF('House Count'!F688="ENT",1,0))),0)</f>
        <v/>
      </c>
    </row>
    <row r="689">
      <c r="A689" s="109" t="n"/>
      <c r="B689" s="109" t="n"/>
      <c r="C689" s="109" t="n"/>
      <c r="D689" s="109" t="n"/>
      <c r="E689" s="109" t="n"/>
      <c r="F689" s="109" t="n"/>
      <c r="G689" s="109" t="n"/>
      <c r="H689" s="109" t="n"/>
      <c r="I689" s="68" t="n"/>
      <c r="J689">
        <f>IF('House Count'!H689="Y",IF('House Count'!F689="RES-SFU",1,IF('House Count'!F689="RES-MDU",1,IF('House Count'!F689="RES-HOA",1,0))),0)</f>
        <v/>
      </c>
      <c r="K689">
        <f>IF('House Count'!H689="Y",IF('House Count'!F689="COMM-SU",1,IF('House Count'!F689="COM-MTU",1,IF('House Count'!F689="ENT",1,0))),0)</f>
        <v/>
      </c>
    </row>
    <row r="690">
      <c r="A690" s="109" t="n"/>
      <c r="B690" s="109" t="n"/>
      <c r="C690" s="109" t="n"/>
      <c r="D690" s="109" t="n"/>
      <c r="E690" s="109" t="n"/>
      <c r="F690" s="109" t="n"/>
      <c r="G690" s="109" t="n"/>
      <c r="H690" s="109" t="n"/>
      <c r="I690" s="68" t="n"/>
      <c r="J690">
        <f>IF('House Count'!H690="Y",IF('House Count'!F690="RES-SFU",1,IF('House Count'!F690="RES-MDU",1,IF('House Count'!F690="RES-HOA",1,0))),0)</f>
        <v/>
      </c>
      <c r="K690">
        <f>IF('House Count'!H690="Y",IF('House Count'!F690="COMM-SU",1,IF('House Count'!F690="COM-MTU",1,IF('House Count'!F690="ENT",1,0))),0)</f>
        <v/>
      </c>
    </row>
    <row r="691">
      <c r="A691" s="109" t="n"/>
      <c r="B691" s="109" t="n"/>
      <c r="C691" s="109" t="n"/>
      <c r="D691" s="109" t="n"/>
      <c r="E691" s="109" t="n"/>
      <c r="F691" s="109" t="n"/>
      <c r="G691" s="109" t="n"/>
      <c r="H691" s="109" t="n"/>
      <c r="I691" s="68" t="n"/>
      <c r="J691">
        <f>IF('House Count'!H691="Y",IF('House Count'!F691="RES-SFU",1,IF('House Count'!F691="RES-MDU",1,IF('House Count'!F691="RES-HOA",1,0))),0)</f>
        <v/>
      </c>
      <c r="K691">
        <f>IF('House Count'!H691="Y",IF('House Count'!F691="COMM-SU",1,IF('House Count'!F691="COM-MTU",1,IF('House Count'!F691="ENT",1,0))),0)</f>
        <v/>
      </c>
    </row>
    <row r="692">
      <c r="A692" s="109" t="n"/>
      <c r="B692" s="109" t="n"/>
      <c r="C692" s="109" t="n"/>
      <c r="D692" s="109" t="n"/>
      <c r="E692" s="109" t="n"/>
      <c r="F692" s="109" t="n"/>
      <c r="G692" s="109" t="n"/>
      <c r="H692" s="109" t="n"/>
      <c r="I692" s="68" t="n"/>
      <c r="J692">
        <f>IF('House Count'!H692="Y",IF('House Count'!F692="RES-SFU",1,IF('House Count'!F692="RES-MDU",1,IF('House Count'!F692="RES-HOA",1,0))),0)</f>
        <v/>
      </c>
      <c r="K692">
        <f>IF('House Count'!H692="Y",IF('House Count'!F692="COMM-SU",1,IF('House Count'!F692="COM-MTU",1,IF('House Count'!F692="ENT",1,0))),0)</f>
        <v/>
      </c>
    </row>
    <row r="693">
      <c r="A693" s="109" t="n"/>
      <c r="B693" s="109" t="n"/>
      <c r="C693" s="109" t="n"/>
      <c r="D693" s="109" t="n"/>
      <c r="E693" s="109" t="n"/>
      <c r="F693" s="109" t="n"/>
      <c r="G693" s="109" t="n"/>
      <c r="H693" s="109" t="n"/>
      <c r="I693" s="68" t="n"/>
      <c r="J693">
        <f>IF('House Count'!H693="Y",IF('House Count'!F693="RES-SFU",1,IF('House Count'!F693="RES-MDU",1,IF('House Count'!F693="RES-HOA",1,0))),0)</f>
        <v/>
      </c>
      <c r="K693">
        <f>IF('House Count'!H693="Y",IF('House Count'!F693="COMM-SU",1,IF('House Count'!F693="COM-MTU",1,IF('House Count'!F693="ENT",1,0))),0)</f>
        <v/>
      </c>
    </row>
    <row r="694">
      <c r="A694" s="109" t="n"/>
      <c r="B694" s="109" t="n"/>
      <c r="C694" s="109" t="n"/>
      <c r="D694" s="109" t="n"/>
      <c r="E694" s="109" t="n"/>
      <c r="F694" s="109" t="n"/>
      <c r="G694" s="109" t="n"/>
      <c r="H694" s="109" t="n"/>
      <c r="I694" s="68" t="n"/>
      <c r="J694">
        <f>IF('House Count'!H694="Y",IF('House Count'!F694="RES-SFU",1,IF('House Count'!F694="RES-MDU",1,IF('House Count'!F694="RES-HOA",1,0))),0)</f>
        <v/>
      </c>
      <c r="K694">
        <f>IF('House Count'!H694="Y",IF('House Count'!F694="COMM-SU",1,IF('House Count'!F694="COM-MTU",1,IF('House Count'!F694="ENT",1,0))),0)</f>
        <v/>
      </c>
    </row>
    <row r="695">
      <c r="A695" s="109" t="n"/>
      <c r="B695" s="109" t="n"/>
      <c r="C695" s="109" t="n"/>
      <c r="D695" s="109" t="n"/>
      <c r="E695" s="109" t="n"/>
      <c r="F695" s="109" t="n"/>
      <c r="G695" s="109" t="n"/>
      <c r="H695" s="109" t="n"/>
      <c r="I695" s="68" t="n"/>
      <c r="J695">
        <f>IF('House Count'!H695="Y",IF('House Count'!F695="RES-SFU",1,IF('House Count'!F695="RES-MDU",1,IF('House Count'!F695="RES-HOA",1,0))),0)</f>
        <v/>
      </c>
      <c r="K695">
        <f>IF('House Count'!H695="Y",IF('House Count'!F695="COMM-SU",1,IF('House Count'!F695="COM-MTU",1,IF('House Count'!F695="ENT",1,0))),0)</f>
        <v/>
      </c>
    </row>
    <row r="696">
      <c r="A696" s="109" t="n"/>
      <c r="B696" s="109" t="n"/>
      <c r="C696" s="109" t="n"/>
      <c r="D696" s="109" t="n"/>
      <c r="E696" s="109" t="n"/>
      <c r="F696" s="109" t="n"/>
      <c r="G696" s="109" t="n"/>
      <c r="H696" s="109" t="n"/>
      <c r="I696" s="68" t="n"/>
      <c r="J696">
        <f>IF('House Count'!H696="Y",IF('House Count'!F696="RES-SFU",1,IF('House Count'!F696="RES-MDU",1,IF('House Count'!F696="RES-HOA",1,0))),0)</f>
        <v/>
      </c>
      <c r="K696">
        <f>IF('House Count'!H696="Y",IF('House Count'!F696="COMM-SU",1,IF('House Count'!F696="COM-MTU",1,IF('House Count'!F696="ENT",1,0))),0)</f>
        <v/>
      </c>
    </row>
    <row r="697" ht="15.75" customHeight="1" thickBot="1">
      <c r="A697" s="545" t="n"/>
      <c r="B697" s="545" t="n"/>
      <c r="C697" s="545" t="n"/>
      <c r="D697" s="545" t="n"/>
      <c r="E697" s="545" t="n"/>
      <c r="F697" s="545" t="n"/>
      <c r="G697" s="545" t="n"/>
      <c r="H697" s="545" t="n"/>
      <c r="I697" s="546" t="n"/>
      <c r="J697">
        <f>IF('House Count'!H697="Y",IF('House Count'!F697="RES-SFU",1,IF('House Count'!F697="RES-MDU",1,IF('House Count'!F697="RES-HOA",1,0))),0)</f>
        <v/>
      </c>
      <c r="K697">
        <f>IF('House Count'!H697="Y",IF('House Count'!F697="COMM-SU",1,IF('House Count'!F697="COM-MTU",1,IF('House Count'!F697="ENT",1,0))),0)</f>
        <v/>
      </c>
    </row>
    <row r="698" ht="15.75" customHeight="1" thickTop="1">
      <c r="A698" s="109" t="n"/>
      <c r="B698" s="109" t="n"/>
      <c r="C698" s="109" t="n"/>
      <c r="D698" s="109" t="n"/>
      <c r="E698" s="109" t="n"/>
      <c r="F698" s="109" t="n"/>
      <c r="G698" s="109" t="n"/>
      <c r="H698" s="109" t="n"/>
      <c r="I698" s="68" t="n"/>
      <c r="J698">
        <f>IF('House Count'!H698="Y",IF('House Count'!F698="RES-SFU",1,IF('House Count'!F698="RES-MDU",1,IF('House Count'!F698="RES-HOA",1,0))),0)</f>
        <v/>
      </c>
      <c r="K698">
        <f>IF('House Count'!H698="Y",IF('House Count'!F698="COMM-SU",1,IF('House Count'!F698="COM-MTU",1,IF('House Count'!F698="ENT",1,0))),0)</f>
        <v/>
      </c>
    </row>
    <row r="699">
      <c r="A699" s="109" t="n"/>
      <c r="B699" s="109" t="n"/>
      <c r="C699" s="109" t="n"/>
      <c r="D699" s="109" t="n"/>
      <c r="E699" s="109" t="n"/>
      <c r="F699" s="109" t="n"/>
      <c r="G699" s="109" t="n"/>
      <c r="H699" s="109" t="n"/>
      <c r="I699" s="68" t="n"/>
      <c r="J699">
        <f>IF('House Count'!H699="Y",IF('House Count'!F699="RES-SFU",1,IF('House Count'!F699="RES-MDU",1,IF('House Count'!F699="RES-HOA",1,0))),0)</f>
        <v/>
      </c>
      <c r="K699">
        <f>IF('House Count'!H699="Y",IF('House Count'!F699="COMM-SU",1,IF('House Count'!F699="COM-MTU",1,IF('House Count'!F699="ENT",1,0))),0)</f>
        <v/>
      </c>
    </row>
    <row r="700">
      <c r="A700" s="109" t="n"/>
      <c r="B700" s="109" t="n"/>
      <c r="C700" s="109" t="n"/>
      <c r="D700" s="109" t="n"/>
      <c r="E700" s="109" t="n"/>
      <c r="F700" s="109" t="n"/>
      <c r="G700" s="109" t="n"/>
      <c r="H700" s="109" t="n"/>
      <c r="I700" s="68" t="n"/>
      <c r="J700">
        <f>IF('House Count'!H700="Y",IF('House Count'!F700="RES-SFU",1,IF('House Count'!F700="RES-MDU",1,IF('House Count'!F700="RES-HOA",1,0))),0)</f>
        <v/>
      </c>
      <c r="K700">
        <f>IF('House Count'!H700="Y",IF('House Count'!F700="COMM-SU",1,IF('House Count'!F700="COM-MTU",1,IF('House Count'!F700="ENT",1,0))),0)</f>
        <v/>
      </c>
    </row>
    <row r="701">
      <c r="A701" s="109" t="n"/>
      <c r="B701" s="109" t="n"/>
      <c r="C701" s="109" t="n"/>
      <c r="D701" s="109" t="n"/>
      <c r="E701" s="109" t="n"/>
      <c r="F701" s="109" t="n"/>
      <c r="G701" s="109" t="n"/>
      <c r="H701" s="109" t="n"/>
      <c r="I701" s="68" t="n"/>
      <c r="J701">
        <f>IF('House Count'!H701="Y",IF('House Count'!F701="RES-SFU",1,IF('House Count'!F701="RES-MDU",1,IF('House Count'!F701="RES-HOA",1,0))),0)</f>
        <v/>
      </c>
      <c r="K701">
        <f>IF('House Count'!H701="Y",IF('House Count'!F701="COMM-SU",1,IF('House Count'!F701="COM-MTU",1,IF('House Count'!F701="ENT",1,0))),0)</f>
        <v/>
      </c>
    </row>
    <row r="702">
      <c r="A702" s="109" t="n"/>
      <c r="B702" s="109" t="n"/>
      <c r="C702" s="109" t="n"/>
      <c r="D702" s="109" t="n"/>
      <c r="E702" s="109" t="n"/>
      <c r="F702" s="109" t="n"/>
      <c r="G702" s="109" t="n"/>
      <c r="H702" s="109" t="n"/>
      <c r="I702" s="68" t="n"/>
      <c r="J702">
        <f>IF('House Count'!H702="Y",IF('House Count'!F702="RES-SFU",1,IF('House Count'!F702="RES-MDU",1,IF('House Count'!F702="RES-HOA",1,0))),0)</f>
        <v/>
      </c>
      <c r="K702">
        <f>IF('House Count'!H702="Y",IF('House Count'!F702="COMM-SU",1,IF('House Count'!F702="COM-MTU",1,IF('House Count'!F702="ENT",1,0))),0)</f>
        <v/>
      </c>
    </row>
    <row r="703">
      <c r="A703" s="109" t="n"/>
      <c r="B703" s="109" t="n"/>
      <c r="C703" s="109" t="n"/>
      <c r="D703" s="109" t="n"/>
      <c r="E703" s="109" t="n"/>
      <c r="F703" s="109" t="n"/>
      <c r="G703" s="109" t="n"/>
      <c r="H703" s="109" t="n"/>
      <c r="I703" s="68" t="n"/>
      <c r="J703">
        <f>IF('House Count'!H703="Y",IF('House Count'!F703="RES-SFU",1,IF('House Count'!F703="RES-MDU",1,IF('House Count'!F703="RES-HOA",1,0))),0)</f>
        <v/>
      </c>
      <c r="K703">
        <f>IF('House Count'!H703="Y",IF('House Count'!F703="COMM-SU",1,IF('House Count'!F703="COM-MTU",1,IF('House Count'!F703="ENT",1,0))),0)</f>
        <v/>
      </c>
    </row>
    <row r="704">
      <c r="A704" s="109" t="n"/>
      <c r="B704" s="109" t="n"/>
      <c r="C704" s="109" t="n"/>
      <c r="D704" s="109" t="n"/>
      <c r="E704" s="109" t="n"/>
      <c r="F704" s="109" t="n"/>
      <c r="G704" s="109" t="n"/>
      <c r="H704" s="109" t="n"/>
      <c r="I704" s="68" t="n"/>
      <c r="J704">
        <f>IF('House Count'!H704="Y",IF('House Count'!F704="RES-SFU",1,IF('House Count'!F704="RES-MDU",1,IF('House Count'!F704="RES-HOA",1,0))),0)</f>
        <v/>
      </c>
      <c r="K704">
        <f>IF('House Count'!H704="Y",IF('House Count'!F704="COMM-SU",1,IF('House Count'!F704="COM-MTU",1,IF('House Count'!F704="ENT",1,0))),0)</f>
        <v/>
      </c>
    </row>
    <row r="705">
      <c r="A705" s="109" t="n"/>
      <c r="B705" s="109" t="n"/>
      <c r="C705" s="109" t="n"/>
      <c r="D705" s="109" t="n"/>
      <c r="E705" s="109" t="n"/>
      <c r="F705" s="109" t="n"/>
      <c r="G705" s="109" t="n"/>
      <c r="H705" s="109" t="n"/>
      <c r="I705" s="68" t="n"/>
      <c r="J705">
        <f>IF('House Count'!H705="Y",IF('House Count'!F705="RES-SFU",1,IF('House Count'!F705="RES-MDU",1,IF('House Count'!F705="RES-HOA",1,0))),0)</f>
        <v/>
      </c>
      <c r="K705">
        <f>IF('House Count'!H705="Y",IF('House Count'!F705="COMM-SU",1,IF('House Count'!F705="COM-MTU",1,IF('House Count'!F705="ENT",1,0))),0)</f>
        <v/>
      </c>
    </row>
    <row r="706">
      <c r="A706" s="109" t="n"/>
      <c r="B706" s="109" t="n"/>
      <c r="C706" s="109" t="n"/>
      <c r="D706" s="109" t="n"/>
      <c r="E706" s="109" t="n"/>
      <c r="F706" s="109" t="n"/>
      <c r="G706" s="109" t="n"/>
      <c r="H706" s="109" t="n"/>
      <c r="I706" s="68" t="n"/>
      <c r="J706">
        <f>IF('House Count'!H706="Y",IF('House Count'!F706="RES-SFU",1,IF('House Count'!F706="RES-MDU",1,IF('House Count'!F706="RES-HOA",1,0))),0)</f>
        <v/>
      </c>
      <c r="K706">
        <f>IF('House Count'!H706="Y",IF('House Count'!F706="COMM-SU",1,IF('House Count'!F706="COM-MTU",1,IF('House Count'!F706="ENT",1,0))),0)</f>
        <v/>
      </c>
    </row>
    <row r="707">
      <c r="A707" s="109" t="n"/>
      <c r="B707" s="109" t="n"/>
      <c r="C707" s="109" t="n"/>
      <c r="D707" s="109" t="n"/>
      <c r="E707" s="109" t="n"/>
      <c r="F707" s="109" t="n"/>
      <c r="G707" s="109" t="n"/>
      <c r="H707" s="109" t="n"/>
      <c r="I707" s="68" t="n"/>
      <c r="J707">
        <f>IF('House Count'!H707="Y",IF('House Count'!F707="RES-SFU",1,IF('House Count'!F707="RES-MDU",1,IF('House Count'!F707="RES-HOA",1,0))),0)</f>
        <v/>
      </c>
      <c r="K707">
        <f>IF('House Count'!H707="Y",IF('House Count'!F707="COMM-SU",1,IF('House Count'!F707="COM-MTU",1,IF('House Count'!F707="ENT",1,0))),0)</f>
        <v/>
      </c>
    </row>
    <row r="708">
      <c r="A708" s="109" t="n"/>
      <c r="B708" s="109" t="n"/>
      <c r="C708" s="109" t="n"/>
      <c r="D708" s="109" t="n"/>
      <c r="E708" s="109" t="n"/>
      <c r="F708" s="109" t="n"/>
      <c r="G708" s="109" t="n"/>
      <c r="H708" s="109" t="n"/>
      <c r="I708" s="68" t="n"/>
      <c r="J708">
        <f>IF('House Count'!H708="Y",IF('House Count'!F708="RES-SFU",1,IF('House Count'!F708="RES-MDU",1,IF('House Count'!F708="RES-HOA",1,0))),0)</f>
        <v/>
      </c>
      <c r="K708">
        <f>IF('House Count'!H708="Y",IF('House Count'!F708="COMM-SU",1,IF('House Count'!F708="COM-MTU",1,IF('House Count'!F708="ENT",1,0))),0)</f>
        <v/>
      </c>
    </row>
    <row r="709" ht="15.75" customHeight="1" thickBot="1">
      <c r="A709" s="545" t="n"/>
      <c r="B709" s="545" t="n"/>
      <c r="C709" s="545" t="n"/>
      <c r="D709" s="545" t="n"/>
      <c r="E709" s="545" t="n"/>
      <c r="F709" s="545" t="n"/>
      <c r="G709" s="545" t="n"/>
      <c r="H709" s="545" t="n"/>
      <c r="I709" s="546" t="n"/>
      <c r="J709">
        <f>IF('House Count'!H709="Y",IF('House Count'!F709="RES-SFU",1,IF('House Count'!F709="RES-MDU",1,IF('House Count'!F709="RES-HOA",1,0))),0)</f>
        <v/>
      </c>
      <c r="K709">
        <f>IF('House Count'!H709="Y",IF('House Count'!F709="COMM-SU",1,IF('House Count'!F709="COM-MTU",1,IF('House Count'!F709="ENT",1,0))),0)</f>
        <v/>
      </c>
    </row>
    <row r="710" ht="15.75" customHeight="1" thickTop="1">
      <c r="A710" s="109" t="n"/>
      <c r="B710" s="109" t="n"/>
      <c r="C710" s="109" t="n"/>
      <c r="D710" s="109" t="n"/>
      <c r="E710" s="109" t="n"/>
      <c r="F710" s="109" t="n"/>
      <c r="G710" s="109" t="n"/>
      <c r="H710" s="109" t="n"/>
      <c r="I710" s="68" t="n"/>
      <c r="J710">
        <f>IF('House Count'!H710="Y",IF('House Count'!F710="RES-SFU",1,IF('House Count'!F710="RES-MDU",1,IF('House Count'!F710="RES-HOA",1,0))),0)</f>
        <v/>
      </c>
      <c r="K710">
        <f>IF('House Count'!H710="Y",IF('House Count'!F710="COMM-SU",1,IF('House Count'!F710="COM-MTU",1,IF('House Count'!F710="ENT",1,0))),0)</f>
        <v/>
      </c>
    </row>
    <row r="711">
      <c r="A711" s="109" t="n"/>
      <c r="B711" s="109" t="n"/>
      <c r="C711" s="109" t="n"/>
      <c r="D711" s="109" t="n"/>
      <c r="E711" s="109" t="n"/>
      <c r="F711" s="109" t="n"/>
      <c r="G711" s="109" t="n"/>
      <c r="H711" s="109" t="n"/>
      <c r="I711" s="68" t="n"/>
      <c r="J711">
        <f>IF('House Count'!H711="Y",IF('House Count'!F711="RES-SFU",1,IF('House Count'!F711="RES-MDU",1,IF('House Count'!F711="RES-HOA",1,0))),0)</f>
        <v/>
      </c>
      <c r="K711">
        <f>IF('House Count'!H711="Y",IF('House Count'!F711="COMM-SU",1,IF('House Count'!F711="COM-MTU",1,IF('House Count'!F711="ENT",1,0))),0)</f>
        <v/>
      </c>
    </row>
    <row r="712">
      <c r="A712" s="109" t="n"/>
      <c r="B712" s="109" t="n"/>
      <c r="C712" s="109" t="n"/>
      <c r="D712" s="109" t="n"/>
      <c r="E712" s="109" t="n"/>
      <c r="F712" s="109" t="n"/>
      <c r="G712" s="109" t="n"/>
      <c r="H712" s="109" t="n"/>
      <c r="I712" s="68" t="n"/>
      <c r="J712">
        <f>IF('House Count'!H712="Y",IF('House Count'!F712="RES-SFU",1,IF('House Count'!F712="RES-MDU",1,IF('House Count'!F712="RES-HOA",1,0))),0)</f>
        <v/>
      </c>
      <c r="K712">
        <f>IF('House Count'!H712="Y",IF('House Count'!F712="COMM-SU",1,IF('House Count'!F712="COM-MTU",1,IF('House Count'!F712="ENT",1,0))),0)</f>
        <v/>
      </c>
    </row>
    <row r="713">
      <c r="A713" s="109" t="n"/>
      <c r="B713" s="109" t="n"/>
      <c r="C713" s="109" t="n"/>
      <c r="D713" s="109" t="n"/>
      <c r="E713" s="109" t="n"/>
      <c r="F713" s="109" t="n"/>
      <c r="G713" s="109" t="n"/>
      <c r="H713" s="109" t="n"/>
      <c r="I713" s="68" t="n"/>
      <c r="J713">
        <f>IF('House Count'!H713="Y",IF('House Count'!F713="RES-SFU",1,IF('House Count'!F713="RES-MDU",1,IF('House Count'!F713="RES-HOA",1,0))),0)</f>
        <v/>
      </c>
      <c r="K713">
        <f>IF('House Count'!H713="Y",IF('House Count'!F713="COMM-SU",1,IF('House Count'!F713="COM-MTU",1,IF('House Count'!F713="ENT",1,0))),0)</f>
        <v/>
      </c>
    </row>
    <row r="714">
      <c r="A714" s="109" t="n"/>
      <c r="B714" s="109" t="n"/>
      <c r="C714" s="109" t="n"/>
      <c r="D714" s="109" t="n"/>
      <c r="E714" s="109" t="n"/>
      <c r="F714" s="109" t="n"/>
      <c r="G714" s="109" t="n"/>
      <c r="H714" s="109" t="n"/>
      <c r="I714" s="68" t="n"/>
      <c r="J714">
        <f>IF('House Count'!H714="Y",IF('House Count'!F714="RES-SFU",1,IF('House Count'!F714="RES-MDU",1,IF('House Count'!F714="RES-HOA",1,0))),0)</f>
        <v/>
      </c>
      <c r="K714">
        <f>IF('House Count'!H714="Y",IF('House Count'!F714="COMM-SU",1,IF('House Count'!F714="COM-MTU",1,IF('House Count'!F714="ENT",1,0))),0)</f>
        <v/>
      </c>
    </row>
    <row r="715">
      <c r="A715" s="109" t="n"/>
      <c r="B715" s="109" t="n"/>
      <c r="C715" s="109" t="n"/>
      <c r="D715" s="109" t="n"/>
      <c r="E715" s="109" t="n"/>
      <c r="F715" s="109" t="n"/>
      <c r="G715" s="109" t="n"/>
      <c r="H715" s="109" t="n"/>
      <c r="I715" s="68" t="n"/>
      <c r="J715">
        <f>IF('House Count'!H715="Y",IF('House Count'!F715="RES-SFU",1,IF('House Count'!F715="RES-MDU",1,IF('House Count'!F715="RES-HOA",1,0))),0)</f>
        <v/>
      </c>
      <c r="K715">
        <f>IF('House Count'!H715="Y",IF('House Count'!F715="COMM-SU",1,IF('House Count'!F715="COM-MTU",1,IF('House Count'!F715="ENT",1,0))),0)</f>
        <v/>
      </c>
    </row>
    <row r="716">
      <c r="A716" s="109" t="n"/>
      <c r="B716" s="109" t="n"/>
      <c r="C716" s="109" t="n"/>
      <c r="D716" s="109" t="n"/>
      <c r="E716" s="109" t="n"/>
      <c r="F716" s="109" t="n"/>
      <c r="G716" s="109" t="n"/>
      <c r="H716" s="109" t="n"/>
      <c r="I716" s="68" t="n"/>
      <c r="J716">
        <f>IF('House Count'!H716="Y",IF('House Count'!F716="RES-SFU",1,IF('House Count'!F716="RES-MDU",1,IF('House Count'!F716="RES-HOA",1,0))),0)</f>
        <v/>
      </c>
      <c r="K716">
        <f>IF('House Count'!H716="Y",IF('House Count'!F716="COMM-SU",1,IF('House Count'!F716="COM-MTU",1,IF('House Count'!F716="ENT",1,0))),0)</f>
        <v/>
      </c>
    </row>
    <row r="717">
      <c r="A717" s="109" t="n"/>
      <c r="B717" s="109" t="n"/>
      <c r="C717" s="109" t="n"/>
      <c r="D717" s="109" t="n"/>
      <c r="E717" s="109" t="n"/>
      <c r="F717" s="109" t="n"/>
      <c r="G717" s="109" t="n"/>
      <c r="H717" s="109" t="n"/>
      <c r="I717" s="68" t="n"/>
      <c r="J717">
        <f>IF('House Count'!H717="Y",IF('House Count'!F717="RES-SFU",1,IF('House Count'!F717="RES-MDU",1,IF('House Count'!F717="RES-HOA",1,0))),0)</f>
        <v/>
      </c>
      <c r="K717">
        <f>IF('House Count'!H717="Y",IF('House Count'!F717="COMM-SU",1,IF('House Count'!F717="COM-MTU",1,IF('House Count'!F717="ENT",1,0))),0)</f>
        <v/>
      </c>
    </row>
    <row r="718">
      <c r="A718" s="109" t="n"/>
      <c r="B718" s="109" t="n"/>
      <c r="C718" s="109" t="n"/>
      <c r="D718" s="109" t="n"/>
      <c r="E718" s="109" t="n"/>
      <c r="F718" s="109" t="n"/>
      <c r="G718" s="109" t="n"/>
      <c r="H718" s="109" t="n"/>
      <c r="I718" s="68" t="n"/>
      <c r="J718">
        <f>IF('House Count'!H718="Y",IF('House Count'!F718="RES-SFU",1,IF('House Count'!F718="RES-MDU",1,IF('House Count'!F718="RES-HOA",1,0))),0)</f>
        <v/>
      </c>
      <c r="K718">
        <f>IF('House Count'!H718="Y",IF('House Count'!F718="COMM-SU",1,IF('House Count'!F718="COM-MTU",1,IF('House Count'!F718="ENT",1,0))),0)</f>
        <v/>
      </c>
    </row>
    <row r="719">
      <c r="A719" s="109" t="n"/>
      <c r="B719" s="109" t="n"/>
      <c r="C719" s="109" t="n"/>
      <c r="D719" s="109" t="n"/>
      <c r="E719" s="109" t="n"/>
      <c r="F719" s="109" t="n"/>
      <c r="G719" s="109" t="n"/>
      <c r="H719" s="109" t="n"/>
      <c r="I719" s="68" t="n"/>
      <c r="J719">
        <f>IF('House Count'!H719="Y",IF('House Count'!F719="RES-SFU",1,IF('House Count'!F719="RES-MDU",1,IF('House Count'!F719="RES-HOA",1,0))),0)</f>
        <v/>
      </c>
      <c r="K719">
        <f>IF('House Count'!H719="Y",IF('House Count'!F719="COMM-SU",1,IF('House Count'!F719="COM-MTU",1,IF('House Count'!F719="ENT",1,0))),0)</f>
        <v/>
      </c>
    </row>
    <row r="720">
      <c r="A720" s="109" t="n"/>
      <c r="B720" s="109" t="n"/>
      <c r="C720" s="109" t="n"/>
      <c r="D720" s="109" t="n"/>
      <c r="E720" s="109" t="n"/>
      <c r="F720" s="109" t="n"/>
      <c r="G720" s="109" t="n"/>
      <c r="H720" s="109" t="n"/>
      <c r="I720" s="68" t="n"/>
      <c r="J720">
        <f>IF('House Count'!H720="Y",IF('House Count'!F720="RES-SFU",1,IF('House Count'!F720="RES-MDU",1,IF('House Count'!F720="RES-HOA",1,0))),0)</f>
        <v/>
      </c>
      <c r="K720">
        <f>IF('House Count'!H720="Y",IF('House Count'!F720="COMM-SU",1,IF('House Count'!F720="COM-MTU",1,IF('House Count'!F720="ENT",1,0))),0)</f>
        <v/>
      </c>
    </row>
    <row r="721" ht="15.75" customHeight="1" thickBot="1">
      <c r="A721" s="545" t="n"/>
      <c r="B721" s="545" t="n"/>
      <c r="C721" s="545" t="n"/>
      <c r="D721" s="545" t="n"/>
      <c r="E721" s="545" t="n"/>
      <c r="F721" s="545" t="n"/>
      <c r="G721" s="545" t="n"/>
      <c r="H721" s="545" t="n"/>
      <c r="I721" s="546" t="n"/>
      <c r="J721">
        <f>IF('House Count'!H721="Y",IF('House Count'!F721="RES-SFU",1,IF('House Count'!F721="RES-MDU",1,IF('House Count'!F721="RES-HOA",1,0))),0)</f>
        <v/>
      </c>
      <c r="K721">
        <f>IF('House Count'!H721="Y",IF('House Count'!F721="COMM-SU",1,IF('House Count'!F721="COM-MTU",1,IF('House Count'!F721="ENT",1,0))),0)</f>
        <v/>
      </c>
    </row>
    <row r="722" ht="15.75" customHeight="1" thickTop="1">
      <c r="H722" s="192" t="n"/>
      <c r="I722" s="773" t="n"/>
      <c r="J722">
        <f>IF('House Count'!H722="Y",IF('House Count'!F722="RES-SFU",1,IF('House Count'!F722="RES-MDU",1,IF('House Count'!F722="RES-HOA",1,0))),0)</f>
        <v/>
      </c>
      <c r="K722">
        <f>IF('House Count'!H722="Y",IF('House Count'!F722="COMM-SU",1,IF('House Count'!F722="COM-MTU",1,IF('House Count'!F722="ENT",1,0))),0)</f>
        <v/>
      </c>
    </row>
    <row r="723">
      <c r="H723" s="192" t="n"/>
      <c r="I723" s="773" t="n"/>
      <c r="J723">
        <f>IF('House Count'!H723="Y",IF('House Count'!F723="RES-SFU",1,IF('House Count'!F723="RES-MDU",1,IF('House Count'!F723="RES-HOA",1,0))),0)</f>
        <v/>
      </c>
      <c r="K723">
        <f>IF('House Count'!H723="Y",IF('House Count'!F723="COMM-SU",1,IF('House Count'!F723="COM-MTU",1,IF('House Count'!F723="ENT",1,0))),0)</f>
        <v/>
      </c>
    </row>
    <row r="724">
      <c r="H724" s="192" t="n"/>
      <c r="I724" s="773" t="n"/>
      <c r="J724">
        <f>IF('House Count'!H724="Y",IF('House Count'!F724="RES-SFU",1,IF('House Count'!F724="RES-MDU",1,IF('House Count'!F724="RES-HOA",1,0))),0)</f>
        <v/>
      </c>
      <c r="K724">
        <f>IF('House Count'!H724="Y",IF('House Count'!F724="COMM-SU",1,IF('House Count'!F724="COM-MTU",1,IF('House Count'!F724="ENT",1,0))),0)</f>
        <v/>
      </c>
    </row>
    <row r="725">
      <c r="H725" s="192" t="n"/>
      <c r="I725" s="773" t="n"/>
      <c r="J725">
        <f>IF('House Count'!H725="Y",IF('House Count'!F725="RES-SFU",1,IF('House Count'!F725="RES-MDU",1,IF('House Count'!F725="RES-HOA",1,0))),0)</f>
        <v/>
      </c>
      <c r="K725">
        <f>IF('House Count'!H725="Y",IF('House Count'!F725="COMM-SU",1,IF('House Count'!F725="COM-MTU",1,IF('House Count'!F725="ENT",1,0))),0)</f>
        <v/>
      </c>
    </row>
    <row r="726">
      <c r="H726" s="192" t="n"/>
      <c r="I726" s="773" t="n"/>
      <c r="J726">
        <f>IF('House Count'!H726="Y",IF('House Count'!F726="RES-SFU",1,IF('House Count'!F726="RES-MDU",1,IF('House Count'!F726="RES-HOA",1,0))),0)</f>
        <v/>
      </c>
      <c r="K726">
        <f>IF('House Count'!H726="Y",IF('House Count'!F726="COMM-SU",1,IF('House Count'!F726="COM-MTU",1,IF('House Count'!F726="ENT",1,0))),0)</f>
        <v/>
      </c>
    </row>
    <row r="727">
      <c r="H727" s="192" t="n"/>
      <c r="I727" s="773" t="n"/>
      <c r="J727">
        <f>IF('House Count'!H727="Y",IF('House Count'!F727="RES-SFU",1,IF('House Count'!F727="RES-MDU",1,IF('House Count'!F727="RES-HOA",1,0))),0)</f>
        <v/>
      </c>
      <c r="K727">
        <f>IF('House Count'!H727="Y",IF('House Count'!F727="COMM-SU",1,IF('House Count'!F727="COM-MTU",1,IF('House Count'!F727="ENT",1,0))),0)</f>
        <v/>
      </c>
    </row>
    <row r="728">
      <c r="H728" s="192" t="n"/>
      <c r="I728" s="773" t="n"/>
      <c r="J728">
        <f>IF('House Count'!H728="Y",IF('House Count'!F728="RES-SFU",1,IF('House Count'!F728="RES-MDU",1,IF('House Count'!F728="RES-HOA",1,0))),0)</f>
        <v/>
      </c>
      <c r="K728">
        <f>IF('House Count'!H728="Y",IF('House Count'!F728="COMM-SU",1,IF('House Count'!F728="COM-MTU",1,IF('House Count'!F728="ENT",1,0))),0)</f>
        <v/>
      </c>
    </row>
    <row r="729">
      <c r="H729" s="192" t="n"/>
      <c r="I729" s="773" t="n"/>
      <c r="J729">
        <f>IF('House Count'!H729="Y",IF('House Count'!F729="RES-SFU",1,IF('House Count'!F729="RES-MDU",1,IF('House Count'!F729="RES-HOA",1,0))),0)</f>
        <v/>
      </c>
      <c r="K729">
        <f>IF('House Count'!H729="Y",IF('House Count'!F729="COMM-SU",1,IF('House Count'!F729="COM-MTU",1,IF('House Count'!F729="ENT",1,0))),0)</f>
        <v/>
      </c>
    </row>
    <row r="730">
      <c r="H730" s="192" t="n"/>
      <c r="I730" s="773" t="n"/>
      <c r="J730">
        <f>IF('House Count'!H730="Y",IF('House Count'!F730="RES-SFU",1,IF('House Count'!F730="RES-MDU",1,IF('House Count'!F730="RES-HOA",1,0))),0)</f>
        <v/>
      </c>
      <c r="K730">
        <f>IF('House Count'!H730="Y",IF('House Count'!F730="COMM-SU",1,IF('House Count'!F730="COM-MTU",1,IF('House Count'!F730="ENT",1,0))),0)</f>
        <v/>
      </c>
    </row>
    <row r="731">
      <c r="H731" s="192" t="n"/>
      <c r="I731" s="773" t="n"/>
      <c r="J731">
        <f>IF('House Count'!H731="Y",IF('House Count'!F731="RES-SFU",1,IF('House Count'!F731="RES-MDU",1,IF('House Count'!F731="RES-HOA",1,0))),0)</f>
        <v/>
      </c>
      <c r="K731">
        <f>IF('House Count'!H731="Y",IF('House Count'!F731="COMM-SU",1,IF('House Count'!F731="COM-MTU",1,IF('House Count'!F731="ENT",1,0))),0)</f>
        <v/>
      </c>
    </row>
    <row r="732">
      <c r="H732" s="192" t="n"/>
      <c r="I732" s="773" t="n"/>
      <c r="J732">
        <f>IF('House Count'!H732="Y",IF('House Count'!F732="RES-SFU",1,IF('House Count'!F732="RES-MDU",1,IF('House Count'!F732="RES-HOA",1,0))),0)</f>
        <v/>
      </c>
      <c r="K732">
        <f>IF('House Count'!H732="Y",IF('House Count'!F732="COMM-SU",1,IF('House Count'!F732="COM-MTU",1,IF('House Count'!F732="ENT",1,0))),0)</f>
        <v/>
      </c>
    </row>
    <row r="733" ht="15.75" customHeight="1" thickBot="1">
      <c r="A733" s="774" t="n"/>
      <c r="B733" s="774" t="n"/>
      <c r="C733" s="774" t="n"/>
      <c r="D733" s="774" t="n"/>
      <c r="E733" s="774" t="n"/>
      <c r="F733" s="774" t="n"/>
      <c r="G733" s="774" t="n"/>
      <c r="H733" s="774" t="n"/>
      <c r="I733" s="775" t="n"/>
      <c r="J733">
        <f>IF('House Count'!H733="Y",IF('House Count'!F733="RES-SFU",1,IF('House Count'!F733="RES-MDU",1,IF('House Count'!F733="RES-HOA",1,0))),0)</f>
        <v/>
      </c>
      <c r="K733">
        <f>IF('House Count'!H733="Y",IF('House Count'!F733="COMM-SU",1,IF('House Count'!F733="COM-MTU",1,IF('House Count'!F733="ENT",1,0))),0)</f>
        <v/>
      </c>
    </row>
    <row r="734" ht="15.75" customHeight="1" thickTop="1">
      <c r="H734" s="192" t="n"/>
      <c r="I734" s="773" t="n"/>
      <c r="J734">
        <f>IF('House Count'!H734="Y",IF('House Count'!F734="RES-SFU",1,IF('House Count'!F734="RES-MDU",1,IF('House Count'!F734="RES-HOA",1,0))),0)</f>
        <v/>
      </c>
      <c r="K734">
        <f>IF('House Count'!H734="Y",IF('House Count'!F734="COMM-SU",1,IF('House Count'!F734="COM-MTU",1,IF('House Count'!F734="ENT",1,0))),0)</f>
        <v/>
      </c>
    </row>
    <row r="735">
      <c r="H735" s="192" t="n"/>
      <c r="I735" s="773" t="n"/>
      <c r="J735">
        <f>IF('House Count'!H735="Y",IF('House Count'!F735="RES-SFU",1,IF('House Count'!F735="RES-MDU",1,IF('House Count'!F735="RES-HOA",1,0))),0)</f>
        <v/>
      </c>
      <c r="K735">
        <f>IF('House Count'!H735="Y",IF('House Count'!F735="COMM-SU",1,IF('House Count'!F735="COM-MTU",1,IF('House Count'!F735="ENT",1,0))),0)</f>
        <v/>
      </c>
    </row>
    <row r="736">
      <c r="H736" s="192" t="n"/>
      <c r="I736" s="773" t="n"/>
      <c r="J736">
        <f>IF('House Count'!H736="Y",IF('House Count'!F736="RES-SFU",1,IF('House Count'!F736="RES-MDU",1,IF('House Count'!F736="RES-HOA",1,0))),0)</f>
        <v/>
      </c>
      <c r="K736">
        <f>IF('House Count'!H736="Y",IF('House Count'!F736="COMM-SU",1,IF('House Count'!F736="COM-MTU",1,IF('House Count'!F736="ENT",1,0))),0)</f>
        <v/>
      </c>
    </row>
    <row r="737">
      <c r="H737" s="192" t="n"/>
      <c r="I737" s="773" t="n"/>
      <c r="J737">
        <f>IF('House Count'!H737="Y",IF('House Count'!F737="RES-SFU",1,IF('House Count'!F737="RES-MDU",1,IF('House Count'!F737="RES-HOA",1,0))),0)</f>
        <v/>
      </c>
      <c r="K737">
        <f>IF('House Count'!H737="Y",IF('House Count'!F737="COMM-SU",1,IF('House Count'!F737="COM-MTU",1,IF('House Count'!F737="ENT",1,0))),0)</f>
        <v/>
      </c>
    </row>
    <row r="738">
      <c r="H738" s="192" t="n"/>
      <c r="I738" s="773" t="n"/>
      <c r="J738">
        <f>IF('House Count'!H738="Y",IF('House Count'!F738="RES-SFU",1,IF('House Count'!F738="RES-MDU",1,IF('House Count'!F738="RES-HOA",1,0))),0)</f>
        <v/>
      </c>
      <c r="K738">
        <f>IF('House Count'!H738="Y",IF('House Count'!F738="COMM-SU",1,IF('House Count'!F738="COM-MTU",1,IF('House Count'!F738="ENT",1,0))),0)</f>
        <v/>
      </c>
    </row>
    <row r="739">
      <c r="H739" s="192" t="n"/>
      <c r="I739" s="773" t="n"/>
      <c r="J739">
        <f>IF('House Count'!H739="Y",IF('House Count'!F739="RES-SFU",1,IF('House Count'!F739="RES-MDU",1,IF('House Count'!F739="RES-HOA",1,0))),0)</f>
        <v/>
      </c>
      <c r="K739">
        <f>IF('House Count'!H739="Y",IF('House Count'!F739="COMM-SU",1,IF('House Count'!F739="COM-MTU",1,IF('House Count'!F739="ENT",1,0))),0)</f>
        <v/>
      </c>
    </row>
    <row r="740">
      <c r="H740" s="192" t="n"/>
      <c r="I740" s="773" t="n"/>
      <c r="J740">
        <f>IF('House Count'!H740="Y",IF('House Count'!F740="RES-SFU",1,IF('House Count'!F740="RES-MDU",1,IF('House Count'!F740="RES-HOA",1,0))),0)</f>
        <v/>
      </c>
      <c r="K740">
        <f>IF('House Count'!H740="Y",IF('House Count'!F740="COMM-SU",1,IF('House Count'!F740="COM-MTU",1,IF('House Count'!F740="ENT",1,0))),0)</f>
        <v/>
      </c>
    </row>
    <row r="741">
      <c r="H741" s="192" t="n"/>
      <c r="I741" s="773" t="n"/>
      <c r="J741">
        <f>IF('House Count'!H741="Y",IF('House Count'!F741="RES-SFU",1,IF('House Count'!F741="RES-MDU",1,IF('House Count'!F741="RES-HOA",1,0))),0)</f>
        <v/>
      </c>
      <c r="K741">
        <f>IF('House Count'!H741="Y",IF('House Count'!F741="COMM-SU",1,IF('House Count'!F741="COM-MTU",1,IF('House Count'!F741="ENT",1,0))),0)</f>
        <v/>
      </c>
    </row>
    <row r="742">
      <c r="H742" s="192" t="n"/>
      <c r="I742" s="773" t="n"/>
      <c r="J742">
        <f>IF('House Count'!H742="Y",IF('House Count'!F742="RES-SFU",1,IF('House Count'!F742="RES-MDU",1,IF('House Count'!F742="RES-HOA",1,0))),0)</f>
        <v/>
      </c>
      <c r="K742">
        <f>IF('House Count'!H742="Y",IF('House Count'!F742="COMM-SU",1,IF('House Count'!F742="COM-MTU",1,IF('House Count'!F742="ENT",1,0))),0)</f>
        <v/>
      </c>
    </row>
    <row r="743">
      <c r="H743" s="192" t="n"/>
      <c r="I743" s="773" t="n"/>
      <c r="J743">
        <f>IF('House Count'!H743="Y",IF('House Count'!F743="RES-SFU",1,IF('House Count'!F743="RES-MDU",1,IF('House Count'!F743="RES-HOA",1,0))),0)</f>
        <v/>
      </c>
      <c r="K743">
        <f>IF('House Count'!H743="Y",IF('House Count'!F743="COMM-SU",1,IF('House Count'!F743="COM-MTU",1,IF('House Count'!F743="ENT",1,0))),0)</f>
        <v/>
      </c>
    </row>
    <row r="744">
      <c r="H744" s="192" t="n"/>
      <c r="I744" s="773" t="n"/>
      <c r="J744">
        <f>IF('House Count'!H744="Y",IF('House Count'!F744="RES-SFU",1,IF('House Count'!F744="RES-MDU",1,IF('House Count'!F744="RES-HOA",1,0))),0)</f>
        <v/>
      </c>
      <c r="K744">
        <f>IF('House Count'!H744="Y",IF('House Count'!F744="COMM-SU",1,IF('House Count'!F744="COM-MTU",1,IF('House Count'!F744="ENT",1,0))),0)</f>
        <v/>
      </c>
    </row>
    <row r="745" ht="15.75" customHeight="1" thickBot="1">
      <c r="A745" s="774" t="n"/>
      <c r="B745" s="774" t="n"/>
      <c r="C745" s="774" t="n"/>
      <c r="D745" s="774" t="n"/>
      <c r="E745" s="774" t="n"/>
      <c r="F745" s="774" t="n"/>
      <c r="G745" s="774" t="n"/>
      <c r="H745" s="774" t="n"/>
      <c r="I745" s="775" t="n"/>
      <c r="J745">
        <f>IF('House Count'!H745="Y",IF('House Count'!F745="RES-SFU",1,IF('House Count'!F745="RES-MDU",1,IF('House Count'!F745="RES-HOA",1,0))),0)</f>
        <v/>
      </c>
      <c r="K745">
        <f>IF('House Count'!H745="Y",IF('House Count'!F745="COMM-SU",1,IF('House Count'!F745="COM-MTU",1,IF('House Count'!F745="ENT",1,0))),0)</f>
        <v/>
      </c>
    </row>
    <row r="746" ht="15.75" customHeight="1" thickTop="1">
      <c r="H746" s="192" t="n"/>
      <c r="I746" s="773" t="n"/>
      <c r="J746">
        <f>IF('House Count'!H746="Y",IF('House Count'!F746="RES-SFU",1,IF('House Count'!F746="RES-MDU",1,IF('House Count'!F746="RES-HOA",1,0))),0)</f>
        <v/>
      </c>
      <c r="K746">
        <f>IF('House Count'!H746="Y",IF('House Count'!F746="COMM-SU",1,IF('House Count'!F746="COM-MTU",1,IF('House Count'!F746="ENT",1,0))),0)</f>
        <v/>
      </c>
    </row>
    <row r="747">
      <c r="H747" s="192" t="n"/>
      <c r="I747" s="773" t="n"/>
      <c r="J747">
        <f>IF('House Count'!H747="Y",IF('House Count'!F747="RES-SFU",1,IF('House Count'!F747="RES-MDU",1,IF('House Count'!F747="RES-HOA",1,0))),0)</f>
        <v/>
      </c>
      <c r="K747">
        <f>IF('House Count'!H747="Y",IF('House Count'!F747="COMM-SU",1,IF('House Count'!F747="COM-MTU",1,IF('House Count'!F747="ENT",1,0))),0)</f>
        <v/>
      </c>
    </row>
    <row r="748">
      <c r="H748" s="192" t="n"/>
      <c r="I748" s="773" t="n"/>
      <c r="J748">
        <f>IF('House Count'!H748="Y",IF('House Count'!F748="RES-SFU",1,IF('House Count'!F748="RES-MDU",1,IF('House Count'!F748="RES-HOA",1,0))),0)</f>
        <v/>
      </c>
      <c r="K748">
        <f>IF('House Count'!H748="Y",IF('House Count'!F748="COMM-SU",1,IF('House Count'!F748="COM-MTU",1,IF('House Count'!F748="ENT",1,0))),0)</f>
        <v/>
      </c>
    </row>
    <row r="749">
      <c r="H749" s="192" t="n"/>
      <c r="I749" s="773" t="n"/>
      <c r="J749">
        <f>IF('House Count'!H749="Y",IF('House Count'!F749="RES-SFU",1,IF('House Count'!F749="RES-MDU",1,IF('House Count'!F749="RES-HOA",1,0))),0)</f>
        <v/>
      </c>
      <c r="K749">
        <f>IF('House Count'!H749="Y",IF('House Count'!F749="COMM-SU",1,IF('House Count'!F749="COM-MTU",1,IF('House Count'!F749="ENT",1,0))),0)</f>
        <v/>
      </c>
    </row>
    <row r="750">
      <c r="H750" s="192" t="n"/>
      <c r="I750" s="773" t="n"/>
      <c r="J750">
        <f>IF('House Count'!H750="Y",IF('House Count'!F750="RES-SFU",1,IF('House Count'!F750="RES-MDU",1,IF('House Count'!F750="RES-HOA",1,0))),0)</f>
        <v/>
      </c>
      <c r="K750">
        <f>IF('House Count'!H750="Y",IF('House Count'!F750="COMM-SU",1,IF('House Count'!F750="COM-MTU",1,IF('House Count'!F750="ENT",1,0))),0)</f>
        <v/>
      </c>
    </row>
    <row r="751">
      <c r="H751" s="192" t="n"/>
      <c r="I751" s="773" t="n"/>
      <c r="J751">
        <f>IF('House Count'!H751="Y",IF('House Count'!F751="RES-SFU",1,IF('House Count'!F751="RES-MDU",1,IF('House Count'!F751="RES-HOA",1,0))),0)</f>
        <v/>
      </c>
      <c r="K751">
        <f>IF('House Count'!H751="Y",IF('House Count'!F751="COMM-SU",1,IF('House Count'!F751="COM-MTU",1,IF('House Count'!F751="ENT",1,0))),0)</f>
        <v/>
      </c>
    </row>
    <row r="752">
      <c r="H752" s="192" t="n"/>
      <c r="I752" s="773" t="n"/>
      <c r="J752">
        <f>IF('House Count'!H752="Y",IF('House Count'!F752="RES-SFU",1,IF('House Count'!F752="RES-MDU",1,IF('House Count'!F752="RES-HOA",1,0))),0)</f>
        <v/>
      </c>
      <c r="K752">
        <f>IF('House Count'!H752="Y",IF('House Count'!F752="COMM-SU",1,IF('House Count'!F752="COM-MTU",1,IF('House Count'!F752="ENT",1,0))),0)</f>
        <v/>
      </c>
    </row>
    <row r="753">
      <c r="H753" s="192" t="n"/>
      <c r="I753" s="773" t="n"/>
      <c r="J753">
        <f>IF('House Count'!H753="Y",IF('House Count'!F753="RES-SFU",1,IF('House Count'!F753="RES-MDU",1,IF('House Count'!F753="RES-HOA",1,0))),0)</f>
        <v/>
      </c>
      <c r="K753">
        <f>IF('House Count'!H753="Y",IF('House Count'!F753="COMM-SU",1,IF('House Count'!F753="COM-MTU",1,IF('House Count'!F753="ENT",1,0))),0)</f>
        <v/>
      </c>
    </row>
    <row r="754">
      <c r="H754" s="192" t="n"/>
      <c r="I754" s="773" t="n"/>
      <c r="J754">
        <f>IF('House Count'!H754="Y",IF('House Count'!F754="RES-SFU",1,IF('House Count'!F754="RES-MDU",1,IF('House Count'!F754="RES-HOA",1,0))),0)</f>
        <v/>
      </c>
      <c r="K754">
        <f>IF('House Count'!H754="Y",IF('House Count'!F754="COMM-SU",1,IF('House Count'!F754="COM-MTU",1,IF('House Count'!F754="ENT",1,0))),0)</f>
        <v/>
      </c>
    </row>
    <row r="755">
      <c r="H755" s="192" t="n"/>
      <c r="I755" s="773" t="n"/>
      <c r="J755">
        <f>IF('House Count'!H755="Y",IF('House Count'!F755="RES-SFU",1,IF('House Count'!F755="RES-MDU",1,IF('House Count'!F755="RES-HOA",1,0))),0)</f>
        <v/>
      </c>
      <c r="K755">
        <f>IF('House Count'!H755="Y",IF('House Count'!F755="COMM-SU",1,IF('House Count'!F755="COM-MTU",1,IF('House Count'!F755="ENT",1,0))),0)</f>
        <v/>
      </c>
    </row>
    <row r="756">
      <c r="H756" s="192" t="n"/>
      <c r="I756" s="773" t="n"/>
      <c r="J756">
        <f>IF('House Count'!H756="Y",IF('House Count'!F756="RES-SFU",1,IF('House Count'!F756="RES-MDU",1,IF('House Count'!F756="RES-HOA",1,0))),0)</f>
        <v/>
      </c>
      <c r="K756">
        <f>IF('House Count'!H756="Y",IF('House Count'!F756="COMM-SU",1,IF('House Count'!F756="COM-MTU",1,IF('House Count'!F756="ENT",1,0))),0)</f>
        <v/>
      </c>
    </row>
    <row r="757" ht="15.75" customHeight="1" thickBot="1">
      <c r="A757" s="774" t="n"/>
      <c r="B757" s="774" t="n"/>
      <c r="C757" s="774" t="n"/>
      <c r="D757" s="774" t="n"/>
      <c r="E757" s="774" t="n"/>
      <c r="F757" s="774" t="n"/>
      <c r="G757" s="774" t="n"/>
      <c r="H757" s="774" t="n"/>
      <c r="I757" s="775" t="n"/>
      <c r="J757">
        <f>IF('House Count'!H757="Y",IF('House Count'!F757="RES-SFU",1,IF('House Count'!F757="RES-MDU",1,IF('House Count'!F757="RES-HOA",1,0))),0)</f>
        <v/>
      </c>
      <c r="K757">
        <f>IF('House Count'!H757="Y",IF('House Count'!F757="COMM-SU",1,IF('House Count'!F757="COM-MTU",1,IF('House Count'!F757="ENT",1,0))),0)</f>
        <v/>
      </c>
    </row>
    <row r="758" ht="15.75" customHeight="1" thickTop="1">
      <c r="H758" s="192" t="n"/>
      <c r="I758" s="773" t="n"/>
      <c r="J758">
        <f>IF('House Count'!H758="Y",IF('House Count'!F758="RES-SFU",1,IF('House Count'!F758="RES-MDU",1,IF('House Count'!F758="RES-HOA",1,0))),0)</f>
        <v/>
      </c>
      <c r="K758">
        <f>IF('House Count'!H758="Y",IF('House Count'!F758="COMM-SU",1,IF('House Count'!F758="COM-MTU",1,IF('House Count'!F758="ENT",1,0))),0)</f>
        <v/>
      </c>
    </row>
    <row r="759">
      <c r="H759" s="192" t="n"/>
      <c r="I759" s="773" t="n"/>
      <c r="J759">
        <f>IF('House Count'!H759="Y",IF('House Count'!F759="RES-SFU",1,IF('House Count'!F759="RES-MDU",1,IF('House Count'!F759="RES-HOA",1,0))),0)</f>
        <v/>
      </c>
      <c r="K759">
        <f>IF('House Count'!H759="Y",IF('House Count'!F759="COMM-SU",1,IF('House Count'!F759="COM-MTU",1,IF('House Count'!F759="ENT",1,0))),0)</f>
        <v/>
      </c>
    </row>
    <row r="760">
      <c r="H760" s="192" t="n"/>
      <c r="I760" s="773" t="n"/>
      <c r="J760">
        <f>IF('House Count'!H760="Y",IF('House Count'!F760="RES-SFU",1,IF('House Count'!F760="RES-MDU",1,IF('House Count'!F760="RES-HOA",1,0))),0)</f>
        <v/>
      </c>
      <c r="K760">
        <f>IF('House Count'!H760="Y",IF('House Count'!F760="COMM-SU",1,IF('House Count'!F760="COM-MTU",1,IF('House Count'!F760="ENT",1,0))),0)</f>
        <v/>
      </c>
    </row>
    <row r="761">
      <c r="H761" s="192" t="n"/>
      <c r="I761" s="773" t="n"/>
      <c r="J761">
        <f>IF('House Count'!H761="Y",IF('House Count'!F761="RES-SFU",1,IF('House Count'!F761="RES-MDU",1,IF('House Count'!F761="RES-HOA",1,0))),0)</f>
        <v/>
      </c>
      <c r="K761">
        <f>IF('House Count'!H761="Y",IF('House Count'!F761="COMM-SU",1,IF('House Count'!F761="COM-MTU",1,IF('House Count'!F761="ENT",1,0))),0)</f>
        <v/>
      </c>
    </row>
    <row r="762">
      <c r="H762" s="192" t="n"/>
      <c r="I762" s="773" t="n"/>
      <c r="J762">
        <f>IF('House Count'!H762="Y",IF('House Count'!F762="RES-SFU",1,IF('House Count'!F762="RES-MDU",1,IF('House Count'!F762="RES-HOA",1,0))),0)</f>
        <v/>
      </c>
      <c r="K762">
        <f>IF('House Count'!H762="Y",IF('House Count'!F762="COMM-SU",1,IF('House Count'!F762="COM-MTU",1,IF('House Count'!F762="ENT",1,0))),0)</f>
        <v/>
      </c>
    </row>
    <row r="763">
      <c r="H763" s="192" t="n"/>
      <c r="I763" s="773" t="n"/>
      <c r="J763">
        <f>IF('House Count'!H763="Y",IF('House Count'!F763="RES-SFU",1,IF('House Count'!F763="RES-MDU",1,IF('House Count'!F763="RES-HOA",1,0))),0)</f>
        <v/>
      </c>
      <c r="K763">
        <f>IF('House Count'!H763="Y",IF('House Count'!F763="COMM-SU",1,IF('House Count'!F763="COM-MTU",1,IF('House Count'!F763="ENT",1,0))),0)</f>
        <v/>
      </c>
    </row>
    <row r="764">
      <c r="H764" s="192" t="n"/>
      <c r="I764" s="773" t="n"/>
      <c r="J764">
        <f>IF('House Count'!H764="Y",IF('House Count'!F764="RES-SFU",1,IF('House Count'!F764="RES-MDU",1,IF('House Count'!F764="RES-HOA",1,0))),0)</f>
        <v/>
      </c>
      <c r="K764">
        <f>IF('House Count'!H764="Y",IF('House Count'!F764="COMM-SU",1,IF('House Count'!F764="COM-MTU",1,IF('House Count'!F764="ENT",1,0))),0)</f>
        <v/>
      </c>
    </row>
    <row r="765">
      <c r="H765" s="192" t="n"/>
      <c r="I765" s="773" t="n"/>
      <c r="J765">
        <f>IF('House Count'!H765="Y",IF('House Count'!F765="RES-SFU",1,IF('House Count'!F765="RES-MDU",1,IF('House Count'!F765="RES-HOA",1,0))),0)</f>
        <v/>
      </c>
      <c r="K765">
        <f>IF('House Count'!H765="Y",IF('House Count'!F765="COMM-SU",1,IF('House Count'!F765="COM-MTU",1,IF('House Count'!F765="ENT",1,0))),0)</f>
        <v/>
      </c>
    </row>
    <row r="766">
      <c r="H766" s="192" t="n"/>
      <c r="I766" s="773" t="n"/>
      <c r="J766">
        <f>IF('House Count'!H766="Y",IF('House Count'!F766="RES-SFU",1,IF('House Count'!F766="RES-MDU",1,IF('House Count'!F766="RES-HOA",1,0))),0)</f>
        <v/>
      </c>
      <c r="K766">
        <f>IF('House Count'!H766="Y",IF('House Count'!F766="COMM-SU",1,IF('House Count'!F766="COM-MTU",1,IF('House Count'!F766="ENT",1,0))),0)</f>
        <v/>
      </c>
    </row>
    <row r="767">
      <c r="H767" s="192" t="n"/>
      <c r="I767" s="773" t="n"/>
      <c r="J767">
        <f>IF('House Count'!H767="Y",IF('House Count'!F767="RES-SFU",1,IF('House Count'!F767="RES-MDU",1,IF('House Count'!F767="RES-HOA",1,0))),0)</f>
        <v/>
      </c>
      <c r="K767">
        <f>IF('House Count'!H767="Y",IF('House Count'!F767="COMM-SU",1,IF('House Count'!F767="COM-MTU",1,IF('House Count'!F767="ENT",1,0))),0)</f>
        <v/>
      </c>
    </row>
    <row r="768">
      <c r="H768" s="192" t="n"/>
      <c r="I768" s="773" t="n"/>
      <c r="J768">
        <f>IF('House Count'!H768="Y",IF('House Count'!F768="RES-SFU",1,IF('House Count'!F768="RES-MDU",1,IF('House Count'!F768="RES-HOA",1,0))),0)</f>
        <v/>
      </c>
      <c r="K768">
        <f>IF('House Count'!H768="Y",IF('House Count'!F768="COMM-SU",1,IF('House Count'!F768="COM-MTU",1,IF('House Count'!F768="ENT",1,0))),0)</f>
        <v/>
      </c>
    </row>
    <row r="769" ht="15.75" customHeight="1" thickBot="1">
      <c r="A769" s="774" t="n"/>
      <c r="B769" s="774" t="n"/>
      <c r="C769" s="774" t="n"/>
      <c r="D769" s="774" t="n"/>
      <c r="E769" s="774" t="n"/>
      <c r="F769" s="774" t="n"/>
      <c r="G769" s="774" t="n"/>
      <c r="H769" s="774" t="n"/>
      <c r="I769" s="775" t="n"/>
      <c r="J769">
        <f>IF('House Count'!H769="Y",IF('House Count'!F769="RES-SFU",1,IF('House Count'!F769="RES-MDU",1,IF('House Count'!F769="RES-HOA",1,0))),0)</f>
        <v/>
      </c>
      <c r="K769">
        <f>IF('House Count'!H769="Y",IF('House Count'!F769="COMM-SU",1,IF('House Count'!F769="COM-MTU",1,IF('House Count'!F769="ENT",1,0))),0)</f>
        <v/>
      </c>
    </row>
    <row r="770" ht="15.75" customHeight="1" thickTop="1">
      <c r="H770" s="192" t="n"/>
      <c r="I770" s="773" t="n"/>
      <c r="J770">
        <f>IF('House Count'!H770="Y",IF('House Count'!F770="RES-SFU",1,IF('House Count'!F770="RES-MDU",1,IF('House Count'!F770="RES-HOA",1,0))),0)</f>
        <v/>
      </c>
      <c r="K770">
        <f>IF('House Count'!H770="Y",IF('House Count'!F770="COMM-SU",1,IF('House Count'!F770="COM-MTU",1,IF('House Count'!F770="ENT",1,0))),0)</f>
        <v/>
      </c>
    </row>
    <row r="771">
      <c r="H771" s="192" t="n"/>
      <c r="I771" s="773" t="n"/>
      <c r="J771">
        <f>IF('House Count'!H771="Y",IF('House Count'!F771="RES-SFU",1,IF('House Count'!F771="RES-MDU",1,IF('House Count'!F771="RES-HOA",1,0))),0)</f>
        <v/>
      </c>
      <c r="K771">
        <f>IF('House Count'!H771="Y",IF('House Count'!F771="COMM-SU",1,IF('House Count'!F771="COM-MTU",1,IF('House Count'!F771="ENT",1,0))),0)</f>
        <v/>
      </c>
    </row>
    <row r="772">
      <c r="H772" s="192" t="n"/>
      <c r="I772" s="773" t="n"/>
      <c r="J772">
        <f>IF('House Count'!H772="Y",IF('House Count'!F772="RES-SFU",1,IF('House Count'!F772="RES-MDU",1,IF('House Count'!F772="RES-HOA",1,0))),0)</f>
        <v/>
      </c>
      <c r="K772">
        <f>IF('House Count'!H772="Y",IF('House Count'!F772="COMM-SU",1,IF('House Count'!F772="COM-MTU",1,IF('House Count'!F772="ENT",1,0))),0)</f>
        <v/>
      </c>
    </row>
    <row r="773">
      <c r="H773" s="192" t="n"/>
      <c r="I773" s="773" t="n"/>
      <c r="J773">
        <f>IF('House Count'!H773="Y",IF('House Count'!F773="RES-SFU",1,IF('House Count'!F773="RES-MDU",1,IF('House Count'!F773="RES-HOA",1,0))),0)</f>
        <v/>
      </c>
      <c r="K773">
        <f>IF('House Count'!H773="Y",IF('House Count'!F773="COMM-SU",1,IF('House Count'!F773="COM-MTU",1,IF('House Count'!F773="ENT",1,0))),0)</f>
        <v/>
      </c>
    </row>
    <row r="774">
      <c r="H774" s="192" t="n"/>
      <c r="I774" s="773" t="n"/>
      <c r="J774">
        <f>IF('House Count'!H774="Y",IF('House Count'!F774="RES-SFU",1,IF('House Count'!F774="RES-MDU",1,IF('House Count'!F774="RES-HOA",1,0))),0)</f>
        <v/>
      </c>
      <c r="K774">
        <f>IF('House Count'!H774="Y",IF('House Count'!F774="COMM-SU",1,IF('House Count'!F774="COM-MTU",1,IF('House Count'!F774="ENT",1,0))),0)</f>
        <v/>
      </c>
    </row>
    <row r="775">
      <c r="H775" s="192" t="n"/>
      <c r="I775" s="773" t="n"/>
      <c r="J775">
        <f>IF('House Count'!H775="Y",IF('House Count'!F775="RES-SFU",1,IF('House Count'!F775="RES-MDU",1,IF('House Count'!F775="RES-HOA",1,0))),0)</f>
        <v/>
      </c>
      <c r="K775">
        <f>IF('House Count'!H775="Y",IF('House Count'!F775="COMM-SU",1,IF('House Count'!F775="COM-MTU",1,IF('House Count'!F775="ENT",1,0))),0)</f>
        <v/>
      </c>
    </row>
    <row r="776">
      <c r="H776" s="192" t="n"/>
      <c r="I776" s="773" t="n"/>
      <c r="J776">
        <f>IF('House Count'!H776="Y",IF('House Count'!F776="RES-SFU",1,IF('House Count'!F776="RES-MDU",1,IF('House Count'!F776="RES-HOA",1,0))),0)</f>
        <v/>
      </c>
      <c r="K776">
        <f>IF('House Count'!H776="Y",IF('House Count'!F776="COMM-SU",1,IF('House Count'!F776="COM-MTU",1,IF('House Count'!F776="ENT",1,0))),0)</f>
        <v/>
      </c>
    </row>
    <row r="777">
      <c r="H777" s="192" t="n"/>
      <c r="I777" s="773" t="n"/>
      <c r="J777">
        <f>IF('House Count'!H777="Y",IF('House Count'!F777="RES-SFU",1,IF('House Count'!F777="RES-MDU",1,IF('House Count'!F777="RES-HOA",1,0))),0)</f>
        <v/>
      </c>
      <c r="K777">
        <f>IF('House Count'!H777="Y",IF('House Count'!F777="COMM-SU",1,IF('House Count'!F777="COM-MTU",1,IF('House Count'!F777="ENT",1,0))),0)</f>
        <v/>
      </c>
    </row>
    <row r="778">
      <c r="H778" s="192" t="n"/>
      <c r="I778" s="773" t="n"/>
      <c r="J778">
        <f>IF('House Count'!H778="Y",IF('House Count'!F778="RES-SFU",1,IF('House Count'!F778="RES-MDU",1,IF('House Count'!F778="RES-HOA",1,0))),0)</f>
        <v/>
      </c>
      <c r="K778">
        <f>IF('House Count'!H778="Y",IF('House Count'!F778="COMM-SU",1,IF('House Count'!F778="COM-MTU",1,IF('House Count'!F778="ENT",1,0))),0)</f>
        <v/>
      </c>
    </row>
    <row r="779">
      <c r="H779" s="192" t="n"/>
      <c r="I779" s="773" t="n"/>
      <c r="J779">
        <f>IF('House Count'!H779="Y",IF('House Count'!F779="RES-SFU",1,IF('House Count'!F779="RES-MDU",1,IF('House Count'!F779="RES-HOA",1,0))),0)</f>
        <v/>
      </c>
      <c r="K779">
        <f>IF('House Count'!H779="Y",IF('House Count'!F779="COMM-SU",1,IF('House Count'!F779="COM-MTU",1,IF('House Count'!F779="ENT",1,0))),0)</f>
        <v/>
      </c>
    </row>
    <row r="780">
      <c r="H780" s="192" t="n"/>
      <c r="I780" s="773" t="n"/>
      <c r="J780">
        <f>IF('House Count'!H780="Y",IF('House Count'!F780="RES-SFU",1,IF('House Count'!F780="RES-MDU",1,IF('House Count'!F780="RES-HOA",1,0))),0)</f>
        <v/>
      </c>
      <c r="K780">
        <f>IF('House Count'!H780="Y",IF('House Count'!F780="COMM-SU",1,IF('House Count'!F780="COM-MTU",1,IF('House Count'!F780="ENT",1,0))),0)</f>
        <v/>
      </c>
    </row>
    <row r="781" ht="15.75" customHeight="1" thickBot="1">
      <c r="A781" s="774" t="n"/>
      <c r="B781" s="774" t="n"/>
      <c r="C781" s="774" t="n"/>
      <c r="D781" s="774" t="n"/>
      <c r="E781" s="774" t="n"/>
      <c r="F781" s="774" t="n"/>
      <c r="G781" s="774" t="n"/>
      <c r="H781" s="774" t="n"/>
      <c r="I781" s="775" t="n"/>
      <c r="J781">
        <f>IF('House Count'!H781="Y",IF('House Count'!F781="RES-SFU",1,IF('House Count'!F781="RES-MDU",1,IF('House Count'!F781="RES-HOA",1,0))),0)</f>
        <v/>
      </c>
      <c r="K781">
        <f>IF('House Count'!H781="Y",IF('House Count'!F781="COMM-SU",1,IF('House Count'!F781="COM-MTU",1,IF('House Count'!F781="ENT",1,0))),0)</f>
        <v/>
      </c>
    </row>
    <row r="782" ht="15.75" customHeight="1" thickTop="1">
      <c r="H782" s="192" t="n"/>
      <c r="I782" s="773" t="n"/>
      <c r="J782">
        <f>IF('House Count'!H782="Y",IF('House Count'!F782="RES-SFU",1,IF('House Count'!F782="RES-MDU",1,IF('House Count'!F782="RES-HOA",1,0))),0)</f>
        <v/>
      </c>
      <c r="K782">
        <f>IF('House Count'!H782="Y",IF('House Count'!F782="COMM-SU",1,IF('House Count'!F782="COM-MTU",1,IF('House Count'!F782="ENT",1,0))),0)</f>
        <v/>
      </c>
    </row>
    <row r="783">
      <c r="H783" s="192" t="n"/>
      <c r="I783" s="773" t="n"/>
      <c r="J783">
        <f>IF('House Count'!H783="Y",IF('House Count'!F783="RES-SFU",1,IF('House Count'!F783="RES-MDU",1,IF('House Count'!F783="RES-HOA",1,0))),0)</f>
        <v/>
      </c>
      <c r="K783">
        <f>IF('House Count'!H783="Y",IF('House Count'!F783="COMM-SU",1,IF('House Count'!F783="COM-MTU",1,IF('House Count'!F783="ENT",1,0))),0)</f>
        <v/>
      </c>
    </row>
    <row r="784">
      <c r="H784" s="192" t="n"/>
      <c r="I784" s="773" t="n"/>
      <c r="J784">
        <f>IF('House Count'!H784="Y",IF('House Count'!F784="RES-SFU",1,IF('House Count'!F784="RES-MDU",1,IF('House Count'!F784="RES-HOA",1,0))),0)</f>
        <v/>
      </c>
      <c r="K784">
        <f>IF('House Count'!H784="Y",IF('House Count'!F784="COMM-SU",1,IF('House Count'!F784="COM-MTU",1,IF('House Count'!F784="ENT",1,0))),0)</f>
        <v/>
      </c>
    </row>
    <row r="785">
      <c r="H785" s="192" t="n"/>
      <c r="I785" s="773" t="n"/>
      <c r="J785">
        <f>IF('House Count'!H785="Y",IF('House Count'!F785="RES-SFU",1,IF('House Count'!F785="RES-MDU",1,IF('House Count'!F785="RES-HOA",1,0))),0)</f>
        <v/>
      </c>
      <c r="K785">
        <f>IF('House Count'!H785="Y",IF('House Count'!F785="COMM-SU",1,IF('House Count'!F785="COM-MTU",1,IF('House Count'!F785="ENT",1,0))),0)</f>
        <v/>
      </c>
    </row>
    <row r="786">
      <c r="H786" s="192" t="n"/>
      <c r="I786" s="773" t="n"/>
      <c r="J786">
        <f>IF('House Count'!H786="Y",IF('House Count'!F786="RES-SFU",1,IF('House Count'!F786="RES-MDU",1,IF('House Count'!F786="RES-HOA",1,0))),0)</f>
        <v/>
      </c>
      <c r="K786">
        <f>IF('House Count'!H786="Y",IF('House Count'!F786="COMM-SU",1,IF('House Count'!F786="COM-MTU",1,IF('House Count'!F786="ENT",1,0))),0)</f>
        <v/>
      </c>
    </row>
    <row r="787">
      <c r="H787" s="192" t="n"/>
      <c r="I787" s="773" t="n"/>
      <c r="J787">
        <f>IF('House Count'!H787="Y",IF('House Count'!F787="RES-SFU",1,IF('House Count'!F787="RES-MDU",1,IF('House Count'!F787="RES-HOA",1,0))),0)</f>
        <v/>
      </c>
      <c r="K787">
        <f>IF('House Count'!H787="Y",IF('House Count'!F787="COMM-SU",1,IF('House Count'!F787="COM-MTU",1,IF('House Count'!F787="ENT",1,0))),0)</f>
        <v/>
      </c>
    </row>
    <row r="788">
      <c r="H788" s="192" t="n"/>
      <c r="I788" s="773" t="n"/>
      <c r="J788">
        <f>IF('House Count'!H788="Y",IF('House Count'!F788="RES-SFU",1,IF('House Count'!F788="RES-MDU",1,IF('House Count'!F788="RES-HOA",1,0))),0)</f>
        <v/>
      </c>
      <c r="K788">
        <f>IF('House Count'!H788="Y",IF('House Count'!F788="COMM-SU",1,IF('House Count'!F788="COM-MTU",1,IF('House Count'!F788="ENT",1,0))),0)</f>
        <v/>
      </c>
    </row>
    <row r="789">
      <c r="H789" s="192" t="n"/>
      <c r="I789" s="773" t="n"/>
      <c r="J789">
        <f>IF('House Count'!H789="Y",IF('House Count'!F789="RES-SFU",1,IF('House Count'!F789="RES-MDU",1,IF('House Count'!F789="RES-HOA",1,0))),0)</f>
        <v/>
      </c>
      <c r="K789">
        <f>IF('House Count'!H789="Y",IF('House Count'!F789="COMM-SU",1,IF('House Count'!F789="COM-MTU",1,IF('House Count'!F789="ENT",1,0))),0)</f>
        <v/>
      </c>
    </row>
    <row r="790">
      <c r="H790" s="192" t="n"/>
      <c r="I790" s="773" t="n"/>
      <c r="J790">
        <f>IF('House Count'!H790="Y",IF('House Count'!F790="RES-SFU",1,IF('House Count'!F790="RES-MDU",1,IF('House Count'!F790="RES-HOA",1,0))),0)</f>
        <v/>
      </c>
      <c r="K790">
        <f>IF('House Count'!H790="Y",IF('House Count'!F790="COMM-SU",1,IF('House Count'!F790="COM-MTU",1,IF('House Count'!F790="ENT",1,0))),0)</f>
        <v/>
      </c>
    </row>
    <row r="791">
      <c r="H791" s="192" t="n"/>
      <c r="I791" s="773" t="n"/>
      <c r="J791">
        <f>IF('House Count'!H791="Y",IF('House Count'!F791="RES-SFU",1,IF('House Count'!F791="RES-MDU",1,IF('House Count'!F791="RES-HOA",1,0))),0)</f>
        <v/>
      </c>
      <c r="K791">
        <f>IF('House Count'!H791="Y",IF('House Count'!F791="COMM-SU",1,IF('House Count'!F791="COM-MTU",1,IF('House Count'!F791="ENT",1,0))),0)</f>
        <v/>
      </c>
    </row>
    <row r="792">
      <c r="H792" s="192" t="n"/>
      <c r="I792" s="773" t="n"/>
      <c r="J792">
        <f>IF('House Count'!H792="Y",IF('House Count'!F792="RES-SFU",1,IF('House Count'!F792="RES-MDU",1,IF('House Count'!F792="RES-HOA",1,0))),0)</f>
        <v/>
      </c>
      <c r="K792">
        <f>IF('House Count'!H792="Y",IF('House Count'!F792="COMM-SU",1,IF('House Count'!F792="COM-MTU",1,IF('House Count'!F792="ENT",1,0))),0)</f>
        <v/>
      </c>
    </row>
    <row r="793" ht="15.75" customHeight="1" thickBot="1">
      <c r="A793" s="774" t="n"/>
      <c r="B793" s="774" t="n"/>
      <c r="C793" s="774" t="n"/>
      <c r="D793" s="774" t="n"/>
      <c r="E793" s="774" t="n"/>
      <c r="F793" s="774" t="n"/>
      <c r="G793" s="774" t="n"/>
      <c r="H793" s="774" t="n"/>
      <c r="I793" s="775" t="n"/>
      <c r="J793">
        <f>IF('House Count'!H793="Y",IF('House Count'!F793="RES-SFU",1,IF('House Count'!F793="RES-MDU",1,IF('House Count'!F793="RES-HOA",1,0))),0)</f>
        <v/>
      </c>
      <c r="K793">
        <f>IF('House Count'!H793="Y",IF('House Count'!F793="COMM-SU",1,IF('House Count'!F793="COM-MTU",1,IF('House Count'!F793="ENT",1,0))),0)</f>
        <v/>
      </c>
    </row>
    <row r="794" ht="15.75" customHeight="1" thickTop="1">
      <c r="H794" s="192" t="n"/>
      <c r="I794" s="773" t="n"/>
      <c r="J794">
        <f>IF('House Count'!H794="Y",IF('House Count'!F794="RES-SFU",1,IF('House Count'!F794="RES-MDU",1,IF('House Count'!F794="RES-HOA",1,0))),0)</f>
        <v/>
      </c>
      <c r="K794">
        <f>IF('House Count'!H794="Y",IF('House Count'!F794="COMM-SU",1,IF('House Count'!F794="COM-MTU",1,IF('House Count'!F794="ENT",1,0))),0)</f>
        <v/>
      </c>
    </row>
    <row r="795">
      <c r="H795" s="192" t="n"/>
      <c r="I795" s="773" t="n"/>
      <c r="J795">
        <f>IF('House Count'!H795="Y",IF('House Count'!F795="RES-SFU",1,IF('House Count'!F795="RES-MDU",1,IF('House Count'!F795="RES-HOA",1,0))),0)</f>
        <v/>
      </c>
      <c r="K795">
        <f>IF('House Count'!H795="Y",IF('House Count'!F795="COMM-SU",1,IF('House Count'!F795="COM-MTU",1,IF('House Count'!F795="ENT",1,0))),0)</f>
        <v/>
      </c>
    </row>
    <row r="796">
      <c r="H796" s="192" t="n"/>
      <c r="I796" s="773" t="n"/>
      <c r="J796">
        <f>IF('House Count'!H796="Y",IF('House Count'!F796="RES-SFU",1,IF('House Count'!F796="RES-MDU",1,IF('House Count'!F796="RES-HOA",1,0))),0)</f>
        <v/>
      </c>
      <c r="K796">
        <f>IF('House Count'!H796="Y",IF('House Count'!F796="COMM-SU",1,IF('House Count'!F796="COM-MTU",1,IF('House Count'!F796="ENT",1,0))),0)</f>
        <v/>
      </c>
    </row>
    <row r="797">
      <c r="H797" s="192" t="n"/>
      <c r="I797" s="773" t="n"/>
      <c r="J797">
        <f>IF('House Count'!H797="Y",IF('House Count'!F797="RES-SFU",1,IF('House Count'!F797="RES-MDU",1,IF('House Count'!F797="RES-HOA",1,0))),0)</f>
        <v/>
      </c>
      <c r="K797">
        <f>IF('House Count'!H797="Y",IF('House Count'!F797="COMM-SU",1,IF('House Count'!F797="COM-MTU",1,IF('House Count'!F797="ENT",1,0))),0)</f>
        <v/>
      </c>
    </row>
    <row r="798">
      <c r="H798" s="192" t="n"/>
      <c r="I798" s="773" t="n"/>
      <c r="J798">
        <f>IF('House Count'!H798="Y",IF('House Count'!F798="RES-SFU",1,IF('House Count'!F798="RES-MDU",1,IF('House Count'!F798="RES-HOA",1,0))),0)</f>
        <v/>
      </c>
      <c r="K798">
        <f>IF('House Count'!H798="Y",IF('House Count'!F798="COMM-SU",1,IF('House Count'!F798="COM-MTU",1,IF('House Count'!F798="ENT",1,0))),0)</f>
        <v/>
      </c>
    </row>
    <row r="799">
      <c r="H799" s="192" t="n"/>
      <c r="I799" s="773" t="n"/>
      <c r="J799">
        <f>IF('House Count'!H799="Y",IF('House Count'!F799="RES-SFU",1,IF('House Count'!F799="RES-MDU",1,IF('House Count'!F799="RES-HOA",1,0))),0)</f>
        <v/>
      </c>
      <c r="K799">
        <f>IF('House Count'!H799="Y",IF('House Count'!F799="COMM-SU",1,IF('House Count'!F799="COM-MTU",1,IF('House Count'!F799="ENT",1,0))),0)</f>
        <v/>
      </c>
    </row>
    <row r="800">
      <c r="H800" s="192" t="n"/>
      <c r="I800" s="773" t="n"/>
      <c r="J800">
        <f>IF('House Count'!H800="Y",IF('House Count'!F800="RES-SFU",1,IF('House Count'!F800="RES-MDU",1,IF('House Count'!F800="RES-HOA",1,0))),0)</f>
        <v/>
      </c>
      <c r="K800">
        <f>IF('House Count'!H800="Y",IF('House Count'!F800="COMM-SU",1,IF('House Count'!F800="COM-MTU",1,IF('House Count'!F800="ENT",1,0))),0)</f>
        <v/>
      </c>
    </row>
    <row r="801">
      <c r="H801" s="192" t="n"/>
      <c r="I801" s="773" t="n"/>
      <c r="J801">
        <f>IF('House Count'!H801="Y",IF('House Count'!F801="RES-SFU",1,IF('House Count'!F801="RES-MDU",1,IF('House Count'!F801="RES-HOA",1,0))),0)</f>
        <v/>
      </c>
      <c r="K801">
        <f>IF('House Count'!H801="Y",IF('House Count'!F801="COMM-SU",1,IF('House Count'!F801="COM-MTU",1,IF('House Count'!F801="ENT",1,0))),0)</f>
        <v/>
      </c>
    </row>
    <row r="802">
      <c r="H802" s="192" t="n"/>
      <c r="I802" s="773" t="n"/>
      <c r="J802">
        <f>IF('House Count'!H802="Y",IF('House Count'!F802="RES-SFU",1,IF('House Count'!F802="RES-MDU",1,IF('House Count'!F802="RES-HOA",1,0))),0)</f>
        <v/>
      </c>
      <c r="K802">
        <f>IF('House Count'!H802="Y",IF('House Count'!F802="COMM-SU",1,IF('House Count'!F802="COM-MTU",1,IF('House Count'!F802="ENT",1,0))),0)</f>
        <v/>
      </c>
    </row>
    <row r="803">
      <c r="H803" s="192" t="n"/>
      <c r="I803" s="773" t="n"/>
      <c r="J803">
        <f>IF('House Count'!H803="Y",IF('House Count'!F803="RES-SFU",1,IF('House Count'!F803="RES-MDU",1,IF('House Count'!F803="RES-HOA",1,0))),0)</f>
        <v/>
      </c>
      <c r="K803">
        <f>IF('House Count'!H803="Y",IF('House Count'!F803="COMM-SU",1,IF('House Count'!F803="COM-MTU",1,IF('House Count'!F803="ENT",1,0))),0)</f>
        <v/>
      </c>
    </row>
    <row r="804">
      <c r="H804" s="192" t="n"/>
      <c r="I804" s="773" t="n"/>
      <c r="J804">
        <f>IF('House Count'!H804="Y",IF('House Count'!F804="RES-SFU",1,IF('House Count'!F804="RES-MDU",1,IF('House Count'!F804="RES-HOA",1,0))),0)</f>
        <v/>
      </c>
      <c r="K804">
        <f>IF('House Count'!H804="Y",IF('House Count'!F804="COMM-SU",1,IF('House Count'!F804="COM-MTU",1,IF('House Count'!F804="ENT",1,0))),0)</f>
        <v/>
      </c>
    </row>
    <row r="805" ht="15.75" customHeight="1" thickBot="1">
      <c r="A805" s="774" t="n"/>
      <c r="B805" s="774" t="n"/>
      <c r="C805" s="774" t="n"/>
      <c r="D805" s="774" t="n"/>
      <c r="E805" s="774" t="n"/>
      <c r="F805" s="774" t="n"/>
      <c r="G805" s="774" t="n"/>
      <c r="H805" s="774" t="n"/>
      <c r="I805" s="775" t="n"/>
      <c r="J805">
        <f>IF('House Count'!H805="Y",IF('House Count'!F805="RES-SFU",1,IF('House Count'!F805="RES-MDU",1,IF('House Count'!F805="RES-HOA",1,0))),0)</f>
        <v/>
      </c>
      <c r="K805">
        <f>IF('House Count'!H805="Y",IF('House Count'!F805="COMM-SU",1,IF('House Count'!F805="COM-MTU",1,IF('House Count'!F805="ENT",1,0))),0)</f>
        <v/>
      </c>
    </row>
    <row r="806" ht="15.75" customHeight="1" thickTop="1">
      <c r="H806" s="192" t="n"/>
      <c r="I806" s="773" t="n"/>
      <c r="J806">
        <f>IF('House Count'!H806="Y",IF('House Count'!F806="RES-SFU",1,IF('House Count'!F806="RES-MDU",1,IF('House Count'!F806="RES-HOA",1,0))),0)</f>
        <v/>
      </c>
      <c r="K806">
        <f>IF('House Count'!H806="Y",IF('House Count'!F806="COMM-SU",1,IF('House Count'!F806="COM-MTU",1,IF('House Count'!F806="ENT",1,0))),0)</f>
        <v/>
      </c>
    </row>
    <row r="807">
      <c r="H807" s="192" t="n"/>
      <c r="I807" s="773" t="n"/>
      <c r="J807">
        <f>IF('House Count'!H807="Y",IF('House Count'!F807="RES-SFU",1,IF('House Count'!F807="RES-MDU",1,IF('House Count'!F807="RES-HOA",1,0))),0)</f>
        <v/>
      </c>
      <c r="K807">
        <f>IF('House Count'!H807="Y",IF('House Count'!F807="COMM-SU",1,IF('House Count'!F807="COM-MTU",1,IF('House Count'!F807="ENT",1,0))),0)</f>
        <v/>
      </c>
    </row>
    <row r="808">
      <c r="H808" s="192" t="n"/>
      <c r="I808" s="773" t="n"/>
      <c r="J808">
        <f>IF('House Count'!H808="Y",IF('House Count'!F808="RES-SFU",1,IF('House Count'!F808="RES-MDU",1,IF('House Count'!F808="RES-HOA",1,0))),0)</f>
        <v/>
      </c>
      <c r="K808">
        <f>IF('House Count'!H808="Y",IF('House Count'!F808="COMM-SU",1,IF('House Count'!F808="COM-MTU",1,IF('House Count'!F808="ENT",1,0))),0)</f>
        <v/>
      </c>
    </row>
    <row r="809">
      <c r="H809" s="192" t="n"/>
      <c r="I809" s="773" t="n"/>
      <c r="J809">
        <f>IF('House Count'!H809="Y",IF('House Count'!F809="RES-SFU",1,IF('House Count'!F809="RES-MDU",1,IF('House Count'!F809="RES-HOA",1,0))),0)</f>
        <v/>
      </c>
      <c r="K809">
        <f>IF('House Count'!H809="Y",IF('House Count'!F809="COMM-SU",1,IF('House Count'!F809="COM-MTU",1,IF('House Count'!F809="ENT",1,0))),0)</f>
        <v/>
      </c>
    </row>
    <row r="810">
      <c r="H810" s="192" t="n"/>
      <c r="I810" s="773" t="n"/>
      <c r="J810">
        <f>IF('House Count'!H810="Y",IF('House Count'!F810="RES-SFU",1,IF('House Count'!F810="RES-MDU",1,IF('House Count'!F810="RES-HOA",1,0))),0)</f>
        <v/>
      </c>
      <c r="K810">
        <f>IF('House Count'!H810="Y",IF('House Count'!F810="COMM-SU",1,IF('House Count'!F810="COM-MTU",1,IF('House Count'!F810="ENT",1,0))),0)</f>
        <v/>
      </c>
    </row>
    <row r="811">
      <c r="H811" s="192" t="n"/>
      <c r="I811" s="773" t="n"/>
      <c r="J811">
        <f>IF('House Count'!H811="Y",IF('House Count'!F811="RES-SFU",1,IF('House Count'!F811="RES-MDU",1,IF('House Count'!F811="RES-HOA",1,0))),0)</f>
        <v/>
      </c>
      <c r="K811">
        <f>IF('House Count'!H811="Y",IF('House Count'!F811="COMM-SU",1,IF('House Count'!F811="COM-MTU",1,IF('House Count'!F811="ENT",1,0))),0)</f>
        <v/>
      </c>
    </row>
    <row r="812">
      <c r="H812" s="192" t="n"/>
      <c r="I812" s="773" t="n"/>
      <c r="J812">
        <f>IF('House Count'!H812="Y",IF('House Count'!F812="RES-SFU",1,IF('House Count'!F812="RES-MDU",1,IF('House Count'!F812="RES-HOA",1,0))),0)</f>
        <v/>
      </c>
      <c r="K812">
        <f>IF('House Count'!H812="Y",IF('House Count'!F812="COMM-SU",1,IF('House Count'!F812="COM-MTU",1,IF('House Count'!F812="ENT",1,0))),0)</f>
        <v/>
      </c>
    </row>
    <row r="813">
      <c r="H813" s="192" t="n"/>
      <c r="I813" s="773" t="n"/>
      <c r="J813">
        <f>IF('House Count'!H813="Y",IF('House Count'!F813="RES-SFU",1,IF('House Count'!F813="RES-MDU",1,IF('House Count'!F813="RES-HOA",1,0))),0)</f>
        <v/>
      </c>
      <c r="K813">
        <f>IF('House Count'!H813="Y",IF('House Count'!F813="COMM-SU",1,IF('House Count'!F813="COM-MTU",1,IF('House Count'!F813="ENT",1,0))),0)</f>
        <v/>
      </c>
    </row>
    <row r="814">
      <c r="H814" s="192" t="n"/>
      <c r="I814" s="773" t="n"/>
      <c r="J814">
        <f>IF('House Count'!H814="Y",IF('House Count'!F814="RES-SFU",1,IF('House Count'!F814="RES-MDU",1,IF('House Count'!F814="RES-HOA",1,0))),0)</f>
        <v/>
      </c>
      <c r="K814">
        <f>IF('House Count'!H814="Y",IF('House Count'!F814="COMM-SU",1,IF('House Count'!F814="COM-MTU",1,IF('House Count'!F814="ENT",1,0))),0)</f>
        <v/>
      </c>
    </row>
    <row r="815">
      <c r="H815" s="192" t="n"/>
      <c r="I815" s="773" t="n"/>
      <c r="J815">
        <f>IF('House Count'!H815="Y",IF('House Count'!F815="RES-SFU",1,IF('House Count'!F815="RES-MDU",1,IF('House Count'!F815="RES-HOA",1,0))),0)</f>
        <v/>
      </c>
      <c r="K815">
        <f>IF('House Count'!H815="Y",IF('House Count'!F815="COMM-SU",1,IF('House Count'!F815="COM-MTU",1,IF('House Count'!F815="ENT",1,0))),0)</f>
        <v/>
      </c>
    </row>
    <row r="816">
      <c r="H816" s="192" t="n"/>
      <c r="I816" s="773" t="n"/>
      <c r="J816">
        <f>IF('House Count'!H816="Y",IF('House Count'!F816="RES-SFU",1,IF('House Count'!F816="RES-MDU",1,IF('House Count'!F816="RES-HOA",1,0))),0)</f>
        <v/>
      </c>
      <c r="K816">
        <f>IF('House Count'!H816="Y",IF('House Count'!F816="COMM-SU",1,IF('House Count'!F816="COM-MTU",1,IF('House Count'!F816="ENT",1,0))),0)</f>
        <v/>
      </c>
    </row>
    <row r="817" ht="15.75" customHeight="1" thickBot="1">
      <c r="A817" s="774" t="n"/>
      <c r="B817" s="774" t="n"/>
      <c r="C817" s="774" t="n"/>
      <c r="D817" s="774" t="n"/>
      <c r="E817" s="774" t="n"/>
      <c r="F817" s="774" t="n"/>
      <c r="G817" s="774" t="n"/>
      <c r="H817" s="774" t="n"/>
      <c r="I817" s="775" t="n"/>
      <c r="J817">
        <f>IF('House Count'!H817="Y",IF('House Count'!F817="RES-SFU",1,IF('House Count'!F817="RES-MDU",1,IF('House Count'!F817="RES-HOA",1,0))),0)</f>
        <v/>
      </c>
      <c r="K817">
        <f>IF('House Count'!H817="Y",IF('House Count'!F817="COMM-SU",1,IF('House Count'!F817="COM-MTU",1,IF('House Count'!F817="ENT",1,0))),0)</f>
        <v/>
      </c>
    </row>
    <row r="818" ht="15.75" customHeight="1" thickTop="1">
      <c r="H818" s="192" t="n"/>
      <c r="I818" s="773" t="n"/>
      <c r="J818">
        <f>IF('House Count'!H818="Y",IF('House Count'!F818="RES-SFU",1,IF('House Count'!F818="RES-MDU",1,IF('House Count'!F818="RES-HOA",1,0))),0)</f>
        <v/>
      </c>
      <c r="K818">
        <f>IF('House Count'!H818="Y",IF('House Count'!F818="COMM-SU",1,IF('House Count'!F818="COM-MTU",1,IF('House Count'!F818="ENT",1,0))),0)</f>
        <v/>
      </c>
    </row>
    <row r="819">
      <c r="H819" s="192" t="n"/>
      <c r="I819" s="773" t="n"/>
      <c r="J819">
        <f>IF('House Count'!H819="Y",IF('House Count'!F819="RES-SFU",1,IF('House Count'!F819="RES-MDU",1,IF('House Count'!F819="RES-HOA",1,0))),0)</f>
        <v/>
      </c>
      <c r="K819">
        <f>IF('House Count'!H819="Y",IF('House Count'!F819="COMM-SU",1,IF('House Count'!F819="COM-MTU",1,IF('House Count'!F819="ENT",1,0))),0)</f>
        <v/>
      </c>
    </row>
    <row r="820">
      <c r="H820" s="192" t="n"/>
      <c r="I820" s="773" t="n"/>
      <c r="J820">
        <f>IF('House Count'!H820="Y",IF('House Count'!F820="RES-SFU",1,IF('House Count'!F820="RES-MDU",1,IF('House Count'!F820="RES-HOA",1,0))),0)</f>
        <v/>
      </c>
      <c r="K820">
        <f>IF('House Count'!H820="Y",IF('House Count'!F820="COMM-SU",1,IF('House Count'!F820="COM-MTU",1,IF('House Count'!F820="ENT",1,0))),0)</f>
        <v/>
      </c>
    </row>
    <row r="821">
      <c r="H821" s="192" t="n"/>
      <c r="I821" s="773" t="n"/>
      <c r="J821">
        <f>IF('House Count'!H821="Y",IF('House Count'!F821="RES-SFU",1,IF('House Count'!F821="RES-MDU",1,IF('House Count'!F821="RES-HOA",1,0))),0)</f>
        <v/>
      </c>
      <c r="K821">
        <f>IF('House Count'!H821="Y",IF('House Count'!F821="COMM-SU",1,IF('House Count'!F821="COM-MTU",1,IF('House Count'!F821="ENT",1,0))),0)</f>
        <v/>
      </c>
    </row>
    <row r="822">
      <c r="H822" s="192" t="n"/>
      <c r="I822" s="773" t="n"/>
      <c r="J822">
        <f>IF('House Count'!H822="Y",IF('House Count'!F822="RES-SFU",1,IF('House Count'!F822="RES-MDU",1,IF('House Count'!F822="RES-HOA",1,0))),0)</f>
        <v/>
      </c>
      <c r="K822">
        <f>IF('House Count'!H822="Y",IF('House Count'!F822="COMM-SU",1,IF('House Count'!F822="COM-MTU",1,IF('House Count'!F822="ENT",1,0))),0)</f>
        <v/>
      </c>
    </row>
    <row r="823">
      <c r="H823" s="192" t="n"/>
      <c r="I823" s="773" t="n"/>
      <c r="J823">
        <f>IF('House Count'!H823="Y",IF('House Count'!F823="RES-SFU",1,IF('House Count'!F823="RES-MDU",1,IF('House Count'!F823="RES-HOA",1,0))),0)</f>
        <v/>
      </c>
      <c r="K823">
        <f>IF('House Count'!H823="Y",IF('House Count'!F823="COMM-SU",1,IF('House Count'!F823="COM-MTU",1,IF('House Count'!F823="ENT",1,0))),0)</f>
        <v/>
      </c>
    </row>
    <row r="824">
      <c r="H824" s="192" t="n"/>
      <c r="I824" s="773" t="n"/>
      <c r="J824">
        <f>IF('House Count'!H824="Y",IF('House Count'!F824="RES-SFU",1,IF('House Count'!F824="RES-MDU",1,IF('House Count'!F824="RES-HOA",1,0))),0)</f>
        <v/>
      </c>
      <c r="K824">
        <f>IF('House Count'!H824="Y",IF('House Count'!F824="COMM-SU",1,IF('House Count'!F824="COM-MTU",1,IF('House Count'!F824="ENT",1,0))),0)</f>
        <v/>
      </c>
    </row>
    <row r="825">
      <c r="H825" s="192" t="n"/>
      <c r="I825" s="773" t="n"/>
      <c r="J825">
        <f>IF('House Count'!H825="Y",IF('House Count'!F825="RES-SFU",1,IF('House Count'!F825="RES-MDU",1,IF('House Count'!F825="RES-HOA",1,0))),0)</f>
        <v/>
      </c>
      <c r="K825">
        <f>IF('House Count'!H825="Y",IF('House Count'!F825="COMM-SU",1,IF('House Count'!F825="COM-MTU",1,IF('House Count'!F825="ENT",1,0))),0)</f>
        <v/>
      </c>
    </row>
    <row r="826">
      <c r="H826" s="192" t="n"/>
      <c r="I826" s="773" t="n"/>
      <c r="J826">
        <f>IF('House Count'!H826="Y",IF('House Count'!F826="RES-SFU",1,IF('House Count'!F826="RES-MDU",1,IF('House Count'!F826="RES-HOA",1,0))),0)</f>
        <v/>
      </c>
      <c r="K826">
        <f>IF('House Count'!H826="Y",IF('House Count'!F826="COMM-SU",1,IF('House Count'!F826="COM-MTU",1,IF('House Count'!F826="ENT",1,0))),0)</f>
        <v/>
      </c>
    </row>
    <row r="827">
      <c r="H827" s="192" t="n"/>
      <c r="I827" s="773" t="n"/>
      <c r="J827">
        <f>IF('House Count'!H827="Y",IF('House Count'!F827="RES-SFU",1,IF('House Count'!F827="RES-MDU",1,IF('House Count'!F827="RES-HOA",1,0))),0)</f>
        <v/>
      </c>
      <c r="K827">
        <f>IF('House Count'!H827="Y",IF('House Count'!F827="COMM-SU",1,IF('House Count'!F827="COM-MTU",1,IF('House Count'!F827="ENT",1,0))),0)</f>
        <v/>
      </c>
    </row>
    <row r="828">
      <c r="H828" s="192" t="n"/>
      <c r="I828" s="773" t="n"/>
      <c r="J828">
        <f>IF('House Count'!H828="Y",IF('House Count'!F828="RES-SFU",1,IF('House Count'!F828="RES-MDU",1,IF('House Count'!F828="RES-HOA",1,0))),0)</f>
        <v/>
      </c>
      <c r="K828">
        <f>IF('House Count'!H828="Y",IF('House Count'!F828="COMM-SU",1,IF('House Count'!F828="COM-MTU",1,IF('House Count'!F828="ENT",1,0))),0)</f>
        <v/>
      </c>
    </row>
    <row r="829" ht="15.75" customHeight="1" thickBot="1">
      <c r="A829" s="774" t="n"/>
      <c r="B829" s="774" t="n"/>
      <c r="C829" s="774" t="n"/>
      <c r="D829" s="774" t="n"/>
      <c r="E829" s="774" t="n"/>
      <c r="F829" s="774" t="n"/>
      <c r="G829" s="774" t="n"/>
      <c r="H829" s="774" t="n"/>
      <c r="I829" s="775" t="n"/>
      <c r="J829">
        <f>IF('House Count'!H829="Y",IF('House Count'!F829="RES-SFU",1,IF('House Count'!F829="RES-MDU",1,IF('House Count'!F829="RES-HOA",1,0))),0)</f>
        <v/>
      </c>
      <c r="K829">
        <f>IF('House Count'!H829="Y",IF('House Count'!F829="COMM-SU",1,IF('House Count'!F829="COM-MTU",1,IF('House Count'!F829="ENT",1,0))),0)</f>
        <v/>
      </c>
    </row>
    <row r="830" ht="15.75" customHeight="1" thickTop="1">
      <c r="H830" s="192" t="n"/>
      <c r="I830" s="773" t="n"/>
      <c r="J830">
        <f>IF('House Count'!H830="Y",IF('House Count'!F830="RES-SFU",1,IF('House Count'!F830="RES-MDU",1,IF('House Count'!F830="RES-HOA",1,0))),0)</f>
        <v/>
      </c>
      <c r="K830">
        <f>IF('House Count'!H830="Y",IF('House Count'!F830="COMM-SU",1,IF('House Count'!F830="COM-MTU",1,IF('House Count'!F830="ENT",1,0))),0)</f>
        <v/>
      </c>
    </row>
    <row r="831">
      <c r="H831" s="192" t="n"/>
      <c r="I831" s="773" t="n"/>
      <c r="J831">
        <f>IF('House Count'!H831="Y",IF('House Count'!F831="RES-SFU",1,IF('House Count'!F831="RES-MDU",1,IF('House Count'!F831="RES-HOA",1,0))),0)</f>
        <v/>
      </c>
      <c r="K831">
        <f>IF('House Count'!H831="Y",IF('House Count'!F831="COMM-SU",1,IF('House Count'!F831="COM-MTU",1,IF('House Count'!F831="ENT",1,0))),0)</f>
        <v/>
      </c>
    </row>
    <row r="832">
      <c r="H832" s="192" t="n"/>
      <c r="I832" s="773" t="n"/>
      <c r="J832">
        <f>IF('House Count'!H832="Y",IF('House Count'!F832="RES-SFU",1,IF('House Count'!F832="RES-MDU",1,IF('House Count'!F832="RES-HOA",1,0))),0)</f>
        <v/>
      </c>
      <c r="K832">
        <f>IF('House Count'!H832="Y",IF('House Count'!F832="COMM-SU",1,IF('House Count'!F832="COM-MTU",1,IF('House Count'!F832="ENT",1,0))),0)</f>
        <v/>
      </c>
    </row>
    <row r="833">
      <c r="H833" s="192" t="n"/>
      <c r="I833" s="773" t="n"/>
      <c r="J833">
        <f>IF('House Count'!H833="Y",IF('House Count'!F833="RES-SFU",1,IF('House Count'!F833="RES-MDU",1,IF('House Count'!F833="RES-HOA",1,0))),0)</f>
        <v/>
      </c>
      <c r="K833">
        <f>IF('House Count'!H833="Y",IF('House Count'!F833="COMM-SU",1,IF('House Count'!F833="COM-MTU",1,IF('House Count'!F833="ENT",1,0))),0)</f>
        <v/>
      </c>
    </row>
    <row r="834">
      <c r="H834" s="192" t="n"/>
      <c r="I834" s="773" t="n"/>
      <c r="J834">
        <f>IF('House Count'!H834="Y",IF('House Count'!F834="RES-SFU",1,IF('House Count'!F834="RES-MDU",1,IF('House Count'!F834="RES-HOA",1,0))),0)</f>
        <v/>
      </c>
      <c r="K834">
        <f>IF('House Count'!H834="Y",IF('House Count'!F834="COMM-SU",1,IF('House Count'!F834="COM-MTU",1,IF('House Count'!F834="ENT",1,0))),0)</f>
        <v/>
      </c>
    </row>
    <row r="835">
      <c r="H835" s="192" t="n"/>
      <c r="I835" s="773" t="n"/>
      <c r="J835">
        <f>IF('House Count'!H835="Y",IF('House Count'!F835="RES-SFU",1,IF('House Count'!F835="RES-MDU",1,IF('House Count'!F835="RES-HOA",1,0))),0)</f>
        <v/>
      </c>
      <c r="K835">
        <f>IF('House Count'!H835="Y",IF('House Count'!F835="COMM-SU",1,IF('House Count'!F835="COM-MTU",1,IF('House Count'!F835="ENT",1,0))),0)</f>
        <v/>
      </c>
    </row>
    <row r="836">
      <c r="H836" s="192" t="n"/>
      <c r="I836" s="773" t="n"/>
      <c r="J836">
        <f>IF('House Count'!H836="Y",IF('House Count'!F836="RES-SFU",1,IF('House Count'!F836="RES-MDU",1,IF('House Count'!F836="RES-HOA",1,0))),0)</f>
        <v/>
      </c>
      <c r="K836">
        <f>IF('House Count'!H836="Y",IF('House Count'!F836="COMM-SU",1,IF('House Count'!F836="COM-MTU",1,IF('House Count'!F836="ENT",1,0))),0)</f>
        <v/>
      </c>
    </row>
    <row r="837">
      <c r="H837" s="192" t="n"/>
      <c r="I837" s="773" t="n"/>
      <c r="J837">
        <f>IF('House Count'!H837="Y",IF('House Count'!F837="RES-SFU",1,IF('House Count'!F837="RES-MDU",1,IF('House Count'!F837="RES-HOA",1,0))),0)</f>
        <v/>
      </c>
      <c r="K837">
        <f>IF('House Count'!H837="Y",IF('House Count'!F837="COMM-SU",1,IF('House Count'!F837="COM-MTU",1,IF('House Count'!F837="ENT",1,0))),0)</f>
        <v/>
      </c>
    </row>
    <row r="838">
      <c r="H838" s="192" t="n"/>
      <c r="I838" s="773" t="n"/>
      <c r="J838">
        <f>IF('House Count'!H838="Y",IF('House Count'!F838="RES-SFU",1,IF('House Count'!F838="RES-MDU",1,IF('House Count'!F838="RES-HOA",1,0))),0)</f>
        <v/>
      </c>
      <c r="K838">
        <f>IF('House Count'!H838="Y",IF('House Count'!F838="COMM-SU",1,IF('House Count'!F838="COM-MTU",1,IF('House Count'!F838="ENT",1,0))),0)</f>
        <v/>
      </c>
    </row>
    <row r="839">
      <c r="H839" s="192" t="n"/>
      <c r="I839" s="773" t="n"/>
      <c r="J839">
        <f>IF('House Count'!H839="Y",IF('House Count'!F839="RES-SFU",1,IF('House Count'!F839="RES-MDU",1,IF('House Count'!F839="RES-HOA",1,0))),0)</f>
        <v/>
      </c>
      <c r="K839">
        <f>IF('House Count'!H839="Y",IF('House Count'!F839="COMM-SU",1,IF('House Count'!F839="COM-MTU",1,IF('House Count'!F839="ENT",1,0))),0)</f>
        <v/>
      </c>
    </row>
    <row r="840">
      <c r="H840" s="192" t="n"/>
      <c r="I840" s="773" t="n"/>
      <c r="J840">
        <f>IF('House Count'!H840="Y",IF('House Count'!F840="RES-SFU",1,IF('House Count'!F840="RES-MDU",1,IF('House Count'!F840="RES-HOA",1,0))),0)</f>
        <v/>
      </c>
      <c r="K840">
        <f>IF('House Count'!H840="Y",IF('House Count'!F840="COMM-SU",1,IF('House Count'!F840="COM-MTU",1,IF('House Count'!F840="ENT",1,0))),0)</f>
        <v/>
      </c>
    </row>
    <row r="841" ht="15.75" customHeight="1" thickBot="1">
      <c r="A841" s="774" t="n"/>
      <c r="B841" s="774" t="n"/>
      <c r="C841" s="774" t="n"/>
      <c r="D841" s="774" t="n"/>
      <c r="E841" s="774" t="n"/>
      <c r="F841" s="774" t="n"/>
      <c r="G841" s="774" t="n"/>
      <c r="H841" s="774" t="n"/>
      <c r="I841" s="775" t="n"/>
      <c r="J841">
        <f>IF('House Count'!H841="Y",IF('House Count'!F841="RES-SFU",1,IF('House Count'!F841="RES-MDU",1,IF('House Count'!F841="RES-HOA",1,0))),0)</f>
        <v/>
      </c>
      <c r="K841">
        <f>IF('House Count'!H841="Y",IF('House Count'!F841="COMM-SU",1,IF('House Count'!F841="COM-MTU",1,IF('House Count'!F841="ENT",1,0))),0)</f>
        <v/>
      </c>
    </row>
    <row r="842" ht="15.75" customHeight="1" thickTop="1">
      <c r="H842" s="192" t="n"/>
      <c r="I842" s="773" t="n"/>
      <c r="J842">
        <f>IF('House Count'!H842="Y",IF('House Count'!F842="RES-SFU",1,IF('House Count'!F842="RES-MDU",1,IF('House Count'!F842="RES-HOA",1,0))),0)</f>
        <v/>
      </c>
      <c r="K842">
        <f>IF('House Count'!H842="Y",IF('House Count'!F842="COMM-SU",1,IF('House Count'!F842="COM-MTU",1,IF('House Count'!F842="ENT",1,0))),0)</f>
        <v/>
      </c>
    </row>
    <row r="843">
      <c r="H843" s="192" t="n"/>
      <c r="I843" s="773" t="n"/>
      <c r="J843">
        <f>IF('House Count'!H843="Y",IF('House Count'!F843="RES-SFU",1,IF('House Count'!F843="RES-MDU",1,IF('House Count'!F843="RES-HOA",1,0))),0)</f>
        <v/>
      </c>
      <c r="K843">
        <f>IF('House Count'!H843="Y",IF('House Count'!F843="COMM-SU",1,IF('House Count'!F843="COM-MTU",1,IF('House Count'!F843="ENT",1,0))),0)</f>
        <v/>
      </c>
    </row>
    <row r="844">
      <c r="H844" s="192" t="n"/>
      <c r="I844" s="773" t="n"/>
      <c r="J844">
        <f>IF('House Count'!H844="Y",IF('House Count'!F844="RES-SFU",1,IF('House Count'!F844="RES-MDU",1,IF('House Count'!F844="RES-HOA",1,0))),0)</f>
        <v/>
      </c>
      <c r="K844">
        <f>IF('House Count'!H844="Y",IF('House Count'!F844="COMM-SU",1,IF('House Count'!F844="COM-MTU",1,IF('House Count'!F844="ENT",1,0))),0)</f>
        <v/>
      </c>
    </row>
    <row r="845">
      <c r="H845" s="192" t="n"/>
      <c r="I845" s="773" t="n"/>
      <c r="J845">
        <f>IF('House Count'!H845="Y",IF('House Count'!F845="RES-SFU",1,IF('House Count'!F845="RES-MDU",1,IF('House Count'!F845="RES-HOA",1,0))),0)</f>
        <v/>
      </c>
      <c r="K845">
        <f>IF('House Count'!H845="Y",IF('House Count'!F845="COMM-SU",1,IF('House Count'!F845="COM-MTU",1,IF('House Count'!F845="ENT",1,0))),0)</f>
        <v/>
      </c>
    </row>
    <row r="846">
      <c r="H846" s="192" t="n"/>
      <c r="I846" s="773" t="n"/>
      <c r="J846">
        <f>IF('House Count'!H846="Y",IF('House Count'!F846="RES-SFU",1,IF('House Count'!F846="RES-MDU",1,IF('House Count'!F846="RES-HOA",1,0))),0)</f>
        <v/>
      </c>
      <c r="K846">
        <f>IF('House Count'!H846="Y",IF('House Count'!F846="COMM-SU",1,IF('House Count'!F846="COM-MTU",1,IF('House Count'!F846="ENT",1,0))),0)</f>
        <v/>
      </c>
    </row>
    <row r="847">
      <c r="H847" s="192" t="n"/>
      <c r="I847" s="773" t="n"/>
      <c r="J847">
        <f>IF('House Count'!H847="Y",IF('House Count'!F847="RES-SFU",1,IF('House Count'!F847="RES-MDU",1,IF('House Count'!F847="RES-HOA",1,0))),0)</f>
        <v/>
      </c>
      <c r="K847">
        <f>IF('House Count'!H847="Y",IF('House Count'!F847="COMM-SU",1,IF('House Count'!F847="COM-MTU",1,IF('House Count'!F847="ENT",1,0))),0)</f>
        <v/>
      </c>
    </row>
    <row r="848">
      <c r="H848" s="192" t="n"/>
      <c r="I848" s="773" t="n"/>
      <c r="J848">
        <f>IF('House Count'!H848="Y",IF('House Count'!F848="RES-SFU",1,IF('House Count'!F848="RES-MDU",1,IF('House Count'!F848="RES-HOA",1,0))),0)</f>
        <v/>
      </c>
      <c r="K848">
        <f>IF('House Count'!H848="Y",IF('House Count'!F848="COMM-SU",1,IF('House Count'!F848="COM-MTU",1,IF('House Count'!F848="ENT",1,0))),0)</f>
        <v/>
      </c>
    </row>
    <row r="849">
      <c r="H849" s="192" t="n"/>
      <c r="I849" s="773" t="n"/>
      <c r="J849">
        <f>IF('House Count'!H849="Y",IF('House Count'!F849="RES-SFU",1,IF('House Count'!F849="RES-MDU",1,IF('House Count'!F849="RES-HOA",1,0))),0)</f>
        <v/>
      </c>
      <c r="K849">
        <f>IF('House Count'!H849="Y",IF('House Count'!F849="COMM-SU",1,IF('House Count'!F849="COM-MTU",1,IF('House Count'!F849="ENT",1,0))),0)</f>
        <v/>
      </c>
    </row>
    <row r="850">
      <c r="H850" s="192" t="n"/>
      <c r="I850" s="773" t="n"/>
      <c r="J850">
        <f>IF('House Count'!H850="Y",IF('House Count'!F850="RES-SFU",1,IF('House Count'!F850="RES-MDU",1,IF('House Count'!F850="RES-HOA",1,0))),0)</f>
        <v/>
      </c>
      <c r="K850">
        <f>IF('House Count'!H850="Y",IF('House Count'!F850="COMM-SU",1,IF('House Count'!F850="COM-MTU",1,IF('House Count'!F850="ENT",1,0))),0)</f>
        <v/>
      </c>
    </row>
    <row r="851">
      <c r="H851" s="192" t="n"/>
      <c r="I851" s="773" t="n"/>
      <c r="J851">
        <f>IF('House Count'!H851="Y",IF('House Count'!F851="RES-SFU",1,IF('House Count'!F851="RES-MDU",1,IF('House Count'!F851="RES-HOA",1,0))),0)</f>
        <v/>
      </c>
      <c r="K851">
        <f>IF('House Count'!H851="Y",IF('House Count'!F851="COMM-SU",1,IF('House Count'!F851="COM-MTU",1,IF('House Count'!F851="ENT",1,0))),0)</f>
        <v/>
      </c>
    </row>
    <row r="852">
      <c r="H852" s="192" t="n"/>
      <c r="I852" s="773" t="n"/>
      <c r="J852">
        <f>IF('House Count'!H852="Y",IF('House Count'!F852="RES-SFU",1,IF('House Count'!F852="RES-MDU",1,IF('House Count'!F852="RES-HOA",1,0))),0)</f>
        <v/>
      </c>
      <c r="K852">
        <f>IF('House Count'!H852="Y",IF('House Count'!F852="COMM-SU",1,IF('House Count'!F852="COM-MTU",1,IF('House Count'!F852="ENT",1,0))),0)</f>
        <v/>
      </c>
    </row>
    <row r="853" ht="15.75" customHeight="1" thickBot="1">
      <c r="A853" s="774" t="n"/>
      <c r="B853" s="774" t="n"/>
      <c r="C853" s="774" t="n"/>
      <c r="D853" s="774" t="n"/>
      <c r="E853" s="774" t="n"/>
      <c r="F853" s="774" t="n"/>
      <c r="G853" s="774" t="n"/>
      <c r="H853" s="774" t="n"/>
      <c r="I853" s="775" t="n"/>
      <c r="J853">
        <f>IF('House Count'!H853="Y",IF('House Count'!F853="RES-SFU",1,IF('House Count'!F853="RES-MDU",1,IF('House Count'!F853="RES-HOA",1,0))),0)</f>
        <v/>
      </c>
      <c r="K853">
        <f>IF('House Count'!H853="Y",IF('House Count'!F853="COMM-SU",1,IF('House Count'!F853="COM-MTU",1,IF('House Count'!F853="ENT",1,0))),0)</f>
        <v/>
      </c>
    </row>
    <row r="854" ht="15.75" customHeight="1" thickTop="1">
      <c r="H854" s="192" t="n"/>
      <c r="I854" s="773" t="n"/>
      <c r="J854">
        <f>IF('House Count'!H854="Y",IF('House Count'!F854="RES-SFU",1,IF('House Count'!F854="RES-MDU",1,IF('House Count'!F854="RES-HOA",1,0))),0)</f>
        <v/>
      </c>
      <c r="K854">
        <f>IF('House Count'!H854="Y",IF('House Count'!F854="COMM-SU",1,IF('House Count'!F854="COM-MTU",1,IF('House Count'!F854="ENT",1,0))),0)</f>
        <v/>
      </c>
    </row>
    <row r="855">
      <c r="H855" s="192" t="n"/>
      <c r="I855" s="773" t="n"/>
      <c r="J855">
        <f>IF('House Count'!H855="Y",IF('House Count'!F855="RES-SFU",1,IF('House Count'!F855="RES-MDU",1,IF('House Count'!F855="RES-HOA",1,0))),0)</f>
        <v/>
      </c>
      <c r="K855">
        <f>IF('House Count'!H855="Y",IF('House Count'!F855="COMM-SU",1,IF('House Count'!F855="COM-MTU",1,IF('House Count'!F855="ENT",1,0))),0)</f>
        <v/>
      </c>
    </row>
    <row r="856">
      <c r="H856" s="192" t="n"/>
      <c r="I856" s="773" t="n"/>
      <c r="J856">
        <f>IF('House Count'!H856="Y",IF('House Count'!F856="RES-SFU",1,IF('House Count'!F856="RES-MDU",1,IF('House Count'!F856="RES-HOA",1,0))),0)</f>
        <v/>
      </c>
      <c r="K856">
        <f>IF('House Count'!H856="Y",IF('House Count'!F856="COMM-SU",1,IF('House Count'!F856="COM-MTU",1,IF('House Count'!F856="ENT",1,0))),0)</f>
        <v/>
      </c>
    </row>
    <row r="857">
      <c r="H857" s="192" t="n"/>
      <c r="I857" s="773" t="n"/>
      <c r="J857">
        <f>IF('House Count'!H857="Y",IF('House Count'!F857="RES-SFU",1,IF('House Count'!F857="RES-MDU",1,IF('House Count'!F857="RES-HOA",1,0))),0)</f>
        <v/>
      </c>
      <c r="K857">
        <f>IF('House Count'!H857="Y",IF('House Count'!F857="COMM-SU",1,IF('House Count'!F857="COM-MTU",1,IF('House Count'!F857="ENT",1,0))),0)</f>
        <v/>
      </c>
    </row>
    <row r="858">
      <c r="H858" s="192" t="n"/>
      <c r="I858" s="773" t="n"/>
      <c r="J858">
        <f>IF('House Count'!H858="Y",IF('House Count'!F858="RES-SFU",1,IF('House Count'!F858="RES-MDU",1,IF('House Count'!F858="RES-HOA",1,0))),0)</f>
        <v/>
      </c>
      <c r="K858">
        <f>IF('House Count'!H858="Y",IF('House Count'!F858="COMM-SU",1,IF('House Count'!F858="COM-MTU",1,IF('House Count'!F858="ENT",1,0))),0)</f>
        <v/>
      </c>
    </row>
    <row r="859">
      <c r="H859" s="192" t="n"/>
      <c r="I859" s="773" t="n"/>
      <c r="J859">
        <f>IF('House Count'!H859="Y",IF('House Count'!F859="RES-SFU",1,IF('House Count'!F859="RES-MDU",1,IF('House Count'!F859="RES-HOA",1,0))),0)</f>
        <v/>
      </c>
      <c r="K859">
        <f>IF('House Count'!H859="Y",IF('House Count'!F859="COMM-SU",1,IF('House Count'!F859="COM-MTU",1,IF('House Count'!F859="ENT",1,0))),0)</f>
        <v/>
      </c>
    </row>
    <row r="860">
      <c r="H860" s="192" t="n"/>
      <c r="I860" s="773" t="n"/>
      <c r="J860">
        <f>IF('House Count'!H860="Y",IF('House Count'!F860="RES-SFU",1,IF('House Count'!F860="RES-MDU",1,IF('House Count'!F860="RES-HOA",1,0))),0)</f>
        <v/>
      </c>
      <c r="K860">
        <f>IF('House Count'!H860="Y",IF('House Count'!F860="COMM-SU",1,IF('House Count'!F860="COM-MTU",1,IF('House Count'!F860="ENT",1,0))),0)</f>
        <v/>
      </c>
    </row>
    <row r="861">
      <c r="H861" s="192" t="n"/>
      <c r="I861" s="773" t="n"/>
      <c r="J861">
        <f>IF('House Count'!H861="Y",IF('House Count'!F861="RES-SFU",1,IF('House Count'!F861="RES-MDU",1,IF('House Count'!F861="RES-HOA",1,0))),0)</f>
        <v/>
      </c>
      <c r="K861">
        <f>IF('House Count'!H861="Y",IF('House Count'!F861="COMM-SU",1,IF('House Count'!F861="COM-MTU",1,IF('House Count'!F861="ENT",1,0))),0)</f>
        <v/>
      </c>
    </row>
    <row r="862">
      <c r="H862" s="192" t="n"/>
      <c r="I862" s="773" t="n"/>
      <c r="J862">
        <f>IF('House Count'!H862="Y",IF('House Count'!F862="RES-SFU",1,IF('House Count'!F862="RES-MDU",1,IF('House Count'!F862="RES-HOA",1,0))),0)</f>
        <v/>
      </c>
      <c r="K862">
        <f>IF('House Count'!H862="Y",IF('House Count'!F862="COMM-SU",1,IF('House Count'!F862="COM-MTU",1,IF('House Count'!F862="ENT",1,0))),0)</f>
        <v/>
      </c>
    </row>
    <row r="863">
      <c r="H863" s="192" t="n"/>
      <c r="I863" s="773" t="n"/>
      <c r="J863">
        <f>IF('House Count'!H863="Y",IF('House Count'!F863="RES-SFU",1,IF('House Count'!F863="RES-MDU",1,IF('House Count'!F863="RES-HOA",1,0))),0)</f>
        <v/>
      </c>
      <c r="K863">
        <f>IF('House Count'!H863="Y",IF('House Count'!F863="COMM-SU",1,IF('House Count'!F863="COM-MTU",1,IF('House Count'!F863="ENT",1,0))),0)</f>
        <v/>
      </c>
    </row>
    <row r="864">
      <c r="H864" s="192" t="n"/>
      <c r="I864" s="773" t="n"/>
      <c r="J864">
        <f>IF('House Count'!H864="Y",IF('House Count'!F864="RES-SFU",1,IF('House Count'!F864="RES-MDU",1,IF('House Count'!F864="RES-HOA",1,0))),0)</f>
        <v/>
      </c>
      <c r="K864">
        <f>IF('House Count'!H864="Y",IF('House Count'!F864="COMM-SU",1,IF('House Count'!F864="COM-MTU",1,IF('House Count'!F864="ENT",1,0))),0)</f>
        <v/>
      </c>
    </row>
    <row r="865" ht="15.75" customHeight="1" thickBot="1">
      <c r="A865" s="774" t="n"/>
      <c r="B865" s="774" t="n"/>
      <c r="C865" s="774" t="n"/>
      <c r="D865" s="774" t="n"/>
      <c r="E865" s="774" t="n"/>
      <c r="F865" s="774" t="n"/>
      <c r="G865" s="774" t="n"/>
      <c r="H865" s="774" t="n"/>
      <c r="I865" s="775" t="n"/>
      <c r="J865">
        <f>IF('House Count'!H865="Y",IF('House Count'!F865="RES-SFU",1,IF('House Count'!F865="RES-MDU",1,IF('House Count'!F865="RES-HOA",1,0))),0)</f>
        <v/>
      </c>
      <c r="K865">
        <f>IF('House Count'!H865="Y",IF('House Count'!F865="COMM-SU",1,IF('House Count'!F865="COM-MTU",1,IF('House Count'!F865="ENT",1,0))),0)</f>
        <v/>
      </c>
    </row>
    <row r="866" ht="15.75" customHeight="1" thickTop="1">
      <c r="H866" s="192" t="n"/>
      <c r="I866" s="773" t="n"/>
      <c r="J866">
        <f>IF('House Count'!H866="Y",IF('House Count'!F866="RES-SFU",1,IF('House Count'!F866="RES-MDU",1,IF('House Count'!F866="RES-HOA",1,0))),0)</f>
        <v/>
      </c>
      <c r="K866">
        <f>IF('House Count'!H866="Y",IF('House Count'!F866="COMM-SU",1,IF('House Count'!F866="COM-MTU",1,IF('House Count'!F866="ENT",1,0))),0)</f>
        <v/>
      </c>
    </row>
    <row r="867">
      <c r="H867" s="192" t="n"/>
      <c r="I867" s="773" t="n"/>
      <c r="J867">
        <f>IF('House Count'!H867="Y",IF('House Count'!F867="RES-SFU",1,IF('House Count'!F867="RES-MDU",1,IF('House Count'!F867="RES-HOA",1,0))),0)</f>
        <v/>
      </c>
      <c r="K867">
        <f>IF('House Count'!H867="Y",IF('House Count'!F867="COMM-SU",1,IF('House Count'!F867="COM-MTU",1,IF('House Count'!F867="ENT",1,0))),0)</f>
        <v/>
      </c>
    </row>
    <row r="868">
      <c r="H868" s="192" t="n"/>
      <c r="I868" s="773" t="n"/>
      <c r="J868">
        <f>IF('House Count'!H868="Y",IF('House Count'!F868="RES-SFU",1,IF('House Count'!F868="RES-MDU",1,IF('House Count'!F868="RES-HOA",1,0))),0)</f>
        <v/>
      </c>
      <c r="K868">
        <f>IF('House Count'!H868="Y",IF('House Count'!F868="COMM-SU",1,IF('House Count'!F868="COM-MTU",1,IF('House Count'!F868="ENT",1,0))),0)</f>
        <v/>
      </c>
    </row>
    <row r="869">
      <c r="H869" s="192" t="n"/>
      <c r="I869" s="773" t="n"/>
      <c r="J869">
        <f>IF('House Count'!H869="Y",IF('House Count'!F869="RES-SFU",1,IF('House Count'!F869="RES-MDU",1,IF('House Count'!F869="RES-HOA",1,0))),0)</f>
        <v/>
      </c>
      <c r="K869">
        <f>IF('House Count'!H869="Y",IF('House Count'!F869="COMM-SU",1,IF('House Count'!F869="COM-MTU",1,IF('House Count'!F869="ENT",1,0))),0)</f>
        <v/>
      </c>
    </row>
    <row r="870">
      <c r="H870" s="192" t="n"/>
      <c r="I870" s="773" t="n"/>
      <c r="J870">
        <f>IF('House Count'!H870="Y",IF('House Count'!F870="RES-SFU",1,IF('House Count'!F870="RES-MDU",1,IF('House Count'!F870="RES-HOA",1,0))),0)</f>
        <v/>
      </c>
      <c r="K870">
        <f>IF('House Count'!H870="Y",IF('House Count'!F870="COMM-SU",1,IF('House Count'!F870="COM-MTU",1,IF('House Count'!F870="ENT",1,0))),0)</f>
        <v/>
      </c>
    </row>
    <row r="871">
      <c r="H871" s="192" t="n"/>
      <c r="I871" s="773" t="n"/>
      <c r="J871">
        <f>IF('House Count'!H871="Y",IF('House Count'!F871="RES-SFU",1,IF('House Count'!F871="RES-MDU",1,IF('House Count'!F871="RES-HOA",1,0))),0)</f>
        <v/>
      </c>
      <c r="K871">
        <f>IF('House Count'!H871="Y",IF('House Count'!F871="COMM-SU",1,IF('House Count'!F871="COM-MTU",1,IF('House Count'!F871="ENT",1,0))),0)</f>
        <v/>
      </c>
    </row>
    <row r="872">
      <c r="H872" s="192" t="n"/>
      <c r="I872" s="773" t="n"/>
      <c r="J872">
        <f>IF('House Count'!H872="Y",IF('House Count'!F872="RES-SFU",1,IF('House Count'!F872="RES-MDU",1,IF('House Count'!F872="RES-HOA",1,0))),0)</f>
        <v/>
      </c>
      <c r="K872">
        <f>IF('House Count'!H872="Y",IF('House Count'!F872="COMM-SU",1,IF('House Count'!F872="COM-MTU",1,IF('House Count'!F872="ENT",1,0))),0)</f>
        <v/>
      </c>
    </row>
    <row r="873">
      <c r="H873" s="192" t="n"/>
      <c r="I873" s="773" t="n"/>
      <c r="J873">
        <f>IF('House Count'!H873="Y",IF('House Count'!F873="RES-SFU",1,IF('House Count'!F873="RES-MDU",1,IF('House Count'!F873="RES-HOA",1,0))),0)</f>
        <v/>
      </c>
      <c r="K873">
        <f>IF('House Count'!H873="Y",IF('House Count'!F873="COMM-SU",1,IF('House Count'!F873="COM-MTU",1,IF('House Count'!F873="ENT",1,0))),0)</f>
        <v/>
      </c>
    </row>
    <row r="874">
      <c r="H874" s="192" t="n"/>
      <c r="I874" s="773" t="n"/>
      <c r="J874">
        <f>IF('House Count'!H874="Y",IF('House Count'!F874="RES-SFU",1,IF('House Count'!F874="RES-MDU",1,IF('House Count'!F874="RES-HOA",1,0))),0)</f>
        <v/>
      </c>
      <c r="K874">
        <f>IF('House Count'!H874="Y",IF('House Count'!F874="COMM-SU",1,IF('House Count'!F874="COM-MTU",1,IF('House Count'!F874="ENT",1,0))),0)</f>
        <v/>
      </c>
    </row>
    <row r="875">
      <c r="H875" s="192" t="n"/>
      <c r="I875" s="773" t="n"/>
      <c r="J875">
        <f>IF('House Count'!H875="Y",IF('House Count'!F875="RES-SFU",1,IF('House Count'!F875="RES-MDU",1,IF('House Count'!F875="RES-HOA",1,0))),0)</f>
        <v/>
      </c>
      <c r="K875">
        <f>IF('House Count'!H875="Y",IF('House Count'!F875="COMM-SU",1,IF('House Count'!F875="COM-MTU",1,IF('House Count'!F875="ENT",1,0))),0)</f>
        <v/>
      </c>
    </row>
    <row r="876">
      <c r="H876" s="192" t="n"/>
      <c r="I876" s="773" t="n"/>
      <c r="J876">
        <f>IF('House Count'!H876="Y",IF('House Count'!F876="RES-SFU",1,IF('House Count'!F876="RES-MDU",1,IF('House Count'!F876="RES-HOA",1,0))),0)</f>
        <v/>
      </c>
      <c r="K876">
        <f>IF('House Count'!H876="Y",IF('House Count'!F876="COMM-SU",1,IF('House Count'!F876="COM-MTU",1,IF('House Count'!F876="ENT",1,0))),0)</f>
        <v/>
      </c>
    </row>
    <row r="877" ht="15.75" customHeight="1" thickBot="1">
      <c r="A877" s="774" t="n"/>
      <c r="B877" s="774" t="n"/>
      <c r="C877" s="774" t="n"/>
      <c r="D877" s="774" t="n"/>
      <c r="E877" s="774" t="n"/>
      <c r="F877" s="774" t="n"/>
      <c r="G877" s="774" t="n"/>
      <c r="H877" s="774" t="n"/>
      <c r="I877" s="775" t="n"/>
      <c r="J877">
        <f>IF('House Count'!H877="Y",IF('House Count'!F877="RES-SFU",1,IF('House Count'!F877="RES-MDU",1,IF('House Count'!F877="RES-HOA",1,0))),0)</f>
        <v/>
      </c>
      <c r="K877">
        <f>IF('House Count'!H877="Y",IF('House Count'!F877="COMM-SU",1,IF('House Count'!F877="COM-MTU",1,IF('House Count'!F877="ENT",1,0))),0)</f>
        <v/>
      </c>
    </row>
    <row r="878" ht="15.75" customHeight="1" thickTop="1">
      <c r="H878" s="192" t="n"/>
      <c r="I878" s="773" t="n"/>
      <c r="J878">
        <f>IF('House Count'!H878="Y",IF('House Count'!F878="RES-SFU",1,IF('House Count'!F878="RES-MDU",1,IF('House Count'!F878="RES-HOA",1,0))),0)</f>
        <v/>
      </c>
      <c r="K878">
        <f>IF('House Count'!H878="Y",IF('House Count'!F878="COMM-SU",1,IF('House Count'!F878="COM-MTU",1,IF('House Count'!F878="ENT",1,0))),0)</f>
        <v/>
      </c>
    </row>
    <row r="879">
      <c r="H879" s="192" t="n"/>
      <c r="I879" s="773" t="n"/>
      <c r="J879">
        <f>IF('House Count'!H879="Y",IF('House Count'!F879="RES-SFU",1,IF('House Count'!F879="RES-MDU",1,IF('House Count'!F879="RES-HOA",1,0))),0)</f>
        <v/>
      </c>
      <c r="K879">
        <f>IF('House Count'!H879="Y",IF('House Count'!F879="COMM-SU",1,IF('House Count'!F879="COM-MTU",1,IF('House Count'!F879="ENT",1,0))),0)</f>
        <v/>
      </c>
    </row>
    <row r="880">
      <c r="H880" s="192" t="n"/>
      <c r="I880" s="773" t="n"/>
      <c r="J880">
        <f>IF('House Count'!H880="Y",IF('House Count'!F880="RES-SFU",1,IF('House Count'!F880="RES-MDU",1,IF('House Count'!F880="RES-HOA",1,0))),0)</f>
        <v/>
      </c>
      <c r="K880">
        <f>IF('House Count'!H880="Y",IF('House Count'!F880="COMM-SU",1,IF('House Count'!F880="COM-MTU",1,IF('House Count'!F880="ENT",1,0))),0)</f>
        <v/>
      </c>
    </row>
    <row r="881">
      <c r="H881" s="192" t="n"/>
      <c r="I881" s="773" t="n"/>
      <c r="J881">
        <f>IF('House Count'!H881="Y",IF('House Count'!F881="RES-SFU",1,IF('House Count'!F881="RES-MDU",1,IF('House Count'!F881="RES-HOA",1,0))),0)</f>
        <v/>
      </c>
      <c r="K881">
        <f>IF('House Count'!H881="Y",IF('House Count'!F881="COMM-SU",1,IF('House Count'!F881="COM-MTU",1,IF('House Count'!F881="ENT",1,0))),0)</f>
        <v/>
      </c>
    </row>
    <row r="882">
      <c r="H882" s="192" t="n"/>
      <c r="I882" s="773" t="n"/>
      <c r="J882">
        <f>IF('House Count'!H882="Y",IF('House Count'!F882="RES-SFU",1,IF('House Count'!F882="RES-MDU",1,IF('House Count'!F882="RES-HOA",1,0))),0)</f>
        <v/>
      </c>
      <c r="K882">
        <f>IF('House Count'!H882="Y",IF('House Count'!F882="COMM-SU",1,IF('House Count'!F882="COM-MTU",1,IF('House Count'!F882="ENT",1,0))),0)</f>
        <v/>
      </c>
    </row>
    <row r="883">
      <c r="H883" s="192" t="n"/>
      <c r="I883" s="773" t="n"/>
      <c r="J883">
        <f>IF('House Count'!H883="Y",IF('House Count'!F883="RES-SFU",1,IF('House Count'!F883="RES-MDU",1,IF('House Count'!F883="RES-HOA",1,0))),0)</f>
        <v/>
      </c>
      <c r="K883">
        <f>IF('House Count'!H883="Y",IF('House Count'!F883="COMM-SU",1,IF('House Count'!F883="COM-MTU",1,IF('House Count'!F883="ENT",1,0))),0)</f>
        <v/>
      </c>
    </row>
    <row r="884">
      <c r="H884" s="192" t="n"/>
      <c r="I884" s="773" t="n"/>
      <c r="J884">
        <f>IF('House Count'!H884="Y",IF('House Count'!F884="RES-SFU",1,IF('House Count'!F884="RES-MDU",1,IF('House Count'!F884="RES-HOA",1,0))),0)</f>
        <v/>
      </c>
      <c r="K884">
        <f>IF('House Count'!H884="Y",IF('House Count'!F884="COMM-SU",1,IF('House Count'!F884="COM-MTU",1,IF('House Count'!F884="ENT",1,0))),0)</f>
        <v/>
      </c>
    </row>
    <row r="885">
      <c r="H885" s="192" t="n"/>
      <c r="I885" s="773" t="n"/>
      <c r="J885">
        <f>IF('House Count'!H885="Y",IF('House Count'!F885="RES-SFU",1,IF('House Count'!F885="RES-MDU",1,IF('House Count'!F885="RES-HOA",1,0))),0)</f>
        <v/>
      </c>
      <c r="K885">
        <f>IF('House Count'!H885="Y",IF('House Count'!F885="COMM-SU",1,IF('House Count'!F885="COM-MTU",1,IF('House Count'!F885="ENT",1,0))),0)</f>
        <v/>
      </c>
    </row>
    <row r="886">
      <c r="H886" s="192" t="n"/>
      <c r="I886" s="773" t="n"/>
      <c r="J886">
        <f>IF('House Count'!H886="Y",IF('House Count'!F886="RES-SFU",1,IF('House Count'!F886="RES-MDU",1,IF('House Count'!F886="RES-HOA",1,0))),0)</f>
        <v/>
      </c>
      <c r="K886">
        <f>IF('House Count'!H886="Y",IF('House Count'!F886="COMM-SU",1,IF('House Count'!F886="COM-MTU",1,IF('House Count'!F886="ENT",1,0))),0)</f>
        <v/>
      </c>
    </row>
    <row r="887">
      <c r="H887" s="192" t="n"/>
      <c r="I887" s="773" t="n"/>
      <c r="J887">
        <f>IF('House Count'!H887="Y",IF('House Count'!F887="RES-SFU",1,IF('House Count'!F887="RES-MDU",1,IF('House Count'!F887="RES-HOA",1,0))),0)</f>
        <v/>
      </c>
      <c r="K887">
        <f>IF('House Count'!H887="Y",IF('House Count'!F887="COMM-SU",1,IF('House Count'!F887="COM-MTU",1,IF('House Count'!F887="ENT",1,0))),0)</f>
        <v/>
      </c>
    </row>
    <row r="888">
      <c r="H888" s="192" t="n"/>
      <c r="I888" s="773" t="n"/>
      <c r="J888">
        <f>IF('House Count'!H888="Y",IF('House Count'!F888="RES-SFU",1,IF('House Count'!F888="RES-MDU",1,IF('House Count'!F888="RES-HOA",1,0))),0)</f>
        <v/>
      </c>
      <c r="K888">
        <f>IF('House Count'!H888="Y",IF('House Count'!F888="COMM-SU",1,IF('House Count'!F888="COM-MTU",1,IF('House Count'!F888="ENT",1,0))),0)</f>
        <v/>
      </c>
    </row>
    <row r="889" ht="15.75" customHeight="1" thickBot="1">
      <c r="A889" s="774" t="n"/>
      <c r="B889" s="774" t="n"/>
      <c r="C889" s="774" t="n"/>
      <c r="D889" s="774" t="n"/>
      <c r="E889" s="774" t="n"/>
      <c r="F889" s="774" t="n"/>
      <c r="G889" s="774" t="n"/>
      <c r="H889" s="774" t="n"/>
      <c r="I889" s="775" t="n"/>
      <c r="J889">
        <f>IF('House Count'!H889="Y",IF('House Count'!F889="RES-SFU",1,IF('House Count'!F889="RES-MDU",1,IF('House Count'!F889="RES-HOA",1,0))),0)</f>
        <v/>
      </c>
      <c r="K889">
        <f>IF('House Count'!H889="Y",IF('House Count'!F889="COMM-SU",1,IF('House Count'!F889="COM-MTU",1,IF('House Count'!F889="ENT",1,0))),0)</f>
        <v/>
      </c>
    </row>
    <row r="890" ht="15.75" customHeight="1" thickTop="1">
      <c r="H890" s="192" t="n"/>
      <c r="I890" s="773" t="n"/>
      <c r="J890">
        <f>IF('House Count'!H890="Y",IF('House Count'!F890="RES-SFU",1,IF('House Count'!F890="RES-MDU",1,IF('House Count'!F890="RES-HOA",1,0))),0)</f>
        <v/>
      </c>
      <c r="K890">
        <f>IF('House Count'!H890="Y",IF('House Count'!F890="COMM-SU",1,IF('House Count'!F890="COM-MTU",1,IF('House Count'!F890="ENT",1,0))),0)</f>
        <v/>
      </c>
    </row>
    <row r="891">
      <c r="H891" s="192" t="n"/>
      <c r="I891" s="773" t="n"/>
      <c r="J891">
        <f>IF('House Count'!H891="Y",IF('House Count'!F891="RES-SFU",1,IF('House Count'!F891="RES-MDU",1,IF('House Count'!F891="RES-HOA",1,0))),0)</f>
        <v/>
      </c>
      <c r="K891">
        <f>IF('House Count'!H891="Y",IF('House Count'!F891="COMM-SU",1,IF('House Count'!F891="COM-MTU",1,IF('House Count'!F891="ENT",1,0))),0)</f>
        <v/>
      </c>
    </row>
    <row r="892">
      <c r="H892" s="192" t="n"/>
      <c r="I892" s="773" t="n"/>
      <c r="J892">
        <f>IF('House Count'!H892="Y",IF('House Count'!F892="RES-SFU",1,IF('House Count'!F892="RES-MDU",1,IF('House Count'!F892="RES-HOA",1,0))),0)</f>
        <v/>
      </c>
      <c r="K892">
        <f>IF('House Count'!H892="Y",IF('House Count'!F892="COMM-SU",1,IF('House Count'!F892="COM-MTU",1,IF('House Count'!F892="ENT",1,0))),0)</f>
        <v/>
      </c>
    </row>
    <row r="893">
      <c r="H893" s="192" t="n"/>
      <c r="I893" s="773" t="n"/>
      <c r="J893">
        <f>IF('House Count'!H893="Y",IF('House Count'!F893="RES-SFU",1,IF('House Count'!F893="RES-MDU",1,IF('House Count'!F893="RES-HOA",1,0))),0)</f>
        <v/>
      </c>
      <c r="K893">
        <f>IF('House Count'!H893="Y",IF('House Count'!F893="COMM-SU",1,IF('House Count'!F893="COM-MTU",1,IF('House Count'!F893="ENT",1,0))),0)</f>
        <v/>
      </c>
    </row>
    <row r="894">
      <c r="H894" s="192" t="n"/>
      <c r="I894" s="773" t="n"/>
      <c r="J894">
        <f>IF('House Count'!H894="Y",IF('House Count'!F894="RES-SFU",1,IF('House Count'!F894="RES-MDU",1,IF('House Count'!F894="RES-HOA",1,0))),0)</f>
        <v/>
      </c>
      <c r="K894">
        <f>IF('House Count'!H894="Y",IF('House Count'!F894="COMM-SU",1,IF('House Count'!F894="COM-MTU",1,IF('House Count'!F894="ENT",1,0))),0)</f>
        <v/>
      </c>
    </row>
    <row r="895">
      <c r="H895" s="192" t="n"/>
      <c r="I895" s="773" t="n"/>
      <c r="J895">
        <f>IF('House Count'!H895="Y",IF('House Count'!F895="RES-SFU",1,IF('House Count'!F895="RES-MDU",1,IF('House Count'!F895="RES-HOA",1,0))),0)</f>
        <v/>
      </c>
      <c r="K895">
        <f>IF('House Count'!H895="Y",IF('House Count'!F895="COMM-SU",1,IF('House Count'!F895="COM-MTU",1,IF('House Count'!F895="ENT",1,0))),0)</f>
        <v/>
      </c>
    </row>
    <row r="896">
      <c r="H896" s="192" t="n"/>
      <c r="I896" s="773" t="n"/>
      <c r="J896">
        <f>IF('House Count'!H896="Y",IF('House Count'!F896="RES-SFU",1,IF('House Count'!F896="RES-MDU",1,IF('House Count'!F896="RES-HOA",1,0))),0)</f>
        <v/>
      </c>
      <c r="K896">
        <f>IF('House Count'!H896="Y",IF('House Count'!F896="COMM-SU",1,IF('House Count'!F896="COM-MTU",1,IF('House Count'!F896="ENT",1,0))),0)</f>
        <v/>
      </c>
    </row>
    <row r="897">
      <c r="H897" s="192" t="n"/>
      <c r="I897" s="773" t="n"/>
      <c r="J897">
        <f>IF('House Count'!H897="Y",IF('House Count'!F897="RES-SFU",1,IF('House Count'!F897="RES-MDU",1,IF('House Count'!F897="RES-HOA",1,0))),0)</f>
        <v/>
      </c>
      <c r="K897">
        <f>IF('House Count'!H897="Y",IF('House Count'!F897="COMM-SU",1,IF('House Count'!F897="COM-MTU",1,IF('House Count'!F897="ENT",1,0))),0)</f>
        <v/>
      </c>
    </row>
    <row r="898">
      <c r="H898" s="192" t="n"/>
      <c r="I898" s="773" t="n"/>
      <c r="J898">
        <f>IF('House Count'!H898="Y",IF('House Count'!F898="RES-SFU",1,IF('House Count'!F898="RES-MDU",1,IF('House Count'!F898="RES-HOA",1,0))),0)</f>
        <v/>
      </c>
      <c r="K898">
        <f>IF('House Count'!H898="Y",IF('House Count'!F898="COMM-SU",1,IF('House Count'!F898="COM-MTU",1,IF('House Count'!F898="ENT",1,0))),0)</f>
        <v/>
      </c>
    </row>
    <row r="899">
      <c r="H899" s="192" t="n"/>
      <c r="I899" s="773" t="n"/>
      <c r="J899">
        <f>IF('House Count'!H899="Y",IF('House Count'!F899="RES-SFU",1,IF('House Count'!F899="RES-MDU",1,IF('House Count'!F899="RES-HOA",1,0))),0)</f>
        <v/>
      </c>
      <c r="K899">
        <f>IF('House Count'!H899="Y",IF('House Count'!F899="COMM-SU",1,IF('House Count'!F899="COM-MTU",1,IF('House Count'!F899="ENT",1,0))),0)</f>
        <v/>
      </c>
    </row>
    <row r="900">
      <c r="H900" s="192" t="n"/>
      <c r="I900" s="773" t="n"/>
      <c r="J900">
        <f>IF('House Count'!H900="Y",IF('House Count'!F900="RES-SFU",1,IF('House Count'!F900="RES-MDU",1,IF('House Count'!F900="RES-HOA",1,0))),0)</f>
        <v/>
      </c>
      <c r="K900">
        <f>IF('House Count'!H900="Y",IF('House Count'!F900="COMM-SU",1,IF('House Count'!F900="COM-MTU",1,IF('House Count'!F900="ENT",1,0))),0)</f>
        <v/>
      </c>
    </row>
    <row r="901" ht="15.75" customHeight="1" thickBot="1">
      <c r="A901" s="774" t="n"/>
      <c r="B901" s="774" t="n"/>
      <c r="C901" s="774" t="n"/>
      <c r="D901" s="774" t="n"/>
      <c r="E901" s="774" t="n"/>
      <c r="F901" s="774" t="n"/>
      <c r="G901" s="774" t="n"/>
      <c r="H901" s="774" t="n"/>
      <c r="I901" s="775" t="n"/>
      <c r="J901">
        <f>IF('House Count'!H901="Y",IF('House Count'!F901="RES-SFU",1,IF('House Count'!F901="RES-MDU",1,IF('House Count'!F901="RES-HOA",1,0))),0)</f>
        <v/>
      </c>
      <c r="K901">
        <f>IF('House Count'!H901="Y",IF('House Count'!F901="COMM-SU",1,IF('House Count'!F901="COM-MTU",1,IF('House Count'!F901="ENT",1,0))),0)</f>
        <v/>
      </c>
    </row>
    <row r="902" ht="15.75" customHeight="1" thickTop="1">
      <c r="H902" s="192" t="n"/>
      <c r="I902" s="773" t="n"/>
      <c r="J902">
        <f>IF('House Count'!H902="Y",IF('House Count'!F902="RES-SFU",1,IF('House Count'!F902="RES-MDU",1,IF('House Count'!F902="RES-HOA",1,0))),0)</f>
        <v/>
      </c>
      <c r="K902">
        <f>IF('House Count'!H902="Y",IF('House Count'!F902="COMM-SU",1,IF('House Count'!F902="COM-MTU",1,IF('House Count'!F902="ENT",1,0))),0)</f>
        <v/>
      </c>
    </row>
    <row r="903">
      <c r="H903" s="192" t="n"/>
      <c r="I903" s="773" t="n"/>
      <c r="J903">
        <f>IF('House Count'!H903="Y",IF('House Count'!F903="RES-SFU",1,IF('House Count'!F903="RES-MDU",1,IF('House Count'!F903="RES-HOA",1,0))),0)</f>
        <v/>
      </c>
      <c r="K903">
        <f>IF('House Count'!H903="Y",IF('House Count'!F903="COMM-SU",1,IF('House Count'!F903="COM-MTU",1,IF('House Count'!F903="ENT",1,0))),0)</f>
        <v/>
      </c>
    </row>
    <row r="904">
      <c r="H904" s="192" t="n"/>
      <c r="I904" s="773" t="n"/>
      <c r="J904">
        <f>IF('House Count'!H904="Y",IF('House Count'!F904="RES-SFU",1,IF('House Count'!F904="RES-MDU",1,IF('House Count'!F904="RES-HOA",1,0))),0)</f>
        <v/>
      </c>
      <c r="K904">
        <f>IF('House Count'!H904="Y",IF('House Count'!F904="COMM-SU",1,IF('House Count'!F904="COM-MTU",1,IF('House Count'!F904="ENT",1,0))),0)</f>
        <v/>
      </c>
    </row>
    <row r="905">
      <c r="H905" s="192" t="n"/>
      <c r="I905" s="773" t="n"/>
      <c r="J905">
        <f>IF('House Count'!H905="Y",IF('House Count'!F905="RES-SFU",1,IF('House Count'!F905="RES-MDU",1,IF('House Count'!F905="RES-HOA",1,0))),0)</f>
        <v/>
      </c>
      <c r="K905">
        <f>IF('House Count'!H905="Y",IF('House Count'!F905="COMM-SU",1,IF('House Count'!F905="COM-MTU",1,IF('House Count'!F905="ENT",1,0))),0)</f>
        <v/>
      </c>
    </row>
    <row r="906">
      <c r="H906" s="192" t="n"/>
      <c r="I906" s="773" t="n"/>
      <c r="J906">
        <f>IF('House Count'!H906="Y",IF('House Count'!F906="RES-SFU",1,IF('House Count'!F906="RES-MDU",1,IF('House Count'!F906="RES-HOA",1,0))),0)</f>
        <v/>
      </c>
      <c r="K906">
        <f>IF('House Count'!H906="Y",IF('House Count'!F906="COMM-SU",1,IF('House Count'!F906="COM-MTU",1,IF('House Count'!F906="ENT",1,0))),0)</f>
        <v/>
      </c>
    </row>
    <row r="907">
      <c r="H907" s="192" t="n"/>
      <c r="I907" s="773" t="n"/>
      <c r="J907">
        <f>IF('House Count'!H907="Y",IF('House Count'!F907="RES-SFU",1,IF('House Count'!F907="RES-MDU",1,IF('House Count'!F907="RES-HOA",1,0))),0)</f>
        <v/>
      </c>
      <c r="K907">
        <f>IF('House Count'!H907="Y",IF('House Count'!F907="COMM-SU",1,IF('House Count'!F907="COM-MTU",1,IF('House Count'!F907="ENT",1,0))),0)</f>
        <v/>
      </c>
    </row>
    <row r="908">
      <c r="H908" s="192" t="n"/>
      <c r="I908" s="773" t="n"/>
      <c r="J908">
        <f>IF('House Count'!H908="Y",IF('House Count'!F908="RES-SFU",1,IF('House Count'!F908="RES-MDU",1,IF('House Count'!F908="RES-HOA",1,0))),0)</f>
        <v/>
      </c>
      <c r="K908">
        <f>IF('House Count'!H908="Y",IF('House Count'!F908="COMM-SU",1,IF('House Count'!F908="COM-MTU",1,IF('House Count'!F908="ENT",1,0))),0)</f>
        <v/>
      </c>
    </row>
    <row r="909">
      <c r="H909" s="192" t="n"/>
      <c r="I909" s="773" t="n"/>
      <c r="J909">
        <f>IF('House Count'!H909="Y",IF('House Count'!F909="RES-SFU",1,IF('House Count'!F909="RES-MDU",1,IF('House Count'!F909="RES-HOA",1,0))),0)</f>
        <v/>
      </c>
      <c r="K909">
        <f>IF('House Count'!H909="Y",IF('House Count'!F909="COMM-SU",1,IF('House Count'!F909="COM-MTU",1,IF('House Count'!F909="ENT",1,0))),0)</f>
        <v/>
      </c>
    </row>
    <row r="910">
      <c r="H910" s="192" t="n"/>
      <c r="I910" s="773" t="n"/>
      <c r="J910">
        <f>IF('House Count'!H910="Y",IF('House Count'!F910="RES-SFU",1,IF('House Count'!F910="RES-MDU",1,IF('House Count'!F910="RES-HOA",1,0))),0)</f>
        <v/>
      </c>
      <c r="K910">
        <f>IF('House Count'!H910="Y",IF('House Count'!F910="COMM-SU",1,IF('House Count'!F910="COM-MTU",1,IF('House Count'!F910="ENT",1,0))),0)</f>
        <v/>
      </c>
    </row>
    <row r="911">
      <c r="H911" s="192" t="n"/>
      <c r="I911" s="773" t="n"/>
      <c r="J911">
        <f>IF('House Count'!H911="Y",IF('House Count'!F911="RES-SFU",1,IF('House Count'!F911="RES-MDU",1,IF('House Count'!F911="RES-HOA",1,0))),0)</f>
        <v/>
      </c>
      <c r="K911">
        <f>IF('House Count'!H911="Y",IF('House Count'!F911="COMM-SU",1,IF('House Count'!F911="COM-MTU",1,IF('House Count'!F911="ENT",1,0))),0)</f>
        <v/>
      </c>
    </row>
    <row r="912">
      <c r="H912" s="192" t="n"/>
      <c r="I912" s="773" t="n"/>
      <c r="J912">
        <f>IF('House Count'!H912="Y",IF('House Count'!F912="RES-SFU",1,IF('House Count'!F912="RES-MDU",1,IF('House Count'!F912="RES-HOA",1,0))),0)</f>
        <v/>
      </c>
      <c r="K912">
        <f>IF('House Count'!H912="Y",IF('House Count'!F912="COMM-SU",1,IF('House Count'!F912="COM-MTU",1,IF('House Count'!F912="ENT",1,0))),0)</f>
        <v/>
      </c>
    </row>
    <row r="913" ht="15.75" customHeight="1" thickBot="1">
      <c r="A913" s="774" t="n"/>
      <c r="B913" s="774" t="n"/>
      <c r="C913" s="774" t="n"/>
      <c r="D913" s="774" t="n"/>
      <c r="E913" s="774" t="n"/>
      <c r="F913" s="774" t="n"/>
      <c r="G913" s="774" t="n"/>
      <c r="H913" s="774" t="n"/>
      <c r="I913" s="775" t="n"/>
      <c r="J913">
        <f>IF('House Count'!H913="Y",IF('House Count'!F913="RES-SFU",1,IF('House Count'!F913="RES-MDU",1,IF('House Count'!F913="RES-HOA",1,0))),0)</f>
        <v/>
      </c>
      <c r="K913">
        <f>IF('House Count'!H913="Y",IF('House Count'!F913="COMM-SU",1,IF('House Count'!F913="COM-MTU",1,IF('House Count'!F913="ENT",1,0))),0)</f>
        <v/>
      </c>
    </row>
    <row r="914" ht="15.75" customHeight="1" thickTop="1">
      <c r="H914" s="192" t="n"/>
      <c r="I914" s="773" t="n"/>
      <c r="J914">
        <f>IF('House Count'!H914="Y",IF('House Count'!F914="RES-SFU",1,IF('House Count'!F914="RES-MDU",1,IF('House Count'!F914="RES-HOA",1,0))),0)</f>
        <v/>
      </c>
      <c r="K914">
        <f>IF('House Count'!H914="Y",IF('House Count'!F914="COMM-SU",1,IF('House Count'!F914="COM-MTU",1,IF('House Count'!F914="ENT",1,0))),0)</f>
        <v/>
      </c>
    </row>
    <row r="915">
      <c r="H915" s="192" t="n"/>
      <c r="I915" s="773" t="n"/>
      <c r="J915">
        <f>IF('House Count'!H915="Y",IF('House Count'!F915="RES-SFU",1,IF('House Count'!F915="RES-MDU",1,IF('House Count'!F915="RES-HOA",1,0))),0)</f>
        <v/>
      </c>
      <c r="K915">
        <f>IF('House Count'!H915="Y",IF('House Count'!F915="COMM-SU",1,IF('House Count'!F915="COM-MTU",1,IF('House Count'!F915="ENT",1,0))),0)</f>
        <v/>
      </c>
    </row>
    <row r="916">
      <c r="H916" s="192" t="n"/>
      <c r="I916" s="773" t="n"/>
      <c r="J916">
        <f>IF('House Count'!H916="Y",IF('House Count'!F916="RES-SFU",1,IF('House Count'!F916="RES-MDU",1,IF('House Count'!F916="RES-HOA",1,0))),0)</f>
        <v/>
      </c>
      <c r="K916">
        <f>IF('House Count'!H916="Y",IF('House Count'!F916="COMM-SU",1,IF('House Count'!F916="COM-MTU",1,IF('House Count'!F916="ENT",1,0))),0)</f>
        <v/>
      </c>
    </row>
    <row r="917">
      <c r="H917" s="192" t="n"/>
      <c r="I917" s="773" t="n"/>
      <c r="J917">
        <f>IF('House Count'!H917="Y",IF('House Count'!F917="RES-SFU",1,IF('House Count'!F917="RES-MDU",1,IF('House Count'!F917="RES-HOA",1,0))),0)</f>
        <v/>
      </c>
      <c r="K917">
        <f>IF('House Count'!H917="Y",IF('House Count'!F917="COMM-SU",1,IF('House Count'!F917="COM-MTU",1,IF('House Count'!F917="ENT",1,0))),0)</f>
        <v/>
      </c>
    </row>
    <row r="918">
      <c r="H918" s="192" t="n"/>
      <c r="I918" s="773" t="n"/>
      <c r="J918">
        <f>IF('House Count'!H918="Y",IF('House Count'!F918="RES-SFU",1,IF('House Count'!F918="RES-MDU",1,IF('House Count'!F918="RES-HOA",1,0))),0)</f>
        <v/>
      </c>
      <c r="K918">
        <f>IF('House Count'!H918="Y",IF('House Count'!F918="COMM-SU",1,IF('House Count'!F918="COM-MTU",1,IF('House Count'!F918="ENT",1,0))),0)</f>
        <v/>
      </c>
    </row>
    <row r="919">
      <c r="H919" s="192" t="n"/>
      <c r="I919" s="773" t="n"/>
      <c r="J919">
        <f>IF('House Count'!H919="Y",IF('House Count'!F919="RES-SFU",1,IF('House Count'!F919="RES-MDU",1,IF('House Count'!F919="RES-HOA",1,0))),0)</f>
        <v/>
      </c>
      <c r="K919">
        <f>IF('House Count'!H919="Y",IF('House Count'!F919="COMM-SU",1,IF('House Count'!F919="COM-MTU",1,IF('House Count'!F919="ENT",1,0))),0)</f>
        <v/>
      </c>
    </row>
    <row r="920">
      <c r="H920" s="192" t="n"/>
      <c r="I920" s="773" t="n"/>
      <c r="J920">
        <f>IF('House Count'!H920="Y",IF('House Count'!F920="RES-SFU",1,IF('House Count'!F920="RES-MDU",1,IF('House Count'!F920="RES-HOA",1,0))),0)</f>
        <v/>
      </c>
      <c r="K920">
        <f>IF('House Count'!H920="Y",IF('House Count'!F920="COMM-SU",1,IF('House Count'!F920="COM-MTU",1,IF('House Count'!F920="ENT",1,0))),0)</f>
        <v/>
      </c>
    </row>
    <row r="921">
      <c r="H921" s="192" t="n"/>
      <c r="I921" s="773" t="n"/>
      <c r="J921">
        <f>IF('House Count'!H921="Y",IF('House Count'!F921="RES-SFU",1,IF('House Count'!F921="RES-MDU",1,IF('House Count'!F921="RES-HOA",1,0))),0)</f>
        <v/>
      </c>
      <c r="K921">
        <f>IF('House Count'!H921="Y",IF('House Count'!F921="COMM-SU",1,IF('House Count'!F921="COM-MTU",1,IF('House Count'!F921="ENT",1,0))),0)</f>
        <v/>
      </c>
    </row>
    <row r="922">
      <c r="H922" s="192" t="n"/>
      <c r="I922" s="773" t="n"/>
      <c r="J922">
        <f>IF('House Count'!H922="Y",IF('House Count'!F922="RES-SFU",1,IF('House Count'!F922="RES-MDU",1,IF('House Count'!F922="RES-HOA",1,0))),0)</f>
        <v/>
      </c>
      <c r="K922">
        <f>IF('House Count'!H922="Y",IF('House Count'!F922="COMM-SU",1,IF('House Count'!F922="COM-MTU",1,IF('House Count'!F922="ENT",1,0))),0)</f>
        <v/>
      </c>
    </row>
    <row r="923">
      <c r="H923" s="192" t="n"/>
      <c r="I923" s="773" t="n"/>
      <c r="J923">
        <f>IF('House Count'!H923="Y",IF('House Count'!F923="RES-SFU",1,IF('House Count'!F923="RES-MDU",1,IF('House Count'!F923="RES-HOA",1,0))),0)</f>
        <v/>
      </c>
      <c r="K923">
        <f>IF('House Count'!H923="Y",IF('House Count'!F923="COMM-SU",1,IF('House Count'!F923="COM-MTU",1,IF('House Count'!F923="ENT",1,0))),0)</f>
        <v/>
      </c>
    </row>
    <row r="924">
      <c r="H924" s="192" t="n"/>
      <c r="I924" s="773" t="n"/>
      <c r="J924">
        <f>IF('House Count'!H924="Y",IF('House Count'!F924="RES-SFU",1,IF('House Count'!F924="RES-MDU",1,IF('House Count'!F924="RES-HOA",1,0))),0)</f>
        <v/>
      </c>
      <c r="K924">
        <f>IF('House Count'!H924="Y",IF('House Count'!F924="COMM-SU",1,IF('House Count'!F924="COM-MTU",1,IF('House Count'!F924="ENT",1,0))),0)</f>
        <v/>
      </c>
    </row>
    <row r="925" ht="15.75" customHeight="1" thickBot="1">
      <c r="A925" s="774" t="n"/>
      <c r="B925" s="774" t="n"/>
      <c r="C925" s="774" t="n"/>
      <c r="D925" s="774" t="n"/>
      <c r="E925" s="774" t="n"/>
      <c r="F925" s="774" t="n"/>
      <c r="G925" s="774" t="n"/>
      <c r="H925" s="774" t="n"/>
      <c r="I925" s="775" t="n"/>
      <c r="J925">
        <f>IF('House Count'!H925="Y",IF('House Count'!F925="RES-SFU",1,IF('House Count'!F925="RES-MDU",1,IF('House Count'!F925="RES-HOA",1,0))),0)</f>
        <v/>
      </c>
      <c r="K925">
        <f>IF('House Count'!H925="Y",IF('House Count'!F925="COMM-SU",1,IF('House Count'!F925="COM-MTU",1,IF('House Count'!F925="ENT",1,0))),0)</f>
        <v/>
      </c>
    </row>
    <row r="926" ht="15.75" customHeight="1" thickTop="1">
      <c r="H926" s="192" t="n"/>
      <c r="I926" s="773" t="n"/>
      <c r="J926">
        <f>IF('House Count'!H926="Y",IF('House Count'!F926="RES-SFU",1,IF('House Count'!F926="RES-MDU",1,IF('House Count'!F926="RES-HOA",1,0))),0)</f>
        <v/>
      </c>
      <c r="K926">
        <f>IF('House Count'!H926="Y",IF('House Count'!F926="COMM-SU",1,IF('House Count'!F926="COM-MTU",1,IF('House Count'!F926="ENT",1,0))),0)</f>
        <v/>
      </c>
    </row>
    <row r="927">
      <c r="H927" s="192" t="n"/>
      <c r="I927" s="773" t="n"/>
      <c r="J927">
        <f>IF('House Count'!H927="Y",IF('House Count'!F927="RES-SFU",1,IF('House Count'!F927="RES-MDU",1,IF('House Count'!F927="RES-HOA",1,0))),0)</f>
        <v/>
      </c>
      <c r="K927">
        <f>IF('House Count'!H927="Y",IF('House Count'!F927="COMM-SU",1,IF('House Count'!F927="COM-MTU",1,IF('House Count'!F927="ENT",1,0))),0)</f>
        <v/>
      </c>
    </row>
    <row r="928">
      <c r="H928" s="192" t="n"/>
      <c r="I928" s="773" t="n"/>
      <c r="J928">
        <f>IF('House Count'!H928="Y",IF('House Count'!F928="RES-SFU",1,IF('House Count'!F928="RES-MDU",1,IF('House Count'!F928="RES-HOA",1,0))),0)</f>
        <v/>
      </c>
      <c r="K928">
        <f>IF('House Count'!H928="Y",IF('House Count'!F928="COMM-SU",1,IF('House Count'!F928="COM-MTU",1,IF('House Count'!F928="ENT",1,0))),0)</f>
        <v/>
      </c>
    </row>
    <row r="929">
      <c r="H929" s="192" t="n"/>
      <c r="I929" s="773" t="n"/>
      <c r="J929">
        <f>IF('House Count'!H929="Y",IF('House Count'!F929="RES-SFU",1,IF('House Count'!F929="RES-MDU",1,IF('House Count'!F929="RES-HOA",1,0))),0)</f>
        <v/>
      </c>
      <c r="K929">
        <f>IF('House Count'!H929="Y",IF('House Count'!F929="COMM-SU",1,IF('House Count'!F929="COM-MTU",1,IF('House Count'!F929="ENT",1,0))),0)</f>
        <v/>
      </c>
    </row>
    <row r="930">
      <c r="H930" s="192" t="n"/>
      <c r="I930" s="773" t="n"/>
      <c r="J930">
        <f>IF('House Count'!H930="Y",IF('House Count'!F930="RES-SFU",1,IF('House Count'!F930="RES-MDU",1,IF('House Count'!F930="RES-HOA",1,0))),0)</f>
        <v/>
      </c>
      <c r="K930">
        <f>IF('House Count'!H930="Y",IF('House Count'!F930="COMM-SU",1,IF('House Count'!F930="COM-MTU",1,IF('House Count'!F930="ENT",1,0))),0)</f>
        <v/>
      </c>
    </row>
    <row r="931">
      <c r="H931" s="192" t="n"/>
      <c r="I931" s="773" t="n"/>
      <c r="J931">
        <f>IF('House Count'!H931="Y",IF('House Count'!F931="RES-SFU",1,IF('House Count'!F931="RES-MDU",1,IF('House Count'!F931="RES-HOA",1,0))),0)</f>
        <v/>
      </c>
      <c r="K931">
        <f>IF('House Count'!H931="Y",IF('House Count'!F931="COMM-SU",1,IF('House Count'!F931="COM-MTU",1,IF('House Count'!F931="ENT",1,0))),0)</f>
        <v/>
      </c>
    </row>
    <row r="932">
      <c r="H932" s="192" t="n"/>
      <c r="I932" s="773" t="n"/>
      <c r="J932">
        <f>IF('House Count'!H932="Y",IF('House Count'!F932="RES-SFU",1,IF('House Count'!F932="RES-MDU",1,IF('House Count'!F932="RES-HOA",1,0))),0)</f>
        <v/>
      </c>
      <c r="K932">
        <f>IF('House Count'!H932="Y",IF('House Count'!F932="COMM-SU",1,IF('House Count'!F932="COM-MTU",1,IF('House Count'!F932="ENT",1,0))),0)</f>
        <v/>
      </c>
    </row>
    <row r="933">
      <c r="H933" s="192" t="n"/>
      <c r="I933" s="773" t="n"/>
      <c r="J933">
        <f>IF('House Count'!H933="Y",IF('House Count'!F933="RES-SFU",1,IF('House Count'!F933="RES-MDU",1,IF('House Count'!F933="RES-HOA",1,0))),0)</f>
        <v/>
      </c>
      <c r="K933">
        <f>IF('House Count'!H933="Y",IF('House Count'!F933="COMM-SU",1,IF('House Count'!F933="COM-MTU",1,IF('House Count'!F933="ENT",1,0))),0)</f>
        <v/>
      </c>
    </row>
    <row r="934">
      <c r="H934" s="192" t="n"/>
      <c r="I934" s="773" t="n"/>
      <c r="J934">
        <f>IF('House Count'!H934="Y",IF('House Count'!F934="RES-SFU",1,IF('House Count'!F934="RES-MDU",1,IF('House Count'!F934="RES-HOA",1,0))),0)</f>
        <v/>
      </c>
      <c r="K934">
        <f>IF('House Count'!H934="Y",IF('House Count'!F934="COMM-SU",1,IF('House Count'!F934="COM-MTU",1,IF('House Count'!F934="ENT",1,0))),0)</f>
        <v/>
      </c>
    </row>
    <row r="935">
      <c r="H935" s="192" t="n"/>
      <c r="I935" s="773" t="n"/>
      <c r="J935">
        <f>IF('House Count'!H935="Y",IF('House Count'!F935="RES-SFU",1,IF('House Count'!F935="RES-MDU",1,IF('House Count'!F935="RES-HOA",1,0))),0)</f>
        <v/>
      </c>
      <c r="K935">
        <f>IF('House Count'!H935="Y",IF('House Count'!F935="COMM-SU",1,IF('House Count'!F935="COM-MTU",1,IF('House Count'!F935="ENT",1,0))),0)</f>
        <v/>
      </c>
    </row>
    <row r="936">
      <c r="H936" s="192" t="n"/>
      <c r="I936" s="773" t="n"/>
      <c r="J936">
        <f>IF('House Count'!H936="Y",IF('House Count'!F936="RES-SFU",1,IF('House Count'!F936="RES-MDU",1,IF('House Count'!F936="RES-HOA",1,0))),0)</f>
        <v/>
      </c>
      <c r="K936">
        <f>IF('House Count'!H936="Y",IF('House Count'!F936="COMM-SU",1,IF('House Count'!F936="COM-MTU",1,IF('House Count'!F936="ENT",1,0))),0)</f>
        <v/>
      </c>
    </row>
    <row r="937" ht="15.75" customHeight="1" thickBot="1">
      <c r="A937" s="774" t="n"/>
      <c r="B937" s="774" t="n"/>
      <c r="C937" s="774" t="n"/>
      <c r="D937" s="774" t="n"/>
      <c r="E937" s="774" t="n"/>
      <c r="F937" s="774" t="n"/>
      <c r="G937" s="774" t="n"/>
      <c r="H937" s="774" t="n"/>
      <c r="I937" s="775" t="n"/>
      <c r="J937">
        <f>IF('House Count'!H937="Y",IF('House Count'!F937="RES-SFU",1,IF('House Count'!F937="RES-MDU",1,IF('House Count'!F937="RES-HOA",1,0))),0)</f>
        <v/>
      </c>
      <c r="K937">
        <f>IF('House Count'!H937="Y",IF('House Count'!F937="COMM-SU",1,IF('House Count'!F937="COM-MTU",1,IF('House Count'!F937="ENT",1,0))),0)</f>
        <v/>
      </c>
    </row>
    <row r="938" ht="15.75" customHeight="1" thickTop="1">
      <c r="H938" s="192" t="n"/>
      <c r="I938" s="773" t="n"/>
      <c r="J938">
        <f>IF('House Count'!H938="Y",IF('House Count'!F938="RES-SFU",1,IF('House Count'!F938="RES-MDU",1,IF('House Count'!F938="RES-HOA",1,0))),0)</f>
        <v/>
      </c>
      <c r="K938">
        <f>IF('House Count'!H938="Y",IF('House Count'!F938="COMM-SU",1,IF('House Count'!F938="COM-MTU",1,IF('House Count'!F938="ENT",1,0))),0)</f>
        <v/>
      </c>
    </row>
    <row r="939">
      <c r="H939" s="192" t="n"/>
      <c r="I939" s="773" t="n"/>
      <c r="J939">
        <f>IF('House Count'!H939="Y",IF('House Count'!F939="RES-SFU",1,IF('House Count'!F939="RES-MDU",1,IF('House Count'!F939="RES-HOA",1,0))),0)</f>
        <v/>
      </c>
      <c r="K939">
        <f>IF('House Count'!H939="Y",IF('House Count'!F939="COMM-SU",1,IF('House Count'!F939="COM-MTU",1,IF('House Count'!F939="ENT",1,0))),0)</f>
        <v/>
      </c>
    </row>
    <row r="940">
      <c r="H940" s="192" t="n"/>
      <c r="I940" s="773" t="n"/>
      <c r="J940">
        <f>IF('House Count'!H940="Y",IF('House Count'!F940="RES-SFU",1,IF('House Count'!F940="RES-MDU",1,IF('House Count'!F940="RES-HOA",1,0))),0)</f>
        <v/>
      </c>
      <c r="K940">
        <f>IF('House Count'!H940="Y",IF('House Count'!F940="COMM-SU",1,IF('House Count'!F940="COM-MTU",1,IF('House Count'!F940="ENT",1,0))),0)</f>
        <v/>
      </c>
    </row>
    <row r="941">
      <c r="H941" s="192" t="n"/>
      <c r="I941" s="773" t="n"/>
      <c r="J941">
        <f>IF('House Count'!H941="Y",IF('House Count'!F941="RES-SFU",1,IF('House Count'!F941="RES-MDU",1,IF('House Count'!F941="RES-HOA",1,0))),0)</f>
        <v/>
      </c>
      <c r="K941">
        <f>IF('House Count'!H941="Y",IF('House Count'!F941="COMM-SU",1,IF('House Count'!F941="COM-MTU",1,IF('House Count'!F941="ENT",1,0))),0)</f>
        <v/>
      </c>
    </row>
    <row r="942">
      <c r="H942" s="192" t="n"/>
      <c r="I942" s="773" t="n"/>
      <c r="J942">
        <f>IF('House Count'!H942="Y",IF('House Count'!F942="RES-SFU",1,IF('House Count'!F942="RES-MDU",1,IF('House Count'!F942="RES-HOA",1,0))),0)</f>
        <v/>
      </c>
      <c r="K942">
        <f>IF('House Count'!H942="Y",IF('House Count'!F942="COMM-SU",1,IF('House Count'!F942="COM-MTU",1,IF('House Count'!F942="ENT",1,0))),0)</f>
        <v/>
      </c>
    </row>
    <row r="943">
      <c r="H943" s="192" t="n"/>
      <c r="I943" s="773" t="n"/>
      <c r="J943">
        <f>IF('House Count'!H943="Y",IF('House Count'!F943="RES-SFU",1,IF('House Count'!F943="RES-MDU",1,IF('House Count'!F943="RES-HOA",1,0))),0)</f>
        <v/>
      </c>
      <c r="K943">
        <f>IF('House Count'!H943="Y",IF('House Count'!F943="COMM-SU",1,IF('House Count'!F943="COM-MTU",1,IF('House Count'!F943="ENT",1,0))),0)</f>
        <v/>
      </c>
    </row>
    <row r="944">
      <c r="H944" s="192" t="n"/>
      <c r="I944" s="773" t="n"/>
      <c r="J944">
        <f>IF('House Count'!H944="Y",IF('House Count'!F944="RES-SFU",1,IF('House Count'!F944="RES-MDU",1,IF('House Count'!F944="RES-HOA",1,0))),0)</f>
        <v/>
      </c>
      <c r="K944">
        <f>IF('House Count'!H944="Y",IF('House Count'!F944="COMM-SU",1,IF('House Count'!F944="COM-MTU",1,IF('House Count'!F944="ENT",1,0))),0)</f>
        <v/>
      </c>
    </row>
    <row r="945">
      <c r="H945" s="192" t="n"/>
      <c r="I945" s="773" t="n"/>
      <c r="J945">
        <f>IF('House Count'!H945="Y",IF('House Count'!F945="RES-SFU",1,IF('House Count'!F945="RES-MDU",1,IF('House Count'!F945="RES-HOA",1,0))),0)</f>
        <v/>
      </c>
      <c r="K945">
        <f>IF('House Count'!H945="Y",IF('House Count'!F945="COMM-SU",1,IF('House Count'!F945="COM-MTU",1,IF('House Count'!F945="ENT",1,0))),0)</f>
        <v/>
      </c>
    </row>
    <row r="946">
      <c r="H946" s="192" t="n"/>
      <c r="I946" s="773" t="n"/>
      <c r="J946">
        <f>IF('House Count'!H946="Y",IF('House Count'!F946="RES-SFU",1,IF('House Count'!F946="RES-MDU",1,IF('House Count'!F946="RES-HOA",1,0))),0)</f>
        <v/>
      </c>
      <c r="K946">
        <f>IF('House Count'!H946="Y",IF('House Count'!F946="COMM-SU",1,IF('House Count'!F946="COM-MTU",1,IF('House Count'!F946="ENT",1,0))),0)</f>
        <v/>
      </c>
    </row>
    <row r="947">
      <c r="H947" s="192" t="n"/>
      <c r="I947" s="773" t="n"/>
      <c r="J947">
        <f>IF('House Count'!H947="Y",IF('House Count'!F947="RES-SFU",1,IF('House Count'!F947="RES-MDU",1,IF('House Count'!F947="RES-HOA",1,0))),0)</f>
        <v/>
      </c>
      <c r="K947">
        <f>IF('House Count'!H947="Y",IF('House Count'!F947="COMM-SU",1,IF('House Count'!F947="COM-MTU",1,IF('House Count'!F947="ENT",1,0))),0)</f>
        <v/>
      </c>
    </row>
    <row r="948">
      <c r="H948" s="192" t="n"/>
      <c r="I948" s="773" t="n"/>
      <c r="J948">
        <f>IF('House Count'!H948="Y",IF('House Count'!F948="RES-SFU",1,IF('House Count'!F948="RES-MDU",1,IF('House Count'!F948="RES-HOA",1,0))),0)</f>
        <v/>
      </c>
      <c r="K948">
        <f>IF('House Count'!H948="Y",IF('House Count'!F948="COMM-SU",1,IF('House Count'!F948="COM-MTU",1,IF('House Count'!F948="ENT",1,0))),0)</f>
        <v/>
      </c>
    </row>
    <row r="949" ht="15.75" customHeight="1" thickBot="1">
      <c r="A949" s="774" t="n"/>
      <c r="B949" s="774" t="n"/>
      <c r="C949" s="774" t="n"/>
      <c r="D949" s="774" t="n"/>
      <c r="E949" s="774" t="n"/>
      <c r="F949" s="774" t="n"/>
      <c r="G949" s="774" t="n"/>
      <c r="H949" s="774" t="n"/>
      <c r="I949" s="775" t="n"/>
      <c r="J949">
        <f>IF('House Count'!H949="Y",IF('House Count'!F949="RES-SFU",1,IF('House Count'!F949="RES-MDU",1,IF('House Count'!F949="RES-HOA",1,0))),0)</f>
        <v/>
      </c>
      <c r="K949">
        <f>IF('House Count'!H949="Y",IF('House Count'!F949="COMM-SU",1,IF('House Count'!F949="COM-MTU",1,IF('House Count'!F949="ENT",1,0))),0)</f>
        <v/>
      </c>
    </row>
    <row r="950" ht="15.75" customHeight="1" thickTop="1">
      <c r="H950" s="192" t="n"/>
      <c r="I950" s="773" t="n"/>
      <c r="J950">
        <f>IF('House Count'!H950="Y",IF('House Count'!F950="RES-SFU",1,IF('House Count'!F950="RES-MDU",1,IF('House Count'!F950="RES-HOA",1,0))),0)</f>
        <v/>
      </c>
      <c r="K950">
        <f>IF('House Count'!H950="Y",IF('House Count'!F950="COMM-SU",1,IF('House Count'!F950="COM-MTU",1,IF('House Count'!F950="ENT",1,0))),0)</f>
        <v/>
      </c>
    </row>
    <row r="951">
      <c r="H951" s="192" t="n"/>
      <c r="I951" s="773" t="n"/>
      <c r="J951">
        <f>IF('House Count'!H951="Y",IF('House Count'!F951="RES-SFU",1,IF('House Count'!F951="RES-MDU",1,IF('House Count'!F951="RES-HOA",1,0))),0)</f>
        <v/>
      </c>
      <c r="K951">
        <f>IF('House Count'!H951="Y",IF('House Count'!F951="COMM-SU",1,IF('House Count'!F951="COM-MTU",1,IF('House Count'!F951="ENT",1,0))),0)</f>
        <v/>
      </c>
    </row>
    <row r="952">
      <c r="H952" s="192" t="n"/>
      <c r="I952" s="773" t="n"/>
      <c r="J952">
        <f>IF('House Count'!H952="Y",IF('House Count'!F952="RES-SFU",1,IF('House Count'!F952="RES-MDU",1,IF('House Count'!F952="RES-HOA",1,0))),0)</f>
        <v/>
      </c>
      <c r="K952">
        <f>IF('House Count'!H952="Y",IF('House Count'!F952="COMM-SU",1,IF('House Count'!F952="COM-MTU",1,IF('House Count'!F952="ENT",1,0))),0)</f>
        <v/>
      </c>
    </row>
    <row r="953">
      <c r="H953" s="192" t="n"/>
      <c r="I953" s="773" t="n"/>
      <c r="J953">
        <f>IF('House Count'!H953="Y",IF('House Count'!F953="RES-SFU",1,IF('House Count'!F953="RES-MDU",1,IF('House Count'!F953="RES-HOA",1,0))),0)</f>
        <v/>
      </c>
      <c r="K953">
        <f>IF('House Count'!H953="Y",IF('House Count'!F953="COMM-SU",1,IF('House Count'!F953="COM-MTU",1,IF('House Count'!F953="ENT",1,0))),0)</f>
        <v/>
      </c>
    </row>
    <row r="954">
      <c r="H954" s="192" t="n"/>
      <c r="I954" s="773" t="n"/>
      <c r="J954">
        <f>IF('House Count'!H954="Y",IF('House Count'!F954="RES-SFU",1,IF('House Count'!F954="RES-MDU",1,IF('House Count'!F954="RES-HOA",1,0))),0)</f>
        <v/>
      </c>
      <c r="K954">
        <f>IF('House Count'!H954="Y",IF('House Count'!F954="COMM-SU",1,IF('House Count'!F954="COM-MTU",1,IF('House Count'!F954="ENT",1,0))),0)</f>
        <v/>
      </c>
    </row>
    <row r="955">
      <c r="H955" s="192" t="n"/>
      <c r="I955" s="773" t="n"/>
      <c r="J955">
        <f>IF('House Count'!H955="Y",IF('House Count'!F955="RES-SFU",1,IF('House Count'!F955="RES-MDU",1,IF('House Count'!F955="RES-HOA",1,0))),0)</f>
        <v/>
      </c>
      <c r="K955">
        <f>IF('House Count'!H955="Y",IF('House Count'!F955="COMM-SU",1,IF('House Count'!F955="COM-MTU",1,IF('House Count'!F955="ENT",1,0))),0)</f>
        <v/>
      </c>
    </row>
    <row r="956">
      <c r="H956" s="192" t="n"/>
      <c r="I956" s="773" t="n"/>
      <c r="J956">
        <f>IF('House Count'!H956="Y",IF('House Count'!F956="RES-SFU",1,IF('House Count'!F956="RES-MDU",1,IF('House Count'!F956="RES-HOA",1,0))),0)</f>
        <v/>
      </c>
      <c r="K956">
        <f>IF('House Count'!H956="Y",IF('House Count'!F956="COMM-SU",1,IF('House Count'!F956="COM-MTU",1,IF('House Count'!F956="ENT",1,0))),0)</f>
        <v/>
      </c>
    </row>
    <row r="957">
      <c r="H957" s="192" t="n"/>
      <c r="I957" s="773" t="n"/>
      <c r="J957">
        <f>IF('House Count'!H957="Y",IF('House Count'!F957="RES-SFU",1,IF('House Count'!F957="RES-MDU",1,IF('House Count'!F957="RES-HOA",1,0))),0)</f>
        <v/>
      </c>
      <c r="K957">
        <f>IF('House Count'!H957="Y",IF('House Count'!F957="COMM-SU",1,IF('House Count'!F957="COM-MTU",1,IF('House Count'!F957="ENT",1,0))),0)</f>
        <v/>
      </c>
    </row>
    <row r="958">
      <c r="H958" s="192" t="n"/>
      <c r="I958" s="773" t="n"/>
      <c r="J958">
        <f>IF('House Count'!H958="Y",IF('House Count'!F958="RES-SFU",1,IF('House Count'!F958="RES-MDU",1,IF('House Count'!F958="RES-HOA",1,0))),0)</f>
        <v/>
      </c>
      <c r="K958">
        <f>IF('House Count'!H958="Y",IF('House Count'!F958="COMM-SU",1,IF('House Count'!F958="COM-MTU",1,IF('House Count'!F958="ENT",1,0))),0)</f>
        <v/>
      </c>
    </row>
    <row r="959">
      <c r="H959" s="192" t="n"/>
      <c r="I959" s="773" t="n"/>
      <c r="J959">
        <f>IF('House Count'!H959="Y",IF('House Count'!F959="RES-SFU",1,IF('House Count'!F959="RES-MDU",1,IF('House Count'!F959="RES-HOA",1,0))),0)</f>
        <v/>
      </c>
      <c r="K959">
        <f>IF('House Count'!H959="Y",IF('House Count'!F959="COMM-SU",1,IF('House Count'!F959="COM-MTU",1,IF('House Count'!F959="ENT",1,0))),0)</f>
        <v/>
      </c>
    </row>
    <row r="960">
      <c r="H960" s="192" t="n"/>
      <c r="I960" s="773" t="n"/>
      <c r="J960">
        <f>IF('House Count'!H960="Y",IF('House Count'!F960="RES-SFU",1,IF('House Count'!F960="RES-MDU",1,IF('House Count'!F960="RES-HOA",1,0))),0)</f>
        <v/>
      </c>
      <c r="K960">
        <f>IF('House Count'!H960="Y",IF('House Count'!F960="COMM-SU",1,IF('House Count'!F960="COM-MTU",1,IF('House Count'!F960="ENT",1,0))),0)</f>
        <v/>
      </c>
    </row>
    <row r="961" ht="15.75" customHeight="1" thickBot="1">
      <c r="A961" s="774" t="n"/>
      <c r="B961" s="774" t="n"/>
      <c r="C961" s="774" t="n"/>
      <c r="D961" s="774" t="n"/>
      <c r="E961" s="774" t="n"/>
      <c r="F961" s="774" t="n"/>
      <c r="G961" s="774" t="n"/>
      <c r="H961" s="774" t="n"/>
      <c r="I961" s="775" t="n"/>
      <c r="J961">
        <f>IF('House Count'!H961="Y",IF('House Count'!F961="RES-SFU",1,IF('House Count'!F961="RES-MDU",1,IF('House Count'!F961="RES-HOA",1,0))),0)</f>
        <v/>
      </c>
      <c r="K961">
        <f>IF('House Count'!H961="Y",IF('House Count'!F961="COMM-SU",1,IF('House Count'!F961="COM-MTU",1,IF('House Count'!F961="ENT",1,0))),0)</f>
        <v/>
      </c>
    </row>
    <row r="962" ht="15.75" customHeight="1" thickTop="1">
      <c r="H962" s="192" t="n"/>
      <c r="I962" s="773" t="n"/>
      <c r="J962">
        <f>IF('House Count'!H962="Y",IF('House Count'!F962="RES-SFU",1,IF('House Count'!F962="RES-MDU",1,IF('House Count'!F962="RES-HOA",1,0))),0)</f>
        <v/>
      </c>
      <c r="K962">
        <f>IF('House Count'!H962="Y",IF('House Count'!F962="COMM-SU",1,IF('House Count'!F962="COM-MTU",1,IF('House Count'!F962="ENT",1,0))),0)</f>
        <v/>
      </c>
    </row>
    <row r="963">
      <c r="H963" s="192" t="n"/>
      <c r="I963" s="773" t="n"/>
      <c r="J963">
        <f>IF('House Count'!H963="Y",IF('House Count'!F963="RES-SFU",1,IF('House Count'!F963="RES-MDU",1,IF('House Count'!F963="RES-HOA",1,0))),0)</f>
        <v/>
      </c>
      <c r="K963">
        <f>IF('House Count'!H963="Y",IF('House Count'!F963="COMM-SU",1,IF('House Count'!F963="COM-MTU",1,IF('House Count'!F963="ENT",1,0))),0)</f>
        <v/>
      </c>
    </row>
    <row r="964">
      <c r="H964" s="192" t="n"/>
      <c r="I964" s="773" t="n"/>
      <c r="J964">
        <f>IF('House Count'!H964="Y",IF('House Count'!F964="RES-SFU",1,IF('House Count'!F964="RES-MDU",1,IF('House Count'!F964="RES-HOA",1,0))),0)</f>
        <v/>
      </c>
      <c r="K964">
        <f>IF('House Count'!H964="Y",IF('House Count'!F964="COMM-SU",1,IF('House Count'!F964="COM-MTU",1,IF('House Count'!F964="ENT",1,0))),0)</f>
        <v/>
      </c>
    </row>
    <row r="965">
      <c r="H965" s="192" t="n"/>
      <c r="I965" s="773" t="n"/>
      <c r="J965">
        <f>IF('House Count'!H965="Y",IF('House Count'!F965="RES-SFU",1,IF('House Count'!F965="RES-MDU",1,IF('House Count'!F965="RES-HOA",1,0))),0)</f>
        <v/>
      </c>
      <c r="K965">
        <f>IF('House Count'!H965="Y",IF('House Count'!F965="COMM-SU",1,IF('House Count'!F965="COM-MTU",1,IF('House Count'!F965="ENT",1,0))),0)</f>
        <v/>
      </c>
    </row>
    <row r="966">
      <c r="H966" s="192" t="n"/>
      <c r="I966" s="773" t="n"/>
      <c r="J966">
        <f>IF('House Count'!H966="Y",IF('House Count'!F966="RES-SFU",1,IF('House Count'!F966="RES-MDU",1,IF('House Count'!F966="RES-HOA",1,0))),0)</f>
        <v/>
      </c>
      <c r="K966">
        <f>IF('House Count'!H966="Y",IF('House Count'!F966="COMM-SU",1,IF('House Count'!F966="COM-MTU",1,IF('House Count'!F966="ENT",1,0))),0)</f>
        <v/>
      </c>
    </row>
    <row r="967">
      <c r="H967" s="192" t="n"/>
      <c r="I967" s="773" t="n"/>
      <c r="J967">
        <f>IF('House Count'!H967="Y",IF('House Count'!F967="RES-SFU",1,IF('House Count'!F967="RES-MDU",1,IF('House Count'!F967="RES-HOA",1,0))),0)</f>
        <v/>
      </c>
      <c r="K967">
        <f>IF('House Count'!H967="Y",IF('House Count'!F967="COMM-SU",1,IF('House Count'!F967="COM-MTU",1,IF('House Count'!F967="ENT",1,0))),0)</f>
        <v/>
      </c>
    </row>
    <row r="968">
      <c r="H968" s="192" t="n"/>
      <c r="I968" s="773" t="n"/>
      <c r="J968">
        <f>IF('House Count'!H968="Y",IF('House Count'!F968="RES-SFU",1,IF('House Count'!F968="RES-MDU",1,IF('House Count'!F968="RES-HOA",1,0))),0)</f>
        <v/>
      </c>
      <c r="K968">
        <f>IF('House Count'!H968="Y",IF('House Count'!F968="COMM-SU",1,IF('House Count'!F968="COM-MTU",1,IF('House Count'!F968="ENT",1,0))),0)</f>
        <v/>
      </c>
    </row>
    <row r="969">
      <c r="H969" s="192" t="n"/>
      <c r="I969" s="773" t="n"/>
      <c r="J969">
        <f>IF('House Count'!H969="Y",IF('House Count'!F969="RES-SFU",1,IF('House Count'!F969="RES-MDU",1,IF('House Count'!F969="RES-HOA",1,0))),0)</f>
        <v/>
      </c>
      <c r="K969">
        <f>IF('House Count'!H969="Y",IF('House Count'!F969="COMM-SU",1,IF('House Count'!F969="COM-MTU",1,IF('House Count'!F969="ENT",1,0))),0)</f>
        <v/>
      </c>
    </row>
    <row r="970">
      <c r="H970" s="192" t="n"/>
      <c r="I970" s="773" t="n"/>
      <c r="J970">
        <f>IF('House Count'!H970="Y",IF('House Count'!F970="RES-SFU",1,IF('House Count'!F970="RES-MDU",1,IF('House Count'!F970="RES-HOA",1,0))),0)</f>
        <v/>
      </c>
      <c r="K970">
        <f>IF('House Count'!H970="Y",IF('House Count'!F970="COMM-SU",1,IF('House Count'!F970="COM-MTU",1,IF('House Count'!F970="ENT",1,0))),0)</f>
        <v/>
      </c>
    </row>
    <row r="971">
      <c r="H971" s="192" t="n"/>
      <c r="I971" s="773" t="n"/>
      <c r="J971">
        <f>IF('House Count'!H971="Y",IF('House Count'!F971="RES-SFU",1,IF('House Count'!F971="RES-MDU",1,IF('House Count'!F971="RES-HOA",1,0))),0)</f>
        <v/>
      </c>
      <c r="K971">
        <f>IF('House Count'!H971="Y",IF('House Count'!F971="COMM-SU",1,IF('House Count'!F971="COM-MTU",1,IF('House Count'!F971="ENT",1,0))),0)</f>
        <v/>
      </c>
    </row>
    <row r="972">
      <c r="H972" s="192" t="n"/>
      <c r="I972" s="773" t="n"/>
      <c r="J972">
        <f>IF('House Count'!H972="Y",IF('House Count'!F972="RES-SFU",1,IF('House Count'!F972="RES-MDU",1,IF('House Count'!F972="RES-HOA",1,0))),0)</f>
        <v/>
      </c>
      <c r="K972">
        <f>IF('House Count'!H972="Y",IF('House Count'!F972="COMM-SU",1,IF('House Count'!F972="COM-MTU",1,IF('House Count'!F972="ENT",1,0))),0)</f>
        <v/>
      </c>
    </row>
    <row r="973" ht="15.75" customHeight="1" thickBot="1">
      <c r="A973" s="774" t="n"/>
      <c r="B973" s="774" t="n"/>
      <c r="C973" s="774" t="n"/>
      <c r="D973" s="774" t="n"/>
      <c r="E973" s="774" t="n"/>
      <c r="F973" s="774" t="n"/>
      <c r="G973" s="774" t="n"/>
      <c r="H973" s="774" t="n"/>
      <c r="I973" s="775" t="n"/>
      <c r="J973">
        <f>IF('House Count'!H973="Y",IF('House Count'!F973="RES-SFU",1,IF('House Count'!F973="RES-MDU",1,IF('House Count'!F973="RES-HOA",1,0))),0)</f>
        <v/>
      </c>
      <c r="K973">
        <f>IF('House Count'!H973="Y",IF('House Count'!F973="COMM-SU",1,IF('House Count'!F973="COM-MTU",1,IF('House Count'!F973="ENT",1,0))),0)</f>
        <v/>
      </c>
    </row>
    <row r="974" ht="15.75" customHeight="1" thickTop="1">
      <c r="H974" s="192" t="n"/>
      <c r="I974" s="773" t="n"/>
      <c r="J974">
        <f>IF('House Count'!H974="Y",IF('House Count'!F974="RES-SFU",1,IF('House Count'!F974="RES-MDU",1,IF('House Count'!F974="RES-HOA",1,0))),0)</f>
        <v/>
      </c>
      <c r="K974">
        <f>IF('House Count'!H974="Y",IF('House Count'!F974="COMM-SU",1,IF('House Count'!F974="COM-MTU",1,IF('House Count'!F974="ENT",1,0))),0)</f>
        <v/>
      </c>
    </row>
    <row r="975">
      <c r="H975" s="192" t="n"/>
      <c r="I975" s="773" t="n"/>
      <c r="J975">
        <f>IF('House Count'!H975="Y",IF('House Count'!F975="RES-SFU",1,IF('House Count'!F975="RES-MDU",1,IF('House Count'!F975="RES-HOA",1,0))),0)</f>
        <v/>
      </c>
      <c r="K975">
        <f>IF('House Count'!H975="Y",IF('House Count'!F975="COMM-SU",1,IF('House Count'!F975="COM-MTU",1,IF('House Count'!F975="ENT",1,0))),0)</f>
        <v/>
      </c>
    </row>
    <row r="976">
      <c r="H976" s="192" t="n"/>
      <c r="I976" s="773" t="n"/>
      <c r="J976">
        <f>IF('House Count'!H976="Y",IF('House Count'!F976="RES-SFU",1,IF('House Count'!F976="RES-MDU",1,IF('House Count'!F976="RES-HOA",1,0))),0)</f>
        <v/>
      </c>
      <c r="K976">
        <f>IF('House Count'!H976="Y",IF('House Count'!F976="COMM-SU",1,IF('House Count'!F976="COM-MTU",1,IF('House Count'!F976="ENT",1,0))),0)</f>
        <v/>
      </c>
    </row>
    <row r="977">
      <c r="H977" s="192" t="n"/>
      <c r="I977" s="773" t="n"/>
      <c r="J977">
        <f>IF('House Count'!H977="Y",IF('House Count'!F977="RES-SFU",1,IF('House Count'!F977="RES-MDU",1,IF('House Count'!F977="RES-HOA",1,0))),0)</f>
        <v/>
      </c>
      <c r="K977">
        <f>IF('House Count'!H977="Y",IF('House Count'!F977="COMM-SU",1,IF('House Count'!F977="COM-MTU",1,IF('House Count'!F977="ENT",1,0))),0)</f>
        <v/>
      </c>
    </row>
    <row r="978">
      <c r="H978" s="192" t="n"/>
      <c r="I978" s="773" t="n"/>
      <c r="J978">
        <f>IF('House Count'!H978="Y",IF('House Count'!F978="RES-SFU",1,IF('House Count'!F978="RES-MDU",1,IF('House Count'!F978="RES-HOA",1,0))),0)</f>
        <v/>
      </c>
      <c r="K978">
        <f>IF('House Count'!H978="Y",IF('House Count'!F978="COMM-SU",1,IF('House Count'!F978="COM-MTU",1,IF('House Count'!F978="ENT",1,0))),0)</f>
        <v/>
      </c>
    </row>
    <row r="979">
      <c r="H979" s="192" t="n"/>
      <c r="I979" s="773" t="n"/>
      <c r="J979">
        <f>IF('House Count'!H979="Y",IF('House Count'!F979="RES-SFU",1,IF('House Count'!F979="RES-MDU",1,IF('House Count'!F979="RES-HOA",1,0))),0)</f>
        <v/>
      </c>
      <c r="K979">
        <f>IF('House Count'!H979="Y",IF('House Count'!F979="COMM-SU",1,IF('House Count'!F979="COM-MTU",1,IF('House Count'!F979="ENT",1,0))),0)</f>
        <v/>
      </c>
    </row>
    <row r="980">
      <c r="H980" s="192" t="n"/>
      <c r="I980" s="773" t="n"/>
      <c r="J980">
        <f>IF('House Count'!H980="Y",IF('House Count'!F980="RES-SFU",1,IF('House Count'!F980="RES-MDU",1,IF('House Count'!F980="RES-HOA",1,0))),0)</f>
        <v/>
      </c>
      <c r="K980">
        <f>IF('House Count'!H980="Y",IF('House Count'!F980="COMM-SU",1,IF('House Count'!F980="COM-MTU",1,IF('House Count'!F980="ENT",1,0))),0)</f>
        <v/>
      </c>
    </row>
    <row r="981">
      <c r="H981" s="192" t="n"/>
      <c r="I981" s="773" t="n"/>
      <c r="J981">
        <f>IF('House Count'!H981="Y",IF('House Count'!F981="RES-SFU",1,IF('House Count'!F981="RES-MDU",1,IF('House Count'!F981="RES-HOA",1,0))),0)</f>
        <v/>
      </c>
      <c r="K981">
        <f>IF('House Count'!H981="Y",IF('House Count'!F981="COMM-SU",1,IF('House Count'!F981="COM-MTU",1,IF('House Count'!F981="ENT",1,0))),0)</f>
        <v/>
      </c>
    </row>
    <row r="982">
      <c r="H982" s="192" t="n"/>
      <c r="I982" s="773" t="n"/>
      <c r="J982">
        <f>IF('House Count'!H982="Y",IF('House Count'!F982="RES-SFU",1,IF('House Count'!F982="RES-MDU",1,IF('House Count'!F982="RES-HOA",1,0))),0)</f>
        <v/>
      </c>
      <c r="K982">
        <f>IF('House Count'!H982="Y",IF('House Count'!F982="COMM-SU",1,IF('House Count'!F982="COM-MTU",1,IF('House Count'!F982="ENT",1,0))),0)</f>
        <v/>
      </c>
    </row>
    <row r="983">
      <c r="H983" s="192" t="n"/>
      <c r="I983" s="773" t="n"/>
      <c r="J983">
        <f>IF('House Count'!H983="Y",IF('House Count'!F983="RES-SFU",1,IF('House Count'!F983="RES-MDU",1,IF('House Count'!F983="RES-HOA",1,0))),0)</f>
        <v/>
      </c>
      <c r="K983">
        <f>IF('House Count'!H983="Y",IF('House Count'!F983="COMM-SU",1,IF('House Count'!F983="COM-MTU",1,IF('House Count'!F983="ENT",1,0))),0)</f>
        <v/>
      </c>
    </row>
    <row r="984">
      <c r="H984" s="192" t="n"/>
      <c r="I984" s="773" t="n"/>
      <c r="J984">
        <f>IF('House Count'!H984="Y",IF('House Count'!F984="RES-SFU",1,IF('House Count'!F984="RES-MDU",1,IF('House Count'!F984="RES-HOA",1,0))),0)</f>
        <v/>
      </c>
      <c r="K984">
        <f>IF('House Count'!H984="Y",IF('House Count'!F984="COMM-SU",1,IF('House Count'!F984="COM-MTU",1,IF('House Count'!F984="ENT",1,0))),0)</f>
        <v/>
      </c>
    </row>
    <row r="985" ht="15.75" customHeight="1" thickBot="1">
      <c r="A985" s="774" t="n"/>
      <c r="B985" s="774" t="n"/>
      <c r="C985" s="774" t="n"/>
      <c r="D985" s="774" t="n"/>
      <c r="E985" s="774" t="n"/>
      <c r="F985" s="774" t="n"/>
      <c r="G985" s="774" t="n"/>
      <c r="H985" s="774" t="n"/>
      <c r="I985" s="775" t="n"/>
      <c r="J985">
        <f>IF('House Count'!H985="Y",IF('House Count'!F985="RES-SFU",1,IF('House Count'!F985="RES-MDU",1,IF('House Count'!F985="RES-HOA",1,0))),0)</f>
        <v/>
      </c>
      <c r="K985">
        <f>IF('House Count'!H985="Y",IF('House Count'!F985="COMM-SU",1,IF('House Count'!F985="COM-MTU",1,IF('House Count'!F985="ENT",1,0))),0)</f>
        <v/>
      </c>
    </row>
    <row r="986" ht="15.75" customHeight="1" thickTop="1">
      <c r="H986" s="192" t="n"/>
      <c r="I986" s="773" t="n"/>
      <c r="J986">
        <f>IF('House Count'!H986="Y",IF('House Count'!F986="RES-SFU",1,IF('House Count'!F986="RES-MDU",1,IF('House Count'!F986="RES-HOA",1,0))),0)</f>
        <v/>
      </c>
      <c r="K986">
        <f>IF('House Count'!H986="Y",IF('House Count'!F986="COMM-SU",1,IF('House Count'!F986="COM-MTU",1,IF('House Count'!F986="ENT",1,0))),0)</f>
        <v/>
      </c>
    </row>
    <row r="987">
      <c r="H987" s="192" t="n"/>
      <c r="I987" s="773" t="n"/>
      <c r="J987">
        <f>IF('House Count'!H987="Y",IF('House Count'!F987="RES-SFU",1,IF('House Count'!F987="RES-MDU",1,IF('House Count'!F987="RES-HOA",1,0))),0)</f>
        <v/>
      </c>
      <c r="K987">
        <f>IF('House Count'!H987="Y",IF('House Count'!F987="COMM-SU",1,IF('House Count'!F987="COM-MTU",1,IF('House Count'!F987="ENT",1,0))),0)</f>
        <v/>
      </c>
    </row>
    <row r="988">
      <c r="H988" s="192" t="n"/>
      <c r="I988" s="773" t="n"/>
      <c r="J988">
        <f>IF('House Count'!H988="Y",IF('House Count'!F988="RES-SFU",1,IF('House Count'!F988="RES-MDU",1,IF('House Count'!F988="RES-HOA",1,0))),0)</f>
        <v/>
      </c>
      <c r="K988">
        <f>IF('House Count'!H988="Y",IF('House Count'!F988="COMM-SU",1,IF('House Count'!F988="COM-MTU",1,IF('House Count'!F988="ENT",1,0))),0)</f>
        <v/>
      </c>
    </row>
    <row r="989">
      <c r="H989" s="192" t="n"/>
      <c r="I989" s="773" t="n"/>
      <c r="J989">
        <f>IF('House Count'!H989="Y",IF('House Count'!F989="RES-SFU",1,IF('House Count'!F989="RES-MDU",1,IF('House Count'!F989="RES-HOA",1,0))),0)</f>
        <v/>
      </c>
      <c r="K989">
        <f>IF('House Count'!H989="Y",IF('House Count'!F989="COMM-SU",1,IF('House Count'!F989="COM-MTU",1,IF('House Count'!F989="ENT",1,0))),0)</f>
        <v/>
      </c>
    </row>
    <row r="990">
      <c r="H990" s="192" t="n"/>
      <c r="I990" s="773" t="n"/>
      <c r="J990">
        <f>IF('House Count'!H990="Y",IF('House Count'!F990="RES-SFU",1,IF('House Count'!F990="RES-MDU",1,IF('House Count'!F990="RES-HOA",1,0))),0)</f>
        <v/>
      </c>
      <c r="K990">
        <f>IF('House Count'!H990="Y",IF('House Count'!F990="COMM-SU",1,IF('House Count'!F990="COM-MTU",1,IF('House Count'!F990="ENT",1,0))),0)</f>
        <v/>
      </c>
    </row>
    <row r="991">
      <c r="H991" s="192" t="n"/>
      <c r="I991" s="773" t="n"/>
      <c r="J991">
        <f>IF('House Count'!H991="Y",IF('House Count'!F991="RES-SFU",1,IF('House Count'!F991="RES-MDU",1,IF('House Count'!F991="RES-HOA",1,0))),0)</f>
        <v/>
      </c>
      <c r="K991">
        <f>IF('House Count'!H991="Y",IF('House Count'!F991="COMM-SU",1,IF('House Count'!F991="COM-MTU",1,IF('House Count'!F991="ENT",1,0))),0)</f>
        <v/>
      </c>
    </row>
    <row r="992">
      <c r="H992" s="192" t="n"/>
      <c r="I992" s="773" t="n"/>
      <c r="J992">
        <f>IF('House Count'!H992="Y",IF('House Count'!F992="RES-SFU",1,IF('House Count'!F992="RES-MDU",1,IF('House Count'!F992="RES-HOA",1,0))),0)</f>
        <v/>
      </c>
      <c r="K992">
        <f>IF('House Count'!H992="Y",IF('House Count'!F992="COMM-SU",1,IF('House Count'!F992="COM-MTU",1,IF('House Count'!F992="ENT",1,0))),0)</f>
        <v/>
      </c>
    </row>
    <row r="993">
      <c r="H993" s="192" t="n"/>
      <c r="I993" s="773" t="n"/>
      <c r="J993">
        <f>IF('House Count'!H993="Y",IF('House Count'!F993="RES-SFU",1,IF('House Count'!F993="RES-MDU",1,IF('House Count'!F993="RES-HOA",1,0))),0)</f>
        <v/>
      </c>
      <c r="K993">
        <f>IF('House Count'!H993="Y",IF('House Count'!F993="COMM-SU",1,IF('House Count'!F993="COM-MTU",1,IF('House Count'!F993="ENT",1,0))),0)</f>
        <v/>
      </c>
    </row>
    <row r="994">
      <c r="H994" s="192" t="n"/>
      <c r="I994" s="773" t="n"/>
      <c r="J994">
        <f>IF('House Count'!H994="Y",IF('House Count'!F994="RES-SFU",1,IF('House Count'!F994="RES-MDU",1,IF('House Count'!F994="RES-HOA",1,0))),0)</f>
        <v/>
      </c>
      <c r="K994">
        <f>IF('House Count'!H994="Y",IF('House Count'!F994="COMM-SU",1,IF('House Count'!F994="COM-MTU",1,IF('House Count'!F994="ENT",1,0))),0)</f>
        <v/>
      </c>
    </row>
    <row r="995">
      <c r="H995" s="192" t="n"/>
      <c r="I995" s="773" t="n"/>
      <c r="J995">
        <f>IF('House Count'!H995="Y",IF('House Count'!F995="RES-SFU",1,IF('House Count'!F995="RES-MDU",1,IF('House Count'!F995="RES-HOA",1,0))),0)</f>
        <v/>
      </c>
      <c r="K995">
        <f>IF('House Count'!H995="Y",IF('House Count'!F995="COMM-SU",1,IF('House Count'!F995="COM-MTU",1,IF('House Count'!F995="ENT",1,0))),0)</f>
        <v/>
      </c>
    </row>
    <row r="996">
      <c r="H996" s="192" t="n"/>
      <c r="I996" s="773" t="n"/>
      <c r="J996">
        <f>IF('House Count'!H996="Y",IF('House Count'!F996="RES-SFU",1,IF('House Count'!F996="RES-MDU",1,IF('House Count'!F996="RES-HOA",1,0))),0)</f>
        <v/>
      </c>
      <c r="K996">
        <f>IF('House Count'!H996="Y",IF('House Count'!F996="COMM-SU",1,IF('House Count'!F996="COM-MTU",1,IF('House Count'!F996="ENT",1,0))),0)</f>
        <v/>
      </c>
    </row>
    <row r="997" ht="15.75" customHeight="1" thickBot="1">
      <c r="A997" s="774" t="n"/>
      <c r="B997" s="774" t="n"/>
      <c r="C997" s="774" t="n"/>
      <c r="D997" s="774" t="n"/>
      <c r="E997" s="774" t="n"/>
      <c r="F997" s="774" t="n"/>
      <c r="G997" s="774" t="n"/>
      <c r="H997" s="774" t="n"/>
      <c r="I997" s="775" t="n"/>
      <c r="J997">
        <f>IF('House Count'!H997="Y",IF('House Count'!F997="RES-SFU",1,IF('House Count'!F997="RES-MDU",1,IF('House Count'!F997="RES-HOA",1,0))),0)</f>
        <v/>
      </c>
      <c r="K997">
        <f>IF('House Count'!H997="Y",IF('House Count'!F997="COMM-SU",1,IF('House Count'!F997="COM-MTU",1,IF('House Count'!F997="ENT",1,0))),0)</f>
        <v/>
      </c>
    </row>
    <row r="998" ht="15.75" customHeight="1" thickTop="1">
      <c r="H998" s="192" t="n"/>
      <c r="I998" s="773" t="n"/>
      <c r="J998">
        <f>IF('House Count'!H998="Y",IF('House Count'!F998="RES-SFU",1,IF('House Count'!F998="RES-MDU",1,IF('House Count'!F998="RES-HOA",1,0))),0)</f>
        <v/>
      </c>
      <c r="K998">
        <f>IF('House Count'!H998="Y",IF('House Count'!F998="COMM-SU",1,IF('House Count'!F998="COM-MTU",1,IF('House Count'!F998="ENT",1,0))),0)</f>
        <v/>
      </c>
    </row>
    <row r="999">
      <c r="H999" s="192" t="n"/>
      <c r="I999" s="773" t="n"/>
      <c r="J999">
        <f>IF('House Count'!H999="Y",IF('House Count'!F999="RES-SFU",1,IF('House Count'!F999="RES-MDU",1,IF('House Count'!F999="RES-HOA",1,0))),0)</f>
        <v/>
      </c>
      <c r="K999">
        <f>IF('House Count'!H999="Y",IF('House Count'!F999="COMM-SU",1,IF('House Count'!F999="COM-MTU",1,IF('House Count'!F999="ENT",1,0))),0)</f>
        <v/>
      </c>
    </row>
    <row r="1000">
      <c r="H1000" s="192" t="n"/>
      <c r="I1000" s="773" t="n"/>
      <c r="J1000">
        <f>IF('House Count'!H1000="Y",IF('House Count'!F1000="RES-SFU",1,IF('House Count'!F1000="RES-MDU",1,IF('House Count'!F1000="RES-HOA",1,0))),0)</f>
        <v/>
      </c>
      <c r="K1000">
        <f>IF('House Count'!H1000="Y",IF('House Count'!F1000="COMM-SU",1,IF('House Count'!F1000="COM-MTU",1,IF('House Count'!F1000="ENT",1,0))),0)</f>
        <v/>
      </c>
    </row>
    <row r="1001">
      <c r="H1001" s="192" t="n"/>
      <c r="I1001" s="773" t="n"/>
      <c r="J1001">
        <f>IF('House Count'!H1001="Y",IF('House Count'!F1001="RES-SFU",1,IF('House Count'!F1001="RES-MDU",1,IF('House Count'!F1001="RES-HOA",1,0))),0)</f>
        <v/>
      </c>
      <c r="K1001">
        <f>IF('House Count'!H1001="Y",IF('House Count'!F1001="COMM-SU",1,IF('House Count'!F1001="COM-MTU",1,IF('House Count'!F1001="ENT",1,0))),0)</f>
        <v/>
      </c>
    </row>
    <row r="1002">
      <c r="H1002" s="192" t="n"/>
      <c r="I1002" s="773" t="n"/>
      <c r="J1002">
        <f>IF('House Count'!H1002="Y",IF('House Count'!F1002="RES-SFU",1,IF('House Count'!F1002="RES-MDU",1,IF('House Count'!F1002="RES-HOA",1,0))),0)</f>
        <v/>
      </c>
      <c r="K1002">
        <f>IF('House Count'!H1002="Y",IF('House Count'!F1002="COMM-SU",1,IF('House Count'!F1002="COM-MTU",1,IF('House Count'!F1002="ENT",1,0))),0)</f>
        <v/>
      </c>
    </row>
    <row r="1003">
      <c r="H1003" s="192" t="n"/>
      <c r="I1003" s="773" t="n"/>
      <c r="J1003">
        <f>IF('House Count'!H1003="Y",IF('House Count'!F1003="RES-SFU",1,IF('House Count'!F1003="RES-MDU",1,IF('House Count'!F1003="RES-HOA",1,0))),0)</f>
        <v/>
      </c>
      <c r="K1003">
        <f>IF('House Count'!H1003="Y",IF('House Count'!F1003="COMM-SU",1,IF('House Count'!F1003="COM-MTU",1,IF('House Count'!F1003="ENT",1,0))),0)</f>
        <v/>
      </c>
    </row>
    <row r="1004">
      <c r="H1004" s="192" t="n"/>
      <c r="I1004" s="773" t="n"/>
      <c r="J1004">
        <f>IF('House Count'!H1004="Y",IF('House Count'!F1004="RES-SFU",1,IF('House Count'!F1004="RES-MDU",1,IF('House Count'!F1004="RES-HOA",1,0))),0)</f>
        <v/>
      </c>
      <c r="K1004">
        <f>IF('House Count'!H1004="Y",IF('House Count'!F1004="COMM-SU",1,IF('House Count'!F1004="COM-MTU",1,IF('House Count'!F1004="ENT",1,0))),0)</f>
        <v/>
      </c>
    </row>
    <row r="1005">
      <c r="H1005" s="192" t="n"/>
      <c r="I1005" s="773" t="n"/>
      <c r="J1005">
        <f>IF('House Count'!H1005="Y",IF('House Count'!F1005="RES-SFU",1,IF('House Count'!F1005="RES-MDU",1,IF('House Count'!F1005="RES-HOA",1,0))),0)</f>
        <v/>
      </c>
      <c r="K1005">
        <f>IF('House Count'!H1005="Y",IF('House Count'!F1005="COMM-SU",1,IF('House Count'!F1005="COM-MTU",1,IF('House Count'!F1005="ENT",1,0))),0)</f>
        <v/>
      </c>
    </row>
    <row r="1006">
      <c r="H1006" s="192" t="n"/>
      <c r="I1006" s="773" t="n"/>
      <c r="J1006">
        <f>IF('House Count'!H1006="Y",IF('House Count'!F1006="RES-SFU",1,IF('House Count'!F1006="RES-MDU",1,IF('House Count'!F1006="RES-HOA",1,0))),0)</f>
        <v/>
      </c>
      <c r="K1006">
        <f>IF('House Count'!H1006="Y",IF('House Count'!F1006="COMM-SU",1,IF('House Count'!F1006="COM-MTU",1,IF('House Count'!F1006="ENT",1,0))),0)</f>
        <v/>
      </c>
    </row>
    <row r="1007">
      <c r="H1007" s="192" t="n"/>
      <c r="I1007" s="773" t="n"/>
      <c r="J1007">
        <f>IF('House Count'!H1007="Y",IF('House Count'!F1007="RES-SFU",1,IF('House Count'!F1007="RES-MDU",1,IF('House Count'!F1007="RES-HOA",1,0))),0)</f>
        <v/>
      </c>
      <c r="K1007">
        <f>IF('House Count'!H1007="Y",IF('House Count'!F1007="COMM-SU",1,IF('House Count'!F1007="COM-MTU",1,IF('House Count'!F1007="ENT",1,0))),0)</f>
        <v/>
      </c>
    </row>
    <row r="1008">
      <c r="H1008" s="192" t="n"/>
      <c r="I1008" s="773" t="n"/>
      <c r="J1008">
        <f>IF('House Count'!H1008="Y",IF('House Count'!F1008="RES-SFU",1,IF('House Count'!F1008="RES-MDU",1,IF('House Count'!F1008="RES-HOA",1,0))),0)</f>
        <v/>
      </c>
      <c r="K1008">
        <f>IF('House Count'!H1008="Y",IF('House Count'!F1008="COMM-SU",1,IF('House Count'!F1008="COM-MTU",1,IF('House Count'!F1008="ENT",1,0))),0)</f>
        <v/>
      </c>
    </row>
    <row r="1009" ht="15.75" customHeight="1" thickBot="1">
      <c r="A1009" s="774" t="n"/>
      <c r="B1009" s="774" t="n"/>
      <c r="C1009" s="774" t="n"/>
      <c r="D1009" s="774" t="n"/>
      <c r="E1009" s="774" t="n"/>
      <c r="F1009" s="774" t="n"/>
      <c r="G1009" s="774" t="n"/>
      <c r="H1009" s="774" t="n"/>
      <c r="I1009" s="775" t="n"/>
      <c r="J1009">
        <f>IF('House Count'!H1009="Y",IF('House Count'!F1009="RES-SFU",1,IF('House Count'!F1009="RES-MDU",1,IF('House Count'!F1009="RES-HOA",1,0))),0)</f>
        <v/>
      </c>
      <c r="K1009">
        <f>IF('House Count'!H1009="Y",IF('House Count'!F1009="COMM-SU",1,IF('House Count'!F1009="COM-MTU",1,IF('House Count'!F1009="ENT",1,0))),0)</f>
        <v/>
      </c>
    </row>
    <row r="1010" ht="15.75" customHeight="1" thickTop="1">
      <c r="H1010" s="192" t="n"/>
      <c r="I1010" s="773" t="n"/>
      <c r="J1010">
        <f>IF('House Count'!H1010="Y",IF('House Count'!F1010="RES-SFU",1,IF('House Count'!F1010="RES-MDU",1,IF('House Count'!F1010="RES-HOA",1,0))),0)</f>
        <v/>
      </c>
      <c r="K1010">
        <f>IF('House Count'!H1010="Y",IF('House Count'!F1010="COMM-SU",1,IF('House Count'!F1010="COM-MTU",1,IF('House Count'!F1010="ENT",1,0))),0)</f>
        <v/>
      </c>
    </row>
    <row r="1011">
      <c r="H1011" s="192" t="n"/>
      <c r="I1011" s="773" t="n"/>
      <c r="J1011">
        <f>IF('House Count'!H1011="Y",IF('House Count'!F1011="RES-SFU",1,IF('House Count'!F1011="RES-MDU",1,IF('House Count'!F1011="RES-HOA",1,0))),0)</f>
        <v/>
      </c>
      <c r="K1011">
        <f>IF('House Count'!H1011="Y",IF('House Count'!F1011="COMM-SU",1,IF('House Count'!F1011="COM-MTU",1,IF('House Count'!F1011="ENT",1,0))),0)</f>
        <v/>
      </c>
    </row>
    <row r="1012">
      <c r="H1012" s="192" t="n"/>
      <c r="I1012" s="773" t="n"/>
      <c r="J1012">
        <f>IF('House Count'!H1012="Y",IF('House Count'!F1012="RES-SFU",1,IF('House Count'!F1012="RES-MDU",1,IF('House Count'!F1012="RES-HOA",1,0))),0)</f>
        <v/>
      </c>
      <c r="K1012">
        <f>IF('House Count'!H1012="Y",IF('House Count'!F1012="COMM-SU",1,IF('House Count'!F1012="COM-MTU",1,IF('House Count'!F1012="ENT",1,0))),0)</f>
        <v/>
      </c>
    </row>
    <row r="1013">
      <c r="H1013" s="192" t="n"/>
      <c r="I1013" s="773" t="n"/>
      <c r="J1013">
        <f>IF('House Count'!H1013="Y",IF('House Count'!F1013="RES-SFU",1,IF('House Count'!F1013="RES-MDU",1,IF('House Count'!F1013="RES-HOA",1,0))),0)</f>
        <v/>
      </c>
      <c r="K1013">
        <f>IF('House Count'!H1013="Y",IF('House Count'!F1013="COMM-SU",1,IF('House Count'!F1013="COM-MTU",1,IF('House Count'!F1013="ENT",1,0))),0)</f>
        <v/>
      </c>
    </row>
    <row r="1014">
      <c r="H1014" s="192" t="n"/>
      <c r="I1014" s="773" t="n"/>
      <c r="J1014">
        <f>IF('House Count'!H1014="Y",IF('House Count'!F1014="RES-SFU",1,IF('House Count'!F1014="RES-MDU",1,IF('House Count'!F1014="RES-HOA",1,0))),0)</f>
        <v/>
      </c>
      <c r="K1014">
        <f>IF('House Count'!H1014="Y",IF('House Count'!F1014="COMM-SU",1,IF('House Count'!F1014="COM-MTU",1,IF('House Count'!F1014="ENT",1,0))),0)</f>
        <v/>
      </c>
    </row>
    <row r="1015">
      <c r="H1015" s="192" t="n"/>
      <c r="I1015" s="773" t="n"/>
      <c r="J1015">
        <f>IF('House Count'!H1015="Y",IF('House Count'!F1015="RES-SFU",1,IF('House Count'!F1015="RES-MDU",1,IF('House Count'!F1015="RES-HOA",1,0))),0)</f>
        <v/>
      </c>
      <c r="K1015">
        <f>IF('House Count'!H1015="Y",IF('House Count'!F1015="COMM-SU",1,IF('House Count'!F1015="COM-MTU",1,IF('House Count'!F1015="ENT",1,0))),0)</f>
        <v/>
      </c>
    </row>
    <row r="1016">
      <c r="H1016" s="192" t="n"/>
      <c r="I1016" s="773" t="n"/>
      <c r="J1016">
        <f>IF('House Count'!H1016="Y",IF('House Count'!F1016="RES-SFU",1,IF('House Count'!F1016="RES-MDU",1,IF('House Count'!F1016="RES-HOA",1,0))),0)</f>
        <v/>
      </c>
      <c r="K1016">
        <f>IF('House Count'!H1016="Y",IF('House Count'!F1016="COMM-SU",1,IF('House Count'!F1016="COM-MTU",1,IF('House Count'!F1016="ENT",1,0))),0)</f>
        <v/>
      </c>
    </row>
    <row r="1017">
      <c r="H1017" s="192" t="n"/>
      <c r="I1017" s="773" t="n"/>
      <c r="J1017">
        <f>IF('House Count'!H1017="Y",IF('House Count'!F1017="RES-SFU",1,IF('House Count'!F1017="RES-MDU",1,IF('House Count'!F1017="RES-HOA",1,0))),0)</f>
        <v/>
      </c>
      <c r="K1017">
        <f>IF('House Count'!H1017="Y",IF('House Count'!F1017="COMM-SU",1,IF('House Count'!F1017="COM-MTU",1,IF('House Count'!F1017="ENT",1,0))),0)</f>
        <v/>
      </c>
    </row>
    <row r="1018">
      <c r="H1018" s="192" t="n"/>
      <c r="I1018" s="773" t="n"/>
      <c r="J1018">
        <f>IF('House Count'!H1018="Y",IF('House Count'!F1018="RES-SFU",1,IF('House Count'!F1018="RES-MDU",1,IF('House Count'!F1018="RES-HOA",1,0))),0)</f>
        <v/>
      </c>
      <c r="K1018">
        <f>IF('House Count'!H1018="Y",IF('House Count'!F1018="COMM-SU",1,IF('House Count'!F1018="COM-MTU",1,IF('House Count'!F1018="ENT",1,0))),0)</f>
        <v/>
      </c>
    </row>
    <row r="1019">
      <c r="H1019" s="192" t="n"/>
      <c r="I1019" s="773" t="n"/>
      <c r="J1019">
        <f>IF('House Count'!H1019="Y",IF('House Count'!F1019="RES-SFU",1,IF('House Count'!F1019="RES-MDU",1,IF('House Count'!F1019="RES-HOA",1,0))),0)</f>
        <v/>
      </c>
      <c r="K1019">
        <f>IF('House Count'!H1019="Y",IF('House Count'!F1019="COMM-SU",1,IF('House Count'!F1019="COM-MTU",1,IF('House Count'!F1019="ENT",1,0))),0)</f>
        <v/>
      </c>
    </row>
    <row r="1020">
      <c r="H1020" s="192" t="n"/>
      <c r="I1020" s="773" t="n"/>
      <c r="J1020">
        <f>IF('House Count'!H1020="Y",IF('House Count'!F1020="RES-SFU",1,IF('House Count'!F1020="RES-MDU",1,IF('House Count'!F1020="RES-HOA",1,0))),0)</f>
        <v/>
      </c>
      <c r="K1020">
        <f>IF('House Count'!H1020="Y",IF('House Count'!F1020="COMM-SU",1,IF('House Count'!F1020="COM-MTU",1,IF('House Count'!F1020="ENT",1,0))),0)</f>
        <v/>
      </c>
    </row>
    <row r="1021" ht="15.75" customHeight="1" thickBot="1">
      <c r="A1021" s="774" t="n"/>
      <c r="B1021" s="774" t="n"/>
      <c r="C1021" s="774" t="n"/>
      <c r="D1021" s="774" t="n"/>
      <c r="E1021" s="774" t="n"/>
      <c r="F1021" s="774" t="n"/>
      <c r="G1021" s="774" t="n"/>
      <c r="H1021" s="774" t="n"/>
      <c r="I1021" s="775" t="n"/>
      <c r="J1021">
        <f>IF('House Count'!H1021="Y",IF('House Count'!F1021="RES-SFU",1,IF('House Count'!F1021="RES-MDU",1,IF('House Count'!F1021="RES-HOA",1,0))),0)</f>
        <v/>
      </c>
      <c r="K1021">
        <f>IF('House Count'!H1021="Y",IF('House Count'!F1021="COMM-SU",1,IF('House Count'!F1021="COM-MTU",1,IF('House Count'!F1021="ENT",1,0))),0)</f>
        <v/>
      </c>
    </row>
    <row r="1022" ht="15.75" customHeight="1" thickTop="1">
      <c r="H1022" s="192" t="n"/>
      <c r="I1022" s="773" t="n"/>
      <c r="J1022">
        <f>IF('House Count'!H1022="Y",IF('House Count'!F1022="RES-SFU",1,IF('House Count'!F1022="RES-MDU",1,IF('House Count'!F1022="RES-HOA",1,0))),0)</f>
        <v/>
      </c>
      <c r="K1022">
        <f>IF('House Count'!H1022="Y",IF('House Count'!F1022="COMM-SU",1,IF('House Count'!F1022="COM-MTU",1,IF('House Count'!F1022="ENT",1,0))),0)</f>
        <v/>
      </c>
    </row>
    <row r="1023">
      <c r="H1023" s="192" t="n"/>
      <c r="I1023" s="773" t="n"/>
      <c r="J1023">
        <f>IF('House Count'!H1023="Y",IF('House Count'!F1023="RES-SFU",1,IF('House Count'!F1023="RES-MDU",1,IF('House Count'!F1023="RES-HOA",1,0))),0)</f>
        <v/>
      </c>
      <c r="K1023">
        <f>IF('House Count'!H1023="Y",IF('House Count'!F1023="COMM-SU",1,IF('House Count'!F1023="COM-MTU",1,IF('House Count'!F1023="ENT",1,0))),0)</f>
        <v/>
      </c>
    </row>
    <row r="1024">
      <c r="H1024" s="192" t="n"/>
      <c r="I1024" s="773" t="n"/>
      <c r="J1024">
        <f>IF('House Count'!H1024="Y",IF('House Count'!F1024="RES-SFU",1,IF('House Count'!F1024="RES-MDU",1,IF('House Count'!F1024="RES-HOA",1,0))),0)</f>
        <v/>
      </c>
      <c r="K1024">
        <f>IF('House Count'!H1024="Y",IF('House Count'!F1024="COMM-SU",1,IF('House Count'!F1024="COM-MTU",1,IF('House Count'!F1024="ENT",1,0))),0)</f>
        <v/>
      </c>
    </row>
    <row r="1025">
      <c r="H1025" s="192" t="n"/>
      <c r="I1025" s="773" t="n"/>
      <c r="J1025">
        <f>IF('House Count'!H1025="Y",IF('House Count'!F1025="RES-SFU",1,IF('House Count'!F1025="RES-MDU",1,IF('House Count'!F1025="RES-HOA",1,0))),0)</f>
        <v/>
      </c>
      <c r="K1025">
        <f>IF('House Count'!H1025="Y",IF('House Count'!F1025="COMM-SU",1,IF('House Count'!F1025="COM-MTU",1,IF('House Count'!F1025="ENT",1,0))),0)</f>
        <v/>
      </c>
    </row>
    <row r="1026">
      <c r="H1026" s="192" t="n"/>
      <c r="I1026" s="773" t="n"/>
      <c r="J1026">
        <f>IF('House Count'!H1026="Y",IF('House Count'!F1026="RES-SFU",1,IF('House Count'!F1026="RES-MDU",1,IF('House Count'!F1026="RES-HOA",1,0))),0)</f>
        <v/>
      </c>
      <c r="K1026">
        <f>IF('House Count'!H1026="Y",IF('House Count'!F1026="COMM-SU",1,IF('House Count'!F1026="COM-MTU",1,IF('House Count'!F1026="ENT",1,0))),0)</f>
        <v/>
      </c>
    </row>
    <row r="1027">
      <c r="H1027" s="192" t="n"/>
      <c r="I1027" s="773" t="n"/>
      <c r="J1027">
        <f>IF('House Count'!H1027="Y",IF('House Count'!F1027="RES-SFU",1,IF('House Count'!F1027="RES-MDU",1,IF('House Count'!F1027="RES-HOA",1,0))),0)</f>
        <v/>
      </c>
      <c r="K1027">
        <f>IF('House Count'!H1027="Y",IF('House Count'!F1027="COMM-SU",1,IF('House Count'!F1027="COM-MTU",1,IF('House Count'!F1027="ENT",1,0))),0)</f>
        <v/>
      </c>
    </row>
    <row r="1028">
      <c r="H1028" s="192" t="n"/>
      <c r="I1028" s="773" t="n"/>
      <c r="J1028">
        <f>IF('House Count'!H1028="Y",IF('House Count'!F1028="RES-SFU",1,IF('House Count'!F1028="RES-MDU",1,IF('House Count'!F1028="RES-HOA",1,0))),0)</f>
        <v/>
      </c>
      <c r="K1028">
        <f>IF('House Count'!H1028="Y",IF('House Count'!F1028="COMM-SU",1,IF('House Count'!F1028="COM-MTU",1,IF('House Count'!F1028="ENT",1,0))),0)</f>
        <v/>
      </c>
    </row>
    <row r="1029">
      <c r="H1029" s="192" t="n"/>
      <c r="I1029" s="773" t="n"/>
      <c r="J1029">
        <f>IF('House Count'!H1029="Y",IF('House Count'!F1029="RES-SFU",1,IF('House Count'!F1029="RES-MDU",1,IF('House Count'!F1029="RES-HOA",1,0))),0)</f>
        <v/>
      </c>
      <c r="K1029">
        <f>IF('House Count'!H1029="Y",IF('House Count'!F1029="COMM-SU",1,IF('House Count'!F1029="COM-MTU",1,IF('House Count'!F1029="ENT",1,0))),0)</f>
        <v/>
      </c>
    </row>
    <row r="1030">
      <c r="H1030" s="192" t="n"/>
      <c r="I1030" s="773" t="n"/>
      <c r="J1030">
        <f>IF('House Count'!H1030="Y",IF('House Count'!F1030="RES-SFU",1,IF('House Count'!F1030="RES-MDU",1,IF('House Count'!F1030="RES-HOA",1,0))),0)</f>
        <v/>
      </c>
      <c r="K1030">
        <f>IF('House Count'!H1030="Y",IF('House Count'!F1030="COMM-SU",1,IF('House Count'!F1030="COM-MTU",1,IF('House Count'!F1030="ENT",1,0))),0)</f>
        <v/>
      </c>
    </row>
    <row r="1031">
      <c r="H1031" s="192" t="n"/>
      <c r="I1031" s="773" t="n"/>
      <c r="J1031">
        <f>IF('House Count'!H1031="Y",IF('House Count'!F1031="RES-SFU",1,IF('House Count'!F1031="RES-MDU",1,IF('House Count'!F1031="RES-HOA",1,0))),0)</f>
        <v/>
      </c>
      <c r="K1031">
        <f>IF('House Count'!H1031="Y",IF('House Count'!F1031="COMM-SU",1,IF('House Count'!F1031="COM-MTU",1,IF('House Count'!F1031="ENT",1,0))),0)</f>
        <v/>
      </c>
    </row>
    <row r="1032">
      <c r="H1032" s="192" t="n"/>
      <c r="I1032" s="773" t="n"/>
      <c r="J1032">
        <f>IF('House Count'!H1032="Y",IF('House Count'!F1032="RES-SFU",1,IF('House Count'!F1032="RES-MDU",1,IF('House Count'!F1032="RES-HOA",1,0))),0)</f>
        <v/>
      </c>
      <c r="K1032">
        <f>IF('House Count'!H1032="Y",IF('House Count'!F1032="COMM-SU",1,IF('House Count'!F1032="COM-MTU",1,IF('House Count'!F1032="ENT",1,0))),0)</f>
        <v/>
      </c>
    </row>
    <row r="1033" ht="15.75" customHeight="1" thickBot="1">
      <c r="A1033" s="774" t="n"/>
      <c r="B1033" s="774" t="n"/>
      <c r="C1033" s="774" t="n"/>
      <c r="D1033" s="774" t="n"/>
      <c r="E1033" s="774" t="n"/>
      <c r="F1033" s="774" t="n"/>
      <c r="G1033" s="774" t="n"/>
      <c r="H1033" s="774" t="n"/>
      <c r="I1033" s="775" t="n"/>
      <c r="J1033">
        <f>IF('House Count'!H1033="Y",IF('House Count'!F1033="RES-SFU",1,IF('House Count'!F1033="RES-MDU",1,IF('House Count'!F1033="RES-HOA",1,0))),0)</f>
        <v/>
      </c>
      <c r="K1033">
        <f>IF('House Count'!H1033="Y",IF('House Count'!F1033="COMM-SU",1,IF('House Count'!F1033="COM-MTU",1,IF('House Count'!F1033="ENT",1,0))),0)</f>
        <v/>
      </c>
    </row>
    <row r="1034" ht="15.75" customHeight="1" thickTop="1">
      <c r="H1034" s="192" t="n"/>
      <c r="I1034" s="773" t="n"/>
      <c r="J1034">
        <f>IF('House Count'!H1034="Y",IF('House Count'!F1034="RES-SFU",1,IF('House Count'!F1034="RES-MDU",1,IF('House Count'!F1034="RES-HOA",1,0))),0)</f>
        <v/>
      </c>
      <c r="K1034">
        <f>IF('House Count'!H1034="Y",IF('House Count'!F1034="COMM-SU",1,IF('House Count'!F1034="COM-MTU",1,IF('House Count'!F1034="ENT",1,0))),0)</f>
        <v/>
      </c>
    </row>
    <row r="1035">
      <c r="H1035" s="192" t="n"/>
      <c r="I1035" s="773" t="n"/>
      <c r="J1035">
        <f>IF('House Count'!H1035="Y",IF('House Count'!F1035="RES-SFU",1,IF('House Count'!F1035="RES-MDU",1,IF('House Count'!F1035="RES-HOA",1,0))),0)</f>
        <v/>
      </c>
      <c r="K1035">
        <f>IF('House Count'!H1035="Y",IF('House Count'!F1035="COMM-SU",1,IF('House Count'!F1035="COM-MTU",1,IF('House Count'!F1035="ENT",1,0))),0)</f>
        <v/>
      </c>
    </row>
    <row r="1036">
      <c r="H1036" s="192" t="n"/>
      <c r="I1036" s="773" t="n"/>
      <c r="J1036">
        <f>IF('House Count'!H1036="Y",IF('House Count'!F1036="RES-SFU",1,IF('House Count'!F1036="RES-MDU",1,IF('House Count'!F1036="RES-HOA",1,0))),0)</f>
        <v/>
      </c>
      <c r="K1036">
        <f>IF('House Count'!H1036="Y",IF('House Count'!F1036="COMM-SU",1,IF('House Count'!F1036="COM-MTU",1,IF('House Count'!F1036="ENT",1,0))),0)</f>
        <v/>
      </c>
    </row>
    <row r="1037">
      <c r="H1037" s="192" t="n"/>
      <c r="I1037" s="773" t="n"/>
      <c r="J1037">
        <f>IF('House Count'!H1037="Y",IF('House Count'!F1037="RES-SFU",1,IF('House Count'!F1037="RES-MDU",1,IF('House Count'!F1037="RES-HOA",1,0))),0)</f>
        <v/>
      </c>
      <c r="K1037">
        <f>IF('House Count'!H1037="Y",IF('House Count'!F1037="COMM-SU",1,IF('House Count'!F1037="COM-MTU",1,IF('House Count'!F1037="ENT",1,0))),0)</f>
        <v/>
      </c>
    </row>
    <row r="1038">
      <c r="H1038" s="192" t="n"/>
      <c r="I1038" s="773" t="n"/>
      <c r="J1038">
        <f>IF('House Count'!H1038="Y",IF('House Count'!F1038="RES-SFU",1,IF('House Count'!F1038="RES-MDU",1,IF('House Count'!F1038="RES-HOA",1,0))),0)</f>
        <v/>
      </c>
      <c r="K1038">
        <f>IF('House Count'!H1038="Y",IF('House Count'!F1038="COMM-SU",1,IF('House Count'!F1038="COM-MTU",1,IF('House Count'!F1038="ENT",1,0))),0)</f>
        <v/>
      </c>
    </row>
    <row r="1039">
      <c r="H1039" s="192" t="n"/>
      <c r="I1039" s="773" t="n"/>
      <c r="J1039">
        <f>IF('House Count'!H1039="Y",IF('House Count'!F1039="RES-SFU",1,IF('House Count'!F1039="RES-MDU",1,IF('House Count'!F1039="RES-HOA",1,0))),0)</f>
        <v/>
      </c>
      <c r="K1039">
        <f>IF('House Count'!H1039="Y",IF('House Count'!F1039="COMM-SU",1,IF('House Count'!F1039="COM-MTU",1,IF('House Count'!F1039="ENT",1,0))),0)</f>
        <v/>
      </c>
    </row>
    <row r="1040">
      <c r="H1040" s="192" t="n"/>
      <c r="I1040" s="773" t="n"/>
      <c r="J1040">
        <f>IF('House Count'!H1040="Y",IF('House Count'!F1040="RES-SFU",1,IF('House Count'!F1040="RES-MDU",1,IF('House Count'!F1040="RES-HOA",1,0))),0)</f>
        <v/>
      </c>
      <c r="K1040">
        <f>IF('House Count'!H1040="Y",IF('House Count'!F1040="COMM-SU",1,IF('House Count'!F1040="COM-MTU",1,IF('House Count'!F1040="ENT",1,0))),0)</f>
        <v/>
      </c>
    </row>
    <row r="1041">
      <c r="H1041" s="192" t="n"/>
      <c r="I1041" s="773" t="n"/>
      <c r="J1041">
        <f>IF('House Count'!H1041="Y",IF('House Count'!F1041="RES-SFU",1,IF('House Count'!F1041="RES-MDU",1,IF('House Count'!F1041="RES-HOA",1,0))),0)</f>
        <v/>
      </c>
      <c r="K1041">
        <f>IF('House Count'!H1041="Y",IF('House Count'!F1041="COMM-SU",1,IF('House Count'!F1041="COM-MTU",1,IF('House Count'!F1041="ENT",1,0))),0)</f>
        <v/>
      </c>
    </row>
    <row r="1042">
      <c r="H1042" s="192" t="n"/>
      <c r="I1042" s="773" t="n"/>
      <c r="J1042">
        <f>IF('House Count'!H1042="Y",IF('House Count'!F1042="RES-SFU",1,IF('House Count'!F1042="RES-MDU",1,IF('House Count'!F1042="RES-HOA",1,0))),0)</f>
        <v/>
      </c>
      <c r="K1042">
        <f>IF('House Count'!H1042="Y",IF('House Count'!F1042="COMM-SU",1,IF('House Count'!F1042="COM-MTU",1,IF('House Count'!F1042="ENT",1,0))),0)</f>
        <v/>
      </c>
    </row>
    <row r="1043">
      <c r="H1043" s="192" t="n"/>
      <c r="I1043" s="773" t="n"/>
      <c r="J1043">
        <f>IF('House Count'!H1043="Y",IF('House Count'!F1043="RES-SFU",1,IF('House Count'!F1043="RES-MDU",1,IF('House Count'!F1043="RES-HOA",1,0))),0)</f>
        <v/>
      </c>
      <c r="K1043">
        <f>IF('House Count'!H1043="Y",IF('House Count'!F1043="COMM-SU",1,IF('House Count'!F1043="COM-MTU",1,IF('House Count'!F1043="ENT",1,0))),0)</f>
        <v/>
      </c>
    </row>
    <row r="1044">
      <c r="H1044" s="192" t="n"/>
      <c r="I1044" s="773" t="n"/>
      <c r="J1044">
        <f>IF('House Count'!H1044="Y",IF('House Count'!F1044="RES-SFU",1,IF('House Count'!F1044="RES-MDU",1,IF('House Count'!F1044="RES-HOA",1,0))),0)</f>
        <v/>
      </c>
      <c r="K1044">
        <f>IF('House Count'!H1044="Y",IF('House Count'!F1044="COMM-SU",1,IF('House Count'!F1044="COM-MTU",1,IF('House Count'!F1044="ENT",1,0))),0)</f>
        <v/>
      </c>
    </row>
    <row r="1045" ht="15.75" customHeight="1" thickBot="1">
      <c r="A1045" s="774" t="n"/>
      <c r="B1045" s="774" t="n"/>
      <c r="C1045" s="774" t="n"/>
      <c r="D1045" s="774" t="n"/>
      <c r="E1045" s="774" t="n"/>
      <c r="F1045" s="774" t="n"/>
      <c r="G1045" s="774" t="n"/>
      <c r="H1045" s="774" t="n"/>
      <c r="I1045" s="775" t="n"/>
      <c r="J1045">
        <f>IF('House Count'!H1045="Y",IF('House Count'!F1045="RES-SFU",1,IF('House Count'!F1045="RES-MDU",1,IF('House Count'!F1045="RES-HOA",1,0))),0)</f>
        <v/>
      </c>
      <c r="K1045">
        <f>IF('House Count'!H1045="Y",IF('House Count'!F1045="COMM-SU",1,IF('House Count'!F1045="COM-MTU",1,IF('House Count'!F1045="ENT",1,0))),0)</f>
        <v/>
      </c>
    </row>
    <row r="1046" ht="15.75" customHeight="1" thickTop="1">
      <c r="H1046" s="192" t="n"/>
      <c r="I1046" s="773" t="n"/>
      <c r="J1046">
        <f>IF('House Count'!H1046="Y",IF('House Count'!F1046="RES-SFU",1,IF('House Count'!F1046="RES-MDU",1,IF('House Count'!F1046="RES-HOA",1,0))),0)</f>
        <v/>
      </c>
      <c r="K1046">
        <f>IF('House Count'!H1046="Y",IF('House Count'!F1046="COMM-SU",1,IF('House Count'!F1046="COM-MTU",1,IF('House Count'!F1046="ENT",1,0))),0)</f>
        <v/>
      </c>
    </row>
    <row r="1047">
      <c r="H1047" s="192" t="n"/>
      <c r="I1047" s="773" t="n"/>
      <c r="J1047">
        <f>IF('House Count'!H1047="Y",IF('House Count'!F1047="RES-SFU",1,IF('House Count'!F1047="RES-MDU",1,IF('House Count'!F1047="RES-HOA",1,0))),0)</f>
        <v/>
      </c>
      <c r="K1047">
        <f>IF('House Count'!H1047="Y",IF('House Count'!F1047="COMM-SU",1,IF('House Count'!F1047="COM-MTU",1,IF('House Count'!F1047="ENT",1,0))),0)</f>
        <v/>
      </c>
    </row>
    <row r="1048">
      <c r="H1048" s="192" t="n"/>
      <c r="I1048" s="773" t="n"/>
      <c r="J1048">
        <f>IF('House Count'!H1048="Y",IF('House Count'!F1048="RES-SFU",1,IF('House Count'!F1048="RES-MDU",1,IF('House Count'!F1048="RES-HOA",1,0))),0)</f>
        <v/>
      </c>
      <c r="K1048">
        <f>IF('House Count'!H1048="Y",IF('House Count'!F1048="COMM-SU",1,IF('House Count'!F1048="COM-MTU",1,IF('House Count'!F1048="ENT",1,0))),0)</f>
        <v/>
      </c>
    </row>
    <row r="1049">
      <c r="H1049" s="192" t="n"/>
      <c r="I1049" s="773" t="n"/>
      <c r="J1049">
        <f>IF('House Count'!H1049="Y",IF('House Count'!F1049="RES-SFU",1,IF('House Count'!F1049="RES-MDU",1,IF('House Count'!F1049="RES-HOA",1,0))),0)</f>
        <v/>
      </c>
      <c r="K1049">
        <f>IF('House Count'!H1049="Y",IF('House Count'!F1049="COMM-SU",1,IF('House Count'!F1049="COM-MTU",1,IF('House Count'!F1049="ENT",1,0))),0)</f>
        <v/>
      </c>
    </row>
    <row r="1050">
      <c r="H1050" s="192" t="n"/>
      <c r="I1050" s="773" t="n"/>
      <c r="J1050">
        <f>IF('House Count'!H1050="Y",IF('House Count'!F1050="RES-SFU",1,IF('House Count'!F1050="RES-MDU",1,IF('House Count'!F1050="RES-HOA",1,0))),0)</f>
        <v/>
      </c>
      <c r="K1050">
        <f>IF('House Count'!H1050="Y",IF('House Count'!F1050="COMM-SU",1,IF('House Count'!F1050="COM-MTU",1,IF('House Count'!F1050="ENT",1,0))),0)</f>
        <v/>
      </c>
    </row>
    <row r="1051">
      <c r="H1051" s="192" t="n"/>
      <c r="I1051" s="773" t="n"/>
      <c r="J1051">
        <f>IF('House Count'!H1051="Y",IF('House Count'!F1051="RES-SFU",1,IF('House Count'!F1051="RES-MDU",1,IF('House Count'!F1051="RES-HOA",1,0))),0)</f>
        <v/>
      </c>
      <c r="K1051">
        <f>IF('House Count'!H1051="Y",IF('House Count'!F1051="COMM-SU",1,IF('House Count'!F1051="COM-MTU",1,IF('House Count'!F1051="ENT",1,0))),0)</f>
        <v/>
      </c>
    </row>
    <row r="1052">
      <c r="H1052" s="192" t="n"/>
      <c r="I1052" s="773" t="n"/>
      <c r="J1052">
        <f>IF('House Count'!H1052="Y",IF('House Count'!F1052="RES-SFU",1,IF('House Count'!F1052="RES-MDU",1,IF('House Count'!F1052="RES-HOA",1,0))),0)</f>
        <v/>
      </c>
      <c r="K1052">
        <f>IF('House Count'!H1052="Y",IF('House Count'!F1052="COMM-SU",1,IF('House Count'!F1052="COM-MTU",1,IF('House Count'!F1052="ENT",1,0))),0)</f>
        <v/>
      </c>
    </row>
    <row r="1053">
      <c r="H1053" s="192" t="n"/>
      <c r="I1053" s="773" t="n"/>
      <c r="J1053">
        <f>IF('House Count'!H1053="Y",IF('House Count'!F1053="RES-SFU",1,IF('House Count'!F1053="RES-MDU",1,IF('House Count'!F1053="RES-HOA",1,0))),0)</f>
        <v/>
      </c>
      <c r="K1053">
        <f>IF('House Count'!H1053="Y",IF('House Count'!F1053="COMM-SU",1,IF('House Count'!F1053="COM-MTU",1,IF('House Count'!F1053="ENT",1,0))),0)</f>
        <v/>
      </c>
    </row>
    <row r="1054">
      <c r="H1054" s="192" t="n"/>
      <c r="I1054" s="773" t="n"/>
      <c r="J1054">
        <f>IF('House Count'!H1054="Y",IF('House Count'!F1054="RES-SFU",1,IF('House Count'!F1054="RES-MDU",1,IF('House Count'!F1054="RES-HOA",1,0))),0)</f>
        <v/>
      </c>
      <c r="K1054">
        <f>IF('House Count'!H1054="Y",IF('House Count'!F1054="COMM-SU",1,IF('House Count'!F1054="COM-MTU",1,IF('House Count'!F1054="ENT",1,0))),0)</f>
        <v/>
      </c>
    </row>
    <row r="1055">
      <c r="H1055" s="192" t="n"/>
      <c r="I1055" s="773" t="n"/>
      <c r="J1055">
        <f>IF('House Count'!H1055="Y",IF('House Count'!F1055="RES-SFU",1,IF('House Count'!F1055="RES-MDU",1,IF('House Count'!F1055="RES-HOA",1,0))),0)</f>
        <v/>
      </c>
      <c r="K1055">
        <f>IF('House Count'!H1055="Y",IF('House Count'!F1055="COMM-SU",1,IF('House Count'!F1055="COM-MTU",1,IF('House Count'!F1055="ENT",1,0))),0)</f>
        <v/>
      </c>
    </row>
    <row r="1056">
      <c r="H1056" s="192" t="n"/>
      <c r="I1056" s="773" t="n"/>
      <c r="J1056">
        <f>IF('House Count'!H1056="Y",IF('House Count'!F1056="RES-SFU",1,IF('House Count'!F1056="RES-MDU",1,IF('House Count'!F1056="RES-HOA",1,0))),0)</f>
        <v/>
      </c>
      <c r="K1056">
        <f>IF('House Count'!H1056="Y",IF('House Count'!F1056="COMM-SU",1,IF('House Count'!F1056="COM-MTU",1,IF('House Count'!F1056="ENT",1,0))),0)</f>
        <v/>
      </c>
    </row>
    <row r="1057" ht="15.75" customHeight="1" thickBot="1">
      <c r="A1057" s="774" t="n"/>
      <c r="B1057" s="774" t="n"/>
      <c r="C1057" s="774" t="n"/>
      <c r="D1057" s="774" t="n"/>
      <c r="E1057" s="774" t="n"/>
      <c r="F1057" s="774" t="n"/>
      <c r="G1057" s="774" t="n"/>
      <c r="H1057" s="774" t="n"/>
      <c r="I1057" s="775" t="n"/>
      <c r="J1057">
        <f>IF('House Count'!H1057="Y",IF('House Count'!F1057="RES-SFU",1,IF('House Count'!F1057="RES-MDU",1,IF('House Count'!F1057="RES-HOA",1,0))),0)</f>
        <v/>
      </c>
      <c r="K1057">
        <f>IF('House Count'!H1057="Y",IF('House Count'!F1057="COMM-SU",1,IF('House Count'!F1057="COM-MTU",1,IF('House Count'!F1057="ENT",1,0))),0)</f>
        <v/>
      </c>
    </row>
    <row r="1058" ht="15.75" customHeight="1" thickTop="1">
      <c r="H1058" s="192" t="n"/>
      <c r="I1058" s="773" t="n"/>
      <c r="J1058">
        <f>IF('House Count'!H1058="Y",IF('House Count'!F1058="RES-SFU",1,IF('House Count'!F1058="RES-MDU",1,IF('House Count'!F1058="RES-HOA",1,0))),0)</f>
        <v/>
      </c>
      <c r="K1058">
        <f>IF('House Count'!H1058="Y",IF('House Count'!F1058="COMM-SU",1,IF('House Count'!F1058="COM-MTU",1,IF('House Count'!F1058="ENT",1,0))),0)</f>
        <v/>
      </c>
    </row>
    <row r="1059">
      <c r="H1059" s="192" t="n"/>
      <c r="I1059" s="773" t="n"/>
      <c r="J1059">
        <f>IF('House Count'!H1059="Y",IF('House Count'!F1059="RES-SFU",1,IF('House Count'!F1059="RES-MDU",1,IF('House Count'!F1059="RES-HOA",1,0))),0)</f>
        <v/>
      </c>
      <c r="K1059">
        <f>IF('House Count'!H1059="Y",IF('House Count'!F1059="COMM-SU",1,IF('House Count'!F1059="COM-MTU",1,IF('House Count'!F1059="ENT",1,0))),0)</f>
        <v/>
      </c>
    </row>
    <row r="1060">
      <c r="H1060" s="192" t="n"/>
      <c r="I1060" s="773" t="n"/>
      <c r="J1060">
        <f>IF('House Count'!H1060="Y",IF('House Count'!F1060="RES-SFU",1,IF('House Count'!F1060="RES-MDU",1,IF('House Count'!F1060="RES-HOA",1,0))),0)</f>
        <v/>
      </c>
      <c r="K1060">
        <f>IF('House Count'!H1060="Y",IF('House Count'!F1060="COMM-SU",1,IF('House Count'!F1060="COM-MTU",1,IF('House Count'!F1060="ENT",1,0))),0)</f>
        <v/>
      </c>
    </row>
    <row r="1061">
      <c r="H1061" s="192" t="n"/>
      <c r="I1061" s="773" t="n"/>
      <c r="J1061">
        <f>IF('House Count'!H1061="Y",IF('House Count'!F1061="RES-SFU",1,IF('House Count'!F1061="RES-MDU",1,IF('House Count'!F1061="RES-HOA",1,0))),0)</f>
        <v/>
      </c>
      <c r="K1061">
        <f>IF('House Count'!H1061="Y",IF('House Count'!F1061="COMM-SU",1,IF('House Count'!F1061="COM-MTU",1,IF('House Count'!F1061="ENT",1,0))),0)</f>
        <v/>
      </c>
    </row>
    <row r="1062">
      <c r="H1062" s="192" t="n"/>
      <c r="I1062" s="773" t="n"/>
      <c r="J1062">
        <f>IF('House Count'!H1062="Y",IF('House Count'!F1062="RES-SFU",1,IF('House Count'!F1062="RES-MDU",1,IF('House Count'!F1062="RES-HOA",1,0))),0)</f>
        <v/>
      </c>
      <c r="K1062">
        <f>IF('House Count'!H1062="Y",IF('House Count'!F1062="COMM-SU",1,IF('House Count'!F1062="COM-MTU",1,IF('House Count'!F1062="ENT",1,0))),0)</f>
        <v/>
      </c>
    </row>
    <row r="1063">
      <c r="H1063" s="192" t="n"/>
      <c r="I1063" s="773" t="n"/>
      <c r="J1063">
        <f>IF('House Count'!H1063="Y",IF('House Count'!F1063="RES-SFU",1,IF('House Count'!F1063="RES-MDU",1,IF('House Count'!F1063="RES-HOA",1,0))),0)</f>
        <v/>
      </c>
      <c r="K1063">
        <f>IF('House Count'!H1063="Y",IF('House Count'!F1063="COMM-SU",1,IF('House Count'!F1063="COM-MTU",1,IF('House Count'!F1063="ENT",1,0))),0)</f>
        <v/>
      </c>
    </row>
    <row r="1064">
      <c r="H1064" s="192" t="n"/>
      <c r="I1064" s="773" t="n"/>
      <c r="J1064">
        <f>IF('House Count'!H1064="Y",IF('House Count'!F1064="RES-SFU",1,IF('House Count'!F1064="RES-MDU",1,IF('House Count'!F1064="RES-HOA",1,0))),0)</f>
        <v/>
      </c>
      <c r="K1064">
        <f>IF('House Count'!H1064="Y",IF('House Count'!F1064="COMM-SU",1,IF('House Count'!F1064="COM-MTU",1,IF('House Count'!F1064="ENT",1,0))),0)</f>
        <v/>
      </c>
    </row>
    <row r="1065">
      <c r="H1065" s="192" t="n"/>
      <c r="I1065" s="773" t="n"/>
      <c r="J1065">
        <f>IF('House Count'!H1065="Y",IF('House Count'!F1065="RES-SFU",1,IF('House Count'!F1065="RES-MDU",1,IF('House Count'!F1065="RES-HOA",1,0))),0)</f>
        <v/>
      </c>
      <c r="K1065">
        <f>IF('House Count'!H1065="Y",IF('House Count'!F1065="COMM-SU",1,IF('House Count'!F1065="COM-MTU",1,IF('House Count'!F1065="ENT",1,0))),0)</f>
        <v/>
      </c>
    </row>
    <row r="1066">
      <c r="H1066" s="192" t="n"/>
      <c r="I1066" s="773" t="n"/>
      <c r="J1066">
        <f>IF('House Count'!H1066="Y",IF('House Count'!F1066="RES-SFU",1,IF('House Count'!F1066="RES-MDU",1,IF('House Count'!F1066="RES-HOA",1,0))),0)</f>
        <v/>
      </c>
      <c r="K1066">
        <f>IF('House Count'!H1066="Y",IF('House Count'!F1066="COMM-SU",1,IF('House Count'!F1066="COM-MTU",1,IF('House Count'!F1066="ENT",1,0))),0)</f>
        <v/>
      </c>
    </row>
    <row r="1067">
      <c r="H1067" s="192" t="n"/>
      <c r="I1067" s="773" t="n"/>
      <c r="J1067">
        <f>IF('House Count'!H1067="Y",IF('House Count'!F1067="RES-SFU",1,IF('House Count'!F1067="RES-MDU",1,IF('House Count'!F1067="RES-HOA",1,0))),0)</f>
        <v/>
      </c>
      <c r="K1067">
        <f>IF('House Count'!H1067="Y",IF('House Count'!F1067="COMM-SU",1,IF('House Count'!F1067="COM-MTU",1,IF('House Count'!F1067="ENT",1,0))),0)</f>
        <v/>
      </c>
    </row>
    <row r="1068">
      <c r="H1068" s="192" t="n"/>
      <c r="I1068" s="773" t="n"/>
      <c r="J1068">
        <f>IF('House Count'!H1068="Y",IF('House Count'!F1068="RES-SFU",1,IF('House Count'!F1068="RES-MDU",1,IF('House Count'!F1068="RES-HOA",1,0))),0)</f>
        <v/>
      </c>
      <c r="K1068">
        <f>IF('House Count'!H1068="Y",IF('House Count'!F1068="COMM-SU",1,IF('House Count'!F1068="COM-MTU",1,IF('House Count'!F1068="ENT",1,0))),0)</f>
        <v/>
      </c>
    </row>
    <row r="1069" ht="15.75" customHeight="1" thickBot="1">
      <c r="A1069" s="774" t="n"/>
      <c r="B1069" s="774" t="n"/>
      <c r="C1069" s="774" t="n"/>
      <c r="D1069" s="774" t="n"/>
      <c r="E1069" s="774" t="n"/>
      <c r="F1069" s="774" t="n"/>
      <c r="G1069" s="774" t="n"/>
      <c r="H1069" s="774" t="n"/>
      <c r="I1069" s="775" t="n"/>
      <c r="J1069">
        <f>IF('House Count'!H1069="Y",IF('House Count'!F1069="RES-SFU",1,IF('House Count'!F1069="RES-MDU",1,IF('House Count'!F1069="RES-HOA",1,0))),0)</f>
        <v/>
      </c>
      <c r="K1069">
        <f>IF('House Count'!H1069="Y",IF('House Count'!F1069="COMM-SU",1,IF('House Count'!F1069="COM-MTU",1,IF('House Count'!F1069="ENT",1,0))),0)</f>
        <v/>
      </c>
    </row>
    <row r="1070" ht="15.75" customHeight="1" thickTop="1">
      <c r="H1070" s="192" t="n"/>
      <c r="I1070" s="773" t="n"/>
      <c r="J1070">
        <f>IF('House Count'!H1070="Y",IF('House Count'!F1070="RES-SFU",1,IF('House Count'!F1070="RES-MDU",1,IF('House Count'!F1070="RES-HOA",1,0))),0)</f>
        <v/>
      </c>
      <c r="K1070">
        <f>IF('House Count'!H1070="Y",IF('House Count'!F1070="COMM-SU",1,IF('House Count'!F1070="COM-MTU",1,IF('House Count'!F1070="ENT",1,0))),0)</f>
        <v/>
      </c>
    </row>
    <row r="1071">
      <c r="H1071" s="192" t="n"/>
      <c r="I1071" s="773" t="n"/>
      <c r="J1071">
        <f>IF('House Count'!H1071="Y",IF('House Count'!F1071="RES-SFU",1,IF('House Count'!F1071="RES-MDU",1,IF('House Count'!F1071="RES-HOA",1,0))),0)</f>
        <v/>
      </c>
      <c r="K1071">
        <f>IF('House Count'!H1071="Y",IF('House Count'!F1071="COMM-SU",1,IF('House Count'!F1071="COM-MTU",1,IF('House Count'!F1071="ENT",1,0))),0)</f>
        <v/>
      </c>
    </row>
    <row r="1072">
      <c r="H1072" s="192" t="n"/>
      <c r="I1072" s="773" t="n"/>
      <c r="J1072">
        <f>IF('House Count'!H1072="Y",IF('House Count'!F1072="RES-SFU",1,IF('House Count'!F1072="RES-MDU",1,IF('House Count'!F1072="RES-HOA",1,0))),0)</f>
        <v/>
      </c>
      <c r="K1072">
        <f>IF('House Count'!H1072="Y",IF('House Count'!F1072="COMM-SU",1,IF('House Count'!F1072="COM-MTU",1,IF('House Count'!F1072="ENT",1,0))),0)</f>
        <v/>
      </c>
    </row>
    <row r="1073">
      <c r="H1073" s="192" t="n"/>
      <c r="I1073" s="773" t="n"/>
      <c r="J1073">
        <f>IF('House Count'!H1073="Y",IF('House Count'!F1073="RES-SFU",1,IF('House Count'!F1073="RES-MDU",1,IF('House Count'!F1073="RES-HOA",1,0))),0)</f>
        <v/>
      </c>
      <c r="K1073">
        <f>IF('House Count'!H1073="Y",IF('House Count'!F1073="COMM-SU",1,IF('House Count'!F1073="COM-MTU",1,IF('House Count'!F1073="ENT",1,0))),0)</f>
        <v/>
      </c>
    </row>
    <row r="1074">
      <c r="H1074" s="192" t="n"/>
      <c r="I1074" s="773" t="n"/>
      <c r="J1074">
        <f>IF('House Count'!H1074="Y",IF('House Count'!F1074="RES-SFU",1,IF('House Count'!F1074="RES-MDU",1,IF('House Count'!F1074="RES-HOA",1,0))),0)</f>
        <v/>
      </c>
      <c r="K1074">
        <f>IF('House Count'!H1074="Y",IF('House Count'!F1074="COMM-SU",1,IF('House Count'!F1074="COM-MTU",1,IF('House Count'!F1074="ENT",1,0))),0)</f>
        <v/>
      </c>
    </row>
    <row r="1075">
      <c r="H1075" s="192" t="n"/>
      <c r="I1075" s="773" t="n"/>
      <c r="J1075">
        <f>IF('House Count'!H1075="Y",IF('House Count'!F1075="RES-SFU",1,IF('House Count'!F1075="RES-MDU",1,IF('House Count'!F1075="RES-HOA",1,0))),0)</f>
        <v/>
      </c>
      <c r="K1075">
        <f>IF('House Count'!H1075="Y",IF('House Count'!F1075="COMM-SU",1,IF('House Count'!F1075="COM-MTU",1,IF('House Count'!F1075="ENT",1,0))),0)</f>
        <v/>
      </c>
    </row>
    <row r="1076">
      <c r="H1076" s="192" t="n"/>
      <c r="I1076" s="773" t="n"/>
      <c r="J1076">
        <f>IF('House Count'!H1076="Y",IF('House Count'!F1076="RES-SFU",1,IF('House Count'!F1076="RES-MDU",1,IF('House Count'!F1076="RES-HOA",1,0))),0)</f>
        <v/>
      </c>
      <c r="K1076">
        <f>IF('House Count'!H1076="Y",IF('House Count'!F1076="COMM-SU",1,IF('House Count'!F1076="COM-MTU",1,IF('House Count'!F1076="ENT",1,0))),0)</f>
        <v/>
      </c>
    </row>
    <row r="1077">
      <c r="H1077" s="192" t="n"/>
      <c r="I1077" s="773" t="n"/>
      <c r="J1077">
        <f>IF('House Count'!H1077="Y",IF('House Count'!F1077="RES-SFU",1,IF('House Count'!F1077="RES-MDU",1,IF('House Count'!F1077="RES-HOA",1,0))),0)</f>
        <v/>
      </c>
      <c r="K1077">
        <f>IF('House Count'!H1077="Y",IF('House Count'!F1077="COMM-SU",1,IF('House Count'!F1077="COM-MTU",1,IF('House Count'!F1077="ENT",1,0))),0)</f>
        <v/>
      </c>
    </row>
    <row r="1078">
      <c r="H1078" s="192" t="n"/>
      <c r="I1078" s="773" t="n"/>
      <c r="J1078">
        <f>IF('House Count'!H1078="Y",IF('House Count'!F1078="RES-SFU",1,IF('House Count'!F1078="RES-MDU",1,IF('House Count'!F1078="RES-HOA",1,0))),0)</f>
        <v/>
      </c>
      <c r="K1078">
        <f>IF('House Count'!H1078="Y",IF('House Count'!F1078="COMM-SU",1,IF('House Count'!F1078="COM-MTU",1,IF('House Count'!F1078="ENT",1,0))),0)</f>
        <v/>
      </c>
    </row>
    <row r="1079">
      <c r="H1079" s="192" t="n"/>
      <c r="I1079" s="773" t="n"/>
      <c r="J1079">
        <f>IF('House Count'!H1079="Y",IF('House Count'!F1079="RES-SFU",1,IF('House Count'!F1079="RES-MDU",1,IF('House Count'!F1079="RES-HOA",1,0))),0)</f>
        <v/>
      </c>
      <c r="K1079">
        <f>IF('House Count'!H1079="Y",IF('House Count'!F1079="COMM-SU",1,IF('House Count'!F1079="COM-MTU",1,IF('House Count'!F1079="ENT",1,0))),0)</f>
        <v/>
      </c>
    </row>
    <row r="1080">
      <c r="H1080" s="192" t="n"/>
      <c r="I1080" s="773" t="n"/>
      <c r="J1080">
        <f>IF('House Count'!H1080="Y",IF('House Count'!F1080="RES-SFU",1,IF('House Count'!F1080="RES-MDU",1,IF('House Count'!F1080="RES-HOA",1,0))),0)</f>
        <v/>
      </c>
      <c r="K1080">
        <f>IF('House Count'!H1080="Y",IF('House Count'!F1080="COMM-SU",1,IF('House Count'!F1080="COM-MTU",1,IF('House Count'!F1080="ENT",1,0))),0)</f>
        <v/>
      </c>
    </row>
    <row r="1081" ht="15.75" customHeight="1" thickBot="1">
      <c r="A1081" s="774" t="n"/>
      <c r="B1081" s="774" t="n"/>
      <c r="C1081" s="774" t="n"/>
      <c r="D1081" s="774" t="n"/>
      <c r="E1081" s="774" t="n"/>
      <c r="F1081" s="774" t="n"/>
      <c r="G1081" s="774" t="n"/>
      <c r="H1081" s="774" t="n"/>
      <c r="I1081" s="775" t="n"/>
      <c r="J1081">
        <f>IF('House Count'!H1081="Y",IF('House Count'!F1081="RES-SFU",1,IF('House Count'!F1081="RES-MDU",1,IF('House Count'!F1081="RES-HOA",1,0))),0)</f>
        <v/>
      </c>
      <c r="K1081">
        <f>IF('House Count'!H1081="Y",IF('House Count'!F1081="COMM-SU",1,IF('House Count'!F1081="COM-MTU",1,IF('House Count'!F1081="ENT",1,0))),0)</f>
        <v/>
      </c>
    </row>
    <row r="1082" ht="15.75" customHeight="1" thickTop="1">
      <c r="H1082" s="192" t="n"/>
      <c r="I1082" s="773" t="n"/>
      <c r="J1082">
        <f>IF('House Count'!H1082="Y",IF('House Count'!F1082="RES-SFU",1,IF('House Count'!F1082="RES-MDU",1,IF('House Count'!F1082="RES-HOA",1,0))),0)</f>
        <v/>
      </c>
      <c r="K1082">
        <f>IF('House Count'!H1082="Y",IF('House Count'!F1082="COMM-SU",1,IF('House Count'!F1082="COM-MTU",1,IF('House Count'!F1082="ENT",1,0))),0)</f>
        <v/>
      </c>
    </row>
    <row r="1083">
      <c r="H1083" s="192" t="n"/>
      <c r="I1083" s="773" t="n"/>
      <c r="J1083">
        <f>IF('House Count'!H1083="Y",IF('House Count'!F1083="RES-SFU",1,IF('House Count'!F1083="RES-MDU",1,IF('House Count'!F1083="RES-HOA",1,0))),0)</f>
        <v/>
      </c>
      <c r="K1083">
        <f>IF('House Count'!H1083="Y",IF('House Count'!F1083="COMM-SU",1,IF('House Count'!F1083="COM-MTU",1,IF('House Count'!F1083="ENT",1,0))),0)</f>
        <v/>
      </c>
    </row>
    <row r="1084">
      <c r="H1084" s="192" t="n"/>
      <c r="I1084" s="773" t="n"/>
      <c r="J1084">
        <f>IF('House Count'!H1084="Y",IF('House Count'!F1084="RES-SFU",1,IF('House Count'!F1084="RES-MDU",1,IF('House Count'!F1084="RES-HOA",1,0))),0)</f>
        <v/>
      </c>
      <c r="K1084">
        <f>IF('House Count'!H1084="Y",IF('House Count'!F1084="COMM-SU",1,IF('House Count'!F1084="COM-MTU",1,IF('House Count'!F1084="ENT",1,0))),0)</f>
        <v/>
      </c>
    </row>
    <row r="1085">
      <c r="H1085" s="192" t="n"/>
      <c r="I1085" s="773" t="n"/>
      <c r="J1085">
        <f>IF('House Count'!H1085="Y",IF('House Count'!F1085="RES-SFU",1,IF('House Count'!F1085="RES-MDU",1,IF('House Count'!F1085="RES-HOA",1,0))),0)</f>
        <v/>
      </c>
      <c r="K1085">
        <f>IF('House Count'!H1085="Y",IF('House Count'!F1085="COMM-SU",1,IF('House Count'!F1085="COM-MTU",1,IF('House Count'!F1085="ENT",1,0))),0)</f>
        <v/>
      </c>
    </row>
    <row r="1086">
      <c r="H1086" s="192" t="n"/>
      <c r="I1086" s="773" t="n"/>
      <c r="J1086">
        <f>IF('House Count'!H1086="Y",IF('House Count'!F1086="RES-SFU",1,IF('House Count'!F1086="RES-MDU",1,IF('House Count'!F1086="RES-HOA",1,0))),0)</f>
        <v/>
      </c>
      <c r="K1086">
        <f>IF('House Count'!H1086="Y",IF('House Count'!F1086="COMM-SU",1,IF('House Count'!F1086="COM-MTU",1,IF('House Count'!F1086="ENT",1,0))),0)</f>
        <v/>
      </c>
    </row>
    <row r="1087">
      <c r="H1087" s="192" t="n"/>
      <c r="I1087" s="773" t="n"/>
      <c r="J1087">
        <f>IF('House Count'!H1087="Y",IF('House Count'!F1087="RES-SFU",1,IF('House Count'!F1087="RES-MDU",1,IF('House Count'!F1087="RES-HOA",1,0))),0)</f>
        <v/>
      </c>
      <c r="K1087">
        <f>IF('House Count'!H1087="Y",IF('House Count'!F1087="COMM-SU",1,IF('House Count'!F1087="COM-MTU",1,IF('House Count'!F1087="ENT",1,0))),0)</f>
        <v/>
      </c>
    </row>
    <row r="1088">
      <c r="H1088" s="192" t="n"/>
      <c r="I1088" s="773" t="n"/>
      <c r="J1088">
        <f>IF('House Count'!H1088="Y",IF('House Count'!F1088="RES-SFU",1,IF('House Count'!F1088="RES-MDU",1,IF('House Count'!F1088="RES-HOA",1,0))),0)</f>
        <v/>
      </c>
      <c r="K1088">
        <f>IF('House Count'!H1088="Y",IF('House Count'!F1088="COMM-SU",1,IF('House Count'!F1088="COM-MTU",1,IF('House Count'!F1088="ENT",1,0))),0)</f>
        <v/>
      </c>
    </row>
    <row r="1089">
      <c r="H1089" s="192" t="n"/>
      <c r="I1089" s="773" t="n"/>
      <c r="J1089">
        <f>IF('House Count'!H1089="Y",IF('House Count'!F1089="RES-SFU",1,IF('House Count'!F1089="RES-MDU",1,IF('House Count'!F1089="RES-HOA",1,0))),0)</f>
        <v/>
      </c>
      <c r="K1089">
        <f>IF('House Count'!H1089="Y",IF('House Count'!F1089="COMM-SU",1,IF('House Count'!F1089="COM-MTU",1,IF('House Count'!F1089="ENT",1,0))),0)</f>
        <v/>
      </c>
    </row>
    <row r="1090">
      <c r="H1090" s="192" t="n"/>
      <c r="I1090" s="773" t="n"/>
      <c r="J1090">
        <f>IF('House Count'!H1090="Y",IF('House Count'!F1090="RES-SFU",1,IF('House Count'!F1090="RES-MDU",1,IF('House Count'!F1090="RES-HOA",1,0))),0)</f>
        <v/>
      </c>
      <c r="K1090">
        <f>IF('House Count'!H1090="Y",IF('House Count'!F1090="COMM-SU",1,IF('House Count'!F1090="COM-MTU",1,IF('House Count'!F1090="ENT",1,0))),0)</f>
        <v/>
      </c>
    </row>
    <row r="1091">
      <c r="H1091" s="192" t="n"/>
      <c r="I1091" s="773" t="n"/>
      <c r="J1091">
        <f>IF('House Count'!H1091="Y",IF('House Count'!F1091="RES-SFU",1,IF('House Count'!F1091="RES-MDU",1,IF('House Count'!F1091="RES-HOA",1,0))),0)</f>
        <v/>
      </c>
      <c r="K1091">
        <f>IF('House Count'!H1091="Y",IF('House Count'!F1091="COMM-SU",1,IF('House Count'!F1091="COM-MTU",1,IF('House Count'!F1091="ENT",1,0))),0)</f>
        <v/>
      </c>
    </row>
    <row r="1092">
      <c r="H1092" s="192" t="n"/>
      <c r="I1092" s="773" t="n"/>
      <c r="J1092">
        <f>IF('House Count'!H1092="Y",IF('House Count'!F1092="RES-SFU",1,IF('House Count'!F1092="RES-MDU",1,IF('House Count'!F1092="RES-HOA",1,0))),0)</f>
        <v/>
      </c>
      <c r="K1092">
        <f>IF('House Count'!H1092="Y",IF('House Count'!F1092="COMM-SU",1,IF('House Count'!F1092="COM-MTU",1,IF('House Count'!F1092="ENT",1,0))),0)</f>
        <v/>
      </c>
    </row>
    <row r="1093" ht="15.75" customHeight="1" thickBot="1">
      <c r="A1093" s="774" t="n"/>
      <c r="B1093" s="774" t="n"/>
      <c r="C1093" s="774" t="n"/>
      <c r="D1093" s="774" t="n"/>
      <c r="E1093" s="774" t="n"/>
      <c r="F1093" s="774" t="n"/>
      <c r="G1093" s="774" t="n"/>
      <c r="H1093" s="774" t="n"/>
      <c r="I1093" s="775" t="n"/>
      <c r="J1093">
        <f>IF('House Count'!H1093="Y",IF('House Count'!F1093="RES-SFU",1,IF('House Count'!F1093="RES-MDU",1,IF('House Count'!F1093="RES-HOA",1,0))),0)</f>
        <v/>
      </c>
      <c r="K1093">
        <f>IF('House Count'!H1093="Y",IF('House Count'!F1093="COMM-SU",1,IF('House Count'!F1093="COM-MTU",1,IF('House Count'!F1093="ENT",1,0))),0)</f>
        <v/>
      </c>
    </row>
    <row r="1094" ht="15.75" customHeight="1" thickTop="1">
      <c r="H1094" s="192" t="n"/>
      <c r="I1094" s="773" t="n"/>
      <c r="J1094">
        <f>IF('House Count'!H1094="Y",IF('House Count'!F1094="RES-SFU",1,IF('House Count'!F1094="RES-MDU",1,IF('House Count'!F1094="RES-HOA",1,0))),0)</f>
        <v/>
      </c>
      <c r="K1094">
        <f>IF('House Count'!H1094="Y",IF('House Count'!F1094="COMM-SU",1,IF('House Count'!F1094="COM-MTU",1,IF('House Count'!F1094="ENT",1,0))),0)</f>
        <v/>
      </c>
    </row>
    <row r="1095">
      <c r="H1095" s="192" t="n"/>
      <c r="I1095" s="773" t="n"/>
      <c r="J1095">
        <f>IF('House Count'!H1095="Y",IF('House Count'!F1095="RES-SFU",1,IF('House Count'!F1095="RES-MDU",1,IF('House Count'!F1095="RES-HOA",1,0))),0)</f>
        <v/>
      </c>
      <c r="K1095">
        <f>IF('House Count'!H1095="Y",IF('House Count'!F1095="COMM-SU",1,IF('House Count'!F1095="COM-MTU",1,IF('House Count'!F1095="ENT",1,0))),0)</f>
        <v/>
      </c>
    </row>
    <row r="1096">
      <c r="H1096" s="192" t="n"/>
      <c r="I1096" s="773" t="n"/>
      <c r="J1096">
        <f>IF('House Count'!H1096="Y",IF('House Count'!F1096="RES-SFU",1,IF('House Count'!F1096="RES-MDU",1,IF('House Count'!F1096="RES-HOA",1,0))),0)</f>
        <v/>
      </c>
      <c r="K1096">
        <f>IF('House Count'!H1096="Y",IF('House Count'!F1096="COMM-SU",1,IF('House Count'!F1096="COM-MTU",1,IF('House Count'!F1096="ENT",1,0))),0)</f>
        <v/>
      </c>
    </row>
    <row r="1097">
      <c r="H1097" s="192" t="n"/>
      <c r="I1097" s="773" t="n"/>
      <c r="J1097">
        <f>IF('House Count'!H1097="Y",IF('House Count'!F1097="RES-SFU",1,IF('House Count'!F1097="RES-MDU",1,IF('House Count'!F1097="RES-HOA",1,0))),0)</f>
        <v/>
      </c>
      <c r="K1097">
        <f>IF('House Count'!H1097="Y",IF('House Count'!F1097="COMM-SU",1,IF('House Count'!F1097="COM-MTU",1,IF('House Count'!F1097="ENT",1,0))),0)</f>
        <v/>
      </c>
    </row>
    <row r="1098">
      <c r="H1098" s="192" t="n"/>
      <c r="I1098" s="773" t="n"/>
      <c r="J1098">
        <f>IF('House Count'!H1098="Y",IF('House Count'!F1098="RES-SFU",1,IF('House Count'!F1098="RES-MDU",1,IF('House Count'!F1098="RES-HOA",1,0))),0)</f>
        <v/>
      </c>
      <c r="K1098">
        <f>IF('House Count'!H1098="Y",IF('House Count'!F1098="COMM-SU",1,IF('House Count'!F1098="COM-MTU",1,IF('House Count'!F1098="ENT",1,0))),0)</f>
        <v/>
      </c>
    </row>
    <row r="1099">
      <c r="H1099" s="192" t="n"/>
      <c r="I1099" s="773" t="n"/>
      <c r="J1099">
        <f>IF('House Count'!H1099="Y",IF('House Count'!F1099="RES-SFU",1,IF('House Count'!F1099="RES-MDU",1,IF('House Count'!F1099="RES-HOA",1,0))),0)</f>
        <v/>
      </c>
      <c r="K1099">
        <f>IF('House Count'!H1099="Y",IF('House Count'!F1099="COMM-SU",1,IF('House Count'!F1099="COM-MTU",1,IF('House Count'!F1099="ENT",1,0))),0)</f>
        <v/>
      </c>
    </row>
    <row r="1100">
      <c r="H1100" s="192" t="n"/>
      <c r="I1100" s="773" t="n"/>
      <c r="J1100">
        <f>IF('House Count'!H1100="Y",IF('House Count'!F1100="RES-SFU",1,IF('House Count'!F1100="RES-MDU",1,IF('House Count'!F1100="RES-HOA",1,0))),0)</f>
        <v/>
      </c>
      <c r="K1100">
        <f>IF('House Count'!H1100="Y",IF('House Count'!F1100="COMM-SU",1,IF('House Count'!F1100="COM-MTU",1,IF('House Count'!F1100="ENT",1,0))),0)</f>
        <v/>
      </c>
    </row>
    <row r="1101">
      <c r="H1101" s="192" t="n"/>
      <c r="I1101" s="773" t="n"/>
      <c r="J1101">
        <f>IF('House Count'!H1101="Y",IF('House Count'!F1101="RES-SFU",1,IF('House Count'!F1101="RES-MDU",1,IF('House Count'!F1101="RES-HOA",1,0))),0)</f>
        <v/>
      </c>
      <c r="K1101">
        <f>IF('House Count'!H1101="Y",IF('House Count'!F1101="COMM-SU",1,IF('House Count'!F1101="COM-MTU",1,IF('House Count'!F1101="ENT",1,0))),0)</f>
        <v/>
      </c>
    </row>
    <row r="1102">
      <c r="H1102" s="192" t="n"/>
      <c r="I1102" s="773" t="n"/>
      <c r="J1102">
        <f>IF('House Count'!H1102="Y",IF('House Count'!F1102="RES-SFU",1,IF('House Count'!F1102="RES-MDU",1,IF('House Count'!F1102="RES-HOA",1,0))),0)</f>
        <v/>
      </c>
      <c r="K1102">
        <f>IF('House Count'!H1102="Y",IF('House Count'!F1102="COMM-SU",1,IF('House Count'!F1102="COM-MTU",1,IF('House Count'!F1102="ENT",1,0))),0)</f>
        <v/>
      </c>
    </row>
    <row r="1103">
      <c r="H1103" s="192" t="n"/>
      <c r="I1103" s="773" t="n"/>
      <c r="J1103">
        <f>IF('House Count'!H1103="Y",IF('House Count'!F1103="RES-SFU",1,IF('House Count'!F1103="RES-MDU",1,IF('House Count'!F1103="RES-HOA",1,0))),0)</f>
        <v/>
      </c>
      <c r="K1103">
        <f>IF('House Count'!H1103="Y",IF('House Count'!F1103="COMM-SU",1,IF('House Count'!F1103="COM-MTU",1,IF('House Count'!F1103="ENT",1,0))),0)</f>
        <v/>
      </c>
    </row>
    <row r="1104">
      <c r="H1104" s="192" t="n"/>
      <c r="I1104" s="773" t="n"/>
      <c r="J1104">
        <f>IF('House Count'!H1104="Y",IF('House Count'!F1104="RES-SFU",1,IF('House Count'!F1104="RES-MDU",1,IF('House Count'!F1104="RES-HOA",1,0))),0)</f>
        <v/>
      </c>
      <c r="K1104">
        <f>IF('House Count'!H1104="Y",IF('House Count'!F1104="COMM-SU",1,IF('House Count'!F1104="COM-MTU",1,IF('House Count'!F1104="ENT",1,0))),0)</f>
        <v/>
      </c>
    </row>
    <row r="1105" ht="15.75" customHeight="1" thickBot="1">
      <c r="A1105" s="774" t="n"/>
      <c r="B1105" s="774" t="n"/>
      <c r="C1105" s="774" t="n"/>
      <c r="D1105" s="774" t="n"/>
      <c r="E1105" s="774" t="n"/>
      <c r="F1105" s="774" t="n"/>
      <c r="G1105" s="774" t="n"/>
      <c r="H1105" s="774" t="n"/>
      <c r="I1105" s="775" t="n"/>
      <c r="J1105">
        <f>IF('House Count'!H1105="Y",IF('House Count'!F1105="RES-SFU",1,IF('House Count'!F1105="RES-MDU",1,IF('House Count'!F1105="RES-HOA",1,0))),0)</f>
        <v/>
      </c>
      <c r="K1105">
        <f>IF('House Count'!H1105="Y",IF('House Count'!F1105="COMM-SU",1,IF('House Count'!F1105="COM-MTU",1,IF('House Count'!F1105="ENT",1,0))),0)</f>
        <v/>
      </c>
    </row>
    <row r="1106" ht="15.75" customHeight="1" thickTop="1">
      <c r="H1106" s="192" t="n"/>
      <c r="I1106" s="773" t="n"/>
      <c r="J1106">
        <f>IF('House Count'!H1106="Y",IF('House Count'!F1106="RES-SFU",1,IF('House Count'!F1106="RES-MDU",1,IF('House Count'!F1106="RES-HOA",1,0))),0)</f>
        <v/>
      </c>
      <c r="K1106">
        <f>IF('House Count'!H1106="Y",IF('House Count'!F1106="COMM-SU",1,IF('House Count'!F1106="COM-MTU",1,IF('House Count'!F1106="ENT",1,0))),0)</f>
        <v/>
      </c>
    </row>
    <row r="1107">
      <c r="H1107" s="192" t="n"/>
      <c r="I1107" s="773" t="n"/>
      <c r="J1107">
        <f>IF('House Count'!H1107="Y",IF('House Count'!F1107="RES-SFU",1,IF('House Count'!F1107="RES-MDU",1,IF('House Count'!F1107="RES-HOA",1,0))),0)</f>
        <v/>
      </c>
      <c r="K1107">
        <f>IF('House Count'!H1107="Y",IF('House Count'!F1107="COMM-SU",1,IF('House Count'!F1107="COM-MTU",1,IF('House Count'!F1107="ENT",1,0))),0)</f>
        <v/>
      </c>
    </row>
    <row r="1108">
      <c r="H1108" s="192" t="n"/>
      <c r="I1108" s="773" t="n"/>
      <c r="J1108">
        <f>IF('House Count'!H1108="Y",IF('House Count'!F1108="RES-SFU",1,IF('House Count'!F1108="RES-MDU",1,IF('House Count'!F1108="RES-HOA",1,0))),0)</f>
        <v/>
      </c>
      <c r="K1108">
        <f>IF('House Count'!H1108="Y",IF('House Count'!F1108="COMM-SU",1,IF('House Count'!F1108="COM-MTU",1,IF('House Count'!F1108="ENT",1,0))),0)</f>
        <v/>
      </c>
    </row>
    <row r="1109">
      <c r="H1109" s="192" t="n"/>
      <c r="I1109" s="773" t="n"/>
      <c r="J1109">
        <f>IF('House Count'!H1109="Y",IF('House Count'!F1109="RES-SFU",1,IF('House Count'!F1109="RES-MDU",1,IF('House Count'!F1109="RES-HOA",1,0))),0)</f>
        <v/>
      </c>
      <c r="K1109">
        <f>IF('House Count'!H1109="Y",IF('House Count'!F1109="COMM-SU",1,IF('House Count'!F1109="COM-MTU",1,IF('House Count'!F1109="ENT",1,0))),0)</f>
        <v/>
      </c>
    </row>
    <row r="1110">
      <c r="H1110" s="192" t="n"/>
      <c r="I1110" s="773" t="n"/>
      <c r="J1110">
        <f>IF('House Count'!H1110="Y",IF('House Count'!F1110="RES-SFU",1,IF('House Count'!F1110="RES-MDU",1,IF('House Count'!F1110="RES-HOA",1,0))),0)</f>
        <v/>
      </c>
      <c r="K1110">
        <f>IF('House Count'!H1110="Y",IF('House Count'!F1110="COMM-SU",1,IF('House Count'!F1110="COM-MTU",1,IF('House Count'!F1110="ENT",1,0))),0)</f>
        <v/>
      </c>
    </row>
    <row r="1111">
      <c r="H1111" s="192" t="n"/>
      <c r="I1111" s="773" t="n"/>
      <c r="J1111">
        <f>IF('House Count'!H1111="Y",IF('House Count'!F1111="RES-SFU",1,IF('House Count'!F1111="RES-MDU",1,IF('House Count'!F1111="RES-HOA",1,0))),0)</f>
        <v/>
      </c>
      <c r="K1111">
        <f>IF('House Count'!H1111="Y",IF('House Count'!F1111="COMM-SU",1,IF('House Count'!F1111="COM-MTU",1,IF('House Count'!F1111="ENT",1,0))),0)</f>
        <v/>
      </c>
    </row>
    <row r="1112">
      <c r="H1112" s="192" t="n"/>
      <c r="I1112" s="773" t="n"/>
      <c r="J1112">
        <f>IF('House Count'!H1112="Y",IF('House Count'!F1112="RES-SFU",1,IF('House Count'!F1112="RES-MDU",1,IF('House Count'!F1112="RES-HOA",1,0))),0)</f>
        <v/>
      </c>
      <c r="K1112">
        <f>IF('House Count'!H1112="Y",IF('House Count'!F1112="COMM-SU",1,IF('House Count'!F1112="COM-MTU",1,IF('House Count'!F1112="ENT",1,0))),0)</f>
        <v/>
      </c>
    </row>
    <row r="1113">
      <c r="H1113" s="192" t="n"/>
      <c r="I1113" s="773" t="n"/>
      <c r="J1113">
        <f>IF('House Count'!H1113="Y",IF('House Count'!F1113="RES-SFU",1,IF('House Count'!F1113="RES-MDU",1,IF('House Count'!F1113="RES-HOA",1,0))),0)</f>
        <v/>
      </c>
      <c r="K1113">
        <f>IF('House Count'!H1113="Y",IF('House Count'!F1113="COMM-SU",1,IF('House Count'!F1113="COM-MTU",1,IF('House Count'!F1113="ENT",1,0))),0)</f>
        <v/>
      </c>
    </row>
    <row r="1114">
      <c r="H1114" s="192" t="n"/>
      <c r="I1114" s="773" t="n"/>
      <c r="J1114">
        <f>IF('House Count'!H1114="Y",IF('House Count'!F1114="RES-SFU",1,IF('House Count'!F1114="RES-MDU",1,IF('House Count'!F1114="RES-HOA",1,0))),0)</f>
        <v/>
      </c>
      <c r="K1114">
        <f>IF('House Count'!H1114="Y",IF('House Count'!F1114="COMM-SU",1,IF('House Count'!F1114="COM-MTU",1,IF('House Count'!F1114="ENT",1,0))),0)</f>
        <v/>
      </c>
    </row>
    <row r="1115">
      <c r="H1115" s="192" t="n"/>
      <c r="I1115" s="773" t="n"/>
      <c r="J1115">
        <f>IF('House Count'!H1115="Y",IF('House Count'!F1115="RES-SFU",1,IF('House Count'!F1115="RES-MDU",1,IF('House Count'!F1115="RES-HOA",1,0))),0)</f>
        <v/>
      </c>
      <c r="K1115">
        <f>IF('House Count'!H1115="Y",IF('House Count'!F1115="COMM-SU",1,IF('House Count'!F1115="COM-MTU",1,IF('House Count'!F1115="ENT",1,0))),0)</f>
        <v/>
      </c>
    </row>
    <row r="1116">
      <c r="H1116" s="192" t="n"/>
      <c r="I1116" s="773" t="n"/>
      <c r="J1116">
        <f>IF('House Count'!H1116="Y",IF('House Count'!F1116="RES-SFU",1,IF('House Count'!F1116="RES-MDU",1,IF('House Count'!F1116="RES-HOA",1,0))),0)</f>
        <v/>
      </c>
      <c r="K1116">
        <f>IF('House Count'!H1116="Y",IF('House Count'!F1116="COMM-SU",1,IF('House Count'!F1116="COM-MTU",1,IF('House Count'!F1116="ENT",1,0))),0)</f>
        <v/>
      </c>
    </row>
    <row r="1117" ht="15.75" customHeight="1" thickBot="1">
      <c r="A1117" s="774" t="n"/>
      <c r="B1117" s="774" t="n"/>
      <c r="C1117" s="774" t="n"/>
      <c r="D1117" s="774" t="n"/>
      <c r="E1117" s="774" t="n"/>
      <c r="F1117" s="774" t="n"/>
      <c r="G1117" s="774" t="n"/>
      <c r="H1117" s="774" t="n"/>
      <c r="I1117" s="775" t="n"/>
      <c r="J1117">
        <f>IF('House Count'!H1117="Y",IF('House Count'!F1117="RES-SFU",1,IF('House Count'!F1117="RES-MDU",1,IF('House Count'!F1117="RES-HOA",1,0))),0)</f>
        <v/>
      </c>
      <c r="K1117">
        <f>IF('House Count'!H1117="Y",IF('House Count'!F1117="COMM-SU",1,IF('House Count'!F1117="COM-MTU",1,IF('House Count'!F1117="ENT",1,0))),0)</f>
        <v/>
      </c>
    </row>
    <row r="1118" ht="15.75" customHeight="1" thickTop="1">
      <c r="H1118" s="192" t="n"/>
      <c r="I1118" s="773" t="n"/>
      <c r="J1118">
        <f>IF('House Count'!H1118="Y",IF('House Count'!F1118="RES-SFU",1,IF('House Count'!F1118="RES-MDU",1,IF('House Count'!F1118="RES-HOA",1,0))),0)</f>
        <v/>
      </c>
      <c r="K1118">
        <f>IF('House Count'!H1118="Y",IF('House Count'!F1118="COMM-SU",1,IF('House Count'!F1118="COM-MTU",1,IF('House Count'!F1118="ENT",1,0))),0)</f>
        <v/>
      </c>
    </row>
    <row r="1119">
      <c r="H1119" s="192" t="n"/>
      <c r="I1119" s="773" t="n"/>
      <c r="J1119">
        <f>IF('House Count'!H1119="Y",IF('House Count'!F1119="RES-SFU",1,IF('House Count'!F1119="RES-MDU",1,IF('House Count'!F1119="RES-HOA",1,0))),0)</f>
        <v/>
      </c>
      <c r="K1119">
        <f>IF('House Count'!H1119="Y",IF('House Count'!F1119="COMM-SU",1,IF('House Count'!F1119="COM-MTU",1,IF('House Count'!F1119="ENT",1,0))),0)</f>
        <v/>
      </c>
    </row>
    <row r="1120">
      <c r="H1120" s="192" t="n"/>
      <c r="I1120" s="773" t="n"/>
      <c r="J1120">
        <f>IF('House Count'!H1120="Y",IF('House Count'!F1120="RES-SFU",1,IF('House Count'!F1120="RES-MDU",1,IF('House Count'!F1120="RES-HOA",1,0))),0)</f>
        <v/>
      </c>
      <c r="K1120">
        <f>IF('House Count'!H1120="Y",IF('House Count'!F1120="COMM-SU",1,IF('House Count'!F1120="COM-MTU",1,IF('House Count'!F1120="ENT",1,0))),0)</f>
        <v/>
      </c>
    </row>
    <row r="1121">
      <c r="H1121" s="192" t="n"/>
      <c r="I1121" s="773" t="n"/>
      <c r="J1121">
        <f>IF('House Count'!H1121="Y",IF('House Count'!F1121="RES-SFU",1,IF('House Count'!F1121="RES-MDU",1,IF('House Count'!F1121="RES-HOA",1,0))),0)</f>
        <v/>
      </c>
      <c r="K1121">
        <f>IF('House Count'!H1121="Y",IF('House Count'!F1121="COMM-SU",1,IF('House Count'!F1121="COM-MTU",1,IF('House Count'!F1121="ENT",1,0))),0)</f>
        <v/>
      </c>
    </row>
    <row r="1122">
      <c r="H1122" s="192" t="n"/>
      <c r="I1122" s="773" t="n"/>
      <c r="J1122">
        <f>IF('House Count'!H1122="Y",IF('House Count'!F1122="RES-SFU",1,IF('House Count'!F1122="RES-MDU",1,IF('House Count'!F1122="RES-HOA",1,0))),0)</f>
        <v/>
      </c>
      <c r="K1122">
        <f>IF('House Count'!H1122="Y",IF('House Count'!F1122="COMM-SU",1,IF('House Count'!F1122="COM-MTU",1,IF('House Count'!F1122="ENT",1,0))),0)</f>
        <v/>
      </c>
    </row>
    <row r="1123">
      <c r="H1123" s="192" t="n"/>
      <c r="I1123" s="773" t="n"/>
      <c r="J1123">
        <f>IF('House Count'!H1123="Y",IF('House Count'!F1123="RES-SFU",1,IF('House Count'!F1123="RES-MDU",1,IF('House Count'!F1123="RES-HOA",1,0))),0)</f>
        <v/>
      </c>
      <c r="K1123">
        <f>IF('House Count'!H1123="Y",IF('House Count'!F1123="COMM-SU",1,IF('House Count'!F1123="COM-MTU",1,IF('House Count'!F1123="ENT",1,0))),0)</f>
        <v/>
      </c>
    </row>
    <row r="1124">
      <c r="H1124" s="192" t="n"/>
      <c r="I1124" s="773" t="n"/>
      <c r="J1124">
        <f>IF('House Count'!H1124="Y",IF('House Count'!F1124="RES-SFU",1,IF('House Count'!F1124="RES-MDU",1,IF('House Count'!F1124="RES-HOA",1,0))),0)</f>
        <v/>
      </c>
      <c r="K1124">
        <f>IF('House Count'!H1124="Y",IF('House Count'!F1124="COMM-SU",1,IF('House Count'!F1124="COM-MTU",1,IF('House Count'!F1124="ENT",1,0))),0)</f>
        <v/>
      </c>
    </row>
    <row r="1125">
      <c r="H1125" s="192" t="n"/>
      <c r="I1125" s="773" t="n"/>
      <c r="J1125">
        <f>IF('House Count'!H1125="Y",IF('House Count'!F1125="RES-SFU",1,IF('House Count'!F1125="RES-MDU",1,IF('House Count'!F1125="RES-HOA",1,0))),0)</f>
        <v/>
      </c>
      <c r="K1125">
        <f>IF('House Count'!H1125="Y",IF('House Count'!F1125="COMM-SU",1,IF('House Count'!F1125="COM-MTU",1,IF('House Count'!F1125="ENT",1,0))),0)</f>
        <v/>
      </c>
    </row>
    <row r="1126">
      <c r="H1126" s="192" t="n"/>
      <c r="I1126" s="773" t="n"/>
      <c r="J1126">
        <f>IF('House Count'!H1126="Y",IF('House Count'!F1126="RES-SFU",1,IF('House Count'!F1126="RES-MDU",1,IF('House Count'!F1126="RES-HOA",1,0))),0)</f>
        <v/>
      </c>
      <c r="K1126">
        <f>IF('House Count'!H1126="Y",IF('House Count'!F1126="COMM-SU",1,IF('House Count'!F1126="COM-MTU",1,IF('House Count'!F1126="ENT",1,0))),0)</f>
        <v/>
      </c>
    </row>
    <row r="1127">
      <c r="H1127" s="192" t="n"/>
      <c r="I1127" s="773" t="n"/>
      <c r="J1127">
        <f>IF('House Count'!H1127="Y",IF('House Count'!F1127="RES-SFU",1,IF('House Count'!F1127="RES-MDU",1,IF('House Count'!F1127="RES-HOA",1,0))),0)</f>
        <v/>
      </c>
      <c r="K1127">
        <f>IF('House Count'!H1127="Y",IF('House Count'!F1127="COMM-SU",1,IF('House Count'!F1127="COM-MTU",1,IF('House Count'!F1127="ENT",1,0))),0)</f>
        <v/>
      </c>
    </row>
    <row r="1128">
      <c r="H1128" s="192" t="n"/>
      <c r="I1128" s="773" t="n"/>
      <c r="J1128">
        <f>IF('House Count'!H1128="Y",IF('House Count'!F1128="RES-SFU",1,IF('House Count'!F1128="RES-MDU",1,IF('House Count'!F1128="RES-HOA",1,0))),0)</f>
        <v/>
      </c>
      <c r="K1128">
        <f>IF('House Count'!H1128="Y",IF('House Count'!F1128="COMM-SU",1,IF('House Count'!F1128="COM-MTU",1,IF('House Count'!F1128="ENT",1,0))),0)</f>
        <v/>
      </c>
    </row>
    <row r="1129" ht="15.75" customHeight="1" thickBot="1">
      <c r="A1129" s="774" t="n"/>
      <c r="B1129" s="774" t="n"/>
      <c r="C1129" s="774" t="n"/>
      <c r="D1129" s="774" t="n"/>
      <c r="E1129" s="774" t="n"/>
      <c r="F1129" s="774" t="n"/>
      <c r="G1129" s="774" t="n"/>
      <c r="H1129" s="774" t="n"/>
      <c r="I1129" s="775" t="n"/>
      <c r="J1129">
        <f>IF('House Count'!H1129="Y",IF('House Count'!F1129="RES-SFU",1,IF('House Count'!F1129="RES-MDU",1,IF('House Count'!F1129="RES-HOA",1,0))),0)</f>
        <v/>
      </c>
      <c r="K1129">
        <f>IF('House Count'!H1129="Y",IF('House Count'!F1129="COMM-SU",1,IF('House Count'!F1129="COM-MTU",1,IF('House Count'!F1129="ENT",1,0))),0)</f>
        <v/>
      </c>
    </row>
    <row r="1130" ht="15.75" customHeight="1" thickTop="1">
      <c r="H1130" s="192" t="n"/>
      <c r="I1130" s="773" t="n"/>
      <c r="J1130">
        <f>IF('House Count'!H1130="Y",IF('House Count'!F1130="RES-SFU",1,IF('House Count'!F1130="RES-MDU",1,IF('House Count'!F1130="RES-HOA",1,0))),0)</f>
        <v/>
      </c>
      <c r="K1130">
        <f>IF('House Count'!H1130="Y",IF('House Count'!F1130="COMM-SU",1,IF('House Count'!F1130="COM-MTU",1,IF('House Count'!F1130="ENT",1,0))),0)</f>
        <v/>
      </c>
    </row>
    <row r="1131">
      <c r="H1131" s="192" t="n"/>
      <c r="I1131" s="773" t="n"/>
      <c r="J1131">
        <f>IF('House Count'!H1131="Y",IF('House Count'!F1131="RES-SFU",1,IF('House Count'!F1131="RES-MDU",1,IF('House Count'!F1131="RES-HOA",1,0))),0)</f>
        <v/>
      </c>
      <c r="K1131">
        <f>IF('House Count'!H1131="Y",IF('House Count'!F1131="COMM-SU",1,IF('House Count'!F1131="COM-MTU",1,IF('House Count'!F1131="ENT",1,0))),0)</f>
        <v/>
      </c>
    </row>
    <row r="1132">
      <c r="H1132" s="192" t="n"/>
      <c r="I1132" s="773" t="n"/>
      <c r="J1132">
        <f>IF('House Count'!H1132="Y",IF('House Count'!F1132="RES-SFU",1,IF('House Count'!F1132="RES-MDU",1,IF('House Count'!F1132="RES-HOA",1,0))),0)</f>
        <v/>
      </c>
      <c r="K1132">
        <f>IF('House Count'!H1132="Y",IF('House Count'!F1132="COMM-SU",1,IF('House Count'!F1132="COM-MTU",1,IF('House Count'!F1132="ENT",1,0))),0)</f>
        <v/>
      </c>
    </row>
    <row r="1133">
      <c r="H1133" s="192" t="n"/>
      <c r="I1133" s="773" t="n"/>
      <c r="J1133">
        <f>IF('House Count'!H1133="Y",IF('House Count'!F1133="RES-SFU",1,IF('House Count'!F1133="RES-MDU",1,IF('House Count'!F1133="RES-HOA",1,0))),0)</f>
        <v/>
      </c>
      <c r="K1133">
        <f>IF('House Count'!H1133="Y",IF('House Count'!F1133="COMM-SU",1,IF('House Count'!F1133="COM-MTU",1,IF('House Count'!F1133="ENT",1,0))),0)</f>
        <v/>
      </c>
    </row>
    <row r="1134">
      <c r="H1134" s="192" t="n"/>
      <c r="I1134" s="773" t="n"/>
      <c r="J1134">
        <f>IF('House Count'!H1134="Y",IF('House Count'!F1134="RES-SFU",1,IF('House Count'!F1134="RES-MDU",1,IF('House Count'!F1134="RES-HOA",1,0))),0)</f>
        <v/>
      </c>
      <c r="K1134">
        <f>IF('House Count'!H1134="Y",IF('House Count'!F1134="COMM-SU",1,IF('House Count'!F1134="COM-MTU",1,IF('House Count'!F1134="ENT",1,0))),0)</f>
        <v/>
      </c>
    </row>
    <row r="1135">
      <c r="H1135" s="192" t="n"/>
      <c r="I1135" s="773" t="n"/>
      <c r="J1135">
        <f>IF('House Count'!H1135="Y",IF('House Count'!F1135="RES-SFU",1,IF('House Count'!F1135="RES-MDU",1,IF('House Count'!F1135="RES-HOA",1,0))),0)</f>
        <v/>
      </c>
      <c r="K1135">
        <f>IF('House Count'!H1135="Y",IF('House Count'!F1135="COMM-SU",1,IF('House Count'!F1135="COM-MTU",1,IF('House Count'!F1135="ENT",1,0))),0)</f>
        <v/>
      </c>
    </row>
    <row r="1136">
      <c r="H1136" s="192" t="n"/>
      <c r="I1136" s="773" t="n"/>
      <c r="J1136">
        <f>IF('House Count'!H1136="Y",IF('House Count'!F1136="RES-SFU",1,IF('House Count'!F1136="RES-MDU",1,IF('House Count'!F1136="RES-HOA",1,0))),0)</f>
        <v/>
      </c>
      <c r="K1136">
        <f>IF('House Count'!H1136="Y",IF('House Count'!F1136="COMM-SU",1,IF('House Count'!F1136="COM-MTU",1,IF('House Count'!F1136="ENT",1,0))),0)</f>
        <v/>
      </c>
    </row>
    <row r="1137">
      <c r="H1137" s="192" t="n"/>
      <c r="I1137" s="773" t="n"/>
      <c r="J1137">
        <f>IF('House Count'!H1137="Y",IF('House Count'!F1137="RES-SFU",1,IF('House Count'!F1137="RES-MDU",1,IF('House Count'!F1137="RES-HOA",1,0))),0)</f>
        <v/>
      </c>
      <c r="K1137">
        <f>IF('House Count'!H1137="Y",IF('House Count'!F1137="COMM-SU",1,IF('House Count'!F1137="COM-MTU",1,IF('House Count'!F1137="ENT",1,0))),0)</f>
        <v/>
      </c>
    </row>
    <row r="1138">
      <c r="H1138" s="192" t="n"/>
      <c r="I1138" s="773" t="n"/>
      <c r="J1138">
        <f>IF('House Count'!H1138="Y",IF('House Count'!F1138="RES-SFU",1,IF('House Count'!F1138="RES-MDU",1,IF('House Count'!F1138="RES-HOA",1,0))),0)</f>
        <v/>
      </c>
      <c r="K1138">
        <f>IF('House Count'!H1138="Y",IF('House Count'!F1138="COMM-SU",1,IF('House Count'!F1138="COM-MTU",1,IF('House Count'!F1138="ENT",1,0))),0)</f>
        <v/>
      </c>
    </row>
    <row r="1139">
      <c r="H1139" s="192" t="n"/>
      <c r="I1139" s="773" t="n"/>
      <c r="J1139">
        <f>IF('House Count'!H1139="Y",IF('House Count'!F1139="RES-SFU",1,IF('House Count'!F1139="RES-MDU",1,IF('House Count'!F1139="RES-HOA",1,0))),0)</f>
        <v/>
      </c>
      <c r="K1139">
        <f>IF('House Count'!H1139="Y",IF('House Count'!F1139="COMM-SU",1,IF('House Count'!F1139="COM-MTU",1,IF('House Count'!F1139="ENT",1,0))),0)</f>
        <v/>
      </c>
    </row>
    <row r="1140">
      <c r="H1140" s="192" t="n"/>
      <c r="I1140" s="773" t="n"/>
      <c r="J1140">
        <f>IF('House Count'!H1140="Y",IF('House Count'!F1140="RES-SFU",1,IF('House Count'!F1140="RES-MDU",1,IF('House Count'!F1140="RES-HOA",1,0))),0)</f>
        <v/>
      </c>
      <c r="K1140">
        <f>IF('House Count'!H1140="Y",IF('House Count'!F1140="COMM-SU",1,IF('House Count'!F1140="COM-MTU",1,IF('House Count'!F1140="ENT",1,0))),0)</f>
        <v/>
      </c>
    </row>
    <row r="1141" ht="15.75" customHeight="1" thickBot="1">
      <c r="A1141" s="774" t="n"/>
      <c r="B1141" s="774" t="n"/>
      <c r="C1141" s="774" t="n"/>
      <c r="D1141" s="774" t="n"/>
      <c r="E1141" s="774" t="n"/>
      <c r="F1141" s="774" t="n"/>
      <c r="G1141" s="774" t="n"/>
      <c r="H1141" s="774" t="n"/>
      <c r="I1141" s="775" t="n"/>
      <c r="J1141">
        <f>IF('House Count'!H1141="Y",IF('House Count'!F1141="RES-SFU",1,IF('House Count'!F1141="RES-MDU",1,IF('House Count'!F1141="RES-HOA",1,0))),0)</f>
        <v/>
      </c>
      <c r="K1141">
        <f>IF('House Count'!H1141="Y",IF('House Count'!F1141="COMM-SU",1,IF('House Count'!F1141="COM-MTU",1,IF('House Count'!F1141="ENT",1,0))),0)</f>
        <v/>
      </c>
    </row>
    <row r="1142" ht="15.75" customHeight="1" thickTop="1">
      <c r="H1142" s="192" t="n"/>
      <c r="I1142" s="773" t="n"/>
      <c r="J1142">
        <f>IF('House Count'!H1142="Y",IF('House Count'!F1142="RES-SFU",1,IF('House Count'!F1142="RES-MDU",1,IF('House Count'!F1142="RES-HOA",1,0))),0)</f>
        <v/>
      </c>
      <c r="K1142">
        <f>IF('House Count'!H1142="Y",IF('House Count'!F1142="COMM-SU",1,IF('House Count'!F1142="COM-MTU",1,IF('House Count'!F1142="ENT",1,0))),0)</f>
        <v/>
      </c>
    </row>
    <row r="1143">
      <c r="H1143" s="192" t="n"/>
      <c r="I1143" s="773" t="n"/>
      <c r="J1143">
        <f>IF('House Count'!H1143="Y",IF('House Count'!F1143="RES-SFU",1,IF('House Count'!F1143="RES-MDU",1,IF('House Count'!F1143="RES-HOA",1,0))),0)</f>
        <v/>
      </c>
      <c r="K1143">
        <f>IF('House Count'!H1143="Y",IF('House Count'!F1143="COMM-SU",1,IF('House Count'!F1143="COM-MTU",1,IF('House Count'!F1143="ENT",1,0))),0)</f>
        <v/>
      </c>
    </row>
    <row r="1144">
      <c r="H1144" s="192" t="n"/>
      <c r="I1144" s="773" t="n"/>
      <c r="J1144">
        <f>IF('House Count'!H1144="Y",IF('House Count'!F1144="RES-SFU",1,IF('House Count'!F1144="RES-MDU",1,IF('House Count'!F1144="RES-HOA",1,0))),0)</f>
        <v/>
      </c>
      <c r="K1144">
        <f>IF('House Count'!H1144="Y",IF('House Count'!F1144="COMM-SU",1,IF('House Count'!F1144="COM-MTU",1,IF('House Count'!F1144="ENT",1,0))),0)</f>
        <v/>
      </c>
    </row>
    <row r="1145">
      <c r="H1145" s="192" t="n"/>
      <c r="I1145" s="773" t="n"/>
      <c r="J1145">
        <f>IF('House Count'!H1145="Y",IF('House Count'!F1145="RES-SFU",1,IF('House Count'!F1145="RES-MDU",1,IF('House Count'!F1145="RES-HOA",1,0))),0)</f>
        <v/>
      </c>
      <c r="K1145">
        <f>IF('House Count'!H1145="Y",IF('House Count'!F1145="COMM-SU",1,IF('House Count'!F1145="COM-MTU",1,IF('House Count'!F1145="ENT",1,0))),0)</f>
        <v/>
      </c>
    </row>
    <row r="1146">
      <c r="H1146" s="192" t="n"/>
      <c r="I1146" s="773" t="n"/>
      <c r="J1146">
        <f>IF('House Count'!H1146="Y",IF('House Count'!F1146="RES-SFU",1,IF('House Count'!F1146="RES-MDU",1,IF('House Count'!F1146="RES-HOA",1,0))),0)</f>
        <v/>
      </c>
      <c r="K1146">
        <f>IF('House Count'!H1146="Y",IF('House Count'!F1146="COMM-SU",1,IF('House Count'!F1146="COM-MTU",1,IF('House Count'!F1146="ENT",1,0))),0)</f>
        <v/>
      </c>
    </row>
    <row r="1147">
      <c r="H1147" s="192" t="n"/>
      <c r="I1147" s="773" t="n"/>
      <c r="J1147">
        <f>IF('House Count'!H1147="Y",IF('House Count'!F1147="RES-SFU",1,IF('House Count'!F1147="RES-MDU",1,IF('House Count'!F1147="RES-HOA",1,0))),0)</f>
        <v/>
      </c>
      <c r="K1147">
        <f>IF('House Count'!H1147="Y",IF('House Count'!F1147="COMM-SU",1,IF('House Count'!F1147="COM-MTU",1,IF('House Count'!F1147="ENT",1,0))),0)</f>
        <v/>
      </c>
    </row>
    <row r="1148">
      <c r="H1148" s="192" t="n"/>
      <c r="I1148" s="773" t="n"/>
      <c r="J1148">
        <f>IF('House Count'!H1148="Y",IF('House Count'!F1148="RES-SFU",1,IF('House Count'!F1148="RES-MDU",1,IF('House Count'!F1148="RES-HOA",1,0))),0)</f>
        <v/>
      </c>
      <c r="K1148">
        <f>IF('House Count'!H1148="Y",IF('House Count'!F1148="COMM-SU",1,IF('House Count'!F1148="COM-MTU",1,IF('House Count'!F1148="ENT",1,0))),0)</f>
        <v/>
      </c>
    </row>
    <row r="1149">
      <c r="H1149" s="192" t="n"/>
      <c r="I1149" s="773" t="n"/>
      <c r="J1149">
        <f>IF('House Count'!H1149="Y",IF('House Count'!F1149="RES-SFU",1,IF('House Count'!F1149="RES-MDU",1,IF('House Count'!F1149="RES-HOA",1,0))),0)</f>
        <v/>
      </c>
      <c r="K1149">
        <f>IF('House Count'!H1149="Y",IF('House Count'!F1149="COMM-SU",1,IF('House Count'!F1149="COM-MTU",1,IF('House Count'!F1149="ENT",1,0))),0)</f>
        <v/>
      </c>
    </row>
    <row r="1150">
      <c r="H1150" s="192" t="n"/>
      <c r="I1150" s="773" t="n"/>
      <c r="J1150">
        <f>IF('House Count'!H1150="Y",IF('House Count'!F1150="RES-SFU",1,IF('House Count'!F1150="RES-MDU",1,IF('House Count'!F1150="RES-HOA",1,0))),0)</f>
        <v/>
      </c>
      <c r="K1150">
        <f>IF('House Count'!H1150="Y",IF('House Count'!F1150="COMM-SU",1,IF('House Count'!F1150="COM-MTU",1,IF('House Count'!F1150="ENT",1,0))),0)</f>
        <v/>
      </c>
    </row>
    <row r="1151">
      <c r="H1151" s="192" t="n"/>
      <c r="I1151" s="773" t="n"/>
      <c r="J1151">
        <f>IF('House Count'!H1151="Y",IF('House Count'!F1151="RES-SFU",1,IF('House Count'!F1151="RES-MDU",1,IF('House Count'!F1151="RES-HOA",1,0))),0)</f>
        <v/>
      </c>
      <c r="K1151">
        <f>IF('House Count'!H1151="Y",IF('House Count'!F1151="COMM-SU",1,IF('House Count'!F1151="COM-MTU",1,IF('House Count'!F1151="ENT",1,0))),0)</f>
        <v/>
      </c>
    </row>
    <row r="1152">
      <c r="H1152" s="192" t="n"/>
      <c r="I1152" s="773" t="n"/>
      <c r="J1152">
        <f>IF('House Count'!H1152="Y",IF('House Count'!F1152="RES-SFU",1,IF('House Count'!F1152="RES-MDU",1,IF('House Count'!F1152="RES-HOA",1,0))),0)</f>
        <v/>
      </c>
      <c r="K1152">
        <f>IF('House Count'!H1152="Y",IF('House Count'!F1152="COMM-SU",1,IF('House Count'!F1152="COM-MTU",1,IF('House Count'!F1152="ENT",1,0))),0)</f>
        <v/>
      </c>
    </row>
    <row r="1153" ht="15.75" customHeight="1" thickBot="1">
      <c r="A1153" s="774" t="n"/>
      <c r="B1153" s="774" t="n"/>
      <c r="C1153" s="774" t="n"/>
      <c r="D1153" s="774" t="n"/>
      <c r="E1153" s="774" t="n"/>
      <c r="F1153" s="774" t="n"/>
      <c r="G1153" s="774" t="n"/>
      <c r="H1153" s="774" t="n"/>
      <c r="I1153" s="775" t="n"/>
      <c r="J1153">
        <f>IF('House Count'!H1153="Y",IF('House Count'!F1153="RES-SFU",1,IF('House Count'!F1153="RES-MDU",1,IF('House Count'!F1153="RES-HOA",1,0))),0)</f>
        <v/>
      </c>
      <c r="K1153">
        <f>IF('House Count'!H1153="Y",IF('House Count'!F1153="COMM-SU",1,IF('House Count'!F1153="COM-MTU",1,IF('House Count'!F1153="ENT",1,0))),0)</f>
        <v/>
      </c>
    </row>
    <row r="1154" ht="15.75" customHeight="1" thickTop="1">
      <c r="H1154" s="192" t="n"/>
      <c r="I1154" s="773" t="n"/>
      <c r="J1154">
        <f>IF('House Count'!H1154="Y",IF('House Count'!F1154="RES-SFU",1,IF('House Count'!F1154="RES-MDU",1,IF('House Count'!F1154="RES-HOA",1,0))),0)</f>
        <v/>
      </c>
      <c r="K1154">
        <f>IF('House Count'!H1154="Y",IF('House Count'!F1154="COMM-SU",1,IF('House Count'!F1154="COM-MTU",1,IF('House Count'!F1154="ENT",1,0))),0)</f>
        <v/>
      </c>
    </row>
    <row r="1155">
      <c r="H1155" s="192" t="n"/>
      <c r="I1155" s="773" t="n"/>
      <c r="J1155">
        <f>IF('House Count'!H1155="Y",IF('House Count'!F1155="RES-SFU",1,IF('House Count'!F1155="RES-MDU",1,IF('House Count'!F1155="RES-HOA",1,0))),0)</f>
        <v/>
      </c>
      <c r="K1155">
        <f>IF('House Count'!H1155="Y",IF('House Count'!F1155="COMM-SU",1,IF('House Count'!F1155="COM-MTU",1,IF('House Count'!F1155="ENT",1,0))),0)</f>
        <v/>
      </c>
    </row>
    <row r="1156">
      <c r="H1156" s="192" t="n"/>
      <c r="I1156" s="773" t="n"/>
      <c r="J1156">
        <f>IF('House Count'!H1156="Y",IF('House Count'!F1156="RES-SFU",1,IF('House Count'!F1156="RES-MDU",1,IF('House Count'!F1156="RES-HOA",1,0))),0)</f>
        <v/>
      </c>
      <c r="K1156">
        <f>IF('House Count'!H1156="Y",IF('House Count'!F1156="COMM-SU",1,IF('House Count'!F1156="COM-MTU",1,IF('House Count'!F1156="ENT",1,0))),0)</f>
        <v/>
      </c>
    </row>
    <row r="1157">
      <c r="H1157" s="192" t="n"/>
      <c r="I1157" s="773" t="n"/>
      <c r="J1157">
        <f>IF('House Count'!H1157="Y",IF('House Count'!F1157="RES-SFU",1,IF('House Count'!F1157="RES-MDU",1,IF('House Count'!F1157="RES-HOA",1,0))),0)</f>
        <v/>
      </c>
      <c r="K1157">
        <f>IF('House Count'!H1157="Y",IF('House Count'!F1157="COMM-SU",1,IF('House Count'!F1157="COM-MTU",1,IF('House Count'!F1157="ENT",1,0))),0)</f>
        <v/>
      </c>
    </row>
    <row r="1158">
      <c r="H1158" s="192" t="n"/>
      <c r="I1158" s="773" t="n"/>
      <c r="J1158">
        <f>IF('House Count'!H1158="Y",IF('House Count'!F1158="RES-SFU",1,IF('House Count'!F1158="RES-MDU",1,IF('House Count'!F1158="RES-HOA",1,0))),0)</f>
        <v/>
      </c>
      <c r="K1158">
        <f>IF('House Count'!H1158="Y",IF('House Count'!F1158="COMM-SU",1,IF('House Count'!F1158="COM-MTU",1,IF('House Count'!F1158="ENT",1,0))),0)</f>
        <v/>
      </c>
    </row>
    <row r="1159">
      <c r="H1159" s="192" t="n"/>
      <c r="I1159" s="773" t="n"/>
      <c r="J1159">
        <f>IF('House Count'!H1159="Y",IF('House Count'!F1159="RES-SFU",1,IF('House Count'!F1159="RES-MDU",1,IF('House Count'!F1159="RES-HOA",1,0))),0)</f>
        <v/>
      </c>
      <c r="K1159">
        <f>IF('House Count'!H1159="Y",IF('House Count'!F1159="COMM-SU",1,IF('House Count'!F1159="COM-MTU",1,IF('House Count'!F1159="ENT",1,0))),0)</f>
        <v/>
      </c>
    </row>
    <row r="1160">
      <c r="H1160" s="192" t="n"/>
      <c r="I1160" s="773" t="n"/>
      <c r="J1160">
        <f>IF('House Count'!H1160="Y",IF('House Count'!F1160="RES-SFU",1,IF('House Count'!F1160="RES-MDU",1,IF('House Count'!F1160="RES-HOA",1,0))),0)</f>
        <v/>
      </c>
      <c r="K1160">
        <f>IF('House Count'!H1160="Y",IF('House Count'!F1160="COMM-SU",1,IF('House Count'!F1160="COM-MTU",1,IF('House Count'!F1160="ENT",1,0))),0)</f>
        <v/>
      </c>
    </row>
    <row r="1161">
      <c r="H1161" s="192" t="n"/>
      <c r="I1161" s="773" t="n"/>
      <c r="J1161">
        <f>IF('House Count'!H1161="Y",IF('House Count'!F1161="RES-SFU",1,IF('House Count'!F1161="RES-MDU",1,IF('House Count'!F1161="RES-HOA",1,0))),0)</f>
        <v/>
      </c>
      <c r="K1161">
        <f>IF('House Count'!H1161="Y",IF('House Count'!F1161="COMM-SU",1,IF('House Count'!F1161="COM-MTU",1,IF('House Count'!F1161="ENT",1,0))),0)</f>
        <v/>
      </c>
    </row>
    <row r="1162">
      <c r="H1162" s="192" t="n"/>
      <c r="I1162" s="773" t="n"/>
      <c r="J1162">
        <f>IF('House Count'!H1162="Y",IF('House Count'!F1162="RES-SFU",1,IF('House Count'!F1162="RES-MDU",1,IF('House Count'!F1162="RES-HOA",1,0))),0)</f>
        <v/>
      </c>
      <c r="K1162">
        <f>IF('House Count'!H1162="Y",IF('House Count'!F1162="COMM-SU",1,IF('House Count'!F1162="COM-MTU",1,IF('House Count'!F1162="ENT",1,0))),0)</f>
        <v/>
      </c>
    </row>
    <row r="1163">
      <c r="H1163" s="192" t="n"/>
      <c r="I1163" s="773" t="n"/>
      <c r="J1163">
        <f>IF('House Count'!H1163="Y",IF('House Count'!F1163="RES-SFU",1,IF('House Count'!F1163="RES-MDU",1,IF('House Count'!F1163="RES-HOA",1,0))),0)</f>
        <v/>
      </c>
      <c r="K1163">
        <f>IF('House Count'!H1163="Y",IF('House Count'!F1163="COMM-SU",1,IF('House Count'!F1163="COM-MTU",1,IF('House Count'!F1163="ENT",1,0))),0)</f>
        <v/>
      </c>
    </row>
    <row r="1164">
      <c r="H1164" s="192" t="n"/>
      <c r="I1164" s="773" t="n"/>
      <c r="J1164">
        <f>IF('House Count'!H1164="Y",IF('House Count'!F1164="RES-SFU",1,IF('House Count'!F1164="RES-MDU",1,IF('House Count'!F1164="RES-HOA",1,0))),0)</f>
        <v/>
      </c>
      <c r="K1164">
        <f>IF('House Count'!H1164="Y",IF('House Count'!F1164="COMM-SU",1,IF('House Count'!F1164="COM-MTU",1,IF('House Count'!F1164="ENT",1,0))),0)</f>
        <v/>
      </c>
    </row>
    <row r="1165" ht="15.75" customHeight="1" thickBot="1">
      <c r="A1165" s="774" t="n"/>
      <c r="B1165" s="774" t="n"/>
      <c r="C1165" s="774" t="n"/>
      <c r="D1165" s="774" t="n"/>
      <c r="E1165" s="774" t="n"/>
      <c r="F1165" s="774" t="n"/>
      <c r="G1165" s="774" t="n"/>
      <c r="H1165" s="774" t="n"/>
      <c r="I1165" s="775" t="n"/>
      <c r="J1165">
        <f>IF('House Count'!H1165="Y",IF('House Count'!F1165="RES-SFU",1,IF('House Count'!F1165="RES-MDU",1,IF('House Count'!F1165="RES-HOA",1,0))),0)</f>
        <v/>
      </c>
      <c r="K1165">
        <f>IF('House Count'!H1165="Y",IF('House Count'!F1165="COMM-SU",1,IF('House Count'!F1165="COM-MTU",1,IF('House Count'!F1165="ENT",1,0))),0)</f>
        <v/>
      </c>
    </row>
    <row r="1166" ht="15.75" customHeight="1" thickTop="1">
      <c r="H1166" s="192" t="n"/>
      <c r="I1166" s="773" t="n"/>
      <c r="J1166">
        <f>IF('House Count'!H1166="Y",IF('House Count'!F1166="RES-SFU",1,IF('House Count'!F1166="RES-MDU",1,IF('House Count'!F1166="RES-HOA",1,0))),0)</f>
        <v/>
      </c>
      <c r="K1166">
        <f>IF('House Count'!H1166="Y",IF('House Count'!F1166="COMM-SU",1,IF('House Count'!F1166="COM-MTU",1,IF('House Count'!F1166="ENT",1,0))),0)</f>
        <v/>
      </c>
    </row>
    <row r="1167">
      <c r="H1167" s="192" t="n"/>
      <c r="I1167" s="773" t="n"/>
      <c r="J1167">
        <f>IF('House Count'!H1167="Y",IF('House Count'!F1167="RES-SFU",1,IF('House Count'!F1167="RES-MDU",1,IF('House Count'!F1167="RES-HOA",1,0))),0)</f>
        <v/>
      </c>
      <c r="K1167">
        <f>IF('House Count'!H1167="Y",IF('House Count'!F1167="COMM-SU",1,IF('House Count'!F1167="COM-MTU",1,IF('House Count'!F1167="ENT",1,0))),0)</f>
        <v/>
      </c>
    </row>
    <row r="1168">
      <c r="H1168" s="192" t="n"/>
      <c r="I1168" s="773" t="n"/>
      <c r="J1168">
        <f>IF('House Count'!H1168="Y",IF('House Count'!F1168="RES-SFU",1,IF('House Count'!F1168="RES-MDU",1,IF('House Count'!F1168="RES-HOA",1,0))),0)</f>
        <v/>
      </c>
      <c r="K1168">
        <f>IF('House Count'!H1168="Y",IF('House Count'!F1168="COMM-SU",1,IF('House Count'!F1168="COM-MTU",1,IF('House Count'!F1168="ENT",1,0))),0)</f>
        <v/>
      </c>
    </row>
    <row r="1169">
      <c r="H1169" s="192" t="n"/>
      <c r="I1169" s="773" t="n"/>
      <c r="J1169">
        <f>IF('House Count'!H1169="Y",IF('House Count'!F1169="RES-SFU",1,IF('House Count'!F1169="RES-MDU",1,IF('House Count'!F1169="RES-HOA",1,0))),0)</f>
        <v/>
      </c>
      <c r="K1169">
        <f>IF('House Count'!H1169="Y",IF('House Count'!F1169="COMM-SU",1,IF('House Count'!F1169="COM-MTU",1,IF('House Count'!F1169="ENT",1,0))),0)</f>
        <v/>
      </c>
    </row>
    <row r="1170">
      <c r="H1170" s="192" t="n"/>
      <c r="I1170" s="773" t="n"/>
      <c r="J1170">
        <f>IF('House Count'!H1170="Y",IF('House Count'!F1170="RES-SFU",1,IF('House Count'!F1170="RES-MDU",1,IF('House Count'!F1170="RES-HOA",1,0))),0)</f>
        <v/>
      </c>
      <c r="K1170">
        <f>IF('House Count'!H1170="Y",IF('House Count'!F1170="COMM-SU",1,IF('House Count'!F1170="COM-MTU",1,IF('House Count'!F1170="ENT",1,0))),0)</f>
        <v/>
      </c>
    </row>
    <row r="1171">
      <c r="H1171" s="192" t="n"/>
      <c r="I1171" s="773" t="n"/>
      <c r="J1171">
        <f>IF('House Count'!H1171="Y",IF('House Count'!F1171="RES-SFU",1,IF('House Count'!F1171="RES-MDU",1,IF('House Count'!F1171="RES-HOA",1,0))),0)</f>
        <v/>
      </c>
      <c r="K1171">
        <f>IF('House Count'!H1171="Y",IF('House Count'!F1171="COMM-SU",1,IF('House Count'!F1171="COM-MTU",1,IF('House Count'!F1171="ENT",1,0))),0)</f>
        <v/>
      </c>
    </row>
    <row r="1172">
      <c r="H1172" s="192" t="n"/>
      <c r="I1172" s="773" t="n"/>
      <c r="J1172">
        <f>IF('House Count'!H1172="Y",IF('House Count'!F1172="RES-SFU",1,IF('House Count'!F1172="RES-MDU",1,IF('House Count'!F1172="RES-HOA",1,0))),0)</f>
        <v/>
      </c>
      <c r="K1172">
        <f>IF('House Count'!H1172="Y",IF('House Count'!F1172="COMM-SU",1,IF('House Count'!F1172="COM-MTU",1,IF('House Count'!F1172="ENT",1,0))),0)</f>
        <v/>
      </c>
    </row>
    <row r="1173">
      <c r="H1173" s="192" t="n"/>
      <c r="I1173" s="773" t="n"/>
      <c r="J1173">
        <f>IF('House Count'!H1173="Y",IF('House Count'!F1173="RES-SFU",1,IF('House Count'!F1173="RES-MDU",1,IF('House Count'!F1173="RES-HOA",1,0))),0)</f>
        <v/>
      </c>
      <c r="K1173">
        <f>IF('House Count'!H1173="Y",IF('House Count'!F1173="COMM-SU",1,IF('House Count'!F1173="COM-MTU",1,IF('House Count'!F1173="ENT",1,0))),0)</f>
        <v/>
      </c>
    </row>
    <row r="1174">
      <c r="H1174" s="192" t="n"/>
      <c r="I1174" s="773" t="n"/>
      <c r="J1174">
        <f>IF('House Count'!H1174="Y",IF('House Count'!F1174="RES-SFU",1,IF('House Count'!F1174="RES-MDU",1,IF('House Count'!F1174="RES-HOA",1,0))),0)</f>
        <v/>
      </c>
      <c r="K1174">
        <f>IF('House Count'!H1174="Y",IF('House Count'!F1174="COMM-SU",1,IF('House Count'!F1174="COM-MTU",1,IF('House Count'!F1174="ENT",1,0))),0)</f>
        <v/>
      </c>
    </row>
    <row r="1175">
      <c r="H1175" s="192" t="n"/>
      <c r="I1175" s="773" t="n"/>
      <c r="J1175">
        <f>IF('House Count'!H1175="Y",IF('House Count'!F1175="RES-SFU",1,IF('House Count'!F1175="RES-MDU",1,IF('House Count'!F1175="RES-HOA",1,0))),0)</f>
        <v/>
      </c>
      <c r="K1175">
        <f>IF('House Count'!H1175="Y",IF('House Count'!F1175="COMM-SU",1,IF('House Count'!F1175="COM-MTU",1,IF('House Count'!F1175="ENT",1,0))),0)</f>
        <v/>
      </c>
    </row>
    <row r="1176">
      <c r="H1176" s="192" t="n"/>
      <c r="I1176" s="773" t="n"/>
      <c r="J1176">
        <f>IF('House Count'!H1176="Y",IF('House Count'!F1176="RES-SFU",1,IF('House Count'!F1176="RES-MDU",1,IF('House Count'!F1176="RES-HOA",1,0))),0)</f>
        <v/>
      </c>
      <c r="K1176">
        <f>IF('House Count'!H1176="Y",IF('House Count'!F1176="COMM-SU",1,IF('House Count'!F1176="COM-MTU",1,IF('House Count'!F1176="ENT",1,0))),0)</f>
        <v/>
      </c>
    </row>
    <row r="1177" ht="15.75" customHeight="1" thickBot="1">
      <c r="A1177" s="774" t="n"/>
      <c r="B1177" s="774" t="n"/>
      <c r="C1177" s="774" t="n"/>
      <c r="D1177" s="774" t="n"/>
      <c r="E1177" s="774" t="n"/>
      <c r="F1177" s="774" t="n"/>
      <c r="G1177" s="774" t="n"/>
      <c r="H1177" s="774" t="n"/>
      <c r="I1177" s="775" t="n"/>
      <c r="J1177">
        <f>IF('House Count'!H1177="Y",IF('House Count'!F1177="RES-SFU",1,IF('House Count'!F1177="RES-MDU",1,IF('House Count'!F1177="RES-HOA",1,0))),0)</f>
        <v/>
      </c>
      <c r="K1177">
        <f>IF('House Count'!H1177="Y",IF('House Count'!F1177="COMM-SU",1,IF('House Count'!F1177="COM-MTU",1,IF('House Count'!F1177="ENT",1,0))),0)</f>
        <v/>
      </c>
    </row>
    <row r="1178" ht="15.75" customHeight="1" thickTop="1">
      <c r="H1178" s="192" t="n"/>
      <c r="I1178" s="773" t="n"/>
      <c r="J1178">
        <f>IF('House Count'!H1178="Y",IF('House Count'!F1178="RES-SFU",1,IF('House Count'!F1178="RES-MDU",1,IF('House Count'!F1178="RES-HOA",1,0))),0)</f>
        <v/>
      </c>
      <c r="K1178">
        <f>IF('House Count'!H1178="Y",IF('House Count'!F1178="COMM-SU",1,IF('House Count'!F1178="COM-MTU",1,IF('House Count'!F1178="ENT",1,0))),0)</f>
        <v/>
      </c>
    </row>
    <row r="1179">
      <c r="H1179" s="192" t="n"/>
      <c r="I1179" s="773" t="n"/>
      <c r="J1179">
        <f>IF('House Count'!H1179="Y",IF('House Count'!F1179="RES-SFU",1,IF('House Count'!F1179="RES-MDU",1,IF('House Count'!F1179="RES-HOA",1,0))),0)</f>
        <v/>
      </c>
      <c r="K1179">
        <f>IF('House Count'!H1179="Y",IF('House Count'!F1179="COMM-SU",1,IF('House Count'!F1179="COM-MTU",1,IF('House Count'!F1179="ENT",1,0))),0)</f>
        <v/>
      </c>
    </row>
    <row r="1180">
      <c r="H1180" s="192" t="n"/>
      <c r="I1180" s="773" t="n"/>
      <c r="J1180">
        <f>IF('House Count'!H1180="Y",IF('House Count'!F1180="RES-SFU",1,IF('House Count'!F1180="RES-MDU",1,IF('House Count'!F1180="RES-HOA",1,0))),0)</f>
        <v/>
      </c>
      <c r="K1180">
        <f>IF('House Count'!H1180="Y",IF('House Count'!F1180="COMM-SU",1,IF('House Count'!F1180="COM-MTU",1,IF('House Count'!F1180="ENT",1,0))),0)</f>
        <v/>
      </c>
    </row>
    <row r="1181">
      <c r="H1181" s="192" t="n"/>
      <c r="I1181" s="773" t="n"/>
      <c r="J1181">
        <f>IF('House Count'!H1181="Y",IF('House Count'!F1181="RES-SFU",1,IF('House Count'!F1181="RES-MDU",1,IF('House Count'!F1181="RES-HOA",1,0))),0)</f>
        <v/>
      </c>
      <c r="K1181">
        <f>IF('House Count'!H1181="Y",IF('House Count'!F1181="COMM-SU",1,IF('House Count'!F1181="COM-MTU",1,IF('House Count'!F1181="ENT",1,0))),0)</f>
        <v/>
      </c>
    </row>
    <row r="1182">
      <c r="H1182" s="192" t="n"/>
      <c r="I1182" s="773" t="n"/>
      <c r="J1182">
        <f>IF('House Count'!H1182="Y",IF('House Count'!F1182="RES-SFU",1,IF('House Count'!F1182="RES-MDU",1,IF('House Count'!F1182="RES-HOA",1,0))),0)</f>
        <v/>
      </c>
      <c r="K1182">
        <f>IF('House Count'!H1182="Y",IF('House Count'!F1182="COMM-SU",1,IF('House Count'!F1182="COM-MTU",1,IF('House Count'!F1182="ENT",1,0))),0)</f>
        <v/>
      </c>
    </row>
    <row r="1183">
      <c r="H1183" s="192" t="n"/>
      <c r="I1183" s="773" t="n"/>
      <c r="J1183">
        <f>IF('House Count'!H1183="Y",IF('House Count'!F1183="RES-SFU",1,IF('House Count'!F1183="RES-MDU",1,IF('House Count'!F1183="RES-HOA",1,0))),0)</f>
        <v/>
      </c>
      <c r="K1183">
        <f>IF('House Count'!H1183="Y",IF('House Count'!F1183="COMM-SU",1,IF('House Count'!F1183="COM-MTU",1,IF('House Count'!F1183="ENT",1,0))),0)</f>
        <v/>
      </c>
    </row>
    <row r="1184">
      <c r="H1184" s="192" t="n"/>
      <c r="I1184" s="773" t="n"/>
      <c r="J1184">
        <f>IF('House Count'!H1184="Y",IF('House Count'!F1184="RES-SFU",1,IF('House Count'!F1184="RES-MDU",1,IF('House Count'!F1184="RES-HOA",1,0))),0)</f>
        <v/>
      </c>
      <c r="K1184">
        <f>IF('House Count'!H1184="Y",IF('House Count'!F1184="COMM-SU",1,IF('House Count'!F1184="COM-MTU",1,IF('House Count'!F1184="ENT",1,0))),0)</f>
        <v/>
      </c>
    </row>
    <row r="1185">
      <c r="H1185" s="192" t="n"/>
      <c r="I1185" s="773" t="n"/>
      <c r="J1185">
        <f>IF('House Count'!H1185="Y",IF('House Count'!F1185="RES-SFU",1,IF('House Count'!F1185="RES-MDU",1,IF('House Count'!F1185="RES-HOA",1,0))),0)</f>
        <v/>
      </c>
      <c r="K1185">
        <f>IF('House Count'!H1185="Y",IF('House Count'!F1185="COMM-SU",1,IF('House Count'!F1185="COM-MTU",1,IF('House Count'!F1185="ENT",1,0))),0)</f>
        <v/>
      </c>
    </row>
    <row r="1186">
      <c r="H1186" s="192" t="n"/>
      <c r="I1186" s="773" t="n"/>
      <c r="J1186">
        <f>IF('House Count'!H1186="Y",IF('House Count'!F1186="RES-SFU",1,IF('House Count'!F1186="RES-MDU",1,IF('House Count'!F1186="RES-HOA",1,0))),0)</f>
        <v/>
      </c>
      <c r="K1186">
        <f>IF('House Count'!H1186="Y",IF('House Count'!F1186="COMM-SU",1,IF('House Count'!F1186="COM-MTU",1,IF('House Count'!F1186="ENT",1,0))),0)</f>
        <v/>
      </c>
    </row>
    <row r="1187">
      <c r="H1187" s="192" t="n"/>
      <c r="I1187" s="773" t="n"/>
      <c r="J1187">
        <f>IF('House Count'!H1187="Y",IF('House Count'!F1187="RES-SFU",1,IF('House Count'!F1187="RES-MDU",1,IF('House Count'!F1187="RES-HOA",1,0))),0)</f>
        <v/>
      </c>
      <c r="K1187">
        <f>IF('House Count'!H1187="Y",IF('House Count'!F1187="COMM-SU",1,IF('House Count'!F1187="COM-MTU",1,IF('House Count'!F1187="ENT",1,0))),0)</f>
        <v/>
      </c>
    </row>
    <row r="1188">
      <c r="H1188" s="192" t="n"/>
      <c r="I1188" s="773" t="n"/>
      <c r="J1188">
        <f>IF('House Count'!H1188="Y",IF('House Count'!F1188="RES-SFU",1,IF('House Count'!F1188="RES-MDU",1,IF('House Count'!F1188="RES-HOA",1,0))),0)</f>
        <v/>
      </c>
      <c r="K1188">
        <f>IF('House Count'!H1188="Y",IF('House Count'!F1188="COMM-SU",1,IF('House Count'!F1188="COM-MTU",1,IF('House Count'!F1188="ENT",1,0))),0)</f>
        <v/>
      </c>
    </row>
    <row r="1189" ht="15.75" customHeight="1" thickBot="1">
      <c r="A1189" s="774" t="n"/>
      <c r="B1189" s="774" t="n"/>
      <c r="C1189" s="774" t="n"/>
      <c r="D1189" s="774" t="n"/>
      <c r="E1189" s="774" t="n"/>
      <c r="F1189" s="774" t="n"/>
      <c r="G1189" s="774" t="n"/>
      <c r="H1189" s="774" t="n"/>
      <c r="I1189" s="775" t="n"/>
      <c r="J1189">
        <f>IF('House Count'!H1189="Y",IF('House Count'!F1189="RES-SFU",1,IF('House Count'!F1189="RES-MDU",1,IF('House Count'!F1189="RES-HOA",1,0))),0)</f>
        <v/>
      </c>
      <c r="K1189">
        <f>IF('House Count'!H1189="Y",IF('House Count'!F1189="COMM-SU",1,IF('House Count'!F1189="COM-MTU",1,IF('House Count'!F1189="ENT",1,0))),0)</f>
        <v/>
      </c>
    </row>
    <row r="1190" ht="15.75" customHeight="1" thickTop="1">
      <c r="H1190" s="192" t="n"/>
      <c r="I1190" s="773" t="n"/>
      <c r="J1190">
        <f>IF('House Count'!H1190="Y",IF('House Count'!F1190="RES-SFU",1,IF('House Count'!F1190="RES-MDU",1,IF('House Count'!F1190="RES-HOA",1,0))),0)</f>
        <v/>
      </c>
      <c r="K1190">
        <f>IF('House Count'!H1190="Y",IF('House Count'!F1190="COMM-SU",1,IF('House Count'!F1190="COM-MTU",1,IF('House Count'!F1190="ENT",1,0))),0)</f>
        <v/>
      </c>
    </row>
    <row r="1191">
      <c r="H1191" s="192" t="n"/>
      <c r="I1191" s="773" t="n"/>
      <c r="J1191">
        <f>IF('House Count'!H1191="Y",IF('House Count'!F1191="RES-SFU",1,IF('House Count'!F1191="RES-MDU",1,IF('House Count'!F1191="RES-HOA",1,0))),0)</f>
        <v/>
      </c>
      <c r="K1191">
        <f>IF('House Count'!H1191="Y",IF('House Count'!F1191="COMM-SU",1,IF('House Count'!F1191="COM-MTU",1,IF('House Count'!F1191="ENT",1,0))),0)</f>
        <v/>
      </c>
    </row>
    <row r="1192">
      <c r="H1192" s="192" t="n"/>
      <c r="I1192" s="773" t="n"/>
      <c r="J1192">
        <f>IF('House Count'!H1192="Y",IF('House Count'!F1192="RES-SFU",1,IF('House Count'!F1192="RES-MDU",1,IF('House Count'!F1192="RES-HOA",1,0))),0)</f>
        <v/>
      </c>
      <c r="K1192">
        <f>IF('House Count'!H1192="Y",IF('House Count'!F1192="COMM-SU",1,IF('House Count'!F1192="COM-MTU",1,IF('House Count'!F1192="ENT",1,0))),0)</f>
        <v/>
      </c>
    </row>
    <row r="1193">
      <c r="H1193" s="192" t="n"/>
      <c r="I1193" s="773" t="n"/>
      <c r="J1193">
        <f>IF('House Count'!H1193="Y",IF('House Count'!F1193="RES-SFU",1,IF('House Count'!F1193="RES-MDU",1,IF('House Count'!F1193="RES-HOA",1,0))),0)</f>
        <v/>
      </c>
      <c r="K1193">
        <f>IF('House Count'!H1193="Y",IF('House Count'!F1193="COMM-SU",1,IF('House Count'!F1193="COM-MTU",1,IF('House Count'!F1193="ENT",1,0))),0)</f>
        <v/>
      </c>
    </row>
    <row r="1194">
      <c r="H1194" s="192" t="n"/>
      <c r="I1194" s="773" t="n"/>
      <c r="J1194">
        <f>IF('House Count'!H1194="Y",IF('House Count'!F1194="RES-SFU",1,IF('House Count'!F1194="RES-MDU",1,IF('House Count'!F1194="RES-HOA",1,0))),0)</f>
        <v/>
      </c>
      <c r="K1194">
        <f>IF('House Count'!H1194="Y",IF('House Count'!F1194="COMM-SU",1,IF('House Count'!F1194="COM-MTU",1,IF('House Count'!F1194="ENT",1,0))),0)</f>
        <v/>
      </c>
    </row>
    <row r="1195">
      <c r="H1195" s="192" t="n"/>
      <c r="I1195" s="773" t="n"/>
      <c r="J1195">
        <f>IF('House Count'!H1195="Y",IF('House Count'!F1195="RES-SFU",1,IF('House Count'!F1195="RES-MDU",1,IF('House Count'!F1195="RES-HOA",1,0))),0)</f>
        <v/>
      </c>
      <c r="K1195">
        <f>IF('House Count'!H1195="Y",IF('House Count'!F1195="COMM-SU",1,IF('House Count'!F1195="COM-MTU",1,IF('House Count'!F1195="ENT",1,0))),0)</f>
        <v/>
      </c>
    </row>
    <row r="1196">
      <c r="H1196" s="192" t="n"/>
      <c r="I1196" s="773" t="n"/>
      <c r="J1196">
        <f>IF('House Count'!H1196="Y",IF('House Count'!F1196="RES-SFU",1,IF('House Count'!F1196="RES-MDU",1,IF('House Count'!F1196="RES-HOA",1,0))),0)</f>
        <v/>
      </c>
      <c r="K1196">
        <f>IF('House Count'!H1196="Y",IF('House Count'!F1196="COMM-SU",1,IF('House Count'!F1196="COM-MTU",1,IF('House Count'!F1196="ENT",1,0))),0)</f>
        <v/>
      </c>
    </row>
    <row r="1197">
      <c r="H1197" s="192" t="n"/>
      <c r="I1197" s="773" t="n"/>
      <c r="J1197">
        <f>IF('House Count'!H1197="Y",IF('House Count'!F1197="RES-SFU",1,IF('House Count'!F1197="RES-MDU",1,IF('House Count'!F1197="RES-HOA",1,0))),0)</f>
        <v/>
      </c>
      <c r="K1197">
        <f>IF('House Count'!H1197="Y",IF('House Count'!F1197="COMM-SU",1,IF('House Count'!F1197="COM-MTU",1,IF('House Count'!F1197="ENT",1,0))),0)</f>
        <v/>
      </c>
    </row>
    <row r="1198">
      <c r="H1198" s="192" t="n"/>
      <c r="I1198" s="773" t="n"/>
      <c r="J1198">
        <f>IF('House Count'!H1198="Y",IF('House Count'!F1198="RES-SFU",1,IF('House Count'!F1198="RES-MDU",1,IF('House Count'!F1198="RES-HOA",1,0))),0)</f>
        <v/>
      </c>
      <c r="K1198">
        <f>IF('House Count'!H1198="Y",IF('House Count'!F1198="COMM-SU",1,IF('House Count'!F1198="COM-MTU",1,IF('House Count'!F1198="ENT",1,0))),0)</f>
        <v/>
      </c>
    </row>
    <row r="1199">
      <c r="H1199" s="192" t="n"/>
      <c r="I1199" s="773" t="n"/>
      <c r="J1199">
        <f>IF('House Count'!H1199="Y",IF('House Count'!F1199="RES-SFU",1,IF('House Count'!F1199="RES-MDU",1,IF('House Count'!F1199="RES-HOA",1,0))),0)</f>
        <v/>
      </c>
      <c r="K1199">
        <f>IF('House Count'!H1199="Y",IF('House Count'!F1199="COMM-SU",1,IF('House Count'!F1199="COM-MTU",1,IF('House Count'!F1199="ENT",1,0))),0)</f>
        <v/>
      </c>
    </row>
    <row r="1200">
      <c r="H1200" s="192" t="n"/>
      <c r="I1200" s="773" t="n"/>
      <c r="J1200">
        <f>IF('House Count'!H1200="Y",IF('House Count'!F1200="RES-SFU",1,IF('House Count'!F1200="RES-MDU",1,IF('House Count'!F1200="RES-HOA",1,0))),0)</f>
        <v/>
      </c>
      <c r="K1200">
        <f>IF('House Count'!H1200="Y",IF('House Count'!F1200="COMM-SU",1,IF('House Count'!F1200="COM-MTU",1,IF('House Count'!F1200="ENT",1,0))),0)</f>
        <v/>
      </c>
    </row>
    <row r="1201" ht="15.75" customHeight="1" thickBot="1">
      <c r="A1201" s="774" t="n"/>
      <c r="B1201" s="774" t="n"/>
      <c r="C1201" s="774" t="n"/>
      <c r="D1201" s="774" t="n"/>
      <c r="E1201" s="774" t="n"/>
      <c r="F1201" s="774" t="n"/>
      <c r="G1201" s="774" t="n"/>
      <c r="H1201" s="774" t="n"/>
      <c r="I1201" s="775" t="n"/>
      <c r="J1201">
        <f>IF('House Count'!H1201="Y",IF('House Count'!F1201="RES-SFU",1,IF('House Count'!F1201="RES-MDU",1,IF('House Count'!F1201="RES-HOA",1,0))),0)</f>
        <v/>
      </c>
      <c r="K1201">
        <f>IF('House Count'!H1201="Y",IF('House Count'!F1201="COMM-SU",1,IF('House Count'!F1201="COM-MTU",1,IF('House Count'!F1201="ENT",1,0))),0)</f>
        <v/>
      </c>
    </row>
    <row r="1202" ht="15.75" customHeight="1" thickTop="1">
      <c r="H1202" s="192" t="n"/>
      <c r="I1202" s="773" t="n"/>
      <c r="J1202">
        <f>IF('House Count'!H1202="Y",IF('House Count'!F1202="RES-SFU",1,IF('House Count'!F1202="RES-MDU",1,IF('House Count'!F1202="RES-HOA",1,0))),0)</f>
        <v/>
      </c>
      <c r="K1202">
        <f>IF('House Count'!H1202="Y",IF('House Count'!F1202="COMM-SU",1,IF('House Count'!F1202="COM-MTU",1,IF('House Count'!F1202="ENT",1,0))),0)</f>
        <v/>
      </c>
    </row>
    <row r="1203">
      <c r="H1203" s="192" t="n"/>
      <c r="I1203" s="773" t="n"/>
      <c r="J1203">
        <f>IF('House Count'!H1203="Y",IF('House Count'!F1203="RES-SFU",1,IF('House Count'!F1203="RES-MDU",1,IF('House Count'!F1203="RES-HOA",1,0))),0)</f>
        <v/>
      </c>
      <c r="K1203">
        <f>IF('House Count'!H1203="Y",IF('House Count'!F1203="COMM-SU",1,IF('House Count'!F1203="COM-MTU",1,IF('House Count'!F1203="ENT",1,0))),0)</f>
        <v/>
      </c>
    </row>
    <row r="1204">
      <c r="H1204" s="192" t="n"/>
      <c r="I1204" s="773" t="n"/>
      <c r="J1204">
        <f>IF('House Count'!H1204="Y",IF('House Count'!F1204="RES-SFU",1,IF('House Count'!F1204="RES-MDU",1,IF('House Count'!F1204="RES-HOA",1,0))),0)</f>
        <v/>
      </c>
      <c r="K1204">
        <f>IF('House Count'!H1204="Y",IF('House Count'!F1204="COMM-SU",1,IF('House Count'!F1204="COM-MTU",1,IF('House Count'!F1204="ENT",1,0))),0)</f>
        <v/>
      </c>
    </row>
    <row r="1205">
      <c r="H1205" s="192" t="n"/>
      <c r="I1205" s="773" t="n"/>
      <c r="J1205">
        <f>IF('House Count'!H1205="Y",IF('House Count'!F1205="RES-SFU",1,IF('House Count'!F1205="RES-MDU",1,IF('House Count'!F1205="RES-HOA",1,0))),0)</f>
        <v/>
      </c>
      <c r="K1205">
        <f>IF('House Count'!H1205="Y",IF('House Count'!F1205="COMM-SU",1,IF('House Count'!F1205="COM-MTU",1,IF('House Count'!F1205="ENT",1,0))),0)</f>
        <v/>
      </c>
    </row>
    <row r="1206">
      <c r="H1206" s="192" t="n"/>
      <c r="I1206" s="773" t="n"/>
      <c r="J1206">
        <f>IF('House Count'!H1206="Y",IF('House Count'!F1206="RES-SFU",1,IF('House Count'!F1206="RES-MDU",1,IF('House Count'!F1206="RES-HOA",1,0))),0)</f>
        <v/>
      </c>
      <c r="K1206">
        <f>IF('House Count'!H1206="Y",IF('House Count'!F1206="COMM-SU",1,IF('House Count'!F1206="COM-MTU",1,IF('House Count'!F1206="ENT",1,0))),0)</f>
        <v/>
      </c>
    </row>
    <row r="1207">
      <c r="H1207" s="192" t="n"/>
      <c r="I1207" s="773" t="n"/>
      <c r="J1207">
        <f>IF('House Count'!H1207="Y",IF('House Count'!F1207="RES-SFU",1,IF('House Count'!F1207="RES-MDU",1,IF('House Count'!F1207="RES-HOA",1,0))),0)</f>
        <v/>
      </c>
      <c r="K1207">
        <f>IF('House Count'!H1207="Y",IF('House Count'!F1207="COMM-SU",1,IF('House Count'!F1207="COM-MTU",1,IF('House Count'!F1207="ENT",1,0))),0)</f>
        <v/>
      </c>
    </row>
    <row r="1208">
      <c r="H1208" s="192" t="n"/>
      <c r="I1208" s="773" t="n"/>
      <c r="J1208">
        <f>IF('House Count'!H1208="Y",IF('House Count'!F1208="RES-SFU",1,IF('House Count'!F1208="RES-MDU",1,IF('House Count'!F1208="RES-HOA",1,0))),0)</f>
        <v/>
      </c>
      <c r="K1208">
        <f>IF('House Count'!H1208="Y",IF('House Count'!F1208="COMM-SU",1,IF('House Count'!F1208="COM-MTU",1,IF('House Count'!F1208="ENT",1,0))),0)</f>
        <v/>
      </c>
    </row>
    <row r="1209">
      <c r="H1209" s="192" t="n"/>
      <c r="I1209" s="773" t="n"/>
      <c r="J1209">
        <f>IF('House Count'!H1209="Y",IF('House Count'!F1209="RES-SFU",1,IF('House Count'!F1209="RES-MDU",1,IF('House Count'!F1209="RES-HOA",1,0))),0)</f>
        <v/>
      </c>
      <c r="K1209">
        <f>IF('House Count'!H1209="Y",IF('House Count'!F1209="COMM-SU",1,IF('House Count'!F1209="COM-MTU",1,IF('House Count'!F1209="ENT",1,0))),0)</f>
        <v/>
      </c>
    </row>
    <row r="1210">
      <c r="H1210" s="192" t="n"/>
      <c r="I1210" s="773" t="n"/>
      <c r="J1210">
        <f>IF('House Count'!H1210="Y",IF('House Count'!F1210="RES-SFU",1,IF('House Count'!F1210="RES-MDU",1,IF('House Count'!F1210="RES-HOA",1,0))),0)</f>
        <v/>
      </c>
      <c r="K1210">
        <f>IF('House Count'!H1210="Y",IF('House Count'!F1210="COMM-SU",1,IF('House Count'!F1210="COM-MTU",1,IF('House Count'!F1210="ENT",1,0))),0)</f>
        <v/>
      </c>
    </row>
    <row r="1211">
      <c r="H1211" s="192" t="n"/>
      <c r="I1211" s="773" t="n"/>
      <c r="J1211">
        <f>IF('House Count'!H1211="Y",IF('House Count'!F1211="RES-SFU",1,IF('House Count'!F1211="RES-MDU",1,IF('House Count'!F1211="RES-HOA",1,0))),0)</f>
        <v/>
      </c>
      <c r="K1211">
        <f>IF('House Count'!H1211="Y",IF('House Count'!F1211="COMM-SU",1,IF('House Count'!F1211="COM-MTU",1,IF('House Count'!F1211="ENT",1,0))),0)</f>
        <v/>
      </c>
    </row>
    <row r="1212">
      <c r="H1212" s="192" t="n"/>
      <c r="I1212" s="773" t="n"/>
      <c r="J1212">
        <f>IF('House Count'!H1212="Y",IF('House Count'!F1212="RES-SFU",1,IF('House Count'!F1212="RES-MDU",1,IF('House Count'!F1212="RES-HOA",1,0))),0)</f>
        <v/>
      </c>
      <c r="K1212">
        <f>IF('House Count'!H1212="Y",IF('House Count'!F1212="COMM-SU",1,IF('House Count'!F1212="COM-MTU",1,IF('House Count'!F1212="ENT",1,0))),0)</f>
        <v/>
      </c>
    </row>
    <row r="1213" ht="15.75" customHeight="1" thickBot="1">
      <c r="A1213" s="774" t="n"/>
      <c r="B1213" s="774" t="n"/>
      <c r="C1213" s="774" t="n"/>
      <c r="D1213" s="774" t="n"/>
      <c r="E1213" s="774" t="n"/>
      <c r="F1213" s="774" t="n"/>
      <c r="G1213" s="774" t="n"/>
      <c r="H1213" s="774" t="n"/>
      <c r="I1213" s="775" t="n"/>
      <c r="J1213">
        <f>IF('House Count'!H1213="Y",IF('House Count'!F1213="RES-SFU",1,IF('House Count'!F1213="RES-MDU",1,IF('House Count'!F1213="RES-HOA",1,0))),0)</f>
        <v/>
      </c>
      <c r="K1213">
        <f>IF('House Count'!H1213="Y",IF('House Count'!F1213="COMM-SU",1,IF('House Count'!F1213="COM-MTU",1,IF('House Count'!F1213="ENT",1,0))),0)</f>
        <v/>
      </c>
    </row>
    <row r="1214" ht="15.75" customHeight="1" thickTop="1">
      <c r="H1214" s="192" t="n"/>
      <c r="I1214" s="773" t="n"/>
      <c r="J1214">
        <f>IF('House Count'!H1214="Y",IF('House Count'!F1214="RES-SFU",1,IF('House Count'!F1214="RES-MDU",1,IF('House Count'!F1214="RES-HOA",1,0))),0)</f>
        <v/>
      </c>
      <c r="K1214">
        <f>IF('House Count'!H1214="Y",IF('House Count'!F1214="COMM-SU",1,IF('House Count'!F1214="COM-MTU",1,IF('House Count'!F1214="ENT",1,0))),0)</f>
        <v/>
      </c>
    </row>
    <row r="1215">
      <c r="H1215" s="192" t="n"/>
      <c r="I1215" s="773" t="n"/>
      <c r="J1215">
        <f>IF('House Count'!H1215="Y",IF('House Count'!F1215="RES-SFU",1,IF('House Count'!F1215="RES-MDU",1,IF('House Count'!F1215="RES-HOA",1,0))),0)</f>
        <v/>
      </c>
      <c r="K1215">
        <f>IF('House Count'!H1215="Y",IF('House Count'!F1215="COMM-SU",1,IF('House Count'!F1215="COM-MTU",1,IF('House Count'!F1215="ENT",1,0))),0)</f>
        <v/>
      </c>
    </row>
    <row r="1216">
      <c r="H1216" s="192" t="n"/>
      <c r="I1216" s="773" t="n"/>
      <c r="J1216">
        <f>IF('House Count'!H1216="Y",IF('House Count'!F1216="RES-SFU",1,IF('House Count'!F1216="RES-MDU",1,IF('House Count'!F1216="RES-HOA",1,0))),0)</f>
        <v/>
      </c>
      <c r="K1216">
        <f>IF('House Count'!H1216="Y",IF('House Count'!F1216="COMM-SU",1,IF('House Count'!F1216="COM-MTU",1,IF('House Count'!F1216="ENT",1,0))),0)</f>
        <v/>
      </c>
    </row>
    <row r="1217">
      <c r="H1217" s="192" t="n"/>
      <c r="I1217" s="773" t="n"/>
      <c r="J1217">
        <f>IF('House Count'!H1217="Y",IF('House Count'!F1217="RES-SFU",1,IF('House Count'!F1217="RES-MDU",1,IF('House Count'!F1217="RES-HOA",1,0))),0)</f>
        <v/>
      </c>
      <c r="K1217">
        <f>IF('House Count'!H1217="Y",IF('House Count'!F1217="COMM-SU",1,IF('House Count'!F1217="COM-MTU",1,IF('House Count'!F1217="ENT",1,0))),0)</f>
        <v/>
      </c>
    </row>
    <row r="1218">
      <c r="H1218" s="192" t="n"/>
      <c r="I1218" s="773" t="n"/>
      <c r="J1218">
        <f>IF('House Count'!H1218="Y",IF('House Count'!F1218="RES-SFU",1,IF('House Count'!F1218="RES-MDU",1,IF('House Count'!F1218="RES-HOA",1,0))),0)</f>
        <v/>
      </c>
      <c r="K1218">
        <f>IF('House Count'!H1218="Y",IF('House Count'!F1218="COMM-SU",1,IF('House Count'!F1218="COM-MTU",1,IF('House Count'!F1218="ENT",1,0))),0)</f>
        <v/>
      </c>
    </row>
    <row r="1219">
      <c r="H1219" s="192" t="n"/>
      <c r="I1219" s="773" t="n"/>
      <c r="J1219">
        <f>IF('House Count'!H1219="Y",IF('House Count'!F1219="RES-SFU",1,IF('House Count'!F1219="RES-MDU",1,IF('House Count'!F1219="RES-HOA",1,0))),0)</f>
        <v/>
      </c>
      <c r="K1219">
        <f>IF('House Count'!H1219="Y",IF('House Count'!F1219="COMM-SU",1,IF('House Count'!F1219="COM-MTU",1,IF('House Count'!F1219="ENT",1,0))),0)</f>
        <v/>
      </c>
    </row>
    <row r="1220">
      <c r="H1220" s="192" t="n"/>
      <c r="I1220" s="773" t="n"/>
      <c r="J1220">
        <f>IF('House Count'!H1220="Y",IF('House Count'!F1220="RES-SFU",1,IF('House Count'!F1220="RES-MDU",1,IF('House Count'!F1220="RES-HOA",1,0))),0)</f>
        <v/>
      </c>
      <c r="K1220">
        <f>IF('House Count'!H1220="Y",IF('House Count'!F1220="COMM-SU",1,IF('House Count'!F1220="COM-MTU",1,IF('House Count'!F1220="ENT",1,0))),0)</f>
        <v/>
      </c>
    </row>
    <row r="1221">
      <c r="H1221" s="192" t="n"/>
      <c r="I1221" s="773" t="n"/>
      <c r="J1221">
        <f>IF('House Count'!H1221="Y",IF('House Count'!F1221="RES-SFU",1,IF('House Count'!F1221="RES-MDU",1,IF('House Count'!F1221="RES-HOA",1,0))),0)</f>
        <v/>
      </c>
      <c r="K1221">
        <f>IF('House Count'!H1221="Y",IF('House Count'!F1221="COMM-SU",1,IF('House Count'!F1221="COM-MTU",1,IF('House Count'!F1221="ENT",1,0))),0)</f>
        <v/>
      </c>
    </row>
    <row r="1222">
      <c r="H1222" s="192" t="n"/>
      <c r="I1222" s="773" t="n"/>
      <c r="J1222">
        <f>IF('House Count'!H1222="Y",IF('House Count'!F1222="RES-SFU",1,IF('House Count'!F1222="RES-MDU",1,IF('House Count'!F1222="RES-HOA",1,0))),0)</f>
        <v/>
      </c>
      <c r="K1222">
        <f>IF('House Count'!H1222="Y",IF('House Count'!F1222="COMM-SU",1,IF('House Count'!F1222="COM-MTU",1,IF('House Count'!F1222="ENT",1,0))),0)</f>
        <v/>
      </c>
    </row>
    <row r="1223">
      <c r="H1223" s="192" t="n"/>
      <c r="I1223" s="773" t="n"/>
      <c r="J1223">
        <f>IF('House Count'!H1223="Y",IF('House Count'!F1223="RES-SFU",1,IF('House Count'!F1223="RES-MDU",1,IF('House Count'!F1223="RES-HOA",1,0))),0)</f>
        <v/>
      </c>
      <c r="K1223">
        <f>IF('House Count'!H1223="Y",IF('House Count'!F1223="COMM-SU",1,IF('House Count'!F1223="COM-MTU",1,IF('House Count'!F1223="ENT",1,0))),0)</f>
        <v/>
      </c>
    </row>
    <row r="1224">
      <c r="H1224" s="192" t="n"/>
      <c r="I1224" s="773" t="n"/>
      <c r="J1224">
        <f>IF('House Count'!H1224="Y",IF('House Count'!F1224="RES-SFU",1,IF('House Count'!F1224="RES-MDU",1,IF('House Count'!F1224="RES-HOA",1,0))),0)</f>
        <v/>
      </c>
      <c r="K1224">
        <f>IF('House Count'!H1224="Y",IF('House Count'!F1224="COMM-SU",1,IF('House Count'!F1224="COM-MTU",1,IF('House Count'!F1224="ENT",1,0))),0)</f>
        <v/>
      </c>
    </row>
    <row r="1225" ht="15.75" customHeight="1" thickBot="1">
      <c r="A1225" s="774" t="n"/>
      <c r="B1225" s="774" t="n"/>
      <c r="C1225" s="774" t="n"/>
      <c r="D1225" s="774" t="n"/>
      <c r="E1225" s="774" t="n"/>
      <c r="F1225" s="774" t="n"/>
      <c r="G1225" s="774" t="n"/>
      <c r="H1225" s="774" t="n"/>
      <c r="I1225" s="775" t="n"/>
      <c r="J1225">
        <f>IF('House Count'!H1225="Y",IF('House Count'!F1225="RES-SFU",1,IF('House Count'!F1225="RES-MDU",1,IF('House Count'!F1225="RES-HOA",1,0))),0)</f>
        <v/>
      </c>
      <c r="K1225">
        <f>IF('House Count'!H1225="Y",IF('House Count'!F1225="COMM-SU",1,IF('House Count'!F1225="COM-MTU",1,IF('House Count'!F1225="ENT",1,0))),0)</f>
        <v/>
      </c>
    </row>
    <row r="1226" ht="15.75" customHeight="1" thickTop="1">
      <c r="H1226" s="192" t="n"/>
      <c r="I1226" s="773" t="n"/>
      <c r="J1226">
        <f>IF('House Count'!H1226="Y",IF('House Count'!F1226="RES-SFU",1,IF('House Count'!F1226="RES-MDU",1,IF('House Count'!F1226="RES-HOA",1,0))),0)</f>
        <v/>
      </c>
      <c r="K1226">
        <f>IF('House Count'!H1226="Y",IF('House Count'!F1226="COMM-SU",1,IF('House Count'!F1226="COM-MTU",1,IF('House Count'!F1226="ENT",1,0))),0)</f>
        <v/>
      </c>
    </row>
    <row r="1227">
      <c r="H1227" s="192" t="n"/>
      <c r="I1227" s="773" t="n"/>
      <c r="J1227">
        <f>IF('House Count'!H1227="Y",IF('House Count'!F1227="RES-SFU",1,IF('House Count'!F1227="RES-MDU",1,IF('House Count'!F1227="RES-HOA",1,0))),0)</f>
        <v/>
      </c>
      <c r="K1227">
        <f>IF('House Count'!H1227="Y",IF('House Count'!F1227="COMM-SU",1,IF('House Count'!F1227="COM-MTU",1,IF('House Count'!F1227="ENT",1,0))),0)</f>
        <v/>
      </c>
    </row>
    <row r="1228">
      <c r="H1228" s="192" t="n"/>
      <c r="I1228" s="773" t="n"/>
      <c r="J1228">
        <f>IF('House Count'!H1228="Y",IF('House Count'!F1228="RES-SFU",1,IF('House Count'!F1228="RES-MDU",1,IF('House Count'!F1228="RES-HOA",1,0))),0)</f>
        <v/>
      </c>
      <c r="K1228">
        <f>IF('House Count'!H1228="Y",IF('House Count'!F1228="COMM-SU",1,IF('House Count'!F1228="COM-MTU",1,IF('House Count'!F1228="ENT",1,0))),0)</f>
        <v/>
      </c>
    </row>
    <row r="1229">
      <c r="H1229" s="192" t="n"/>
      <c r="I1229" s="773" t="n"/>
      <c r="J1229">
        <f>IF('House Count'!H1229="Y",IF('House Count'!F1229="RES-SFU",1,IF('House Count'!F1229="RES-MDU",1,IF('House Count'!F1229="RES-HOA",1,0))),0)</f>
        <v/>
      </c>
      <c r="K1229">
        <f>IF('House Count'!H1229="Y",IF('House Count'!F1229="COMM-SU",1,IF('House Count'!F1229="COM-MTU",1,IF('House Count'!F1229="ENT",1,0))),0)</f>
        <v/>
      </c>
    </row>
    <row r="1230">
      <c r="H1230" s="192" t="n"/>
      <c r="I1230" s="773" t="n"/>
      <c r="J1230">
        <f>IF('House Count'!H1230="Y",IF('House Count'!F1230="RES-SFU",1,IF('House Count'!F1230="RES-MDU",1,IF('House Count'!F1230="RES-HOA",1,0))),0)</f>
        <v/>
      </c>
      <c r="K1230">
        <f>IF('House Count'!H1230="Y",IF('House Count'!F1230="COMM-SU",1,IF('House Count'!F1230="COM-MTU",1,IF('House Count'!F1230="ENT",1,0))),0)</f>
        <v/>
      </c>
    </row>
    <row r="1231">
      <c r="H1231" s="192" t="n"/>
      <c r="I1231" s="773" t="n"/>
      <c r="J1231">
        <f>IF('House Count'!H1231="Y",IF('House Count'!F1231="RES-SFU",1,IF('House Count'!F1231="RES-MDU",1,IF('House Count'!F1231="RES-HOA",1,0))),0)</f>
        <v/>
      </c>
      <c r="K1231">
        <f>IF('House Count'!H1231="Y",IF('House Count'!F1231="COMM-SU",1,IF('House Count'!F1231="COM-MTU",1,IF('House Count'!F1231="ENT",1,0))),0)</f>
        <v/>
      </c>
    </row>
    <row r="1232">
      <c r="H1232" s="192" t="n"/>
      <c r="I1232" s="773" t="n"/>
      <c r="J1232">
        <f>IF('House Count'!H1232="Y",IF('House Count'!F1232="RES-SFU",1,IF('House Count'!F1232="RES-MDU",1,IF('House Count'!F1232="RES-HOA",1,0))),0)</f>
        <v/>
      </c>
      <c r="K1232">
        <f>IF('House Count'!H1232="Y",IF('House Count'!F1232="COMM-SU",1,IF('House Count'!F1232="COM-MTU",1,IF('House Count'!F1232="ENT",1,0))),0)</f>
        <v/>
      </c>
    </row>
    <row r="1233">
      <c r="H1233" s="192" t="n"/>
      <c r="I1233" s="773" t="n"/>
      <c r="J1233">
        <f>IF('House Count'!H1233="Y",IF('House Count'!F1233="RES-SFU",1,IF('House Count'!F1233="RES-MDU",1,IF('House Count'!F1233="RES-HOA",1,0))),0)</f>
        <v/>
      </c>
      <c r="K1233">
        <f>IF('House Count'!H1233="Y",IF('House Count'!F1233="COMM-SU",1,IF('House Count'!F1233="COM-MTU",1,IF('House Count'!F1233="ENT",1,0))),0)</f>
        <v/>
      </c>
    </row>
    <row r="1234">
      <c r="H1234" s="192" t="n"/>
      <c r="I1234" s="773" t="n"/>
      <c r="J1234">
        <f>IF('House Count'!H1234="Y",IF('House Count'!F1234="RES-SFU",1,IF('House Count'!F1234="RES-MDU",1,IF('House Count'!F1234="RES-HOA",1,0))),0)</f>
        <v/>
      </c>
      <c r="K1234">
        <f>IF('House Count'!H1234="Y",IF('House Count'!F1234="COMM-SU",1,IF('House Count'!F1234="COM-MTU",1,IF('House Count'!F1234="ENT",1,0))),0)</f>
        <v/>
      </c>
    </row>
    <row r="1235">
      <c r="H1235" s="192" t="n"/>
      <c r="I1235" s="773" t="n"/>
      <c r="J1235">
        <f>IF('House Count'!H1235="Y",IF('House Count'!F1235="RES-SFU",1,IF('House Count'!F1235="RES-MDU",1,IF('House Count'!F1235="RES-HOA",1,0))),0)</f>
        <v/>
      </c>
      <c r="K1235">
        <f>IF('House Count'!H1235="Y",IF('House Count'!F1235="COMM-SU",1,IF('House Count'!F1235="COM-MTU",1,IF('House Count'!F1235="ENT",1,0))),0)</f>
        <v/>
      </c>
    </row>
    <row r="1236">
      <c r="H1236" s="192" t="n"/>
      <c r="I1236" s="773" t="n"/>
      <c r="J1236">
        <f>IF('House Count'!H1236="Y",IF('House Count'!F1236="RES-SFU",1,IF('House Count'!F1236="RES-MDU",1,IF('House Count'!F1236="RES-HOA",1,0))),0)</f>
        <v/>
      </c>
      <c r="K1236">
        <f>IF('House Count'!H1236="Y",IF('House Count'!F1236="COMM-SU",1,IF('House Count'!F1236="COM-MTU",1,IF('House Count'!F1236="ENT",1,0))),0)</f>
        <v/>
      </c>
    </row>
    <row r="1237" ht="15.75" customHeight="1" thickBot="1">
      <c r="A1237" s="774" t="n"/>
      <c r="B1237" s="774" t="n"/>
      <c r="C1237" s="774" t="n"/>
      <c r="D1237" s="774" t="n"/>
      <c r="E1237" s="774" t="n"/>
      <c r="F1237" s="774" t="n"/>
      <c r="G1237" s="774" t="n"/>
      <c r="H1237" s="774" t="n"/>
      <c r="I1237" s="775" t="n"/>
      <c r="J1237">
        <f>IF('House Count'!H1237="Y",IF('House Count'!F1237="RES-SFU",1,IF('House Count'!F1237="RES-MDU",1,IF('House Count'!F1237="RES-HOA",1,0))),0)</f>
        <v/>
      </c>
      <c r="K1237">
        <f>IF('House Count'!H1237="Y",IF('House Count'!F1237="COMM-SU",1,IF('House Count'!F1237="COM-MTU",1,IF('House Count'!F1237="ENT",1,0))),0)</f>
        <v/>
      </c>
    </row>
    <row r="1238" ht="15.75" customHeight="1" thickTop="1">
      <c r="H1238" s="192" t="n"/>
      <c r="I1238" s="773" t="n"/>
      <c r="J1238">
        <f>IF('House Count'!H1238="Y",IF('House Count'!F1238="RES-SFU",1,IF('House Count'!F1238="RES-MDU",1,IF('House Count'!F1238="RES-HOA",1,0))),0)</f>
        <v/>
      </c>
      <c r="K1238">
        <f>IF('House Count'!H1238="Y",IF('House Count'!F1238="COMM-SU",1,IF('House Count'!F1238="COM-MTU",1,IF('House Count'!F1238="ENT",1,0))),0)</f>
        <v/>
      </c>
    </row>
    <row r="1239">
      <c r="H1239" s="192" t="n"/>
      <c r="I1239" s="773" t="n"/>
      <c r="J1239">
        <f>IF('House Count'!H1239="Y",IF('House Count'!F1239="RES-SFU",1,IF('House Count'!F1239="RES-MDU",1,IF('House Count'!F1239="RES-HOA",1,0))),0)</f>
        <v/>
      </c>
      <c r="K1239">
        <f>IF('House Count'!H1239="Y",IF('House Count'!F1239="COMM-SU",1,IF('House Count'!F1239="COM-MTU",1,IF('House Count'!F1239="ENT",1,0))),0)</f>
        <v/>
      </c>
    </row>
    <row r="1240">
      <c r="H1240" s="192" t="n"/>
      <c r="I1240" s="773" t="n"/>
      <c r="J1240">
        <f>IF('House Count'!H1240="Y",IF('House Count'!F1240="RES-SFU",1,IF('House Count'!F1240="RES-MDU",1,IF('House Count'!F1240="RES-HOA",1,0))),0)</f>
        <v/>
      </c>
      <c r="K1240">
        <f>IF('House Count'!H1240="Y",IF('House Count'!F1240="COMM-SU",1,IF('House Count'!F1240="COM-MTU",1,IF('House Count'!F1240="ENT",1,0))),0)</f>
        <v/>
      </c>
    </row>
    <row r="1241">
      <c r="H1241" s="192" t="n"/>
      <c r="I1241" s="773" t="n"/>
      <c r="J1241">
        <f>IF('House Count'!H1241="Y",IF('House Count'!F1241="RES-SFU",1,IF('House Count'!F1241="RES-MDU",1,IF('House Count'!F1241="RES-HOA",1,0))),0)</f>
        <v/>
      </c>
      <c r="K1241">
        <f>IF('House Count'!H1241="Y",IF('House Count'!F1241="COMM-SU",1,IF('House Count'!F1241="COM-MTU",1,IF('House Count'!F1241="ENT",1,0))),0)</f>
        <v/>
      </c>
    </row>
    <row r="1242">
      <c r="H1242" s="192" t="n"/>
      <c r="I1242" s="773" t="n"/>
      <c r="J1242">
        <f>IF('House Count'!H1242="Y",IF('House Count'!F1242="RES-SFU",1,IF('House Count'!F1242="RES-MDU",1,IF('House Count'!F1242="RES-HOA",1,0))),0)</f>
        <v/>
      </c>
      <c r="K1242">
        <f>IF('House Count'!H1242="Y",IF('House Count'!F1242="COMM-SU",1,IF('House Count'!F1242="COM-MTU",1,IF('House Count'!F1242="ENT",1,0))),0)</f>
        <v/>
      </c>
    </row>
    <row r="1243">
      <c r="H1243" s="192" t="n"/>
      <c r="I1243" s="773" t="n"/>
      <c r="J1243">
        <f>IF('House Count'!H1243="Y",IF('House Count'!F1243="RES-SFU",1,IF('House Count'!F1243="RES-MDU",1,IF('House Count'!F1243="RES-HOA",1,0))),0)</f>
        <v/>
      </c>
      <c r="K1243">
        <f>IF('House Count'!H1243="Y",IF('House Count'!F1243="COMM-SU",1,IF('House Count'!F1243="COM-MTU",1,IF('House Count'!F1243="ENT",1,0))),0)</f>
        <v/>
      </c>
    </row>
    <row r="1244">
      <c r="H1244" s="192" t="n"/>
      <c r="I1244" s="773" t="n"/>
      <c r="J1244">
        <f>IF('House Count'!H1244="Y",IF('House Count'!F1244="RES-SFU",1,IF('House Count'!F1244="RES-MDU",1,IF('House Count'!F1244="RES-HOA",1,0))),0)</f>
        <v/>
      </c>
      <c r="K1244">
        <f>IF('House Count'!H1244="Y",IF('House Count'!F1244="COMM-SU",1,IF('House Count'!F1244="COM-MTU",1,IF('House Count'!F1244="ENT",1,0))),0)</f>
        <v/>
      </c>
    </row>
    <row r="1245">
      <c r="H1245" s="192" t="n"/>
      <c r="I1245" s="773" t="n"/>
      <c r="J1245">
        <f>IF('House Count'!H1245="Y",IF('House Count'!F1245="RES-SFU",1,IF('House Count'!F1245="RES-MDU",1,IF('House Count'!F1245="RES-HOA",1,0))),0)</f>
        <v/>
      </c>
      <c r="K1245">
        <f>IF('House Count'!H1245="Y",IF('House Count'!F1245="COMM-SU",1,IF('House Count'!F1245="COM-MTU",1,IF('House Count'!F1245="ENT",1,0))),0)</f>
        <v/>
      </c>
    </row>
    <row r="1246">
      <c r="H1246" s="192" t="n"/>
      <c r="I1246" s="773" t="n"/>
      <c r="J1246">
        <f>IF('House Count'!H1246="Y",IF('House Count'!F1246="RES-SFU",1,IF('House Count'!F1246="RES-MDU",1,IF('House Count'!F1246="RES-HOA",1,0))),0)</f>
        <v/>
      </c>
      <c r="K1246">
        <f>IF('House Count'!H1246="Y",IF('House Count'!F1246="COMM-SU",1,IF('House Count'!F1246="COM-MTU",1,IF('House Count'!F1246="ENT",1,0))),0)</f>
        <v/>
      </c>
    </row>
    <row r="1247">
      <c r="H1247" s="192" t="n"/>
      <c r="I1247" s="773" t="n"/>
      <c r="J1247">
        <f>IF('House Count'!H1247="Y",IF('House Count'!F1247="RES-SFU",1,IF('House Count'!F1247="RES-MDU",1,IF('House Count'!F1247="RES-HOA",1,0))),0)</f>
        <v/>
      </c>
      <c r="K1247">
        <f>IF('House Count'!H1247="Y",IF('House Count'!F1247="COMM-SU",1,IF('House Count'!F1247="COM-MTU",1,IF('House Count'!F1247="ENT",1,0))),0)</f>
        <v/>
      </c>
    </row>
    <row r="1248">
      <c r="H1248" s="192" t="n"/>
      <c r="I1248" s="773" t="n"/>
      <c r="J1248">
        <f>IF('House Count'!H1248="Y",IF('House Count'!F1248="RES-SFU",1,IF('House Count'!F1248="RES-MDU",1,IF('House Count'!F1248="RES-HOA",1,0))),0)</f>
        <v/>
      </c>
      <c r="K1248">
        <f>IF('House Count'!H1248="Y",IF('House Count'!F1248="COMM-SU",1,IF('House Count'!F1248="COM-MTU",1,IF('House Count'!F1248="ENT",1,0))),0)</f>
        <v/>
      </c>
    </row>
    <row r="1249" ht="15.75" customHeight="1" thickBot="1">
      <c r="A1249" s="774" t="n"/>
      <c r="B1249" s="774" t="n"/>
      <c r="C1249" s="774" t="n"/>
      <c r="D1249" s="774" t="n"/>
      <c r="E1249" s="774" t="n"/>
      <c r="F1249" s="774" t="n"/>
      <c r="G1249" s="774" t="n"/>
      <c r="H1249" s="774" t="n"/>
      <c r="I1249" s="775" t="n"/>
      <c r="J1249">
        <f>IF('House Count'!H1249="Y",IF('House Count'!F1249="RES-SFU",1,IF('House Count'!F1249="RES-MDU",1,IF('House Count'!F1249="RES-HOA",1,0))),0)</f>
        <v/>
      </c>
      <c r="K1249">
        <f>IF('House Count'!H1249="Y",IF('House Count'!F1249="COMM-SU",1,IF('House Count'!F1249="COM-MTU",1,IF('House Count'!F1249="ENT",1,0))),0)</f>
        <v/>
      </c>
    </row>
    <row r="1250" ht="15.75" customHeight="1" thickTop="1">
      <c r="H1250" s="192" t="n"/>
      <c r="I1250" s="773" t="n"/>
      <c r="J1250">
        <f>IF('House Count'!H1250="Y",IF('House Count'!F1250="RES-SFU",1,IF('House Count'!F1250="RES-MDU",1,IF('House Count'!F1250="RES-HOA",1,0))),0)</f>
        <v/>
      </c>
      <c r="K1250">
        <f>IF('House Count'!H1250="Y",IF('House Count'!F1250="COMM-SU",1,IF('House Count'!F1250="COM-MTU",1,IF('House Count'!F1250="ENT",1,0))),0)</f>
        <v/>
      </c>
    </row>
    <row r="1251">
      <c r="H1251" s="192" t="n"/>
      <c r="I1251" s="773" t="n"/>
      <c r="J1251">
        <f>IF('House Count'!H1251="Y",IF('House Count'!F1251="RES-SFU",1,IF('House Count'!F1251="RES-MDU",1,IF('House Count'!F1251="RES-HOA",1,0))),0)</f>
        <v/>
      </c>
      <c r="K1251">
        <f>IF('House Count'!H1251="Y",IF('House Count'!F1251="COMM-SU",1,IF('House Count'!F1251="COM-MTU",1,IF('House Count'!F1251="ENT",1,0))),0)</f>
        <v/>
      </c>
    </row>
    <row r="1252">
      <c r="H1252" s="192" t="n"/>
      <c r="I1252" s="773" t="n"/>
      <c r="J1252">
        <f>IF('House Count'!H1252="Y",IF('House Count'!F1252="RES-SFU",1,IF('House Count'!F1252="RES-MDU",1,IF('House Count'!F1252="RES-HOA",1,0))),0)</f>
        <v/>
      </c>
      <c r="K1252">
        <f>IF('House Count'!H1252="Y",IF('House Count'!F1252="COMM-SU",1,IF('House Count'!F1252="COM-MTU",1,IF('House Count'!F1252="ENT",1,0))),0)</f>
        <v/>
      </c>
    </row>
    <row r="1253">
      <c r="H1253" s="192" t="n"/>
      <c r="I1253" s="773" t="n"/>
      <c r="J1253">
        <f>IF('House Count'!H1253="Y",IF('House Count'!F1253="RES-SFU",1,IF('House Count'!F1253="RES-MDU",1,IF('House Count'!F1253="RES-HOA",1,0))),0)</f>
        <v/>
      </c>
      <c r="K1253">
        <f>IF('House Count'!H1253="Y",IF('House Count'!F1253="COMM-SU",1,IF('House Count'!F1253="COM-MTU",1,IF('House Count'!F1253="ENT",1,0))),0)</f>
        <v/>
      </c>
    </row>
    <row r="1254">
      <c r="H1254" s="192" t="n"/>
      <c r="I1254" s="773" t="n"/>
      <c r="J1254">
        <f>IF('House Count'!H1254="Y",IF('House Count'!F1254="RES-SFU",1,IF('House Count'!F1254="RES-MDU",1,IF('House Count'!F1254="RES-HOA",1,0))),0)</f>
        <v/>
      </c>
      <c r="K1254">
        <f>IF('House Count'!H1254="Y",IF('House Count'!F1254="COMM-SU",1,IF('House Count'!F1254="COM-MTU",1,IF('House Count'!F1254="ENT",1,0))),0)</f>
        <v/>
      </c>
    </row>
    <row r="1255">
      <c r="H1255" s="192" t="n"/>
      <c r="I1255" s="773" t="n"/>
      <c r="J1255">
        <f>IF('House Count'!H1255="Y",IF('House Count'!F1255="RES-SFU",1,IF('House Count'!F1255="RES-MDU",1,IF('House Count'!F1255="RES-HOA",1,0))),0)</f>
        <v/>
      </c>
      <c r="K1255">
        <f>IF('House Count'!H1255="Y",IF('House Count'!F1255="COMM-SU",1,IF('House Count'!F1255="COM-MTU",1,IF('House Count'!F1255="ENT",1,0))),0)</f>
        <v/>
      </c>
    </row>
    <row r="1256">
      <c r="H1256" s="192" t="n"/>
      <c r="I1256" s="773" t="n"/>
      <c r="J1256">
        <f>IF('House Count'!H1256="Y",IF('House Count'!F1256="RES-SFU",1,IF('House Count'!F1256="RES-MDU",1,IF('House Count'!F1256="RES-HOA",1,0))),0)</f>
        <v/>
      </c>
      <c r="K1256">
        <f>IF('House Count'!H1256="Y",IF('House Count'!F1256="COMM-SU",1,IF('House Count'!F1256="COM-MTU",1,IF('House Count'!F1256="ENT",1,0))),0)</f>
        <v/>
      </c>
    </row>
    <row r="1257">
      <c r="H1257" s="192" t="n"/>
      <c r="I1257" s="773" t="n"/>
      <c r="J1257">
        <f>IF('House Count'!H1257="Y",IF('House Count'!F1257="RES-SFU",1,IF('House Count'!F1257="RES-MDU",1,IF('House Count'!F1257="RES-HOA",1,0))),0)</f>
        <v/>
      </c>
      <c r="K1257">
        <f>IF('House Count'!H1257="Y",IF('House Count'!F1257="COMM-SU",1,IF('House Count'!F1257="COM-MTU",1,IF('House Count'!F1257="ENT",1,0))),0)</f>
        <v/>
      </c>
    </row>
    <row r="1258">
      <c r="H1258" s="192" t="n"/>
      <c r="I1258" s="773" t="n"/>
      <c r="J1258">
        <f>IF('House Count'!H1258="Y",IF('House Count'!F1258="RES-SFU",1,IF('House Count'!F1258="RES-MDU",1,IF('House Count'!F1258="RES-HOA",1,0))),0)</f>
        <v/>
      </c>
      <c r="K1258">
        <f>IF('House Count'!H1258="Y",IF('House Count'!F1258="COMM-SU",1,IF('House Count'!F1258="COM-MTU",1,IF('House Count'!F1258="ENT",1,0))),0)</f>
        <v/>
      </c>
    </row>
    <row r="1259">
      <c r="H1259" s="192" t="n"/>
      <c r="I1259" s="773" t="n"/>
      <c r="J1259">
        <f>IF('House Count'!H1259="Y",IF('House Count'!F1259="RES-SFU",1,IF('House Count'!F1259="RES-MDU",1,IF('House Count'!F1259="RES-HOA",1,0))),0)</f>
        <v/>
      </c>
      <c r="K1259">
        <f>IF('House Count'!H1259="Y",IF('House Count'!F1259="COMM-SU",1,IF('House Count'!F1259="COM-MTU",1,IF('House Count'!F1259="ENT",1,0))),0)</f>
        <v/>
      </c>
    </row>
    <row r="1260">
      <c r="H1260" s="192" t="n"/>
      <c r="I1260" s="773" t="n"/>
      <c r="J1260">
        <f>IF('House Count'!H1260="Y",IF('House Count'!F1260="RES-SFU",1,IF('House Count'!F1260="RES-MDU",1,IF('House Count'!F1260="RES-HOA",1,0))),0)</f>
        <v/>
      </c>
      <c r="K1260">
        <f>IF('House Count'!H1260="Y",IF('House Count'!F1260="COMM-SU",1,IF('House Count'!F1260="COM-MTU",1,IF('House Count'!F1260="ENT",1,0))),0)</f>
        <v/>
      </c>
    </row>
    <row r="1261" ht="15.75" customHeight="1" thickBot="1">
      <c r="A1261" s="774" t="n"/>
      <c r="B1261" s="774" t="n"/>
      <c r="C1261" s="774" t="n"/>
      <c r="D1261" s="774" t="n"/>
      <c r="E1261" s="774" t="n"/>
      <c r="F1261" s="774" t="n"/>
      <c r="G1261" s="774" t="n"/>
      <c r="H1261" s="774" t="n"/>
      <c r="I1261" s="775" t="n"/>
      <c r="J1261">
        <f>IF('House Count'!H1261="Y",IF('House Count'!F1261="RES-SFU",1,IF('House Count'!F1261="RES-MDU",1,IF('House Count'!F1261="RES-HOA",1,0))),0)</f>
        <v/>
      </c>
      <c r="K1261">
        <f>IF('House Count'!H1261="Y",IF('House Count'!F1261="COMM-SU",1,IF('House Count'!F1261="COM-MTU",1,IF('House Count'!F1261="ENT",1,0))),0)</f>
        <v/>
      </c>
    </row>
    <row r="1262" ht="15.75" customHeight="1" thickTop="1">
      <c r="H1262" s="192" t="n"/>
      <c r="I1262" s="773" t="n"/>
      <c r="J1262">
        <f>IF('House Count'!H1262="Y",IF('House Count'!F1262="RES-SFU",1,IF('House Count'!F1262="RES-MDU",1,IF('House Count'!F1262="RES-HOA",1,0))),0)</f>
        <v/>
      </c>
      <c r="K1262">
        <f>IF('House Count'!H1262="Y",IF('House Count'!F1262="COMM-SU",1,IF('House Count'!F1262="COM-MTU",1,IF('House Count'!F1262="ENT",1,0))),0)</f>
        <v/>
      </c>
    </row>
    <row r="1263">
      <c r="H1263" s="192" t="n"/>
      <c r="I1263" s="773" t="n"/>
      <c r="J1263">
        <f>IF('House Count'!H1263="Y",IF('House Count'!F1263="RES-SFU",1,IF('House Count'!F1263="RES-MDU",1,IF('House Count'!F1263="RES-HOA",1,0))),0)</f>
        <v/>
      </c>
      <c r="K1263">
        <f>IF('House Count'!H1263="Y",IF('House Count'!F1263="COMM-SU",1,IF('House Count'!F1263="COM-MTU",1,IF('House Count'!F1263="ENT",1,0))),0)</f>
        <v/>
      </c>
    </row>
    <row r="1264">
      <c r="H1264" s="192" t="n"/>
      <c r="I1264" s="773" t="n"/>
      <c r="J1264">
        <f>IF('House Count'!H1264="Y",IF('House Count'!F1264="RES-SFU",1,IF('House Count'!F1264="RES-MDU",1,IF('House Count'!F1264="RES-HOA",1,0))),0)</f>
        <v/>
      </c>
      <c r="K1264">
        <f>IF('House Count'!H1264="Y",IF('House Count'!F1264="COMM-SU",1,IF('House Count'!F1264="COM-MTU",1,IF('House Count'!F1264="ENT",1,0))),0)</f>
        <v/>
      </c>
    </row>
    <row r="1265">
      <c r="H1265" s="192" t="n"/>
      <c r="I1265" s="773" t="n"/>
      <c r="J1265">
        <f>IF('House Count'!H1265="Y",IF('House Count'!F1265="RES-SFU",1,IF('House Count'!F1265="RES-MDU",1,IF('House Count'!F1265="RES-HOA",1,0))),0)</f>
        <v/>
      </c>
      <c r="K1265">
        <f>IF('House Count'!H1265="Y",IF('House Count'!F1265="COMM-SU",1,IF('House Count'!F1265="COM-MTU",1,IF('House Count'!F1265="ENT",1,0))),0)</f>
        <v/>
      </c>
    </row>
    <row r="1266">
      <c r="H1266" s="192" t="n"/>
      <c r="I1266" s="773" t="n"/>
      <c r="J1266">
        <f>IF('House Count'!H1266="Y",IF('House Count'!F1266="RES-SFU",1,IF('House Count'!F1266="RES-MDU",1,IF('House Count'!F1266="RES-HOA",1,0))),0)</f>
        <v/>
      </c>
      <c r="K1266">
        <f>IF('House Count'!H1266="Y",IF('House Count'!F1266="COMM-SU",1,IF('House Count'!F1266="COM-MTU",1,IF('House Count'!F1266="ENT",1,0))),0)</f>
        <v/>
      </c>
    </row>
    <row r="1267">
      <c r="H1267" s="192" t="n"/>
      <c r="I1267" s="773" t="n"/>
      <c r="J1267">
        <f>IF('House Count'!H1267="Y",IF('House Count'!F1267="RES-SFU",1,IF('House Count'!F1267="RES-MDU",1,IF('House Count'!F1267="RES-HOA",1,0))),0)</f>
        <v/>
      </c>
      <c r="K1267">
        <f>IF('House Count'!H1267="Y",IF('House Count'!F1267="COMM-SU",1,IF('House Count'!F1267="COM-MTU",1,IF('House Count'!F1267="ENT",1,0))),0)</f>
        <v/>
      </c>
    </row>
    <row r="1268">
      <c r="H1268" s="192" t="n"/>
      <c r="I1268" s="773" t="n"/>
      <c r="J1268">
        <f>IF('House Count'!H1268="Y",IF('House Count'!F1268="RES-SFU",1,IF('House Count'!F1268="RES-MDU",1,IF('House Count'!F1268="RES-HOA",1,0))),0)</f>
        <v/>
      </c>
      <c r="K1268">
        <f>IF('House Count'!H1268="Y",IF('House Count'!F1268="COMM-SU",1,IF('House Count'!F1268="COM-MTU",1,IF('House Count'!F1268="ENT",1,0))),0)</f>
        <v/>
      </c>
    </row>
    <row r="1269">
      <c r="H1269" s="192" t="n"/>
      <c r="I1269" s="773" t="n"/>
      <c r="J1269">
        <f>IF('House Count'!H1269="Y",IF('House Count'!F1269="RES-SFU",1,IF('House Count'!F1269="RES-MDU",1,IF('House Count'!F1269="RES-HOA",1,0))),0)</f>
        <v/>
      </c>
      <c r="K1269">
        <f>IF('House Count'!H1269="Y",IF('House Count'!F1269="COMM-SU",1,IF('House Count'!F1269="COM-MTU",1,IF('House Count'!F1269="ENT",1,0))),0)</f>
        <v/>
      </c>
    </row>
    <row r="1270">
      <c r="H1270" s="192" t="n"/>
      <c r="I1270" s="773" t="n"/>
      <c r="J1270">
        <f>IF('House Count'!H1270="Y",IF('House Count'!F1270="RES-SFU",1,IF('House Count'!F1270="RES-MDU",1,IF('House Count'!F1270="RES-HOA",1,0))),0)</f>
        <v/>
      </c>
      <c r="K1270">
        <f>IF('House Count'!H1270="Y",IF('House Count'!F1270="COMM-SU",1,IF('House Count'!F1270="COM-MTU",1,IF('House Count'!F1270="ENT",1,0))),0)</f>
        <v/>
      </c>
    </row>
    <row r="1271">
      <c r="H1271" s="192" t="n"/>
      <c r="I1271" s="773" t="n"/>
      <c r="J1271">
        <f>IF('House Count'!H1271="Y",IF('House Count'!F1271="RES-SFU",1,IF('House Count'!F1271="RES-MDU",1,IF('House Count'!F1271="RES-HOA",1,0))),0)</f>
        <v/>
      </c>
      <c r="K1271">
        <f>IF('House Count'!H1271="Y",IF('House Count'!F1271="COMM-SU",1,IF('House Count'!F1271="COM-MTU",1,IF('House Count'!F1271="ENT",1,0))),0)</f>
        <v/>
      </c>
    </row>
    <row r="1272">
      <c r="H1272" s="192" t="n"/>
      <c r="I1272" s="773" t="n"/>
      <c r="J1272">
        <f>IF('House Count'!H1272="Y",IF('House Count'!F1272="RES-SFU",1,IF('House Count'!F1272="RES-MDU",1,IF('House Count'!F1272="RES-HOA",1,0))),0)</f>
        <v/>
      </c>
      <c r="K1272">
        <f>IF('House Count'!H1272="Y",IF('House Count'!F1272="COMM-SU",1,IF('House Count'!F1272="COM-MTU",1,IF('House Count'!F1272="ENT",1,0))),0)</f>
        <v/>
      </c>
    </row>
    <row r="1273" ht="15.75" customHeight="1" thickBot="1">
      <c r="A1273" s="774" t="n"/>
      <c r="B1273" s="774" t="n"/>
      <c r="C1273" s="774" t="n"/>
      <c r="D1273" s="774" t="n"/>
      <c r="E1273" s="774" t="n"/>
      <c r="F1273" s="774" t="n"/>
      <c r="G1273" s="774" t="n"/>
      <c r="H1273" s="774" t="n"/>
      <c r="I1273" s="775" t="n"/>
      <c r="J1273">
        <f>IF('House Count'!H1273="Y",IF('House Count'!F1273="RES-SFU",1,IF('House Count'!F1273="RES-MDU",1,IF('House Count'!F1273="RES-HOA",1,0))),0)</f>
        <v/>
      </c>
      <c r="K1273">
        <f>IF('House Count'!H1273="Y",IF('House Count'!F1273="COMM-SU",1,IF('House Count'!F1273="COM-MTU",1,IF('House Count'!F1273="ENT",1,0))),0)</f>
        <v/>
      </c>
    </row>
    <row r="1274" ht="15.75" customHeight="1" thickTop="1">
      <c r="H1274" s="192" t="n"/>
      <c r="I1274" s="773" t="n"/>
      <c r="J1274">
        <f>IF('House Count'!H1274="Y",IF('House Count'!F1274="RES-SFU",1,IF('House Count'!F1274="RES-MDU",1,IF('House Count'!F1274="RES-HOA",1,0))),0)</f>
        <v/>
      </c>
      <c r="K1274">
        <f>IF('House Count'!H1274="Y",IF('House Count'!F1274="COMM-SU",1,IF('House Count'!F1274="COM-MTU",1,IF('House Count'!F1274="ENT",1,0))),0)</f>
        <v/>
      </c>
    </row>
    <row r="1275">
      <c r="H1275" s="192" t="n"/>
      <c r="I1275" s="773" t="n"/>
      <c r="J1275">
        <f>IF('House Count'!H1275="Y",IF('House Count'!F1275="RES-SFU",1,IF('House Count'!F1275="RES-MDU",1,IF('House Count'!F1275="RES-HOA",1,0))),0)</f>
        <v/>
      </c>
      <c r="K1275">
        <f>IF('House Count'!H1275="Y",IF('House Count'!F1275="COMM-SU",1,IF('House Count'!F1275="COM-MTU",1,IF('House Count'!F1275="ENT",1,0))),0)</f>
        <v/>
      </c>
    </row>
    <row r="1276">
      <c r="H1276" s="192" t="n"/>
      <c r="I1276" s="773" t="n"/>
      <c r="J1276">
        <f>IF('House Count'!H1276="Y",IF('House Count'!F1276="RES-SFU",1,IF('House Count'!F1276="RES-MDU",1,IF('House Count'!F1276="RES-HOA",1,0))),0)</f>
        <v/>
      </c>
      <c r="K1276">
        <f>IF('House Count'!H1276="Y",IF('House Count'!F1276="COMM-SU",1,IF('House Count'!F1276="COM-MTU",1,IF('House Count'!F1276="ENT",1,0))),0)</f>
        <v/>
      </c>
    </row>
    <row r="1277">
      <c r="H1277" s="192" t="n"/>
      <c r="I1277" s="773" t="n"/>
      <c r="J1277">
        <f>IF('House Count'!H1277="Y",IF('House Count'!F1277="RES-SFU",1,IF('House Count'!F1277="RES-MDU",1,IF('House Count'!F1277="RES-HOA",1,0))),0)</f>
        <v/>
      </c>
      <c r="K1277">
        <f>IF('House Count'!H1277="Y",IF('House Count'!F1277="COMM-SU",1,IF('House Count'!F1277="COM-MTU",1,IF('House Count'!F1277="ENT",1,0))),0)</f>
        <v/>
      </c>
    </row>
    <row r="1278">
      <c r="H1278" s="192" t="n"/>
      <c r="I1278" s="773" t="n"/>
      <c r="J1278">
        <f>IF('House Count'!H1278="Y",IF('House Count'!F1278="RES-SFU",1,IF('House Count'!F1278="RES-MDU",1,IF('House Count'!F1278="RES-HOA",1,0))),0)</f>
        <v/>
      </c>
      <c r="K1278">
        <f>IF('House Count'!H1278="Y",IF('House Count'!F1278="COMM-SU",1,IF('House Count'!F1278="COM-MTU",1,IF('House Count'!F1278="ENT",1,0))),0)</f>
        <v/>
      </c>
    </row>
    <row r="1279">
      <c r="H1279" s="192" t="n"/>
      <c r="I1279" s="773" t="n"/>
      <c r="J1279">
        <f>IF('House Count'!H1279="Y",IF('House Count'!F1279="RES-SFU",1,IF('House Count'!F1279="RES-MDU",1,IF('House Count'!F1279="RES-HOA",1,0))),0)</f>
        <v/>
      </c>
      <c r="K1279">
        <f>IF('House Count'!H1279="Y",IF('House Count'!F1279="COMM-SU",1,IF('House Count'!F1279="COM-MTU",1,IF('House Count'!F1279="ENT",1,0))),0)</f>
        <v/>
      </c>
    </row>
    <row r="1280">
      <c r="H1280" s="192" t="n"/>
      <c r="I1280" s="773" t="n"/>
      <c r="J1280">
        <f>IF('House Count'!H1280="Y",IF('House Count'!F1280="RES-SFU",1,IF('House Count'!F1280="RES-MDU",1,IF('House Count'!F1280="RES-HOA",1,0))),0)</f>
        <v/>
      </c>
      <c r="K1280">
        <f>IF('House Count'!H1280="Y",IF('House Count'!F1280="COMM-SU",1,IF('House Count'!F1280="COM-MTU",1,IF('House Count'!F1280="ENT",1,0))),0)</f>
        <v/>
      </c>
    </row>
    <row r="1281">
      <c r="H1281" s="192" t="n"/>
      <c r="I1281" s="773" t="n"/>
      <c r="J1281">
        <f>IF('House Count'!H1281="Y",IF('House Count'!F1281="RES-SFU",1,IF('House Count'!F1281="RES-MDU",1,IF('House Count'!F1281="RES-HOA",1,0))),0)</f>
        <v/>
      </c>
      <c r="K1281">
        <f>IF('House Count'!H1281="Y",IF('House Count'!F1281="COMM-SU",1,IF('House Count'!F1281="COM-MTU",1,IF('House Count'!F1281="ENT",1,0))),0)</f>
        <v/>
      </c>
    </row>
    <row r="1282">
      <c r="H1282" s="192" t="n"/>
      <c r="I1282" s="773" t="n"/>
      <c r="J1282">
        <f>IF('House Count'!H1282="Y",IF('House Count'!F1282="RES-SFU",1,IF('House Count'!F1282="RES-MDU",1,IF('House Count'!F1282="RES-HOA",1,0))),0)</f>
        <v/>
      </c>
      <c r="K1282">
        <f>IF('House Count'!H1282="Y",IF('House Count'!F1282="COMM-SU",1,IF('House Count'!F1282="COM-MTU",1,IF('House Count'!F1282="ENT",1,0))),0)</f>
        <v/>
      </c>
    </row>
    <row r="1283">
      <c r="H1283" s="192" t="n"/>
      <c r="I1283" s="773" t="n"/>
      <c r="J1283">
        <f>IF('House Count'!H1283="Y",IF('House Count'!F1283="RES-SFU",1,IF('House Count'!F1283="RES-MDU",1,IF('House Count'!F1283="RES-HOA",1,0))),0)</f>
        <v/>
      </c>
      <c r="K1283">
        <f>IF('House Count'!H1283="Y",IF('House Count'!F1283="COMM-SU",1,IF('House Count'!F1283="COM-MTU",1,IF('House Count'!F1283="ENT",1,0))),0)</f>
        <v/>
      </c>
    </row>
    <row r="1284">
      <c r="H1284" s="192" t="n"/>
      <c r="I1284" s="773" t="n"/>
      <c r="J1284">
        <f>IF('House Count'!H1284="Y",IF('House Count'!F1284="RES-SFU",1,IF('House Count'!F1284="RES-MDU",1,IF('House Count'!F1284="RES-HOA",1,0))),0)</f>
        <v/>
      </c>
      <c r="K1284">
        <f>IF('House Count'!H1284="Y",IF('House Count'!F1284="COMM-SU",1,IF('House Count'!F1284="COM-MTU",1,IF('House Count'!F1284="ENT",1,0))),0)</f>
        <v/>
      </c>
    </row>
    <row r="1285" ht="15.75" customHeight="1" thickBot="1">
      <c r="A1285" s="774" t="n"/>
      <c r="B1285" s="774" t="n"/>
      <c r="C1285" s="774" t="n"/>
      <c r="D1285" s="774" t="n"/>
      <c r="E1285" s="774" t="n"/>
      <c r="F1285" s="774" t="n"/>
      <c r="G1285" s="774" t="n"/>
      <c r="H1285" s="774" t="n"/>
      <c r="I1285" s="775" t="n"/>
      <c r="J1285">
        <f>IF('House Count'!H1285="Y",IF('House Count'!F1285="RES-SFU",1,IF('House Count'!F1285="RES-MDU",1,IF('House Count'!F1285="RES-HOA",1,0))),0)</f>
        <v/>
      </c>
      <c r="K1285">
        <f>IF('House Count'!H1285="Y",IF('House Count'!F1285="COMM-SU",1,IF('House Count'!F1285="COM-MTU",1,IF('House Count'!F1285="ENT",1,0))),0)</f>
        <v/>
      </c>
    </row>
    <row r="1286" ht="15.75" customHeight="1" thickTop="1">
      <c r="H1286" s="192" t="n"/>
      <c r="I1286" s="773" t="n"/>
      <c r="J1286">
        <f>IF('House Count'!H1286="Y",IF('House Count'!F1286="RES-SFU",1,IF('House Count'!F1286="RES-MDU",1,IF('House Count'!F1286="RES-HOA",1,0))),0)</f>
        <v/>
      </c>
      <c r="K1286">
        <f>IF('House Count'!H1286="Y",IF('House Count'!F1286="COMM-SU",1,IF('House Count'!F1286="COM-MTU",1,IF('House Count'!F1286="ENT",1,0))),0)</f>
        <v/>
      </c>
    </row>
    <row r="1287">
      <c r="H1287" s="192" t="n"/>
      <c r="I1287" s="773" t="n"/>
      <c r="J1287">
        <f>IF('House Count'!H1287="Y",IF('House Count'!F1287="RES-SFU",1,IF('House Count'!F1287="RES-MDU",1,IF('House Count'!F1287="RES-HOA",1,0))),0)</f>
        <v/>
      </c>
      <c r="K1287">
        <f>IF('House Count'!H1287="Y",IF('House Count'!F1287="COMM-SU",1,IF('House Count'!F1287="COM-MTU",1,IF('House Count'!F1287="ENT",1,0))),0)</f>
        <v/>
      </c>
    </row>
    <row r="1288">
      <c r="H1288" s="192" t="n"/>
      <c r="I1288" s="773" t="n"/>
      <c r="J1288">
        <f>IF('House Count'!H1288="Y",IF('House Count'!F1288="RES-SFU",1,IF('House Count'!F1288="RES-MDU",1,IF('House Count'!F1288="RES-HOA",1,0))),0)</f>
        <v/>
      </c>
      <c r="K1288">
        <f>IF('House Count'!H1288="Y",IF('House Count'!F1288="COMM-SU",1,IF('House Count'!F1288="COM-MTU",1,IF('House Count'!F1288="ENT",1,0))),0)</f>
        <v/>
      </c>
    </row>
    <row r="1289">
      <c r="H1289" s="192" t="n"/>
      <c r="I1289" s="773" t="n"/>
      <c r="J1289">
        <f>IF('House Count'!H1289="Y",IF('House Count'!F1289="RES-SFU",1,IF('House Count'!F1289="RES-MDU",1,IF('House Count'!F1289="RES-HOA",1,0))),0)</f>
        <v/>
      </c>
      <c r="K1289">
        <f>IF('House Count'!H1289="Y",IF('House Count'!F1289="COMM-SU",1,IF('House Count'!F1289="COM-MTU",1,IF('House Count'!F1289="ENT",1,0))),0)</f>
        <v/>
      </c>
    </row>
    <row r="1290">
      <c r="H1290" s="192" t="n"/>
      <c r="I1290" s="773" t="n"/>
      <c r="J1290">
        <f>IF('House Count'!H1290="Y",IF('House Count'!F1290="RES-SFU",1,IF('House Count'!F1290="RES-MDU",1,IF('House Count'!F1290="RES-HOA",1,0))),0)</f>
        <v/>
      </c>
      <c r="K1290">
        <f>IF('House Count'!H1290="Y",IF('House Count'!F1290="COMM-SU",1,IF('House Count'!F1290="COM-MTU",1,IF('House Count'!F1290="ENT",1,0))),0)</f>
        <v/>
      </c>
    </row>
    <row r="1291">
      <c r="H1291" s="192" t="n"/>
      <c r="I1291" s="773" t="n"/>
      <c r="J1291">
        <f>IF('House Count'!H1291="Y",IF('House Count'!F1291="RES-SFU",1,IF('House Count'!F1291="RES-MDU",1,IF('House Count'!F1291="RES-HOA",1,0))),0)</f>
        <v/>
      </c>
      <c r="K1291">
        <f>IF('House Count'!H1291="Y",IF('House Count'!F1291="COMM-SU",1,IF('House Count'!F1291="COM-MTU",1,IF('House Count'!F1291="ENT",1,0))),0)</f>
        <v/>
      </c>
    </row>
    <row r="1292">
      <c r="H1292" s="192" t="n"/>
      <c r="I1292" s="773" t="n"/>
      <c r="J1292">
        <f>IF('House Count'!H1292="Y",IF('House Count'!F1292="RES-SFU",1,IF('House Count'!F1292="RES-MDU",1,IF('House Count'!F1292="RES-HOA",1,0))),0)</f>
        <v/>
      </c>
      <c r="K1292">
        <f>IF('House Count'!H1292="Y",IF('House Count'!F1292="COMM-SU",1,IF('House Count'!F1292="COM-MTU",1,IF('House Count'!F1292="ENT",1,0))),0)</f>
        <v/>
      </c>
    </row>
    <row r="1293">
      <c r="H1293" s="192" t="n"/>
      <c r="I1293" s="773" t="n"/>
      <c r="J1293">
        <f>IF('House Count'!H1293="Y",IF('House Count'!F1293="RES-SFU",1,IF('House Count'!F1293="RES-MDU",1,IF('House Count'!F1293="RES-HOA",1,0))),0)</f>
        <v/>
      </c>
      <c r="K1293">
        <f>IF('House Count'!H1293="Y",IF('House Count'!F1293="COMM-SU",1,IF('House Count'!F1293="COM-MTU",1,IF('House Count'!F1293="ENT",1,0))),0)</f>
        <v/>
      </c>
    </row>
    <row r="1294">
      <c r="H1294" s="192" t="n"/>
      <c r="I1294" s="773" t="n"/>
      <c r="J1294">
        <f>IF('House Count'!H1294="Y",IF('House Count'!F1294="RES-SFU",1,IF('House Count'!F1294="RES-MDU",1,IF('House Count'!F1294="RES-HOA",1,0))),0)</f>
        <v/>
      </c>
      <c r="K1294">
        <f>IF('House Count'!H1294="Y",IF('House Count'!F1294="COMM-SU",1,IF('House Count'!F1294="COM-MTU",1,IF('House Count'!F1294="ENT",1,0))),0)</f>
        <v/>
      </c>
    </row>
    <row r="1295">
      <c r="H1295" s="192" t="n"/>
      <c r="I1295" s="773" t="n"/>
      <c r="J1295">
        <f>IF('House Count'!H1295="Y",IF('House Count'!F1295="RES-SFU",1,IF('House Count'!F1295="RES-MDU",1,IF('House Count'!F1295="RES-HOA",1,0))),0)</f>
        <v/>
      </c>
      <c r="K1295">
        <f>IF('House Count'!H1295="Y",IF('House Count'!F1295="COMM-SU",1,IF('House Count'!F1295="COM-MTU",1,IF('House Count'!F1295="ENT",1,0))),0)</f>
        <v/>
      </c>
    </row>
    <row r="1296">
      <c r="H1296" s="192" t="n"/>
      <c r="I1296" s="773" t="n"/>
      <c r="J1296">
        <f>IF('House Count'!H1296="Y",IF('House Count'!F1296="RES-SFU",1,IF('House Count'!F1296="RES-MDU",1,IF('House Count'!F1296="RES-HOA",1,0))),0)</f>
        <v/>
      </c>
      <c r="K1296">
        <f>IF('House Count'!H1296="Y",IF('House Count'!F1296="COMM-SU",1,IF('House Count'!F1296="COM-MTU",1,IF('House Count'!F1296="ENT",1,0))),0)</f>
        <v/>
      </c>
    </row>
    <row r="1297" ht="15.75" customHeight="1" thickBot="1">
      <c r="A1297" s="774" t="n"/>
      <c r="B1297" s="774" t="n"/>
      <c r="C1297" s="774" t="n"/>
      <c r="D1297" s="774" t="n"/>
      <c r="E1297" s="774" t="n"/>
      <c r="F1297" s="774" t="n"/>
      <c r="G1297" s="774" t="n"/>
      <c r="H1297" s="774" t="n"/>
      <c r="I1297" s="775" t="n"/>
      <c r="J1297">
        <f>IF('House Count'!H1297="Y",IF('House Count'!F1297="RES-SFU",1,IF('House Count'!F1297="RES-MDU",1,IF('House Count'!F1297="RES-HOA",1,0))),0)</f>
        <v/>
      </c>
      <c r="K1297">
        <f>IF('House Count'!H1297="Y",IF('House Count'!F1297="COMM-SU",1,IF('House Count'!F1297="COM-MTU",1,IF('House Count'!F1297="ENT",1,0))),0)</f>
        <v/>
      </c>
    </row>
    <row r="1298" ht="15.75" customHeight="1" thickTop="1">
      <c r="H1298" s="192" t="n"/>
      <c r="I1298" s="773" t="n"/>
      <c r="J1298">
        <f>IF('House Count'!H1298="Y",IF('House Count'!F1298="RES-SFU",1,IF('House Count'!F1298="RES-MDU",1,IF('House Count'!F1298="RES-HOA",1,0))),0)</f>
        <v/>
      </c>
      <c r="K1298">
        <f>IF('House Count'!H1298="Y",IF('House Count'!F1298="COMM-SU",1,IF('House Count'!F1298="COM-MTU",1,IF('House Count'!F1298="ENT",1,0))),0)</f>
        <v/>
      </c>
    </row>
    <row r="1299">
      <c r="H1299" s="192" t="n"/>
      <c r="I1299" s="773" t="n"/>
      <c r="J1299">
        <f>IF('House Count'!H1299="Y",IF('House Count'!F1299="RES-SFU",1,IF('House Count'!F1299="RES-MDU",1,IF('House Count'!F1299="RES-HOA",1,0))),0)</f>
        <v/>
      </c>
      <c r="K1299">
        <f>IF('House Count'!H1299="Y",IF('House Count'!F1299="COMM-SU",1,IF('House Count'!F1299="COM-MTU",1,IF('House Count'!F1299="ENT",1,0))),0)</f>
        <v/>
      </c>
    </row>
    <row r="1300">
      <c r="H1300" s="192" t="n"/>
      <c r="I1300" s="773" t="n"/>
      <c r="J1300">
        <f>IF('House Count'!H1300="Y",IF('House Count'!F1300="RES-SFU",1,IF('House Count'!F1300="RES-MDU",1,IF('House Count'!F1300="RES-HOA",1,0))),0)</f>
        <v/>
      </c>
      <c r="K1300">
        <f>IF('House Count'!H1300="Y",IF('House Count'!F1300="COMM-SU",1,IF('House Count'!F1300="COM-MTU",1,IF('House Count'!F1300="ENT",1,0))),0)</f>
        <v/>
      </c>
    </row>
    <row r="1301">
      <c r="H1301" s="192" t="n"/>
      <c r="I1301" s="773" t="n"/>
      <c r="J1301">
        <f>IF('House Count'!H1301="Y",IF('House Count'!F1301="RES-SFU",1,IF('House Count'!F1301="RES-MDU",1,IF('House Count'!F1301="RES-HOA",1,0))),0)</f>
        <v/>
      </c>
      <c r="K1301">
        <f>IF('House Count'!H1301="Y",IF('House Count'!F1301="COMM-SU",1,IF('House Count'!F1301="COM-MTU",1,IF('House Count'!F1301="ENT",1,0))),0)</f>
        <v/>
      </c>
    </row>
    <row r="1302">
      <c r="H1302" s="192" t="n"/>
      <c r="I1302" s="773" t="n"/>
      <c r="J1302">
        <f>IF('House Count'!H1302="Y",IF('House Count'!F1302="RES-SFU",1,IF('House Count'!F1302="RES-MDU",1,IF('House Count'!F1302="RES-HOA",1,0))),0)</f>
        <v/>
      </c>
      <c r="K1302">
        <f>IF('House Count'!H1302="Y",IF('House Count'!F1302="COMM-SU",1,IF('House Count'!F1302="COM-MTU",1,IF('House Count'!F1302="ENT",1,0))),0)</f>
        <v/>
      </c>
    </row>
    <row r="1303">
      <c r="H1303" s="192" t="n"/>
      <c r="I1303" s="773" t="n"/>
      <c r="J1303">
        <f>IF('House Count'!H1303="Y",IF('House Count'!F1303="RES-SFU",1,IF('House Count'!F1303="RES-MDU",1,IF('House Count'!F1303="RES-HOA",1,0))),0)</f>
        <v/>
      </c>
      <c r="K1303">
        <f>IF('House Count'!H1303="Y",IF('House Count'!F1303="COMM-SU",1,IF('House Count'!F1303="COM-MTU",1,IF('House Count'!F1303="ENT",1,0))),0)</f>
        <v/>
      </c>
    </row>
    <row r="1304">
      <c r="H1304" s="192" t="n"/>
      <c r="I1304" s="773" t="n"/>
      <c r="J1304">
        <f>IF('House Count'!H1304="Y",IF('House Count'!F1304="RES-SFU",1,IF('House Count'!F1304="RES-MDU",1,IF('House Count'!F1304="RES-HOA",1,0))),0)</f>
        <v/>
      </c>
      <c r="K1304">
        <f>IF('House Count'!H1304="Y",IF('House Count'!F1304="COMM-SU",1,IF('House Count'!F1304="COM-MTU",1,IF('House Count'!F1304="ENT",1,0))),0)</f>
        <v/>
      </c>
    </row>
    <row r="1305">
      <c r="H1305" s="192" t="n"/>
      <c r="I1305" s="773" t="n"/>
      <c r="J1305">
        <f>IF('House Count'!H1305="Y",IF('House Count'!F1305="RES-SFU",1,IF('House Count'!F1305="RES-MDU",1,IF('House Count'!F1305="RES-HOA",1,0))),0)</f>
        <v/>
      </c>
      <c r="K1305">
        <f>IF('House Count'!H1305="Y",IF('House Count'!F1305="COMM-SU",1,IF('House Count'!F1305="COM-MTU",1,IF('House Count'!F1305="ENT",1,0))),0)</f>
        <v/>
      </c>
    </row>
    <row r="1306">
      <c r="H1306" s="192" t="n"/>
      <c r="I1306" s="773" t="n"/>
      <c r="J1306">
        <f>IF('House Count'!H1306="Y",IF('House Count'!F1306="RES-SFU",1,IF('House Count'!F1306="RES-MDU",1,IF('House Count'!F1306="RES-HOA",1,0))),0)</f>
        <v/>
      </c>
      <c r="K1306">
        <f>IF('House Count'!H1306="Y",IF('House Count'!F1306="COMM-SU",1,IF('House Count'!F1306="COM-MTU",1,IF('House Count'!F1306="ENT",1,0))),0)</f>
        <v/>
      </c>
    </row>
    <row r="1307">
      <c r="H1307" s="192" t="n"/>
      <c r="I1307" s="773" t="n"/>
      <c r="J1307">
        <f>IF('House Count'!H1307="Y",IF('House Count'!F1307="RES-SFU",1,IF('House Count'!F1307="RES-MDU",1,IF('House Count'!F1307="RES-HOA",1,0))),0)</f>
        <v/>
      </c>
      <c r="K1307">
        <f>IF('House Count'!H1307="Y",IF('House Count'!F1307="COMM-SU",1,IF('House Count'!F1307="COM-MTU",1,IF('House Count'!F1307="ENT",1,0))),0)</f>
        <v/>
      </c>
    </row>
    <row r="1308">
      <c r="H1308" s="192" t="n"/>
      <c r="I1308" s="773" t="n"/>
      <c r="J1308">
        <f>IF('House Count'!H1308="Y",IF('House Count'!F1308="RES-SFU",1,IF('House Count'!F1308="RES-MDU",1,IF('House Count'!F1308="RES-HOA",1,0))),0)</f>
        <v/>
      </c>
      <c r="K1308">
        <f>IF('House Count'!H1308="Y",IF('House Count'!F1308="COMM-SU",1,IF('House Count'!F1308="COM-MTU",1,IF('House Count'!F1308="ENT",1,0))),0)</f>
        <v/>
      </c>
    </row>
    <row r="1309" ht="15.75" customHeight="1" thickBot="1">
      <c r="A1309" s="774" t="n"/>
      <c r="B1309" s="774" t="n"/>
      <c r="C1309" s="774" t="n"/>
      <c r="D1309" s="774" t="n"/>
      <c r="E1309" s="774" t="n"/>
      <c r="F1309" s="774" t="n"/>
      <c r="G1309" s="774" t="n"/>
      <c r="H1309" s="774" t="n"/>
      <c r="I1309" s="775" t="n"/>
      <c r="J1309">
        <f>IF('House Count'!H1309="Y",IF('House Count'!F1309="RES-SFU",1,IF('House Count'!F1309="RES-MDU",1,IF('House Count'!F1309="RES-HOA",1,0))),0)</f>
        <v/>
      </c>
      <c r="K1309">
        <f>IF('House Count'!H1309="Y",IF('House Count'!F1309="COMM-SU",1,IF('House Count'!F1309="COM-MTU",1,IF('House Count'!F1309="ENT",1,0))),0)</f>
        <v/>
      </c>
    </row>
    <row r="1310" ht="15.75" customHeight="1" thickTop="1">
      <c r="H1310" s="192" t="n"/>
      <c r="I1310" s="773" t="n"/>
      <c r="J1310">
        <f>IF('House Count'!H1310="Y",IF('House Count'!F1310="RES-SFU",1,IF('House Count'!F1310="RES-MDU",1,IF('House Count'!F1310="RES-HOA",1,0))),0)</f>
        <v/>
      </c>
      <c r="K1310">
        <f>IF('House Count'!H1310="Y",IF('House Count'!F1310="COMM-SU",1,IF('House Count'!F1310="COM-MTU",1,IF('House Count'!F1310="ENT",1,0))),0)</f>
        <v/>
      </c>
    </row>
    <row r="1311">
      <c r="H1311" s="192" t="n"/>
      <c r="I1311" s="773" t="n"/>
      <c r="J1311">
        <f>IF('House Count'!H1311="Y",IF('House Count'!F1311="RES-SFU",1,IF('House Count'!F1311="RES-MDU",1,IF('House Count'!F1311="RES-HOA",1,0))),0)</f>
        <v/>
      </c>
      <c r="K1311">
        <f>IF('House Count'!H1311="Y",IF('House Count'!F1311="COMM-SU",1,IF('House Count'!F1311="COM-MTU",1,IF('House Count'!F1311="ENT",1,0))),0)</f>
        <v/>
      </c>
    </row>
    <row r="1312">
      <c r="H1312" s="192" t="n"/>
      <c r="I1312" s="773" t="n"/>
      <c r="J1312">
        <f>IF('House Count'!H1312="Y",IF('House Count'!F1312="RES-SFU",1,IF('House Count'!F1312="RES-MDU",1,IF('House Count'!F1312="RES-HOA",1,0))),0)</f>
        <v/>
      </c>
      <c r="K1312">
        <f>IF('House Count'!H1312="Y",IF('House Count'!F1312="COMM-SU",1,IF('House Count'!F1312="COM-MTU",1,IF('House Count'!F1312="ENT",1,0))),0)</f>
        <v/>
      </c>
    </row>
    <row r="1313">
      <c r="H1313" s="192" t="n"/>
      <c r="I1313" s="773" t="n"/>
      <c r="J1313">
        <f>IF('House Count'!H1313="Y",IF('House Count'!F1313="RES-SFU",1,IF('House Count'!F1313="RES-MDU",1,IF('House Count'!F1313="RES-HOA",1,0))),0)</f>
        <v/>
      </c>
      <c r="K1313">
        <f>IF('House Count'!H1313="Y",IF('House Count'!F1313="COMM-SU",1,IF('House Count'!F1313="COM-MTU",1,IF('House Count'!F1313="ENT",1,0))),0)</f>
        <v/>
      </c>
    </row>
    <row r="1314">
      <c r="H1314" s="192" t="n"/>
      <c r="I1314" s="773" t="n"/>
      <c r="J1314">
        <f>IF('House Count'!H1314="Y",IF('House Count'!F1314="RES-SFU",1,IF('House Count'!F1314="RES-MDU",1,IF('House Count'!F1314="RES-HOA",1,0))),0)</f>
        <v/>
      </c>
      <c r="K1314">
        <f>IF('House Count'!H1314="Y",IF('House Count'!F1314="COMM-SU",1,IF('House Count'!F1314="COM-MTU",1,IF('House Count'!F1314="ENT",1,0))),0)</f>
        <v/>
      </c>
    </row>
    <row r="1315">
      <c r="H1315" s="192" t="n"/>
      <c r="I1315" s="773" t="n"/>
      <c r="J1315">
        <f>IF('House Count'!H1315="Y",IF('House Count'!F1315="RES-SFU",1,IF('House Count'!F1315="RES-MDU",1,IF('House Count'!F1315="RES-HOA",1,0))),0)</f>
        <v/>
      </c>
      <c r="K1315">
        <f>IF('House Count'!H1315="Y",IF('House Count'!F1315="COMM-SU",1,IF('House Count'!F1315="COM-MTU",1,IF('House Count'!F1315="ENT",1,0))),0)</f>
        <v/>
      </c>
    </row>
    <row r="1316">
      <c r="H1316" s="192" t="n"/>
      <c r="I1316" s="773" t="n"/>
      <c r="J1316">
        <f>IF('House Count'!H1316="Y",IF('House Count'!F1316="RES-SFU",1,IF('House Count'!F1316="RES-MDU",1,IF('House Count'!F1316="RES-HOA",1,0))),0)</f>
        <v/>
      </c>
      <c r="K1316">
        <f>IF('House Count'!H1316="Y",IF('House Count'!F1316="COMM-SU",1,IF('House Count'!F1316="COM-MTU",1,IF('House Count'!F1316="ENT",1,0))),0)</f>
        <v/>
      </c>
    </row>
    <row r="1317">
      <c r="H1317" s="192" t="n"/>
      <c r="I1317" s="773" t="n"/>
      <c r="J1317">
        <f>IF('House Count'!H1317="Y",IF('House Count'!F1317="RES-SFU",1,IF('House Count'!F1317="RES-MDU",1,IF('House Count'!F1317="RES-HOA",1,0))),0)</f>
        <v/>
      </c>
      <c r="K1317">
        <f>IF('House Count'!H1317="Y",IF('House Count'!F1317="COMM-SU",1,IF('House Count'!F1317="COM-MTU",1,IF('House Count'!F1317="ENT",1,0))),0)</f>
        <v/>
      </c>
    </row>
    <row r="1318">
      <c r="H1318" s="192" t="n"/>
      <c r="I1318" s="773" t="n"/>
      <c r="J1318">
        <f>IF('House Count'!H1318="Y",IF('House Count'!F1318="RES-SFU",1,IF('House Count'!F1318="RES-MDU",1,IF('House Count'!F1318="RES-HOA",1,0))),0)</f>
        <v/>
      </c>
      <c r="K1318">
        <f>IF('House Count'!H1318="Y",IF('House Count'!F1318="COMM-SU",1,IF('House Count'!F1318="COM-MTU",1,IF('House Count'!F1318="ENT",1,0))),0)</f>
        <v/>
      </c>
    </row>
    <row r="1319">
      <c r="H1319" s="192" t="n"/>
      <c r="I1319" s="773" t="n"/>
      <c r="J1319">
        <f>IF('House Count'!H1319="Y",IF('House Count'!F1319="RES-SFU",1,IF('House Count'!F1319="RES-MDU",1,IF('House Count'!F1319="RES-HOA",1,0))),0)</f>
        <v/>
      </c>
      <c r="K1319">
        <f>IF('House Count'!H1319="Y",IF('House Count'!F1319="COMM-SU",1,IF('House Count'!F1319="COM-MTU",1,IF('House Count'!F1319="ENT",1,0))),0)</f>
        <v/>
      </c>
    </row>
    <row r="1320">
      <c r="H1320" s="192" t="n"/>
      <c r="I1320" s="773" t="n"/>
      <c r="J1320">
        <f>IF('House Count'!H1320="Y",IF('House Count'!F1320="RES-SFU",1,IF('House Count'!F1320="RES-MDU",1,IF('House Count'!F1320="RES-HOA",1,0))),0)</f>
        <v/>
      </c>
      <c r="K1320">
        <f>IF('House Count'!H1320="Y",IF('House Count'!F1320="COMM-SU",1,IF('House Count'!F1320="COM-MTU",1,IF('House Count'!F1320="ENT",1,0))),0)</f>
        <v/>
      </c>
    </row>
    <row r="1321" ht="15.75" customHeight="1" thickBot="1">
      <c r="A1321" s="774" t="n"/>
      <c r="B1321" s="774" t="n"/>
      <c r="C1321" s="774" t="n"/>
      <c r="D1321" s="774" t="n"/>
      <c r="E1321" s="774" t="n"/>
      <c r="F1321" s="774" t="n"/>
      <c r="G1321" s="774" t="n"/>
      <c r="H1321" s="774" t="n"/>
      <c r="I1321" s="775" t="n"/>
      <c r="J1321">
        <f>IF('House Count'!H1321="Y",IF('House Count'!F1321="RES-SFU",1,IF('House Count'!F1321="RES-MDU",1,IF('House Count'!F1321="RES-HOA",1,0))),0)</f>
        <v/>
      </c>
      <c r="K1321">
        <f>IF('House Count'!H1321="Y",IF('House Count'!F1321="COMM-SU",1,IF('House Count'!F1321="COM-MTU",1,IF('House Count'!F1321="ENT",1,0))),0)</f>
        <v/>
      </c>
    </row>
    <row r="1322" ht="15.75" customHeight="1" thickTop="1">
      <c r="H1322" s="192" t="n"/>
      <c r="I1322" s="773" t="n"/>
      <c r="J1322">
        <f>IF('House Count'!H1322="Y",IF('House Count'!F1322="RES-SFU",1,IF('House Count'!F1322="RES-MDU",1,IF('House Count'!F1322="RES-HOA",1,0))),0)</f>
        <v/>
      </c>
      <c r="K1322">
        <f>IF('House Count'!H1322="Y",IF('House Count'!F1322="COMM-SU",1,IF('House Count'!F1322="COM-MTU",1,IF('House Count'!F1322="ENT",1,0))),0)</f>
        <v/>
      </c>
    </row>
    <row r="1323">
      <c r="H1323" s="192" t="n"/>
      <c r="I1323" s="773" t="n"/>
      <c r="J1323">
        <f>IF('House Count'!H1323="Y",IF('House Count'!F1323="RES-SFU",1,IF('House Count'!F1323="RES-MDU",1,IF('House Count'!F1323="RES-HOA",1,0))),0)</f>
        <v/>
      </c>
      <c r="K1323">
        <f>IF('House Count'!H1323="Y",IF('House Count'!F1323="COMM-SU",1,IF('House Count'!F1323="COM-MTU",1,IF('House Count'!F1323="ENT",1,0))),0)</f>
        <v/>
      </c>
    </row>
    <row r="1324">
      <c r="H1324" s="192" t="n"/>
      <c r="I1324" s="773" t="n"/>
      <c r="J1324">
        <f>IF('House Count'!H1324="Y",IF('House Count'!F1324="RES-SFU",1,IF('House Count'!F1324="RES-MDU",1,IF('House Count'!F1324="RES-HOA",1,0))),0)</f>
        <v/>
      </c>
      <c r="K1324">
        <f>IF('House Count'!H1324="Y",IF('House Count'!F1324="COMM-SU",1,IF('House Count'!F1324="COM-MTU",1,IF('House Count'!F1324="ENT",1,0))),0)</f>
        <v/>
      </c>
    </row>
    <row r="1325">
      <c r="H1325" s="192" t="n"/>
      <c r="I1325" s="773" t="n"/>
      <c r="J1325">
        <f>IF('House Count'!H1325="Y",IF('House Count'!F1325="RES-SFU",1,IF('House Count'!F1325="RES-MDU",1,IF('House Count'!F1325="RES-HOA",1,0))),0)</f>
        <v/>
      </c>
      <c r="K1325">
        <f>IF('House Count'!H1325="Y",IF('House Count'!F1325="COMM-SU",1,IF('House Count'!F1325="COM-MTU",1,IF('House Count'!F1325="ENT",1,0))),0)</f>
        <v/>
      </c>
    </row>
    <row r="1326">
      <c r="H1326" s="192" t="n"/>
      <c r="I1326" s="773" t="n"/>
      <c r="J1326">
        <f>IF('House Count'!H1326="Y",IF('House Count'!F1326="RES-SFU",1,IF('House Count'!F1326="RES-MDU",1,IF('House Count'!F1326="RES-HOA",1,0))),0)</f>
        <v/>
      </c>
      <c r="K1326">
        <f>IF('House Count'!H1326="Y",IF('House Count'!F1326="COMM-SU",1,IF('House Count'!F1326="COM-MTU",1,IF('House Count'!F1326="ENT",1,0))),0)</f>
        <v/>
      </c>
    </row>
    <row r="1327">
      <c r="H1327" s="192" t="n"/>
      <c r="I1327" s="773" t="n"/>
      <c r="J1327">
        <f>IF('House Count'!H1327="Y",IF('House Count'!F1327="RES-SFU",1,IF('House Count'!F1327="RES-MDU",1,IF('House Count'!F1327="RES-HOA",1,0))),0)</f>
        <v/>
      </c>
      <c r="K1327">
        <f>IF('House Count'!H1327="Y",IF('House Count'!F1327="COMM-SU",1,IF('House Count'!F1327="COM-MTU",1,IF('House Count'!F1327="ENT",1,0))),0)</f>
        <v/>
      </c>
    </row>
    <row r="1328">
      <c r="H1328" s="192" t="n"/>
      <c r="I1328" s="773" t="n"/>
      <c r="J1328">
        <f>IF('House Count'!H1328="Y",IF('House Count'!F1328="RES-SFU",1,IF('House Count'!F1328="RES-MDU",1,IF('House Count'!F1328="RES-HOA",1,0))),0)</f>
        <v/>
      </c>
      <c r="K1328">
        <f>IF('House Count'!H1328="Y",IF('House Count'!F1328="COMM-SU",1,IF('House Count'!F1328="COM-MTU",1,IF('House Count'!F1328="ENT",1,0))),0)</f>
        <v/>
      </c>
    </row>
    <row r="1329">
      <c r="H1329" s="192" t="n"/>
      <c r="I1329" s="773" t="n"/>
      <c r="J1329">
        <f>IF('House Count'!H1329="Y",IF('House Count'!F1329="RES-SFU",1,IF('House Count'!F1329="RES-MDU",1,IF('House Count'!F1329="RES-HOA",1,0))),0)</f>
        <v/>
      </c>
      <c r="K1329">
        <f>IF('House Count'!H1329="Y",IF('House Count'!F1329="COMM-SU",1,IF('House Count'!F1329="COM-MTU",1,IF('House Count'!F1329="ENT",1,0))),0)</f>
        <v/>
      </c>
    </row>
    <row r="1330">
      <c r="H1330" s="192" t="n"/>
      <c r="I1330" s="773" t="n"/>
      <c r="J1330">
        <f>IF('House Count'!H1330="Y",IF('House Count'!F1330="RES-SFU",1,IF('House Count'!F1330="RES-MDU",1,IF('House Count'!F1330="RES-HOA",1,0))),0)</f>
        <v/>
      </c>
      <c r="K1330">
        <f>IF('House Count'!H1330="Y",IF('House Count'!F1330="COMM-SU",1,IF('House Count'!F1330="COM-MTU",1,IF('House Count'!F1330="ENT",1,0))),0)</f>
        <v/>
      </c>
    </row>
    <row r="1331">
      <c r="H1331" s="192" t="n"/>
      <c r="I1331" s="773" t="n"/>
      <c r="J1331">
        <f>IF('House Count'!H1331="Y",IF('House Count'!F1331="RES-SFU",1,IF('House Count'!F1331="RES-MDU",1,IF('House Count'!F1331="RES-HOA",1,0))),0)</f>
        <v/>
      </c>
      <c r="K1331">
        <f>IF('House Count'!H1331="Y",IF('House Count'!F1331="COMM-SU",1,IF('House Count'!F1331="COM-MTU",1,IF('House Count'!F1331="ENT",1,0))),0)</f>
        <v/>
      </c>
    </row>
    <row r="1332">
      <c r="H1332" s="192" t="n"/>
      <c r="I1332" s="773" t="n"/>
      <c r="J1332">
        <f>IF('House Count'!H1332="Y",IF('House Count'!F1332="RES-SFU",1,IF('House Count'!F1332="RES-MDU",1,IF('House Count'!F1332="RES-HOA",1,0))),0)</f>
        <v/>
      </c>
      <c r="K1332">
        <f>IF('House Count'!H1332="Y",IF('House Count'!F1332="COMM-SU",1,IF('House Count'!F1332="COM-MTU",1,IF('House Count'!F1332="ENT",1,0))),0)</f>
        <v/>
      </c>
    </row>
    <row r="1333" ht="15.75" customHeight="1" thickBot="1">
      <c r="A1333" s="774" t="n"/>
      <c r="B1333" s="774" t="n"/>
      <c r="C1333" s="774" t="n"/>
      <c r="D1333" s="774" t="n"/>
      <c r="E1333" s="774" t="n"/>
      <c r="F1333" s="774" t="n"/>
      <c r="G1333" s="774" t="n"/>
      <c r="H1333" s="774" t="n"/>
      <c r="I1333" s="775" t="n"/>
      <c r="J1333">
        <f>IF('House Count'!H1333="Y",IF('House Count'!F1333="RES-SFU",1,IF('House Count'!F1333="RES-MDU",1,IF('House Count'!F1333="RES-HOA",1,0))),0)</f>
        <v/>
      </c>
      <c r="K1333">
        <f>IF('House Count'!H1333="Y",IF('House Count'!F1333="COMM-SU",1,IF('House Count'!F1333="COM-MTU",1,IF('House Count'!F1333="ENT",1,0))),0)</f>
        <v/>
      </c>
    </row>
    <row r="1334" ht="15.75" customHeight="1" thickTop="1">
      <c r="H1334" s="192" t="n"/>
      <c r="I1334" s="773" t="n"/>
      <c r="J1334">
        <f>IF('House Count'!H1334="Y",IF('House Count'!F1334="RES-SFU",1,IF('House Count'!F1334="RES-MDU",1,IF('House Count'!F1334="RES-HOA",1,0))),0)</f>
        <v/>
      </c>
      <c r="K1334">
        <f>IF('House Count'!H1334="Y",IF('House Count'!F1334="COMM-SU",1,IF('House Count'!F1334="COM-MTU",1,IF('House Count'!F1334="ENT",1,0))),0)</f>
        <v/>
      </c>
    </row>
    <row r="1335">
      <c r="H1335" s="192" t="n"/>
      <c r="I1335" s="773" t="n"/>
      <c r="J1335">
        <f>IF('House Count'!H1335="Y",IF('House Count'!F1335="RES-SFU",1,IF('House Count'!F1335="RES-MDU",1,IF('House Count'!F1335="RES-HOA",1,0))),0)</f>
        <v/>
      </c>
      <c r="K1335">
        <f>IF('House Count'!H1335="Y",IF('House Count'!F1335="COMM-SU",1,IF('House Count'!F1335="COM-MTU",1,IF('House Count'!F1335="ENT",1,0))),0)</f>
        <v/>
      </c>
    </row>
    <row r="1336">
      <c r="H1336" s="192" t="n"/>
      <c r="I1336" s="773" t="n"/>
      <c r="J1336">
        <f>IF('House Count'!H1336="Y",IF('House Count'!F1336="RES-SFU",1,IF('House Count'!F1336="RES-MDU",1,IF('House Count'!F1336="RES-HOA",1,0))),0)</f>
        <v/>
      </c>
      <c r="K1336">
        <f>IF('House Count'!H1336="Y",IF('House Count'!F1336="COMM-SU",1,IF('House Count'!F1336="COM-MTU",1,IF('House Count'!F1336="ENT",1,0))),0)</f>
        <v/>
      </c>
    </row>
    <row r="1337">
      <c r="H1337" s="192" t="n"/>
      <c r="I1337" s="773" t="n"/>
      <c r="J1337">
        <f>IF('House Count'!H1337="Y",IF('House Count'!F1337="RES-SFU",1,IF('House Count'!F1337="RES-MDU",1,IF('House Count'!F1337="RES-HOA",1,0))),0)</f>
        <v/>
      </c>
      <c r="K1337">
        <f>IF('House Count'!H1337="Y",IF('House Count'!F1337="COMM-SU",1,IF('House Count'!F1337="COM-MTU",1,IF('House Count'!F1337="ENT",1,0))),0)</f>
        <v/>
      </c>
    </row>
    <row r="1338">
      <c r="H1338" s="192" t="n"/>
      <c r="I1338" s="773" t="n"/>
      <c r="J1338">
        <f>IF('House Count'!H1338="Y",IF('House Count'!F1338="RES-SFU",1,IF('House Count'!F1338="RES-MDU",1,IF('House Count'!F1338="RES-HOA",1,0))),0)</f>
        <v/>
      </c>
      <c r="K1338">
        <f>IF('House Count'!H1338="Y",IF('House Count'!F1338="COMM-SU",1,IF('House Count'!F1338="COM-MTU",1,IF('House Count'!F1338="ENT",1,0))),0)</f>
        <v/>
      </c>
    </row>
    <row r="1339">
      <c r="H1339" s="192" t="n"/>
      <c r="I1339" s="773" t="n"/>
      <c r="J1339">
        <f>IF('House Count'!H1339="Y",IF('House Count'!F1339="RES-SFU",1,IF('House Count'!F1339="RES-MDU",1,IF('House Count'!F1339="RES-HOA",1,0))),0)</f>
        <v/>
      </c>
      <c r="K1339">
        <f>IF('House Count'!H1339="Y",IF('House Count'!F1339="COMM-SU",1,IF('House Count'!F1339="COM-MTU",1,IF('House Count'!F1339="ENT",1,0))),0)</f>
        <v/>
      </c>
    </row>
    <row r="1340">
      <c r="H1340" s="192" t="n"/>
      <c r="I1340" s="773" t="n"/>
      <c r="J1340">
        <f>IF('House Count'!H1340="Y",IF('House Count'!F1340="RES-SFU",1,IF('House Count'!F1340="RES-MDU",1,IF('House Count'!F1340="RES-HOA",1,0))),0)</f>
        <v/>
      </c>
      <c r="K1340">
        <f>IF('House Count'!H1340="Y",IF('House Count'!F1340="COMM-SU",1,IF('House Count'!F1340="COM-MTU",1,IF('House Count'!F1340="ENT",1,0))),0)</f>
        <v/>
      </c>
    </row>
    <row r="1341">
      <c r="H1341" s="192" t="n"/>
      <c r="I1341" s="773" t="n"/>
      <c r="J1341">
        <f>IF('House Count'!H1341="Y",IF('House Count'!F1341="RES-SFU",1,IF('House Count'!F1341="RES-MDU",1,IF('House Count'!F1341="RES-HOA",1,0))),0)</f>
        <v/>
      </c>
      <c r="K1341">
        <f>IF('House Count'!H1341="Y",IF('House Count'!F1341="COMM-SU",1,IF('House Count'!F1341="COM-MTU",1,IF('House Count'!F1341="ENT",1,0))),0)</f>
        <v/>
      </c>
    </row>
    <row r="1342">
      <c r="H1342" s="192" t="n"/>
      <c r="I1342" s="773" t="n"/>
      <c r="J1342">
        <f>IF('House Count'!H1342="Y",IF('House Count'!F1342="RES-SFU",1,IF('House Count'!F1342="RES-MDU",1,IF('House Count'!F1342="RES-HOA",1,0))),0)</f>
        <v/>
      </c>
      <c r="K1342">
        <f>IF('House Count'!H1342="Y",IF('House Count'!F1342="COMM-SU",1,IF('House Count'!F1342="COM-MTU",1,IF('House Count'!F1342="ENT",1,0))),0)</f>
        <v/>
      </c>
    </row>
    <row r="1343">
      <c r="H1343" s="192" t="n"/>
      <c r="I1343" s="773" t="n"/>
      <c r="J1343">
        <f>IF('House Count'!H1343="Y",IF('House Count'!F1343="RES-SFU",1,IF('House Count'!F1343="RES-MDU",1,IF('House Count'!F1343="RES-HOA",1,0))),0)</f>
        <v/>
      </c>
      <c r="K1343">
        <f>IF('House Count'!H1343="Y",IF('House Count'!F1343="COMM-SU",1,IF('House Count'!F1343="COM-MTU",1,IF('House Count'!F1343="ENT",1,0))),0)</f>
        <v/>
      </c>
    </row>
    <row r="1344">
      <c r="H1344" s="192" t="n"/>
      <c r="I1344" s="773" t="n"/>
      <c r="J1344">
        <f>IF('House Count'!H1344="Y",IF('House Count'!F1344="RES-SFU",1,IF('House Count'!F1344="RES-MDU",1,IF('House Count'!F1344="RES-HOA",1,0))),0)</f>
        <v/>
      </c>
      <c r="K1344">
        <f>IF('House Count'!H1344="Y",IF('House Count'!F1344="COMM-SU",1,IF('House Count'!F1344="COM-MTU",1,IF('House Count'!F1344="ENT",1,0))),0)</f>
        <v/>
      </c>
    </row>
    <row r="1345" ht="15.75" customHeight="1" thickBot="1">
      <c r="A1345" s="774" t="n"/>
      <c r="B1345" s="774" t="n"/>
      <c r="C1345" s="774" t="n"/>
      <c r="D1345" s="774" t="n"/>
      <c r="E1345" s="774" t="n"/>
      <c r="F1345" s="774" t="n"/>
      <c r="G1345" s="774" t="n"/>
      <c r="H1345" s="774" t="n"/>
      <c r="I1345" s="775" t="n"/>
      <c r="J1345">
        <f>IF('House Count'!H1345="Y",IF('House Count'!F1345="RES-SFU",1,IF('House Count'!F1345="RES-MDU",1,IF('House Count'!F1345="RES-HOA",1,0))),0)</f>
        <v/>
      </c>
      <c r="K1345">
        <f>IF('House Count'!H1345="Y",IF('House Count'!F1345="COMM-SU",1,IF('House Count'!F1345="COM-MTU",1,IF('House Count'!F1345="ENT",1,0))),0)</f>
        <v/>
      </c>
    </row>
    <row r="1346" ht="15.75" customHeight="1" thickTop="1">
      <c r="H1346" s="192" t="n"/>
      <c r="I1346" s="773" t="n"/>
      <c r="J1346">
        <f>IF('House Count'!H1346="Y",IF('House Count'!F1346="RES-SFU",1,IF('House Count'!F1346="RES-MDU",1,IF('House Count'!F1346="RES-HOA",1,0))),0)</f>
        <v/>
      </c>
      <c r="K1346">
        <f>IF('House Count'!H1346="Y",IF('House Count'!F1346="COMM-SU",1,IF('House Count'!F1346="COM-MTU",1,IF('House Count'!F1346="ENT",1,0))),0)</f>
        <v/>
      </c>
    </row>
    <row r="1347">
      <c r="H1347" s="192" t="n"/>
      <c r="I1347" s="773" t="n"/>
      <c r="J1347">
        <f>IF('House Count'!H1347="Y",IF('House Count'!F1347="RES-SFU",1,IF('House Count'!F1347="RES-MDU",1,IF('House Count'!F1347="RES-HOA",1,0))),0)</f>
        <v/>
      </c>
      <c r="K1347">
        <f>IF('House Count'!H1347="Y",IF('House Count'!F1347="COMM-SU",1,IF('House Count'!F1347="COM-MTU",1,IF('House Count'!F1347="ENT",1,0))),0)</f>
        <v/>
      </c>
    </row>
    <row r="1348">
      <c r="H1348" s="192" t="n"/>
      <c r="I1348" s="773" t="n"/>
      <c r="J1348">
        <f>IF('House Count'!H1348="Y",IF('House Count'!F1348="RES-SFU",1,IF('House Count'!F1348="RES-MDU",1,IF('House Count'!F1348="RES-HOA",1,0))),0)</f>
        <v/>
      </c>
      <c r="K1348">
        <f>IF('House Count'!H1348="Y",IF('House Count'!F1348="COMM-SU",1,IF('House Count'!F1348="COM-MTU",1,IF('House Count'!F1348="ENT",1,0))),0)</f>
        <v/>
      </c>
    </row>
    <row r="1349">
      <c r="H1349" s="192" t="n"/>
      <c r="I1349" s="773" t="n"/>
      <c r="J1349">
        <f>IF('House Count'!H1349="Y",IF('House Count'!F1349="RES-SFU",1,IF('House Count'!F1349="RES-MDU",1,IF('House Count'!F1349="RES-HOA",1,0))),0)</f>
        <v/>
      </c>
      <c r="K1349">
        <f>IF('House Count'!H1349="Y",IF('House Count'!F1349="COMM-SU",1,IF('House Count'!F1349="COM-MTU",1,IF('House Count'!F1349="ENT",1,0))),0)</f>
        <v/>
      </c>
    </row>
    <row r="1350">
      <c r="H1350" s="192" t="n"/>
      <c r="I1350" s="773" t="n"/>
      <c r="J1350">
        <f>IF('House Count'!H1350="Y",IF('House Count'!F1350="RES-SFU",1,IF('House Count'!F1350="RES-MDU",1,IF('House Count'!F1350="RES-HOA",1,0))),0)</f>
        <v/>
      </c>
      <c r="K1350">
        <f>IF('House Count'!H1350="Y",IF('House Count'!F1350="COMM-SU",1,IF('House Count'!F1350="COM-MTU",1,IF('House Count'!F1350="ENT",1,0))),0)</f>
        <v/>
      </c>
    </row>
    <row r="1351">
      <c r="H1351" s="192" t="n"/>
      <c r="I1351" s="773" t="n"/>
      <c r="J1351">
        <f>IF('House Count'!H1351="Y",IF('House Count'!F1351="RES-SFU",1,IF('House Count'!F1351="RES-MDU",1,IF('House Count'!F1351="RES-HOA",1,0))),0)</f>
        <v/>
      </c>
      <c r="K1351">
        <f>IF('House Count'!H1351="Y",IF('House Count'!F1351="COMM-SU",1,IF('House Count'!F1351="COM-MTU",1,IF('House Count'!F1351="ENT",1,0))),0)</f>
        <v/>
      </c>
    </row>
    <row r="1352">
      <c r="H1352" s="192" t="n"/>
      <c r="I1352" s="773" t="n"/>
      <c r="J1352">
        <f>IF('House Count'!H1352="Y",IF('House Count'!F1352="RES-SFU",1,IF('House Count'!F1352="RES-MDU",1,IF('House Count'!F1352="RES-HOA",1,0))),0)</f>
        <v/>
      </c>
      <c r="K1352">
        <f>IF('House Count'!H1352="Y",IF('House Count'!F1352="COMM-SU",1,IF('House Count'!F1352="COM-MTU",1,IF('House Count'!F1352="ENT",1,0))),0)</f>
        <v/>
      </c>
    </row>
    <row r="1353">
      <c r="H1353" s="192" t="n"/>
      <c r="I1353" s="773" t="n"/>
      <c r="J1353">
        <f>IF('House Count'!H1353="Y",IF('House Count'!F1353="RES-SFU",1,IF('House Count'!F1353="RES-MDU",1,IF('House Count'!F1353="RES-HOA",1,0))),0)</f>
        <v/>
      </c>
      <c r="K1353">
        <f>IF('House Count'!H1353="Y",IF('House Count'!F1353="COMM-SU",1,IF('House Count'!F1353="COM-MTU",1,IF('House Count'!F1353="ENT",1,0))),0)</f>
        <v/>
      </c>
    </row>
    <row r="1354">
      <c r="H1354" s="192" t="n"/>
      <c r="I1354" s="773" t="n"/>
      <c r="J1354">
        <f>IF('House Count'!H1354="Y",IF('House Count'!F1354="RES-SFU",1,IF('House Count'!F1354="RES-MDU",1,IF('House Count'!F1354="RES-HOA",1,0))),0)</f>
        <v/>
      </c>
      <c r="K1354">
        <f>IF('House Count'!H1354="Y",IF('House Count'!F1354="COMM-SU",1,IF('House Count'!F1354="COM-MTU",1,IF('House Count'!F1354="ENT",1,0))),0)</f>
        <v/>
      </c>
    </row>
    <row r="1355">
      <c r="H1355" s="192" t="n"/>
      <c r="I1355" s="773" t="n"/>
      <c r="J1355">
        <f>IF('House Count'!H1355="Y",IF('House Count'!F1355="RES-SFU",1,IF('House Count'!F1355="RES-MDU",1,IF('House Count'!F1355="RES-HOA",1,0))),0)</f>
        <v/>
      </c>
      <c r="K1355">
        <f>IF('House Count'!H1355="Y",IF('House Count'!F1355="COMM-SU",1,IF('House Count'!F1355="COM-MTU",1,IF('House Count'!F1355="ENT",1,0))),0)</f>
        <v/>
      </c>
    </row>
    <row r="1356">
      <c r="H1356" s="192" t="n"/>
      <c r="I1356" s="773" t="n"/>
      <c r="J1356">
        <f>IF('House Count'!H1356="Y",IF('House Count'!F1356="RES-SFU",1,IF('House Count'!F1356="RES-MDU",1,IF('House Count'!F1356="RES-HOA",1,0))),0)</f>
        <v/>
      </c>
      <c r="K1356">
        <f>IF('House Count'!H1356="Y",IF('House Count'!F1356="COMM-SU",1,IF('House Count'!F1356="COM-MTU",1,IF('House Count'!F1356="ENT",1,0))),0)</f>
        <v/>
      </c>
    </row>
    <row r="1357" ht="15.75" customHeight="1" thickBot="1">
      <c r="A1357" s="774" t="n"/>
      <c r="B1357" s="774" t="n"/>
      <c r="C1357" s="774" t="n"/>
      <c r="D1357" s="774" t="n"/>
      <c r="E1357" s="774" t="n"/>
      <c r="F1357" s="774" t="n"/>
      <c r="G1357" s="774" t="n"/>
      <c r="H1357" s="774" t="n"/>
      <c r="I1357" s="775" t="n"/>
      <c r="J1357">
        <f>IF('House Count'!H1357="Y",IF('House Count'!F1357="RES-SFU",1,IF('House Count'!F1357="RES-MDU",1,IF('House Count'!F1357="RES-HOA",1,0))),0)</f>
        <v/>
      </c>
      <c r="K1357">
        <f>IF('House Count'!H1357="Y",IF('House Count'!F1357="COMM-SU",1,IF('House Count'!F1357="COM-MTU",1,IF('House Count'!F1357="ENT",1,0))),0)</f>
        <v/>
      </c>
    </row>
    <row r="1358" ht="15.75" customHeight="1" thickTop="1">
      <c r="H1358" s="192" t="n"/>
      <c r="I1358" s="773" t="n"/>
      <c r="J1358">
        <f>IF('House Count'!H1358="Y",IF('House Count'!F1358="RES-SFU",1,IF('House Count'!F1358="RES-MDU",1,IF('House Count'!F1358="RES-HOA",1,0))),0)</f>
        <v/>
      </c>
      <c r="K1358">
        <f>IF('House Count'!H1358="Y",IF('House Count'!F1358="COMM-SU",1,IF('House Count'!F1358="COM-MTU",1,IF('House Count'!F1358="ENT",1,0))),0)</f>
        <v/>
      </c>
    </row>
    <row r="1359">
      <c r="H1359" s="192" t="n"/>
      <c r="I1359" s="773" t="n"/>
      <c r="J1359">
        <f>IF('House Count'!H1359="Y",IF('House Count'!F1359="RES-SFU",1,IF('House Count'!F1359="RES-MDU",1,IF('House Count'!F1359="RES-HOA",1,0))),0)</f>
        <v/>
      </c>
      <c r="K1359">
        <f>IF('House Count'!H1359="Y",IF('House Count'!F1359="COMM-SU",1,IF('House Count'!F1359="COM-MTU",1,IF('House Count'!F1359="ENT",1,0))),0)</f>
        <v/>
      </c>
    </row>
    <row r="1360">
      <c r="H1360" s="192" t="n"/>
      <c r="I1360" s="773" t="n"/>
      <c r="J1360">
        <f>IF('House Count'!H1360="Y",IF('House Count'!F1360="RES-SFU",1,IF('House Count'!F1360="RES-MDU",1,IF('House Count'!F1360="RES-HOA",1,0))),0)</f>
        <v/>
      </c>
      <c r="K1360">
        <f>IF('House Count'!H1360="Y",IF('House Count'!F1360="COMM-SU",1,IF('House Count'!F1360="COM-MTU",1,IF('House Count'!F1360="ENT",1,0))),0)</f>
        <v/>
      </c>
    </row>
    <row r="1361">
      <c r="H1361" s="192" t="n"/>
      <c r="I1361" s="773" t="n"/>
      <c r="J1361">
        <f>IF('House Count'!H1361="Y",IF('House Count'!F1361="RES-SFU",1,IF('House Count'!F1361="RES-MDU",1,IF('House Count'!F1361="RES-HOA",1,0))),0)</f>
        <v/>
      </c>
      <c r="K1361">
        <f>IF('House Count'!H1361="Y",IF('House Count'!F1361="COMM-SU",1,IF('House Count'!F1361="COM-MTU",1,IF('House Count'!F1361="ENT",1,0))),0)</f>
        <v/>
      </c>
    </row>
    <row r="1362">
      <c r="H1362" s="192" t="n"/>
      <c r="I1362" s="773" t="n"/>
      <c r="J1362">
        <f>IF('House Count'!H1362="Y",IF('House Count'!F1362="RES-SFU",1,IF('House Count'!F1362="RES-MDU",1,IF('House Count'!F1362="RES-HOA",1,0))),0)</f>
        <v/>
      </c>
      <c r="K1362">
        <f>IF('House Count'!H1362="Y",IF('House Count'!F1362="COMM-SU",1,IF('House Count'!F1362="COM-MTU",1,IF('House Count'!F1362="ENT",1,0))),0)</f>
        <v/>
      </c>
    </row>
    <row r="1363">
      <c r="H1363" s="192" t="n"/>
      <c r="I1363" s="773" t="n"/>
      <c r="J1363">
        <f>IF('House Count'!H1363="Y",IF('House Count'!F1363="RES-SFU",1,IF('House Count'!F1363="RES-MDU",1,IF('House Count'!F1363="RES-HOA",1,0))),0)</f>
        <v/>
      </c>
      <c r="K1363">
        <f>IF('House Count'!H1363="Y",IF('House Count'!F1363="COMM-SU",1,IF('House Count'!F1363="COM-MTU",1,IF('House Count'!F1363="ENT",1,0))),0)</f>
        <v/>
      </c>
    </row>
    <row r="1364">
      <c r="H1364" s="192" t="n"/>
      <c r="I1364" s="773" t="n"/>
      <c r="J1364">
        <f>IF('House Count'!H1364="Y",IF('House Count'!F1364="RES-SFU",1,IF('House Count'!F1364="RES-MDU",1,IF('House Count'!F1364="RES-HOA",1,0))),0)</f>
        <v/>
      </c>
      <c r="K1364">
        <f>IF('House Count'!H1364="Y",IF('House Count'!F1364="COMM-SU",1,IF('House Count'!F1364="COM-MTU",1,IF('House Count'!F1364="ENT",1,0))),0)</f>
        <v/>
      </c>
    </row>
    <row r="1365">
      <c r="H1365" s="192" t="n"/>
      <c r="I1365" s="773" t="n"/>
      <c r="J1365">
        <f>IF('House Count'!H1365="Y",IF('House Count'!F1365="RES-SFU",1,IF('House Count'!F1365="RES-MDU",1,IF('House Count'!F1365="RES-HOA",1,0))),0)</f>
        <v/>
      </c>
      <c r="K1365">
        <f>IF('House Count'!H1365="Y",IF('House Count'!F1365="COMM-SU",1,IF('House Count'!F1365="COM-MTU",1,IF('House Count'!F1365="ENT",1,0))),0)</f>
        <v/>
      </c>
    </row>
    <row r="1366">
      <c r="H1366" s="192" t="n"/>
      <c r="I1366" s="773" t="n"/>
      <c r="J1366">
        <f>IF('House Count'!H1366="Y",IF('House Count'!F1366="RES-SFU",1,IF('House Count'!F1366="RES-MDU",1,IF('House Count'!F1366="RES-HOA",1,0))),0)</f>
        <v/>
      </c>
      <c r="K1366">
        <f>IF('House Count'!H1366="Y",IF('House Count'!F1366="COMM-SU",1,IF('House Count'!F1366="COM-MTU",1,IF('House Count'!F1366="ENT",1,0))),0)</f>
        <v/>
      </c>
    </row>
    <row r="1367">
      <c r="H1367" s="192" t="n"/>
      <c r="I1367" s="773" t="n"/>
      <c r="J1367">
        <f>IF('House Count'!H1367="Y",IF('House Count'!F1367="RES-SFU",1,IF('House Count'!F1367="RES-MDU",1,IF('House Count'!F1367="RES-HOA",1,0))),0)</f>
        <v/>
      </c>
      <c r="K1367">
        <f>IF('House Count'!H1367="Y",IF('House Count'!F1367="COMM-SU",1,IF('House Count'!F1367="COM-MTU",1,IF('House Count'!F1367="ENT",1,0))),0)</f>
        <v/>
      </c>
    </row>
    <row r="1368">
      <c r="H1368" s="192" t="n"/>
      <c r="I1368" s="773" t="n"/>
      <c r="J1368">
        <f>IF('House Count'!H1368="Y",IF('House Count'!F1368="RES-SFU",1,IF('House Count'!F1368="RES-MDU",1,IF('House Count'!F1368="RES-HOA",1,0))),0)</f>
        <v/>
      </c>
      <c r="K1368">
        <f>IF('House Count'!H1368="Y",IF('House Count'!F1368="COMM-SU",1,IF('House Count'!F1368="COM-MTU",1,IF('House Count'!F1368="ENT",1,0))),0)</f>
        <v/>
      </c>
    </row>
    <row r="1369" ht="15.75" customHeight="1" thickBot="1">
      <c r="A1369" s="774" t="n"/>
      <c r="B1369" s="774" t="n"/>
      <c r="C1369" s="774" t="n"/>
      <c r="D1369" s="774" t="n"/>
      <c r="E1369" s="774" t="n"/>
      <c r="F1369" s="774" t="n"/>
      <c r="G1369" s="774" t="n"/>
      <c r="H1369" s="774" t="n"/>
      <c r="I1369" s="775" t="n"/>
      <c r="J1369">
        <f>IF('House Count'!H1369="Y",IF('House Count'!F1369="RES-SFU",1,IF('House Count'!F1369="RES-MDU",1,IF('House Count'!F1369="RES-HOA",1,0))),0)</f>
        <v/>
      </c>
      <c r="K1369">
        <f>IF('House Count'!H1369="Y",IF('House Count'!F1369="COMM-SU",1,IF('House Count'!F1369="COM-MTU",1,IF('House Count'!F1369="ENT",1,0))),0)</f>
        <v/>
      </c>
    </row>
    <row r="1370" ht="15.75" customHeight="1" thickTop="1">
      <c r="H1370" s="192" t="n"/>
      <c r="I1370" s="773" t="n"/>
      <c r="J1370">
        <f>IF('House Count'!H1370="Y",IF('House Count'!F1370="RES-SFU",1,IF('House Count'!F1370="RES-MDU",1,IF('House Count'!F1370="RES-HOA",1,0))),0)</f>
        <v/>
      </c>
      <c r="K1370">
        <f>IF('House Count'!H1370="Y",IF('House Count'!F1370="COMM-SU",1,IF('House Count'!F1370="COM-MTU",1,IF('House Count'!F1370="ENT",1,0))),0)</f>
        <v/>
      </c>
    </row>
    <row r="1371">
      <c r="H1371" s="192" t="n"/>
      <c r="I1371" s="773" t="n"/>
      <c r="J1371">
        <f>IF('House Count'!H1371="Y",IF('House Count'!F1371="RES-SFU",1,IF('House Count'!F1371="RES-MDU",1,IF('House Count'!F1371="RES-HOA",1,0))),0)</f>
        <v/>
      </c>
      <c r="K1371">
        <f>IF('House Count'!H1371="Y",IF('House Count'!F1371="COMM-SU",1,IF('House Count'!F1371="COM-MTU",1,IF('House Count'!F1371="ENT",1,0))),0)</f>
        <v/>
      </c>
    </row>
    <row r="1372">
      <c r="H1372" s="192" t="n"/>
      <c r="I1372" s="773" t="n"/>
      <c r="J1372">
        <f>IF('House Count'!H1372="Y",IF('House Count'!F1372="RES-SFU",1,IF('House Count'!F1372="RES-MDU",1,IF('House Count'!F1372="RES-HOA",1,0))),0)</f>
        <v/>
      </c>
      <c r="K1372">
        <f>IF('House Count'!H1372="Y",IF('House Count'!F1372="COMM-SU",1,IF('House Count'!F1372="COM-MTU",1,IF('House Count'!F1372="ENT",1,0))),0)</f>
        <v/>
      </c>
    </row>
    <row r="1373">
      <c r="H1373" s="192" t="n"/>
      <c r="I1373" s="773" t="n"/>
      <c r="J1373">
        <f>IF('House Count'!H1373="Y",IF('House Count'!F1373="RES-SFU",1,IF('House Count'!F1373="RES-MDU",1,IF('House Count'!F1373="RES-HOA",1,0))),0)</f>
        <v/>
      </c>
      <c r="K1373">
        <f>IF('House Count'!H1373="Y",IF('House Count'!F1373="COMM-SU",1,IF('House Count'!F1373="COM-MTU",1,IF('House Count'!F1373="ENT",1,0))),0)</f>
        <v/>
      </c>
    </row>
    <row r="1374">
      <c r="H1374" s="192" t="n"/>
      <c r="I1374" s="773" t="n"/>
      <c r="J1374">
        <f>IF('House Count'!H1374="Y",IF('House Count'!F1374="RES-SFU",1,IF('House Count'!F1374="RES-MDU",1,IF('House Count'!F1374="RES-HOA",1,0))),0)</f>
        <v/>
      </c>
      <c r="K1374">
        <f>IF('House Count'!H1374="Y",IF('House Count'!F1374="COMM-SU",1,IF('House Count'!F1374="COM-MTU",1,IF('House Count'!F1374="ENT",1,0))),0)</f>
        <v/>
      </c>
    </row>
    <row r="1375">
      <c r="H1375" s="192" t="n"/>
      <c r="I1375" s="773" t="n"/>
      <c r="J1375">
        <f>IF('House Count'!H1375="Y",IF('House Count'!F1375="RES-SFU",1,IF('House Count'!F1375="RES-MDU",1,IF('House Count'!F1375="RES-HOA",1,0))),0)</f>
        <v/>
      </c>
      <c r="K1375">
        <f>IF('House Count'!H1375="Y",IF('House Count'!F1375="COMM-SU",1,IF('House Count'!F1375="COM-MTU",1,IF('House Count'!F1375="ENT",1,0))),0)</f>
        <v/>
      </c>
    </row>
    <row r="1376">
      <c r="H1376" s="192" t="n"/>
      <c r="I1376" s="773" t="n"/>
      <c r="J1376">
        <f>IF('House Count'!H1376="Y",IF('House Count'!F1376="RES-SFU",1,IF('House Count'!F1376="RES-MDU",1,IF('House Count'!F1376="RES-HOA",1,0))),0)</f>
        <v/>
      </c>
      <c r="K1376">
        <f>IF('House Count'!H1376="Y",IF('House Count'!F1376="COMM-SU",1,IF('House Count'!F1376="COM-MTU",1,IF('House Count'!F1376="ENT",1,0))),0)</f>
        <v/>
      </c>
    </row>
    <row r="1377">
      <c r="H1377" s="192" t="n"/>
      <c r="I1377" s="773" t="n"/>
      <c r="J1377">
        <f>IF('House Count'!H1377="Y",IF('House Count'!F1377="RES-SFU",1,IF('House Count'!F1377="RES-MDU",1,IF('House Count'!F1377="RES-HOA",1,0))),0)</f>
        <v/>
      </c>
      <c r="K1377">
        <f>IF('House Count'!H1377="Y",IF('House Count'!F1377="COMM-SU",1,IF('House Count'!F1377="COM-MTU",1,IF('House Count'!F1377="ENT",1,0))),0)</f>
        <v/>
      </c>
    </row>
    <row r="1378">
      <c r="H1378" s="192" t="n"/>
      <c r="I1378" s="773" t="n"/>
      <c r="J1378">
        <f>IF('House Count'!H1378="Y",IF('House Count'!F1378="RES-SFU",1,IF('House Count'!F1378="RES-MDU",1,IF('House Count'!F1378="RES-HOA",1,0))),0)</f>
        <v/>
      </c>
      <c r="K1378">
        <f>IF('House Count'!H1378="Y",IF('House Count'!F1378="COMM-SU",1,IF('House Count'!F1378="COM-MTU",1,IF('House Count'!F1378="ENT",1,0))),0)</f>
        <v/>
      </c>
    </row>
    <row r="1379">
      <c r="H1379" s="192" t="n"/>
      <c r="I1379" s="773" t="n"/>
      <c r="J1379">
        <f>IF('House Count'!H1379="Y",IF('House Count'!F1379="RES-SFU",1,IF('House Count'!F1379="RES-MDU",1,IF('House Count'!F1379="RES-HOA",1,0))),0)</f>
        <v/>
      </c>
      <c r="K1379">
        <f>IF('House Count'!H1379="Y",IF('House Count'!F1379="COMM-SU",1,IF('House Count'!F1379="COM-MTU",1,IF('House Count'!F1379="ENT",1,0))),0)</f>
        <v/>
      </c>
    </row>
    <row r="1380">
      <c r="H1380" s="192" t="n"/>
      <c r="I1380" s="773" t="n"/>
      <c r="J1380">
        <f>IF('House Count'!H1380="Y",IF('House Count'!F1380="RES-SFU",1,IF('House Count'!F1380="RES-MDU",1,IF('House Count'!F1380="RES-HOA",1,0))),0)</f>
        <v/>
      </c>
      <c r="K1380">
        <f>IF('House Count'!H1380="Y",IF('House Count'!F1380="COMM-SU",1,IF('House Count'!F1380="COM-MTU",1,IF('House Count'!F1380="ENT",1,0))),0)</f>
        <v/>
      </c>
    </row>
    <row r="1381" ht="15.75" customHeight="1" thickBot="1">
      <c r="A1381" s="774" t="n"/>
      <c r="B1381" s="774" t="n"/>
      <c r="C1381" s="774" t="n"/>
      <c r="D1381" s="774" t="n"/>
      <c r="E1381" s="774" t="n"/>
      <c r="F1381" s="774" t="n"/>
      <c r="G1381" s="774" t="n"/>
      <c r="H1381" s="774" t="n"/>
      <c r="I1381" s="775" t="n"/>
      <c r="J1381">
        <f>IF('House Count'!H1381="Y",IF('House Count'!F1381="RES-SFU",1,IF('House Count'!F1381="RES-MDU",1,IF('House Count'!F1381="RES-HOA",1,0))),0)</f>
        <v/>
      </c>
      <c r="K1381">
        <f>IF('House Count'!H1381="Y",IF('House Count'!F1381="COMM-SU",1,IF('House Count'!F1381="COM-MTU",1,IF('House Count'!F1381="ENT",1,0))),0)</f>
        <v/>
      </c>
    </row>
    <row r="1382" ht="15.75" customHeight="1" thickTop="1">
      <c r="H1382" s="192" t="n"/>
      <c r="I1382" s="773" t="n"/>
      <c r="J1382">
        <f>IF('House Count'!H1382="Y",IF('House Count'!F1382="RES-SFU",1,IF('House Count'!F1382="RES-MDU",1,IF('House Count'!F1382="RES-HOA",1,0))),0)</f>
        <v/>
      </c>
      <c r="K1382">
        <f>IF('House Count'!H1382="Y",IF('House Count'!F1382="COMM-SU",1,IF('House Count'!F1382="COM-MTU",1,IF('House Count'!F1382="ENT",1,0))),0)</f>
        <v/>
      </c>
    </row>
    <row r="1383">
      <c r="H1383" s="192" t="n"/>
      <c r="I1383" s="773" t="n"/>
      <c r="J1383">
        <f>IF('House Count'!H1383="Y",IF('House Count'!F1383="RES-SFU",1,IF('House Count'!F1383="RES-MDU",1,IF('House Count'!F1383="RES-HOA",1,0))),0)</f>
        <v/>
      </c>
      <c r="K1383">
        <f>IF('House Count'!H1383="Y",IF('House Count'!F1383="COMM-SU",1,IF('House Count'!F1383="COM-MTU",1,IF('House Count'!F1383="ENT",1,0))),0)</f>
        <v/>
      </c>
    </row>
    <row r="1384">
      <c r="H1384" s="192" t="n"/>
      <c r="I1384" s="773" t="n"/>
      <c r="J1384">
        <f>IF('House Count'!H1384="Y",IF('House Count'!F1384="RES-SFU",1,IF('House Count'!F1384="RES-MDU",1,IF('House Count'!F1384="RES-HOA",1,0))),0)</f>
        <v/>
      </c>
      <c r="K1384">
        <f>IF('House Count'!H1384="Y",IF('House Count'!F1384="COMM-SU",1,IF('House Count'!F1384="COM-MTU",1,IF('House Count'!F1384="ENT",1,0))),0)</f>
        <v/>
      </c>
    </row>
    <row r="1385">
      <c r="H1385" s="192" t="n"/>
      <c r="I1385" s="773" t="n"/>
      <c r="J1385">
        <f>IF('House Count'!H1385="Y",IF('House Count'!F1385="RES-SFU",1,IF('House Count'!F1385="RES-MDU",1,IF('House Count'!F1385="RES-HOA",1,0))),0)</f>
        <v/>
      </c>
      <c r="K1385">
        <f>IF('House Count'!H1385="Y",IF('House Count'!F1385="COMM-SU",1,IF('House Count'!F1385="COM-MTU",1,IF('House Count'!F1385="ENT",1,0))),0)</f>
        <v/>
      </c>
    </row>
    <row r="1386">
      <c r="H1386" s="192" t="n"/>
      <c r="I1386" s="773" t="n"/>
      <c r="J1386">
        <f>IF('House Count'!H1386="Y",IF('House Count'!F1386="RES-SFU",1,IF('House Count'!F1386="RES-MDU",1,IF('House Count'!F1386="RES-HOA",1,0))),0)</f>
        <v/>
      </c>
      <c r="K1386">
        <f>IF('House Count'!H1386="Y",IF('House Count'!F1386="COMM-SU",1,IF('House Count'!F1386="COM-MTU",1,IF('House Count'!F1386="ENT",1,0))),0)</f>
        <v/>
      </c>
    </row>
    <row r="1387">
      <c r="H1387" s="192" t="n"/>
      <c r="I1387" s="773" t="n"/>
      <c r="J1387">
        <f>IF('House Count'!H1387="Y",IF('House Count'!F1387="RES-SFU",1,IF('House Count'!F1387="RES-MDU",1,IF('House Count'!F1387="RES-HOA",1,0))),0)</f>
        <v/>
      </c>
      <c r="K1387">
        <f>IF('House Count'!H1387="Y",IF('House Count'!F1387="COMM-SU",1,IF('House Count'!F1387="COM-MTU",1,IF('House Count'!F1387="ENT",1,0))),0)</f>
        <v/>
      </c>
    </row>
    <row r="1388">
      <c r="H1388" s="192" t="n"/>
      <c r="I1388" s="773" t="n"/>
      <c r="J1388">
        <f>IF('House Count'!H1388="Y",IF('House Count'!F1388="RES-SFU",1,IF('House Count'!F1388="RES-MDU",1,IF('House Count'!F1388="RES-HOA",1,0))),0)</f>
        <v/>
      </c>
      <c r="K1388">
        <f>IF('House Count'!H1388="Y",IF('House Count'!F1388="COMM-SU",1,IF('House Count'!F1388="COM-MTU",1,IF('House Count'!F1388="ENT",1,0))),0)</f>
        <v/>
      </c>
    </row>
    <row r="1389">
      <c r="H1389" s="192" t="n"/>
      <c r="I1389" s="773" t="n"/>
      <c r="J1389">
        <f>IF('House Count'!H1389="Y",IF('House Count'!F1389="RES-SFU",1,IF('House Count'!F1389="RES-MDU",1,IF('House Count'!F1389="RES-HOA",1,0))),0)</f>
        <v/>
      </c>
      <c r="K1389">
        <f>IF('House Count'!H1389="Y",IF('House Count'!F1389="COMM-SU",1,IF('House Count'!F1389="COM-MTU",1,IF('House Count'!F1389="ENT",1,0))),0)</f>
        <v/>
      </c>
    </row>
    <row r="1390">
      <c r="H1390" s="192" t="n"/>
      <c r="I1390" s="773" t="n"/>
      <c r="J1390">
        <f>IF('House Count'!H1390="Y",IF('House Count'!F1390="RES-SFU",1,IF('House Count'!F1390="RES-MDU",1,IF('House Count'!F1390="RES-HOA",1,0))),0)</f>
        <v/>
      </c>
      <c r="K1390">
        <f>IF('House Count'!H1390="Y",IF('House Count'!F1390="COMM-SU",1,IF('House Count'!F1390="COM-MTU",1,IF('House Count'!F1390="ENT",1,0))),0)</f>
        <v/>
      </c>
    </row>
    <row r="1391">
      <c r="H1391" s="192" t="n"/>
      <c r="I1391" s="773" t="n"/>
      <c r="J1391">
        <f>IF('House Count'!H1391="Y",IF('House Count'!F1391="RES-SFU",1,IF('House Count'!F1391="RES-MDU",1,IF('House Count'!F1391="RES-HOA",1,0))),0)</f>
        <v/>
      </c>
      <c r="K1391">
        <f>IF('House Count'!H1391="Y",IF('House Count'!F1391="COMM-SU",1,IF('House Count'!F1391="COM-MTU",1,IF('House Count'!F1391="ENT",1,0))),0)</f>
        <v/>
      </c>
    </row>
    <row r="1392">
      <c r="H1392" s="192" t="n"/>
      <c r="I1392" s="773" t="n"/>
      <c r="J1392">
        <f>IF('House Count'!H1392="Y",IF('House Count'!F1392="RES-SFU",1,IF('House Count'!F1392="RES-MDU",1,IF('House Count'!F1392="RES-HOA",1,0))),0)</f>
        <v/>
      </c>
      <c r="K1392">
        <f>IF('House Count'!H1392="Y",IF('House Count'!F1392="COMM-SU",1,IF('House Count'!F1392="COM-MTU",1,IF('House Count'!F1392="ENT",1,0))),0)</f>
        <v/>
      </c>
    </row>
    <row r="1393" ht="15.75" customHeight="1" thickBot="1">
      <c r="A1393" s="774" t="n"/>
      <c r="B1393" s="774" t="n"/>
      <c r="C1393" s="774" t="n"/>
      <c r="D1393" s="774" t="n"/>
      <c r="E1393" s="774" t="n"/>
      <c r="F1393" s="774" t="n"/>
      <c r="G1393" s="774" t="n"/>
      <c r="H1393" s="774" t="n"/>
      <c r="I1393" s="775" t="n"/>
      <c r="J1393">
        <f>IF('House Count'!H1393="Y",IF('House Count'!F1393="RES-SFU",1,IF('House Count'!F1393="RES-MDU",1,IF('House Count'!F1393="RES-HOA",1,0))),0)</f>
        <v/>
      </c>
      <c r="K1393">
        <f>IF('House Count'!H1393="Y",IF('House Count'!F1393="COMM-SU",1,IF('House Count'!F1393="COM-MTU",1,IF('House Count'!F1393="ENT",1,0))),0)</f>
        <v/>
      </c>
    </row>
    <row r="1394" ht="15.75" customHeight="1" thickTop="1">
      <c r="H1394" s="192" t="n"/>
      <c r="I1394" s="773" t="n"/>
      <c r="J1394">
        <f>IF('House Count'!H1394="Y",IF('House Count'!F1394="RES-SFU",1,IF('House Count'!F1394="RES-MDU",1,IF('House Count'!F1394="RES-HOA",1,0))),0)</f>
        <v/>
      </c>
      <c r="K1394">
        <f>IF('House Count'!H1394="Y",IF('House Count'!F1394="COMM-SU",1,IF('House Count'!F1394="COM-MTU",1,IF('House Count'!F1394="ENT",1,0))),0)</f>
        <v/>
      </c>
    </row>
    <row r="1395">
      <c r="H1395" s="192" t="n"/>
      <c r="I1395" s="773" t="n"/>
      <c r="J1395">
        <f>IF('House Count'!H1395="Y",IF('House Count'!F1395="RES-SFU",1,IF('House Count'!F1395="RES-MDU",1,IF('House Count'!F1395="RES-HOA",1,0))),0)</f>
        <v/>
      </c>
      <c r="K1395">
        <f>IF('House Count'!H1395="Y",IF('House Count'!F1395="COMM-SU",1,IF('House Count'!F1395="COM-MTU",1,IF('House Count'!F1395="ENT",1,0))),0)</f>
        <v/>
      </c>
    </row>
    <row r="1396">
      <c r="H1396" s="192" t="n"/>
      <c r="I1396" s="773" t="n"/>
      <c r="J1396">
        <f>IF('House Count'!H1396="Y",IF('House Count'!F1396="RES-SFU",1,IF('House Count'!F1396="RES-MDU",1,IF('House Count'!F1396="RES-HOA",1,0))),0)</f>
        <v/>
      </c>
      <c r="K1396">
        <f>IF('House Count'!H1396="Y",IF('House Count'!F1396="COMM-SU",1,IF('House Count'!F1396="COM-MTU",1,IF('House Count'!F1396="ENT",1,0))),0)</f>
        <v/>
      </c>
    </row>
    <row r="1397">
      <c r="H1397" s="192" t="n"/>
      <c r="I1397" s="773" t="n"/>
      <c r="J1397">
        <f>IF('House Count'!H1397="Y",IF('House Count'!F1397="RES-SFU",1,IF('House Count'!F1397="RES-MDU",1,IF('House Count'!F1397="RES-HOA",1,0))),0)</f>
        <v/>
      </c>
      <c r="K1397">
        <f>IF('House Count'!H1397="Y",IF('House Count'!F1397="COMM-SU",1,IF('House Count'!F1397="COM-MTU",1,IF('House Count'!F1397="ENT",1,0))),0)</f>
        <v/>
      </c>
    </row>
    <row r="1398">
      <c r="H1398" s="192" t="n"/>
      <c r="I1398" s="773" t="n"/>
      <c r="J1398">
        <f>IF('House Count'!H1398="Y",IF('House Count'!F1398="RES-SFU",1,IF('House Count'!F1398="RES-MDU",1,IF('House Count'!F1398="RES-HOA",1,0))),0)</f>
        <v/>
      </c>
      <c r="K1398">
        <f>IF('House Count'!H1398="Y",IF('House Count'!F1398="COMM-SU",1,IF('House Count'!F1398="COM-MTU",1,IF('House Count'!F1398="ENT",1,0))),0)</f>
        <v/>
      </c>
    </row>
    <row r="1399">
      <c r="H1399" s="192" t="n"/>
      <c r="I1399" s="773" t="n"/>
      <c r="J1399">
        <f>IF('House Count'!H1399="Y",IF('House Count'!F1399="RES-SFU",1,IF('House Count'!F1399="RES-MDU",1,IF('House Count'!F1399="RES-HOA",1,0))),0)</f>
        <v/>
      </c>
      <c r="K1399">
        <f>IF('House Count'!H1399="Y",IF('House Count'!F1399="COMM-SU",1,IF('House Count'!F1399="COM-MTU",1,IF('House Count'!F1399="ENT",1,0))),0)</f>
        <v/>
      </c>
    </row>
    <row r="1400">
      <c r="H1400" s="192" t="n"/>
      <c r="I1400" s="773" t="n"/>
      <c r="J1400">
        <f>IF('House Count'!H1400="Y",IF('House Count'!F1400="RES-SFU",1,IF('House Count'!F1400="RES-MDU",1,IF('House Count'!F1400="RES-HOA",1,0))),0)</f>
        <v/>
      </c>
      <c r="K1400">
        <f>IF('House Count'!H1400="Y",IF('House Count'!F1400="COMM-SU",1,IF('House Count'!F1400="COM-MTU",1,IF('House Count'!F1400="ENT",1,0))),0)</f>
        <v/>
      </c>
    </row>
    <row r="1401">
      <c r="H1401" s="192" t="n"/>
      <c r="I1401" s="773" t="n"/>
      <c r="J1401">
        <f>IF('House Count'!H1401="Y",IF('House Count'!F1401="RES-SFU",1,IF('House Count'!F1401="RES-MDU",1,IF('House Count'!F1401="RES-HOA",1,0))),0)</f>
        <v/>
      </c>
      <c r="K1401">
        <f>IF('House Count'!H1401="Y",IF('House Count'!F1401="COMM-SU",1,IF('House Count'!F1401="COM-MTU",1,IF('House Count'!F1401="ENT",1,0))),0)</f>
        <v/>
      </c>
    </row>
    <row r="1402">
      <c r="H1402" s="192" t="n"/>
      <c r="I1402" s="773" t="n"/>
      <c r="J1402">
        <f>IF('House Count'!H1402="Y",IF('House Count'!F1402="RES-SFU",1,IF('House Count'!F1402="RES-MDU",1,IF('House Count'!F1402="RES-HOA",1,0))),0)</f>
        <v/>
      </c>
      <c r="K1402">
        <f>IF('House Count'!H1402="Y",IF('House Count'!F1402="COMM-SU",1,IF('House Count'!F1402="COM-MTU",1,IF('House Count'!F1402="ENT",1,0))),0)</f>
        <v/>
      </c>
    </row>
    <row r="1403">
      <c r="H1403" s="192" t="n"/>
      <c r="I1403" s="773" t="n"/>
      <c r="J1403">
        <f>IF('House Count'!H1403="Y",IF('House Count'!F1403="RES-SFU",1,IF('House Count'!F1403="RES-MDU",1,IF('House Count'!F1403="RES-HOA",1,0))),0)</f>
        <v/>
      </c>
      <c r="K1403">
        <f>IF('House Count'!H1403="Y",IF('House Count'!F1403="COMM-SU",1,IF('House Count'!F1403="COM-MTU",1,IF('House Count'!F1403="ENT",1,0))),0)</f>
        <v/>
      </c>
    </row>
    <row r="1404">
      <c r="H1404" s="192" t="n"/>
      <c r="I1404" s="773" t="n"/>
      <c r="J1404">
        <f>IF('House Count'!H1404="Y",IF('House Count'!F1404="RES-SFU",1,IF('House Count'!F1404="RES-MDU",1,IF('House Count'!F1404="RES-HOA",1,0))),0)</f>
        <v/>
      </c>
      <c r="K1404">
        <f>IF('House Count'!H1404="Y",IF('House Count'!F1404="COMM-SU",1,IF('House Count'!F1404="COM-MTU",1,IF('House Count'!F1404="ENT",1,0))),0)</f>
        <v/>
      </c>
    </row>
    <row r="1405" ht="15.75" customHeight="1" thickBot="1">
      <c r="A1405" s="774" t="n"/>
      <c r="B1405" s="774" t="n"/>
      <c r="C1405" s="774" t="n"/>
      <c r="D1405" s="774" t="n"/>
      <c r="E1405" s="774" t="n"/>
      <c r="F1405" s="774" t="n"/>
      <c r="G1405" s="774" t="n"/>
      <c r="H1405" s="774" t="n"/>
      <c r="I1405" s="775" t="n"/>
      <c r="J1405">
        <f>IF('House Count'!H1405="Y",IF('House Count'!F1405="RES-SFU",1,IF('House Count'!F1405="RES-MDU",1,IF('House Count'!F1405="RES-HOA",1,0))),0)</f>
        <v/>
      </c>
      <c r="K1405">
        <f>IF('House Count'!H1405="Y",IF('House Count'!F1405="COMM-SU",1,IF('House Count'!F1405="COM-MTU",1,IF('House Count'!F1405="ENT",1,0))),0)</f>
        <v/>
      </c>
    </row>
    <row r="1406" ht="15.75" customHeight="1" thickTop="1">
      <c r="H1406" s="192" t="n"/>
      <c r="I1406" s="773" t="n"/>
      <c r="J1406">
        <f>IF('House Count'!H1406="Y",IF('House Count'!F1406="RES-SFU",1,IF('House Count'!F1406="RES-MDU",1,IF('House Count'!F1406="RES-HOA",1,0))),0)</f>
        <v/>
      </c>
      <c r="K1406">
        <f>IF('House Count'!H1406="Y",IF('House Count'!F1406="COMM-SU",1,IF('House Count'!F1406="COM-MTU",1,IF('House Count'!F1406="ENT",1,0))),0)</f>
        <v/>
      </c>
    </row>
    <row r="1407">
      <c r="H1407" s="192" t="n"/>
      <c r="I1407" s="773" t="n"/>
      <c r="J1407">
        <f>IF('House Count'!H1407="Y",IF('House Count'!F1407="RES-SFU",1,IF('House Count'!F1407="RES-MDU",1,IF('House Count'!F1407="RES-HOA",1,0))),0)</f>
        <v/>
      </c>
      <c r="K1407">
        <f>IF('House Count'!H1407="Y",IF('House Count'!F1407="COMM-SU",1,IF('House Count'!F1407="COM-MTU",1,IF('House Count'!F1407="ENT",1,0))),0)</f>
        <v/>
      </c>
    </row>
    <row r="1408">
      <c r="H1408" s="192" t="n"/>
      <c r="I1408" s="773" t="n"/>
      <c r="J1408">
        <f>IF('House Count'!H1408="Y",IF('House Count'!F1408="RES-SFU",1,IF('House Count'!F1408="RES-MDU",1,IF('House Count'!F1408="RES-HOA",1,0))),0)</f>
        <v/>
      </c>
      <c r="K1408">
        <f>IF('House Count'!H1408="Y",IF('House Count'!F1408="COMM-SU",1,IF('House Count'!F1408="COM-MTU",1,IF('House Count'!F1408="ENT",1,0))),0)</f>
        <v/>
      </c>
    </row>
    <row r="1409">
      <c r="H1409" s="192" t="n"/>
      <c r="I1409" s="773" t="n"/>
      <c r="J1409">
        <f>IF('House Count'!H1409="Y",IF('House Count'!F1409="RES-SFU",1,IF('House Count'!F1409="RES-MDU",1,IF('House Count'!F1409="RES-HOA",1,0))),0)</f>
        <v/>
      </c>
      <c r="K1409">
        <f>IF('House Count'!H1409="Y",IF('House Count'!F1409="COMM-SU",1,IF('House Count'!F1409="COM-MTU",1,IF('House Count'!F1409="ENT",1,0))),0)</f>
        <v/>
      </c>
    </row>
    <row r="1410">
      <c r="H1410" s="192" t="n"/>
      <c r="I1410" s="773" t="n"/>
      <c r="J1410">
        <f>IF('House Count'!H1410="Y",IF('House Count'!F1410="RES-SFU",1,IF('House Count'!F1410="RES-MDU",1,IF('House Count'!F1410="RES-HOA",1,0))),0)</f>
        <v/>
      </c>
      <c r="K1410">
        <f>IF('House Count'!H1410="Y",IF('House Count'!F1410="COMM-SU",1,IF('House Count'!F1410="COM-MTU",1,IF('House Count'!F1410="ENT",1,0))),0)</f>
        <v/>
      </c>
    </row>
    <row r="1411">
      <c r="H1411" s="192" t="n"/>
      <c r="I1411" s="773" t="n"/>
      <c r="J1411">
        <f>IF('House Count'!H1411="Y",IF('House Count'!F1411="RES-SFU",1,IF('House Count'!F1411="RES-MDU",1,IF('House Count'!F1411="RES-HOA",1,0))),0)</f>
        <v/>
      </c>
      <c r="K1411">
        <f>IF('House Count'!H1411="Y",IF('House Count'!F1411="COMM-SU",1,IF('House Count'!F1411="COM-MTU",1,IF('House Count'!F1411="ENT",1,0))),0)</f>
        <v/>
      </c>
    </row>
    <row r="1412">
      <c r="H1412" s="192" t="n"/>
      <c r="I1412" s="773" t="n"/>
      <c r="J1412">
        <f>IF('House Count'!H1412="Y",IF('House Count'!F1412="RES-SFU",1,IF('House Count'!F1412="RES-MDU",1,IF('House Count'!F1412="RES-HOA",1,0))),0)</f>
        <v/>
      </c>
      <c r="K1412">
        <f>IF('House Count'!H1412="Y",IF('House Count'!F1412="COMM-SU",1,IF('House Count'!F1412="COM-MTU",1,IF('House Count'!F1412="ENT",1,0))),0)</f>
        <v/>
      </c>
    </row>
    <row r="1413">
      <c r="H1413" s="192" t="n"/>
      <c r="I1413" s="773" t="n"/>
      <c r="J1413">
        <f>IF('House Count'!H1413="Y",IF('House Count'!F1413="RES-SFU",1,IF('House Count'!F1413="RES-MDU",1,IF('House Count'!F1413="RES-HOA",1,0))),0)</f>
        <v/>
      </c>
      <c r="K1413">
        <f>IF('House Count'!H1413="Y",IF('House Count'!F1413="COMM-SU",1,IF('House Count'!F1413="COM-MTU",1,IF('House Count'!F1413="ENT",1,0))),0)</f>
        <v/>
      </c>
    </row>
    <row r="1414">
      <c r="H1414" s="192" t="n"/>
      <c r="I1414" s="773" t="n"/>
      <c r="J1414">
        <f>IF('House Count'!H1414="Y",IF('House Count'!F1414="RES-SFU",1,IF('House Count'!F1414="RES-MDU",1,IF('House Count'!F1414="RES-HOA",1,0))),0)</f>
        <v/>
      </c>
      <c r="K1414">
        <f>IF('House Count'!H1414="Y",IF('House Count'!F1414="COMM-SU",1,IF('House Count'!F1414="COM-MTU",1,IF('House Count'!F1414="ENT",1,0))),0)</f>
        <v/>
      </c>
    </row>
    <row r="1415">
      <c r="H1415" s="192" t="n"/>
      <c r="I1415" s="773" t="n"/>
      <c r="J1415">
        <f>IF('House Count'!H1415="Y",IF('House Count'!F1415="RES-SFU",1,IF('House Count'!F1415="RES-MDU",1,IF('House Count'!F1415="RES-HOA",1,0))),0)</f>
        <v/>
      </c>
      <c r="K1415">
        <f>IF('House Count'!H1415="Y",IF('House Count'!F1415="COMM-SU",1,IF('House Count'!F1415="COM-MTU",1,IF('House Count'!F1415="ENT",1,0))),0)</f>
        <v/>
      </c>
    </row>
    <row r="1416">
      <c r="H1416" s="192" t="n"/>
      <c r="I1416" s="773" t="n"/>
      <c r="J1416">
        <f>IF('House Count'!H1416="Y",IF('House Count'!F1416="RES-SFU",1,IF('House Count'!F1416="RES-MDU",1,IF('House Count'!F1416="RES-HOA",1,0))),0)</f>
        <v/>
      </c>
      <c r="K1416">
        <f>IF('House Count'!H1416="Y",IF('House Count'!F1416="COMM-SU",1,IF('House Count'!F1416="COM-MTU",1,IF('House Count'!F1416="ENT",1,0))),0)</f>
        <v/>
      </c>
    </row>
    <row r="1417" ht="15.75" customHeight="1" thickBot="1">
      <c r="A1417" s="774" t="n"/>
      <c r="B1417" s="774" t="n"/>
      <c r="C1417" s="774" t="n"/>
      <c r="D1417" s="774" t="n"/>
      <c r="E1417" s="774" t="n"/>
      <c r="F1417" s="774" t="n"/>
      <c r="G1417" s="774" t="n"/>
      <c r="H1417" s="774" t="n"/>
      <c r="I1417" s="775" t="n"/>
      <c r="J1417">
        <f>IF('House Count'!H1417="Y",IF('House Count'!F1417="RES-SFU",1,IF('House Count'!F1417="RES-MDU",1,IF('House Count'!F1417="RES-HOA",1,0))),0)</f>
        <v/>
      </c>
      <c r="K1417">
        <f>IF('House Count'!H1417="Y",IF('House Count'!F1417="COMM-SU",1,IF('House Count'!F1417="COM-MTU",1,IF('House Count'!F1417="ENT",1,0))),0)</f>
        <v/>
      </c>
    </row>
    <row r="1418" ht="15.75" customHeight="1" thickTop="1">
      <c r="H1418" s="192" t="n"/>
      <c r="I1418" s="773" t="n"/>
      <c r="J1418">
        <f>IF('House Count'!H1418="Y",IF('House Count'!F1418="RES-SFU",1,IF('House Count'!F1418="RES-MDU",1,IF('House Count'!F1418="RES-HOA",1,0))),0)</f>
        <v/>
      </c>
      <c r="K1418">
        <f>IF('House Count'!H1418="Y",IF('House Count'!F1418="COMM-SU",1,IF('House Count'!F1418="COM-MTU",1,IF('House Count'!F1418="ENT",1,0))),0)</f>
        <v/>
      </c>
    </row>
    <row r="1419">
      <c r="H1419" s="192" t="n"/>
      <c r="I1419" s="773" t="n"/>
      <c r="J1419">
        <f>IF('House Count'!H1419="Y",IF('House Count'!F1419="RES-SFU",1,IF('House Count'!F1419="RES-MDU",1,IF('House Count'!F1419="RES-HOA",1,0))),0)</f>
        <v/>
      </c>
      <c r="K1419">
        <f>IF('House Count'!H1419="Y",IF('House Count'!F1419="COMM-SU",1,IF('House Count'!F1419="COM-MTU",1,IF('House Count'!F1419="ENT",1,0))),0)</f>
        <v/>
      </c>
    </row>
    <row r="1420">
      <c r="H1420" s="192" t="n"/>
      <c r="I1420" s="773" t="n"/>
      <c r="J1420">
        <f>IF('House Count'!H1420="Y",IF('House Count'!F1420="RES-SFU",1,IF('House Count'!F1420="RES-MDU",1,IF('House Count'!F1420="RES-HOA",1,0))),0)</f>
        <v/>
      </c>
      <c r="K1420">
        <f>IF('House Count'!H1420="Y",IF('House Count'!F1420="COMM-SU",1,IF('House Count'!F1420="COM-MTU",1,IF('House Count'!F1420="ENT",1,0))),0)</f>
        <v/>
      </c>
    </row>
    <row r="1421">
      <c r="H1421" s="192" t="n"/>
      <c r="I1421" s="773" t="n"/>
      <c r="J1421">
        <f>IF('House Count'!H1421="Y",IF('House Count'!F1421="RES-SFU",1,IF('House Count'!F1421="RES-MDU",1,IF('House Count'!F1421="RES-HOA",1,0))),0)</f>
        <v/>
      </c>
      <c r="K1421">
        <f>IF('House Count'!H1421="Y",IF('House Count'!F1421="COMM-SU",1,IF('House Count'!F1421="COM-MTU",1,IF('House Count'!F1421="ENT",1,0))),0)</f>
        <v/>
      </c>
    </row>
    <row r="1422">
      <c r="H1422" s="192" t="n"/>
      <c r="I1422" s="773" t="n"/>
      <c r="J1422">
        <f>IF('House Count'!H1422="Y",IF('House Count'!F1422="RES-SFU",1,IF('House Count'!F1422="RES-MDU",1,IF('House Count'!F1422="RES-HOA",1,0))),0)</f>
        <v/>
      </c>
      <c r="K1422">
        <f>IF('House Count'!H1422="Y",IF('House Count'!F1422="COMM-SU",1,IF('House Count'!F1422="COM-MTU",1,IF('House Count'!F1422="ENT",1,0))),0)</f>
        <v/>
      </c>
    </row>
    <row r="1423">
      <c r="H1423" s="192" t="n"/>
      <c r="I1423" s="773" t="n"/>
      <c r="J1423">
        <f>IF('House Count'!H1423="Y",IF('House Count'!F1423="RES-SFU",1,IF('House Count'!F1423="RES-MDU",1,IF('House Count'!F1423="RES-HOA",1,0))),0)</f>
        <v/>
      </c>
      <c r="K1423">
        <f>IF('House Count'!H1423="Y",IF('House Count'!F1423="COMM-SU",1,IF('House Count'!F1423="COM-MTU",1,IF('House Count'!F1423="ENT",1,0))),0)</f>
        <v/>
      </c>
    </row>
    <row r="1424">
      <c r="H1424" s="192" t="n"/>
      <c r="I1424" s="773" t="n"/>
      <c r="J1424">
        <f>IF('House Count'!H1424="Y",IF('House Count'!F1424="RES-SFU",1,IF('House Count'!F1424="RES-MDU",1,IF('House Count'!F1424="RES-HOA",1,0))),0)</f>
        <v/>
      </c>
      <c r="K1424">
        <f>IF('House Count'!H1424="Y",IF('House Count'!F1424="COMM-SU",1,IF('House Count'!F1424="COM-MTU",1,IF('House Count'!F1424="ENT",1,0))),0)</f>
        <v/>
      </c>
    </row>
    <row r="1425">
      <c r="H1425" s="192" t="n"/>
      <c r="I1425" s="773" t="n"/>
      <c r="J1425">
        <f>IF('House Count'!H1425="Y",IF('House Count'!F1425="RES-SFU",1,IF('House Count'!F1425="RES-MDU",1,IF('House Count'!F1425="RES-HOA",1,0))),0)</f>
        <v/>
      </c>
      <c r="K1425">
        <f>IF('House Count'!H1425="Y",IF('House Count'!F1425="COMM-SU",1,IF('House Count'!F1425="COM-MTU",1,IF('House Count'!F1425="ENT",1,0))),0)</f>
        <v/>
      </c>
    </row>
    <row r="1426">
      <c r="H1426" s="192" t="n"/>
      <c r="I1426" s="773" t="n"/>
      <c r="J1426">
        <f>IF('House Count'!H1426="Y",IF('House Count'!F1426="RES-SFU",1,IF('House Count'!F1426="RES-MDU",1,IF('House Count'!F1426="RES-HOA",1,0))),0)</f>
        <v/>
      </c>
      <c r="K1426">
        <f>IF('House Count'!H1426="Y",IF('House Count'!F1426="COMM-SU",1,IF('House Count'!F1426="COM-MTU",1,IF('House Count'!F1426="ENT",1,0))),0)</f>
        <v/>
      </c>
    </row>
    <row r="1427">
      <c r="H1427" s="192" t="n"/>
      <c r="I1427" s="773" t="n"/>
      <c r="J1427">
        <f>IF('House Count'!H1427="Y",IF('House Count'!F1427="RES-SFU",1,IF('House Count'!F1427="RES-MDU",1,IF('House Count'!F1427="RES-HOA",1,0))),0)</f>
        <v/>
      </c>
      <c r="K1427">
        <f>IF('House Count'!H1427="Y",IF('House Count'!F1427="COMM-SU",1,IF('House Count'!F1427="COM-MTU",1,IF('House Count'!F1427="ENT",1,0))),0)</f>
        <v/>
      </c>
    </row>
    <row r="1428">
      <c r="H1428" s="192" t="n"/>
      <c r="I1428" s="773" t="n"/>
      <c r="J1428">
        <f>IF('House Count'!H1428="Y",IF('House Count'!F1428="RES-SFU",1,IF('House Count'!F1428="RES-MDU",1,IF('House Count'!F1428="RES-HOA",1,0))),0)</f>
        <v/>
      </c>
      <c r="K1428">
        <f>IF('House Count'!H1428="Y",IF('House Count'!F1428="COMM-SU",1,IF('House Count'!F1428="COM-MTU",1,IF('House Count'!F1428="ENT",1,0))),0)</f>
        <v/>
      </c>
    </row>
    <row r="1429" ht="15.75" customHeight="1" thickBot="1">
      <c r="A1429" s="774" t="n"/>
      <c r="B1429" s="774" t="n"/>
      <c r="C1429" s="774" t="n"/>
      <c r="D1429" s="774" t="n"/>
      <c r="E1429" s="774" t="n"/>
      <c r="F1429" s="774" t="n"/>
      <c r="G1429" s="774" t="n"/>
      <c r="H1429" s="774" t="n"/>
      <c r="I1429" s="775" t="n"/>
      <c r="J1429">
        <f>IF('House Count'!H1429="Y",IF('House Count'!F1429="RES-SFU",1,IF('House Count'!F1429="RES-MDU",1,IF('House Count'!F1429="RES-HOA",1,0))),0)</f>
        <v/>
      </c>
      <c r="K1429">
        <f>IF('House Count'!H1429="Y",IF('House Count'!F1429="COMM-SU",1,IF('House Count'!F1429="COM-MTU",1,IF('House Count'!F1429="ENT",1,0))),0)</f>
        <v/>
      </c>
    </row>
    <row r="1430" ht="15.75" customHeight="1" thickTop="1">
      <c r="H1430" s="192" t="n"/>
      <c r="I1430" s="773" t="n"/>
      <c r="J1430">
        <f>IF('House Count'!H1430="Y",IF('House Count'!F1430="RES-SFU",1,IF('House Count'!F1430="RES-MDU",1,IF('House Count'!F1430="RES-HOA",1,0))),0)</f>
        <v/>
      </c>
      <c r="K1430">
        <f>IF('House Count'!H1430="Y",IF('House Count'!F1430="COMM-SU",1,IF('House Count'!F1430="COM-MTU",1,IF('House Count'!F1430="ENT",1,0))),0)</f>
        <v/>
      </c>
    </row>
    <row r="1431">
      <c r="H1431" s="192" t="n"/>
      <c r="I1431" s="773" t="n"/>
      <c r="J1431">
        <f>IF('House Count'!H1431="Y",IF('House Count'!F1431="RES-SFU",1,IF('House Count'!F1431="RES-MDU",1,IF('House Count'!F1431="RES-HOA",1,0))),0)</f>
        <v/>
      </c>
      <c r="K1431">
        <f>IF('House Count'!H1431="Y",IF('House Count'!F1431="COMM-SU",1,IF('House Count'!F1431="COM-MTU",1,IF('House Count'!F1431="ENT",1,0))),0)</f>
        <v/>
      </c>
    </row>
    <row r="1432">
      <c r="H1432" s="192" t="n"/>
      <c r="I1432" s="773" t="n"/>
      <c r="J1432">
        <f>IF('House Count'!H1432="Y",IF('House Count'!F1432="RES-SFU",1,IF('House Count'!F1432="RES-MDU",1,IF('House Count'!F1432="RES-HOA",1,0))),0)</f>
        <v/>
      </c>
      <c r="K1432">
        <f>IF('House Count'!H1432="Y",IF('House Count'!F1432="COMM-SU",1,IF('House Count'!F1432="COM-MTU",1,IF('House Count'!F1432="ENT",1,0))),0)</f>
        <v/>
      </c>
    </row>
    <row r="1433">
      <c r="H1433" s="192" t="n"/>
      <c r="I1433" s="773" t="n"/>
      <c r="J1433">
        <f>IF('House Count'!H1433="Y",IF('House Count'!F1433="RES-SFU",1,IF('House Count'!F1433="RES-MDU",1,IF('House Count'!F1433="RES-HOA",1,0))),0)</f>
        <v/>
      </c>
      <c r="K1433">
        <f>IF('House Count'!H1433="Y",IF('House Count'!F1433="COMM-SU",1,IF('House Count'!F1433="COM-MTU",1,IF('House Count'!F1433="ENT",1,0))),0)</f>
        <v/>
      </c>
    </row>
    <row r="1434">
      <c r="H1434" s="192" t="n"/>
      <c r="I1434" s="773" t="n"/>
      <c r="J1434">
        <f>IF('House Count'!H1434="Y",IF('House Count'!F1434="RES-SFU",1,IF('House Count'!F1434="RES-MDU",1,IF('House Count'!F1434="RES-HOA",1,0))),0)</f>
        <v/>
      </c>
      <c r="K1434">
        <f>IF('House Count'!H1434="Y",IF('House Count'!F1434="COMM-SU",1,IF('House Count'!F1434="COM-MTU",1,IF('House Count'!F1434="ENT",1,0))),0)</f>
        <v/>
      </c>
    </row>
    <row r="1435">
      <c r="H1435" s="192" t="n"/>
      <c r="I1435" s="773" t="n"/>
      <c r="J1435">
        <f>IF('House Count'!H1435="Y",IF('House Count'!F1435="RES-SFU",1,IF('House Count'!F1435="RES-MDU",1,IF('House Count'!F1435="RES-HOA",1,0))),0)</f>
        <v/>
      </c>
      <c r="K1435">
        <f>IF('House Count'!H1435="Y",IF('House Count'!F1435="COMM-SU",1,IF('House Count'!F1435="COM-MTU",1,IF('House Count'!F1435="ENT",1,0))),0)</f>
        <v/>
      </c>
    </row>
    <row r="1436">
      <c r="H1436" s="192" t="n"/>
      <c r="I1436" s="773" t="n"/>
      <c r="J1436">
        <f>IF('House Count'!H1436="Y",IF('House Count'!F1436="RES-SFU",1,IF('House Count'!F1436="RES-MDU",1,IF('House Count'!F1436="RES-HOA",1,0))),0)</f>
        <v/>
      </c>
      <c r="K1436">
        <f>IF('House Count'!H1436="Y",IF('House Count'!F1436="COMM-SU",1,IF('House Count'!F1436="COM-MTU",1,IF('House Count'!F1436="ENT",1,0))),0)</f>
        <v/>
      </c>
    </row>
    <row r="1437">
      <c r="H1437" s="192" t="n"/>
      <c r="I1437" s="773" t="n"/>
      <c r="J1437">
        <f>IF('House Count'!H1437="Y",IF('House Count'!F1437="RES-SFU",1,IF('House Count'!F1437="RES-MDU",1,IF('House Count'!F1437="RES-HOA",1,0))),0)</f>
        <v/>
      </c>
      <c r="K1437">
        <f>IF('House Count'!H1437="Y",IF('House Count'!F1437="COMM-SU",1,IF('House Count'!F1437="COM-MTU",1,IF('House Count'!F1437="ENT",1,0))),0)</f>
        <v/>
      </c>
    </row>
    <row r="1438">
      <c r="H1438" s="192" t="n"/>
      <c r="I1438" s="773" t="n"/>
      <c r="J1438">
        <f>IF('House Count'!H1438="Y",IF('House Count'!F1438="RES-SFU",1,IF('House Count'!F1438="RES-MDU",1,IF('House Count'!F1438="RES-HOA",1,0))),0)</f>
        <v/>
      </c>
      <c r="K1438">
        <f>IF('House Count'!H1438="Y",IF('House Count'!F1438="COMM-SU",1,IF('House Count'!F1438="COM-MTU",1,IF('House Count'!F1438="ENT",1,0))),0)</f>
        <v/>
      </c>
    </row>
    <row r="1439">
      <c r="H1439" s="192" t="n"/>
      <c r="I1439" s="773" t="n"/>
      <c r="J1439">
        <f>IF('House Count'!H1439="Y",IF('House Count'!F1439="RES-SFU",1,IF('House Count'!F1439="RES-MDU",1,IF('House Count'!F1439="RES-HOA",1,0))),0)</f>
        <v/>
      </c>
      <c r="K1439">
        <f>IF('House Count'!H1439="Y",IF('House Count'!F1439="COMM-SU",1,IF('House Count'!F1439="COM-MTU",1,IF('House Count'!F1439="ENT",1,0))),0)</f>
        <v/>
      </c>
    </row>
    <row r="1440">
      <c r="H1440" s="192" t="n"/>
      <c r="I1440" s="773" t="n"/>
      <c r="J1440">
        <f>IF('House Count'!H1440="Y",IF('House Count'!F1440="RES-SFU",1,IF('House Count'!F1440="RES-MDU",1,IF('House Count'!F1440="RES-HOA",1,0))),0)</f>
        <v/>
      </c>
      <c r="K1440">
        <f>IF('House Count'!H1440="Y",IF('House Count'!F1440="COMM-SU",1,IF('House Count'!F1440="COM-MTU",1,IF('House Count'!F1440="ENT",1,0))),0)</f>
        <v/>
      </c>
    </row>
    <row r="1441" ht="15.75" customHeight="1" thickBot="1">
      <c r="A1441" s="774" t="n"/>
      <c r="B1441" s="774" t="n"/>
      <c r="C1441" s="774" t="n"/>
      <c r="D1441" s="774" t="n"/>
      <c r="E1441" s="774" t="n"/>
      <c r="F1441" s="774" t="n"/>
      <c r="G1441" s="774" t="n"/>
      <c r="H1441" s="774" t="n"/>
      <c r="I1441" s="775" t="n"/>
      <c r="J1441">
        <f>IF('House Count'!H1441="Y",IF('House Count'!F1441="RES-SFU",1,IF('House Count'!F1441="RES-MDU",1,IF('House Count'!F1441="RES-HOA",1,0))),0)</f>
        <v/>
      </c>
      <c r="K1441">
        <f>IF('House Count'!H1441="Y",IF('House Count'!F1441="COMM-SU",1,IF('House Count'!F1441="COM-MTU",1,IF('House Count'!F1441="ENT",1,0))),0)</f>
        <v/>
      </c>
    </row>
    <row r="1442" ht="15.75" customHeight="1" thickTop="1">
      <c r="H1442" s="192" t="n"/>
      <c r="I1442" s="773" t="n"/>
      <c r="J1442">
        <f>IF('House Count'!H1442="Y",IF('House Count'!F1442="RES-SFU",1,IF('House Count'!F1442="RES-MDU",1,IF('House Count'!F1442="RES-HOA",1,0))),0)</f>
        <v/>
      </c>
      <c r="K1442">
        <f>IF('House Count'!H1442="Y",IF('House Count'!F1442="COMM-SU",1,IF('House Count'!F1442="COM-MTU",1,IF('House Count'!F1442="ENT",1,0))),0)</f>
        <v/>
      </c>
    </row>
    <row r="1443">
      <c r="H1443" s="192" t="n"/>
      <c r="I1443" s="773" t="n"/>
      <c r="J1443">
        <f>IF('House Count'!H1443="Y",IF('House Count'!F1443="RES-SFU",1,IF('House Count'!F1443="RES-MDU",1,IF('House Count'!F1443="RES-HOA",1,0))),0)</f>
        <v/>
      </c>
      <c r="K1443">
        <f>IF('House Count'!H1443="Y",IF('House Count'!F1443="COMM-SU",1,IF('House Count'!F1443="COM-MTU",1,IF('House Count'!F1443="ENT",1,0))),0)</f>
        <v/>
      </c>
    </row>
    <row r="1444">
      <c r="H1444" s="192" t="n"/>
      <c r="I1444" s="773" t="n"/>
      <c r="J1444">
        <f>IF('House Count'!H1444="Y",IF('House Count'!F1444="RES-SFU",1,IF('House Count'!F1444="RES-MDU",1,IF('House Count'!F1444="RES-HOA",1,0))),0)</f>
        <v/>
      </c>
      <c r="K1444">
        <f>IF('House Count'!H1444="Y",IF('House Count'!F1444="COMM-SU",1,IF('House Count'!F1444="COM-MTU",1,IF('House Count'!F1444="ENT",1,0))),0)</f>
        <v/>
      </c>
    </row>
    <row r="1445">
      <c r="H1445" s="192" t="n"/>
      <c r="I1445" s="773" t="n"/>
      <c r="J1445">
        <f>IF('House Count'!H1445="Y",IF('House Count'!F1445="RES-SFU",1,IF('House Count'!F1445="RES-MDU",1,IF('House Count'!F1445="RES-HOA",1,0))),0)</f>
        <v/>
      </c>
      <c r="K1445">
        <f>IF('House Count'!H1445="Y",IF('House Count'!F1445="COMM-SU",1,IF('House Count'!F1445="COM-MTU",1,IF('House Count'!F1445="ENT",1,0))),0)</f>
        <v/>
      </c>
    </row>
    <row r="1446">
      <c r="H1446" s="192" t="n"/>
      <c r="I1446" s="773" t="n"/>
      <c r="J1446">
        <f>IF('House Count'!H1446="Y",IF('House Count'!F1446="RES-SFU",1,IF('House Count'!F1446="RES-MDU",1,IF('House Count'!F1446="RES-HOA",1,0))),0)</f>
        <v/>
      </c>
      <c r="K1446">
        <f>IF('House Count'!H1446="Y",IF('House Count'!F1446="COMM-SU",1,IF('House Count'!F1446="COM-MTU",1,IF('House Count'!F1446="ENT",1,0))),0)</f>
        <v/>
      </c>
    </row>
    <row r="1447">
      <c r="H1447" s="192" t="n"/>
      <c r="I1447" s="773" t="n"/>
      <c r="J1447">
        <f>IF('House Count'!H1447="Y",IF('House Count'!F1447="RES-SFU",1,IF('House Count'!F1447="RES-MDU",1,IF('House Count'!F1447="RES-HOA",1,0))),0)</f>
        <v/>
      </c>
      <c r="K1447">
        <f>IF('House Count'!H1447="Y",IF('House Count'!F1447="COMM-SU",1,IF('House Count'!F1447="COM-MTU",1,IF('House Count'!F1447="ENT",1,0))),0)</f>
        <v/>
      </c>
    </row>
    <row r="1448">
      <c r="H1448" s="192" t="n"/>
      <c r="I1448" s="773" t="n"/>
      <c r="J1448">
        <f>IF('House Count'!H1448="Y",IF('House Count'!F1448="RES-SFU",1,IF('House Count'!F1448="RES-MDU",1,IF('House Count'!F1448="RES-HOA",1,0))),0)</f>
        <v/>
      </c>
      <c r="K1448">
        <f>IF('House Count'!H1448="Y",IF('House Count'!F1448="COMM-SU",1,IF('House Count'!F1448="COM-MTU",1,IF('House Count'!F1448="ENT",1,0))),0)</f>
        <v/>
      </c>
    </row>
    <row r="1449">
      <c r="H1449" s="192" t="n"/>
      <c r="I1449" s="773" t="n"/>
      <c r="J1449">
        <f>IF('House Count'!H1449="Y",IF('House Count'!F1449="RES-SFU",1,IF('House Count'!F1449="RES-MDU",1,IF('House Count'!F1449="RES-HOA",1,0))),0)</f>
        <v/>
      </c>
      <c r="K1449">
        <f>IF('House Count'!H1449="Y",IF('House Count'!F1449="COMM-SU",1,IF('House Count'!F1449="COM-MTU",1,IF('House Count'!F1449="ENT",1,0))),0)</f>
        <v/>
      </c>
    </row>
    <row r="1450">
      <c r="H1450" s="192" t="n"/>
      <c r="I1450" s="773" t="n"/>
      <c r="J1450">
        <f>IF('House Count'!H1450="Y",IF('House Count'!F1450="RES-SFU",1,IF('House Count'!F1450="RES-MDU",1,IF('House Count'!F1450="RES-HOA",1,0))),0)</f>
        <v/>
      </c>
      <c r="K1450">
        <f>IF('House Count'!H1450="Y",IF('House Count'!F1450="COMM-SU",1,IF('House Count'!F1450="COM-MTU",1,IF('House Count'!F1450="ENT",1,0))),0)</f>
        <v/>
      </c>
    </row>
    <row r="1451">
      <c r="H1451" s="192" t="n"/>
      <c r="I1451" s="773" t="n"/>
      <c r="J1451">
        <f>IF('House Count'!H1451="Y",IF('House Count'!F1451="RES-SFU",1,IF('House Count'!F1451="RES-MDU",1,IF('House Count'!F1451="RES-HOA",1,0))),0)</f>
        <v/>
      </c>
      <c r="K1451">
        <f>IF('House Count'!H1451="Y",IF('House Count'!F1451="COMM-SU",1,IF('House Count'!F1451="COM-MTU",1,IF('House Count'!F1451="ENT",1,0))),0)</f>
        <v/>
      </c>
    </row>
    <row r="1452">
      <c r="H1452" s="192" t="n"/>
      <c r="I1452" s="773" t="n"/>
      <c r="J1452">
        <f>IF('House Count'!H1452="Y",IF('House Count'!F1452="RES-SFU",1,IF('House Count'!F1452="RES-MDU",1,IF('House Count'!F1452="RES-HOA",1,0))),0)</f>
        <v/>
      </c>
      <c r="K1452">
        <f>IF('House Count'!H1452="Y",IF('House Count'!F1452="COMM-SU",1,IF('House Count'!F1452="COM-MTU",1,IF('House Count'!F1452="ENT",1,0))),0)</f>
        <v/>
      </c>
    </row>
    <row r="1453" ht="15.75" customHeight="1" thickBot="1">
      <c r="A1453" s="774" t="n"/>
      <c r="B1453" s="774" t="n"/>
      <c r="C1453" s="774" t="n"/>
      <c r="D1453" s="774" t="n"/>
      <c r="E1453" s="774" t="n"/>
      <c r="F1453" s="774" t="n"/>
      <c r="G1453" s="774" t="n"/>
      <c r="H1453" s="774" t="n"/>
      <c r="I1453" s="775" t="n"/>
      <c r="J1453">
        <f>IF('House Count'!H1453="Y",IF('House Count'!F1453="RES-SFU",1,IF('House Count'!F1453="RES-MDU",1,IF('House Count'!F1453="RES-HOA",1,0))),0)</f>
        <v/>
      </c>
      <c r="K1453">
        <f>IF('House Count'!H1453="Y",IF('House Count'!F1453="COMM-SU",1,IF('House Count'!F1453="COM-MTU",1,IF('House Count'!F1453="ENT",1,0))),0)</f>
        <v/>
      </c>
    </row>
    <row r="1454" ht="15.75" customHeight="1" thickTop="1">
      <c r="H1454" s="192" t="n"/>
      <c r="I1454" s="773" t="n"/>
      <c r="J1454">
        <f>IF('House Count'!H1454="Y",IF('House Count'!F1454="RES-SFU",1,IF('House Count'!F1454="RES-MDU",1,IF('House Count'!F1454="RES-HOA",1,0))),0)</f>
        <v/>
      </c>
      <c r="K1454">
        <f>IF('House Count'!H1454="Y",IF('House Count'!F1454="COMM-SU",1,IF('House Count'!F1454="COM-MTU",1,IF('House Count'!F1454="ENT",1,0))),0)</f>
        <v/>
      </c>
    </row>
    <row r="1455">
      <c r="H1455" s="192" t="n"/>
      <c r="I1455" s="773" t="n"/>
      <c r="J1455">
        <f>IF('House Count'!H1455="Y",IF('House Count'!F1455="RES-SFU",1,IF('House Count'!F1455="RES-MDU",1,IF('House Count'!F1455="RES-HOA",1,0))),0)</f>
        <v/>
      </c>
      <c r="K1455">
        <f>IF('House Count'!H1455="Y",IF('House Count'!F1455="COMM-SU",1,IF('House Count'!F1455="COM-MTU",1,IF('House Count'!F1455="ENT",1,0))),0)</f>
        <v/>
      </c>
    </row>
    <row r="1456">
      <c r="H1456" s="192" t="n"/>
      <c r="I1456" s="773" t="n"/>
      <c r="J1456">
        <f>IF('House Count'!H1456="Y",IF('House Count'!F1456="RES-SFU",1,IF('House Count'!F1456="RES-MDU",1,IF('House Count'!F1456="RES-HOA",1,0))),0)</f>
        <v/>
      </c>
      <c r="K1456">
        <f>IF('House Count'!H1456="Y",IF('House Count'!F1456="COMM-SU",1,IF('House Count'!F1456="COM-MTU",1,IF('House Count'!F1456="ENT",1,0))),0)</f>
        <v/>
      </c>
    </row>
    <row r="1457">
      <c r="H1457" s="192" t="n"/>
      <c r="I1457" s="773" t="n"/>
      <c r="J1457">
        <f>IF('House Count'!H1457="Y",IF('House Count'!F1457="RES-SFU",1,IF('House Count'!F1457="RES-MDU",1,IF('House Count'!F1457="RES-HOA",1,0))),0)</f>
        <v/>
      </c>
      <c r="K1457">
        <f>IF('House Count'!H1457="Y",IF('House Count'!F1457="COMM-SU",1,IF('House Count'!F1457="COM-MTU",1,IF('House Count'!F1457="ENT",1,0))),0)</f>
        <v/>
      </c>
    </row>
    <row r="1458">
      <c r="H1458" s="192" t="n"/>
      <c r="I1458" s="773" t="n"/>
      <c r="J1458">
        <f>IF('House Count'!H1458="Y",IF('House Count'!F1458="RES-SFU",1,IF('House Count'!F1458="RES-MDU",1,IF('House Count'!F1458="RES-HOA",1,0))),0)</f>
        <v/>
      </c>
      <c r="K1458">
        <f>IF('House Count'!H1458="Y",IF('House Count'!F1458="COMM-SU",1,IF('House Count'!F1458="COM-MTU",1,IF('House Count'!F1458="ENT",1,0))),0)</f>
        <v/>
      </c>
    </row>
    <row r="1459">
      <c r="H1459" s="192" t="n"/>
      <c r="I1459" s="773" t="n"/>
      <c r="J1459">
        <f>IF('House Count'!H1459="Y",IF('House Count'!F1459="RES-SFU",1,IF('House Count'!F1459="RES-MDU",1,IF('House Count'!F1459="RES-HOA",1,0))),0)</f>
        <v/>
      </c>
      <c r="K1459">
        <f>IF('House Count'!H1459="Y",IF('House Count'!F1459="COMM-SU",1,IF('House Count'!F1459="COM-MTU",1,IF('House Count'!F1459="ENT",1,0))),0)</f>
        <v/>
      </c>
    </row>
    <row r="1460">
      <c r="H1460" s="192" t="n"/>
      <c r="I1460" s="773" t="n"/>
      <c r="J1460">
        <f>IF('House Count'!H1460="Y",IF('House Count'!F1460="RES-SFU",1,IF('House Count'!F1460="RES-MDU",1,IF('House Count'!F1460="RES-HOA",1,0))),0)</f>
        <v/>
      </c>
      <c r="K1460">
        <f>IF('House Count'!H1460="Y",IF('House Count'!F1460="COMM-SU",1,IF('House Count'!F1460="COM-MTU",1,IF('House Count'!F1460="ENT",1,0))),0)</f>
        <v/>
      </c>
    </row>
    <row r="1461">
      <c r="H1461" s="192" t="n"/>
      <c r="I1461" s="773" t="n"/>
      <c r="J1461">
        <f>IF('House Count'!H1461="Y",IF('House Count'!F1461="RES-SFU",1,IF('House Count'!F1461="RES-MDU",1,IF('House Count'!F1461="RES-HOA",1,0))),0)</f>
        <v/>
      </c>
      <c r="K1461">
        <f>IF('House Count'!H1461="Y",IF('House Count'!F1461="COMM-SU",1,IF('House Count'!F1461="COM-MTU",1,IF('House Count'!F1461="ENT",1,0))),0)</f>
        <v/>
      </c>
    </row>
    <row r="1462">
      <c r="H1462" s="192" t="n"/>
      <c r="I1462" s="773" t="n"/>
      <c r="J1462">
        <f>IF('House Count'!H1462="Y",IF('House Count'!F1462="RES-SFU",1,IF('House Count'!F1462="RES-MDU",1,IF('House Count'!F1462="RES-HOA",1,0))),0)</f>
        <v/>
      </c>
      <c r="K1462">
        <f>IF('House Count'!H1462="Y",IF('House Count'!F1462="COMM-SU",1,IF('House Count'!F1462="COM-MTU",1,IF('House Count'!F1462="ENT",1,0))),0)</f>
        <v/>
      </c>
    </row>
    <row r="1463">
      <c r="H1463" s="192" t="n"/>
      <c r="I1463" s="773" t="n"/>
      <c r="J1463">
        <f>IF('House Count'!H1463="Y",IF('House Count'!F1463="RES-SFU",1,IF('House Count'!F1463="RES-MDU",1,IF('House Count'!F1463="RES-HOA",1,0))),0)</f>
        <v/>
      </c>
      <c r="K1463">
        <f>IF('House Count'!H1463="Y",IF('House Count'!F1463="COMM-SU",1,IF('House Count'!F1463="COM-MTU",1,IF('House Count'!F1463="ENT",1,0))),0)</f>
        <v/>
      </c>
    </row>
    <row r="1464">
      <c r="H1464" s="192" t="n"/>
      <c r="I1464" s="773" t="n"/>
      <c r="J1464">
        <f>IF('House Count'!H1464="Y",IF('House Count'!F1464="RES-SFU",1,IF('House Count'!F1464="RES-MDU",1,IF('House Count'!F1464="RES-HOA",1,0))),0)</f>
        <v/>
      </c>
      <c r="K1464">
        <f>IF('House Count'!H1464="Y",IF('House Count'!F1464="COMM-SU",1,IF('House Count'!F1464="COM-MTU",1,IF('House Count'!F1464="ENT",1,0))),0)</f>
        <v/>
      </c>
    </row>
    <row r="1465" ht="15.75" customHeight="1" thickBot="1">
      <c r="A1465" s="774" t="n"/>
      <c r="B1465" s="774" t="n"/>
      <c r="C1465" s="774" t="n"/>
      <c r="D1465" s="774" t="n"/>
      <c r="E1465" s="774" t="n"/>
      <c r="F1465" s="774" t="n"/>
      <c r="G1465" s="774" t="n"/>
      <c r="H1465" s="774" t="n"/>
      <c r="I1465" s="775" t="n"/>
      <c r="J1465">
        <f>IF('House Count'!H1465="Y",IF('House Count'!F1465="RES-SFU",1,IF('House Count'!F1465="RES-MDU",1,IF('House Count'!F1465="RES-HOA",1,0))),0)</f>
        <v/>
      </c>
      <c r="K1465">
        <f>IF('House Count'!H1465="Y",IF('House Count'!F1465="COMM-SU",1,IF('House Count'!F1465="COM-MTU",1,IF('House Count'!F1465="ENT",1,0))),0)</f>
        <v/>
      </c>
    </row>
    <row r="1466" ht="15.75" customHeight="1" thickTop="1">
      <c r="H1466" s="192" t="n"/>
      <c r="I1466" s="773" t="n"/>
      <c r="J1466">
        <f>IF('House Count'!H1466="Y",IF('House Count'!F1466="RES-SFU",1,IF('House Count'!F1466="RES-MDU",1,IF('House Count'!F1466="RES-HOA",1,0))),0)</f>
        <v/>
      </c>
      <c r="K1466">
        <f>IF('House Count'!H1466="Y",IF('House Count'!F1466="COMM-SU",1,IF('House Count'!F1466="COM-MTU",1,IF('House Count'!F1466="ENT",1,0))),0)</f>
        <v/>
      </c>
    </row>
    <row r="1467">
      <c r="H1467" s="192" t="n"/>
      <c r="I1467" s="773" t="n"/>
      <c r="J1467">
        <f>IF('House Count'!H1467="Y",IF('House Count'!F1467="RES-SFU",1,IF('House Count'!F1467="RES-MDU",1,IF('House Count'!F1467="RES-HOA",1,0))),0)</f>
        <v/>
      </c>
      <c r="K1467">
        <f>IF('House Count'!H1467="Y",IF('House Count'!F1467="COMM-SU",1,IF('House Count'!F1467="COM-MTU",1,IF('House Count'!F1467="ENT",1,0))),0)</f>
        <v/>
      </c>
    </row>
    <row r="1468">
      <c r="H1468" s="192" t="n"/>
      <c r="I1468" s="773" t="n"/>
      <c r="J1468">
        <f>IF('House Count'!H1468="Y",IF('House Count'!F1468="RES-SFU",1,IF('House Count'!F1468="RES-MDU",1,IF('House Count'!F1468="RES-HOA",1,0))),0)</f>
        <v/>
      </c>
      <c r="K1468">
        <f>IF('House Count'!H1468="Y",IF('House Count'!F1468="COMM-SU",1,IF('House Count'!F1468="COM-MTU",1,IF('House Count'!F1468="ENT",1,0))),0)</f>
        <v/>
      </c>
    </row>
    <row r="1469">
      <c r="H1469" s="192" t="n"/>
      <c r="I1469" s="773" t="n"/>
      <c r="J1469">
        <f>IF('House Count'!H1469="Y",IF('House Count'!F1469="RES-SFU",1,IF('House Count'!F1469="RES-MDU",1,IF('House Count'!F1469="RES-HOA",1,0))),0)</f>
        <v/>
      </c>
      <c r="K1469">
        <f>IF('House Count'!H1469="Y",IF('House Count'!F1469="COMM-SU",1,IF('House Count'!F1469="COM-MTU",1,IF('House Count'!F1469="ENT",1,0))),0)</f>
        <v/>
      </c>
    </row>
    <row r="1470">
      <c r="H1470" s="192" t="n"/>
      <c r="I1470" s="773" t="n"/>
      <c r="J1470">
        <f>IF('House Count'!H1470="Y",IF('House Count'!F1470="RES-SFU",1,IF('House Count'!F1470="RES-MDU",1,IF('House Count'!F1470="RES-HOA",1,0))),0)</f>
        <v/>
      </c>
      <c r="K1470">
        <f>IF('House Count'!H1470="Y",IF('House Count'!F1470="COMM-SU",1,IF('House Count'!F1470="COM-MTU",1,IF('House Count'!F1470="ENT",1,0))),0)</f>
        <v/>
      </c>
    </row>
    <row r="1471">
      <c r="H1471" s="192" t="n"/>
      <c r="I1471" s="773" t="n"/>
      <c r="J1471">
        <f>IF('House Count'!H1471="Y",IF('House Count'!F1471="RES-SFU",1,IF('House Count'!F1471="RES-MDU",1,IF('House Count'!F1471="RES-HOA",1,0))),0)</f>
        <v/>
      </c>
      <c r="K1471">
        <f>IF('House Count'!H1471="Y",IF('House Count'!F1471="COMM-SU",1,IF('House Count'!F1471="COM-MTU",1,IF('House Count'!F1471="ENT",1,0))),0)</f>
        <v/>
      </c>
    </row>
    <row r="1472">
      <c r="H1472" s="192" t="n"/>
      <c r="I1472" s="773" t="n"/>
      <c r="J1472">
        <f>IF('House Count'!H1472="Y",IF('House Count'!F1472="RES-SFU",1,IF('House Count'!F1472="RES-MDU",1,IF('House Count'!F1472="RES-HOA",1,0))),0)</f>
        <v/>
      </c>
      <c r="K1472">
        <f>IF('House Count'!H1472="Y",IF('House Count'!F1472="COMM-SU",1,IF('House Count'!F1472="COM-MTU",1,IF('House Count'!F1472="ENT",1,0))),0)</f>
        <v/>
      </c>
    </row>
    <row r="1473">
      <c r="H1473" s="192" t="n"/>
      <c r="I1473" s="773" t="n"/>
      <c r="J1473">
        <f>IF('House Count'!H1473="Y",IF('House Count'!F1473="RES-SFU",1,IF('House Count'!F1473="RES-MDU",1,IF('House Count'!F1473="RES-HOA",1,0))),0)</f>
        <v/>
      </c>
      <c r="K1473">
        <f>IF('House Count'!H1473="Y",IF('House Count'!F1473="COMM-SU",1,IF('House Count'!F1473="COM-MTU",1,IF('House Count'!F1473="ENT",1,0))),0)</f>
        <v/>
      </c>
    </row>
    <row r="1474">
      <c r="H1474" s="192" t="n"/>
      <c r="I1474" s="773" t="n"/>
      <c r="J1474">
        <f>IF('House Count'!H1474="Y",IF('House Count'!F1474="RES-SFU",1,IF('House Count'!F1474="RES-MDU",1,IF('House Count'!F1474="RES-HOA",1,0))),0)</f>
        <v/>
      </c>
      <c r="K1474">
        <f>IF('House Count'!H1474="Y",IF('House Count'!F1474="COMM-SU",1,IF('House Count'!F1474="COM-MTU",1,IF('House Count'!F1474="ENT",1,0))),0)</f>
        <v/>
      </c>
    </row>
    <row r="1475">
      <c r="H1475" s="192" t="n"/>
      <c r="I1475" s="773" t="n"/>
      <c r="J1475">
        <f>IF('House Count'!H1475="Y",IF('House Count'!F1475="RES-SFU",1,IF('House Count'!F1475="RES-MDU",1,IF('House Count'!F1475="RES-HOA",1,0))),0)</f>
        <v/>
      </c>
      <c r="K1475">
        <f>IF('House Count'!H1475="Y",IF('House Count'!F1475="COMM-SU",1,IF('House Count'!F1475="COM-MTU",1,IF('House Count'!F1475="ENT",1,0))),0)</f>
        <v/>
      </c>
    </row>
    <row r="1476">
      <c r="H1476" s="192" t="n"/>
      <c r="I1476" s="773" t="n"/>
      <c r="J1476">
        <f>IF('House Count'!H1476="Y",IF('House Count'!F1476="RES-SFU",1,IF('House Count'!F1476="RES-MDU",1,IF('House Count'!F1476="RES-HOA",1,0))),0)</f>
        <v/>
      </c>
      <c r="K1476">
        <f>IF('House Count'!H1476="Y",IF('House Count'!F1476="COMM-SU",1,IF('House Count'!F1476="COM-MTU",1,IF('House Count'!F1476="ENT",1,0))),0)</f>
        <v/>
      </c>
    </row>
    <row r="1477" ht="15.75" customHeight="1" thickBot="1">
      <c r="A1477" s="774" t="n"/>
      <c r="B1477" s="774" t="n"/>
      <c r="C1477" s="774" t="n"/>
      <c r="D1477" s="774" t="n"/>
      <c r="E1477" s="774" t="n"/>
      <c r="F1477" s="774" t="n"/>
      <c r="G1477" s="774" t="n"/>
      <c r="H1477" s="774" t="n"/>
      <c r="I1477" s="775" t="n"/>
      <c r="J1477">
        <f>IF('House Count'!H1477="Y",IF('House Count'!F1477="RES-SFU",1,IF('House Count'!F1477="RES-MDU",1,IF('House Count'!F1477="RES-HOA",1,0))),0)</f>
        <v/>
      </c>
      <c r="K1477">
        <f>IF('House Count'!H1477="Y",IF('House Count'!F1477="COMM-SU",1,IF('House Count'!F1477="COM-MTU",1,IF('House Count'!F1477="ENT",1,0))),0)</f>
        <v/>
      </c>
    </row>
    <row r="1478" ht="15.75" customHeight="1" thickTop="1">
      <c r="H1478" s="192" t="n"/>
      <c r="I1478" s="773" t="n"/>
      <c r="J1478">
        <f>IF('House Count'!H1478="Y",IF('House Count'!F1478="RES-SFU",1,IF('House Count'!F1478="RES-MDU",1,IF('House Count'!F1478="RES-HOA",1,0))),0)</f>
        <v/>
      </c>
      <c r="K1478">
        <f>IF('House Count'!H1478="Y",IF('House Count'!F1478="COMM-SU",1,IF('House Count'!F1478="COM-MTU",1,IF('House Count'!F1478="ENT",1,0))),0)</f>
        <v/>
      </c>
    </row>
    <row r="1479">
      <c r="H1479" s="192" t="n"/>
      <c r="I1479" s="773" t="n"/>
      <c r="J1479">
        <f>IF('House Count'!H1479="Y",IF('House Count'!F1479="RES-SFU",1,IF('House Count'!F1479="RES-MDU",1,IF('House Count'!F1479="RES-HOA",1,0))),0)</f>
        <v/>
      </c>
      <c r="K1479">
        <f>IF('House Count'!H1479="Y",IF('House Count'!F1479="COMM-SU",1,IF('House Count'!F1479="COM-MTU",1,IF('House Count'!F1479="ENT",1,0))),0)</f>
        <v/>
      </c>
    </row>
    <row r="1480">
      <c r="H1480" s="192" t="n"/>
      <c r="I1480" s="773" t="n"/>
      <c r="J1480">
        <f>IF('House Count'!H1480="Y",IF('House Count'!F1480="RES-SFU",1,IF('House Count'!F1480="RES-MDU",1,IF('House Count'!F1480="RES-HOA",1,0))),0)</f>
        <v/>
      </c>
      <c r="K1480">
        <f>IF('House Count'!H1480="Y",IF('House Count'!F1480="COMM-SU",1,IF('House Count'!F1480="COM-MTU",1,IF('House Count'!F1480="ENT",1,0))),0)</f>
        <v/>
      </c>
    </row>
    <row r="1481">
      <c r="H1481" s="192" t="n"/>
      <c r="I1481" s="773" t="n"/>
      <c r="J1481">
        <f>IF('House Count'!H1481="Y",IF('House Count'!F1481="RES-SFU",1,IF('House Count'!F1481="RES-MDU",1,IF('House Count'!F1481="RES-HOA",1,0))),0)</f>
        <v/>
      </c>
      <c r="K1481">
        <f>IF('House Count'!H1481="Y",IF('House Count'!F1481="COMM-SU",1,IF('House Count'!F1481="COM-MTU",1,IF('House Count'!F1481="ENT",1,0))),0)</f>
        <v/>
      </c>
    </row>
    <row r="1482">
      <c r="H1482" s="192" t="n"/>
      <c r="I1482" s="773" t="n"/>
      <c r="J1482">
        <f>IF('House Count'!H1482="Y",IF('House Count'!F1482="RES-SFU",1,IF('House Count'!F1482="RES-MDU",1,IF('House Count'!F1482="RES-HOA",1,0))),0)</f>
        <v/>
      </c>
      <c r="K1482">
        <f>IF('House Count'!H1482="Y",IF('House Count'!F1482="COMM-SU",1,IF('House Count'!F1482="COM-MTU",1,IF('House Count'!F1482="ENT",1,0))),0)</f>
        <v/>
      </c>
    </row>
    <row r="1483">
      <c r="H1483" s="192" t="n"/>
      <c r="I1483" s="773" t="n"/>
      <c r="J1483">
        <f>IF('House Count'!H1483="Y",IF('House Count'!F1483="RES-SFU",1,IF('House Count'!F1483="RES-MDU",1,IF('House Count'!F1483="RES-HOA",1,0))),0)</f>
        <v/>
      </c>
      <c r="K1483">
        <f>IF('House Count'!H1483="Y",IF('House Count'!F1483="COMM-SU",1,IF('House Count'!F1483="COM-MTU",1,IF('House Count'!F1483="ENT",1,0))),0)</f>
        <v/>
      </c>
    </row>
    <row r="1484">
      <c r="H1484" s="192" t="n"/>
      <c r="I1484" s="773" t="n"/>
      <c r="J1484">
        <f>IF('House Count'!H1484="Y",IF('House Count'!F1484="RES-SFU",1,IF('House Count'!F1484="RES-MDU",1,IF('House Count'!F1484="RES-HOA",1,0))),0)</f>
        <v/>
      </c>
      <c r="K1484">
        <f>IF('House Count'!H1484="Y",IF('House Count'!F1484="COMM-SU",1,IF('House Count'!F1484="COM-MTU",1,IF('House Count'!F1484="ENT",1,0))),0)</f>
        <v/>
      </c>
    </row>
    <row r="1485">
      <c r="H1485" s="192" t="n"/>
      <c r="I1485" s="773" t="n"/>
      <c r="J1485">
        <f>IF('House Count'!H1485="Y",IF('House Count'!F1485="RES-SFU",1,IF('House Count'!F1485="RES-MDU",1,IF('House Count'!F1485="RES-HOA",1,0))),0)</f>
        <v/>
      </c>
      <c r="K1485">
        <f>IF('House Count'!H1485="Y",IF('House Count'!F1485="COMM-SU",1,IF('House Count'!F1485="COM-MTU",1,IF('House Count'!F1485="ENT",1,0))),0)</f>
        <v/>
      </c>
    </row>
    <row r="1486">
      <c r="H1486" s="192" t="n"/>
      <c r="I1486" s="773" t="n"/>
      <c r="J1486">
        <f>IF('House Count'!H1486="Y",IF('House Count'!F1486="RES-SFU",1,IF('House Count'!F1486="RES-MDU",1,IF('House Count'!F1486="RES-HOA",1,0))),0)</f>
        <v/>
      </c>
      <c r="K1486">
        <f>IF('House Count'!H1486="Y",IF('House Count'!F1486="COMM-SU",1,IF('House Count'!F1486="COM-MTU",1,IF('House Count'!F1486="ENT",1,0))),0)</f>
        <v/>
      </c>
    </row>
    <row r="1487">
      <c r="H1487" s="192" t="n"/>
      <c r="I1487" s="773" t="n"/>
      <c r="J1487">
        <f>IF('House Count'!H1487="Y",IF('House Count'!F1487="RES-SFU",1,IF('House Count'!F1487="RES-MDU",1,IF('House Count'!F1487="RES-HOA",1,0))),0)</f>
        <v/>
      </c>
      <c r="K1487">
        <f>IF('House Count'!H1487="Y",IF('House Count'!F1487="COMM-SU",1,IF('House Count'!F1487="COM-MTU",1,IF('House Count'!F1487="ENT",1,0))),0)</f>
        <v/>
      </c>
    </row>
    <row r="1488">
      <c r="H1488" s="192" t="n"/>
      <c r="I1488" s="773" t="n"/>
      <c r="J1488">
        <f>IF('House Count'!H1488="Y",IF('House Count'!F1488="RES-SFU",1,IF('House Count'!F1488="RES-MDU",1,IF('House Count'!F1488="RES-HOA",1,0))),0)</f>
        <v/>
      </c>
      <c r="K1488">
        <f>IF('House Count'!H1488="Y",IF('House Count'!F1488="COMM-SU",1,IF('House Count'!F1488="COM-MTU",1,IF('House Count'!F1488="ENT",1,0))),0)</f>
        <v/>
      </c>
    </row>
    <row r="1489" ht="15.75" customHeight="1" thickBot="1">
      <c r="A1489" s="774" t="n"/>
      <c r="B1489" s="774" t="n"/>
      <c r="C1489" s="774" t="n"/>
      <c r="D1489" s="774" t="n"/>
      <c r="E1489" s="774" t="n"/>
      <c r="F1489" s="774" t="n"/>
      <c r="G1489" s="774" t="n"/>
      <c r="H1489" s="774" t="n"/>
      <c r="I1489" s="775" t="n"/>
      <c r="J1489">
        <f>IF('House Count'!H1489="Y",IF('House Count'!F1489="RES-SFU",1,IF('House Count'!F1489="RES-MDU",1,IF('House Count'!F1489="RES-HOA",1,0))),0)</f>
        <v/>
      </c>
      <c r="K1489">
        <f>IF('House Count'!H1489="Y",IF('House Count'!F1489="COMM-SU",1,IF('House Count'!F1489="COM-MTU",1,IF('House Count'!F1489="ENT",1,0))),0)</f>
        <v/>
      </c>
    </row>
    <row r="1490" ht="15.75" customHeight="1" thickTop="1">
      <c r="H1490" s="192" t="n"/>
      <c r="I1490" s="773" t="n"/>
      <c r="J1490">
        <f>IF('House Count'!H1490="Y",IF('House Count'!F1490="RES-SFU",1,IF('House Count'!F1490="RES-MDU",1,IF('House Count'!F1490="RES-HOA",1,0))),0)</f>
        <v/>
      </c>
      <c r="K1490">
        <f>IF('House Count'!H1490="Y",IF('House Count'!F1490="COMM-SU",1,IF('House Count'!F1490="COM-MTU",1,IF('House Count'!F1490="ENT",1,0))),0)</f>
        <v/>
      </c>
    </row>
    <row r="1491">
      <c r="H1491" s="192" t="n"/>
      <c r="I1491" s="773" t="n"/>
      <c r="J1491">
        <f>IF('House Count'!H1491="Y",IF('House Count'!F1491="RES-SFU",1,IF('House Count'!F1491="RES-MDU",1,IF('House Count'!F1491="RES-HOA",1,0))),0)</f>
        <v/>
      </c>
      <c r="K1491">
        <f>IF('House Count'!H1491="Y",IF('House Count'!F1491="COMM-SU",1,IF('House Count'!F1491="COM-MTU",1,IF('House Count'!F1491="ENT",1,0))),0)</f>
        <v/>
      </c>
    </row>
    <row r="1492">
      <c r="H1492" s="192" t="n"/>
      <c r="I1492" s="773" t="n"/>
      <c r="J1492">
        <f>IF('House Count'!H1492="Y",IF('House Count'!F1492="RES-SFU",1,IF('House Count'!F1492="RES-MDU",1,IF('House Count'!F1492="RES-HOA",1,0))),0)</f>
        <v/>
      </c>
      <c r="K1492">
        <f>IF('House Count'!H1492="Y",IF('House Count'!F1492="COMM-SU",1,IF('House Count'!F1492="COM-MTU",1,IF('House Count'!F1492="ENT",1,0))),0)</f>
        <v/>
      </c>
    </row>
    <row r="1493">
      <c r="H1493" s="192" t="n"/>
      <c r="I1493" s="773" t="n"/>
      <c r="J1493">
        <f>IF('House Count'!H1493="Y",IF('House Count'!F1493="RES-SFU",1,IF('House Count'!F1493="RES-MDU",1,IF('House Count'!F1493="RES-HOA",1,0))),0)</f>
        <v/>
      </c>
      <c r="K1493">
        <f>IF('House Count'!H1493="Y",IF('House Count'!F1493="COMM-SU",1,IF('House Count'!F1493="COM-MTU",1,IF('House Count'!F1493="ENT",1,0))),0)</f>
        <v/>
      </c>
    </row>
    <row r="1494">
      <c r="H1494" s="192" t="n"/>
      <c r="I1494" s="773" t="n"/>
      <c r="J1494">
        <f>IF('House Count'!H1494="Y",IF('House Count'!F1494="RES-SFU",1,IF('House Count'!F1494="RES-MDU",1,IF('House Count'!F1494="RES-HOA",1,0))),0)</f>
        <v/>
      </c>
      <c r="K1494">
        <f>IF('House Count'!H1494="Y",IF('House Count'!F1494="COMM-SU",1,IF('House Count'!F1494="COM-MTU",1,IF('House Count'!F1494="ENT",1,0))),0)</f>
        <v/>
      </c>
    </row>
    <row r="1495">
      <c r="H1495" s="192" t="n"/>
      <c r="I1495" s="773" t="n"/>
      <c r="J1495">
        <f>IF('House Count'!H1495="Y",IF('House Count'!F1495="RES-SFU",1,IF('House Count'!F1495="RES-MDU",1,IF('House Count'!F1495="RES-HOA",1,0))),0)</f>
        <v/>
      </c>
      <c r="K1495">
        <f>IF('House Count'!H1495="Y",IF('House Count'!F1495="COMM-SU",1,IF('House Count'!F1495="COM-MTU",1,IF('House Count'!F1495="ENT",1,0))),0)</f>
        <v/>
      </c>
    </row>
    <row r="1496">
      <c r="H1496" s="192" t="n"/>
      <c r="I1496" s="773" t="n"/>
      <c r="J1496">
        <f>IF('House Count'!H1496="Y",IF('House Count'!F1496="RES-SFU",1,IF('House Count'!F1496="RES-MDU",1,IF('House Count'!F1496="RES-HOA",1,0))),0)</f>
        <v/>
      </c>
      <c r="K1496">
        <f>IF('House Count'!H1496="Y",IF('House Count'!F1496="COMM-SU",1,IF('House Count'!F1496="COM-MTU",1,IF('House Count'!F1496="ENT",1,0))),0)</f>
        <v/>
      </c>
    </row>
    <row r="1497">
      <c r="H1497" s="192" t="n"/>
      <c r="I1497" s="773" t="n"/>
      <c r="J1497">
        <f>IF('House Count'!H1497="Y",IF('House Count'!F1497="RES-SFU",1,IF('House Count'!F1497="RES-MDU",1,IF('House Count'!F1497="RES-HOA",1,0))),0)</f>
        <v/>
      </c>
      <c r="K1497">
        <f>IF('House Count'!H1497="Y",IF('House Count'!F1497="COMM-SU",1,IF('House Count'!F1497="COM-MTU",1,IF('House Count'!F1497="ENT",1,0))),0)</f>
        <v/>
      </c>
    </row>
    <row r="1498">
      <c r="H1498" s="192" t="n"/>
      <c r="I1498" s="773" t="n"/>
      <c r="J1498">
        <f>IF('House Count'!H1498="Y",IF('House Count'!F1498="RES-SFU",1,IF('House Count'!F1498="RES-MDU",1,IF('House Count'!F1498="RES-HOA",1,0))),0)</f>
        <v/>
      </c>
      <c r="K1498">
        <f>IF('House Count'!H1498="Y",IF('House Count'!F1498="COMM-SU",1,IF('House Count'!F1498="COM-MTU",1,IF('House Count'!F1498="ENT",1,0))),0)</f>
        <v/>
      </c>
    </row>
    <row r="1499">
      <c r="H1499" s="192" t="n"/>
      <c r="I1499" s="773" t="n"/>
      <c r="J1499">
        <f>IF('House Count'!H1499="Y",IF('House Count'!F1499="RES-SFU",1,IF('House Count'!F1499="RES-MDU",1,IF('House Count'!F1499="RES-HOA",1,0))),0)</f>
        <v/>
      </c>
      <c r="K1499">
        <f>IF('House Count'!H1499="Y",IF('House Count'!F1499="COMM-SU",1,IF('House Count'!F1499="COM-MTU",1,IF('House Count'!F1499="ENT",1,0))),0)</f>
        <v/>
      </c>
    </row>
    <row r="1500">
      <c r="H1500" s="192" t="n"/>
      <c r="I1500" s="773" t="n"/>
      <c r="J1500">
        <f>IF('House Count'!H1500="Y",IF('House Count'!F1500="RES-SFU",1,IF('House Count'!F1500="RES-MDU",1,IF('House Count'!F1500="RES-HOA",1,0))),0)</f>
        <v/>
      </c>
      <c r="K1500">
        <f>IF('House Count'!H1500="Y",IF('House Count'!F1500="COMM-SU",1,IF('House Count'!F1500="COM-MTU",1,IF('House Count'!F1500="ENT",1,0))),0)</f>
        <v/>
      </c>
    </row>
    <row r="1501" ht="15.75" customHeight="1" thickBot="1">
      <c r="A1501" s="774" t="n"/>
      <c r="B1501" s="774" t="n"/>
      <c r="C1501" s="774" t="n"/>
      <c r="D1501" s="774" t="n"/>
      <c r="E1501" s="774" t="n"/>
      <c r="F1501" s="774" t="n"/>
      <c r="G1501" s="774" t="n"/>
      <c r="H1501" s="774" t="n"/>
      <c r="I1501" s="775" t="n"/>
      <c r="J1501">
        <f>IF('House Count'!H1501="Y",IF('House Count'!F1501="RES-SFU",1,IF('House Count'!F1501="RES-MDU",1,IF('House Count'!F1501="RES-HOA",1,0))),0)</f>
        <v/>
      </c>
      <c r="K1501">
        <f>IF('House Count'!H1501="Y",IF('House Count'!F1501="COMM-SU",1,IF('House Count'!F1501="COM-MTU",1,IF('House Count'!F1501="ENT",1,0))),0)</f>
        <v/>
      </c>
    </row>
    <row r="1502" ht="15.75" customHeight="1" thickTop="1">
      <c r="H1502" s="192" t="n"/>
      <c r="I1502" s="773" t="n"/>
      <c r="J1502">
        <f>IF('House Count'!H1502="Y",IF('House Count'!F1502="RES-SFU",1,IF('House Count'!F1502="RES-MDU",1,IF('House Count'!F1502="RES-HOA",1,0))),0)</f>
        <v/>
      </c>
      <c r="K1502">
        <f>IF('House Count'!H1502="Y",IF('House Count'!F1502="COMM-SU",1,IF('House Count'!F1502="COM-MTU",1,IF('House Count'!F1502="ENT",1,0))),0)</f>
        <v/>
      </c>
    </row>
    <row r="1503">
      <c r="H1503" s="192" t="n"/>
      <c r="I1503" s="773" t="n"/>
      <c r="J1503">
        <f>IF('House Count'!H1503="Y",IF('House Count'!F1503="RES-SFU",1,IF('House Count'!F1503="RES-MDU",1,IF('House Count'!F1503="RES-HOA",1,0))),0)</f>
        <v/>
      </c>
      <c r="K1503">
        <f>IF('House Count'!H1503="Y",IF('House Count'!F1503="COMM-SU",1,IF('House Count'!F1503="COM-MTU",1,IF('House Count'!F1503="ENT",1,0))),0)</f>
        <v/>
      </c>
    </row>
    <row r="1504">
      <c r="H1504" s="192" t="n"/>
      <c r="I1504" s="773" t="n"/>
      <c r="J1504">
        <f>IF('House Count'!H1504="Y",IF('House Count'!F1504="RES-SFU",1,IF('House Count'!F1504="RES-MDU",1,IF('House Count'!F1504="RES-HOA",1,0))),0)</f>
        <v/>
      </c>
      <c r="K1504">
        <f>IF('House Count'!H1504="Y",IF('House Count'!F1504="COMM-SU",1,IF('House Count'!F1504="COM-MTU",1,IF('House Count'!F1504="ENT",1,0))),0)</f>
        <v/>
      </c>
    </row>
    <row r="1505">
      <c r="H1505" s="192" t="n"/>
      <c r="I1505" s="773" t="n"/>
      <c r="J1505">
        <f>IF('House Count'!H1505="Y",IF('House Count'!F1505="RES-SFU",1,IF('House Count'!F1505="RES-MDU",1,IF('House Count'!F1505="RES-HOA",1,0))),0)</f>
        <v/>
      </c>
      <c r="K1505">
        <f>IF('House Count'!H1505="Y",IF('House Count'!F1505="COMM-SU",1,IF('House Count'!F1505="COM-MTU",1,IF('House Count'!F1505="ENT",1,0))),0)</f>
        <v/>
      </c>
    </row>
    <row r="1506">
      <c r="H1506" s="192" t="n"/>
      <c r="I1506" s="773" t="n"/>
      <c r="J1506">
        <f>IF('House Count'!H1506="Y",IF('House Count'!F1506="RES-SFU",1,IF('House Count'!F1506="RES-MDU",1,IF('House Count'!F1506="RES-HOA",1,0))),0)</f>
        <v/>
      </c>
      <c r="K1506">
        <f>IF('House Count'!H1506="Y",IF('House Count'!F1506="COMM-SU",1,IF('House Count'!F1506="COM-MTU",1,IF('House Count'!F1506="ENT",1,0))),0)</f>
        <v/>
      </c>
    </row>
    <row r="1507">
      <c r="H1507" s="192" t="n"/>
      <c r="I1507" s="773" t="n"/>
      <c r="J1507">
        <f>IF('House Count'!H1507="Y",IF('House Count'!F1507="RES-SFU",1,IF('House Count'!F1507="RES-MDU",1,IF('House Count'!F1507="RES-HOA",1,0))),0)</f>
        <v/>
      </c>
      <c r="K1507">
        <f>IF('House Count'!H1507="Y",IF('House Count'!F1507="COMM-SU",1,IF('House Count'!F1507="COM-MTU",1,IF('House Count'!F1507="ENT",1,0))),0)</f>
        <v/>
      </c>
    </row>
    <row r="1508">
      <c r="H1508" s="192" t="n"/>
      <c r="I1508" s="773" t="n"/>
      <c r="J1508">
        <f>IF('House Count'!H1508="Y",IF('House Count'!F1508="RES-SFU",1,IF('House Count'!F1508="RES-MDU",1,IF('House Count'!F1508="RES-HOA",1,0))),0)</f>
        <v/>
      </c>
      <c r="K1508">
        <f>IF('House Count'!H1508="Y",IF('House Count'!F1508="COMM-SU",1,IF('House Count'!F1508="COM-MTU",1,IF('House Count'!F1508="ENT",1,0))),0)</f>
        <v/>
      </c>
    </row>
    <row r="1509">
      <c r="H1509" s="192" t="n"/>
      <c r="I1509" s="773" t="n"/>
      <c r="J1509">
        <f>IF('House Count'!H1509="Y",IF('House Count'!F1509="RES-SFU",1,IF('House Count'!F1509="RES-MDU",1,IF('House Count'!F1509="RES-HOA",1,0))),0)</f>
        <v/>
      </c>
      <c r="K1509">
        <f>IF('House Count'!H1509="Y",IF('House Count'!F1509="COMM-SU",1,IF('House Count'!F1509="COM-MTU",1,IF('House Count'!F1509="ENT",1,0))),0)</f>
        <v/>
      </c>
    </row>
    <row r="1510">
      <c r="H1510" s="192" t="n"/>
      <c r="I1510" s="773" t="n"/>
      <c r="J1510">
        <f>IF('House Count'!H1510="Y",IF('House Count'!F1510="RES-SFU",1,IF('House Count'!F1510="RES-MDU",1,IF('House Count'!F1510="RES-HOA",1,0))),0)</f>
        <v/>
      </c>
      <c r="K1510">
        <f>IF('House Count'!H1510="Y",IF('House Count'!F1510="COMM-SU",1,IF('House Count'!F1510="COM-MTU",1,IF('House Count'!F1510="ENT",1,0))),0)</f>
        <v/>
      </c>
    </row>
    <row r="1511">
      <c r="H1511" s="192" t="n"/>
      <c r="I1511" s="773" t="n"/>
      <c r="J1511">
        <f>IF('House Count'!H1511="Y",IF('House Count'!F1511="RES-SFU",1,IF('House Count'!F1511="RES-MDU",1,IF('House Count'!F1511="RES-HOA",1,0))),0)</f>
        <v/>
      </c>
      <c r="K1511">
        <f>IF('House Count'!H1511="Y",IF('House Count'!F1511="COMM-SU",1,IF('House Count'!F1511="COM-MTU",1,IF('House Count'!F1511="ENT",1,0))),0)</f>
        <v/>
      </c>
    </row>
    <row r="1512">
      <c r="H1512" s="192" t="n"/>
      <c r="I1512" s="773" t="n"/>
      <c r="J1512">
        <f>IF('House Count'!H1512="Y",IF('House Count'!F1512="RES-SFU",1,IF('House Count'!F1512="RES-MDU",1,IF('House Count'!F1512="RES-HOA",1,0))),0)</f>
        <v/>
      </c>
      <c r="K1512">
        <f>IF('House Count'!H1512="Y",IF('House Count'!F1512="COMM-SU",1,IF('House Count'!F1512="COM-MTU",1,IF('House Count'!F1512="ENT",1,0))),0)</f>
        <v/>
      </c>
    </row>
    <row r="1513" ht="15.75" customHeight="1" thickBot="1">
      <c r="A1513" s="774" t="n"/>
      <c r="B1513" s="774" t="n"/>
      <c r="C1513" s="774" t="n"/>
      <c r="D1513" s="774" t="n"/>
      <c r="E1513" s="774" t="n"/>
      <c r="F1513" s="774" t="n"/>
      <c r="G1513" s="774" t="n"/>
      <c r="H1513" s="774" t="n"/>
      <c r="I1513" s="775" t="n"/>
      <c r="J1513">
        <f>IF('House Count'!H1513="Y",IF('House Count'!F1513="RES-SFU",1,IF('House Count'!F1513="RES-MDU",1,IF('House Count'!F1513="RES-HOA",1,0))),0)</f>
        <v/>
      </c>
      <c r="K1513">
        <f>IF('House Count'!H1513="Y",IF('House Count'!F1513="COMM-SU",1,IF('House Count'!F1513="COM-MTU",1,IF('House Count'!F1513="ENT",1,0))),0)</f>
        <v/>
      </c>
    </row>
    <row r="1514" ht="15.75" customHeight="1" thickTop="1"/>
  </sheetData>
  <autoFilter ref="A1:I1"/>
  <conditionalFormatting sqref="A2:I1513">
    <cfRule type="expression" priority="265" dxfId="264">
      <formula>$H2="N"</formula>
    </cfRule>
  </conditionalFormatting>
  <dataValidations count="4">
    <dataValidation sqref="G722:G1048576" showDropDown="0" showInputMessage="1" showErrorMessage="1" allowBlank="1" type="list">
      <formula1>"FA, RA, FB, FDB, RDB, PUE, SSR"</formula1>
    </dataValidation>
    <dataValidation sqref="F2:F1048576" showDropDown="0" showInputMessage="1" showErrorMessage="1" allowBlank="1" type="list">
      <formula1>"RES-SFU, RES-HOA, RES-MDU, COMM-SU, COM-MTU, ENT, VL"</formula1>
    </dataValidation>
    <dataValidation sqref="G2:G721" showDropDown="0" showInputMessage="1" showErrorMessage="1" allowBlank="1" type="list">
      <formula1>"AERIAL,BURIED"</formula1>
    </dataValidation>
    <dataValidation sqref="H2:H721" showDropDown="0" showInputMessage="1" showErrorMessage="1" allowBlank="1" type="list">
      <formula1>"Y, N"</formula1>
    </dataValidation>
  </dataValidations>
  <printOptions gridLines="1"/>
  <pageMargins left="0.7" right="0.7" top="0.75" bottom="0.75" header="0.3" footer="0.3"/>
  <pageSetup orientation="portrait" scale="10" horizontalDpi="4294967293"/>
</worksheet>
</file>

<file path=xl/worksheets/sheet9.xml><?xml version="1.0" encoding="utf-8"?>
<worksheet xmlns="http://schemas.openxmlformats.org/spreadsheetml/2006/main">
  <sheetPr codeName="Sheet10">
    <outlinePr summaryBelow="1" summaryRight="1"/>
    <pageSetUpPr/>
  </sheetPr>
  <dimension ref="A1:K79"/>
  <sheetViews>
    <sheetView workbookViewId="0">
      <selection activeCell="B7" sqref="B7"/>
    </sheetView>
  </sheetViews>
  <sheetFormatPr baseColWidth="8" defaultRowHeight="15"/>
  <cols>
    <col width="13.7109375" customWidth="1" min="1" max="1"/>
    <col width="26" bestFit="1" customWidth="1" min="5" max="5"/>
    <col width="62.7109375" customWidth="1" min="6" max="6"/>
    <col width="12.85546875" customWidth="1" min="7" max="7"/>
    <col width="23" customWidth="1" min="8" max="8"/>
    <col width="11.85546875" customWidth="1" min="11" max="11"/>
  </cols>
  <sheetData>
    <row r="1" ht="15.75" customHeight="1">
      <c r="A1" s="1042" t="inlineStr">
        <is>
          <t>Material Estimate Worksheet</t>
        </is>
      </c>
    </row>
    <row r="2">
      <c r="A2" s="694" t="n"/>
      <c r="B2" s="1043" t="n"/>
      <c r="D2" s="695" t="n"/>
      <c r="E2" s="695" t="n"/>
      <c r="F2" s="696" t="n"/>
      <c r="G2" s="696" t="n"/>
      <c r="H2" s="697" t="n"/>
      <c r="I2" s="697" t="n"/>
      <c r="J2" s="695" t="n"/>
      <c r="K2" s="695" t="n"/>
    </row>
    <row r="3">
      <c r="A3" s="694" t="inlineStr">
        <is>
          <t>Move Order #</t>
        </is>
      </c>
      <c r="B3" s="1033" t="n"/>
      <c r="C3" s="1148" t="n"/>
      <c r="D3" s="1034" t="inlineStr">
        <is>
          <t>Job Description:</t>
        </is>
      </c>
      <c r="F3" s="1033">
        <f>'COVER SHEET'!B3</f>
        <v/>
      </c>
      <c r="G3" s="1043" t="n"/>
      <c r="H3" s="700" t="n"/>
      <c r="I3" s="701" t="n"/>
      <c r="J3" s="700" t="n"/>
      <c r="K3" s="695" t="n"/>
    </row>
    <row r="4">
      <c r="A4" s="694" t="inlineStr">
        <is>
          <t>Job #:</t>
        </is>
      </c>
      <c r="B4" s="1033">
        <f>'COVER SHEET'!F4</f>
        <v/>
      </c>
      <c r="C4" s="1148" t="n"/>
      <c r="D4" s="1034" t="inlineStr">
        <is>
          <t>Branch Plant:</t>
        </is>
      </c>
      <c r="F4" s="702" t="n"/>
      <c r="G4" s="703" t="n"/>
      <c r="H4" s="694" t="inlineStr">
        <is>
          <t>LUMOS Employee Signature</t>
        </is>
      </c>
      <c r="I4" s="694" t="n"/>
      <c r="J4" s="694" t="inlineStr">
        <is>
          <t>Date</t>
        </is>
      </c>
      <c r="K4" s="694" t="n"/>
    </row>
    <row r="5">
      <c r="A5" s="694" t="inlineStr">
        <is>
          <t>Capital Bud. #:</t>
        </is>
      </c>
      <c r="B5" s="1033" t="n"/>
      <c r="C5" s="1148" t="n"/>
      <c r="D5" s="1034" t="inlineStr">
        <is>
          <t>Engineer:</t>
        </is>
      </c>
      <c r="F5" s="1033">
        <f>'COVER SHEET'!F2:G2</f>
        <v/>
      </c>
      <c r="G5" s="1043" t="n"/>
      <c r="H5" s="704" t="n"/>
      <c r="I5" s="694" t="n"/>
      <c r="J5" s="695" t="n"/>
      <c r="K5" s="695" t="n"/>
    </row>
    <row r="6">
      <c r="A6" s="694" t="inlineStr">
        <is>
          <t>Date:</t>
        </is>
      </c>
      <c r="B6" s="1035" t="n"/>
      <c r="C6" s="1148" t="n"/>
      <c r="D6" s="1034" t="inlineStr">
        <is>
          <t>Tax District:</t>
        </is>
      </c>
      <c r="F6" s="705" t="n"/>
      <c r="G6" s="706" t="n"/>
      <c r="H6" s="707" t="n"/>
      <c r="I6" s="701" t="n"/>
      <c r="J6" s="707" t="n"/>
      <c r="K6" s="695" t="n"/>
    </row>
    <row r="7">
      <c r="A7" s="695" t="n"/>
      <c r="B7" s="695" t="n"/>
      <c r="C7" s="695" t="n"/>
      <c r="D7" s="695" t="n"/>
      <c r="E7" s="695" t="n"/>
      <c r="F7" s="695" t="n"/>
      <c r="G7" s="695" t="n"/>
      <c r="H7" s="704" t="inlineStr">
        <is>
          <t>Contractor Name &amp; Signature</t>
        </is>
      </c>
      <c r="I7" s="694" t="n"/>
      <c r="J7" s="694" t="inlineStr">
        <is>
          <t>Date</t>
        </is>
      </c>
      <c r="K7" s="695" t="n"/>
    </row>
    <row r="8">
      <c r="A8" s="708" t="inlineStr">
        <is>
          <t>Account</t>
        </is>
      </c>
      <c r="B8" s="709" t="n"/>
      <c r="C8" s="709" t="inlineStr">
        <is>
          <t>Actual</t>
        </is>
      </c>
      <c r="D8" s="709" t="inlineStr">
        <is>
          <t>Reel</t>
        </is>
      </c>
      <c r="E8" s="709" t="n"/>
      <c r="F8" s="709" t="n"/>
      <c r="G8" s="708" t="n"/>
      <c r="H8" s="708" t="inlineStr">
        <is>
          <t>Sub Total</t>
        </is>
      </c>
      <c r="I8" s="708" t="inlineStr">
        <is>
          <t>Material</t>
        </is>
      </c>
      <c r="J8" s="709" t="inlineStr">
        <is>
          <t>Quantity</t>
        </is>
      </c>
      <c r="K8" s="710" t="inlineStr">
        <is>
          <t>Document</t>
        </is>
      </c>
    </row>
    <row r="9">
      <c r="A9" s="711" t="inlineStr">
        <is>
          <t>Code</t>
        </is>
      </c>
      <c r="B9" s="712" t="inlineStr">
        <is>
          <t>Quantity</t>
        </is>
      </c>
      <c r="C9" s="712" t="inlineStr">
        <is>
          <t>Quantity</t>
        </is>
      </c>
      <c r="D9" s="712" t="inlineStr">
        <is>
          <t>Number</t>
        </is>
      </c>
      <c r="E9" s="712" t="inlineStr">
        <is>
          <t>Item No.</t>
        </is>
      </c>
      <c r="F9" s="712" t="inlineStr">
        <is>
          <t>Description</t>
        </is>
      </c>
      <c r="G9" s="711" t="inlineStr">
        <is>
          <t>Cost</t>
        </is>
      </c>
      <c r="H9" s="711" t="inlineStr">
        <is>
          <t>Cost</t>
        </is>
      </c>
      <c r="I9" s="713" t="inlineStr">
        <is>
          <t>Trans Loc</t>
        </is>
      </c>
      <c r="J9" s="712" t="inlineStr">
        <is>
          <t>Returned</t>
        </is>
      </c>
      <c r="K9" s="714" t="inlineStr">
        <is>
          <t>Number</t>
        </is>
      </c>
    </row>
    <row r="10">
      <c r="A10" s="715">
        <f t="array" ref="A10">_xlfn._xlws.FILTER(MATERIAL!A6:H341,(MATERIAL!B6:B341&lt;&gt;"")*(MATERIAL!B6:B341&lt;&gt;0)*(MATERIAL!B6:B341&lt;&gt;"-"))</f>
        <v/>
      </c>
      <c r="B10" s="716" t="n"/>
      <c r="C10" s="717" t="n"/>
      <c r="D10" s="717" t="n"/>
      <c r="E10" s="718" t="n"/>
      <c r="F10" s="718" t="n"/>
      <c r="G10" s="719" t="n"/>
      <c r="H10" s="1150" t="n"/>
      <c r="I10" s="721" t="n"/>
      <c r="J10" s="722" t="n"/>
      <c r="K10" s="721" t="n"/>
    </row>
    <row r="11">
      <c r="A11" s="715" t="n"/>
      <c r="B11" s="716" t="n"/>
      <c r="C11" s="717" t="n"/>
      <c r="D11" s="717" t="n"/>
      <c r="E11" s="718" t="n"/>
      <c r="F11" s="718" t="n"/>
      <c r="G11" s="719" t="n"/>
      <c r="H11" s="1150" t="n"/>
      <c r="I11" s="721" t="n"/>
      <c r="J11" s="722" t="n"/>
      <c r="K11" s="721" t="n"/>
    </row>
    <row r="12">
      <c r="A12" s="715" t="n"/>
      <c r="B12" s="716" t="n"/>
      <c r="C12" s="717" t="n"/>
      <c r="D12" s="717" t="n"/>
      <c r="E12" s="718" t="n"/>
      <c r="F12" s="718" t="n"/>
      <c r="G12" s="719" t="n"/>
      <c r="H12" s="1150" t="n"/>
      <c r="I12" s="721" t="n"/>
      <c r="J12" s="722" t="n"/>
      <c r="K12" s="721" t="n"/>
    </row>
    <row r="13">
      <c r="A13" s="715" t="n"/>
      <c r="B13" s="716" t="n"/>
      <c r="C13" s="717" t="n"/>
      <c r="D13" s="717" t="n"/>
      <c r="E13" s="718" t="n"/>
      <c r="F13" s="718" t="n"/>
      <c r="G13" s="719" t="n"/>
      <c r="H13" s="1150" t="n"/>
      <c r="I13" s="721" t="n"/>
      <c r="J13" s="722" t="n"/>
      <c r="K13" s="721" t="n"/>
    </row>
    <row r="14">
      <c r="A14" s="715" t="n"/>
      <c r="B14" s="716" t="n"/>
      <c r="C14" s="717" t="n"/>
      <c r="D14" s="717" t="n"/>
      <c r="E14" s="718" t="n"/>
      <c r="F14" s="718" t="n"/>
      <c r="G14" s="719" t="n"/>
      <c r="H14" s="1150" t="n"/>
      <c r="I14" s="721" t="n"/>
      <c r="J14" s="722" t="n"/>
      <c r="K14" s="721" t="n"/>
    </row>
    <row r="15">
      <c r="A15" s="715" t="n"/>
      <c r="B15" s="716" t="n"/>
      <c r="C15" s="717" t="n"/>
      <c r="D15" s="717" t="n"/>
      <c r="E15" s="718" t="n"/>
      <c r="F15" s="718" t="n"/>
      <c r="G15" s="719" t="n"/>
      <c r="H15" s="1150" t="n"/>
      <c r="I15" s="721" t="n"/>
      <c r="J15" s="722" t="n"/>
      <c r="K15" s="721" t="n"/>
    </row>
    <row r="16">
      <c r="A16" s="715" t="n"/>
      <c r="B16" s="716" t="n"/>
      <c r="C16" s="717" t="n"/>
      <c r="D16" s="717" t="n"/>
      <c r="E16" s="718" t="n"/>
      <c r="F16" s="718" t="n"/>
      <c r="G16" s="719" t="n"/>
      <c r="H16" s="1150" t="n"/>
      <c r="I16" s="721" t="n"/>
      <c r="J16" s="722" t="n"/>
      <c r="K16" s="721" t="n"/>
    </row>
    <row r="17">
      <c r="A17" s="715" t="n"/>
      <c r="B17" s="716" t="n"/>
      <c r="C17" s="717" t="n"/>
      <c r="D17" s="717" t="n"/>
      <c r="E17" s="718" t="n"/>
      <c r="F17" s="718" t="n"/>
      <c r="G17" s="719" t="n"/>
      <c r="H17" s="1150" t="n"/>
      <c r="I17" s="721" t="n"/>
      <c r="J17" s="722" t="n"/>
      <c r="K17" s="721" t="n"/>
    </row>
    <row r="18">
      <c r="A18" s="715" t="n"/>
      <c r="B18" s="716" t="n"/>
      <c r="C18" s="717" t="n"/>
      <c r="D18" s="717" t="n"/>
      <c r="E18" s="718" t="n"/>
      <c r="F18" s="718" t="n"/>
      <c r="G18" s="719" t="n"/>
      <c r="H18" s="1150" t="n"/>
      <c r="I18" s="721" t="n"/>
      <c r="J18" s="722" t="n"/>
      <c r="K18" s="721" t="n"/>
    </row>
    <row r="19">
      <c r="A19" s="715" t="n"/>
      <c r="B19" s="716" t="n"/>
      <c r="C19" s="717" t="n"/>
      <c r="D19" s="717" t="n"/>
      <c r="E19" s="718" t="n"/>
      <c r="F19" s="718" t="n"/>
      <c r="G19" s="719" t="n"/>
      <c r="H19" s="1150" t="n"/>
      <c r="I19" s="721" t="n"/>
      <c r="J19" s="722" t="n"/>
      <c r="K19" s="721" t="n"/>
    </row>
    <row r="20">
      <c r="A20" s="715" t="n"/>
      <c r="B20" s="716" t="n"/>
      <c r="C20" s="717" t="n"/>
      <c r="D20" s="717" t="n"/>
      <c r="E20" s="718" t="n"/>
      <c r="F20" s="718" t="n"/>
      <c r="G20" s="719" t="n"/>
      <c r="H20" s="1150" t="n"/>
      <c r="I20" s="721" t="n"/>
      <c r="J20" s="722" t="n"/>
      <c r="K20" s="721" t="n"/>
    </row>
    <row r="21">
      <c r="A21" s="715" t="n"/>
      <c r="B21" s="716" t="n"/>
      <c r="C21" s="717" t="n"/>
      <c r="D21" s="717" t="n"/>
      <c r="E21" s="718" t="n"/>
      <c r="F21" s="718" t="n"/>
      <c r="G21" s="719" t="n"/>
      <c r="H21" s="1150" t="n"/>
      <c r="I21" s="721" t="n"/>
      <c r="J21" s="722" t="n"/>
      <c r="K21" s="721" t="n"/>
    </row>
    <row r="22">
      <c r="A22" s="715" t="n"/>
      <c r="B22" s="716" t="n"/>
      <c r="C22" s="717" t="n"/>
      <c r="D22" s="717" t="n"/>
      <c r="E22" s="718" t="n"/>
      <c r="F22" s="718" t="n"/>
      <c r="G22" s="719" t="n"/>
      <c r="H22" s="1150" t="n"/>
      <c r="I22" s="721" t="n"/>
      <c r="J22" s="722" t="n"/>
      <c r="K22" s="721" t="n"/>
    </row>
    <row r="23">
      <c r="A23" s="715" t="n"/>
      <c r="B23" s="716" t="n"/>
      <c r="C23" s="717" t="n"/>
      <c r="D23" s="717" t="n"/>
      <c r="E23" s="718" t="n"/>
      <c r="F23" s="718" t="n"/>
      <c r="G23" s="719" t="n"/>
      <c r="H23" s="1150" t="n"/>
      <c r="I23" s="721" t="n"/>
      <c r="J23" s="722" t="n"/>
      <c r="K23" s="721" t="n"/>
    </row>
    <row r="24">
      <c r="A24" s="715" t="n"/>
      <c r="B24" s="716" t="n"/>
      <c r="C24" s="717" t="n"/>
      <c r="D24" s="717" t="n"/>
      <c r="E24" s="718" t="n"/>
      <c r="F24" s="718" t="n"/>
      <c r="G24" s="719" t="n"/>
      <c r="H24" s="1150" t="n"/>
      <c r="I24" s="721" t="n"/>
      <c r="J24" s="722" t="n"/>
      <c r="K24" s="721" t="n"/>
    </row>
    <row r="25">
      <c r="A25" s="715" t="n"/>
      <c r="B25" s="716" t="n"/>
      <c r="C25" s="717" t="n"/>
      <c r="D25" s="717" t="n"/>
      <c r="E25" s="718" t="n"/>
      <c r="F25" s="718" t="n"/>
      <c r="G25" s="719" t="n"/>
      <c r="H25" s="1150" t="n"/>
      <c r="I25" s="721" t="n"/>
      <c r="J25" s="722" t="n"/>
      <c r="K25" s="721" t="n"/>
    </row>
    <row r="26">
      <c r="A26" s="715" t="n"/>
      <c r="B26" s="716" t="n"/>
      <c r="C26" s="717" t="n"/>
      <c r="D26" s="717" t="n"/>
      <c r="E26" s="718" t="n"/>
      <c r="F26" s="718" t="n"/>
      <c r="G26" s="719" t="n"/>
      <c r="H26" s="1150" t="n"/>
      <c r="I26" s="721" t="n"/>
      <c r="J26" s="722" t="n"/>
      <c r="K26" s="721" t="n"/>
    </row>
    <row r="27">
      <c r="A27" s="715" t="n"/>
      <c r="B27" s="716" t="n"/>
      <c r="C27" s="717" t="n"/>
      <c r="D27" s="717" t="n"/>
      <c r="E27" s="718" t="n"/>
      <c r="F27" s="718" t="n"/>
      <c r="G27" s="719" t="n"/>
      <c r="H27" s="1150" t="n"/>
      <c r="I27" s="721" t="n"/>
      <c r="J27" s="722" t="n"/>
      <c r="K27" s="721" t="n"/>
    </row>
    <row r="28">
      <c r="A28" s="715" t="n"/>
      <c r="B28" s="716" t="n"/>
      <c r="C28" s="717" t="n"/>
      <c r="D28" s="717" t="n"/>
      <c r="E28" s="718" t="n"/>
      <c r="F28" s="718" t="n"/>
      <c r="G28" s="719" t="n"/>
      <c r="H28" s="1150" t="n"/>
      <c r="I28" s="721" t="n"/>
      <c r="J28" s="722" t="n"/>
      <c r="K28" s="721" t="n"/>
    </row>
    <row r="29">
      <c r="A29" s="715" t="n"/>
      <c r="B29" s="716" t="n"/>
      <c r="C29" s="717" t="n"/>
      <c r="D29" s="717" t="n"/>
      <c r="E29" s="718" t="n"/>
      <c r="F29" s="718" t="n"/>
      <c r="G29" s="719" t="n"/>
      <c r="H29" s="1150" t="n"/>
      <c r="I29" s="721" t="n"/>
      <c r="J29" s="722" t="n"/>
      <c r="K29" s="721" t="n"/>
    </row>
    <row r="30">
      <c r="A30" s="715" t="n"/>
      <c r="B30" s="716" t="n"/>
      <c r="C30" s="717" t="n"/>
      <c r="D30" s="717" t="n"/>
      <c r="E30" s="718" t="n"/>
      <c r="F30" s="718" t="n"/>
      <c r="G30" s="719" t="n"/>
      <c r="H30" s="1150" t="n"/>
      <c r="I30" s="721" t="n"/>
      <c r="J30" s="722" t="n"/>
      <c r="K30" s="721" t="n"/>
    </row>
    <row r="31">
      <c r="A31" s="715" t="n"/>
      <c r="B31" s="716" t="n"/>
      <c r="C31" s="717" t="n"/>
      <c r="D31" s="717" t="n"/>
      <c r="E31" s="718" t="n"/>
      <c r="F31" s="718" t="n"/>
      <c r="G31" s="719" t="n"/>
      <c r="H31" s="1150" t="n"/>
      <c r="I31" s="721" t="n"/>
      <c r="J31" s="722" t="n"/>
      <c r="K31" s="721" t="n"/>
    </row>
    <row r="32">
      <c r="A32" s="715" t="n"/>
      <c r="B32" s="716" t="n"/>
      <c r="C32" s="717" t="n"/>
      <c r="D32" s="717" t="n"/>
      <c r="E32" s="718" t="n"/>
      <c r="F32" s="718" t="n"/>
      <c r="G32" s="719" t="n"/>
      <c r="H32" s="1150" t="n"/>
      <c r="I32" s="721" t="n"/>
      <c r="J32" s="722" t="n"/>
      <c r="K32" s="721" t="n"/>
    </row>
    <row r="33">
      <c r="A33" s="715" t="n"/>
      <c r="B33" s="716" t="n"/>
      <c r="C33" s="717" t="n"/>
      <c r="D33" s="717" t="n"/>
      <c r="E33" s="718" t="n"/>
      <c r="F33" s="718" t="n"/>
      <c r="G33" s="719" t="n"/>
      <c r="H33" s="1150" t="n"/>
      <c r="I33" s="721" t="n"/>
      <c r="J33" s="722" t="n"/>
      <c r="K33" s="721" t="n"/>
    </row>
    <row r="34">
      <c r="A34" s="715" t="n"/>
      <c r="B34" s="716" t="n"/>
      <c r="C34" s="717" t="n"/>
      <c r="D34" s="717" t="n"/>
      <c r="E34" s="718" t="n"/>
      <c r="F34" s="718" t="n"/>
      <c r="G34" s="719" t="n"/>
      <c r="H34" s="1150" t="n"/>
      <c r="I34" s="721" t="n"/>
      <c r="J34" s="722" t="n"/>
      <c r="K34" s="721" t="n"/>
    </row>
    <row r="35">
      <c r="A35" s="715" t="n"/>
      <c r="B35" s="716" t="n"/>
      <c r="C35" s="717" t="n"/>
      <c r="D35" s="717" t="n"/>
      <c r="E35" s="718" t="n"/>
      <c r="F35" s="718" t="n"/>
      <c r="G35" s="719" t="n"/>
      <c r="H35" s="1150" t="n"/>
      <c r="I35" s="721" t="n"/>
      <c r="J35" s="722" t="n"/>
      <c r="K35" s="721" t="n"/>
    </row>
    <row r="36">
      <c r="A36" s="715" t="n"/>
      <c r="B36" s="716" t="n"/>
      <c r="C36" s="717" t="n"/>
      <c r="D36" s="717" t="n"/>
      <c r="E36" s="718" t="n"/>
      <c r="F36" s="718" t="n"/>
      <c r="G36" s="719" t="n"/>
      <c r="H36" s="1150" t="n"/>
      <c r="I36" s="721" t="n"/>
      <c r="J36" s="722" t="n"/>
      <c r="K36" s="721" t="n"/>
    </row>
    <row r="37">
      <c r="A37" s="715" t="n"/>
      <c r="B37" s="716" t="n"/>
      <c r="C37" s="717" t="n"/>
      <c r="D37" s="717" t="n"/>
      <c r="E37" s="718" t="n"/>
      <c r="F37" s="718" t="n"/>
      <c r="G37" s="719" t="n"/>
      <c r="H37" s="1150" t="n"/>
      <c r="I37" s="721" t="n"/>
      <c r="J37" s="722" t="n"/>
      <c r="K37" s="721" t="n"/>
    </row>
    <row r="38">
      <c r="A38" s="715" t="n"/>
      <c r="B38" s="716" t="n"/>
      <c r="C38" s="717" t="n"/>
      <c r="D38" s="717" t="n"/>
      <c r="E38" s="718" t="n"/>
      <c r="F38" s="718" t="n"/>
      <c r="G38" s="719" t="n"/>
      <c r="H38" s="1150" t="n"/>
      <c r="I38" s="721" t="n"/>
      <c r="J38" s="722" t="n"/>
      <c r="K38" s="721" t="n"/>
    </row>
    <row r="39">
      <c r="A39" s="715" t="n"/>
      <c r="B39" s="716" t="n"/>
      <c r="C39" s="717" t="n"/>
      <c r="D39" s="717" t="n"/>
      <c r="E39" s="718" t="n"/>
      <c r="F39" s="718" t="n"/>
      <c r="G39" s="719" t="n"/>
      <c r="H39" s="1150" t="n"/>
      <c r="I39" s="721" t="n"/>
      <c r="J39" s="722" t="n"/>
      <c r="K39" s="721" t="n"/>
    </row>
    <row r="40">
      <c r="A40" s="715" t="n"/>
      <c r="B40" s="716" t="n"/>
      <c r="C40" s="717" t="n"/>
      <c r="D40" s="717" t="n"/>
      <c r="E40" s="718" t="n"/>
      <c r="F40" s="718" t="n"/>
      <c r="G40" s="719" t="n"/>
      <c r="H40" s="1150" t="n"/>
      <c r="I40" s="721" t="n"/>
      <c r="J40" s="722" t="n"/>
      <c r="K40" s="721" t="n"/>
    </row>
    <row r="41">
      <c r="A41" s="715" t="n"/>
      <c r="B41" s="716" t="n"/>
      <c r="C41" s="717" t="n"/>
      <c r="D41" s="717" t="n"/>
      <c r="E41" s="718" t="n"/>
      <c r="F41" s="718" t="n"/>
      <c r="G41" s="719" t="n"/>
      <c r="H41" s="1150" t="n"/>
      <c r="I41" s="721" t="n"/>
      <c r="J41" s="722" t="n"/>
      <c r="K41" s="721" t="n"/>
    </row>
    <row r="42">
      <c r="A42" s="715" t="n"/>
      <c r="B42" s="716" t="n"/>
      <c r="C42" s="717" t="n"/>
      <c r="D42" s="717" t="n"/>
      <c r="E42" s="718" t="n"/>
      <c r="F42" s="718" t="n"/>
      <c r="G42" s="719" t="n"/>
      <c r="H42" s="1150" t="n"/>
      <c r="I42" s="721" t="n"/>
      <c r="J42" s="722" t="n"/>
      <c r="K42" s="721" t="n"/>
    </row>
    <row r="43">
      <c r="A43" s="715" t="n"/>
      <c r="B43" s="716" t="n"/>
      <c r="C43" s="717" t="n"/>
      <c r="D43" s="717" t="n"/>
      <c r="E43" s="718" t="n"/>
      <c r="F43" s="718" t="n"/>
      <c r="G43" s="719" t="n"/>
      <c r="H43" s="1150" t="n"/>
      <c r="I43" s="721" t="n"/>
      <c r="J43" s="722" t="n"/>
      <c r="K43" s="721" t="n"/>
    </row>
    <row r="44" customFormat="1" s="192">
      <c r="A44" s="715" t="n"/>
      <c r="B44" s="716" t="n"/>
      <c r="C44" s="716" t="n"/>
      <c r="D44" s="716" t="n"/>
      <c r="E44" s="719" t="n"/>
      <c r="F44" s="719" t="n"/>
      <c r="G44" s="719" t="n"/>
      <c r="H44" s="1151" t="n"/>
      <c r="I44" s="724" t="n"/>
      <c r="J44" s="719" t="n"/>
      <c r="K44" s="724" t="n"/>
    </row>
    <row r="45">
      <c r="A45" s="715" t="n"/>
      <c r="B45" s="716" t="n"/>
      <c r="C45" s="717" t="n"/>
      <c r="D45" s="717" t="n"/>
      <c r="E45" s="718" t="n"/>
      <c r="F45" s="718" t="n"/>
      <c r="G45" s="719" t="n"/>
      <c r="H45" s="1150" t="n"/>
      <c r="I45" s="721" t="n"/>
      <c r="J45" s="722" t="n"/>
      <c r="K45" s="721" t="n"/>
    </row>
    <row r="46">
      <c r="A46" s="715" t="n"/>
      <c r="B46" s="716" t="n"/>
      <c r="C46" s="717" t="n"/>
      <c r="D46" s="717" t="n"/>
      <c r="E46" s="718" t="n"/>
      <c r="F46" s="718" t="n"/>
      <c r="G46" s="719" t="n"/>
      <c r="H46" s="1150" t="n"/>
      <c r="I46" s="721" t="n"/>
      <c r="J46" s="722" t="n"/>
      <c r="K46" s="721" t="n"/>
    </row>
    <row r="47">
      <c r="A47" s="715" t="n"/>
      <c r="B47" s="716" t="n"/>
      <c r="C47" s="716" t="n"/>
      <c r="D47" s="716" t="n"/>
      <c r="E47" s="718" t="n"/>
      <c r="F47" s="722" t="n"/>
      <c r="G47" s="719" t="n"/>
      <c r="H47" s="1152" t="n"/>
      <c r="I47" s="721" t="n"/>
      <c r="J47" s="722" t="n"/>
      <c r="K47" s="721" t="n"/>
    </row>
    <row r="48">
      <c r="A48" s="715" t="n"/>
      <c r="B48" s="716" t="n"/>
      <c r="C48" s="716" t="n"/>
      <c r="D48" s="716" t="n"/>
      <c r="E48" s="718" t="n"/>
      <c r="F48" s="722" t="n"/>
      <c r="G48" s="719" t="n"/>
      <c r="H48" s="1152" t="n"/>
      <c r="I48" s="721" t="n"/>
      <c r="J48" s="722" t="n"/>
      <c r="K48" s="721" t="n"/>
    </row>
    <row r="49">
      <c r="A49" s="715" t="n"/>
      <c r="B49" s="716" t="n"/>
      <c r="C49" s="716" t="n"/>
      <c r="D49" s="716" t="n"/>
      <c r="E49" s="718" t="n"/>
      <c r="F49" s="722" t="n"/>
      <c r="G49" s="719" t="n"/>
      <c r="H49" s="1152" t="n"/>
      <c r="I49" s="721" t="n"/>
      <c r="J49" s="722" t="n"/>
      <c r="K49" s="721" t="n"/>
    </row>
    <row r="50">
      <c r="A50" s="722" t="n"/>
      <c r="B50" s="719" t="n"/>
      <c r="C50" s="722" t="n"/>
      <c r="D50" s="722" t="n"/>
      <c r="E50" s="718" t="n"/>
      <c r="F50" s="722" t="n"/>
      <c r="G50" s="719" t="n"/>
      <c r="H50" s="1152" t="n"/>
      <c r="I50" s="721" t="n"/>
      <c r="J50" s="722" t="n"/>
      <c r="K50" s="721" t="n"/>
    </row>
    <row r="51">
      <c r="A51" s="715" t="n"/>
      <c r="B51" s="716" t="n"/>
      <c r="C51" s="717" t="n"/>
      <c r="D51" s="717" t="n"/>
      <c r="E51" s="718" t="n"/>
      <c r="F51" s="718" t="n"/>
      <c r="G51" s="719" t="n"/>
      <c r="H51" s="1150" t="n"/>
      <c r="I51" s="721" t="n"/>
      <c r="J51" s="722" t="n"/>
      <c r="K51" s="721" t="n"/>
    </row>
    <row r="52" customFormat="1" s="192">
      <c r="A52" s="715" t="n"/>
      <c r="B52" s="716" t="n"/>
      <c r="C52" s="716" t="n"/>
      <c r="D52" s="716" t="n"/>
      <c r="E52" s="719" t="n"/>
      <c r="F52" s="719" t="n"/>
      <c r="G52" s="719" t="n"/>
      <c r="H52" s="1151" t="n"/>
      <c r="I52" s="724" t="n"/>
      <c r="J52" s="719" t="n"/>
      <c r="K52" s="724" t="n"/>
    </row>
    <row r="53">
      <c r="A53" s="715" t="n"/>
      <c r="B53" s="716" t="n"/>
      <c r="C53" s="717" t="n"/>
      <c r="D53" s="717" t="n"/>
      <c r="E53" s="718" t="n"/>
      <c r="F53" s="718" t="n"/>
      <c r="G53" s="719" t="n"/>
      <c r="H53" s="1150" t="n"/>
      <c r="I53" s="721" t="n"/>
      <c r="J53" s="722" t="n"/>
      <c r="K53" s="721" t="n"/>
    </row>
    <row r="54">
      <c r="A54" s="715" t="n"/>
      <c r="B54" s="716" t="n"/>
      <c r="C54" s="717" t="n"/>
      <c r="D54" s="717" t="n"/>
      <c r="E54" s="718" t="n"/>
      <c r="F54" s="718" t="n"/>
      <c r="G54" s="719" t="n"/>
      <c r="H54" s="1150" t="n"/>
      <c r="I54" s="721" t="n"/>
      <c r="J54" s="722" t="n"/>
      <c r="K54" s="721" t="n"/>
    </row>
    <row r="55">
      <c r="A55" s="715" t="n"/>
      <c r="B55" s="716" t="n"/>
      <c r="C55" s="717" t="n"/>
      <c r="D55" s="717" t="n"/>
      <c r="E55" s="718" t="n"/>
      <c r="F55" s="718" t="n"/>
      <c r="G55" s="719" t="n"/>
      <c r="H55" s="1150" t="n"/>
      <c r="I55" s="721" t="n"/>
      <c r="J55" s="722" t="n"/>
      <c r="K55" s="721" t="n"/>
    </row>
    <row r="56">
      <c r="A56" s="715" t="n"/>
      <c r="B56" s="716" t="n"/>
      <c r="C56" s="717" t="n"/>
      <c r="D56" s="717" t="n"/>
      <c r="E56" s="718" t="n"/>
      <c r="F56" s="718" t="n"/>
      <c r="G56" s="719" t="n"/>
      <c r="H56" s="1150" t="n"/>
      <c r="I56" s="721" t="n"/>
      <c r="J56" s="722" t="n"/>
      <c r="K56" s="721" t="n"/>
    </row>
    <row r="57">
      <c r="A57" s="715" t="n"/>
      <c r="B57" s="716" t="n"/>
      <c r="C57" s="717" t="n"/>
      <c r="D57" s="717" t="n"/>
      <c r="E57" s="718" t="n"/>
      <c r="F57" s="718" t="n"/>
      <c r="G57" s="719" t="n"/>
      <c r="H57" s="1150" t="n"/>
      <c r="I57" s="721" t="n"/>
      <c r="J57" s="722" t="n"/>
      <c r="K57" s="721" t="n"/>
    </row>
    <row r="58">
      <c r="A58" s="715" t="n"/>
      <c r="B58" s="716" t="n"/>
      <c r="C58" s="717" t="n"/>
      <c r="D58" s="717" t="n"/>
      <c r="E58" s="718" t="n"/>
      <c r="F58" s="718" t="n"/>
      <c r="G58" s="719" t="n"/>
      <c r="H58" s="1150" t="n"/>
      <c r="I58" s="721" t="n"/>
      <c r="J58" s="722" t="n"/>
      <c r="K58" s="721" t="n"/>
    </row>
    <row r="59">
      <c r="A59" s="715" t="n"/>
      <c r="B59" s="716" t="n"/>
      <c r="C59" s="716" t="n"/>
      <c r="D59" s="716" t="n"/>
      <c r="E59" s="718" t="n"/>
      <c r="F59" s="722" t="n"/>
      <c r="G59" s="719" t="n"/>
      <c r="H59" s="1152" t="n"/>
      <c r="I59" s="721" t="n"/>
      <c r="J59" s="722" t="n"/>
      <c r="K59" s="721" t="n"/>
    </row>
    <row r="60">
      <c r="A60" s="715" t="n"/>
      <c r="B60" s="716" t="n"/>
      <c r="C60" s="716" t="n"/>
      <c r="D60" s="716" t="n"/>
      <c r="E60" s="718" t="n"/>
      <c r="F60" s="722" t="n"/>
      <c r="G60" s="719" t="n"/>
      <c r="H60" s="1152" t="n"/>
      <c r="I60" s="721" t="n"/>
      <c r="J60" s="722" t="n"/>
      <c r="K60" s="721" t="n"/>
    </row>
    <row r="61">
      <c r="A61" s="715" t="n"/>
      <c r="B61" s="716" t="n"/>
      <c r="C61" s="716" t="n"/>
      <c r="D61" s="716" t="n"/>
      <c r="E61" s="718" t="n"/>
      <c r="F61" s="722" t="n"/>
      <c r="G61" s="719" t="n"/>
      <c r="H61" s="1152" t="n"/>
      <c r="I61" s="721" t="n"/>
      <c r="J61" s="722" t="n"/>
      <c r="K61" s="721" t="n"/>
    </row>
    <row r="62">
      <c r="A62" s="715" t="n"/>
      <c r="B62" s="716" t="n"/>
      <c r="C62" s="716" t="n"/>
      <c r="D62" s="716" t="n"/>
      <c r="E62" s="718" t="n"/>
      <c r="F62" s="722" t="n"/>
      <c r="G62" s="719" t="n"/>
      <c r="H62" s="1152" t="n"/>
      <c r="I62" s="721" t="n"/>
      <c r="J62" s="722" t="n"/>
      <c r="K62" s="721" t="n"/>
    </row>
    <row r="63">
      <c r="A63" s="715" t="n"/>
      <c r="B63" s="716" t="n"/>
      <c r="C63" s="716" t="n"/>
      <c r="D63" s="716" t="n"/>
      <c r="E63" s="718" t="n"/>
      <c r="F63" s="722" t="n"/>
      <c r="G63" s="719" t="n"/>
      <c r="H63" s="1152" t="n"/>
      <c r="I63" s="721" t="n"/>
      <c r="J63" s="722" t="n"/>
      <c r="K63" s="721" t="n"/>
    </row>
    <row r="64">
      <c r="A64" s="719" t="n"/>
      <c r="B64" s="719" t="n"/>
      <c r="C64" s="722" t="n"/>
      <c r="D64" s="722" t="n"/>
      <c r="E64" s="718" t="n"/>
      <c r="F64" s="722" t="n"/>
      <c r="G64" s="719" t="n"/>
      <c r="H64" s="1152" t="n"/>
      <c r="I64" s="721" t="n"/>
      <c r="J64" s="722" t="n"/>
      <c r="K64" s="721" t="n"/>
    </row>
    <row r="65">
      <c r="A65" s="716" t="n"/>
      <c r="B65" s="716" t="n"/>
      <c r="C65" s="716" t="n"/>
      <c r="D65" s="716" t="n"/>
      <c r="E65" s="718" t="n"/>
      <c r="F65" s="722" t="n"/>
      <c r="G65" s="719" t="n"/>
      <c r="H65" s="1152" t="n"/>
      <c r="I65" s="721" t="n"/>
      <c r="J65" s="722" t="n"/>
      <c r="K65" s="721" t="n"/>
    </row>
    <row r="66">
      <c r="A66" s="716" t="n"/>
      <c r="B66" s="716" t="n"/>
      <c r="C66" s="716" t="n"/>
      <c r="D66" s="716" t="n"/>
      <c r="E66" s="718" t="n"/>
      <c r="F66" s="722" t="n"/>
      <c r="G66" s="719" t="n"/>
      <c r="H66" s="1152" t="n"/>
      <c r="I66" s="721" t="n"/>
      <c r="J66" s="722" t="n"/>
      <c r="K66" s="721" t="n"/>
    </row>
    <row r="67">
      <c r="A67" s="719" t="n"/>
      <c r="B67" s="719" t="n"/>
      <c r="C67" s="722" t="n"/>
      <c r="D67" s="722" t="n"/>
      <c r="E67" s="718" t="n"/>
      <c r="F67" s="722" t="n"/>
      <c r="G67" s="719" t="n"/>
      <c r="H67" s="1152" t="n"/>
      <c r="I67" s="721" t="n"/>
      <c r="J67" s="722" t="n"/>
      <c r="K67" s="721" t="n"/>
    </row>
    <row r="68">
      <c r="A68" s="719" t="n"/>
      <c r="B68" s="719" t="n"/>
      <c r="C68" s="722" t="n"/>
      <c r="D68" s="722" t="n"/>
      <c r="E68" s="718" t="n"/>
      <c r="F68" s="722" t="n"/>
      <c r="G68" s="719" t="n"/>
      <c r="H68" s="1152" t="n"/>
      <c r="I68" s="721" t="n"/>
      <c r="J68" s="722" t="n"/>
      <c r="K68" s="721" t="n"/>
    </row>
    <row r="69">
      <c r="A69" s="719" t="n"/>
      <c r="B69" s="719" t="n"/>
      <c r="C69" s="722" t="n"/>
      <c r="D69" s="722" t="n"/>
      <c r="E69" s="718" t="n"/>
      <c r="F69" s="726" t="n"/>
      <c r="G69" s="722" t="n"/>
      <c r="H69" s="1152" t="n"/>
      <c r="I69" s="727" t="n"/>
      <c r="J69" s="728" t="n"/>
      <c r="K69" s="727" t="n"/>
    </row>
    <row r="70">
      <c r="A70" s="701" t="n"/>
      <c r="B70" s="701" t="n"/>
      <c r="C70" s="701" t="n"/>
      <c r="D70" s="701" t="n"/>
      <c r="E70" s="701" t="n"/>
      <c r="F70" s="729" t="inlineStr">
        <is>
          <t>Sub-Total</t>
        </is>
      </c>
      <c r="G70" s="730" t="n"/>
      <c r="H70" s="1153">
        <f>SUM(H10:H69)</f>
        <v/>
      </c>
      <c r="I70" s="732" t="inlineStr">
        <is>
          <t>NOTES:</t>
        </is>
      </c>
      <c r="J70" s="1154" t="n"/>
      <c r="K70" s="1155" t="n"/>
    </row>
    <row r="71">
      <c r="A71" s="701" t="n"/>
      <c r="B71" s="701" t="n"/>
      <c r="C71" s="701" t="n"/>
      <c r="D71" s="701" t="n"/>
      <c r="E71" s="701" t="n"/>
      <c r="F71" s="729" t="inlineStr">
        <is>
          <t>Provisioning (10%) &amp; Tax (5%)</t>
        </is>
      </c>
      <c r="G71" s="733" t="n"/>
      <c r="H71" s="1153">
        <f>H70*(MATERIAL!H1+MATERIAL!H2)</f>
        <v/>
      </c>
      <c r="I71" s="734" t="n"/>
      <c r="J71" s="1156" t="n"/>
      <c r="K71" s="1157" t="n"/>
    </row>
    <row r="72">
      <c r="A72" s="701" t="n"/>
      <c r="B72" s="701" t="n"/>
      <c r="C72" s="701" t="n"/>
      <c r="D72" s="701" t="n"/>
      <c r="E72" s="701" t="n"/>
      <c r="F72" s="735" t="inlineStr">
        <is>
          <t>Total Material Cost</t>
        </is>
      </c>
      <c r="G72" s="736" t="n"/>
      <c r="H72" s="1153">
        <f>H70+H71</f>
        <v/>
      </c>
      <c r="I72" s="737" t="n"/>
      <c r="J72" s="1158" t="n"/>
      <c r="K72" s="1159" t="n"/>
    </row>
    <row r="73">
      <c r="A73" s="69" t="n"/>
      <c r="B73" s="69" t="n"/>
      <c r="C73" s="69" t="n"/>
      <c r="D73" s="69" t="n"/>
      <c r="E73" s="69" t="n"/>
      <c r="F73" s="69" t="n"/>
      <c r="G73" s="69" t="n"/>
      <c r="H73" s="69" t="n"/>
      <c r="I73" s="701" t="n"/>
      <c r="J73" s="738" t="n"/>
      <c r="K73" s="701" t="n"/>
    </row>
    <row r="74">
      <c r="A74" s="739" t="inlineStr">
        <is>
          <t>Account Code</t>
        </is>
      </c>
      <c r="B74" s="739" t="inlineStr">
        <is>
          <t>Good</t>
        </is>
      </c>
      <c r="C74" s="739" t="inlineStr">
        <is>
          <t>Worthless</t>
        </is>
      </c>
      <c r="D74" s="739" t="n"/>
      <c r="E74" s="739" t="inlineStr">
        <is>
          <t>Item No.</t>
        </is>
      </c>
      <c r="F74" s="740" t="inlineStr">
        <is>
          <t>Description of Material Recovered</t>
        </is>
      </c>
      <c r="G74" s="741" t="n"/>
      <c r="H74" s="741" t="n"/>
      <c r="I74" s="742" t="n"/>
      <c r="J74" s="743" t="n"/>
      <c r="K74" s="744" t="n"/>
    </row>
    <row r="75">
      <c r="A75" s="745" t="n"/>
      <c r="B75" s="721" t="n"/>
      <c r="C75" s="745" t="n"/>
      <c r="D75" s="745" t="n"/>
      <c r="E75" s="721" t="n"/>
      <c r="F75" s="721" t="n"/>
      <c r="G75" s="746" t="n"/>
      <c r="H75" s="746" t="n"/>
      <c r="I75" s="746" t="n"/>
      <c r="J75" s="747" t="n"/>
      <c r="K75" s="721" t="n"/>
    </row>
    <row r="76">
      <c r="A76" s="734" t="n"/>
      <c r="B76" s="748" t="n"/>
      <c r="C76" s="734" t="n"/>
      <c r="D76" s="734" t="n"/>
      <c r="E76" s="748" t="n"/>
      <c r="F76" s="748" t="n"/>
      <c r="G76" s="701" t="n"/>
      <c r="H76" s="701" t="n"/>
      <c r="I76" s="701" t="n"/>
      <c r="J76" s="749" t="n"/>
      <c r="K76" s="721" t="n"/>
    </row>
    <row r="77">
      <c r="A77" s="745" t="n"/>
      <c r="B77" s="721" t="n"/>
      <c r="C77" s="745" t="n"/>
      <c r="D77" s="745" t="n"/>
      <c r="E77" s="721" t="n"/>
      <c r="F77" s="721" t="n"/>
      <c r="G77" s="746" t="n"/>
      <c r="H77" s="746" t="n"/>
      <c r="I77" s="746" t="n"/>
      <c r="J77" s="747" t="n"/>
      <c r="K77" s="721" t="n"/>
    </row>
    <row r="78">
      <c r="A78" s="734" t="n"/>
      <c r="B78" s="748" t="n"/>
      <c r="C78" s="734" t="n"/>
      <c r="D78" s="734" t="n"/>
      <c r="E78" s="748" t="n"/>
      <c r="F78" s="748" t="n"/>
      <c r="G78" s="701" t="n"/>
      <c r="H78" s="701" t="n"/>
      <c r="I78" s="701" t="n"/>
      <c r="J78" s="749" t="n"/>
      <c r="K78" s="721" t="n"/>
    </row>
    <row r="79">
      <c r="A79" s="745" t="n"/>
      <c r="B79" s="721" t="n"/>
      <c r="C79" s="745" t="n"/>
      <c r="D79" s="745" t="n"/>
      <c r="E79" s="721" t="n"/>
      <c r="F79" s="721" t="n"/>
      <c r="G79" s="746" t="n"/>
      <c r="H79" s="746" t="n"/>
      <c r="I79" s="746" t="n"/>
      <c r="J79" s="747" t="n"/>
      <c r="K79" s="721" t="n"/>
    </row>
  </sheetData>
  <mergeCells count="11">
    <mergeCell ref="D6:E6"/>
    <mergeCell ref="B6:C6"/>
    <mergeCell ref="B2:C2"/>
    <mergeCell ref="B3:C3"/>
    <mergeCell ref="B5:C5"/>
    <mergeCell ref="D5:E5"/>
    <mergeCell ref="D4:E4"/>
    <mergeCell ref="J70:K72"/>
    <mergeCell ref="D3:E3"/>
    <mergeCell ref="A1:K1"/>
    <mergeCell ref="B4:C4"/>
  </mergeCells>
  <dataValidations count="1">
    <dataValidation sqref="F4" showDropDown="0" showInputMessage="1" showErrorMessage="1" allowBlank="1" type="list">
      <formula1>$M$4:$M$7</formula1>
    </dataValidation>
  </dataValidations>
  <pageMargins left="0.7" right="0.7" top="0.75" bottom="0.75" header="0.3" footer="0.3"/>
</worksheet>
</file>

<file path=xl/worksheets/sheet10.xml><?xml version="1.0" encoding="utf-8"?>
<worksheet xmlns="http://schemas.openxmlformats.org/spreadsheetml/2006/main">
  <sheetPr codeName="Sheet11">
    <outlinePr summaryBelow="1" summaryRight="1"/>
    <pageSetUpPr/>
  </sheetPr>
  <dimension ref="A1:O196"/>
  <sheetViews>
    <sheetView zoomScale="85" zoomScaleNormal="85" workbookViewId="0">
      <pane xSplit="4" ySplit="4" topLeftCell="E5" activePane="bottomRight" state="frozen"/>
      <selection pane="topRight" activeCell="E1" sqref="E1"/>
      <selection pane="bottomLeft" activeCell="A3" sqref="A3"/>
      <selection pane="bottomRight" activeCell="G35" sqref="G35"/>
    </sheetView>
  </sheetViews>
  <sheetFormatPr baseColWidth="8" defaultRowHeight="15"/>
  <cols>
    <col width="5.28515625" customWidth="1" min="1" max="1"/>
    <col width="6" customWidth="1" min="2" max="2"/>
    <col width="8.140625" customWidth="1" min="3" max="3"/>
    <col width="8.5703125" customWidth="1" min="4" max="4"/>
    <col width="28.5703125" customWidth="1" style="935" min="5" max="5"/>
    <col width="27.140625" bestFit="1" customWidth="1" style="192" min="6" max="6"/>
    <col width="41.5703125" bestFit="1" customWidth="1" min="7" max="14"/>
    <col width="24.7109375" customWidth="1" min="15" max="15"/>
    <col width="25" customWidth="1" min="16" max="18"/>
    <col width="27.5703125" customWidth="1" min="19" max="19"/>
    <col width="23.85546875" customWidth="1" min="20" max="20"/>
    <col width="24.42578125" customWidth="1" min="21" max="21"/>
    <col width="24" customWidth="1" min="22" max="23"/>
  </cols>
  <sheetData>
    <row r="1">
      <c r="A1" s="1046" t="inlineStr">
        <is>
          <t>CABLE_1</t>
        </is>
      </c>
    </row>
    <row r="2">
      <c r="A2" s="1148" t="n"/>
      <c r="B2" s="1148" t="n"/>
      <c r="C2" s="1148" t="n"/>
      <c r="D2" s="1148" t="n"/>
      <c r="E2" s="1148" t="n"/>
      <c r="F2" s="1148" t="n"/>
      <c r="G2" s="1148" t="n"/>
      <c r="H2" s="1148" t="n"/>
      <c r="I2" s="1148" t="n"/>
      <c r="J2" s="1148" t="n"/>
      <c r="K2" s="1148" t="n"/>
      <c r="L2" s="1148" t="n"/>
      <c r="M2" s="1148" t="n"/>
      <c r="N2" s="1148" t="n"/>
    </row>
    <row r="3" ht="15" customHeight="1">
      <c r="A3" s="1160" t="inlineStr">
        <is>
          <t>OLT</t>
        </is>
      </c>
      <c r="B3" s="1161" t="n"/>
      <c r="C3" s="1161" t="n"/>
      <c r="D3" s="1162" t="n"/>
      <c r="E3" s="1163" t="inlineStr">
        <is>
          <t>ADDRESS</t>
        </is>
      </c>
      <c r="F3" s="1163" t="inlineStr">
        <is>
          <t>1X8 SPLITTER NAME</t>
        </is>
      </c>
      <c r="G3" s="1044" t="inlineStr">
        <is>
          <t>PORT 1</t>
        </is>
      </c>
      <c r="H3" s="1044" t="inlineStr">
        <is>
          <t>PORT 2</t>
        </is>
      </c>
      <c r="I3" s="1044" t="inlineStr">
        <is>
          <t>PORT 3</t>
        </is>
      </c>
      <c r="J3" s="1044" t="inlineStr">
        <is>
          <t>PORT 4</t>
        </is>
      </c>
      <c r="K3" s="1044" t="inlineStr">
        <is>
          <t>PORT 5</t>
        </is>
      </c>
      <c r="L3" s="1044" t="inlineStr">
        <is>
          <t>PORT 6</t>
        </is>
      </c>
      <c r="M3" s="1044" t="inlineStr">
        <is>
          <t>PORT 7</t>
        </is>
      </c>
      <c r="N3" s="1044" t="inlineStr">
        <is>
          <t>PORT 8</t>
        </is>
      </c>
      <c r="O3" s="845" t="n"/>
    </row>
    <row r="4" ht="15" customHeight="1">
      <c r="A4" s="1164" t="n"/>
      <c r="B4" s="1148" t="n"/>
      <c r="C4" s="1148" t="n"/>
      <c r="D4" s="1149" t="n"/>
      <c r="E4" s="1134" t="n"/>
      <c r="F4" s="1134" t="n"/>
      <c r="G4" s="1134" t="n"/>
      <c r="H4" s="1134" t="n"/>
      <c r="I4" s="1134" t="n"/>
      <c r="J4" s="1134" t="n"/>
      <c r="K4" s="1134" t="n"/>
      <c r="L4" s="1134" t="n"/>
      <c r="M4" s="1134" t="n"/>
      <c r="N4" s="1134" t="n"/>
      <c r="O4" s="845" t="n"/>
    </row>
    <row r="5">
      <c r="A5" s="846" t="n">
        <v>1</v>
      </c>
      <c r="B5" s="847" t="n"/>
      <c r="C5" s="847" t="n"/>
      <c r="D5" s="932" t="n"/>
      <c r="E5" s="848" t="n"/>
      <c r="F5" s="514">
        <f>IF(G5&lt;&gt;"",LEFT(G5,FIND(",",G5)-1),"")</f>
        <v/>
      </c>
      <c r="G5" s="514" t="n"/>
      <c r="H5" s="514" t="n"/>
      <c r="I5" s="514" t="n"/>
      <c r="J5" s="514" t="n"/>
      <c r="K5" s="514" t="n"/>
      <c r="L5" s="514" t="n"/>
      <c r="M5" s="514" t="n"/>
      <c r="N5" s="514" t="n"/>
    </row>
    <row r="6">
      <c r="A6" s="846" t="n">
        <v>2</v>
      </c>
      <c r="B6" s="847" t="n"/>
      <c r="C6" s="849" t="n"/>
      <c r="D6" s="932" t="n"/>
      <c r="E6" s="848" t="n"/>
      <c r="F6" s="514">
        <f>IF(G6&lt;&gt;"",LEFT(G6,FIND(",",G6)-1),"")</f>
        <v/>
      </c>
      <c r="G6" s="514" t="n"/>
      <c r="H6" s="514" t="n"/>
      <c r="I6" s="514" t="n"/>
      <c r="J6" s="514" t="n"/>
      <c r="K6" s="514" t="n"/>
      <c r="L6" s="514" t="n"/>
      <c r="M6" s="514" t="n"/>
      <c r="N6" s="514" t="n"/>
    </row>
    <row r="7">
      <c r="A7" s="846" t="n">
        <v>3</v>
      </c>
      <c r="B7" s="847" t="n"/>
      <c r="C7" s="850" t="n"/>
      <c r="D7" s="932" t="n"/>
      <c r="E7" s="848" t="n"/>
      <c r="F7" s="514">
        <f>IF(G7&lt;&gt;"",LEFT(G7,FIND(",",G7)-1),"")</f>
        <v/>
      </c>
      <c r="G7" s="514" t="n"/>
      <c r="H7" s="514" t="n"/>
      <c r="I7" s="514" t="n"/>
      <c r="J7" s="514" t="n"/>
      <c r="K7" s="514" t="n"/>
      <c r="L7" s="514" t="n"/>
      <c r="M7" s="514" t="n"/>
      <c r="N7" s="514" t="n"/>
    </row>
    <row r="8">
      <c r="A8" s="846" t="n">
        <v>4</v>
      </c>
      <c r="B8" s="847" t="n"/>
      <c r="C8" s="851" t="n"/>
      <c r="D8" s="932" t="n"/>
      <c r="E8" s="848" t="n"/>
      <c r="F8" s="514">
        <f>IF(G8&lt;&gt;"",LEFT(G8,FIND(",",G8)-1),"")</f>
        <v/>
      </c>
      <c r="G8" s="514" t="n"/>
      <c r="H8" s="514" t="n"/>
      <c r="I8" s="514" t="n"/>
      <c r="J8" s="514" t="n"/>
      <c r="K8" s="514" t="n"/>
      <c r="L8" s="514" t="n"/>
      <c r="M8" s="514" t="n"/>
      <c r="N8" s="514" t="n"/>
    </row>
    <row r="9">
      <c r="A9" s="846" t="n">
        <v>5</v>
      </c>
      <c r="B9" s="847" t="n"/>
      <c r="C9" s="852" t="n"/>
      <c r="D9" s="932" t="n"/>
      <c r="E9" s="848" t="n"/>
      <c r="F9" s="514">
        <f>IF(G9&lt;&gt;"",LEFT(G9,FIND(",",G9)-1),"")</f>
        <v/>
      </c>
      <c r="G9" s="514" t="n"/>
      <c r="H9" s="514" t="n"/>
      <c r="I9" s="514" t="n"/>
      <c r="J9" s="514" t="n"/>
      <c r="K9" s="514" t="n"/>
      <c r="L9" s="514" t="n"/>
      <c r="M9" s="514" t="n"/>
      <c r="N9" s="514" t="n"/>
    </row>
    <row r="10">
      <c r="A10" s="846" t="n">
        <v>6</v>
      </c>
      <c r="B10" s="847" t="n"/>
      <c r="C10" s="853" t="n"/>
      <c r="D10" s="932" t="n"/>
      <c r="E10" s="848" t="n"/>
      <c r="F10" s="514">
        <f>IF(G10&lt;&gt;"",LEFT(G10,FIND(",",G10)-1),"")</f>
        <v/>
      </c>
      <c r="G10" s="514" t="n"/>
      <c r="H10" s="514" t="n"/>
      <c r="I10" s="514" t="n"/>
      <c r="J10" s="514" t="n"/>
      <c r="K10" s="514" t="n"/>
      <c r="L10" s="514" t="n"/>
      <c r="M10" s="514" t="n"/>
      <c r="N10" s="514" t="n"/>
    </row>
    <row r="11">
      <c r="A11" s="846" t="n">
        <v>7</v>
      </c>
      <c r="B11" s="847" t="n"/>
      <c r="C11" s="854" t="n"/>
      <c r="D11" s="932" t="n"/>
      <c r="E11" s="848" t="n"/>
      <c r="F11" s="514">
        <f>IF(G11&lt;&gt;"",LEFT(G11,FIND(",",G11)-1),"")</f>
        <v/>
      </c>
      <c r="G11" s="514" t="n"/>
      <c r="H11" s="514" t="n"/>
      <c r="I11" s="514" t="n"/>
      <c r="J11" s="514" t="n"/>
      <c r="K11" s="514" t="n"/>
      <c r="L11" s="514" t="n"/>
      <c r="M11" s="514" t="n"/>
      <c r="N11" s="514" t="n"/>
    </row>
    <row r="12">
      <c r="A12" s="846" t="n">
        <v>8</v>
      </c>
      <c r="B12" s="847" t="n"/>
      <c r="C12" s="855" t="n"/>
      <c r="D12" s="932" t="n"/>
      <c r="E12" s="848" t="n"/>
      <c r="F12" s="514">
        <f>IF(G12&lt;&gt;"",LEFT(G12,FIND(",",G12)-1),"")</f>
        <v/>
      </c>
      <c r="G12" s="514" t="n"/>
      <c r="H12" s="514" t="n"/>
      <c r="I12" s="514" t="n"/>
      <c r="J12" s="514" t="n"/>
      <c r="K12" s="514" t="n"/>
      <c r="L12" s="514" t="n"/>
      <c r="M12" s="514" t="n"/>
      <c r="N12" s="514" t="n"/>
    </row>
    <row r="13">
      <c r="A13" s="846" t="n">
        <v>9</v>
      </c>
      <c r="B13" s="847" t="n"/>
      <c r="C13" s="856" t="n"/>
      <c r="D13" s="932" t="n"/>
      <c r="E13" s="848" t="n"/>
      <c r="F13" s="514">
        <f>IF(G13&lt;&gt;"",LEFT(G13,FIND(",",G13)-1),"")</f>
        <v/>
      </c>
      <c r="G13" s="514" t="n"/>
      <c r="H13" s="514" t="n"/>
      <c r="I13" s="514" t="n"/>
      <c r="J13" s="514" t="n"/>
      <c r="K13" s="514" t="n"/>
      <c r="L13" s="514" t="n"/>
      <c r="M13" s="514" t="n"/>
      <c r="N13" s="514" t="n"/>
    </row>
    <row r="14">
      <c r="A14" s="846" t="n">
        <v>10</v>
      </c>
      <c r="B14" s="847" t="n"/>
      <c r="C14" s="857" t="n"/>
      <c r="D14" s="932" t="n"/>
      <c r="E14" s="848" t="n"/>
      <c r="F14" s="514">
        <f>IF(G14&lt;&gt;"",LEFT(G14,FIND(",",G14)-1),"")</f>
        <v/>
      </c>
      <c r="G14" s="514" t="n"/>
      <c r="H14" s="514" t="n"/>
      <c r="I14" s="514" t="n"/>
      <c r="J14" s="514" t="n"/>
      <c r="K14" s="514" t="n"/>
      <c r="L14" s="514" t="n"/>
      <c r="M14" s="514" t="n"/>
      <c r="N14" s="514" t="n"/>
    </row>
    <row r="15">
      <c r="A15" s="846" t="n">
        <v>11</v>
      </c>
      <c r="B15" s="847" t="n"/>
      <c r="C15" s="858" t="n"/>
      <c r="D15" s="932" t="n"/>
      <c r="E15" s="848" t="n"/>
      <c r="F15" s="514">
        <f>IF(G15&lt;&gt;"",LEFT(G15,FIND(",",G15)-1),"")</f>
        <v/>
      </c>
      <c r="G15" s="514" t="n"/>
      <c r="H15" s="514" t="n"/>
      <c r="I15" s="514" t="n"/>
      <c r="J15" s="514" t="n"/>
      <c r="K15" s="514" t="n"/>
      <c r="L15" s="514" t="n"/>
      <c r="M15" s="514" t="n"/>
      <c r="N15" s="514" t="n"/>
    </row>
    <row r="16">
      <c r="A16" s="846" t="n">
        <v>12</v>
      </c>
      <c r="B16" s="847" t="n"/>
      <c r="C16" s="859" t="n"/>
      <c r="D16" s="932" t="n"/>
      <c r="E16" s="848" t="n"/>
      <c r="F16" s="514">
        <f>IF(G16&lt;&gt;"",LEFT(G16,FIND(",",G16)-1),"")</f>
        <v/>
      </c>
      <c r="G16" s="860" t="n"/>
      <c r="H16" s="860" t="n"/>
      <c r="I16" s="860" t="n"/>
      <c r="J16" s="860" t="n"/>
      <c r="K16" s="860" t="n"/>
      <c r="L16" s="860" t="n"/>
      <c r="M16" s="860" t="n"/>
      <c r="N16" s="860" t="n"/>
    </row>
    <row r="17">
      <c r="A17" s="846" t="n">
        <v>13</v>
      </c>
      <c r="B17" s="849" t="n"/>
      <c r="C17" s="847" t="n"/>
      <c r="D17" s="932" t="n"/>
      <c r="E17" s="848" t="n"/>
      <c r="F17" s="514">
        <f>IF(G17&lt;&gt;"",LEFT(G17,FIND(",",G17)-1),"")</f>
        <v/>
      </c>
      <c r="G17" s="860" t="n"/>
      <c r="H17" s="860" t="n"/>
      <c r="I17" s="860" t="n"/>
      <c r="J17" s="860" t="n"/>
      <c r="K17" s="860" t="n"/>
      <c r="L17" s="860" t="n"/>
      <c r="M17" s="860" t="n"/>
      <c r="N17" s="860" t="n"/>
    </row>
    <row r="18">
      <c r="A18" s="846" t="n">
        <v>14</v>
      </c>
      <c r="B18" s="849" t="n"/>
      <c r="C18" s="849" t="n"/>
      <c r="D18" s="932" t="n"/>
      <c r="E18" s="848" t="n"/>
      <c r="F18" s="514">
        <f>IF(G18&lt;&gt;"",LEFT(G18,FIND(",",G18)-1),"")</f>
        <v/>
      </c>
      <c r="G18" s="860" t="n"/>
      <c r="H18" s="860" t="n"/>
      <c r="I18" s="860" t="n"/>
      <c r="J18" s="860" t="n"/>
      <c r="K18" s="860" t="n"/>
      <c r="L18" s="860" t="n"/>
      <c r="M18" s="860" t="n"/>
      <c r="N18" s="860" t="n"/>
    </row>
    <row r="19">
      <c r="A19" s="846" t="n">
        <v>15</v>
      </c>
      <c r="B19" s="849" t="n"/>
      <c r="C19" s="850" t="n"/>
      <c r="D19" s="932" t="n"/>
      <c r="E19" s="848" t="n"/>
      <c r="F19" s="514">
        <f>IF(G19&lt;&gt;"",LEFT(G19,FIND(",",G19)-1),"")</f>
        <v/>
      </c>
      <c r="G19" s="860" t="n"/>
      <c r="H19" s="860" t="n"/>
      <c r="I19" s="860" t="n"/>
      <c r="J19" s="860" t="n"/>
      <c r="K19" s="860" t="n"/>
      <c r="L19" s="860" t="n"/>
      <c r="M19" s="860" t="n"/>
      <c r="N19" s="860" t="n"/>
    </row>
    <row r="20">
      <c r="A20" s="846" t="n">
        <v>16</v>
      </c>
      <c r="B20" s="849" t="n"/>
      <c r="C20" s="851" t="n"/>
      <c r="D20" s="932" t="n"/>
      <c r="E20" s="848" t="n"/>
      <c r="F20" s="514">
        <f>IF(G20&lt;&gt;"",LEFT(G20,FIND(",",G20)-1),"")</f>
        <v/>
      </c>
      <c r="G20" s="860" t="n"/>
      <c r="H20" s="860" t="n"/>
      <c r="I20" s="860" t="n"/>
      <c r="J20" s="860" t="n"/>
      <c r="K20" s="860" t="n"/>
      <c r="L20" s="860" t="n"/>
      <c r="M20" s="860" t="n"/>
      <c r="N20" s="860" t="n"/>
    </row>
    <row r="21">
      <c r="A21" s="846" t="n">
        <v>17</v>
      </c>
      <c r="B21" s="849" t="n"/>
      <c r="C21" s="852" t="n"/>
      <c r="D21" s="932" t="n"/>
      <c r="E21" s="848" t="n"/>
      <c r="F21" s="514">
        <f>IF(G21&lt;&gt;"",LEFT(G21,FIND(",",G21)-1),"")</f>
        <v/>
      </c>
      <c r="G21" s="860" t="n"/>
      <c r="H21" s="860" t="n"/>
      <c r="I21" s="860" t="n"/>
      <c r="J21" s="860" t="n"/>
      <c r="K21" s="860" t="n"/>
      <c r="L21" s="860" t="n"/>
      <c r="M21" s="860" t="n"/>
      <c r="N21" s="860" t="n"/>
    </row>
    <row r="22">
      <c r="A22" s="846" t="n">
        <v>18</v>
      </c>
      <c r="B22" s="849" t="n"/>
      <c r="C22" s="853" t="n"/>
      <c r="D22" s="932" t="n"/>
      <c r="E22" s="848" t="n"/>
      <c r="F22" s="514">
        <f>IF(G22&lt;&gt;"",LEFT(G22,FIND(",",G22)-1),"")</f>
        <v/>
      </c>
      <c r="G22" s="860" t="n"/>
      <c r="H22" s="860" t="n"/>
      <c r="I22" s="860" t="n"/>
      <c r="J22" s="860" t="n"/>
      <c r="K22" s="860" t="n"/>
      <c r="L22" s="860" t="n"/>
      <c r="M22" s="860" t="n"/>
      <c r="N22" s="860" t="n"/>
    </row>
    <row r="23">
      <c r="A23" s="846" t="n">
        <v>19</v>
      </c>
      <c r="B23" s="849" t="n"/>
      <c r="C23" s="854" t="n"/>
      <c r="D23" s="932" t="n"/>
      <c r="E23" s="848" t="n"/>
      <c r="F23" s="514">
        <f>IF(G23&lt;&gt;"",LEFT(G23,FIND(",",G23)-1),"")</f>
        <v/>
      </c>
      <c r="G23" s="860" t="n"/>
      <c r="H23" s="860" t="n"/>
      <c r="I23" s="860" t="n"/>
      <c r="J23" s="860" t="n"/>
      <c r="K23" s="860" t="n"/>
      <c r="L23" s="860" t="n"/>
      <c r="M23" s="860" t="n"/>
      <c r="N23" s="860" t="n"/>
    </row>
    <row r="24">
      <c r="A24" s="846" t="n">
        <v>20</v>
      </c>
      <c r="B24" s="849" t="n"/>
      <c r="C24" s="855" t="n"/>
      <c r="D24" s="932" t="n"/>
      <c r="E24" s="848" t="n"/>
      <c r="F24" s="514">
        <f>IF(G24&lt;&gt;"",LEFT(G24,FIND(",",G24)-1),"")</f>
        <v/>
      </c>
      <c r="G24" s="860" t="n"/>
      <c r="H24" s="860" t="n"/>
      <c r="I24" s="860" t="n"/>
      <c r="J24" s="860" t="n"/>
      <c r="K24" s="860" t="n"/>
      <c r="L24" s="860" t="n"/>
      <c r="M24" s="860" t="n"/>
      <c r="N24" s="860" t="n"/>
    </row>
    <row r="25">
      <c r="A25" s="846" t="n">
        <v>21</v>
      </c>
      <c r="B25" s="849" t="n"/>
      <c r="C25" s="856" t="n"/>
      <c r="D25" s="932" t="n"/>
      <c r="E25" s="848" t="n"/>
      <c r="F25" s="514">
        <f>IF(G25&lt;&gt;"",LEFT(G25,FIND(",",G25)-1),"")</f>
        <v/>
      </c>
      <c r="G25" s="860" t="n"/>
      <c r="H25" s="860" t="n"/>
      <c r="I25" s="860" t="n"/>
      <c r="J25" s="860" t="n"/>
      <c r="K25" s="860" t="n"/>
      <c r="L25" s="860" t="n"/>
      <c r="M25" s="860" t="n"/>
      <c r="N25" s="860" t="n"/>
    </row>
    <row r="26">
      <c r="A26" s="846" t="n">
        <v>22</v>
      </c>
      <c r="B26" s="849" t="n"/>
      <c r="C26" s="857" t="n"/>
      <c r="D26" s="932" t="n"/>
      <c r="E26" s="848" t="n"/>
      <c r="F26" s="514">
        <f>IF(G26&lt;&gt;"",LEFT(G26,FIND(",",G26)-1),"")</f>
        <v/>
      </c>
      <c r="G26" s="860" t="n"/>
      <c r="H26" s="860" t="n"/>
      <c r="I26" s="860" t="n"/>
      <c r="J26" s="860" t="n"/>
      <c r="K26" s="860" t="n"/>
      <c r="L26" s="860" t="n"/>
      <c r="M26" s="860" t="n"/>
      <c r="N26" s="860" t="n"/>
    </row>
    <row r="27">
      <c r="A27" s="846" t="n">
        <v>23</v>
      </c>
      <c r="B27" s="849" t="n"/>
      <c r="C27" s="858" t="n"/>
      <c r="D27" s="932" t="n"/>
      <c r="E27" s="848" t="n"/>
      <c r="F27" s="514">
        <f>IF(G27&lt;&gt;"",LEFT(G27,FIND(",",G27)-1),"")</f>
        <v/>
      </c>
      <c r="G27" s="860" t="n"/>
      <c r="H27" s="860" t="n"/>
      <c r="I27" s="860" t="n"/>
      <c r="J27" s="860" t="n"/>
      <c r="K27" s="860" t="n"/>
      <c r="L27" s="860" t="n"/>
      <c r="M27" s="860" t="n"/>
      <c r="N27" s="860" t="n"/>
    </row>
    <row r="28">
      <c r="A28" s="846" t="n">
        <v>24</v>
      </c>
      <c r="B28" s="849" t="n"/>
      <c r="C28" s="859" t="n"/>
      <c r="D28" s="932" t="n"/>
      <c r="E28" s="848" t="n"/>
      <c r="F28" s="514">
        <f>IF(G28&lt;&gt;"",LEFT(G28,FIND(",",G28)-1),"")</f>
        <v/>
      </c>
      <c r="G28" s="860" t="n"/>
      <c r="H28" s="860" t="n"/>
      <c r="I28" s="860" t="n"/>
      <c r="J28" s="860" t="n"/>
      <c r="K28" s="860" t="n"/>
      <c r="L28" s="860" t="n"/>
      <c r="M28" s="860" t="n"/>
      <c r="N28" s="860" t="n"/>
    </row>
    <row r="29">
      <c r="A29" s="846" t="n">
        <v>25</v>
      </c>
      <c r="B29" s="850" t="n"/>
      <c r="C29" s="847" t="n"/>
      <c r="D29" s="932" t="n"/>
      <c r="E29" s="848" t="n"/>
      <c r="F29" s="514">
        <f>IF(G29&lt;&gt;"",LEFT(G29,FIND(",",G29)-1),"")</f>
        <v/>
      </c>
      <c r="G29" s="860" t="n"/>
      <c r="H29" s="860" t="n"/>
      <c r="I29" s="860" t="n"/>
      <c r="J29" s="860" t="n"/>
      <c r="K29" s="860" t="n"/>
      <c r="L29" s="860" t="n"/>
      <c r="M29" s="860" t="n"/>
      <c r="N29" s="860" t="n"/>
    </row>
    <row r="30">
      <c r="A30" s="846" t="n">
        <v>26</v>
      </c>
      <c r="B30" s="850" t="n"/>
      <c r="C30" s="849" t="n"/>
      <c r="D30" s="932" t="n"/>
      <c r="E30" s="848" t="n"/>
      <c r="F30" s="514">
        <f>IF(G30&lt;&gt;"",LEFT(G30,FIND(",",G30)-1),"")</f>
        <v/>
      </c>
      <c r="G30" s="860" t="n"/>
      <c r="H30" s="860" t="n"/>
      <c r="I30" s="860" t="n"/>
      <c r="J30" s="860" t="n"/>
      <c r="K30" s="860" t="n"/>
      <c r="L30" s="860" t="n"/>
      <c r="M30" s="860" t="n"/>
      <c r="N30" s="860" t="n"/>
    </row>
    <row r="31">
      <c r="A31" s="846" t="n">
        <v>27</v>
      </c>
      <c r="B31" s="850" t="n"/>
      <c r="C31" s="850" t="n"/>
      <c r="D31" s="932" t="n"/>
      <c r="E31" s="848" t="n"/>
      <c r="F31" s="514">
        <f>IF(G31&lt;&gt;"",LEFT(G31,FIND(",",G31)-1),"")</f>
        <v/>
      </c>
      <c r="G31" s="860" t="n"/>
      <c r="H31" s="860" t="n"/>
      <c r="I31" s="860" t="n"/>
      <c r="J31" s="860" t="n"/>
      <c r="K31" s="860" t="n"/>
      <c r="L31" s="860" t="n"/>
      <c r="M31" s="860" t="n"/>
      <c r="N31" s="860" t="n"/>
    </row>
    <row r="32">
      <c r="A32" s="846" t="n">
        <v>28</v>
      </c>
      <c r="B32" s="850" t="n"/>
      <c r="C32" s="851" t="n"/>
      <c r="D32" s="932" t="n"/>
      <c r="E32" s="848" t="n"/>
      <c r="F32" s="514">
        <f>IF(G32&lt;&gt;"",LEFT(G32,FIND(",",G32)-1),"")</f>
        <v/>
      </c>
      <c r="G32" s="860" t="n"/>
      <c r="H32" s="860" t="n"/>
      <c r="I32" s="860" t="n"/>
      <c r="J32" s="860" t="n"/>
      <c r="K32" s="860" t="n"/>
      <c r="L32" s="860" t="n"/>
      <c r="M32" s="860" t="n"/>
      <c r="N32" s="860" t="n"/>
    </row>
    <row r="33">
      <c r="A33" s="846" t="n">
        <v>29</v>
      </c>
      <c r="B33" s="850" t="n"/>
      <c r="C33" s="852" t="n"/>
      <c r="D33" s="932" t="n"/>
      <c r="E33" s="848" t="n"/>
      <c r="F33" s="514">
        <f>IF(G33&lt;&gt;"",LEFT(G33,FIND(",",G33)-1),"")</f>
        <v/>
      </c>
      <c r="G33" s="860" t="n"/>
      <c r="H33" s="860" t="n"/>
      <c r="I33" s="860" t="n"/>
      <c r="J33" s="860" t="n"/>
      <c r="K33" s="860" t="n"/>
      <c r="L33" s="860" t="n"/>
      <c r="M33" s="860" t="n"/>
      <c r="N33" s="860" t="n"/>
    </row>
    <row r="34">
      <c r="A34" s="846" t="n">
        <v>30</v>
      </c>
      <c r="B34" s="850" t="n"/>
      <c r="C34" s="853" t="n"/>
      <c r="D34" s="932" t="n"/>
      <c r="E34" s="848" t="n"/>
      <c r="F34" s="514">
        <f>IF(G34&lt;&gt;"",LEFT(G34,FIND(",",G34)-1),"")</f>
        <v/>
      </c>
      <c r="G34" s="860" t="n"/>
      <c r="H34" s="860" t="n"/>
      <c r="I34" s="860" t="n"/>
      <c r="J34" s="860" t="n"/>
      <c r="K34" s="860" t="n"/>
      <c r="L34" s="860" t="n"/>
      <c r="M34" s="860" t="n"/>
      <c r="N34" s="860" t="n"/>
    </row>
    <row r="35">
      <c r="A35" s="846" t="n">
        <v>31</v>
      </c>
      <c r="B35" s="850" t="n"/>
      <c r="C35" s="854" t="n"/>
      <c r="D35" s="932" t="n"/>
      <c r="E35" s="848" t="n"/>
      <c r="F35" s="514">
        <f>IF(G35&lt;&gt;"",LEFT(G35,FIND(",",G35)-1),"")</f>
        <v/>
      </c>
      <c r="G35" s="860" t="n"/>
      <c r="H35" s="860" t="n"/>
      <c r="I35" s="860" t="n"/>
      <c r="J35" s="860" t="n"/>
      <c r="K35" s="860" t="n"/>
      <c r="L35" s="860" t="n"/>
      <c r="M35" s="860" t="n"/>
      <c r="N35" s="860" t="n"/>
    </row>
    <row r="36">
      <c r="A36" s="846" t="n">
        <v>32</v>
      </c>
      <c r="B36" s="850" t="n"/>
      <c r="C36" s="855" t="n"/>
      <c r="D36" s="932" t="n"/>
      <c r="E36" s="848" t="n"/>
      <c r="F36" s="514">
        <f>IF(G36&lt;&gt;"",LEFT(G36,FIND(",",G36)-1),"")</f>
        <v/>
      </c>
      <c r="G36" s="860" t="n"/>
      <c r="H36" s="860" t="n"/>
      <c r="I36" s="860" t="n"/>
      <c r="J36" s="860" t="n"/>
      <c r="K36" s="860" t="n"/>
      <c r="L36" s="860" t="n"/>
      <c r="M36" s="860" t="n"/>
      <c r="N36" s="860" t="n"/>
    </row>
    <row r="37">
      <c r="A37" s="846" t="n">
        <v>33</v>
      </c>
      <c r="B37" s="850" t="n"/>
      <c r="C37" s="856" t="n"/>
      <c r="D37" s="932" t="n"/>
      <c r="E37" s="848" t="n"/>
      <c r="F37" s="514">
        <f>IF(G37&lt;&gt;"",LEFT(G37,FIND(",",G37)-1),"")</f>
        <v/>
      </c>
      <c r="G37" s="860" t="n"/>
      <c r="H37" s="860" t="n"/>
      <c r="I37" s="860" t="n"/>
      <c r="J37" s="860" t="n"/>
      <c r="K37" s="860" t="n"/>
      <c r="L37" s="860" t="n"/>
      <c r="M37" s="860" t="n"/>
      <c r="N37" s="860" t="n"/>
    </row>
    <row r="38">
      <c r="A38" s="846" t="n">
        <v>34</v>
      </c>
      <c r="B38" s="850" t="n"/>
      <c r="C38" s="857" t="n"/>
      <c r="D38" s="932" t="n"/>
      <c r="E38" s="848" t="n"/>
      <c r="F38" s="514">
        <f>IF(G38&lt;&gt;"",LEFT(G38,FIND(",",G38)-1),"")</f>
        <v/>
      </c>
      <c r="G38" s="860" t="n"/>
      <c r="H38" s="860" t="n"/>
      <c r="I38" s="860" t="n"/>
      <c r="J38" s="860" t="n"/>
      <c r="K38" s="860" t="n"/>
      <c r="L38" s="860" t="n"/>
      <c r="M38" s="860" t="n"/>
      <c r="N38" s="860" t="n"/>
    </row>
    <row r="39">
      <c r="A39" s="846" t="n">
        <v>35</v>
      </c>
      <c r="B39" s="850" t="n"/>
      <c r="C39" s="858" t="n"/>
      <c r="D39" s="932" t="n"/>
      <c r="E39" s="848" t="n"/>
      <c r="F39" s="514">
        <f>IF(G39&lt;&gt;"",LEFT(G39,FIND(",",G39)-1),"")</f>
        <v/>
      </c>
      <c r="G39" s="860" t="n"/>
      <c r="H39" s="860" t="n"/>
      <c r="I39" s="860" t="n"/>
      <c r="J39" s="860" t="n"/>
      <c r="K39" s="860" t="n"/>
      <c r="L39" s="860" t="n"/>
      <c r="M39" s="860" t="n"/>
      <c r="N39" s="860" t="n"/>
    </row>
    <row r="40">
      <c r="A40" s="846" t="n">
        <v>36</v>
      </c>
      <c r="B40" s="850" t="n"/>
      <c r="C40" s="859" t="n"/>
      <c r="D40" s="932" t="n"/>
      <c r="E40" s="848" t="n"/>
      <c r="F40" s="514">
        <f>IF(G40&lt;&gt;"",LEFT(G40,FIND(",",G40)-1),"")</f>
        <v/>
      </c>
      <c r="G40" s="860" t="n"/>
      <c r="H40" s="860" t="n"/>
      <c r="I40" s="860" t="n"/>
      <c r="J40" s="860" t="n"/>
      <c r="K40" s="860" t="n"/>
      <c r="L40" s="860" t="n"/>
      <c r="M40" s="860" t="n"/>
      <c r="N40" s="860" t="n"/>
    </row>
    <row r="41">
      <c r="A41" s="846" t="n">
        <v>37</v>
      </c>
      <c r="B41" s="851" t="n"/>
      <c r="C41" s="847" t="n"/>
      <c r="D41" s="932" t="n"/>
      <c r="E41" s="848" t="n"/>
      <c r="F41" s="514">
        <f>IF(G41&lt;&gt;"",LEFT(G41,FIND(",",G41)-1),"")</f>
        <v/>
      </c>
      <c r="G41" s="860" t="n"/>
      <c r="H41" s="860" t="n"/>
      <c r="I41" s="860" t="n"/>
      <c r="J41" s="860" t="n"/>
      <c r="K41" s="860" t="n"/>
      <c r="L41" s="860" t="n"/>
      <c r="M41" s="860" t="n"/>
      <c r="N41" s="860" t="n"/>
    </row>
    <row r="42">
      <c r="A42" s="846" t="n">
        <v>38</v>
      </c>
      <c r="B42" s="851" t="n"/>
      <c r="C42" s="849" t="n"/>
      <c r="D42" s="932" t="n"/>
      <c r="E42" s="848" t="n"/>
      <c r="F42" s="514">
        <f>IF(G42&lt;&gt;"",LEFT(G42,FIND(",",G42)-1),"")</f>
        <v/>
      </c>
      <c r="G42" s="860" t="n"/>
      <c r="H42" s="860" t="n"/>
      <c r="I42" s="860" t="n"/>
      <c r="J42" s="860" t="n"/>
      <c r="K42" s="860" t="n"/>
      <c r="L42" s="860" t="n"/>
      <c r="M42" s="860" t="n"/>
      <c r="N42" s="860" t="n"/>
    </row>
    <row r="43">
      <c r="A43" s="846" t="n">
        <v>39</v>
      </c>
      <c r="B43" s="851" t="n"/>
      <c r="C43" s="850" t="n"/>
      <c r="D43" s="932" t="n"/>
      <c r="E43" s="848" t="n"/>
      <c r="F43" s="514">
        <f>IF(G43&lt;&gt;"",LEFT(G43,FIND(",",G43)-1),"")</f>
        <v/>
      </c>
      <c r="G43" s="860" t="n"/>
      <c r="H43" s="860" t="n"/>
      <c r="I43" s="860" t="n"/>
      <c r="J43" s="860" t="n"/>
      <c r="K43" s="860" t="n"/>
      <c r="L43" s="860" t="n"/>
      <c r="M43" s="860" t="n"/>
      <c r="N43" s="860" t="n"/>
    </row>
    <row r="44">
      <c r="A44" s="846" t="n">
        <v>40</v>
      </c>
      <c r="B44" s="851" t="n"/>
      <c r="C44" s="851" t="n"/>
      <c r="D44" s="932" t="n"/>
      <c r="E44" s="848" t="n"/>
      <c r="F44" s="514">
        <f>IF(G44&lt;&gt;"",LEFT(G44,FIND(",",G44)-1),"")</f>
        <v/>
      </c>
      <c r="G44" s="860" t="n"/>
      <c r="H44" s="860" t="n"/>
      <c r="I44" s="860" t="n"/>
      <c r="J44" s="860" t="n"/>
      <c r="K44" s="860" t="n"/>
      <c r="L44" s="860" t="n"/>
      <c r="M44" s="860" t="n"/>
      <c r="N44" s="860" t="n"/>
    </row>
    <row r="45">
      <c r="A45" s="846" t="n">
        <v>41</v>
      </c>
      <c r="B45" s="851" t="n"/>
      <c r="C45" s="852" t="n"/>
      <c r="D45" s="932" t="n"/>
      <c r="E45" s="848" t="n"/>
      <c r="F45" s="514">
        <f>IF(G45&lt;&gt;"",LEFT(G45,FIND(",",G45)-1),"")</f>
        <v/>
      </c>
      <c r="G45" s="860" t="n"/>
      <c r="H45" s="860" t="n"/>
      <c r="I45" s="860" t="n"/>
      <c r="J45" s="860" t="n"/>
      <c r="K45" s="860" t="n"/>
      <c r="L45" s="860" t="n"/>
      <c r="M45" s="860" t="n"/>
      <c r="N45" s="860" t="n"/>
    </row>
    <row r="46">
      <c r="A46" s="846" t="n">
        <v>42</v>
      </c>
      <c r="B46" s="851" t="n"/>
      <c r="C46" s="853" t="n"/>
      <c r="D46" s="932" t="n"/>
      <c r="E46" s="848" t="n"/>
      <c r="F46" s="514">
        <f>IF(G46&lt;&gt;"",LEFT(G46,FIND(",",G46)-1),"")</f>
        <v/>
      </c>
      <c r="G46" s="860" t="n"/>
      <c r="H46" s="860" t="n"/>
      <c r="I46" s="860" t="n"/>
      <c r="J46" s="860" t="n"/>
      <c r="K46" s="860" t="n"/>
      <c r="L46" s="860" t="n"/>
      <c r="M46" s="860" t="n"/>
      <c r="N46" s="860" t="n"/>
    </row>
    <row r="47">
      <c r="A47" s="846" t="n">
        <v>43</v>
      </c>
      <c r="B47" s="851" t="n"/>
      <c r="C47" s="854" t="n"/>
      <c r="D47" s="932" t="n"/>
      <c r="E47" s="848" t="n"/>
      <c r="F47" s="514">
        <f>IF(G47&lt;&gt;"",LEFT(G47,FIND(",",G47)-1),"")</f>
        <v/>
      </c>
      <c r="G47" s="860" t="n"/>
      <c r="H47" s="860" t="n"/>
      <c r="I47" s="860" t="n"/>
      <c r="J47" s="860" t="n"/>
      <c r="K47" s="860" t="n"/>
      <c r="L47" s="860" t="n"/>
      <c r="M47" s="860" t="n"/>
      <c r="N47" s="860" t="n"/>
    </row>
    <row r="48">
      <c r="A48" s="846" t="n">
        <v>44</v>
      </c>
      <c r="B48" s="851" t="n"/>
      <c r="C48" s="855" t="n"/>
      <c r="D48" s="932" t="n"/>
      <c r="E48" s="848" t="n"/>
      <c r="F48" s="514">
        <f>IF(G48&lt;&gt;"",LEFT(G48,FIND(",",G48)-1),"")</f>
        <v/>
      </c>
      <c r="G48" s="860" t="n"/>
      <c r="H48" s="860" t="n"/>
      <c r="I48" s="860" t="n"/>
      <c r="J48" s="860" t="n"/>
      <c r="K48" s="860" t="n"/>
      <c r="L48" s="860" t="n"/>
      <c r="M48" s="860" t="n"/>
      <c r="N48" s="860" t="n"/>
    </row>
    <row r="49">
      <c r="A49" s="846" t="n">
        <v>45</v>
      </c>
      <c r="B49" s="851" t="n"/>
      <c r="C49" s="856" t="n"/>
      <c r="D49" s="932" t="n"/>
      <c r="E49" s="848" t="n"/>
      <c r="F49" s="514">
        <f>IF(G49&lt;&gt;"",LEFT(G49,FIND(",",G49)-1),"")</f>
        <v/>
      </c>
      <c r="G49" s="860" t="n"/>
      <c r="H49" s="860" t="n"/>
      <c r="I49" s="860" t="n"/>
      <c r="J49" s="860" t="n"/>
      <c r="K49" s="860" t="n"/>
      <c r="L49" s="860" t="n"/>
      <c r="M49" s="860" t="n"/>
      <c r="N49" s="860" t="n"/>
    </row>
    <row r="50">
      <c r="A50" s="846" t="n">
        <v>46</v>
      </c>
      <c r="B50" s="851" t="n"/>
      <c r="C50" s="857" t="n"/>
      <c r="D50" s="932" t="n"/>
      <c r="E50" s="848" t="n"/>
      <c r="F50" s="514">
        <f>IF(G50&lt;&gt;"",LEFT(G50,FIND(",",G50)-1),"")</f>
        <v/>
      </c>
      <c r="G50" s="860" t="n"/>
      <c r="H50" s="860" t="n"/>
      <c r="I50" s="860" t="n"/>
      <c r="J50" s="860" t="n"/>
      <c r="K50" s="860" t="n"/>
      <c r="L50" s="860" t="n"/>
      <c r="M50" s="860" t="n"/>
      <c r="N50" s="860" t="n"/>
    </row>
    <row r="51">
      <c r="A51" s="846" t="n">
        <v>47</v>
      </c>
      <c r="B51" s="851" t="n"/>
      <c r="C51" s="858" t="n"/>
      <c r="D51" s="932" t="n"/>
      <c r="E51" s="848" t="n"/>
      <c r="F51" s="514">
        <f>IF(G51&lt;&gt;"",LEFT(G51,FIND(",",G51)-1),"")</f>
        <v/>
      </c>
      <c r="G51" s="860" t="n"/>
      <c r="H51" s="860" t="n"/>
      <c r="I51" s="860" t="n"/>
      <c r="J51" s="860" t="n"/>
      <c r="K51" s="860" t="n"/>
      <c r="L51" s="860" t="n"/>
      <c r="M51" s="860" t="n"/>
      <c r="N51" s="860" t="n"/>
    </row>
    <row r="52">
      <c r="A52" s="846" t="n">
        <v>48</v>
      </c>
      <c r="B52" s="851" t="n"/>
      <c r="C52" s="859" t="n"/>
      <c r="D52" s="932" t="n"/>
      <c r="E52" s="848" t="n"/>
      <c r="F52" s="514">
        <f>IF(G52&lt;&gt;"",LEFT(G52,FIND(",",G52)-1),"")</f>
        <v/>
      </c>
      <c r="G52" s="860" t="n"/>
      <c r="H52" s="860" t="n"/>
      <c r="I52" s="860" t="n"/>
      <c r="J52" s="860" t="n"/>
      <c r="K52" s="860" t="n"/>
      <c r="L52" s="860" t="n"/>
      <c r="M52" s="860" t="n"/>
      <c r="N52" s="860" t="n"/>
    </row>
    <row r="53">
      <c r="A53" s="846" t="n">
        <v>49</v>
      </c>
      <c r="B53" s="861" t="n"/>
      <c r="C53" s="847" t="n"/>
      <c r="D53" s="932" t="n"/>
      <c r="E53" s="848" t="n"/>
      <c r="F53" s="514">
        <f>IF(G53&lt;&gt;"",LEFT(G53,FIND(",",G53)-1),"")</f>
        <v/>
      </c>
      <c r="G53" s="860" t="n"/>
      <c r="H53" s="860" t="n"/>
      <c r="I53" s="860" t="n"/>
      <c r="J53" s="860" t="n"/>
      <c r="K53" s="860" t="n"/>
      <c r="L53" s="860" t="n"/>
      <c r="M53" s="860" t="n"/>
      <c r="N53" s="860" t="n"/>
    </row>
    <row r="54">
      <c r="A54" s="846" t="n">
        <v>50</v>
      </c>
      <c r="B54" s="861" t="n"/>
      <c r="C54" s="849" t="n"/>
      <c r="D54" s="932" t="n"/>
      <c r="E54" s="848" t="n"/>
      <c r="F54" s="514">
        <f>IF(G54&lt;&gt;"",LEFT(G54,FIND(",",G54)-1),"")</f>
        <v/>
      </c>
      <c r="G54" s="860" t="n"/>
      <c r="H54" s="860" t="n"/>
      <c r="I54" s="860" t="n"/>
      <c r="J54" s="860" t="n"/>
      <c r="K54" s="860" t="n"/>
      <c r="L54" s="860" t="n"/>
      <c r="M54" s="860" t="n"/>
      <c r="N54" s="860" t="n"/>
    </row>
    <row r="55">
      <c r="A55" s="846" t="n">
        <v>51</v>
      </c>
      <c r="B55" s="861" t="n"/>
      <c r="C55" s="850" t="n"/>
      <c r="D55" s="932" t="n"/>
      <c r="E55" s="848" t="n"/>
      <c r="F55" s="514">
        <f>IF(G55&lt;&gt;"",LEFT(G55,FIND(",",G55)-1),"")</f>
        <v/>
      </c>
      <c r="G55" s="860" t="n"/>
      <c r="H55" s="860" t="n"/>
      <c r="I55" s="860" t="n"/>
      <c r="J55" s="860" t="n"/>
      <c r="K55" s="860" t="n"/>
      <c r="L55" s="860" t="n"/>
      <c r="M55" s="860" t="n"/>
      <c r="N55" s="860" t="n"/>
    </row>
    <row r="56">
      <c r="A56" s="846" t="n">
        <v>52</v>
      </c>
      <c r="B56" s="861" t="n"/>
      <c r="C56" s="851" t="n"/>
      <c r="D56" s="932" t="n"/>
      <c r="E56" s="848" t="n"/>
      <c r="F56" s="514">
        <f>IF(G56&lt;&gt;"",LEFT(G56,FIND(",",G56)-1),"")</f>
        <v/>
      </c>
      <c r="G56" s="860" t="n"/>
      <c r="H56" s="860" t="n"/>
      <c r="I56" s="860" t="n"/>
      <c r="J56" s="860" t="n"/>
      <c r="K56" s="860" t="n"/>
      <c r="L56" s="860" t="n"/>
      <c r="M56" s="860" t="n"/>
      <c r="N56" s="860" t="n"/>
    </row>
    <row r="57">
      <c r="A57" s="846" t="n">
        <v>53</v>
      </c>
      <c r="B57" s="861" t="n"/>
      <c r="C57" s="852" t="n"/>
      <c r="D57" s="932" t="n"/>
      <c r="E57" s="848" t="n"/>
      <c r="F57" s="514">
        <f>IF(G57&lt;&gt;"",LEFT(G57,FIND(",",G57)-1),"")</f>
        <v/>
      </c>
      <c r="G57" s="860" t="n"/>
      <c r="H57" s="860" t="n"/>
      <c r="I57" s="860" t="n"/>
      <c r="J57" s="860" t="n"/>
      <c r="K57" s="860" t="n"/>
      <c r="L57" s="860" t="n"/>
      <c r="M57" s="860" t="n"/>
      <c r="N57" s="860" t="n"/>
    </row>
    <row r="58">
      <c r="A58" s="846" t="n">
        <v>54</v>
      </c>
      <c r="B58" s="861" t="n"/>
      <c r="C58" s="853" t="n"/>
      <c r="D58" s="932" t="n"/>
      <c r="E58" s="848" t="n"/>
      <c r="F58" s="514">
        <f>IF(G58&lt;&gt;"",LEFT(G58,FIND(",",G58)-1),"")</f>
        <v/>
      </c>
      <c r="G58" s="860" t="n"/>
      <c r="H58" s="860" t="n"/>
      <c r="I58" s="860" t="n"/>
      <c r="J58" s="860" t="n"/>
      <c r="K58" s="860" t="n"/>
      <c r="L58" s="860" t="n"/>
      <c r="M58" s="860" t="n"/>
      <c r="N58" s="860" t="n"/>
    </row>
    <row r="59">
      <c r="A59" s="846" t="n">
        <v>55</v>
      </c>
      <c r="B59" s="861" t="n"/>
      <c r="C59" s="854" t="n"/>
      <c r="D59" s="932" t="n"/>
      <c r="E59" s="848" t="n"/>
      <c r="F59" s="514">
        <f>IF(G59&lt;&gt;"",LEFT(G59,FIND(",",G59)-1),"")</f>
        <v/>
      </c>
      <c r="G59" s="860" t="n"/>
      <c r="H59" s="860" t="n"/>
      <c r="I59" s="860" t="n"/>
      <c r="J59" s="860" t="n"/>
      <c r="K59" s="860" t="n"/>
      <c r="L59" s="860" t="n"/>
      <c r="M59" s="860" t="n"/>
      <c r="N59" s="860" t="n"/>
    </row>
    <row r="60">
      <c r="A60" s="846" t="n">
        <v>56</v>
      </c>
      <c r="B60" s="861" t="n"/>
      <c r="C60" s="855" t="n"/>
      <c r="D60" s="932" t="n"/>
      <c r="E60" s="848" t="n"/>
      <c r="F60" s="514">
        <f>IF(G60&lt;&gt;"",LEFT(G60,FIND(",",G60)-1),"")</f>
        <v/>
      </c>
      <c r="G60" s="860" t="n"/>
      <c r="H60" s="860" t="n"/>
      <c r="I60" s="860" t="n"/>
      <c r="J60" s="860" t="n"/>
      <c r="K60" s="860" t="n"/>
      <c r="L60" s="860" t="n"/>
      <c r="M60" s="860" t="n"/>
      <c r="N60" s="860" t="n"/>
    </row>
    <row r="61">
      <c r="A61" s="846" t="n">
        <v>57</v>
      </c>
      <c r="B61" s="861" t="n"/>
      <c r="C61" s="856" t="n"/>
      <c r="D61" s="932" t="n"/>
      <c r="E61" s="848" t="n"/>
      <c r="F61" s="514">
        <f>IF(G61&lt;&gt;"",LEFT(G61,FIND(",",G61)-1),"")</f>
        <v/>
      </c>
      <c r="G61" s="860" t="n"/>
      <c r="H61" s="860" t="n"/>
      <c r="I61" s="860" t="n"/>
      <c r="J61" s="860" t="n"/>
      <c r="K61" s="860" t="n"/>
      <c r="L61" s="860" t="n"/>
      <c r="M61" s="860" t="n"/>
      <c r="N61" s="860" t="n"/>
    </row>
    <row r="62">
      <c r="A62" s="846" t="n">
        <v>58</v>
      </c>
      <c r="B62" s="861" t="n"/>
      <c r="C62" s="857" t="n"/>
      <c r="D62" s="932" t="n"/>
      <c r="E62" s="848" t="n"/>
      <c r="F62" s="514">
        <f>IF(G62&lt;&gt;"",LEFT(G62,FIND(",",G62)-1),"")</f>
        <v/>
      </c>
      <c r="G62" s="860" t="n"/>
      <c r="H62" s="860" t="n"/>
      <c r="I62" s="860" t="n"/>
      <c r="J62" s="860" t="n"/>
      <c r="K62" s="860" t="n"/>
      <c r="L62" s="860" t="n"/>
      <c r="M62" s="860" t="n"/>
      <c r="N62" s="860" t="n"/>
    </row>
    <row r="63">
      <c r="A63" s="846" t="n">
        <v>59</v>
      </c>
      <c r="B63" s="861" t="n"/>
      <c r="C63" s="858" t="n"/>
      <c r="D63" s="932" t="n"/>
      <c r="E63" s="848" t="n"/>
      <c r="F63" s="514">
        <f>IF(G63&lt;&gt;"",LEFT(G63,FIND(",",G63)-1),"")</f>
        <v/>
      </c>
      <c r="G63" s="860" t="n"/>
      <c r="H63" s="860" t="n"/>
      <c r="I63" s="860" t="n"/>
      <c r="J63" s="860" t="n"/>
      <c r="K63" s="860" t="n"/>
      <c r="L63" s="860" t="n"/>
      <c r="M63" s="860" t="n"/>
      <c r="N63" s="860" t="n"/>
    </row>
    <row r="64">
      <c r="A64" s="846" t="n">
        <v>60</v>
      </c>
      <c r="B64" s="861" t="n"/>
      <c r="C64" s="859" t="n"/>
      <c r="D64" s="932" t="n"/>
      <c r="E64" s="514" t="n"/>
      <c r="F64" s="514">
        <f>IF(G64&lt;&gt;"",LEFT(G64,FIND(",",G64)-1),"")</f>
        <v/>
      </c>
      <c r="G64" s="514" t="n"/>
      <c r="H64" s="514" t="n"/>
      <c r="I64" s="514" t="n"/>
      <c r="J64" s="514" t="n"/>
      <c r="K64" s="514" t="n"/>
      <c r="L64" s="514" t="n"/>
      <c r="M64" s="514" t="n"/>
      <c r="N64" s="514" t="n"/>
    </row>
    <row r="65">
      <c r="A65" s="846" t="n">
        <v>61</v>
      </c>
      <c r="B65" s="862" t="n"/>
      <c r="C65" s="847" t="n"/>
      <c r="D65" s="932" t="n"/>
      <c r="E65" s="514" t="n"/>
      <c r="F65" s="514">
        <f>IF(G65&lt;&gt;"",LEFT(G65,FIND(",",G65)-1),"")</f>
        <v/>
      </c>
      <c r="G65" s="514" t="n"/>
      <c r="H65" s="514" t="n"/>
      <c r="I65" s="514" t="n"/>
      <c r="J65" s="514" t="n"/>
      <c r="K65" s="514" t="n"/>
      <c r="L65" s="514" t="n"/>
      <c r="M65" s="514" t="n"/>
      <c r="N65" s="514" t="n"/>
    </row>
    <row r="66">
      <c r="A66" s="846" t="n">
        <v>62</v>
      </c>
      <c r="B66" s="862" t="n"/>
      <c r="C66" s="849" t="n"/>
      <c r="D66" s="932" t="n"/>
      <c r="E66" s="514" t="n"/>
      <c r="F66" s="514">
        <f>IF(G66&lt;&gt;"",LEFT(G66,FIND(",",G66)-1),"")</f>
        <v/>
      </c>
      <c r="G66" s="514" t="n"/>
      <c r="H66" s="514" t="n"/>
      <c r="I66" s="514" t="n"/>
      <c r="J66" s="514" t="n"/>
      <c r="K66" s="514" t="n"/>
      <c r="L66" s="514" t="n"/>
      <c r="M66" s="514" t="n"/>
      <c r="N66" s="514" t="n"/>
    </row>
    <row r="67">
      <c r="A67" s="846" t="n">
        <v>63</v>
      </c>
      <c r="B67" s="862" t="n"/>
      <c r="C67" s="850" t="n"/>
      <c r="D67" s="932" t="n"/>
      <c r="E67" s="514" t="n"/>
      <c r="F67" s="514">
        <f>IF(G67&lt;&gt;"",LEFT(G67,FIND(",",G67)-1),"")</f>
        <v/>
      </c>
      <c r="G67" s="514" t="n"/>
      <c r="H67" s="514" t="n"/>
      <c r="I67" s="514" t="n"/>
      <c r="J67" s="514" t="n"/>
      <c r="K67" s="514" t="n"/>
      <c r="L67" s="514" t="n"/>
      <c r="M67" s="514" t="n"/>
      <c r="N67" s="514" t="n"/>
    </row>
    <row r="68">
      <c r="A68" s="846" t="n">
        <v>64</v>
      </c>
      <c r="B68" s="862" t="n"/>
      <c r="C68" s="851" t="n"/>
      <c r="D68" s="932" t="n"/>
      <c r="E68" s="514" t="n"/>
      <c r="F68" s="514">
        <f>IF(G68&lt;&gt;"",LEFT(G68,FIND(",",G68)-1),"")</f>
        <v/>
      </c>
      <c r="G68" s="514" t="n"/>
      <c r="H68" s="514" t="n"/>
      <c r="I68" s="514" t="n"/>
      <c r="J68" s="514" t="n"/>
      <c r="K68" s="514" t="n"/>
      <c r="L68" s="514" t="n"/>
      <c r="M68" s="514" t="n"/>
      <c r="N68" s="514" t="n"/>
    </row>
    <row r="69">
      <c r="A69" s="846" t="n">
        <v>65</v>
      </c>
      <c r="B69" s="862" t="n"/>
      <c r="C69" s="852" t="n"/>
      <c r="D69" s="932" t="n"/>
      <c r="E69" s="514" t="n"/>
      <c r="F69" s="514">
        <f>IF(G69&lt;&gt;"",LEFT(G69,FIND(",",G69)-1),"")</f>
        <v/>
      </c>
      <c r="G69" s="514" t="n"/>
      <c r="H69" s="514" t="n"/>
      <c r="I69" s="514" t="n"/>
      <c r="J69" s="514" t="n"/>
      <c r="K69" s="514" t="n"/>
      <c r="L69" s="514" t="n"/>
      <c r="M69" s="514" t="n"/>
      <c r="N69" s="514" t="n"/>
    </row>
    <row r="70">
      <c r="A70" s="846" t="n">
        <v>66</v>
      </c>
      <c r="B70" s="862" t="n"/>
      <c r="C70" s="853" t="n"/>
      <c r="D70" s="932" t="n"/>
      <c r="E70" s="514" t="n"/>
      <c r="F70" s="514">
        <f>IF(G70&lt;&gt;"",LEFT(G70,FIND(",",G70)-1),"")</f>
        <v/>
      </c>
      <c r="G70" s="514" t="n"/>
      <c r="H70" s="514" t="n"/>
      <c r="I70" s="514" t="n"/>
      <c r="J70" s="514" t="n"/>
      <c r="K70" s="514" t="n"/>
      <c r="L70" s="514" t="n"/>
      <c r="M70" s="514" t="n"/>
      <c r="N70" s="514" t="n"/>
    </row>
    <row r="71">
      <c r="A71" s="846" t="n">
        <v>67</v>
      </c>
      <c r="B71" s="862" t="n"/>
      <c r="C71" s="854" t="n"/>
      <c r="D71" s="932" t="n"/>
      <c r="E71" s="514" t="n"/>
      <c r="F71" s="514">
        <f>IF(G71&lt;&gt;"",LEFT(G71,FIND(",",G71)-1),"")</f>
        <v/>
      </c>
      <c r="G71" s="514" t="n"/>
      <c r="H71" s="514" t="n"/>
      <c r="I71" s="514" t="n"/>
      <c r="J71" s="514" t="n"/>
      <c r="K71" s="514" t="n"/>
      <c r="L71" s="514" t="n"/>
      <c r="M71" s="514" t="n"/>
      <c r="N71" s="514" t="n"/>
    </row>
    <row r="72">
      <c r="A72" s="846" t="n">
        <v>68</v>
      </c>
      <c r="B72" s="862" t="n"/>
      <c r="C72" s="855" t="n"/>
      <c r="D72" s="932" t="n"/>
      <c r="E72" s="848" t="n"/>
      <c r="F72" s="514">
        <f>IF(G72&lt;&gt;"",LEFT(G72,FIND(",",G72)-1),"")</f>
        <v/>
      </c>
      <c r="G72" s="848" t="n"/>
      <c r="H72" s="848" t="n"/>
      <c r="I72" s="848" t="n"/>
      <c r="J72" s="848" t="n"/>
      <c r="K72" s="848" t="n"/>
      <c r="L72" s="848" t="n"/>
      <c r="M72" s="848" t="n"/>
      <c r="N72" s="848" t="n"/>
    </row>
    <row r="73">
      <c r="A73" s="846" t="n">
        <v>69</v>
      </c>
      <c r="B73" s="862" t="n"/>
      <c r="C73" s="856" t="n"/>
      <c r="D73" s="932" t="n"/>
      <c r="E73" s="848" t="n"/>
      <c r="F73" s="514">
        <f>IF(G73&lt;&gt;"",LEFT(G73,FIND(",",G73)-1),"")</f>
        <v/>
      </c>
      <c r="G73" s="848" t="n"/>
      <c r="H73" s="848" t="n"/>
      <c r="I73" s="848" t="n"/>
      <c r="J73" s="848" t="n"/>
      <c r="K73" s="848" t="n"/>
      <c r="L73" s="848" t="n"/>
      <c r="M73" s="848" t="n"/>
      <c r="N73" s="848" t="n"/>
    </row>
    <row r="74">
      <c r="A74" s="846" t="n">
        <v>70</v>
      </c>
      <c r="B74" s="862" t="n"/>
      <c r="C74" s="857" t="n"/>
      <c r="D74" s="932" t="n"/>
      <c r="E74" s="848" t="n"/>
      <c r="F74" s="514">
        <f>IF(G74&lt;&gt;"",LEFT(G74,FIND(",",G74)-1),"")</f>
        <v/>
      </c>
      <c r="G74" s="848" t="n"/>
      <c r="H74" s="848" t="n"/>
      <c r="I74" s="848" t="n"/>
      <c r="J74" s="848" t="n"/>
      <c r="K74" s="848" t="n"/>
      <c r="L74" s="848" t="n"/>
      <c r="M74" s="848" t="n"/>
      <c r="N74" s="848" t="n"/>
    </row>
    <row r="75">
      <c r="A75" s="846" t="n">
        <v>71</v>
      </c>
      <c r="B75" s="862" t="n"/>
      <c r="C75" s="858" t="n"/>
      <c r="D75" s="932" t="n"/>
      <c r="E75" s="848" t="n"/>
      <c r="F75" s="514">
        <f>IF(G75&lt;&gt;"",LEFT(G75,FIND(",",G75)-1),"")</f>
        <v/>
      </c>
      <c r="G75" s="848" t="n"/>
      <c r="H75" s="848" t="n"/>
      <c r="I75" s="848" t="n"/>
      <c r="J75" s="848" t="n"/>
      <c r="K75" s="848" t="n"/>
      <c r="L75" s="848" t="n"/>
      <c r="M75" s="848" t="n"/>
      <c r="N75" s="848" t="n"/>
    </row>
    <row r="76">
      <c r="A76" s="846" t="n">
        <v>72</v>
      </c>
      <c r="B76" s="862" t="n"/>
      <c r="C76" s="859" t="n"/>
      <c r="D76" s="932" t="n"/>
      <c r="E76" s="848" t="n"/>
      <c r="F76" s="514">
        <f>IF(G76&lt;&gt;"",LEFT(G76,FIND(",",G76)-1),"")</f>
        <v/>
      </c>
      <c r="G76" s="848" t="n"/>
      <c r="H76" s="848" t="n"/>
      <c r="I76" s="848" t="n"/>
      <c r="J76" s="848" t="n"/>
      <c r="K76" s="848" t="n"/>
      <c r="L76" s="848" t="n"/>
      <c r="M76" s="848" t="n"/>
      <c r="N76" s="848" t="n"/>
    </row>
    <row r="77">
      <c r="A77" s="846" t="n">
        <v>73</v>
      </c>
      <c r="B77" s="863" t="n"/>
      <c r="C77" s="847" t="n"/>
      <c r="D77" s="933" t="n"/>
      <c r="E77" s="766" t="n"/>
      <c r="F77" s="514">
        <f>IF(G77&lt;&gt;"",LEFT(G77,FIND(",",G77)-1),"")</f>
        <v/>
      </c>
      <c r="G77" s="514" t="n"/>
      <c r="H77" s="514" t="n"/>
      <c r="I77" s="514" t="n"/>
      <c r="J77" s="514" t="n"/>
      <c r="K77" s="514" t="n"/>
      <c r="L77" s="514" t="n"/>
      <c r="M77" s="514" t="n"/>
      <c r="N77" s="514" t="n"/>
    </row>
    <row r="78">
      <c r="A78" s="846" t="n">
        <v>74</v>
      </c>
      <c r="B78" s="863" t="n"/>
      <c r="C78" s="849" t="n"/>
      <c r="D78" s="933" t="n"/>
      <c r="E78" s="766" t="n"/>
      <c r="F78" s="514">
        <f>IF(G78&lt;&gt;"",LEFT(G78,FIND(",",G78)-1),"")</f>
        <v/>
      </c>
      <c r="G78" s="514" t="n"/>
      <c r="H78" s="514" t="n"/>
      <c r="I78" s="514" t="n"/>
      <c r="J78" s="514" t="n"/>
      <c r="K78" s="514" t="n"/>
      <c r="L78" s="514" t="n"/>
      <c r="M78" s="514" t="n"/>
      <c r="N78" s="514" t="n"/>
    </row>
    <row r="79">
      <c r="A79" s="846" t="n">
        <v>75</v>
      </c>
      <c r="B79" s="863" t="n"/>
      <c r="C79" s="850" t="n"/>
      <c r="D79" s="933" t="n"/>
      <c r="E79" s="766" t="n"/>
      <c r="F79" s="514">
        <f>IF(G79&lt;&gt;"",LEFT(G79,FIND(",",G79)-1),"")</f>
        <v/>
      </c>
      <c r="G79" s="514" t="n"/>
      <c r="H79" s="514" t="n"/>
      <c r="I79" s="514" t="n"/>
      <c r="J79" s="514" t="n"/>
      <c r="K79" s="514" t="n"/>
      <c r="L79" s="514" t="n"/>
      <c r="M79" s="514" t="n"/>
      <c r="N79" s="514" t="n"/>
    </row>
    <row r="80">
      <c r="A80" s="846" t="n">
        <v>76</v>
      </c>
      <c r="B80" s="863" t="n"/>
      <c r="C80" s="851" t="n"/>
      <c r="D80" s="933" t="n"/>
      <c r="E80" s="766" t="n"/>
      <c r="F80" s="514">
        <f>IF(G80&lt;&gt;"",LEFT(G80,FIND(",",G80)-1),"")</f>
        <v/>
      </c>
      <c r="G80" s="514" t="n"/>
      <c r="H80" s="514" t="n"/>
      <c r="I80" s="514" t="n"/>
      <c r="J80" s="514" t="n"/>
      <c r="K80" s="514" t="n"/>
      <c r="L80" s="514" t="n"/>
      <c r="M80" s="514" t="n"/>
      <c r="N80" s="514" t="n"/>
    </row>
    <row r="81">
      <c r="A81" s="846" t="n">
        <v>77</v>
      </c>
      <c r="B81" s="863" t="n"/>
      <c r="C81" s="852" t="n"/>
      <c r="D81" s="933" t="n"/>
      <c r="E81" s="766" t="n"/>
      <c r="F81" s="514">
        <f>IF(G81&lt;&gt;"",LEFT(G81,FIND(",",G81)-1),"")</f>
        <v/>
      </c>
      <c r="G81" s="514" t="n"/>
      <c r="H81" s="514" t="n"/>
      <c r="I81" s="514" t="n"/>
      <c r="J81" s="514" t="n"/>
      <c r="K81" s="514" t="n"/>
      <c r="L81" s="514" t="n"/>
      <c r="M81" s="514" t="n"/>
      <c r="N81" s="514" t="n"/>
    </row>
    <row r="82">
      <c r="A82" s="846" t="n">
        <v>78</v>
      </c>
      <c r="B82" s="863" t="n"/>
      <c r="C82" s="853" t="n"/>
      <c r="D82" s="933" t="n"/>
      <c r="E82" s="766" t="n"/>
      <c r="F82" s="514">
        <f>IF(G82&lt;&gt;"",LEFT(G82,FIND(",",G82)-1),"")</f>
        <v/>
      </c>
      <c r="G82" s="514" t="n"/>
      <c r="H82" s="514" t="n"/>
      <c r="I82" s="514" t="n"/>
      <c r="J82" s="514" t="n"/>
      <c r="K82" s="514" t="n"/>
      <c r="L82" s="514" t="n"/>
      <c r="M82" s="514" t="n"/>
      <c r="N82" s="514" t="n"/>
    </row>
    <row r="83">
      <c r="A83" s="846" t="n">
        <v>79</v>
      </c>
      <c r="B83" s="863" t="n"/>
      <c r="C83" s="854" t="n"/>
      <c r="D83" s="933" t="n"/>
      <c r="E83" s="766" t="n"/>
      <c r="F83" s="514">
        <f>IF(G83&lt;&gt;"",LEFT(G83,FIND(",",G83)-1),"")</f>
        <v/>
      </c>
      <c r="G83" s="514" t="n"/>
      <c r="H83" s="514" t="n"/>
      <c r="I83" s="514" t="n"/>
      <c r="J83" s="514" t="n"/>
      <c r="K83" s="514" t="n"/>
      <c r="L83" s="514" t="n"/>
      <c r="M83" s="514" t="n"/>
      <c r="N83" s="514" t="n"/>
    </row>
    <row r="84">
      <c r="A84" s="846" t="n">
        <v>80</v>
      </c>
      <c r="B84" s="863" t="n"/>
      <c r="C84" s="855" t="n"/>
      <c r="D84" s="933" t="n"/>
      <c r="E84" s="766" t="n"/>
      <c r="F84" s="514">
        <f>IF(G84&lt;&gt;"",LEFT(G84,FIND(",",G84)-1),"")</f>
        <v/>
      </c>
      <c r="G84" s="514" t="n"/>
      <c r="H84" s="514" t="n"/>
      <c r="I84" s="514" t="n"/>
      <c r="J84" s="514" t="n"/>
      <c r="K84" s="514" t="n"/>
      <c r="L84" s="514" t="n"/>
      <c r="M84" s="514" t="n"/>
      <c r="N84" s="514" t="n"/>
    </row>
    <row r="85">
      <c r="A85" s="846" t="n">
        <v>81</v>
      </c>
      <c r="B85" s="863" t="n"/>
      <c r="C85" s="856" t="n"/>
      <c r="D85" s="933" t="n"/>
      <c r="E85" s="766" t="n"/>
      <c r="F85" s="514">
        <f>IF(G85&lt;&gt;"",LEFT(G85,FIND(",",G85)-1),"")</f>
        <v/>
      </c>
      <c r="G85" s="514" t="n"/>
      <c r="H85" s="514" t="n"/>
      <c r="I85" s="514" t="n"/>
      <c r="J85" s="514" t="n"/>
      <c r="K85" s="514" t="n"/>
      <c r="L85" s="514" t="n"/>
      <c r="M85" s="514" t="n"/>
      <c r="N85" s="514" t="n"/>
    </row>
    <row r="86">
      <c r="A86" s="846" t="n">
        <v>82</v>
      </c>
      <c r="B86" s="863" t="n"/>
      <c r="C86" s="857" t="n"/>
      <c r="D86" s="933" t="n"/>
      <c r="E86" s="766" t="n"/>
      <c r="F86" s="514">
        <f>IF(G86&lt;&gt;"",LEFT(G86,FIND(",",G86)-1),"")</f>
        <v/>
      </c>
      <c r="G86" s="514" t="n"/>
      <c r="H86" s="514" t="n"/>
      <c r="I86" s="514" t="n"/>
      <c r="J86" s="514" t="n"/>
      <c r="K86" s="514" t="n"/>
      <c r="L86" s="514" t="n"/>
      <c r="M86" s="514" t="n"/>
      <c r="N86" s="514" t="n"/>
    </row>
    <row r="87">
      <c r="A87" s="846" t="n">
        <v>83</v>
      </c>
      <c r="B87" s="863" t="n"/>
      <c r="C87" s="858" t="n"/>
      <c r="D87" s="933" t="n"/>
      <c r="E87" s="766" t="n"/>
      <c r="F87" s="514">
        <f>IF(G87&lt;&gt;"",LEFT(G87,FIND(",",G87)-1),"")</f>
        <v/>
      </c>
      <c r="G87" s="514" t="n"/>
      <c r="H87" s="514" t="n"/>
      <c r="I87" s="514" t="n"/>
      <c r="J87" s="514" t="n"/>
      <c r="K87" s="514" t="n"/>
      <c r="L87" s="514" t="n"/>
      <c r="M87" s="514" t="n"/>
      <c r="N87" s="514" t="n"/>
    </row>
    <row r="88">
      <c r="A88" s="846" t="n">
        <v>84</v>
      </c>
      <c r="B88" s="863" t="n"/>
      <c r="C88" s="859" t="n"/>
      <c r="D88" s="933" t="n"/>
      <c r="E88" s="766" t="n"/>
      <c r="F88" s="514">
        <f>IF(G88&lt;&gt;"",LEFT(G88,FIND(",",G88)-1),"")</f>
        <v/>
      </c>
      <c r="G88" s="514" t="n"/>
      <c r="H88" s="514" t="n"/>
      <c r="I88" s="514" t="n"/>
      <c r="J88" s="514" t="n"/>
      <c r="K88" s="514" t="n"/>
      <c r="L88" s="514" t="n"/>
      <c r="M88" s="514" t="n"/>
      <c r="N88" s="514" t="n"/>
    </row>
    <row r="89">
      <c r="A89" s="846" t="n">
        <v>85</v>
      </c>
      <c r="B89" s="864" t="n"/>
      <c r="C89" s="847" t="n"/>
      <c r="D89" s="933" t="n"/>
      <c r="E89" s="766" t="n"/>
      <c r="F89" s="514">
        <f>IF(G89&lt;&gt;"",LEFT(G89,FIND(",",G89)-1),"")</f>
        <v/>
      </c>
      <c r="G89" s="514" t="n"/>
      <c r="H89" s="514" t="n"/>
      <c r="I89" s="514" t="n"/>
      <c r="J89" s="514" t="n"/>
      <c r="K89" s="514" t="n"/>
      <c r="L89" s="514" t="n"/>
      <c r="M89" s="514" t="n"/>
      <c r="N89" s="514" t="n"/>
    </row>
    <row r="90">
      <c r="A90" s="846" t="n">
        <v>86</v>
      </c>
      <c r="B90" s="864" t="n"/>
      <c r="C90" s="849" t="n"/>
      <c r="D90" s="933" t="n"/>
      <c r="E90" s="766" t="n"/>
      <c r="F90" s="514" t="n"/>
      <c r="G90" s="514" t="n"/>
      <c r="H90" s="514" t="n"/>
      <c r="I90" s="514" t="n"/>
      <c r="J90" s="514" t="n"/>
      <c r="K90" s="514" t="n"/>
      <c r="L90" s="514" t="n"/>
      <c r="M90" s="514" t="n"/>
      <c r="N90" s="514" t="n"/>
    </row>
    <row r="91">
      <c r="A91" s="846" t="n">
        <v>87</v>
      </c>
      <c r="B91" s="864" t="n"/>
      <c r="C91" s="850" t="n"/>
      <c r="D91" s="933" t="n"/>
      <c r="E91" s="766" t="n"/>
      <c r="F91" s="514" t="n"/>
      <c r="G91" s="514" t="n"/>
      <c r="H91" s="514" t="n"/>
      <c r="I91" s="514" t="n"/>
      <c r="J91" s="514" t="n"/>
      <c r="K91" s="514" t="n"/>
      <c r="L91" s="514" t="n"/>
      <c r="M91" s="514" t="n"/>
      <c r="N91" s="514" t="n"/>
    </row>
    <row r="92">
      <c r="A92" s="846" t="n">
        <v>88</v>
      </c>
      <c r="B92" s="864" t="n"/>
      <c r="C92" s="851" t="n"/>
      <c r="D92" s="933" t="n"/>
      <c r="E92" s="766" t="n"/>
      <c r="F92" s="514" t="n"/>
      <c r="G92" s="514" t="n"/>
      <c r="H92" s="514" t="n"/>
      <c r="I92" s="514" t="n"/>
      <c r="J92" s="514" t="n"/>
      <c r="K92" s="514" t="n"/>
      <c r="L92" s="514" t="n"/>
      <c r="M92" s="514" t="n"/>
      <c r="N92" s="514" t="n"/>
    </row>
    <row r="93">
      <c r="A93" s="846" t="n">
        <v>89</v>
      </c>
      <c r="B93" s="864" t="n"/>
      <c r="C93" s="852" t="n"/>
      <c r="D93" s="933" t="n"/>
      <c r="E93" s="766" t="n"/>
      <c r="F93" s="514" t="n"/>
      <c r="G93" s="514" t="n"/>
      <c r="H93" s="514" t="n"/>
      <c r="I93" s="514" t="n"/>
      <c r="J93" s="514" t="n"/>
      <c r="K93" s="514" t="n"/>
      <c r="L93" s="514" t="n"/>
      <c r="M93" s="514" t="n"/>
      <c r="N93" s="514" t="n"/>
    </row>
    <row r="94">
      <c r="A94" s="846" t="n">
        <v>90</v>
      </c>
      <c r="B94" s="864" t="n"/>
      <c r="C94" s="853" t="n"/>
      <c r="D94" s="933" t="n"/>
      <c r="E94" s="766" t="n"/>
      <c r="F94" s="514" t="n"/>
      <c r="G94" s="514" t="n"/>
      <c r="H94" s="514" t="n"/>
      <c r="I94" s="514" t="n"/>
      <c r="J94" s="514" t="n"/>
      <c r="K94" s="514" t="n"/>
      <c r="L94" s="514" t="n"/>
      <c r="M94" s="514" t="n"/>
      <c r="N94" s="514" t="n"/>
    </row>
    <row r="95">
      <c r="A95" s="846" t="n">
        <v>91</v>
      </c>
      <c r="B95" s="864" t="n"/>
      <c r="C95" s="854" t="n"/>
      <c r="D95" s="934" t="n"/>
      <c r="E95" s="514" t="n"/>
      <c r="F95" s="514" t="n"/>
      <c r="G95" s="514" t="n"/>
      <c r="H95" s="514" t="n"/>
      <c r="I95" s="514" t="n"/>
      <c r="J95" s="514" t="n"/>
      <c r="K95" s="514" t="n"/>
      <c r="L95" s="514" t="n"/>
      <c r="M95" s="514" t="n"/>
      <c r="N95" s="514" t="n"/>
    </row>
    <row r="96">
      <c r="A96" s="846" t="n">
        <v>92</v>
      </c>
      <c r="B96" s="864" t="n"/>
      <c r="C96" s="855" t="n"/>
      <c r="D96" s="934" t="n"/>
      <c r="E96" s="514" t="n"/>
      <c r="F96" s="514" t="n"/>
      <c r="G96" s="514" t="n"/>
      <c r="H96" s="514" t="n"/>
      <c r="I96" s="514" t="n"/>
      <c r="J96" s="514" t="n"/>
      <c r="K96" s="514" t="n"/>
      <c r="L96" s="514" t="n"/>
      <c r="M96" s="514" t="n"/>
      <c r="N96" s="514" t="n"/>
    </row>
    <row r="97">
      <c r="A97" s="846" t="n">
        <v>93</v>
      </c>
      <c r="B97" s="864" t="n"/>
      <c r="C97" s="856" t="n"/>
      <c r="D97" s="934" t="n"/>
      <c r="E97" s="514" t="n"/>
      <c r="F97" s="514" t="n"/>
      <c r="G97" s="514" t="n"/>
      <c r="H97" s="514" t="n"/>
      <c r="I97" s="514" t="n"/>
      <c r="J97" s="514" t="n"/>
      <c r="K97" s="514" t="n"/>
      <c r="L97" s="514" t="n"/>
      <c r="M97" s="514" t="n"/>
      <c r="N97" s="514" t="n"/>
    </row>
    <row r="98">
      <c r="A98" s="846" t="n">
        <v>94</v>
      </c>
      <c r="B98" s="864" t="n"/>
      <c r="C98" s="857" t="n"/>
      <c r="D98" s="934" t="n"/>
      <c r="E98" s="514" t="n"/>
      <c r="F98" s="514" t="n"/>
      <c r="G98" s="514" t="n"/>
      <c r="H98" s="514" t="n"/>
      <c r="I98" s="514" t="n"/>
      <c r="J98" s="514" t="n"/>
      <c r="K98" s="514" t="n"/>
      <c r="L98" s="514" t="n"/>
      <c r="M98" s="514" t="n"/>
      <c r="N98" s="514" t="n"/>
    </row>
    <row r="99">
      <c r="A99" s="846" t="n">
        <v>95</v>
      </c>
      <c r="B99" s="864" t="n"/>
      <c r="C99" s="858" t="n"/>
      <c r="D99" s="934" t="n"/>
      <c r="E99" s="514" t="n"/>
      <c r="F99" s="514" t="n"/>
      <c r="G99" s="514" t="n"/>
      <c r="H99" s="514" t="n"/>
      <c r="I99" s="514" t="n"/>
      <c r="J99" s="514" t="n"/>
      <c r="K99" s="514" t="n"/>
      <c r="L99" s="514" t="n"/>
      <c r="M99" s="514" t="n"/>
      <c r="N99" s="514" t="n"/>
    </row>
    <row r="100">
      <c r="A100" s="846" t="n">
        <v>96</v>
      </c>
      <c r="B100" s="864" t="n"/>
      <c r="C100" s="859" t="n"/>
      <c r="D100" s="934" t="n"/>
      <c r="E100" s="514" t="n"/>
      <c r="F100" s="514" t="n"/>
      <c r="G100" s="514" t="n"/>
      <c r="H100" s="514" t="n"/>
      <c r="I100" s="514" t="n"/>
      <c r="J100" s="514" t="n"/>
      <c r="K100" s="514" t="n"/>
      <c r="L100" s="514" t="n"/>
      <c r="M100" s="514" t="n"/>
      <c r="N100" s="514" t="n"/>
    </row>
    <row r="101">
      <c r="A101" s="846" t="n">
        <v>97</v>
      </c>
      <c r="B101" s="856" t="n"/>
      <c r="C101" s="847" t="n"/>
      <c r="D101" s="934" t="n"/>
      <c r="E101" s="514" t="n"/>
      <c r="F101" s="514" t="n"/>
      <c r="G101" s="514" t="n"/>
      <c r="H101" s="514" t="n"/>
      <c r="I101" s="514" t="n"/>
      <c r="J101" s="514" t="n"/>
      <c r="K101" s="514" t="n"/>
      <c r="L101" s="514" t="n"/>
      <c r="M101" s="514" t="n"/>
      <c r="N101" s="514" t="n"/>
    </row>
    <row r="102">
      <c r="A102" s="846" t="n">
        <v>98</v>
      </c>
      <c r="B102" s="856" t="n"/>
      <c r="C102" s="849" t="n"/>
      <c r="D102" s="934" t="n"/>
      <c r="E102" s="514" t="n"/>
      <c r="F102" s="514" t="n"/>
      <c r="G102" s="514" t="n"/>
      <c r="H102" s="514" t="n"/>
      <c r="I102" s="514" t="n"/>
      <c r="J102" s="514" t="n"/>
      <c r="K102" s="514" t="n"/>
      <c r="L102" s="514" t="n"/>
      <c r="M102" s="514" t="n"/>
      <c r="N102" s="514" t="n"/>
    </row>
    <row r="103">
      <c r="A103" s="846" t="n">
        <v>99</v>
      </c>
      <c r="B103" s="856" t="n"/>
      <c r="C103" s="850" t="n"/>
      <c r="D103" s="934" t="n"/>
      <c r="E103" s="514" t="n"/>
      <c r="F103" s="514" t="n"/>
      <c r="G103" s="514" t="n"/>
      <c r="H103" s="514" t="n"/>
      <c r="I103" s="514" t="n"/>
      <c r="J103" s="514" t="n"/>
      <c r="K103" s="514" t="n"/>
      <c r="L103" s="514" t="n"/>
      <c r="M103" s="514" t="n"/>
      <c r="N103" s="514" t="n"/>
    </row>
    <row r="104">
      <c r="A104" s="846" t="n">
        <v>100</v>
      </c>
      <c r="B104" s="856" t="n"/>
      <c r="C104" s="851" t="n"/>
      <c r="D104" s="934" t="n"/>
      <c r="E104" s="514" t="n"/>
      <c r="F104" s="514" t="n"/>
      <c r="G104" s="514" t="n"/>
      <c r="H104" s="514" t="n"/>
      <c r="I104" s="514" t="n"/>
      <c r="J104" s="514" t="n"/>
      <c r="K104" s="514" t="n"/>
      <c r="L104" s="514" t="n"/>
      <c r="M104" s="514" t="n"/>
      <c r="N104" s="514" t="n"/>
    </row>
    <row r="105">
      <c r="A105" s="846" t="n">
        <v>101</v>
      </c>
      <c r="B105" s="856" t="n"/>
      <c r="C105" s="852" t="n"/>
      <c r="D105" s="934" t="n">
        <v>101</v>
      </c>
      <c r="E105" s="514" t="inlineStr">
        <is>
          <t>F 5120 HILLTOP NEEDMORE RD</t>
        </is>
      </c>
      <c r="F105" s="514" t="inlineStr">
        <is>
          <t>OLT01_101P_FQVRNC</t>
        </is>
      </c>
      <c r="G105" s="514" t="inlineStr">
        <is>
          <t>OLT01_101P_FQVRNC, 1 (OLT01_101P_FQVRNC-1)</t>
        </is>
      </c>
      <c r="H105" s="514" t="inlineStr">
        <is>
          <t>OLT01_101P_FQVRNC, 2 (OLT01_101P_FQVRNC-2)</t>
        </is>
      </c>
      <c r="I105" s="514" t="inlineStr">
        <is>
          <t>OLT01_101P_FQVRNC, 3 (OLT01_101P_FQVRNC-3)</t>
        </is>
      </c>
      <c r="J105" s="514" t="inlineStr">
        <is>
          <t>OLT01_101P_FQVRNC, 4 (OLT01_101P_FQVRNC-4)</t>
        </is>
      </c>
      <c r="K105" s="514" t="inlineStr">
        <is>
          <t>OLT01_101P_FQVRNC, 5 (OLT01_101P_FQVRNC-5)</t>
        </is>
      </c>
      <c r="L105" s="514" t="inlineStr">
        <is>
          <t>OLT01_101P_FQVRNC, 6 (OLT01_101P_FQVRNC-6)</t>
        </is>
      </c>
      <c r="M105" s="514" t="inlineStr">
        <is>
          <t>OLT01_101P_FQVRNC, 7 (OLT01_101P_FQVRNC-7)</t>
        </is>
      </c>
      <c r="N105" s="514" t="inlineStr">
        <is>
          <t>OLT01_101P_FQVRNC, 8 (OLT01_101P_FQVRNC-8)</t>
        </is>
      </c>
    </row>
    <row r="106">
      <c r="A106" s="846" t="n">
        <v>102</v>
      </c>
      <c r="B106" s="856" t="n"/>
      <c r="C106" s="853" t="n"/>
      <c r="D106" s="934" t="n">
        <v>102</v>
      </c>
      <c r="E106" s="514" t="inlineStr">
        <is>
          <t>F 5120 HILLTOP NEEDMORE RD</t>
        </is>
      </c>
      <c r="F106" s="514" t="inlineStr">
        <is>
          <t>OLT01_102P_FQVRNC</t>
        </is>
      </c>
      <c r="G106" s="514" t="inlineStr">
        <is>
          <t>OLT01_102P_FQVRNC, 1 (OLT01_102P_FQVRNC-1)</t>
        </is>
      </c>
      <c r="H106" s="514" t="inlineStr">
        <is>
          <t>OLT01_102P_FQVRNC, 2 (OLT01_102P_FQVRNC-2)</t>
        </is>
      </c>
      <c r="I106" s="514" t="inlineStr">
        <is>
          <t>OLT01_102P_FQVRNC, 3 (OLT01_102P_FQVRNC-3)</t>
        </is>
      </c>
      <c r="J106" s="514" t="inlineStr">
        <is>
          <t>OLT01_102P_FQVRNC, 4 (OLT01_102P_FQVRNC-4)</t>
        </is>
      </c>
      <c r="K106" s="514" t="inlineStr">
        <is>
          <t>OLT01_102P_FQVRNC, 5 (OLT01_102P_FQVRNC-5)</t>
        </is>
      </c>
      <c r="L106" s="514" t="inlineStr">
        <is>
          <t>OLT01_102P_FQVRNC, 6 (OLT01_102P_FQVRNC-6)</t>
        </is>
      </c>
      <c r="M106" s="514" t="inlineStr">
        <is>
          <t>OLT01_102P_FQVRNC, 7 (OLT01_102P_FQVRNC-7)</t>
        </is>
      </c>
      <c r="N106" s="514" t="inlineStr">
        <is>
          <t>OLT01_102P_FQVRNC, 8 (OLT01_102P_FQVRNC-8)</t>
        </is>
      </c>
    </row>
    <row r="107">
      <c r="A107" s="846" t="n">
        <v>103</v>
      </c>
      <c r="B107" s="856" t="n"/>
      <c r="C107" s="854" t="n"/>
      <c r="D107" s="934" t="n">
        <v>103</v>
      </c>
      <c r="E107" s="514" t="inlineStr">
        <is>
          <t>F 5212 RIVINGTON DR</t>
        </is>
      </c>
      <c r="F107" s="514" t="inlineStr">
        <is>
          <t>OLT01_103P_FQVRNC</t>
        </is>
      </c>
      <c r="G107" s="514" t="inlineStr">
        <is>
          <t>SPARE</t>
        </is>
      </c>
      <c r="H107" s="514" t="inlineStr">
        <is>
          <t>SPARE</t>
        </is>
      </c>
      <c r="I107" s="514" t="inlineStr">
        <is>
          <t>OLT01_103P_FQVRNC, 3 (OLT01_103P_FQVRNC-3)</t>
        </is>
      </c>
      <c r="J107" s="514" t="inlineStr">
        <is>
          <t>OLT01_103P_FQVRNC, 4 (OLT01_103P_FQVRNC-4)</t>
        </is>
      </c>
      <c r="K107" s="514" t="inlineStr">
        <is>
          <t>OLT01_103P_FQVRNC, 5 (OLT01_103P_FQVRNC-5)</t>
        </is>
      </c>
      <c r="L107" s="514" t="inlineStr">
        <is>
          <t>OLT01_103P_FQVRNC, 6 (OLT01_103P_FQVRNC-6)</t>
        </is>
      </c>
      <c r="M107" s="514" t="inlineStr">
        <is>
          <t>OLT01_103P_FQVRNC, 7 (OLT01_103P_FQVRNC-7)</t>
        </is>
      </c>
      <c r="N107" s="514" t="inlineStr">
        <is>
          <t>OLT01_103P_FQVRNC, 8 (OLT01_103P_FQVRNC-8)</t>
        </is>
      </c>
    </row>
    <row r="108">
      <c r="A108" s="846" t="n">
        <v>104</v>
      </c>
      <c r="B108" s="856" t="n"/>
      <c r="C108" s="855" t="n"/>
      <c r="D108" s="934" t="n">
        <v>104</v>
      </c>
      <c r="E108" s="514" t="inlineStr">
        <is>
          <t>F 5212 RIVINGTON DR</t>
        </is>
      </c>
      <c r="F108" s="514" t="inlineStr">
        <is>
          <t>OLT01_104P_FQVRNC</t>
        </is>
      </c>
      <c r="G108" s="514" t="inlineStr">
        <is>
          <t>OLT01_104P_FQVRNC, 1 (OLT01_104P_FQVRNC-1)</t>
        </is>
      </c>
      <c r="H108" s="514" t="inlineStr">
        <is>
          <t>OLT01_104P_FQVRNC, 2 (OLT01_104P_FQVRNC-2)</t>
        </is>
      </c>
      <c r="I108" s="514" t="inlineStr">
        <is>
          <t>OLT01_104P_FQVRNC, 3 (OLT01_104P_FQVRNC-3)</t>
        </is>
      </c>
      <c r="J108" s="514" t="inlineStr">
        <is>
          <t>OLT01_104P_FQVRNC, 4 (OLT01_104P_FQVRNC-4)</t>
        </is>
      </c>
      <c r="K108" s="514" t="inlineStr">
        <is>
          <t>OLT01_104P_FQVRNC, 5 (OLT01_104P_FQVRNC-5)</t>
        </is>
      </c>
      <c r="L108" s="514" t="inlineStr">
        <is>
          <t>OLT01_104P_FQVRNC, 6 (OLT01_104P_FQVRNC-6)</t>
        </is>
      </c>
      <c r="M108" s="514" t="inlineStr">
        <is>
          <t>OLT01_104P_FQVRNC, 7 (OLT01_104P_FQVRNC-7)</t>
        </is>
      </c>
      <c r="N108" s="514" t="inlineStr">
        <is>
          <t>OLT01_104P_FQVRNC, 8 (OLT01_104P_FQVRNC-8)</t>
        </is>
      </c>
    </row>
    <row r="109">
      <c r="A109" s="846" t="n">
        <v>105</v>
      </c>
      <c r="B109" s="856" t="n"/>
      <c r="C109" s="856" t="n"/>
      <c r="D109" s="934" t="n">
        <v>105</v>
      </c>
      <c r="E109" s="514" t="inlineStr">
        <is>
          <t>F 7800 ST ANNES WAY</t>
        </is>
      </c>
      <c r="F109" s="514" t="inlineStr">
        <is>
          <t>OLT01_105P_FQVRNC</t>
        </is>
      </c>
      <c r="G109" s="514" t="inlineStr">
        <is>
          <t>SPARE</t>
        </is>
      </c>
      <c r="H109" s="514" t="inlineStr">
        <is>
          <t>OLT01_105P_FQVRNC, 2 (OLT01_105P_FQVRNC-2)</t>
        </is>
      </c>
      <c r="I109" s="514" t="inlineStr">
        <is>
          <t>OLT01_105P_FQVRNC, 3 (OLT01_105P_FQVRNC-3)</t>
        </is>
      </c>
      <c r="J109" s="514" t="inlineStr">
        <is>
          <t>OLT01_105P_FQVRNC, 4 (OLT01_105P_FQVRNC-4)</t>
        </is>
      </c>
      <c r="K109" s="514" t="inlineStr">
        <is>
          <t>OLT01_105P_FQVRNC, 5 (OLT01_105P_FQVRNC-5)</t>
        </is>
      </c>
      <c r="L109" s="514" t="inlineStr">
        <is>
          <t>OLT01_105P_FQVRNC, 6 (OLT01_105P_FQVRNC-6)</t>
        </is>
      </c>
      <c r="M109" s="514" t="inlineStr">
        <is>
          <t>OLT01_105P_FQVRNC, 7 (OLT01_105P_FQVRNC-7)</t>
        </is>
      </c>
      <c r="N109" s="514" t="inlineStr">
        <is>
          <t>OLT01_105P_FQVRNC, 8 (OLT01_105P_FQVRNC-8)</t>
        </is>
      </c>
    </row>
    <row r="110">
      <c r="A110" s="846" t="n">
        <v>106</v>
      </c>
      <c r="B110" s="856" t="n"/>
      <c r="C110" s="857" t="n"/>
      <c r="D110" s="934" t="n">
        <v>106</v>
      </c>
      <c r="E110" s="514" t="inlineStr">
        <is>
          <t>F 7800 ST ANNES WAY</t>
        </is>
      </c>
      <c r="F110" s="514" t="inlineStr">
        <is>
          <t>OLT01_106P_FQVRNC</t>
        </is>
      </c>
      <c r="G110" s="514" t="inlineStr">
        <is>
          <t>OLT01_106P_FQVRNC, 1 (OLT01_106P_FQVRNC-1)</t>
        </is>
      </c>
      <c r="H110" s="514" t="inlineStr">
        <is>
          <t>OLT01_106P_FQVRNC, 2 (OLT01_106P_FQVRNC-2)</t>
        </is>
      </c>
      <c r="I110" s="514" t="inlineStr">
        <is>
          <t>OLT01_106P_FQVRNC, 3 (OLT01_106P_FQVRNC-3)</t>
        </is>
      </c>
      <c r="J110" s="514" t="inlineStr">
        <is>
          <t>OLT01_106P_FQVRNC, 4 (OLT01_106P_FQVRNC-4)</t>
        </is>
      </c>
      <c r="K110" s="514" t="inlineStr">
        <is>
          <t>OLT01_106P_FQVRNC, 5 (OLT01_106P_FQVRNC-5)</t>
        </is>
      </c>
      <c r="L110" s="514" t="inlineStr">
        <is>
          <t>OLT01_106P_FQVRNC, 6 (OLT01_106P_FQVRNC-6)</t>
        </is>
      </c>
      <c r="M110" s="514" t="inlineStr">
        <is>
          <t>OLT01_106P_FQVRNC, 7 (OLT01_106P_FQVRNC-7)</t>
        </is>
      </c>
      <c r="N110" s="514" t="inlineStr">
        <is>
          <t>OLT01_106P_FQVRNC, 8 (OLT01_106P_FQVRNC-8)</t>
        </is>
      </c>
    </row>
    <row r="111">
      <c r="A111" s="846" t="n">
        <v>107</v>
      </c>
      <c r="B111" s="856" t="n"/>
      <c r="C111" s="858" t="n"/>
      <c r="D111" s="934" t="n">
        <v>107</v>
      </c>
      <c r="E111" s="514" t="inlineStr">
        <is>
          <t>F 6620 OLD MILLS RD</t>
        </is>
      </c>
      <c r="F111" s="514" t="inlineStr">
        <is>
          <t>OLT01_107P_FQVRNC</t>
        </is>
      </c>
      <c r="G111" s="514" t="inlineStr">
        <is>
          <t>SPARE</t>
        </is>
      </c>
      <c r="H111" s="514" t="inlineStr">
        <is>
          <t>OLT01_107P_FQVRNC, 2 (OLT01_107P_FQVRNC-2)</t>
        </is>
      </c>
      <c r="I111" s="514" t="inlineStr">
        <is>
          <t>OLT01_107P_FQVRNC, 3 (OLT01_107P_FQVRNC-3)</t>
        </is>
      </c>
      <c r="J111" s="514" t="inlineStr">
        <is>
          <t>OLT01_107P_FQVRNC, 4 (OLT01_107P_FQVRNC-4)</t>
        </is>
      </c>
      <c r="K111" s="514" t="inlineStr">
        <is>
          <t>OLT01_107P_FQVRNC, 5 (OLT01_107P_FQVRNC-5)</t>
        </is>
      </c>
      <c r="L111" s="514" t="inlineStr">
        <is>
          <t>OLT01_107P_FQVRNC, 6 (OLT01_107P_FQVRNC-6)</t>
        </is>
      </c>
      <c r="M111" s="514" t="inlineStr">
        <is>
          <t>OLT01_107P_FQVRNC, 7 (OLT01_107P_FQVRNC-7)</t>
        </is>
      </c>
      <c r="N111" s="514" t="inlineStr">
        <is>
          <t>OLT01_107P_FQVRNC, 8 (OLT01_107P_FQVRNC-8)</t>
        </is>
      </c>
    </row>
    <row r="112">
      <c r="A112" s="846" t="n">
        <v>108</v>
      </c>
      <c r="B112" s="856" t="n"/>
      <c r="C112" s="859" t="n"/>
      <c r="D112" s="934" t="n">
        <v>108</v>
      </c>
      <c r="E112" s="514" t="inlineStr">
        <is>
          <t>F 2329 FAIRWAY VIEW DR</t>
        </is>
      </c>
      <c r="F112" s="514" t="inlineStr">
        <is>
          <t>OLT01_108P_FQVRNC</t>
        </is>
      </c>
      <c r="G112" s="514" t="inlineStr">
        <is>
          <t>SPARE</t>
        </is>
      </c>
      <c r="H112" s="514" t="inlineStr">
        <is>
          <t>SPARE</t>
        </is>
      </c>
      <c r="I112" s="514" t="inlineStr">
        <is>
          <t>SPARE</t>
        </is>
      </c>
      <c r="J112" s="514" t="inlineStr">
        <is>
          <t>SPARE</t>
        </is>
      </c>
      <c r="K112" s="514" t="inlineStr">
        <is>
          <t>SPARE</t>
        </is>
      </c>
      <c r="L112" s="514" t="inlineStr">
        <is>
          <t>SPARE</t>
        </is>
      </c>
      <c r="M112" s="514" t="inlineStr">
        <is>
          <t>SPARE</t>
        </is>
      </c>
      <c r="N112" s="514" t="inlineStr">
        <is>
          <t>OLT01_108P_FQVRNC, 8 (OLT01_108P_FQVRNC-8)</t>
        </is>
      </c>
    </row>
    <row r="113">
      <c r="A113" s="846" t="n">
        <v>109</v>
      </c>
      <c r="B113" s="857" t="n"/>
      <c r="C113" s="847" t="n"/>
      <c r="D113" s="934" t="n">
        <v>109</v>
      </c>
      <c r="E113" s="514" t="inlineStr">
        <is>
          <t>F 2329 FAIRWAY VIEW DR</t>
        </is>
      </c>
      <c r="F113" s="514" t="inlineStr">
        <is>
          <t>OLT01_109P_FQVRNC</t>
        </is>
      </c>
      <c r="G113" s="514" t="inlineStr">
        <is>
          <t>OLT01_109P_FQVRNC, 1 (OLT01_109P_FQVRNC-1)</t>
        </is>
      </c>
      <c r="H113" s="514" t="inlineStr">
        <is>
          <t>OLT01_109P_FQVRNC, 2 (OLT01_109P_FQVRNC-2)</t>
        </is>
      </c>
      <c r="I113" s="514" t="inlineStr">
        <is>
          <t>OLT01_109P_FQVRNC, 3 (OLT01_109P_FQVRNC-3)</t>
        </is>
      </c>
      <c r="J113" s="514" t="inlineStr">
        <is>
          <t>OLT01_109P_FQVRNC, 4 (OLT01_109P_FQVRNC-4)</t>
        </is>
      </c>
      <c r="K113" s="514" t="inlineStr">
        <is>
          <t>OLT01_109P_FQVRNC, 5 (OLT01_109P_FQVRNC-5)</t>
        </is>
      </c>
      <c r="L113" s="514" t="inlineStr">
        <is>
          <t>OLT01_109P_FQVRNC, 6 (OLT01_109P_FQVRNC-6)</t>
        </is>
      </c>
      <c r="M113" s="514" t="inlineStr">
        <is>
          <t>OLT01_109P_FQVRNC, 7 (OLT01_109P_FQVRNC-7)</t>
        </is>
      </c>
      <c r="N113" s="514" t="inlineStr">
        <is>
          <t>OLT01_109P_FQVRNC, 8 (OLT01_109P_FQVRNC-8)</t>
        </is>
      </c>
    </row>
    <row r="114">
      <c r="A114" s="846" t="n">
        <v>110</v>
      </c>
      <c r="B114" s="857" t="n"/>
      <c r="C114" s="849" t="n"/>
      <c r="D114" s="934" t="n">
        <v>110</v>
      </c>
      <c r="E114" s="514" t="inlineStr">
        <is>
          <t>F 3501 BENTWOOD BLUFFS LN</t>
        </is>
      </c>
      <c r="F114" s="514" t="inlineStr">
        <is>
          <t>OLT01_110P_FQVRNC</t>
        </is>
      </c>
      <c r="G114" s="514" t="inlineStr">
        <is>
          <t>SPARE</t>
        </is>
      </c>
      <c r="H114" s="514" t="inlineStr">
        <is>
          <t>OLT01_110P_FQVRNC, 2 (OLT01_110P_FQVRNC-2)</t>
        </is>
      </c>
      <c r="I114" s="514" t="inlineStr">
        <is>
          <t>OLT01_110P_FQVRNC, 3 (OLT01_110P_FQVRNC-3)</t>
        </is>
      </c>
      <c r="J114" s="514" t="inlineStr">
        <is>
          <t>OLT01_110P_FQVRNC, 4 (OLT01_110P_FQVRNC-4)</t>
        </is>
      </c>
      <c r="K114" s="514" t="inlineStr">
        <is>
          <t>OLT01_110P_FQVRNC, 5 (OLT01_110P_FQVRNC-5)</t>
        </is>
      </c>
      <c r="L114" s="514" t="inlineStr">
        <is>
          <t>OLT01_110P_FQVRNC, 6 (OLT01_110P_FQVRNC-6)</t>
        </is>
      </c>
      <c r="M114" s="514" t="inlineStr">
        <is>
          <t>OLT01_110P_FQVRNC, 7 (OLT01_110P_FQVRNC-7)</t>
        </is>
      </c>
      <c r="N114" s="514" t="inlineStr">
        <is>
          <t>OLT01_110P_FQVRNC, 8 (OLT01_110P_FQVRNC-8)</t>
        </is>
      </c>
    </row>
    <row r="115">
      <c r="A115" s="846" t="n">
        <v>111</v>
      </c>
      <c r="B115" s="857" t="n"/>
      <c r="C115" s="850" t="n"/>
      <c r="D115" s="934" t="n">
        <v>111</v>
      </c>
      <c r="E115" s="514" t="inlineStr">
        <is>
          <t>F 3425 FAIRWAY VIEW</t>
        </is>
      </c>
      <c r="F115" s="514" t="inlineStr">
        <is>
          <t>OLT01_111P_FQVRNC</t>
        </is>
      </c>
      <c r="G115" s="514" t="inlineStr">
        <is>
          <t>SPARE</t>
        </is>
      </c>
      <c r="H115" s="514" t="inlineStr">
        <is>
          <t>SPARE</t>
        </is>
      </c>
      <c r="I115" s="514" t="inlineStr">
        <is>
          <t>SPARE</t>
        </is>
      </c>
      <c r="J115" s="514" t="inlineStr">
        <is>
          <t>SPARE</t>
        </is>
      </c>
      <c r="K115" s="514" t="inlineStr">
        <is>
          <t>OLT01_111P_FQVRNC, 5 (OLT01_111P_FQVRNC-5)</t>
        </is>
      </c>
      <c r="L115" s="514" t="inlineStr">
        <is>
          <t>OLT01_111P_FQVRNC, 6 (OLT01_111P_FQVRNC-6)</t>
        </is>
      </c>
      <c r="M115" s="514" t="inlineStr">
        <is>
          <t>OLT01_111P_FQVRNC, 7 (OLT01_111P_FQVRNC-7)</t>
        </is>
      </c>
      <c r="N115" s="514" t="inlineStr">
        <is>
          <t>OLT01_111P_FQVRNC, 8 (OLT01_111P_FQVRNC-8)</t>
        </is>
      </c>
    </row>
    <row r="116">
      <c r="A116" s="846" t="n">
        <v>112</v>
      </c>
      <c r="B116" s="857" t="n"/>
      <c r="C116" s="851" t="n"/>
      <c r="D116" s="934" t="n">
        <v>112</v>
      </c>
      <c r="E116" s="514" t="inlineStr">
        <is>
          <t>F 3425 FAIRWAY VIEW</t>
        </is>
      </c>
      <c r="F116" s="514" t="inlineStr">
        <is>
          <t>OLT01_112P_FQVRNC</t>
        </is>
      </c>
      <c r="G116" s="514" t="inlineStr">
        <is>
          <t>OLT01_112P_FQVRNC, 1 (OLT01_112P_FQVRNC-1)</t>
        </is>
      </c>
      <c r="H116" s="514" t="inlineStr">
        <is>
          <t>OLT01_112P_FQVRNC, 2 (OLT01_112P_FQVRNC-2)</t>
        </is>
      </c>
      <c r="I116" s="514" t="inlineStr">
        <is>
          <t>OLT01_112P_FQVRNC, 3 (OLT01_112P_FQVRNC-3)</t>
        </is>
      </c>
      <c r="J116" s="514" t="inlineStr">
        <is>
          <t>OLT01_112P_FQVRNC, 4 (OLT01_112P_FQVRNC-4)</t>
        </is>
      </c>
      <c r="K116" s="514" t="inlineStr">
        <is>
          <t>OLT01_112P_FQVRNC, 5 (OLT01_112P_FQVRNC-5)</t>
        </is>
      </c>
      <c r="L116" s="514" t="inlineStr">
        <is>
          <t>OLT01_112P_FQVRNC, 6 (OLT01_112P_FQVRNC-6)</t>
        </is>
      </c>
      <c r="M116" s="514" t="inlineStr">
        <is>
          <t>OLT01_112P_FQVRNC, 7 (OLT01_112P_FQVRNC-7)</t>
        </is>
      </c>
      <c r="N116" s="514" t="inlineStr">
        <is>
          <t>OLT01_112P_FQVRNC, 8 (OLT01_112P_FQVRNC-8)</t>
        </is>
      </c>
    </row>
    <row r="117">
      <c r="A117" s="846" t="n">
        <v>113</v>
      </c>
      <c r="B117" s="857" t="n"/>
      <c r="C117" s="852" t="n"/>
      <c r="D117" s="934" t="n">
        <v>113</v>
      </c>
      <c r="E117" s="514" t="inlineStr">
        <is>
          <t>F 6908 OLD MILLS RD</t>
        </is>
      </c>
      <c r="F117" s="514" t="inlineStr">
        <is>
          <t>OLT01_113P_FQVRNC</t>
        </is>
      </c>
      <c r="G117" s="514" t="inlineStr">
        <is>
          <t>SPARE</t>
        </is>
      </c>
      <c r="H117" s="514" t="inlineStr">
        <is>
          <t>SPARE</t>
        </is>
      </c>
      <c r="I117" s="514" t="inlineStr">
        <is>
          <t>SPARE</t>
        </is>
      </c>
      <c r="J117" s="514" t="inlineStr">
        <is>
          <t>SPARE</t>
        </is>
      </c>
      <c r="K117" s="514" t="inlineStr">
        <is>
          <t>OLT01_113P_FQVRNC, 5 (OLT01_113P_FQVRNC-5)</t>
        </is>
      </c>
      <c r="L117" s="514" t="inlineStr">
        <is>
          <t>OLT01_113P_FQVRNC, 6 (OLT01_113P_FQVRNC-6)</t>
        </is>
      </c>
      <c r="M117" s="514" t="inlineStr">
        <is>
          <t>OLT01_113P_FQVRNC, 7 (OLT01_113P_FQVRNC-7)</t>
        </is>
      </c>
      <c r="N117" s="514" t="inlineStr">
        <is>
          <t>OLT01_113P_FQVRNC, 8 (OLT01_113P_FQVRNC-8)</t>
        </is>
      </c>
    </row>
    <row r="118">
      <c r="A118" s="846" t="n">
        <v>114</v>
      </c>
      <c r="B118" s="857" t="n"/>
      <c r="C118" s="853" t="n"/>
      <c r="D118" s="934" t="n">
        <v>114</v>
      </c>
      <c r="E118" s="514" t="inlineStr">
        <is>
          <t>F 6908 OLD MILLS RD</t>
        </is>
      </c>
      <c r="F118" s="514" t="inlineStr">
        <is>
          <t>OLT01_114P_FQVRNC</t>
        </is>
      </c>
      <c r="G118" s="514" t="inlineStr">
        <is>
          <t>OLT01_114P_FQVRNC, 1 (OLT01_114P_FQVRNC-1)</t>
        </is>
      </c>
      <c r="H118" s="514" t="inlineStr">
        <is>
          <t>OLT01_114P_FQVRNC, 2 (OLT01_114P_FQVRNC-2)</t>
        </is>
      </c>
      <c r="I118" s="514" t="inlineStr">
        <is>
          <t>OLT01_114P_FQVRNC, 3 (OLT01_114P_FQVRNC-3)</t>
        </is>
      </c>
      <c r="J118" s="514" t="inlineStr">
        <is>
          <t>OLT01_114P_FQVRNC, 4 (OLT01_114P_FQVRNC-4)</t>
        </is>
      </c>
      <c r="K118" s="514" t="inlineStr">
        <is>
          <t>OLT01_114P_FQVRNC, 5 (OLT01_114P_FQVRNC-5)</t>
        </is>
      </c>
      <c r="L118" s="514" t="inlineStr">
        <is>
          <t>OLT01_114P_FQVRNC, 6 (OLT01_114P_FQVRNC-6)</t>
        </is>
      </c>
      <c r="M118" s="514" t="inlineStr">
        <is>
          <t>OLT01_114P_FQVRNC, 7 (OLT01_114P_FQVRNC-7)</t>
        </is>
      </c>
      <c r="N118" s="514" t="inlineStr">
        <is>
          <t>OLT01_114P_FQVRNC, 8 (OLT01_114P_FQVRNC-8)</t>
        </is>
      </c>
    </row>
    <row r="119">
      <c r="A119" s="846" t="n">
        <v>115</v>
      </c>
      <c r="B119" s="857" t="n"/>
      <c r="C119" s="854" t="n"/>
      <c r="D119" s="934" t="n"/>
      <c r="E119" s="514" t="n"/>
      <c r="F119" s="514" t="n"/>
      <c r="G119" s="514" t="n"/>
      <c r="H119" s="514" t="n"/>
      <c r="I119" s="514" t="n"/>
      <c r="J119" s="514" t="n"/>
      <c r="K119" s="514" t="n"/>
      <c r="L119" s="514" t="n"/>
      <c r="M119" s="514" t="n"/>
      <c r="N119" s="514" t="n"/>
    </row>
    <row r="120">
      <c r="A120" s="846" t="n">
        <v>116</v>
      </c>
      <c r="B120" s="857" t="n"/>
      <c r="C120" s="855" t="n"/>
      <c r="D120" s="934" t="n"/>
      <c r="E120" s="514" t="n"/>
      <c r="F120" s="514" t="n"/>
      <c r="G120" s="514" t="n"/>
      <c r="H120" s="514" t="n"/>
      <c r="I120" s="514" t="n"/>
      <c r="J120" s="514" t="n"/>
      <c r="K120" s="514" t="n"/>
      <c r="L120" s="514" t="n"/>
      <c r="M120" s="514" t="n"/>
      <c r="N120" s="514" t="n"/>
    </row>
    <row r="121">
      <c r="A121" s="846" t="n">
        <v>117</v>
      </c>
      <c r="B121" s="857" t="n"/>
      <c r="C121" s="856" t="n"/>
      <c r="D121" s="934" t="n"/>
      <c r="E121" s="514" t="n"/>
      <c r="F121" s="514" t="n"/>
      <c r="G121" s="514" t="n"/>
      <c r="H121" s="514" t="n"/>
      <c r="I121" s="514" t="n"/>
      <c r="J121" s="514" t="n"/>
      <c r="K121" s="514" t="n"/>
      <c r="L121" s="514" t="n"/>
      <c r="M121" s="514" t="n"/>
      <c r="N121" s="514" t="n"/>
    </row>
    <row r="122">
      <c r="A122" s="846" t="n">
        <v>118</v>
      </c>
      <c r="B122" s="857" t="n"/>
      <c r="C122" s="857" t="n"/>
      <c r="D122" s="934" t="n"/>
      <c r="E122" s="514" t="n"/>
      <c r="F122" s="514" t="n"/>
      <c r="G122" s="514" t="n"/>
      <c r="H122" s="514" t="n"/>
      <c r="I122" s="514" t="n"/>
      <c r="J122" s="514" t="n"/>
      <c r="K122" s="514" t="n"/>
      <c r="L122" s="514" t="n"/>
      <c r="M122" s="514" t="n"/>
      <c r="N122" s="514" t="n"/>
    </row>
    <row r="123">
      <c r="A123" s="846" t="n">
        <v>119</v>
      </c>
      <c r="B123" s="857" t="n"/>
      <c r="C123" s="858" t="n"/>
      <c r="D123" s="934" t="n"/>
      <c r="E123" s="514" t="n"/>
      <c r="F123" s="514" t="n"/>
      <c r="G123" s="514" t="n"/>
      <c r="H123" s="514" t="n"/>
      <c r="I123" s="514" t="n"/>
      <c r="J123" s="514" t="n"/>
      <c r="K123" s="514" t="n"/>
      <c r="L123" s="514" t="n"/>
      <c r="M123" s="514" t="n"/>
      <c r="N123" s="514" t="n"/>
    </row>
    <row r="124">
      <c r="A124" s="846" t="n">
        <v>120</v>
      </c>
      <c r="B124" s="857" t="n"/>
      <c r="C124" s="859" t="n"/>
      <c r="D124" s="934" t="n"/>
      <c r="E124" s="514" t="n"/>
      <c r="F124" s="514" t="n"/>
      <c r="G124" s="514" t="n"/>
      <c r="H124" s="514" t="n"/>
      <c r="I124" s="514" t="n"/>
      <c r="J124" s="514" t="n"/>
      <c r="K124" s="514" t="n"/>
      <c r="L124" s="514" t="n"/>
      <c r="M124" s="514" t="n"/>
      <c r="N124" s="514" t="n"/>
    </row>
    <row r="125">
      <c r="A125" s="846" t="n">
        <v>121</v>
      </c>
      <c r="B125" s="858" t="n"/>
      <c r="C125" s="847" t="n"/>
      <c r="D125" s="934" t="n"/>
      <c r="E125" s="514" t="n"/>
      <c r="F125" s="514" t="n"/>
      <c r="G125" s="514" t="n"/>
      <c r="H125" s="514" t="n"/>
      <c r="I125" s="514" t="n"/>
      <c r="J125" s="514" t="n"/>
      <c r="K125" s="514" t="n"/>
      <c r="L125" s="514" t="n"/>
      <c r="M125" s="514" t="n"/>
      <c r="N125" s="514" t="n"/>
    </row>
    <row r="126">
      <c r="A126" s="846" t="n">
        <v>122</v>
      </c>
      <c r="B126" s="858" t="n"/>
      <c r="C126" s="849" t="n"/>
      <c r="D126" s="934" t="n"/>
      <c r="E126" s="514" t="n"/>
      <c r="F126" s="514" t="n"/>
      <c r="G126" s="514" t="n"/>
      <c r="H126" s="514" t="n"/>
      <c r="I126" s="514" t="n"/>
      <c r="J126" s="514" t="n"/>
      <c r="K126" s="514" t="n"/>
      <c r="L126" s="514" t="n"/>
      <c r="M126" s="514" t="n"/>
      <c r="N126" s="514" t="n"/>
    </row>
    <row r="127">
      <c r="A127" s="846" t="n">
        <v>123</v>
      </c>
      <c r="B127" s="858" t="n"/>
      <c r="C127" s="850" t="n"/>
      <c r="D127" s="934" t="n"/>
      <c r="E127" s="514" t="n"/>
      <c r="F127" s="514" t="n"/>
      <c r="G127" s="514" t="n"/>
      <c r="H127" s="514" t="n"/>
      <c r="I127" s="514" t="n"/>
      <c r="J127" s="514" t="n"/>
      <c r="K127" s="514" t="n"/>
      <c r="L127" s="514" t="n"/>
      <c r="M127" s="514" t="n"/>
      <c r="N127" s="514" t="n"/>
    </row>
    <row r="128">
      <c r="A128" s="846" t="n">
        <v>124</v>
      </c>
      <c r="B128" s="858" t="n"/>
      <c r="C128" s="851" t="n"/>
      <c r="D128" s="934" t="n"/>
      <c r="E128" s="514" t="n"/>
      <c r="F128" s="514" t="n"/>
      <c r="G128" s="514" t="n"/>
      <c r="H128" s="514" t="n"/>
      <c r="I128" s="514" t="n"/>
      <c r="J128" s="514" t="n"/>
      <c r="K128" s="514" t="n"/>
      <c r="L128" s="514" t="n"/>
      <c r="M128" s="514" t="n"/>
      <c r="N128" s="514" t="n"/>
    </row>
    <row r="129">
      <c r="A129" s="846" t="n">
        <v>125</v>
      </c>
      <c r="B129" s="858" t="n"/>
      <c r="C129" s="852" t="n"/>
      <c r="D129" s="934" t="n"/>
      <c r="E129" s="514" t="n"/>
      <c r="F129" s="514" t="n"/>
      <c r="G129" s="514" t="n"/>
      <c r="H129" s="514" t="n"/>
      <c r="I129" s="514" t="n"/>
      <c r="J129" s="514" t="n"/>
      <c r="K129" s="514" t="n"/>
      <c r="L129" s="514" t="n"/>
      <c r="M129" s="514" t="n"/>
      <c r="N129" s="514" t="n"/>
    </row>
    <row r="130">
      <c r="A130" s="846" t="n">
        <v>126</v>
      </c>
      <c r="B130" s="858" t="n"/>
      <c r="C130" s="853" t="n"/>
      <c r="D130" s="934" t="n"/>
      <c r="E130" s="514" t="n"/>
      <c r="F130" s="514" t="n"/>
      <c r="G130" s="514" t="n"/>
      <c r="H130" s="514" t="n"/>
      <c r="I130" s="514" t="n"/>
      <c r="J130" s="514" t="n"/>
      <c r="K130" s="514" t="n"/>
      <c r="L130" s="514" t="n"/>
      <c r="M130" s="514" t="n"/>
      <c r="N130" s="514" t="n"/>
    </row>
    <row r="131">
      <c r="A131" s="846" t="n">
        <v>127</v>
      </c>
      <c r="B131" s="858" t="n"/>
      <c r="C131" s="854" t="n"/>
      <c r="D131" s="934" t="n"/>
      <c r="E131" s="514" t="n"/>
      <c r="F131" s="514" t="n"/>
      <c r="G131" s="514" t="n"/>
      <c r="H131" s="514" t="n"/>
      <c r="I131" s="514" t="n"/>
      <c r="J131" s="514" t="n"/>
      <c r="K131" s="514" t="n"/>
      <c r="L131" s="514" t="n"/>
      <c r="M131" s="514" t="n"/>
      <c r="N131" s="514" t="n"/>
    </row>
    <row r="132">
      <c r="A132" s="846" t="n">
        <v>128</v>
      </c>
      <c r="B132" s="858" t="n"/>
      <c r="C132" s="855" t="n"/>
      <c r="D132" s="934" t="n"/>
      <c r="E132" s="514" t="n"/>
      <c r="F132" s="514" t="n"/>
      <c r="G132" s="514" t="n"/>
      <c r="H132" s="514" t="n"/>
      <c r="I132" s="514" t="n"/>
      <c r="J132" s="514" t="n"/>
      <c r="K132" s="514" t="n"/>
      <c r="L132" s="514" t="n"/>
      <c r="M132" s="514" t="n"/>
      <c r="N132" s="514" t="n"/>
    </row>
    <row r="133">
      <c r="A133" s="846" t="n">
        <v>129</v>
      </c>
      <c r="B133" s="858" t="n"/>
      <c r="C133" s="856" t="n"/>
      <c r="D133" s="934" t="n"/>
      <c r="E133" s="514" t="n"/>
      <c r="F133" s="514" t="n"/>
      <c r="G133" s="514" t="n"/>
      <c r="H133" s="514" t="n"/>
      <c r="I133" s="514" t="n"/>
      <c r="J133" s="514" t="n"/>
      <c r="K133" s="514" t="n"/>
      <c r="L133" s="514" t="n"/>
      <c r="M133" s="514" t="n"/>
      <c r="N133" s="514" t="n"/>
    </row>
    <row r="134">
      <c r="A134" s="846" t="n">
        <v>130</v>
      </c>
      <c r="B134" s="858" t="n"/>
      <c r="C134" s="857" t="n"/>
      <c r="D134" s="934" t="n"/>
      <c r="E134" s="514" t="n"/>
      <c r="F134" s="514" t="n"/>
      <c r="G134" s="514" t="n"/>
      <c r="H134" s="514" t="n"/>
      <c r="I134" s="514" t="n"/>
      <c r="J134" s="514" t="n"/>
      <c r="K134" s="514" t="n"/>
      <c r="L134" s="514" t="n"/>
      <c r="M134" s="514" t="n"/>
      <c r="N134" s="514" t="n"/>
    </row>
    <row r="135">
      <c r="A135" s="846" t="n">
        <v>131</v>
      </c>
      <c r="B135" s="858" t="n"/>
      <c r="C135" s="858" t="n"/>
      <c r="D135" s="934" t="n"/>
      <c r="E135" s="514" t="n"/>
      <c r="F135" s="514" t="n"/>
      <c r="G135" s="514" t="n"/>
      <c r="H135" s="514" t="n"/>
      <c r="I135" s="514" t="n"/>
      <c r="J135" s="514" t="n"/>
      <c r="K135" s="514" t="n"/>
      <c r="L135" s="514" t="n"/>
      <c r="M135" s="514" t="n"/>
      <c r="N135" s="514" t="n"/>
    </row>
    <row r="136">
      <c r="A136" s="846" t="n">
        <v>132</v>
      </c>
      <c r="B136" s="858" t="n"/>
      <c r="C136" s="859" t="n"/>
      <c r="D136" s="934" t="n"/>
      <c r="E136" s="514" t="n"/>
      <c r="F136" s="514" t="n"/>
      <c r="G136" s="514" t="n"/>
      <c r="H136" s="514" t="n"/>
      <c r="I136" s="514" t="n"/>
      <c r="J136" s="514" t="n"/>
      <c r="K136" s="514" t="n"/>
      <c r="L136" s="514" t="n"/>
      <c r="M136" s="514" t="n"/>
      <c r="N136" s="514" t="n"/>
    </row>
    <row r="137">
      <c r="A137" s="846" t="n">
        <v>133</v>
      </c>
      <c r="B137" s="859" t="n"/>
      <c r="C137" s="847" t="n"/>
      <c r="D137" s="934" t="n"/>
      <c r="E137" s="514" t="n"/>
      <c r="F137" s="514" t="n"/>
      <c r="G137" s="514" t="n"/>
      <c r="H137" s="514" t="n"/>
      <c r="I137" s="514" t="n"/>
      <c r="J137" s="514" t="n"/>
      <c r="K137" s="514" t="n"/>
      <c r="L137" s="514" t="n"/>
      <c r="M137" s="514" t="n"/>
      <c r="N137" s="514" t="n"/>
    </row>
    <row r="138">
      <c r="A138" s="846" t="n">
        <v>134</v>
      </c>
      <c r="B138" s="859" t="n"/>
      <c r="C138" s="849" t="n"/>
      <c r="D138" s="934" t="n"/>
      <c r="E138" s="514" t="n"/>
      <c r="F138" s="514" t="n"/>
      <c r="G138" s="514" t="n"/>
      <c r="H138" s="514" t="n"/>
      <c r="I138" s="514" t="n"/>
      <c r="J138" s="514" t="n"/>
      <c r="K138" s="514" t="n"/>
      <c r="L138" s="514" t="n"/>
      <c r="M138" s="514" t="n"/>
      <c r="N138" s="514" t="n"/>
    </row>
    <row r="139">
      <c r="A139" s="846" t="n">
        <v>135</v>
      </c>
      <c r="B139" s="859" t="n"/>
      <c r="C139" s="850" t="n"/>
      <c r="D139" s="934" t="n"/>
      <c r="E139" s="514" t="n"/>
      <c r="F139" s="514" t="n"/>
      <c r="G139" s="514" t="n"/>
      <c r="H139" s="514" t="n"/>
      <c r="I139" s="514" t="n"/>
      <c r="J139" s="514" t="n"/>
      <c r="K139" s="514" t="n"/>
      <c r="L139" s="514" t="n"/>
      <c r="M139" s="514" t="n"/>
      <c r="N139" s="514" t="n"/>
    </row>
    <row r="140">
      <c r="A140" s="846" t="n">
        <v>136</v>
      </c>
      <c r="B140" s="859" t="n"/>
      <c r="C140" s="851" t="n"/>
      <c r="D140" s="934" t="n"/>
      <c r="E140" s="514" t="n"/>
      <c r="F140" s="514" t="n"/>
      <c r="G140" s="514" t="n"/>
      <c r="H140" s="514" t="n"/>
      <c r="I140" s="514" t="n"/>
      <c r="J140" s="514" t="n"/>
      <c r="K140" s="514" t="n"/>
      <c r="L140" s="514" t="n"/>
      <c r="M140" s="514" t="n"/>
      <c r="N140" s="514" t="n"/>
    </row>
    <row r="141">
      <c r="A141" s="846" t="n">
        <v>137</v>
      </c>
      <c r="B141" s="859" t="n"/>
      <c r="C141" s="852" t="n"/>
      <c r="D141" s="934" t="n"/>
      <c r="E141" s="514" t="n"/>
      <c r="F141" s="514" t="n"/>
      <c r="G141" s="514" t="n"/>
      <c r="H141" s="514" t="n"/>
      <c r="I141" s="514" t="n"/>
      <c r="J141" s="514" t="n"/>
      <c r="K141" s="514" t="n"/>
      <c r="L141" s="514" t="n"/>
      <c r="M141" s="514" t="n"/>
      <c r="N141" s="514" t="n"/>
    </row>
    <row r="142">
      <c r="A142" s="846" t="n">
        <v>138</v>
      </c>
      <c r="B142" s="859" t="n"/>
      <c r="C142" s="853" t="n"/>
      <c r="D142" s="934" t="n"/>
      <c r="E142" s="514" t="n"/>
      <c r="F142" s="514" t="n"/>
      <c r="G142" s="514" t="n"/>
      <c r="H142" s="514" t="n"/>
      <c r="I142" s="514" t="n"/>
      <c r="J142" s="514" t="n"/>
      <c r="K142" s="514" t="n"/>
      <c r="L142" s="514" t="n"/>
      <c r="M142" s="514" t="n"/>
      <c r="N142" s="514" t="n"/>
    </row>
    <row r="143">
      <c r="A143" s="846" t="n">
        <v>139</v>
      </c>
      <c r="B143" s="859" t="n"/>
      <c r="C143" s="854" t="n"/>
      <c r="D143" s="934" t="n"/>
      <c r="E143" s="514" t="n"/>
      <c r="F143" s="514" t="n"/>
      <c r="G143" s="514" t="n"/>
      <c r="H143" s="514" t="n"/>
      <c r="I143" s="514" t="n"/>
      <c r="J143" s="514" t="n"/>
      <c r="K143" s="514" t="n"/>
      <c r="L143" s="514" t="n"/>
      <c r="M143" s="514" t="n"/>
      <c r="N143" s="514" t="n"/>
    </row>
    <row r="144">
      <c r="A144" s="846" t="n">
        <v>140</v>
      </c>
      <c r="B144" s="859" t="n"/>
      <c r="C144" s="855" t="n"/>
      <c r="D144" s="934" t="n"/>
      <c r="E144" s="514" t="n"/>
      <c r="F144" s="514" t="n"/>
      <c r="G144" s="514" t="n"/>
      <c r="H144" s="514" t="n"/>
      <c r="I144" s="514" t="n"/>
      <c r="J144" s="514" t="n"/>
      <c r="K144" s="514" t="n"/>
      <c r="L144" s="514" t="n"/>
      <c r="M144" s="514" t="n"/>
      <c r="N144" s="514" t="n"/>
    </row>
    <row r="145">
      <c r="A145" s="846" t="n">
        <v>141</v>
      </c>
      <c r="B145" s="859" t="n"/>
      <c r="C145" s="856" t="n"/>
      <c r="D145" s="934" t="n"/>
      <c r="E145" s="514" t="n"/>
      <c r="F145" s="514" t="n"/>
      <c r="G145" s="514" t="n"/>
      <c r="H145" s="514" t="n"/>
      <c r="I145" s="514" t="n"/>
      <c r="J145" s="514" t="n"/>
      <c r="K145" s="514" t="n"/>
      <c r="L145" s="514" t="n"/>
      <c r="M145" s="514" t="n"/>
      <c r="N145" s="514" t="n"/>
    </row>
    <row r="146">
      <c r="A146" s="846" t="n">
        <v>142</v>
      </c>
      <c r="B146" s="859" t="n"/>
      <c r="C146" s="857" t="n"/>
      <c r="D146" s="934" t="n"/>
      <c r="E146" s="514" t="n"/>
      <c r="F146" s="514" t="n"/>
      <c r="G146" s="514" t="n"/>
      <c r="H146" s="514" t="n"/>
      <c r="I146" s="514" t="n"/>
      <c r="J146" s="514" t="n"/>
      <c r="K146" s="514" t="n"/>
      <c r="L146" s="514" t="n"/>
      <c r="M146" s="514" t="n"/>
      <c r="N146" s="514" t="n"/>
    </row>
    <row r="147">
      <c r="A147" s="846" t="n">
        <v>143</v>
      </c>
      <c r="B147" s="859" t="n"/>
      <c r="C147" s="858" t="n"/>
      <c r="D147" s="934" t="n"/>
      <c r="E147" s="514" t="n"/>
      <c r="F147" s="514" t="n"/>
      <c r="G147" s="514" t="n"/>
      <c r="H147" s="514" t="n"/>
      <c r="I147" s="514" t="n"/>
      <c r="J147" s="514" t="n"/>
      <c r="K147" s="514" t="n"/>
      <c r="L147" s="514" t="n"/>
      <c r="M147" s="514" t="n"/>
      <c r="N147" s="514" t="n"/>
    </row>
    <row r="148">
      <c r="A148" s="846" t="n">
        <v>144</v>
      </c>
      <c r="B148" s="859" t="n"/>
      <c r="C148" s="859" t="n"/>
      <c r="D148" s="934" t="n"/>
      <c r="E148" s="514" t="n"/>
      <c r="F148" s="514" t="n"/>
      <c r="G148" s="514" t="n"/>
      <c r="H148" s="514" t="n"/>
      <c r="I148" s="514" t="n"/>
      <c r="J148" s="514" t="n"/>
      <c r="K148" s="514" t="n"/>
      <c r="L148" s="514" t="n"/>
      <c r="M148" s="514" t="n"/>
      <c r="N148" s="514" t="n"/>
    </row>
    <row r="149">
      <c r="A149" s="846" t="n">
        <v>145</v>
      </c>
      <c r="B149" s="847" t="n"/>
      <c r="C149" s="847" t="n"/>
      <c r="D149" s="934" t="n"/>
      <c r="E149" s="514" t="n"/>
      <c r="F149" s="514" t="n"/>
      <c r="G149" s="514" t="n"/>
      <c r="H149" s="514" t="n"/>
      <c r="I149" s="514" t="n"/>
      <c r="J149" s="514" t="n"/>
      <c r="K149" s="514" t="n"/>
      <c r="L149" s="514" t="n"/>
      <c r="M149" s="514" t="n"/>
      <c r="N149" s="514" t="n"/>
    </row>
    <row r="150">
      <c r="A150" s="846" t="n">
        <v>146</v>
      </c>
      <c r="B150" s="847" t="n"/>
      <c r="C150" s="849" t="n"/>
      <c r="D150" s="934" t="n"/>
      <c r="E150" s="514" t="n"/>
      <c r="F150" s="514" t="n"/>
      <c r="G150" s="514" t="n"/>
      <c r="H150" s="514" t="n"/>
      <c r="I150" s="514" t="n"/>
      <c r="J150" s="514" t="n"/>
      <c r="K150" s="514" t="n"/>
      <c r="L150" s="514" t="n"/>
      <c r="M150" s="514" t="n"/>
      <c r="N150" s="514" t="n"/>
    </row>
    <row r="151">
      <c r="A151" s="846" t="n">
        <v>147</v>
      </c>
      <c r="B151" s="847" t="n"/>
      <c r="C151" s="850" t="n"/>
      <c r="D151" s="934" t="n"/>
      <c r="E151" s="514" t="n"/>
      <c r="F151" s="514" t="n"/>
      <c r="G151" s="514" t="n"/>
      <c r="H151" s="514" t="n"/>
      <c r="I151" s="514" t="n"/>
      <c r="J151" s="514" t="n"/>
      <c r="K151" s="514" t="n"/>
      <c r="L151" s="514" t="n"/>
      <c r="M151" s="514" t="n"/>
      <c r="N151" s="514" t="n"/>
    </row>
    <row r="152">
      <c r="A152" s="846" t="n">
        <v>148</v>
      </c>
      <c r="B152" s="847" t="n"/>
      <c r="C152" s="851" t="n"/>
      <c r="D152" s="934" t="n"/>
      <c r="E152" s="514" t="n"/>
      <c r="F152" s="514" t="n"/>
      <c r="G152" s="514" t="n"/>
      <c r="H152" s="514" t="n"/>
      <c r="I152" s="514" t="n"/>
      <c r="J152" s="514" t="n"/>
      <c r="K152" s="514" t="n"/>
      <c r="L152" s="514" t="n"/>
      <c r="M152" s="514" t="n"/>
      <c r="N152" s="514" t="n"/>
    </row>
    <row r="153">
      <c r="A153" s="846" t="n">
        <v>149</v>
      </c>
      <c r="B153" s="847" t="n"/>
      <c r="C153" s="852" t="n"/>
      <c r="D153" s="934" t="n"/>
      <c r="E153" s="514" t="n"/>
      <c r="F153" s="514" t="n"/>
      <c r="G153" s="514" t="n"/>
      <c r="H153" s="514" t="n"/>
      <c r="I153" s="514" t="n"/>
      <c r="J153" s="514" t="n"/>
      <c r="K153" s="514" t="n"/>
      <c r="L153" s="514" t="n"/>
      <c r="M153" s="514" t="n"/>
      <c r="N153" s="514" t="n"/>
    </row>
    <row r="154">
      <c r="A154" s="846" t="n">
        <v>150</v>
      </c>
      <c r="B154" s="847" t="n"/>
      <c r="C154" s="853" t="n"/>
      <c r="D154" s="934" t="n"/>
      <c r="E154" s="514" t="n"/>
      <c r="F154" s="514" t="n"/>
      <c r="G154" s="514" t="n"/>
      <c r="H154" s="514" t="n"/>
      <c r="I154" s="514" t="n"/>
      <c r="J154" s="514" t="n"/>
      <c r="K154" s="514" t="n"/>
      <c r="L154" s="514" t="n"/>
      <c r="M154" s="514" t="n"/>
      <c r="N154" s="514" t="n"/>
    </row>
    <row r="155">
      <c r="A155" s="846" t="n">
        <v>151</v>
      </c>
      <c r="B155" s="847" t="n"/>
      <c r="C155" s="854" t="n"/>
      <c r="D155" s="934" t="n"/>
      <c r="E155" s="514" t="n"/>
      <c r="F155" s="514" t="n"/>
      <c r="G155" s="514" t="n"/>
      <c r="H155" s="514" t="n"/>
      <c r="I155" s="514" t="n"/>
      <c r="J155" s="514" t="n"/>
      <c r="K155" s="514" t="n"/>
      <c r="L155" s="514" t="n"/>
      <c r="M155" s="514" t="n"/>
      <c r="N155" s="514" t="n"/>
    </row>
    <row r="156">
      <c r="A156" s="846" t="n">
        <v>152</v>
      </c>
      <c r="B156" s="847" t="n"/>
      <c r="C156" s="855" t="n"/>
      <c r="D156" s="934" t="n"/>
      <c r="E156" s="514" t="n"/>
      <c r="F156" s="514" t="n"/>
      <c r="G156" s="514" t="n"/>
      <c r="H156" s="514" t="n"/>
      <c r="I156" s="514" t="n"/>
      <c r="J156" s="514" t="n"/>
      <c r="K156" s="514" t="n"/>
      <c r="L156" s="514" t="n"/>
      <c r="M156" s="514" t="n"/>
      <c r="N156" s="514" t="n"/>
    </row>
    <row r="157">
      <c r="A157" s="846" t="n">
        <v>153</v>
      </c>
      <c r="B157" s="847" t="n"/>
      <c r="C157" s="856" t="n"/>
      <c r="D157" s="934" t="n"/>
      <c r="E157" s="514" t="n"/>
      <c r="F157" s="514" t="n"/>
      <c r="G157" s="514" t="n"/>
      <c r="H157" s="514" t="n"/>
      <c r="I157" s="514" t="n"/>
      <c r="J157" s="514" t="n"/>
      <c r="K157" s="514" t="n"/>
      <c r="L157" s="514" t="n"/>
      <c r="M157" s="514" t="n"/>
      <c r="N157" s="514" t="n"/>
    </row>
    <row r="158">
      <c r="A158" s="846" t="n">
        <v>154</v>
      </c>
      <c r="B158" s="847" t="n"/>
      <c r="C158" s="857" t="n"/>
      <c r="D158" s="934" t="n"/>
      <c r="E158" s="514" t="n"/>
      <c r="F158" s="514" t="n"/>
      <c r="G158" s="514" t="n"/>
      <c r="H158" s="514" t="n"/>
      <c r="I158" s="514" t="n"/>
      <c r="J158" s="514" t="n"/>
      <c r="K158" s="514" t="n"/>
      <c r="L158" s="514" t="n"/>
      <c r="M158" s="514" t="n"/>
      <c r="N158" s="514" t="n"/>
    </row>
    <row r="159">
      <c r="A159" s="846" t="n">
        <v>155</v>
      </c>
      <c r="B159" s="847" t="n"/>
      <c r="C159" s="858" t="n"/>
      <c r="D159" s="934" t="n"/>
      <c r="E159" s="514" t="n"/>
      <c r="F159" s="514" t="n"/>
      <c r="G159" s="514" t="n"/>
      <c r="H159" s="514" t="n"/>
      <c r="I159" s="514" t="n"/>
      <c r="J159" s="514" t="n"/>
      <c r="K159" s="514" t="n"/>
      <c r="L159" s="514" t="n"/>
      <c r="M159" s="514" t="n"/>
      <c r="N159" s="514" t="n"/>
    </row>
    <row r="160">
      <c r="A160" s="846" t="n">
        <v>156</v>
      </c>
      <c r="B160" s="847" t="n"/>
      <c r="C160" s="859" t="n"/>
      <c r="D160" s="934" t="n"/>
      <c r="E160" s="514" t="n"/>
      <c r="F160" s="514" t="n"/>
      <c r="G160" s="514" t="n"/>
      <c r="H160" s="514" t="n"/>
      <c r="I160" s="514" t="n"/>
      <c r="J160" s="514" t="n"/>
      <c r="K160" s="514" t="n"/>
      <c r="L160" s="514" t="n"/>
      <c r="M160" s="514" t="n"/>
      <c r="N160" s="514" t="n"/>
    </row>
    <row r="161">
      <c r="A161" s="846" t="n">
        <v>157</v>
      </c>
      <c r="B161" s="849" t="n"/>
      <c r="C161" s="847" t="n"/>
      <c r="D161" s="934" t="n"/>
      <c r="E161" s="514" t="n"/>
      <c r="F161" s="514" t="n"/>
      <c r="G161" s="514" t="n"/>
      <c r="H161" s="514" t="n"/>
      <c r="I161" s="514" t="n"/>
      <c r="J161" s="514" t="n"/>
      <c r="K161" s="514" t="n"/>
      <c r="L161" s="514" t="n"/>
      <c r="M161" s="514" t="n"/>
      <c r="N161" s="514" t="n"/>
    </row>
    <row r="162">
      <c r="A162" s="846" t="n">
        <v>158</v>
      </c>
      <c r="B162" s="849" t="n"/>
      <c r="C162" s="849" t="n"/>
      <c r="D162" s="934" t="n"/>
      <c r="E162" s="514" t="n"/>
      <c r="F162" s="514" t="n"/>
      <c r="G162" s="514" t="n"/>
      <c r="H162" s="514" t="n"/>
      <c r="I162" s="514" t="n"/>
      <c r="J162" s="514" t="n"/>
      <c r="K162" s="514" t="n"/>
      <c r="L162" s="514" t="n"/>
      <c r="M162" s="514" t="n"/>
      <c r="N162" s="514" t="n"/>
    </row>
    <row r="163">
      <c r="A163" s="846" t="n">
        <v>159</v>
      </c>
      <c r="B163" s="849" t="n"/>
      <c r="C163" s="850" t="n"/>
      <c r="D163" s="934" t="n"/>
      <c r="E163" s="514" t="n"/>
      <c r="F163" s="514" t="n"/>
      <c r="G163" s="514" t="n"/>
      <c r="H163" s="514" t="n"/>
      <c r="I163" s="514" t="n"/>
      <c r="J163" s="514" t="n"/>
      <c r="K163" s="514" t="n"/>
      <c r="L163" s="514" t="n"/>
      <c r="M163" s="514" t="n"/>
      <c r="N163" s="514" t="n"/>
    </row>
    <row r="164">
      <c r="A164" s="846" t="n">
        <v>160</v>
      </c>
      <c r="B164" s="849" t="n"/>
      <c r="C164" s="851" t="n"/>
      <c r="D164" s="934" t="n"/>
      <c r="E164" s="514" t="n"/>
      <c r="F164" s="514" t="n"/>
      <c r="G164" s="514" t="n"/>
      <c r="H164" s="514" t="n"/>
      <c r="I164" s="514" t="n"/>
      <c r="J164" s="514" t="n"/>
      <c r="K164" s="514" t="n"/>
      <c r="L164" s="514" t="n"/>
      <c r="M164" s="514" t="n"/>
      <c r="N164" s="514" t="n"/>
    </row>
    <row r="165">
      <c r="A165" s="846" t="n">
        <v>161</v>
      </c>
      <c r="B165" s="849" t="n"/>
      <c r="C165" s="852" t="n"/>
      <c r="D165" s="934" t="n"/>
      <c r="E165" s="514" t="n"/>
      <c r="F165" s="514" t="n"/>
      <c r="G165" s="514" t="n"/>
      <c r="H165" s="514" t="n"/>
      <c r="I165" s="514" t="n"/>
      <c r="J165" s="514" t="n"/>
      <c r="K165" s="514" t="n"/>
      <c r="L165" s="514" t="n"/>
      <c r="M165" s="514" t="n"/>
      <c r="N165" s="514" t="n"/>
    </row>
    <row r="166">
      <c r="A166" s="846" t="n">
        <v>162</v>
      </c>
      <c r="B166" s="849" t="n"/>
      <c r="C166" s="853" t="n"/>
      <c r="D166" s="934" t="n"/>
      <c r="E166" s="514" t="n"/>
      <c r="F166" s="514" t="n"/>
      <c r="G166" s="514" t="n"/>
      <c r="H166" s="514" t="n"/>
      <c r="I166" s="514" t="n"/>
      <c r="J166" s="514" t="n"/>
      <c r="K166" s="514" t="n"/>
      <c r="L166" s="514" t="n"/>
      <c r="M166" s="514" t="n"/>
      <c r="N166" s="514" t="n"/>
    </row>
    <row r="167">
      <c r="A167" s="846" t="n">
        <v>163</v>
      </c>
      <c r="B167" s="849" t="n"/>
      <c r="C167" s="854" t="n"/>
      <c r="D167" s="934" t="n"/>
      <c r="E167" s="514" t="n"/>
      <c r="F167" s="514" t="n"/>
      <c r="G167" s="514" t="n"/>
      <c r="H167" s="514" t="n"/>
      <c r="I167" s="514" t="n"/>
      <c r="J167" s="514" t="n"/>
      <c r="K167" s="514" t="n"/>
      <c r="L167" s="514" t="n"/>
      <c r="M167" s="514" t="n"/>
      <c r="N167" s="514" t="n"/>
    </row>
    <row r="168">
      <c r="A168" s="846" t="n">
        <v>164</v>
      </c>
      <c r="B168" s="849" t="n"/>
      <c r="C168" s="855" t="n"/>
      <c r="D168" s="934" t="n"/>
      <c r="E168" s="514" t="n"/>
      <c r="F168" s="514" t="n"/>
      <c r="G168" s="514" t="n"/>
      <c r="H168" s="514" t="n"/>
      <c r="I168" s="514" t="n"/>
      <c r="J168" s="514" t="n"/>
      <c r="K168" s="514" t="n"/>
      <c r="L168" s="514" t="n"/>
      <c r="M168" s="514" t="n"/>
      <c r="N168" s="514" t="n"/>
    </row>
    <row r="169">
      <c r="A169" s="846" t="n">
        <v>165</v>
      </c>
      <c r="B169" s="849" t="n"/>
      <c r="C169" s="856" t="n"/>
      <c r="D169" s="934" t="n"/>
      <c r="E169" s="514" t="n"/>
      <c r="F169" s="514" t="n"/>
      <c r="G169" s="514" t="n"/>
      <c r="H169" s="514" t="n"/>
      <c r="I169" s="514" t="n"/>
      <c r="J169" s="514" t="n"/>
      <c r="K169" s="514" t="n"/>
      <c r="L169" s="514" t="n"/>
      <c r="M169" s="514" t="n"/>
      <c r="N169" s="514" t="n"/>
    </row>
    <row r="170">
      <c r="A170" s="846" t="n">
        <v>166</v>
      </c>
      <c r="B170" s="849" t="n"/>
      <c r="C170" s="857" t="n"/>
      <c r="D170" s="934" t="n"/>
      <c r="E170" s="514" t="n"/>
      <c r="F170" s="514" t="n"/>
      <c r="G170" s="514" t="n"/>
      <c r="H170" s="514" t="n"/>
      <c r="I170" s="514" t="n"/>
      <c r="J170" s="514" t="n"/>
      <c r="K170" s="514" t="n"/>
      <c r="L170" s="514" t="n"/>
      <c r="M170" s="514" t="n"/>
      <c r="N170" s="514" t="n"/>
    </row>
    <row r="171">
      <c r="A171" s="846" t="n">
        <v>167</v>
      </c>
      <c r="B171" s="849" t="n"/>
      <c r="C171" s="858" t="n"/>
      <c r="D171" s="934" t="n"/>
      <c r="E171" s="514" t="n"/>
      <c r="F171" s="514" t="n"/>
      <c r="G171" s="514" t="n"/>
      <c r="H171" s="514" t="n"/>
      <c r="I171" s="514" t="n"/>
      <c r="J171" s="514" t="n"/>
      <c r="K171" s="514" t="n"/>
      <c r="L171" s="514" t="n"/>
      <c r="M171" s="514" t="n"/>
      <c r="N171" s="514" t="n"/>
    </row>
    <row r="172">
      <c r="A172" s="846" t="n">
        <v>168</v>
      </c>
      <c r="B172" s="849" t="n"/>
      <c r="C172" s="859" t="n"/>
      <c r="D172" s="934" t="n"/>
      <c r="E172" s="514" t="n"/>
      <c r="F172" s="514" t="n"/>
      <c r="G172" s="514" t="n"/>
      <c r="H172" s="514" t="n"/>
      <c r="I172" s="514" t="n"/>
      <c r="J172" s="514" t="n"/>
      <c r="K172" s="514" t="n"/>
      <c r="L172" s="514" t="n"/>
      <c r="M172" s="514" t="n"/>
      <c r="N172" s="514" t="n"/>
    </row>
    <row r="173">
      <c r="A173" s="846" t="n">
        <v>169</v>
      </c>
      <c r="B173" s="850" t="n"/>
      <c r="C173" s="847" t="n"/>
      <c r="D173" s="934" t="n"/>
      <c r="E173" s="514" t="n"/>
      <c r="F173" s="514" t="n"/>
      <c r="G173" s="514" t="n"/>
      <c r="H173" s="514" t="n"/>
      <c r="I173" s="514" t="n"/>
      <c r="J173" s="514" t="n"/>
      <c r="K173" s="514" t="n"/>
      <c r="L173" s="514" t="n"/>
      <c r="M173" s="514" t="n"/>
      <c r="N173" s="514" t="n"/>
    </row>
    <row r="174">
      <c r="A174" s="846" t="n">
        <v>170</v>
      </c>
      <c r="B174" s="850" t="n"/>
      <c r="C174" s="849" t="n"/>
      <c r="D174" s="934" t="n"/>
      <c r="E174" s="514" t="n"/>
      <c r="F174" s="514" t="n"/>
      <c r="G174" s="514" t="n"/>
      <c r="H174" s="514" t="n"/>
      <c r="I174" s="514" t="n"/>
      <c r="J174" s="514" t="n"/>
      <c r="K174" s="514" t="n"/>
      <c r="L174" s="514" t="n"/>
      <c r="M174" s="514" t="n"/>
      <c r="N174" s="514" t="n"/>
    </row>
    <row r="175">
      <c r="A175" s="846" t="n">
        <v>171</v>
      </c>
      <c r="B175" s="850" t="n"/>
      <c r="C175" s="850" t="n"/>
      <c r="D175" s="934" t="n"/>
      <c r="E175" s="514" t="n"/>
      <c r="F175" s="514" t="n"/>
      <c r="G175" s="514" t="n"/>
      <c r="H175" s="514" t="n"/>
      <c r="I175" s="514" t="n"/>
      <c r="J175" s="514" t="n"/>
      <c r="K175" s="514" t="n"/>
      <c r="L175" s="514" t="n"/>
      <c r="M175" s="514" t="n"/>
      <c r="N175" s="514" t="n"/>
    </row>
    <row r="176">
      <c r="A176" s="846" t="n">
        <v>172</v>
      </c>
      <c r="B176" s="850" t="n"/>
      <c r="C176" s="851" t="n"/>
      <c r="D176" s="934" t="n"/>
      <c r="E176" s="514" t="n"/>
      <c r="F176" s="514" t="n"/>
      <c r="G176" s="514" t="n"/>
      <c r="H176" s="514" t="n"/>
      <c r="I176" s="514" t="n"/>
      <c r="J176" s="514" t="n"/>
      <c r="K176" s="514" t="n"/>
      <c r="L176" s="514" t="n"/>
      <c r="M176" s="514" t="n"/>
      <c r="N176" s="514" t="n"/>
    </row>
    <row r="177">
      <c r="A177" s="846" t="n">
        <v>173</v>
      </c>
      <c r="B177" s="850" t="n"/>
      <c r="C177" s="852" t="n"/>
      <c r="D177" s="934" t="n"/>
      <c r="E177" s="514" t="n"/>
      <c r="F177" s="514" t="n"/>
      <c r="G177" s="514" t="n"/>
      <c r="H177" s="514" t="n"/>
      <c r="I177" s="514" t="n"/>
      <c r="J177" s="514" t="n"/>
      <c r="K177" s="514" t="n"/>
      <c r="L177" s="514" t="n"/>
      <c r="M177" s="514" t="n"/>
      <c r="N177" s="514" t="n"/>
    </row>
    <row r="178">
      <c r="A178" s="846" t="n">
        <v>174</v>
      </c>
      <c r="B178" s="850" t="n"/>
      <c r="C178" s="853" t="n"/>
      <c r="D178" s="934" t="n"/>
      <c r="E178" s="514" t="n"/>
      <c r="F178" s="514" t="n"/>
      <c r="G178" s="514" t="n"/>
      <c r="H178" s="514" t="n"/>
      <c r="I178" s="514" t="n"/>
      <c r="J178" s="514" t="n"/>
      <c r="K178" s="514" t="n"/>
      <c r="L178" s="514" t="n"/>
      <c r="M178" s="514" t="n"/>
      <c r="N178" s="514" t="n"/>
    </row>
    <row r="179">
      <c r="A179" s="846" t="n">
        <v>175</v>
      </c>
      <c r="B179" s="850" t="n"/>
      <c r="C179" s="854" t="n"/>
      <c r="D179" s="934" t="n"/>
      <c r="E179" s="514" t="n"/>
      <c r="F179" s="514" t="n"/>
      <c r="G179" s="514" t="n"/>
      <c r="H179" s="514" t="n"/>
      <c r="I179" s="514" t="n"/>
      <c r="J179" s="514" t="n"/>
      <c r="K179" s="514" t="n"/>
      <c r="L179" s="514" t="n"/>
      <c r="M179" s="514" t="n"/>
      <c r="N179" s="514" t="n"/>
    </row>
    <row r="180">
      <c r="A180" s="846" t="n">
        <v>176</v>
      </c>
      <c r="B180" s="850" t="n"/>
      <c r="C180" s="855" t="n"/>
      <c r="D180" s="934" t="n"/>
      <c r="E180" s="514" t="n"/>
      <c r="F180" s="514" t="n"/>
      <c r="G180" s="514" t="n"/>
      <c r="H180" s="514" t="n"/>
      <c r="I180" s="514" t="n"/>
      <c r="J180" s="514" t="n"/>
      <c r="K180" s="514" t="n"/>
      <c r="L180" s="514" t="n"/>
      <c r="M180" s="514" t="n"/>
      <c r="N180" s="514" t="n"/>
    </row>
    <row r="181">
      <c r="A181" s="846" t="n">
        <v>177</v>
      </c>
      <c r="B181" s="850" t="n"/>
      <c r="C181" s="856" t="n"/>
      <c r="D181" s="934" t="n"/>
      <c r="E181" s="514" t="n"/>
      <c r="F181" s="514" t="n"/>
      <c r="G181" s="514" t="n"/>
      <c r="H181" s="514" t="n"/>
      <c r="I181" s="514" t="n"/>
      <c r="J181" s="514" t="n"/>
      <c r="K181" s="514" t="n"/>
      <c r="L181" s="514" t="n"/>
      <c r="M181" s="514" t="n"/>
      <c r="N181" s="514" t="n"/>
    </row>
    <row r="182">
      <c r="A182" s="846" t="n">
        <v>178</v>
      </c>
      <c r="B182" s="850" t="n"/>
      <c r="C182" s="857" t="n"/>
      <c r="D182" s="934" t="n"/>
      <c r="E182" s="514" t="n"/>
      <c r="F182" s="514" t="n"/>
      <c r="G182" s="514" t="n"/>
      <c r="H182" s="514" t="n"/>
      <c r="I182" s="514" t="n"/>
      <c r="J182" s="514" t="n"/>
      <c r="K182" s="514" t="n"/>
      <c r="L182" s="514" t="n"/>
      <c r="M182" s="514" t="n"/>
      <c r="N182" s="514" t="n"/>
    </row>
    <row r="183">
      <c r="A183" s="846" t="n">
        <v>179</v>
      </c>
      <c r="B183" s="850" t="n"/>
      <c r="C183" s="858" t="n"/>
      <c r="D183" s="934" t="n"/>
      <c r="E183" s="514" t="n"/>
      <c r="F183" s="514" t="n"/>
      <c r="G183" s="514" t="n"/>
      <c r="H183" s="514" t="n"/>
      <c r="I183" s="514" t="n"/>
      <c r="J183" s="514" t="n"/>
      <c r="K183" s="514" t="n"/>
      <c r="L183" s="514" t="n"/>
      <c r="M183" s="514" t="n"/>
      <c r="N183" s="514" t="n"/>
    </row>
    <row r="184">
      <c r="A184" s="846" t="n">
        <v>180</v>
      </c>
      <c r="B184" s="850" t="n"/>
      <c r="C184" s="859" t="n"/>
      <c r="D184" s="934" t="n"/>
      <c r="E184" s="514" t="n"/>
      <c r="F184" s="514" t="n"/>
      <c r="G184" s="514" t="n"/>
      <c r="H184" s="514" t="n"/>
      <c r="I184" s="514" t="n"/>
      <c r="J184" s="514" t="n"/>
      <c r="K184" s="514" t="n"/>
      <c r="L184" s="514" t="n"/>
      <c r="M184" s="514" t="n"/>
      <c r="N184" s="514" t="n"/>
    </row>
    <row r="185">
      <c r="A185" s="846" t="n">
        <v>181</v>
      </c>
      <c r="B185" s="851" t="n"/>
      <c r="C185" s="847" t="n"/>
      <c r="D185" s="934" t="n"/>
      <c r="E185" s="514" t="n"/>
      <c r="F185" s="514" t="n"/>
      <c r="G185" s="514" t="n"/>
      <c r="H185" s="514" t="n"/>
      <c r="I185" s="514" t="n"/>
      <c r="J185" s="514" t="n"/>
      <c r="K185" s="514" t="n"/>
      <c r="L185" s="514" t="n"/>
      <c r="M185" s="514" t="n"/>
      <c r="N185" s="514" t="n"/>
    </row>
    <row r="186">
      <c r="A186" s="846" t="n">
        <v>182</v>
      </c>
      <c r="B186" s="851" t="n"/>
      <c r="C186" s="849" t="n"/>
      <c r="D186" s="934" t="n"/>
      <c r="E186" s="514" t="n"/>
      <c r="F186" s="514" t="n"/>
      <c r="G186" s="514" t="n"/>
      <c r="H186" s="514" t="n"/>
      <c r="I186" s="514" t="n"/>
      <c r="J186" s="514" t="n"/>
      <c r="K186" s="514" t="n"/>
      <c r="L186" s="514" t="n"/>
      <c r="M186" s="514" t="n"/>
      <c r="N186" s="514" t="n"/>
    </row>
    <row r="187">
      <c r="A187" s="846" t="n">
        <v>183</v>
      </c>
      <c r="B187" s="851" t="n"/>
      <c r="C187" s="850" t="n"/>
      <c r="D187" s="934" t="n"/>
      <c r="E187" s="514" t="n"/>
      <c r="F187" s="514" t="n"/>
      <c r="G187" s="514" t="n"/>
      <c r="H187" s="514" t="n"/>
      <c r="I187" s="514" t="n"/>
      <c r="J187" s="514" t="n"/>
      <c r="K187" s="514" t="n"/>
      <c r="L187" s="514" t="n"/>
      <c r="M187" s="514" t="n"/>
      <c r="N187" s="514" t="n"/>
    </row>
    <row r="188">
      <c r="A188" s="846" t="n">
        <v>184</v>
      </c>
      <c r="B188" s="851" t="n"/>
      <c r="C188" s="851" t="n"/>
      <c r="D188" s="934" t="n"/>
      <c r="E188" s="514" t="n"/>
      <c r="F188" s="514" t="n"/>
      <c r="G188" s="514" t="n"/>
      <c r="H188" s="514" t="n"/>
      <c r="I188" s="514" t="n"/>
      <c r="J188" s="514" t="n"/>
      <c r="K188" s="514" t="n"/>
      <c r="L188" s="514" t="n"/>
      <c r="M188" s="514" t="n"/>
      <c r="N188" s="514" t="n"/>
    </row>
    <row r="189">
      <c r="A189" s="846" t="n">
        <v>185</v>
      </c>
      <c r="B189" s="851" t="n"/>
      <c r="C189" s="852" t="n"/>
      <c r="D189" s="934" t="n"/>
      <c r="E189" s="514" t="n"/>
      <c r="F189" s="514" t="n"/>
      <c r="G189" s="514" t="n"/>
      <c r="H189" s="514" t="n"/>
      <c r="I189" s="514" t="n"/>
      <c r="J189" s="514" t="n"/>
      <c r="K189" s="514" t="n"/>
      <c r="L189" s="514" t="n"/>
      <c r="M189" s="514" t="n"/>
      <c r="N189" s="514" t="n"/>
    </row>
    <row r="190">
      <c r="A190" s="846" t="n">
        <v>186</v>
      </c>
      <c r="B190" s="851" t="n"/>
      <c r="C190" s="853" t="n"/>
      <c r="D190" s="934" t="n"/>
      <c r="E190" s="514" t="n"/>
      <c r="F190" s="514" t="n"/>
      <c r="G190" s="514" t="n"/>
      <c r="H190" s="514" t="n"/>
      <c r="I190" s="514" t="n"/>
      <c r="J190" s="514" t="n"/>
      <c r="K190" s="514" t="n"/>
      <c r="L190" s="514" t="n"/>
      <c r="M190" s="514" t="n"/>
      <c r="N190" s="514" t="n"/>
    </row>
    <row r="191">
      <c r="A191" s="846" t="n">
        <v>187</v>
      </c>
      <c r="B191" s="851" t="n"/>
      <c r="C191" s="854" t="n"/>
      <c r="D191" s="934" t="n"/>
      <c r="E191" s="514" t="n"/>
      <c r="F191" s="514" t="n"/>
      <c r="G191" s="514" t="n"/>
      <c r="H191" s="514" t="n"/>
      <c r="I191" s="514" t="n"/>
      <c r="J191" s="514" t="n"/>
      <c r="K191" s="514" t="n"/>
      <c r="L191" s="514" t="n"/>
      <c r="M191" s="514" t="n"/>
      <c r="N191" s="514" t="n"/>
    </row>
    <row r="192">
      <c r="A192" s="846" t="n">
        <v>188</v>
      </c>
      <c r="B192" s="851" t="n"/>
      <c r="C192" s="855" t="n"/>
      <c r="D192" s="934" t="n"/>
      <c r="E192" s="514" t="n"/>
      <c r="F192" s="514" t="n"/>
      <c r="G192" s="514" t="n"/>
      <c r="H192" s="514" t="n"/>
      <c r="I192" s="514" t="n"/>
      <c r="J192" s="514" t="n"/>
      <c r="K192" s="514" t="n"/>
      <c r="L192" s="514" t="n"/>
      <c r="M192" s="514" t="n"/>
      <c r="N192" s="514" t="n"/>
    </row>
    <row r="193">
      <c r="A193" s="846" t="n">
        <v>189</v>
      </c>
      <c r="B193" s="851" t="n"/>
      <c r="C193" s="856" t="n"/>
      <c r="D193" s="934" t="n"/>
      <c r="E193" s="514" t="n"/>
      <c r="F193" s="514" t="n"/>
      <c r="G193" s="514" t="n"/>
      <c r="H193" s="514" t="n"/>
      <c r="I193" s="514" t="n"/>
      <c r="J193" s="514" t="n"/>
      <c r="K193" s="514" t="n"/>
      <c r="L193" s="514" t="n"/>
      <c r="M193" s="514" t="n"/>
      <c r="N193" s="514" t="n"/>
    </row>
    <row r="194">
      <c r="A194" s="846" t="n">
        <v>190</v>
      </c>
      <c r="B194" s="851" t="n"/>
      <c r="C194" s="857" t="n"/>
      <c r="D194" s="934" t="n"/>
      <c r="E194" s="514" t="n"/>
      <c r="F194" s="514" t="n"/>
      <c r="G194" s="514" t="n"/>
      <c r="H194" s="514" t="n"/>
      <c r="I194" s="514" t="n"/>
      <c r="J194" s="514" t="n"/>
      <c r="K194" s="514" t="n"/>
      <c r="L194" s="514" t="n"/>
      <c r="M194" s="514" t="n"/>
      <c r="N194" s="514" t="n"/>
    </row>
    <row r="195">
      <c r="A195" s="846" t="n">
        <v>191</v>
      </c>
      <c r="B195" s="851" t="n"/>
      <c r="C195" s="858" t="n"/>
      <c r="D195" s="934" t="n"/>
      <c r="E195" s="514" t="n"/>
      <c r="F195" s="514" t="n"/>
      <c r="G195" s="514" t="n"/>
      <c r="H195" s="514" t="n"/>
      <c r="I195" s="514" t="n"/>
      <c r="J195" s="514" t="n"/>
      <c r="K195" s="514" t="n"/>
      <c r="L195" s="514" t="n"/>
      <c r="M195" s="514" t="n"/>
      <c r="N195" s="514" t="n"/>
    </row>
    <row r="196">
      <c r="A196" s="846" t="n">
        <v>192</v>
      </c>
      <c r="B196" s="851" t="n"/>
      <c r="C196" s="859" t="n"/>
      <c r="D196" s="934" t="n"/>
      <c r="E196" s="514" t="n"/>
      <c r="F196" s="514" t="n"/>
      <c r="G196" s="514" t="n"/>
      <c r="H196" s="514" t="n"/>
      <c r="I196" s="514" t="n"/>
      <c r="J196" s="514" t="n"/>
      <c r="K196" s="514" t="n"/>
      <c r="L196" s="514" t="n"/>
      <c r="M196" s="514" t="n"/>
      <c r="N196" s="514" t="n"/>
    </row>
  </sheetData>
  <mergeCells count="12">
    <mergeCell ref="A1:N2"/>
    <mergeCell ref="K3:K4"/>
    <mergeCell ref="L3:L4"/>
    <mergeCell ref="G3:G4"/>
    <mergeCell ref="N3:N4"/>
    <mergeCell ref="M3:M4"/>
    <mergeCell ref="A3:D4"/>
    <mergeCell ref="F3:F4"/>
    <mergeCell ref="H3:H4"/>
    <mergeCell ref="I3:I4"/>
    <mergeCell ref="J3:J4"/>
    <mergeCell ref="E3:E4"/>
  </mergeCells>
  <pageMargins left="0.7" right="0.7" top="0.75" bottom="0.75" header="0.3" footer="0.3"/>
</worksheet>
</file>

<file path=xl/worksheets/sheet11.xml><?xml version="1.0" encoding="utf-8"?>
<worksheet xmlns="http://schemas.openxmlformats.org/spreadsheetml/2006/main">
  <sheetPr codeName="Sheet12">
    <outlinePr summaryBelow="1" summaryRight="1"/>
    <pageSetUpPr/>
  </sheetPr>
  <dimension ref="A1:H139"/>
  <sheetViews>
    <sheetView zoomScaleNormal="100" workbookViewId="0">
      <selection activeCell="A2" sqref="A2"/>
    </sheetView>
  </sheetViews>
  <sheetFormatPr baseColWidth="8" defaultRowHeight="15"/>
  <cols>
    <col width="21.42578125" bestFit="1" customWidth="1" min="1" max="1"/>
    <col width="12.42578125" customWidth="1" min="2" max="2"/>
    <col width="30.85546875" bestFit="1" customWidth="1" min="3" max="3"/>
    <col width="20" bestFit="1" customWidth="1" min="4" max="4"/>
    <col width="32.85546875" customWidth="1" min="5" max="5"/>
    <col width="34.28515625" customWidth="1" min="6" max="6"/>
    <col width="34.85546875" customWidth="1" min="7" max="7"/>
    <col width="35.85546875" customWidth="1" min="8" max="8"/>
  </cols>
  <sheetData>
    <row r="1" ht="15.75" customHeight="1">
      <c r="A1" s="865" t="inlineStr">
        <is>
          <t>1X8 SPLITTER PLACEMENT</t>
        </is>
      </c>
      <c r="B1" s="865" t="n"/>
      <c r="C1" s="866" t="n"/>
      <c r="D1" s="866" t="n"/>
      <c r="E1" s="866" t="n"/>
      <c r="F1" s="866" t="n"/>
    </row>
    <row r="2">
      <c r="A2" s="867">
        <f>IF(COUNTA(D5:D12)&gt;1,IFERROR(VLOOKUP("*"&amp;D5&amp;"*",CHOOSE({1,2},'CABLE TO 1X8 SPLICING'!$G$5:$G$1000,'CABLE TO 1X8 SPLICING'!$A$5:$A$1000),2,0),VLOOKUP("*"&amp;D12&amp;"*",CHOOSE({1,2},'CABLE TO 1X8 SPLICING'!$N$5:$N$1000,'CABLE TO 1X8 SPLICING'!$A$5:$A$1000),2,0)),"")</f>
        <v/>
      </c>
      <c r="B2" s="867" t="n"/>
      <c r="C2" s="868">
        <f>A2</f>
        <v/>
      </c>
      <c r="D2" s="869" t="n"/>
      <c r="E2" s="514" t="inlineStr"/>
      <c r="F2" s="514" t="inlineStr"/>
    </row>
    <row r="3" ht="15" customHeight="1">
      <c r="A3" s="1057" t="inlineStr">
        <is>
          <t>SPLITTER NAME</t>
        </is>
      </c>
      <c r="B3" s="1057" t="inlineStr">
        <is>
          <t>T COUNT</t>
        </is>
      </c>
      <c r="C3" s="1057" t="inlineStr">
        <is>
          <t>1X4 PLACEMENT ADDRESS</t>
        </is>
      </c>
      <c r="D3" s="1057" t="inlineStr">
        <is>
          <t>SPLIT</t>
        </is>
      </c>
      <c r="E3" s="1044" t="inlineStr">
        <is>
          <t>SERVICING</t>
        </is>
      </c>
      <c r="F3" s="1044" t="inlineStr">
        <is>
          <t>SERVICING</t>
        </is>
      </c>
      <c r="G3" s="1044" t="inlineStr">
        <is>
          <t>SERVICING</t>
        </is>
      </c>
      <c r="H3" s="1044" t="inlineStr">
        <is>
          <t>SERVICING</t>
        </is>
      </c>
    </row>
    <row r="4" ht="15" customHeight="1">
      <c r="A4" s="1134" t="n"/>
      <c r="B4" s="1134" t="n"/>
      <c r="C4" s="1134" t="n"/>
      <c r="D4" s="1134" t="n"/>
      <c r="E4" s="1134" t="n"/>
      <c r="F4" s="1134" t="n"/>
      <c r="G4" s="1134" t="n"/>
      <c r="H4" s="1134" t="n"/>
    </row>
    <row r="5">
      <c r="A5" s="514" t="n"/>
      <c r="B5" s="930" t="n"/>
      <c r="C5" s="514" t="n"/>
      <c r="D5" s="514" t="n"/>
      <c r="E5" s="514" t="n"/>
      <c r="F5" s="514" t="n"/>
      <c r="G5" s="514" t="n"/>
      <c r="H5" s="514" t="n"/>
    </row>
    <row r="6">
      <c r="A6" s="514" t="n"/>
      <c r="B6" s="931" t="n"/>
      <c r="C6" s="514" t="n"/>
      <c r="D6" s="514" t="n"/>
      <c r="E6" s="514" t="n"/>
      <c r="F6" s="514" t="n"/>
      <c r="G6" s="514" t="n"/>
      <c r="H6" s="514" t="n"/>
    </row>
    <row r="7">
      <c r="A7" s="514" t="n"/>
      <c r="B7" s="931" t="n"/>
      <c r="C7" s="514" t="n"/>
      <c r="D7" s="514" t="n"/>
      <c r="E7" s="514" t="n"/>
      <c r="F7" s="514" t="n"/>
      <c r="G7" s="514" t="n"/>
      <c r="H7" s="514" t="n"/>
    </row>
    <row r="8">
      <c r="A8" s="514" t="n"/>
      <c r="B8" s="931" t="n"/>
      <c r="C8" s="514" t="n"/>
      <c r="D8" s="514" t="n"/>
      <c r="E8" s="514" t="n"/>
      <c r="F8" s="514" t="n"/>
      <c r="G8" s="514" t="n"/>
      <c r="H8" s="514" t="n"/>
    </row>
    <row r="9">
      <c r="A9" s="514" t="n"/>
      <c r="B9" s="931" t="n"/>
      <c r="C9" s="514" t="n"/>
      <c r="D9" s="514" t="n"/>
      <c r="E9" s="514" t="n"/>
      <c r="F9" s="514" t="n"/>
      <c r="G9" s="514" t="n"/>
      <c r="H9" s="514" t="n"/>
    </row>
    <row r="10">
      <c r="A10" s="514" t="n"/>
      <c r="B10" s="931" t="n"/>
      <c r="C10" s="514" t="n"/>
      <c r="D10" s="514" t="n"/>
      <c r="E10" s="514" t="n"/>
      <c r="F10" s="514" t="n"/>
      <c r="G10" s="514" t="n"/>
      <c r="H10" s="514" t="n"/>
    </row>
    <row r="11">
      <c r="A11" s="514" t="n"/>
      <c r="B11" s="514" t="n"/>
      <c r="C11" s="514" t="n"/>
      <c r="D11" s="514" t="n"/>
      <c r="E11" s="514" t="n"/>
      <c r="F11" s="514" t="n"/>
      <c r="G11" s="514" t="n"/>
      <c r="H11" s="514" t="n"/>
    </row>
    <row r="12">
      <c r="A12" s="514" t="n"/>
      <c r="B12" s="514" t="n"/>
      <c r="C12" s="514" t="n"/>
      <c r="D12" s="514" t="n"/>
      <c r="E12" s="514" t="n"/>
      <c r="F12" s="514" t="n"/>
      <c r="G12" s="514" t="n"/>
      <c r="H12" s="514" t="n"/>
    </row>
    <row r="13">
      <c r="A13" s="192" t="n"/>
      <c r="B13" s="192" t="n"/>
      <c r="C13" s="192" t="n"/>
      <c r="D13" s="192" t="n"/>
      <c r="E13" s="192" t="inlineStr">
        <is>
          <t>  </t>
        </is>
      </c>
      <c r="F13" s="192" t="n"/>
      <c r="G13" s="192" t="n"/>
      <c r="H13" s="192" t="n"/>
    </row>
    <row r="14" ht="15.75" customHeight="1">
      <c r="A14" s="865" t="inlineStr">
        <is>
          <t>1X8 SPLITTER PLACEMENT</t>
        </is>
      </c>
      <c r="B14" s="865" t="n"/>
      <c r="C14" s="866" t="n"/>
      <c r="D14" s="866" t="n"/>
      <c r="E14" s="866" t="n"/>
      <c r="F14" s="866" t="n"/>
    </row>
    <row r="15">
      <c r="A15" s="867">
        <f>IF(COUNTA(D18:D25)&gt;1,IFERROR(VLOOKUP("*"&amp;D18&amp;"*",CHOOSE({1,2},'CABLE TO 1X8 SPLICING'!$G$5:$G$1000,'CABLE TO 1X8 SPLICING'!$A$5:$A$1000),2,0),VLOOKUP("*"&amp;D25&amp;"*",CHOOSE({1,2},'CABLE TO 1X8 SPLICING'!$N$5:$N$1000,'CABLE TO 1X8 SPLICING'!$A$5:$A$1000),2,0)),"")</f>
        <v/>
      </c>
      <c r="B15" s="867" t="n"/>
      <c r="C15" s="868">
        <f>A15</f>
        <v/>
      </c>
      <c r="D15" s="869" t="n"/>
      <c r="E15" s="514" t="inlineStr"/>
      <c r="F15" s="514" t="inlineStr"/>
    </row>
    <row r="16" ht="15" customHeight="1">
      <c r="A16" s="1057" t="inlineStr">
        <is>
          <t>SPLITTER NAME</t>
        </is>
      </c>
      <c r="B16" s="1057" t="inlineStr">
        <is>
          <t>T COUNT</t>
        </is>
      </c>
      <c r="C16" s="1057" t="inlineStr">
        <is>
          <t>1X4 PLACEMENT ADDRESS</t>
        </is>
      </c>
      <c r="D16" s="1057" t="inlineStr">
        <is>
          <t>SPLIT</t>
        </is>
      </c>
      <c r="E16" s="1044" t="inlineStr">
        <is>
          <t>SERVICING</t>
        </is>
      </c>
      <c r="F16" s="1044" t="inlineStr">
        <is>
          <t>SERVICING</t>
        </is>
      </c>
      <c r="G16" s="1044" t="inlineStr">
        <is>
          <t>SERVICING</t>
        </is>
      </c>
      <c r="H16" s="1044" t="inlineStr">
        <is>
          <t>SERVICING</t>
        </is>
      </c>
    </row>
    <row r="17" ht="15" customHeight="1">
      <c r="A17" s="1134" t="n"/>
      <c r="B17" s="1134" t="n"/>
      <c r="C17" s="1134" t="n"/>
      <c r="D17" s="1134" t="n"/>
      <c r="E17" s="1134" t="n"/>
      <c r="F17" s="1134" t="n"/>
      <c r="G17" s="1134" t="n"/>
      <c r="H17" s="1134" t="n"/>
    </row>
    <row r="18">
      <c r="A18" s="514" t="n"/>
      <c r="B18" s="514" t="n"/>
      <c r="C18" s="514" t="n"/>
      <c r="D18" s="514" t="n"/>
      <c r="E18" s="514" t="n"/>
      <c r="F18" s="514" t="n"/>
      <c r="G18" s="514" t="n"/>
      <c r="H18" s="514" t="n"/>
    </row>
    <row r="19">
      <c r="A19" s="514" t="n"/>
      <c r="B19" s="514" t="n"/>
      <c r="C19" s="514" t="n"/>
      <c r="D19" s="514" t="n"/>
      <c r="E19" s="514" t="n"/>
      <c r="F19" s="514" t="n"/>
      <c r="G19" s="514" t="n"/>
      <c r="H19" s="514" t="n"/>
    </row>
    <row r="20">
      <c r="A20" s="514" t="n"/>
      <c r="B20" s="514" t="n"/>
      <c r="C20" s="514" t="n"/>
      <c r="D20" s="514" t="n"/>
      <c r="E20" s="514" t="n"/>
      <c r="F20" s="514" t="n"/>
      <c r="G20" s="514" t="n"/>
      <c r="H20" s="514" t="n"/>
    </row>
    <row r="21">
      <c r="A21" s="514" t="n"/>
      <c r="B21" s="514" t="n"/>
      <c r="C21" s="514" t="n"/>
      <c r="D21" s="514" t="n"/>
      <c r="E21" s="514" t="n"/>
      <c r="F21" s="514" t="n"/>
      <c r="G21" s="514" t="n"/>
      <c r="H21" s="514" t="n"/>
    </row>
    <row r="22">
      <c r="A22" s="514" t="n"/>
      <c r="B22" s="514" t="n"/>
      <c r="C22" s="514" t="n"/>
      <c r="D22" s="514" t="n"/>
      <c r="E22" s="514" t="n"/>
      <c r="F22" s="514" t="n"/>
      <c r="G22" s="514" t="n"/>
      <c r="H22" s="514" t="n"/>
    </row>
    <row r="23">
      <c r="A23" s="514" t="n"/>
      <c r="B23" s="514" t="n"/>
      <c r="C23" s="514" t="n"/>
      <c r="D23" s="514" t="n"/>
      <c r="E23" s="514" t="n"/>
      <c r="F23" s="514" t="n"/>
      <c r="G23" s="514" t="n"/>
      <c r="H23" s="514" t="n"/>
    </row>
    <row r="24">
      <c r="A24" s="514" t="n"/>
      <c r="B24" s="514" t="n"/>
      <c r="C24" s="514" t="n"/>
      <c r="D24" s="514" t="n"/>
      <c r="E24" s="514" t="n"/>
      <c r="F24" s="514" t="n"/>
      <c r="G24" s="514" t="n"/>
      <c r="H24" s="514" t="n"/>
    </row>
    <row r="25">
      <c r="A25" s="514" t="n"/>
      <c r="B25" s="514" t="n"/>
      <c r="C25" s="514" t="n"/>
      <c r="D25" s="514" t="n"/>
      <c r="E25" s="514" t="n"/>
      <c r="F25" s="514" t="n"/>
      <c r="G25" s="514" t="n"/>
      <c r="H25" s="514" t="n"/>
    </row>
    <row r="26">
      <c r="A26" s="192" t="n"/>
      <c r="B26" s="192" t="n"/>
      <c r="C26" s="192" t="n"/>
      <c r="D26" s="192" t="n"/>
      <c r="E26" s="192" t="inlineStr">
        <is>
          <t>  </t>
        </is>
      </c>
      <c r="F26" s="192" t="n"/>
      <c r="G26" s="192" t="n"/>
      <c r="H26" s="192" t="n"/>
    </row>
    <row r="27" ht="15.75" customHeight="1">
      <c r="A27" s="865" t="inlineStr">
        <is>
          <t>1X8 SPLITTER PLACEMENT</t>
        </is>
      </c>
      <c r="B27" s="865" t="n"/>
      <c r="C27" s="866" t="n"/>
      <c r="D27" s="866" t="n"/>
      <c r="E27" s="866" t="n"/>
      <c r="F27" s="866" t="n"/>
    </row>
    <row r="28">
      <c r="A28" s="867">
        <f>IF(COUNTA(D31:D38)&gt;1,IFERROR(VLOOKUP("*"&amp;D31&amp;"*",CHOOSE({1,2},'CABLE TO 1X8 SPLICING'!$G$5:$G$1000,'CABLE TO 1X8 SPLICING'!$A$5:$A$1000),2,0),VLOOKUP("*"&amp;D38&amp;"*",CHOOSE({1,2},'CABLE TO 1X8 SPLICING'!$N$5:$N$1000,'CABLE TO 1X8 SPLICING'!$A$5:$A$1000),2,0)),"")</f>
        <v/>
      </c>
      <c r="B28" s="867" t="n"/>
      <c r="C28" s="868">
        <f>A28</f>
        <v/>
      </c>
      <c r="D28" s="869" t="n"/>
      <c r="E28" s="514" t="inlineStr"/>
      <c r="F28" s="514" t="inlineStr"/>
    </row>
    <row r="29" ht="15" customHeight="1">
      <c r="A29" s="1057" t="inlineStr">
        <is>
          <t>SPLITTER NAME</t>
        </is>
      </c>
      <c r="B29" s="1057" t="inlineStr">
        <is>
          <t>T COUNT</t>
        </is>
      </c>
      <c r="C29" s="1057" t="inlineStr">
        <is>
          <t>1X4 PLACEMENT ADDRESS</t>
        </is>
      </c>
      <c r="D29" s="1057" t="inlineStr">
        <is>
          <t>SPLIT</t>
        </is>
      </c>
      <c r="E29" s="1044" t="inlineStr">
        <is>
          <t>SERVICING</t>
        </is>
      </c>
      <c r="F29" s="1044" t="inlineStr">
        <is>
          <t>SERVICING</t>
        </is>
      </c>
      <c r="G29" s="1044" t="inlineStr">
        <is>
          <t>SERVICING</t>
        </is>
      </c>
      <c r="H29" s="1044" t="inlineStr">
        <is>
          <t>SERVICING</t>
        </is>
      </c>
    </row>
    <row r="30" ht="15" customHeight="1">
      <c r="A30" s="1134" t="n"/>
      <c r="B30" s="1134" t="n"/>
      <c r="C30" s="1134" t="n"/>
      <c r="D30" s="1134" t="n"/>
      <c r="E30" s="1134" t="n"/>
      <c r="F30" s="1134" t="n"/>
      <c r="G30" s="1134" t="n"/>
      <c r="H30" s="1134" t="n"/>
    </row>
    <row r="31">
      <c r="A31" s="514" t="n"/>
      <c r="B31" s="514" t="n"/>
      <c r="C31" s="514" t="n"/>
      <c r="D31" s="514" t="n"/>
      <c r="E31" s="514" t="n"/>
      <c r="F31" s="514" t="n"/>
      <c r="G31" s="514" t="n"/>
      <c r="H31" s="514" t="n"/>
    </row>
    <row r="32">
      <c r="A32" s="514" t="n"/>
      <c r="B32" s="514" t="n"/>
      <c r="C32" s="514" t="n"/>
      <c r="D32" s="514" t="n"/>
      <c r="E32" s="514" t="n"/>
      <c r="F32" s="514" t="n"/>
      <c r="G32" s="514" t="n"/>
      <c r="H32" s="514" t="n"/>
    </row>
    <row r="33">
      <c r="A33" s="514" t="n"/>
      <c r="B33" s="514" t="n"/>
      <c r="C33" s="514" t="n"/>
      <c r="D33" s="514" t="n"/>
      <c r="E33" s="514" t="n"/>
      <c r="F33" s="514" t="n"/>
      <c r="G33" s="514" t="n"/>
      <c r="H33" s="514" t="n"/>
    </row>
    <row r="34">
      <c r="A34" s="514" t="n"/>
      <c r="B34" s="514" t="n"/>
      <c r="C34" s="514" t="n"/>
      <c r="D34" s="514" t="n"/>
      <c r="E34" s="514" t="n"/>
      <c r="F34" s="514" t="n"/>
      <c r="G34" s="514" t="n"/>
      <c r="H34" s="514" t="n"/>
    </row>
    <row r="35">
      <c r="A35" s="514" t="n"/>
      <c r="B35" s="514" t="n"/>
      <c r="C35" s="514" t="n"/>
      <c r="D35" s="514" t="n"/>
      <c r="E35" s="514" t="n"/>
      <c r="F35" s="514" t="n"/>
      <c r="G35" s="514" t="n"/>
      <c r="H35" s="514" t="n"/>
    </row>
    <row r="36">
      <c r="A36" s="514" t="n"/>
      <c r="B36" s="514" t="n"/>
      <c r="C36" s="514" t="n"/>
      <c r="D36" s="514" t="n"/>
      <c r="E36" s="514" t="n"/>
      <c r="F36" s="514" t="n"/>
      <c r="G36" s="514" t="n"/>
      <c r="H36" s="514" t="n"/>
    </row>
    <row r="37">
      <c r="A37" s="514" t="n"/>
      <c r="B37" s="514" t="n"/>
      <c r="C37" s="514" t="n"/>
      <c r="D37" s="514" t="n"/>
      <c r="E37" s="514" t="n"/>
      <c r="F37" s="514" t="n"/>
      <c r="G37" s="514" t="n"/>
      <c r="H37" s="514" t="n"/>
    </row>
    <row r="38">
      <c r="A38" s="514" t="n"/>
      <c r="B38" s="514" t="n"/>
      <c r="C38" s="514" t="n"/>
      <c r="D38" s="514" t="n"/>
      <c r="E38" s="514" t="n"/>
      <c r="F38" s="514" t="n"/>
      <c r="G38" s="514" t="n"/>
      <c r="H38" s="514" t="n"/>
    </row>
    <row r="39">
      <c r="A39" s="192" t="n"/>
      <c r="B39" s="192" t="n"/>
      <c r="C39" s="192" t="n"/>
      <c r="D39" s="192" t="n"/>
      <c r="E39" s="192" t="n"/>
      <c r="F39" s="192" t="n"/>
      <c r="G39" s="192" t="n"/>
      <c r="H39" s="192" t="n"/>
    </row>
    <row r="40" ht="15.75" customHeight="1">
      <c r="A40" s="865" t="inlineStr">
        <is>
          <t>1X8 SPLITTER PLACEMENT</t>
        </is>
      </c>
      <c r="B40" s="865" t="n"/>
      <c r="C40" s="866" t="n"/>
      <c r="D40" s="866" t="n"/>
      <c r="E40" s="866" t="n"/>
      <c r="F40" s="866" t="n"/>
    </row>
    <row r="41">
      <c r="A41" s="867">
        <f>IF(COUNTA(D44:D51)&gt;1,IFERROR(VLOOKUP("*"&amp;D44&amp;"*",CHOOSE({1,2},'CABLE TO 1X8 SPLICING'!$G$5:$G$1000,'CABLE TO 1X8 SPLICING'!$A$5:$A$1000),2,0),VLOOKUP("*"&amp;D51&amp;"*",CHOOSE({1,2},'CABLE TO 1X8 SPLICING'!$N$5:$N$1000,'CABLE TO 1X8 SPLICING'!$A$5:$A$1000),2,0)),"")</f>
        <v/>
      </c>
      <c r="B41" s="867" t="n"/>
      <c r="C41" s="868">
        <f>A41</f>
        <v/>
      </c>
      <c r="D41" s="869" t="n"/>
      <c r="E41" s="514" t="inlineStr"/>
      <c r="F41" s="514" t="inlineStr"/>
    </row>
    <row r="42" ht="15" customHeight="1">
      <c r="A42" s="1057" t="inlineStr">
        <is>
          <t>SPLITTER NAME</t>
        </is>
      </c>
      <c r="B42" s="1057" t="inlineStr">
        <is>
          <t>T COUNT</t>
        </is>
      </c>
      <c r="C42" s="1057" t="inlineStr">
        <is>
          <t>1X4 PLACEMENT ADDRESS</t>
        </is>
      </c>
      <c r="D42" s="1057" t="inlineStr">
        <is>
          <t>SPLIT</t>
        </is>
      </c>
      <c r="E42" s="1044" t="inlineStr">
        <is>
          <t>SERVICING</t>
        </is>
      </c>
      <c r="F42" s="1044" t="inlineStr">
        <is>
          <t>SERVICING</t>
        </is>
      </c>
      <c r="G42" s="1044" t="inlineStr">
        <is>
          <t>SERVICING</t>
        </is>
      </c>
      <c r="H42" s="1044" t="inlineStr">
        <is>
          <t>SERVICING</t>
        </is>
      </c>
    </row>
    <row r="43" ht="15" customHeight="1">
      <c r="A43" s="1134" t="n"/>
      <c r="B43" s="1134" t="n"/>
      <c r="C43" s="1134" t="n"/>
      <c r="D43" s="1134" t="n"/>
      <c r="E43" s="1134" t="n"/>
      <c r="F43" s="1134" t="n"/>
      <c r="G43" s="1134" t="n"/>
      <c r="H43" s="1134" t="n"/>
    </row>
    <row r="44">
      <c r="A44" s="514" t="n"/>
      <c r="B44" s="514" t="n"/>
      <c r="C44" s="514" t="n"/>
      <c r="D44" s="514" t="n"/>
      <c r="E44" s="514" t="n"/>
      <c r="F44" s="514" t="n"/>
      <c r="G44" s="514" t="n"/>
      <c r="H44" s="514" t="n"/>
    </row>
    <row r="45">
      <c r="A45" s="514" t="n"/>
      <c r="B45" s="514" t="n"/>
      <c r="C45" s="514" t="n"/>
      <c r="D45" s="514" t="n"/>
      <c r="E45" s="514" t="n"/>
      <c r="F45" s="514" t="n"/>
      <c r="G45" s="514" t="n"/>
      <c r="H45" s="514" t="n"/>
    </row>
    <row r="46">
      <c r="A46" s="514" t="n"/>
      <c r="B46" s="514" t="n"/>
      <c r="C46" s="514" t="n"/>
      <c r="D46" s="514" t="n"/>
      <c r="E46" s="514" t="n"/>
      <c r="F46" s="514" t="n"/>
      <c r="G46" s="514" t="n"/>
      <c r="H46" s="514" t="n"/>
    </row>
    <row r="47">
      <c r="A47" s="514" t="n"/>
      <c r="B47" s="514" t="n"/>
      <c r="C47" s="514" t="n"/>
      <c r="D47" s="514" t="n"/>
      <c r="E47" s="514" t="n"/>
      <c r="F47" s="514" t="n"/>
      <c r="G47" s="514" t="n"/>
      <c r="H47" s="514" t="n"/>
    </row>
    <row r="48">
      <c r="A48" s="514" t="n"/>
      <c r="B48" s="514" t="n"/>
      <c r="C48" s="514" t="n"/>
      <c r="D48" s="514" t="n"/>
      <c r="E48" s="514" t="n"/>
      <c r="F48" s="514" t="n"/>
      <c r="G48" s="514" t="n"/>
      <c r="H48" s="514" t="n"/>
    </row>
    <row r="49">
      <c r="A49" s="514" t="n"/>
      <c r="B49" s="514" t="n"/>
      <c r="C49" s="514" t="n"/>
      <c r="D49" s="514" t="n"/>
      <c r="E49" s="514" t="n"/>
      <c r="F49" s="514" t="n"/>
      <c r="G49" s="514" t="n"/>
      <c r="H49" s="514" t="n"/>
    </row>
    <row r="50">
      <c r="A50" s="514" t="n"/>
      <c r="B50" s="514" t="n"/>
      <c r="C50" s="514" t="n"/>
      <c r="D50" s="514" t="n"/>
      <c r="E50" s="514" t="n"/>
      <c r="F50" s="514" t="n"/>
      <c r="G50" s="514" t="n"/>
      <c r="H50" s="514" t="n"/>
    </row>
    <row r="51">
      <c r="A51" s="514" t="n"/>
      <c r="B51" s="514" t="n"/>
      <c r="C51" s="514" t="n"/>
      <c r="D51" s="514" t="n"/>
      <c r="E51" s="514" t="n"/>
      <c r="F51" s="514" t="n"/>
      <c r="G51" s="514" t="n"/>
      <c r="H51" s="514" t="n"/>
    </row>
    <row r="52">
      <c r="A52" s="192" t="n"/>
      <c r="B52" s="192" t="n"/>
      <c r="C52" s="192" t="n"/>
      <c r="D52" s="192" t="n"/>
      <c r="E52" s="192" t="inlineStr">
        <is>
          <t>  </t>
        </is>
      </c>
      <c r="F52" s="192" t="n"/>
      <c r="G52" s="192" t="n"/>
      <c r="H52" s="192" t="n"/>
    </row>
    <row r="53" ht="15.75" customHeight="1">
      <c r="A53" s="865" t="inlineStr">
        <is>
          <t>1X8 SPLITTER PLACEMENT</t>
        </is>
      </c>
      <c r="B53" s="865" t="n"/>
      <c r="C53" s="866" t="n"/>
      <c r="D53" s="866" t="n"/>
      <c r="E53" s="866" t="n"/>
      <c r="F53" s="866" t="n"/>
    </row>
    <row r="54">
      <c r="A54" s="867">
        <f>IF(COUNTA(D57:D64)&gt;1,IFERROR(VLOOKUP("*"&amp;D57&amp;"*",CHOOSE({1,2},'CABLE TO 1X8 SPLICING'!$G$5:$G$1000,'CABLE TO 1X8 SPLICING'!$A$5:$A$1000),2,0),VLOOKUP("*"&amp;D64&amp;"*",CHOOSE({1,2},'CABLE TO 1X8 SPLICING'!$N$5:$N$1000,'CABLE TO 1X8 SPLICING'!$A$5:$A$1000),2,0)),"")</f>
        <v/>
      </c>
      <c r="B54" s="867" t="n"/>
      <c r="C54" s="868">
        <f>A54</f>
        <v/>
      </c>
      <c r="D54" s="869" t="n"/>
      <c r="E54" s="514" t="inlineStr"/>
      <c r="F54" s="514" t="inlineStr"/>
    </row>
    <row r="55" ht="15" customHeight="1">
      <c r="A55" s="1057" t="inlineStr">
        <is>
          <t>SPLITTER NAME</t>
        </is>
      </c>
      <c r="B55" s="1057" t="inlineStr">
        <is>
          <t>T COUNT</t>
        </is>
      </c>
      <c r="C55" s="1057" t="inlineStr">
        <is>
          <t>1X4 PLACEMENT ADDRESS</t>
        </is>
      </c>
      <c r="D55" s="1057" t="inlineStr">
        <is>
          <t>SPLIT</t>
        </is>
      </c>
      <c r="E55" s="1044" t="inlineStr">
        <is>
          <t>SERVICING</t>
        </is>
      </c>
      <c r="F55" s="1044" t="inlineStr">
        <is>
          <t>SERVICING</t>
        </is>
      </c>
      <c r="G55" s="1044" t="inlineStr">
        <is>
          <t>SERVICING</t>
        </is>
      </c>
      <c r="H55" s="1044" t="inlineStr">
        <is>
          <t>SERVICING</t>
        </is>
      </c>
    </row>
    <row r="56" ht="15" customHeight="1">
      <c r="A56" s="1134" t="n"/>
      <c r="B56" s="1134" t="n"/>
      <c r="C56" s="1134" t="n"/>
      <c r="D56" s="1134" t="n"/>
      <c r="E56" s="1134" t="n"/>
      <c r="F56" s="1134" t="n"/>
      <c r="G56" s="1134" t="n"/>
      <c r="H56" s="1134" t="n"/>
    </row>
    <row r="57">
      <c r="A57" s="514" t="n"/>
      <c r="B57" s="514" t="n"/>
      <c r="C57" s="514" t="n"/>
      <c r="D57" s="514" t="n"/>
      <c r="E57" s="514" t="n"/>
      <c r="F57" s="514" t="n"/>
      <c r="G57" s="514" t="n"/>
      <c r="H57" s="514" t="n"/>
    </row>
    <row r="58">
      <c r="A58" s="514" t="n"/>
      <c r="B58" s="514" t="n"/>
      <c r="C58" s="514" t="n"/>
      <c r="D58" s="514" t="n"/>
      <c r="E58" s="514" t="n"/>
      <c r="F58" s="514" t="n"/>
      <c r="G58" s="514" t="n"/>
      <c r="H58" s="514" t="n"/>
    </row>
    <row r="59">
      <c r="A59" s="514" t="n"/>
      <c r="B59" s="514" t="n"/>
      <c r="C59" s="514" t="n"/>
      <c r="D59" s="514" t="n"/>
      <c r="E59" s="514" t="n"/>
      <c r="F59" s="514" t="n"/>
      <c r="G59" s="514" t="n"/>
      <c r="H59" s="514" t="n"/>
    </row>
    <row r="60">
      <c r="A60" s="514" t="n"/>
      <c r="B60" s="514" t="n"/>
      <c r="C60" s="514" t="n"/>
      <c r="D60" s="514" t="n"/>
      <c r="E60" s="514" t="n"/>
      <c r="F60" s="514" t="n"/>
      <c r="G60" s="514" t="n"/>
      <c r="H60" s="514" t="n"/>
    </row>
    <row r="61">
      <c r="A61" s="514" t="n"/>
      <c r="B61" s="514" t="n"/>
      <c r="C61" s="514" t="n"/>
      <c r="D61" s="514" t="n"/>
      <c r="E61" s="514" t="n"/>
      <c r="F61" s="514" t="n"/>
      <c r="G61" s="514" t="n"/>
      <c r="H61" s="514" t="n"/>
    </row>
    <row r="62">
      <c r="A62" s="514" t="n"/>
      <c r="B62" s="514" t="n"/>
      <c r="C62" s="514" t="n"/>
      <c r="D62" s="514" t="n"/>
      <c r="E62" s="514" t="n"/>
      <c r="F62" s="514" t="n"/>
      <c r="G62" s="514" t="n"/>
      <c r="H62" s="514" t="n"/>
    </row>
    <row r="63">
      <c r="A63" s="514" t="n"/>
      <c r="B63" s="514" t="n"/>
      <c r="C63" s="514" t="n"/>
      <c r="D63" s="514" t="n"/>
      <c r="E63" s="514" t="n"/>
      <c r="F63" s="514" t="n"/>
      <c r="G63" s="514" t="n"/>
      <c r="H63" s="514" t="n"/>
    </row>
    <row r="64">
      <c r="A64" s="514" t="n"/>
      <c r="B64" s="514" t="n"/>
      <c r="C64" s="514" t="n"/>
      <c r="D64" s="514" t="n"/>
      <c r="E64" s="514" t="n"/>
      <c r="F64" s="514" t="n"/>
      <c r="G64" s="514" t="n"/>
      <c r="H64" s="514" t="n"/>
    </row>
    <row r="65">
      <c r="A65" s="192" t="n"/>
      <c r="B65" s="192" t="n"/>
      <c r="C65" s="192" t="n"/>
      <c r="D65" s="192" t="n"/>
      <c r="E65" s="192" t="inlineStr">
        <is>
          <t>  </t>
        </is>
      </c>
      <c r="F65" s="192" t="n"/>
      <c r="G65" s="192" t="n"/>
      <c r="H65" s="192" t="n"/>
    </row>
    <row r="66" ht="15.75" customHeight="1">
      <c r="A66" s="865" t="inlineStr">
        <is>
          <t>1X8 SPLITTER PLACEMENT</t>
        </is>
      </c>
      <c r="B66" s="865" t="n"/>
      <c r="C66" s="866" t="n"/>
      <c r="D66" s="866" t="n"/>
      <c r="E66" s="866" t="n"/>
      <c r="F66" s="866" t="n"/>
    </row>
    <row r="67">
      <c r="A67" s="867">
        <f>IF(COUNTA(D70:D77)&gt;1,IFERROR(VLOOKUP("*"&amp;D70&amp;"*",CHOOSE({1,2},'CABLE TO 1X8 SPLICING'!$G$5:$G$1000,'CABLE TO 1X8 SPLICING'!$A$5:$A$1000),2,0),VLOOKUP("*"&amp;D77&amp;"*",CHOOSE({1,2},'CABLE TO 1X8 SPLICING'!$N$5:$N$1000,'CABLE TO 1X8 SPLICING'!$A$5:$A$1000),2,0)),"")</f>
        <v/>
      </c>
      <c r="B67" s="867" t="n"/>
      <c r="C67" s="868">
        <f>A67</f>
        <v/>
      </c>
      <c r="D67" s="869" t="n"/>
      <c r="E67" s="514" t="inlineStr"/>
      <c r="F67" s="514" t="inlineStr"/>
    </row>
    <row r="68" ht="15" customHeight="1">
      <c r="A68" s="1057" t="inlineStr">
        <is>
          <t>SPLITTER NAME</t>
        </is>
      </c>
      <c r="B68" s="1057" t="inlineStr">
        <is>
          <t>T COUNT</t>
        </is>
      </c>
      <c r="C68" s="1057" t="inlineStr">
        <is>
          <t>1X4 PLACEMENT ADDRESS</t>
        </is>
      </c>
      <c r="D68" s="1057" t="inlineStr">
        <is>
          <t>SPLIT</t>
        </is>
      </c>
      <c r="E68" s="1044" t="inlineStr">
        <is>
          <t>SERVICING</t>
        </is>
      </c>
      <c r="F68" s="1044" t="inlineStr">
        <is>
          <t>SERVICING</t>
        </is>
      </c>
      <c r="G68" s="1044" t="inlineStr">
        <is>
          <t>SERVICING</t>
        </is>
      </c>
      <c r="H68" s="1044" t="inlineStr">
        <is>
          <t>SERVICING</t>
        </is>
      </c>
    </row>
    <row r="69" ht="15" customHeight="1">
      <c r="A69" s="1134" t="n"/>
      <c r="B69" s="1134" t="n"/>
      <c r="C69" s="1134" t="n"/>
      <c r="D69" s="1134" t="n"/>
      <c r="E69" s="1134" t="n"/>
      <c r="F69" s="1134" t="n"/>
      <c r="G69" s="1134" t="n"/>
      <c r="H69" s="1134" t="n"/>
    </row>
    <row r="70" ht="15" customHeight="1">
      <c r="A70" s="514" t="n"/>
      <c r="B70" s="514" t="n"/>
      <c r="C70" s="514" t="n"/>
      <c r="D70" s="514" t="n"/>
      <c r="E70" s="514" t="n"/>
      <c r="F70" s="514" t="n"/>
      <c r="G70" s="514" t="n"/>
      <c r="H70" s="514" t="n"/>
    </row>
    <row r="71">
      <c r="A71" s="514" t="n"/>
      <c r="B71" s="514" t="n"/>
      <c r="C71" s="514" t="n"/>
      <c r="D71" s="514" t="n"/>
      <c r="E71" s="514" t="n"/>
      <c r="F71" s="514" t="n"/>
      <c r="G71" s="514" t="n"/>
      <c r="H71" s="514" t="n"/>
    </row>
    <row r="72">
      <c r="A72" s="514" t="n"/>
      <c r="B72" s="514" t="n"/>
      <c r="C72" s="514" t="n"/>
      <c r="D72" s="514" t="n"/>
      <c r="E72" s="514" t="n"/>
      <c r="F72" s="514" t="n"/>
      <c r="G72" s="514" t="n"/>
      <c r="H72" s="514" t="n"/>
    </row>
    <row r="73">
      <c r="A73" s="514" t="n"/>
      <c r="B73" s="514" t="n"/>
      <c r="C73" s="514" t="n"/>
      <c r="D73" s="514" t="n"/>
      <c r="E73" s="514" t="n"/>
      <c r="F73" s="514" t="n"/>
      <c r="G73" s="514" t="n"/>
      <c r="H73" s="514" t="n"/>
    </row>
    <row r="74">
      <c r="A74" s="514" t="n"/>
      <c r="B74" s="514" t="n"/>
      <c r="C74" s="514" t="n"/>
      <c r="D74" s="514" t="n"/>
      <c r="E74" s="514" t="n"/>
      <c r="F74" s="514" t="n"/>
      <c r="G74" s="514" t="n"/>
      <c r="H74" s="514" t="n"/>
    </row>
    <row r="75">
      <c r="A75" s="514" t="n"/>
      <c r="B75" s="514" t="n"/>
      <c r="C75" s="514" t="n"/>
      <c r="D75" s="514" t="n"/>
      <c r="E75" s="514" t="n"/>
      <c r="F75" s="514" t="n"/>
      <c r="G75" s="514" t="n"/>
      <c r="H75" s="514" t="n"/>
    </row>
    <row r="76">
      <c r="A76" s="514" t="n"/>
      <c r="B76" s="514" t="n"/>
      <c r="C76" s="514" t="n"/>
      <c r="D76" s="514" t="n"/>
      <c r="E76" s="514" t="n"/>
      <c r="F76" s="514" t="n"/>
      <c r="G76" s="514" t="n"/>
      <c r="H76" s="514" t="n"/>
    </row>
    <row r="77">
      <c r="A77" s="514" t="n"/>
      <c r="B77" s="514" t="n"/>
      <c r="C77" s="514" t="n"/>
      <c r="D77" s="514" t="n"/>
      <c r="E77" s="514" t="n"/>
      <c r="F77" s="514" t="n"/>
      <c r="G77" s="514" t="n"/>
      <c r="H77" s="514" t="n"/>
    </row>
    <row r="78">
      <c r="A78" s="192" t="n"/>
      <c r="B78" s="192" t="n"/>
      <c r="C78" s="192" t="n"/>
      <c r="D78" s="192" t="n"/>
      <c r="E78" s="192" t="inlineStr">
        <is>
          <t>  </t>
        </is>
      </c>
      <c r="F78" s="192" t="n"/>
      <c r="G78" s="192" t="n"/>
      <c r="H78" s="192" t="n"/>
    </row>
    <row r="79">
      <c r="A79" s="867">
        <f>IF(COUNTA(D82:D89)&gt;1,IFERROR(VLOOKUP("*"&amp;D82&amp;"*",CHOOSE({1,2},'CABLE TO 1X8 SPLICING'!$G$5:$G$1000,'CABLE TO 1X8 SPLICING'!$A$5:$A$1000),2,0),VLOOKUP("*"&amp;D89&amp;"*",CHOOSE({1,2},'CABLE TO 1X8 SPLICING'!$N$5:$N$1000,'CABLE TO 1X8 SPLICING'!$A$5:$A$1000),2,0)),"")</f>
        <v/>
      </c>
      <c r="B79" s="867" t="n"/>
      <c r="C79" s="868">
        <f>A79</f>
        <v/>
      </c>
      <c r="D79" s="869" t="n"/>
      <c r="E79" s="514" t="inlineStr"/>
      <c r="F79" s="514" t="inlineStr"/>
    </row>
    <row r="80" ht="15" customHeight="1">
      <c r="A80" s="1057" t="inlineStr">
        <is>
          <t>SPLITTER NAME</t>
        </is>
      </c>
      <c r="B80" s="1057" t="inlineStr">
        <is>
          <t>T COUNT</t>
        </is>
      </c>
      <c r="C80" s="1057" t="inlineStr">
        <is>
          <t>1X4 PLACEMENT ADDRESS</t>
        </is>
      </c>
      <c r="D80" s="1057" t="inlineStr">
        <is>
          <t>SPLIT</t>
        </is>
      </c>
      <c r="E80" s="1044" t="inlineStr">
        <is>
          <t>SERVICING</t>
        </is>
      </c>
      <c r="F80" s="1044" t="inlineStr">
        <is>
          <t>SERVICING</t>
        </is>
      </c>
      <c r="G80" s="1044" t="inlineStr">
        <is>
          <t>SERVICING</t>
        </is>
      </c>
      <c r="H80" s="1044" t="inlineStr">
        <is>
          <t>SERVICING</t>
        </is>
      </c>
    </row>
    <row r="81" ht="15" customHeight="1">
      <c r="A81" s="1134" t="n"/>
      <c r="B81" s="1134" t="n"/>
      <c r="C81" s="1134" t="n"/>
      <c r="D81" s="1134" t="n"/>
      <c r="E81" s="1134" t="n"/>
      <c r="F81" s="1134" t="n"/>
      <c r="G81" s="1134" t="n"/>
      <c r="H81" s="1134" t="n"/>
    </row>
    <row r="82" ht="15" customHeight="1">
      <c r="A82" s="514" t="n"/>
      <c r="B82" s="514" t="n"/>
      <c r="C82" s="514" t="n"/>
      <c r="D82" s="514" t="n"/>
      <c r="E82" s="514" t="n"/>
      <c r="F82" s="514" t="n"/>
      <c r="G82" s="514" t="n"/>
      <c r="H82" s="514" t="n"/>
    </row>
    <row r="83">
      <c r="A83" s="514" t="n"/>
      <c r="B83" s="514" t="n"/>
      <c r="C83" s="514" t="n"/>
      <c r="D83" s="514" t="n"/>
      <c r="E83" s="514" t="n"/>
      <c r="F83" s="514" t="n"/>
      <c r="G83" s="514" t="n"/>
      <c r="H83" s="514" t="n"/>
    </row>
    <row r="84">
      <c r="A84" s="514" t="n"/>
      <c r="B84" s="514" t="n"/>
      <c r="C84" s="514" t="n"/>
      <c r="D84" s="514" t="n"/>
      <c r="E84" s="514" t="n"/>
      <c r="F84" s="514" t="n"/>
      <c r="G84" s="514" t="n"/>
      <c r="H84" s="514" t="n"/>
    </row>
    <row r="85">
      <c r="A85" s="514" t="n"/>
      <c r="B85" s="514" t="n"/>
      <c r="C85" s="514" t="n"/>
      <c r="D85" s="514" t="n"/>
      <c r="E85" s="514" t="n"/>
      <c r="F85" s="514" t="n"/>
      <c r="G85" s="514" t="n"/>
      <c r="H85" s="514" t="n"/>
    </row>
    <row r="86">
      <c r="A86" s="514" t="n"/>
      <c r="B86" s="514" t="n"/>
      <c r="C86" s="514" t="n"/>
      <c r="D86" s="514" t="n"/>
      <c r="E86" s="514" t="n"/>
      <c r="F86" s="514" t="n"/>
      <c r="G86" s="514" t="n"/>
      <c r="H86" s="514" t="n"/>
    </row>
    <row r="87">
      <c r="A87" s="514" t="n"/>
      <c r="B87" s="514" t="n"/>
      <c r="C87" s="514" t="n"/>
      <c r="D87" s="514" t="n"/>
      <c r="E87" s="514" t="n"/>
      <c r="F87" s="514" t="n"/>
      <c r="G87" s="514" t="n"/>
      <c r="H87" s="514" t="n"/>
    </row>
    <row r="88">
      <c r="A88" s="514" t="n"/>
      <c r="B88" s="514" t="n"/>
      <c r="C88" s="514" t="n"/>
      <c r="D88" s="514" t="n"/>
      <c r="E88" s="514" t="n"/>
      <c r="F88" s="514" t="n"/>
      <c r="G88" s="514" t="n"/>
      <c r="H88" s="514" t="n"/>
    </row>
    <row r="89">
      <c r="A89" s="514" t="n"/>
      <c r="B89" s="514" t="n"/>
      <c r="C89" s="514" t="n"/>
      <c r="D89" s="514" t="n"/>
      <c r="E89" s="514" t="n"/>
      <c r="F89" s="514" t="n"/>
      <c r="G89" s="514" t="n"/>
      <c r="H89" s="514" t="n"/>
    </row>
    <row r="91">
      <c r="A91" s="867">
        <f>IF(COUNTA(D94:D101)&gt;1,IFERROR(VLOOKUP("*"&amp;D94&amp;"*",CHOOSE({1,2},'CABLE TO 1X8 SPLICING'!$G$5:$G$1000,'CABLE TO 1X8 SPLICING'!$A$5:$A$1000),2,0),VLOOKUP("*"&amp;D101&amp;"*",CHOOSE({1,2},'CABLE TO 1X8 SPLICING'!$N$5:$N$1000,'CABLE TO 1X8 SPLICING'!$A$5:$A$1000),2,0)),"")</f>
        <v/>
      </c>
      <c r="B91" s="867" t="n"/>
      <c r="C91" s="868">
        <f>A91</f>
        <v/>
      </c>
      <c r="D91" s="869" t="n"/>
      <c r="E91" s="514" t="inlineStr"/>
      <c r="F91" s="514" t="inlineStr"/>
    </row>
    <row r="92" ht="15" customHeight="1">
      <c r="A92" s="1057" t="inlineStr">
        <is>
          <t>SPLITTER NAME</t>
        </is>
      </c>
      <c r="B92" s="1057" t="inlineStr">
        <is>
          <t>T COUNT</t>
        </is>
      </c>
      <c r="C92" s="1057" t="inlineStr">
        <is>
          <t>1X4 PLACEMENT ADDRESS</t>
        </is>
      </c>
      <c r="D92" s="1057" t="inlineStr">
        <is>
          <t>SPLIT</t>
        </is>
      </c>
      <c r="E92" s="1044" t="inlineStr">
        <is>
          <t>SERVICING</t>
        </is>
      </c>
      <c r="F92" s="1044" t="inlineStr">
        <is>
          <t>SERVICING</t>
        </is>
      </c>
      <c r="G92" s="1044" t="inlineStr">
        <is>
          <t>SERVICING</t>
        </is>
      </c>
      <c r="H92" s="1044" t="inlineStr">
        <is>
          <t>SERVICING</t>
        </is>
      </c>
    </row>
    <row r="93">
      <c r="A93" s="1134" t="n"/>
      <c r="B93" s="1134" t="n"/>
      <c r="C93" s="1134" t="n"/>
      <c r="D93" s="1134" t="n"/>
      <c r="E93" s="1134" t="n"/>
      <c r="F93" s="1134" t="n"/>
      <c r="G93" s="1134" t="n"/>
      <c r="H93" s="1134" t="n"/>
    </row>
    <row r="94" ht="15" customHeight="1">
      <c r="A94" s="514" t="n"/>
      <c r="B94" s="514" t="n"/>
      <c r="C94" s="514" t="n"/>
      <c r="D94" s="514" t="n"/>
      <c r="E94" s="514" t="n"/>
      <c r="F94" s="514" t="n"/>
      <c r="G94" s="514" t="n"/>
      <c r="H94" s="514" t="n"/>
    </row>
    <row r="95" ht="15" customHeight="1">
      <c r="A95" s="514" t="n"/>
      <c r="B95" s="514" t="n"/>
      <c r="C95" s="514" t="n"/>
      <c r="D95" s="514" t="n"/>
      <c r="E95" s="514" t="n"/>
      <c r="F95" s="514" t="n"/>
      <c r="G95" s="514" t="n"/>
      <c r="H95" s="514" t="n"/>
    </row>
    <row r="96">
      <c r="A96" s="514" t="n"/>
      <c r="B96" s="514" t="n"/>
      <c r="C96" s="514" t="n"/>
      <c r="D96" s="514" t="n"/>
      <c r="E96" s="514" t="n"/>
      <c r="F96" s="514" t="n"/>
      <c r="G96" s="514" t="n"/>
      <c r="H96" s="514" t="n"/>
    </row>
    <row r="97">
      <c r="A97" s="514" t="n"/>
      <c r="B97" s="514" t="n"/>
      <c r="C97" s="514" t="n"/>
      <c r="D97" s="514" t="n"/>
      <c r="E97" s="514" t="n"/>
      <c r="F97" s="514" t="n"/>
      <c r="G97" s="514" t="n"/>
      <c r="H97" s="514" t="n"/>
    </row>
    <row r="98">
      <c r="A98" s="514" t="n"/>
      <c r="B98" s="514" t="n"/>
      <c r="C98" s="514" t="n"/>
      <c r="D98" s="514" t="n"/>
      <c r="E98" s="514" t="n"/>
      <c r="F98" s="514" t="n"/>
      <c r="G98" s="514" t="n"/>
      <c r="H98" s="514" t="n"/>
    </row>
    <row r="99">
      <c r="A99" s="514" t="n"/>
      <c r="B99" s="514" t="n"/>
      <c r="C99" s="514" t="n"/>
      <c r="D99" s="514" t="n"/>
      <c r="E99" s="514" t="n"/>
      <c r="F99" s="514" t="n"/>
      <c r="G99" s="514" t="n"/>
      <c r="H99" s="514" t="n"/>
    </row>
    <row r="100">
      <c r="A100" s="514" t="n"/>
      <c r="B100" s="514" t="n"/>
      <c r="C100" s="514" t="n"/>
      <c r="D100" s="514" t="n"/>
      <c r="E100" s="514" t="n"/>
      <c r="F100" s="514" t="n"/>
      <c r="G100" s="514" t="n"/>
      <c r="H100" s="514" t="n"/>
    </row>
    <row r="101">
      <c r="A101" s="514" t="n"/>
      <c r="B101" s="514" t="n"/>
      <c r="C101" s="514" t="n"/>
      <c r="D101" s="514" t="n"/>
      <c r="E101" s="514" t="n"/>
      <c r="F101" s="514" t="n"/>
      <c r="G101" s="514" t="n"/>
      <c r="H101" s="514" t="n"/>
    </row>
    <row r="103">
      <c r="A103" s="867">
        <f>IF(COUNTA(D106:D113)&gt;1,IFERROR(VLOOKUP("*"&amp;D106&amp;"*",CHOOSE({1,2},'CABLE TO 1X8 SPLICING'!$G$5:$G$1000,'CABLE TO 1X8 SPLICING'!$A$5:$A$1000),2,0),VLOOKUP("*"&amp;D113&amp;"*",CHOOSE({1,2},'CABLE TO 1X8 SPLICING'!$N$5:$N$1000,'CABLE TO 1X8 SPLICING'!$A$5:$A$1000),2,0)),"")</f>
        <v/>
      </c>
      <c r="B103" s="867" t="n"/>
      <c r="C103" s="868">
        <f>A103</f>
        <v/>
      </c>
      <c r="D103" s="869" t="n"/>
      <c r="E103" s="514" t="inlineStr"/>
      <c r="F103" s="514" t="inlineStr"/>
    </row>
    <row r="104" ht="15" customHeight="1">
      <c r="A104" s="1057" t="inlineStr">
        <is>
          <t>SPLITTER NAME</t>
        </is>
      </c>
      <c r="B104" s="1057" t="inlineStr">
        <is>
          <t>T COUNT</t>
        </is>
      </c>
      <c r="C104" s="1057" t="inlineStr">
        <is>
          <t>1X4 PLACEMENT ADDRESS</t>
        </is>
      </c>
      <c r="D104" s="1057" t="inlineStr">
        <is>
          <t>SPLIT</t>
        </is>
      </c>
      <c r="E104" s="1044" t="inlineStr">
        <is>
          <t>SERVICING</t>
        </is>
      </c>
      <c r="F104" s="1044" t="inlineStr">
        <is>
          <t>SERVICING</t>
        </is>
      </c>
      <c r="G104" s="1044" t="inlineStr">
        <is>
          <t>SERVICING</t>
        </is>
      </c>
      <c r="H104" s="1044" t="inlineStr">
        <is>
          <t>SERVICING</t>
        </is>
      </c>
    </row>
    <row r="105">
      <c r="A105" s="1134" t="n"/>
      <c r="B105" s="1134" t="n"/>
      <c r="C105" s="1134" t="n"/>
      <c r="D105" s="1134" t="n"/>
      <c r="E105" s="1134" t="n"/>
      <c r="F105" s="1134" t="n"/>
      <c r="G105" s="1134" t="n"/>
      <c r="H105" s="1134" t="n"/>
    </row>
    <row r="106">
      <c r="A106" s="514" t="n"/>
      <c r="B106" s="514" t="n"/>
      <c r="C106" s="514" t="n"/>
      <c r="D106" s="514" t="n"/>
      <c r="E106" s="514" t="n"/>
      <c r="F106" s="514" t="n"/>
      <c r="G106" s="514" t="n"/>
      <c r="H106" s="514" t="n"/>
    </row>
    <row r="107" ht="15" customHeight="1">
      <c r="A107" s="514" t="n"/>
      <c r="B107" s="514" t="n"/>
      <c r="C107" s="514" t="n"/>
      <c r="D107" s="514" t="n"/>
      <c r="E107" s="514" t="n"/>
      <c r="F107" s="514" t="n"/>
      <c r="G107" s="514" t="n"/>
      <c r="H107" s="514" t="n"/>
    </row>
    <row r="108" ht="15" customHeight="1">
      <c r="A108" s="514" t="n"/>
      <c r="B108" s="514" t="n"/>
      <c r="C108" s="514" t="n"/>
      <c r="D108" s="514" t="n"/>
      <c r="E108" s="514" t="n"/>
      <c r="F108" s="514" t="n"/>
      <c r="G108" s="514" t="n"/>
      <c r="H108" s="514" t="n"/>
    </row>
    <row r="109">
      <c r="A109" s="514" t="n"/>
      <c r="B109" s="514" t="n"/>
      <c r="C109" s="514" t="n"/>
      <c r="D109" s="514" t="n"/>
      <c r="E109" s="514" t="n"/>
      <c r="F109" s="514" t="n"/>
      <c r="G109" s="514" t="n"/>
      <c r="H109" s="514" t="n"/>
    </row>
    <row r="110">
      <c r="A110" s="514" t="n"/>
      <c r="B110" s="514" t="n"/>
      <c r="C110" s="514" t="n"/>
      <c r="D110" s="514" t="n"/>
      <c r="E110" s="514" t="n"/>
      <c r="F110" s="514" t="n"/>
      <c r="G110" s="514" t="n"/>
      <c r="H110" s="514" t="n"/>
    </row>
    <row r="111">
      <c r="A111" s="514" t="n"/>
      <c r="B111" s="514" t="n"/>
      <c r="C111" s="514" t="n"/>
      <c r="D111" s="514" t="n"/>
      <c r="E111" s="514" t="n"/>
      <c r="F111" s="514" t="n"/>
      <c r="G111" s="514" t="n"/>
      <c r="H111" s="514" t="n"/>
    </row>
    <row r="112">
      <c r="A112" s="514" t="n"/>
      <c r="B112" s="514" t="n"/>
      <c r="C112" s="514" t="n"/>
      <c r="D112" s="514" t="n"/>
      <c r="E112" s="514" t="n"/>
      <c r="F112" s="514" t="n"/>
      <c r="G112" s="514" t="n"/>
      <c r="H112" s="514" t="n"/>
    </row>
    <row r="113">
      <c r="A113" s="514" t="n"/>
      <c r="B113" s="514" t="n"/>
      <c r="C113" s="514" t="n"/>
      <c r="D113" s="514" t="n"/>
      <c r="E113" s="514" t="n"/>
      <c r="F113" s="514" t="n"/>
      <c r="G113" s="514" t="n"/>
      <c r="H113" s="514" t="n"/>
    </row>
    <row r="115">
      <c r="A115" s="867">
        <f>IF(COUNTA(D118:D125)&gt;1,IFERROR(VLOOKUP("*"&amp;D118&amp;"*",CHOOSE({1,2},'CABLE TO 1X8 SPLICING'!$G$5:$G$1000,'CABLE TO 1X8 SPLICING'!$A$5:$A$1000),2,0),VLOOKUP("*"&amp;D125&amp;"*",CHOOSE({1,2},'CABLE TO 1X8 SPLICING'!$N$5:$N$1000,'CABLE TO 1X8 SPLICING'!$A$5:$A$1000),2,0)),"")</f>
        <v/>
      </c>
      <c r="B115" s="867" t="n"/>
      <c r="C115" s="868">
        <f>A115</f>
        <v/>
      </c>
      <c r="D115" s="869" t="n"/>
      <c r="E115" s="514" t="inlineStr"/>
      <c r="F115" s="514" t="inlineStr"/>
    </row>
    <row r="116" ht="15" customHeight="1">
      <c r="A116" s="1057" t="inlineStr">
        <is>
          <t>SPLITTER NAME</t>
        </is>
      </c>
      <c r="B116" s="1057" t="inlineStr">
        <is>
          <t>T COUNT</t>
        </is>
      </c>
      <c r="C116" s="1057" t="inlineStr">
        <is>
          <t>1X4 PLACEMENT ADDRESS</t>
        </is>
      </c>
      <c r="D116" s="1057" t="inlineStr">
        <is>
          <t>SPLIT</t>
        </is>
      </c>
      <c r="E116" s="1044" t="inlineStr">
        <is>
          <t>SERVICING</t>
        </is>
      </c>
      <c r="F116" s="1044" t="inlineStr">
        <is>
          <t>SERVICING</t>
        </is>
      </c>
      <c r="G116" s="1044" t="inlineStr">
        <is>
          <t>SERVICING</t>
        </is>
      </c>
      <c r="H116" s="1044" t="inlineStr">
        <is>
          <t>SERVICING</t>
        </is>
      </c>
    </row>
    <row r="117">
      <c r="A117" s="1134" t="n"/>
      <c r="B117" s="1134" t="n"/>
      <c r="C117" s="1134" t="n"/>
      <c r="D117" s="1134" t="n"/>
      <c r="E117" s="1134" t="n"/>
      <c r="F117" s="1134" t="n"/>
      <c r="G117" s="1134" t="n"/>
      <c r="H117" s="1134" t="n"/>
    </row>
    <row r="118">
      <c r="A118" s="514" t="n"/>
      <c r="B118" s="514" t="n"/>
      <c r="C118" s="514" t="n"/>
      <c r="D118" s="514" t="n"/>
      <c r="E118" s="514" t="n"/>
      <c r="F118" s="514" t="n"/>
      <c r="G118" s="514" t="n"/>
      <c r="H118" s="514" t="n"/>
    </row>
    <row r="119">
      <c r="A119" s="514" t="n"/>
      <c r="B119" s="514" t="n"/>
      <c r="C119" s="514" t="n"/>
      <c r="D119" s="514" t="n"/>
      <c r="E119" s="514" t="n"/>
      <c r="F119" s="514" t="n"/>
      <c r="G119" s="514" t="n"/>
      <c r="H119" s="514" t="n"/>
    </row>
    <row r="120" ht="15" customHeight="1">
      <c r="A120" s="514" t="n"/>
      <c r="B120" s="514" t="n"/>
      <c r="C120" s="514" t="n"/>
      <c r="D120" s="514" t="n"/>
      <c r="E120" s="514" t="n"/>
      <c r="F120" s="514" t="n"/>
      <c r="G120" s="514" t="n"/>
      <c r="H120" s="514" t="n"/>
    </row>
    <row r="121" ht="15" customHeight="1">
      <c r="A121" s="514" t="n"/>
      <c r="B121" s="514" t="n"/>
      <c r="C121" s="514" t="n"/>
      <c r="D121" s="514" t="n"/>
      <c r="E121" s="514" t="n"/>
      <c r="F121" s="514" t="n"/>
      <c r="G121" s="514" t="n"/>
      <c r="H121" s="514" t="n"/>
    </row>
    <row r="122">
      <c r="A122" s="514" t="n"/>
      <c r="B122" s="514" t="n"/>
      <c r="C122" s="514" t="n"/>
      <c r="D122" s="514" t="n"/>
      <c r="E122" s="514" t="n"/>
      <c r="F122" s="514" t="n"/>
      <c r="G122" s="514" t="n"/>
      <c r="H122" s="514" t="n"/>
    </row>
    <row r="123">
      <c r="A123" s="514" t="n"/>
      <c r="B123" s="514" t="n"/>
      <c r="C123" s="514" t="n"/>
      <c r="D123" s="514" t="n"/>
      <c r="E123" s="514" t="n"/>
      <c r="F123" s="514" t="n"/>
      <c r="G123" s="514" t="n"/>
      <c r="H123" s="514" t="n"/>
    </row>
    <row r="124">
      <c r="A124" s="514" t="n"/>
      <c r="B124" s="514" t="n"/>
      <c r="C124" s="514" t="n"/>
      <c r="D124" s="514" t="n"/>
      <c r="E124" s="514" t="n"/>
      <c r="F124" s="514" t="n"/>
      <c r="G124" s="514" t="n"/>
      <c r="H124" s="514" t="n"/>
    </row>
    <row r="125">
      <c r="A125" s="514" t="n"/>
      <c r="B125" s="514" t="n"/>
      <c r="C125" s="514" t="n"/>
      <c r="D125" s="514" t="n"/>
      <c r="E125" s="514" t="n"/>
      <c r="F125" s="514" t="n"/>
      <c r="G125" s="514" t="n"/>
      <c r="H125" s="514" t="n"/>
    </row>
    <row r="127">
      <c r="A127" s="867">
        <f>IF(COUNTA(D130:D137)&gt;1,IFERROR(VLOOKUP("*"&amp;D130&amp;"*",CHOOSE({1,2},'CABLE TO 1X8 SPLICING'!$G$5:$G$1000,'CABLE TO 1X8 SPLICING'!$A$5:$A$1000),2,0),VLOOKUP("*"&amp;D137&amp;"*",CHOOSE({1,2},'CABLE TO 1X8 SPLICING'!$N$5:$N$1000,'CABLE TO 1X8 SPLICING'!$A$5:$A$1000),2,0)),"")</f>
        <v/>
      </c>
      <c r="B127" s="867" t="n"/>
      <c r="C127" s="868">
        <f>A127</f>
        <v/>
      </c>
      <c r="D127" s="869" t="n"/>
      <c r="E127" s="514" t="inlineStr"/>
      <c r="F127" s="514" t="inlineStr"/>
    </row>
    <row r="128" ht="15" customHeight="1">
      <c r="A128" s="1057" t="inlineStr">
        <is>
          <t>SPLITTER NAME</t>
        </is>
      </c>
      <c r="B128" s="1057" t="inlineStr">
        <is>
          <t>T COUNT</t>
        </is>
      </c>
      <c r="C128" s="1057" t="inlineStr">
        <is>
          <t>1X4 PLACEMENT ADDRESS</t>
        </is>
      </c>
      <c r="D128" s="1057" t="inlineStr">
        <is>
          <t>SPLIT</t>
        </is>
      </c>
      <c r="E128" s="1044" t="inlineStr">
        <is>
          <t>SERVICING</t>
        </is>
      </c>
      <c r="F128" s="1044" t="inlineStr">
        <is>
          <t>SERVICING</t>
        </is>
      </c>
      <c r="G128" s="1044" t="inlineStr">
        <is>
          <t>SERVICING</t>
        </is>
      </c>
      <c r="H128" s="1044" t="inlineStr">
        <is>
          <t>SERVICING</t>
        </is>
      </c>
    </row>
    <row r="129">
      <c r="A129" s="1134" t="n"/>
      <c r="B129" s="1134" t="n"/>
      <c r="C129" s="1134" t="n"/>
      <c r="D129" s="1134" t="n"/>
      <c r="E129" s="1134" t="n"/>
      <c r="F129" s="1134" t="n"/>
      <c r="G129" s="1134" t="n"/>
      <c r="H129" s="1134" t="n"/>
    </row>
    <row r="130">
      <c r="A130" s="514" t="n"/>
      <c r="B130" s="514" t="n"/>
      <c r="C130" s="514" t="n"/>
      <c r="D130" s="514" t="n"/>
      <c r="E130" s="514" t="n"/>
      <c r="F130" s="514" t="n"/>
      <c r="G130" s="514" t="n"/>
      <c r="H130" s="514" t="n"/>
    </row>
    <row r="131">
      <c r="A131" s="514" t="n"/>
      <c r="B131" s="514" t="n"/>
      <c r="C131" s="514" t="n"/>
      <c r="D131" s="514" t="n"/>
      <c r="E131" s="514" t="n"/>
      <c r="F131" s="514" t="n"/>
      <c r="G131" s="514" t="n"/>
      <c r="H131" s="514" t="n"/>
    </row>
    <row r="132">
      <c r="A132" s="514" t="n"/>
      <c r="B132" s="514" t="n"/>
      <c r="C132" s="514" t="n"/>
      <c r="D132" s="514" t="n"/>
      <c r="E132" s="514" t="n"/>
      <c r="F132" s="514" t="n"/>
      <c r="G132" s="514" t="n"/>
      <c r="H132" s="514" t="n"/>
    </row>
    <row r="133" ht="15" customHeight="1">
      <c r="A133" s="514" t="n"/>
      <c r="B133" s="514" t="n"/>
      <c r="C133" s="514" t="n"/>
      <c r="D133" s="514" t="n"/>
      <c r="E133" s="514" t="n"/>
      <c r="F133" s="514" t="n"/>
      <c r="G133" s="514" t="n"/>
      <c r="H133" s="514" t="n"/>
    </row>
    <row r="134" ht="15" customHeight="1">
      <c r="A134" s="514" t="n"/>
      <c r="B134" s="514" t="n"/>
      <c r="C134" s="514" t="n"/>
      <c r="D134" s="514" t="n"/>
      <c r="E134" s="514" t="n"/>
      <c r="F134" s="514" t="n"/>
      <c r="G134" s="514" t="n"/>
      <c r="H134" s="514" t="n"/>
    </row>
    <row r="135">
      <c r="A135" s="514" t="n"/>
      <c r="B135" s="514" t="n"/>
      <c r="C135" s="514" t="n"/>
      <c r="D135" s="514" t="n"/>
      <c r="E135" s="514" t="n"/>
      <c r="F135" s="514" t="n"/>
      <c r="G135" s="514" t="n"/>
      <c r="H135" s="514" t="n"/>
    </row>
    <row r="136">
      <c r="A136" s="514" t="n"/>
      <c r="B136" s="514" t="n"/>
      <c r="C136" s="514" t="n"/>
      <c r="D136" s="514" t="n"/>
      <c r="E136" s="514" t="n"/>
      <c r="F136" s="514" t="n"/>
      <c r="G136" s="514" t="n"/>
      <c r="H136" s="514" t="n"/>
    </row>
    <row r="137">
      <c r="A137" s="514" t="n"/>
      <c r="B137" s="514" t="n"/>
      <c r="C137" s="514" t="n"/>
      <c r="D137" s="514" t="n"/>
      <c r="E137" s="514" t="n"/>
      <c r="F137" s="514" t="n"/>
      <c r="G137" s="514" t="n"/>
      <c r="H137" s="514" t="n"/>
    </row>
    <row r="139">
      <c r="A139" t="inlineStr"/>
      <c r="C139">
        <f>A139</f>
        <v/>
      </c>
      <c r="E139" t="inlineStr"/>
      <c r="F139" t="inlineStr"/>
    </row>
    <row r="140" ht="15" customHeight="1"/>
    <row r="141" ht="15" customHeight="1"/>
    <row r="146" ht="15" customHeight="1"/>
    <row r="147" ht="15" customHeight="1"/>
    <row r="159" ht="15" customHeight="1"/>
    <row r="160" ht="15" customHeight="1"/>
    <row r="172" ht="15" customHeight="1"/>
    <row r="173" ht="15" customHeight="1"/>
    <row r="185" ht="15" customHeight="1"/>
    <row r="186" ht="15" customHeight="1"/>
    <row r="198" ht="15" customHeight="1"/>
    <row r="199" ht="15" customHeight="1"/>
    <row r="211" ht="15" customHeight="1"/>
    <row r="212" ht="15" customHeight="1"/>
    <row r="223" ht="15" customHeight="1"/>
    <row r="224" ht="15" customHeight="1"/>
    <row r="236" ht="15" customHeight="1"/>
    <row r="237" ht="15" customHeight="1"/>
    <row r="249" ht="15" customHeight="1"/>
    <row r="250" ht="15" customHeight="1"/>
  </sheetData>
  <mergeCells count="88">
    <mergeCell ref="E92:E93"/>
    <mergeCell ref="A128:A129"/>
    <mergeCell ref="C128:C129"/>
    <mergeCell ref="C29:C30"/>
    <mergeCell ref="F3:F4"/>
    <mergeCell ref="F55:F56"/>
    <mergeCell ref="A16:A17"/>
    <mergeCell ref="H55:H56"/>
    <mergeCell ref="C16:C17"/>
    <mergeCell ref="B42:B43"/>
    <mergeCell ref="B29:B30"/>
    <mergeCell ref="G3:G4"/>
    <mergeCell ref="F42:F43"/>
    <mergeCell ref="G68:G69"/>
    <mergeCell ref="D16:D17"/>
    <mergeCell ref="H128:H129"/>
    <mergeCell ref="B128:B129"/>
    <mergeCell ref="B80:B81"/>
    <mergeCell ref="A116:A117"/>
    <mergeCell ref="H92:H93"/>
    <mergeCell ref="B104:B105"/>
    <mergeCell ref="F16:F17"/>
    <mergeCell ref="F68:F69"/>
    <mergeCell ref="H68:H69"/>
    <mergeCell ref="E55:E56"/>
    <mergeCell ref="B3:B4"/>
    <mergeCell ref="E128:E129"/>
    <mergeCell ref="G128:G129"/>
    <mergeCell ref="B116:B117"/>
    <mergeCell ref="D3:D4"/>
    <mergeCell ref="D116:D117"/>
    <mergeCell ref="H80:H81"/>
    <mergeCell ref="E104:E105"/>
    <mergeCell ref="G104:G105"/>
    <mergeCell ref="B55:B56"/>
    <mergeCell ref="D55:D56"/>
    <mergeCell ref="A68:A69"/>
    <mergeCell ref="B92:B93"/>
    <mergeCell ref="C3:C4"/>
    <mergeCell ref="A92:A93"/>
    <mergeCell ref="H104:H105"/>
    <mergeCell ref="E3:E4"/>
    <mergeCell ref="C68:C69"/>
    <mergeCell ref="E68:E69"/>
    <mergeCell ref="B16:B17"/>
    <mergeCell ref="C116:C117"/>
    <mergeCell ref="H29:H30"/>
    <mergeCell ref="C42:C43"/>
    <mergeCell ref="E42:E43"/>
    <mergeCell ref="G42:G43"/>
    <mergeCell ref="E29:E30"/>
    <mergeCell ref="D80:D81"/>
    <mergeCell ref="G116:G117"/>
    <mergeCell ref="A80:A81"/>
    <mergeCell ref="C80:C81"/>
    <mergeCell ref="G55:G56"/>
    <mergeCell ref="G80:G81"/>
    <mergeCell ref="B68:B69"/>
    <mergeCell ref="D68:D69"/>
    <mergeCell ref="G92:G93"/>
    <mergeCell ref="A104:A105"/>
    <mergeCell ref="H16:H17"/>
    <mergeCell ref="D92:D93"/>
    <mergeCell ref="E80:E81"/>
    <mergeCell ref="H3:H4"/>
    <mergeCell ref="F92:F93"/>
    <mergeCell ref="E16:E17"/>
    <mergeCell ref="D42:D43"/>
    <mergeCell ref="G16:G17"/>
    <mergeCell ref="D29:D30"/>
    <mergeCell ref="F29:F30"/>
    <mergeCell ref="H42:H43"/>
    <mergeCell ref="D128:D129"/>
    <mergeCell ref="F128:F129"/>
    <mergeCell ref="F80:F81"/>
    <mergeCell ref="C104:C105"/>
    <mergeCell ref="D104:D105"/>
    <mergeCell ref="A3:A4"/>
    <mergeCell ref="F104:F105"/>
    <mergeCell ref="A55:A56"/>
    <mergeCell ref="C55:C56"/>
    <mergeCell ref="G29:G30"/>
    <mergeCell ref="A42:A43"/>
    <mergeCell ref="A29:A30"/>
    <mergeCell ref="E116:E117"/>
    <mergeCell ref="F116:F117"/>
    <mergeCell ref="H116:H117"/>
    <mergeCell ref="C92:C93"/>
  </mergeCells>
  <conditionalFormatting sqref="C2">
    <cfRule type="cellIs" priority="139" operator="between" dxfId="6">
      <formula>61</formula>
      <formula>72</formula>
    </cfRule>
    <cfRule type="cellIs" priority="134" operator="between" dxfId="142">
      <formula>121</formula>
      <formula>132</formula>
    </cfRule>
    <cfRule type="cellIs" priority="144" operator="between" dxfId="10">
      <formula>1</formula>
      <formula>12</formula>
    </cfRule>
    <cfRule type="cellIs" priority="143" operator="between" dxfId="0">
      <formula>13</formula>
      <formula>24</formula>
    </cfRule>
    <cfRule type="cellIs" priority="142" operator="between" dxfId="9">
      <formula>25</formula>
      <formula>36</formula>
    </cfRule>
    <cfRule type="cellIs" priority="141" operator="between" dxfId="8">
      <formula>37</formula>
      <formula>48</formula>
    </cfRule>
    <cfRule type="cellIs" priority="140" operator="between" dxfId="7">
      <formula>49</formula>
      <formula>60</formula>
    </cfRule>
    <cfRule type="cellIs" priority="133" operator="between" dxfId="143">
      <formula>133</formula>
      <formula>144</formula>
    </cfRule>
    <cfRule type="cellIs" priority="138" operator="between" dxfId="5">
      <formula>73</formula>
      <formula>84</formula>
    </cfRule>
    <cfRule type="cellIs" priority="137" operator="between" dxfId="4">
      <formula>85</formula>
      <formula>96</formula>
    </cfRule>
    <cfRule type="cellIs" priority="136" operator="between" dxfId="140">
      <formula>97</formula>
      <formula>108</formula>
    </cfRule>
    <cfRule type="cellIs" priority="135" operator="between" dxfId="141">
      <formula>109</formula>
      <formula>120</formula>
    </cfRule>
  </conditionalFormatting>
  <conditionalFormatting sqref="C15">
    <cfRule type="cellIs" priority="157" operator="between" dxfId="143">
      <formula>133</formula>
      <formula>144</formula>
    </cfRule>
    <cfRule type="cellIs" priority="158" operator="between" dxfId="142">
      <formula>121</formula>
      <formula>132</formula>
    </cfRule>
    <cfRule type="cellIs" priority="165" operator="between" dxfId="8">
      <formula>37</formula>
      <formula>48</formula>
    </cfRule>
    <cfRule type="cellIs" priority="164" operator="between" dxfId="7">
      <formula>49</formula>
      <formula>60</formula>
    </cfRule>
    <cfRule type="cellIs" priority="163" operator="between" dxfId="6">
      <formula>61</formula>
      <formula>72</formula>
    </cfRule>
    <cfRule type="cellIs" priority="162" operator="between" dxfId="5">
      <formula>73</formula>
      <formula>84</formula>
    </cfRule>
    <cfRule type="cellIs" priority="161" operator="between" dxfId="4">
      <formula>85</formula>
      <formula>96</formula>
    </cfRule>
    <cfRule type="cellIs" priority="160" operator="between" dxfId="140">
      <formula>97</formula>
      <formula>108</formula>
    </cfRule>
    <cfRule type="cellIs" priority="159" operator="between" dxfId="141">
      <formula>109</formula>
      <formula>120</formula>
    </cfRule>
    <cfRule type="cellIs" priority="166" operator="between" dxfId="9">
      <formula>25</formula>
      <formula>36</formula>
    </cfRule>
    <cfRule type="cellIs" priority="167" operator="between" dxfId="0">
      <formula>13</formula>
      <formula>24</formula>
    </cfRule>
    <cfRule type="cellIs" priority="168" operator="between" dxfId="10">
      <formula>1</formula>
      <formula>12</formula>
    </cfRule>
  </conditionalFormatting>
  <conditionalFormatting sqref="C28">
    <cfRule type="cellIs" priority="189" operator="between" dxfId="8">
      <formula>37</formula>
      <formula>48</formula>
    </cfRule>
    <cfRule type="cellIs" priority="183" operator="between" dxfId="141">
      <formula>109</formula>
      <formula>120</formula>
    </cfRule>
    <cfRule type="cellIs" priority="182" operator="between" dxfId="142">
      <formula>121</formula>
      <formula>132</formula>
    </cfRule>
    <cfRule type="cellIs" priority="181" operator="between" dxfId="143">
      <formula>133</formula>
      <formula>144</formula>
    </cfRule>
    <cfRule type="cellIs" priority="192" operator="between" dxfId="10">
      <formula>1</formula>
      <formula>12</formula>
    </cfRule>
    <cfRule type="cellIs" priority="191" operator="between" dxfId="0">
      <formula>13</formula>
      <formula>24</formula>
    </cfRule>
    <cfRule type="cellIs" priority="190" operator="between" dxfId="9">
      <formula>25</formula>
      <formula>36</formula>
    </cfRule>
    <cfRule type="cellIs" priority="186" operator="between" dxfId="5">
      <formula>73</formula>
      <formula>84</formula>
    </cfRule>
    <cfRule type="cellIs" priority="188" operator="between" dxfId="7">
      <formula>49</formula>
      <formula>60</formula>
    </cfRule>
    <cfRule type="cellIs" priority="187" operator="between" dxfId="6">
      <formula>61</formula>
      <formula>72</formula>
    </cfRule>
    <cfRule type="cellIs" priority="185" operator="between" dxfId="4">
      <formula>85</formula>
      <formula>96</formula>
    </cfRule>
    <cfRule type="cellIs" priority="184" operator="between" dxfId="140">
      <formula>97</formula>
      <formula>108</formula>
    </cfRule>
  </conditionalFormatting>
  <conditionalFormatting sqref="C41">
    <cfRule type="cellIs" priority="210" operator="between" dxfId="5">
      <formula>73</formula>
      <formula>84</formula>
    </cfRule>
    <cfRule type="cellIs" priority="216" operator="between" dxfId="10">
      <formula>1</formula>
      <formula>12</formula>
    </cfRule>
    <cfRule type="cellIs" priority="215" operator="between" dxfId="0">
      <formula>13</formula>
      <formula>24</formula>
    </cfRule>
    <cfRule type="cellIs" priority="214" operator="between" dxfId="9">
      <formula>25</formula>
      <formula>36</formula>
    </cfRule>
    <cfRule type="cellIs" priority="213" operator="between" dxfId="8">
      <formula>37</formula>
      <formula>48</formula>
    </cfRule>
    <cfRule type="cellIs" priority="212" operator="between" dxfId="7">
      <formula>49</formula>
      <formula>60</formula>
    </cfRule>
    <cfRule type="cellIs" priority="211" operator="between" dxfId="6">
      <formula>61</formula>
      <formula>72</formula>
    </cfRule>
    <cfRule type="cellIs" priority="207" operator="between" dxfId="141">
      <formula>109</formula>
      <formula>120</formula>
    </cfRule>
    <cfRule type="cellIs" priority="206" operator="between" dxfId="142">
      <formula>121</formula>
      <formula>132</formula>
    </cfRule>
    <cfRule type="cellIs" priority="205" operator="between" dxfId="143">
      <formula>133</formula>
      <formula>144</formula>
    </cfRule>
    <cfRule type="cellIs" priority="208" operator="between" dxfId="140">
      <formula>97</formula>
      <formula>108</formula>
    </cfRule>
    <cfRule type="cellIs" priority="209" operator="between" dxfId="4">
      <formula>85</formula>
      <formula>96</formula>
    </cfRule>
  </conditionalFormatting>
  <conditionalFormatting sqref="C54">
    <cfRule type="cellIs" priority="239" operator="between" dxfId="0">
      <formula>13</formula>
      <formula>24</formula>
    </cfRule>
    <cfRule type="cellIs" priority="238" operator="between" dxfId="9">
      <formula>25</formula>
      <formula>36</formula>
    </cfRule>
    <cfRule type="cellIs" priority="237" operator="between" dxfId="8">
      <formula>37</formula>
      <formula>48</formula>
    </cfRule>
    <cfRule type="cellIs" priority="236" operator="between" dxfId="7">
      <formula>49</formula>
      <formula>60</formula>
    </cfRule>
    <cfRule type="cellIs" priority="235" operator="between" dxfId="6">
      <formula>61</formula>
      <formula>72</formula>
    </cfRule>
    <cfRule type="cellIs" priority="234" operator="between" dxfId="5">
      <formula>73</formula>
      <formula>84</formula>
    </cfRule>
    <cfRule type="cellIs" priority="233" operator="between" dxfId="4">
      <formula>85</formula>
      <formula>96</formula>
    </cfRule>
    <cfRule type="cellIs" priority="232" operator="between" dxfId="140">
      <formula>97</formula>
      <formula>108</formula>
    </cfRule>
    <cfRule type="cellIs" priority="230" operator="between" dxfId="142">
      <formula>121</formula>
      <formula>132</formula>
    </cfRule>
    <cfRule type="cellIs" priority="229" operator="between" dxfId="143">
      <formula>133</formula>
      <formula>144</formula>
    </cfRule>
    <cfRule type="cellIs" priority="231" operator="between" dxfId="141">
      <formula>109</formula>
      <formula>120</formula>
    </cfRule>
    <cfRule type="cellIs" priority="240" operator="between" dxfId="10">
      <formula>1</formula>
      <formula>12</formula>
    </cfRule>
  </conditionalFormatting>
  <conditionalFormatting sqref="C67">
    <cfRule type="cellIs" priority="264" operator="between" dxfId="10">
      <formula>1</formula>
      <formula>12</formula>
    </cfRule>
    <cfRule type="cellIs" priority="253" operator="between" dxfId="143">
      <formula>133</formula>
      <formula>144</formula>
    </cfRule>
    <cfRule type="cellIs" priority="254" operator="between" dxfId="142">
      <formula>121</formula>
      <formula>132</formula>
    </cfRule>
    <cfRule type="cellIs" priority="255" operator="between" dxfId="141">
      <formula>109</formula>
      <formula>120</formula>
    </cfRule>
    <cfRule type="cellIs" priority="256" operator="between" dxfId="140">
      <formula>97</formula>
      <formula>108</formula>
    </cfRule>
    <cfRule type="cellIs" priority="257" operator="between" dxfId="4">
      <formula>85</formula>
      <formula>96</formula>
    </cfRule>
    <cfRule type="cellIs" priority="258" operator="between" dxfId="5">
      <formula>73</formula>
      <formula>84</formula>
    </cfRule>
    <cfRule type="cellIs" priority="259" operator="between" dxfId="6">
      <formula>61</formula>
      <formula>72</formula>
    </cfRule>
    <cfRule type="cellIs" priority="260" operator="between" dxfId="7">
      <formula>49</formula>
      <formula>60</formula>
    </cfRule>
    <cfRule type="cellIs" priority="261" operator="between" dxfId="8">
      <formula>37</formula>
      <formula>48</formula>
    </cfRule>
    <cfRule type="cellIs" priority="262" operator="between" dxfId="9">
      <formula>25</formula>
      <formula>36</formula>
    </cfRule>
    <cfRule type="cellIs" priority="263" operator="between" dxfId="0">
      <formula>13</formula>
      <formula>24</formula>
    </cfRule>
  </conditionalFormatting>
  <conditionalFormatting sqref="C79">
    <cfRule type="cellIs" priority="118" operator="between" dxfId="9">
      <formula>25</formula>
      <formula>36</formula>
    </cfRule>
    <cfRule type="cellIs" priority="113" operator="between" dxfId="4">
      <formula>85</formula>
      <formula>96</formula>
    </cfRule>
    <cfRule type="cellIs" priority="114" operator="between" dxfId="5">
      <formula>73</formula>
      <formula>84</formula>
    </cfRule>
    <cfRule type="cellIs" priority="115" operator="between" dxfId="6">
      <formula>61</formula>
      <formula>72</formula>
    </cfRule>
    <cfRule type="cellIs" priority="116" operator="between" dxfId="7">
      <formula>49</formula>
      <formula>60</formula>
    </cfRule>
    <cfRule type="cellIs" priority="117" operator="between" dxfId="8">
      <formula>37</formula>
      <formula>48</formula>
    </cfRule>
    <cfRule type="cellIs" priority="112" operator="between" dxfId="140">
      <formula>97</formula>
      <formula>108</formula>
    </cfRule>
    <cfRule type="cellIs" priority="109" operator="between" dxfId="143">
      <formula>133</formula>
      <formula>144</formula>
    </cfRule>
    <cfRule type="cellIs" priority="119" operator="between" dxfId="0">
      <formula>13</formula>
      <formula>24</formula>
    </cfRule>
    <cfRule type="cellIs" priority="120" operator="between" dxfId="10">
      <formula>1</formula>
      <formula>12</formula>
    </cfRule>
    <cfRule type="cellIs" priority="111" operator="between" dxfId="141">
      <formula>109</formula>
      <formula>120</formula>
    </cfRule>
    <cfRule type="cellIs" priority="110" operator="between" dxfId="142">
      <formula>121</formula>
      <formula>132</formula>
    </cfRule>
  </conditionalFormatting>
  <conditionalFormatting sqref="C91">
    <cfRule type="cellIs" priority="90" operator="between" dxfId="5">
      <formula>73</formula>
      <formula>84</formula>
    </cfRule>
    <cfRule type="cellIs" priority="85" operator="between" dxfId="143">
      <formula>133</formula>
      <formula>144</formula>
    </cfRule>
    <cfRule type="cellIs" priority="86" operator="between" dxfId="142">
      <formula>121</formula>
      <formula>132</formula>
    </cfRule>
    <cfRule type="cellIs" priority="87" operator="between" dxfId="141">
      <formula>109</formula>
      <formula>120</formula>
    </cfRule>
    <cfRule type="cellIs" priority="88" operator="between" dxfId="140">
      <formula>97</formula>
      <formula>108</formula>
    </cfRule>
    <cfRule type="cellIs" priority="89" operator="between" dxfId="4">
      <formula>85</formula>
      <formula>96</formula>
    </cfRule>
    <cfRule type="cellIs" priority="91" operator="between" dxfId="6">
      <formula>61</formula>
      <formula>72</formula>
    </cfRule>
    <cfRule type="cellIs" priority="92" operator="between" dxfId="7">
      <formula>49</formula>
      <formula>60</formula>
    </cfRule>
    <cfRule type="cellIs" priority="93" operator="between" dxfId="8">
      <formula>37</formula>
      <formula>48</formula>
    </cfRule>
    <cfRule type="cellIs" priority="94" operator="between" dxfId="9">
      <formula>25</formula>
      <formula>36</formula>
    </cfRule>
    <cfRule type="cellIs" priority="96" operator="between" dxfId="10">
      <formula>1</formula>
      <formula>12</formula>
    </cfRule>
    <cfRule type="cellIs" priority="95" operator="between" dxfId="0">
      <formula>13</formula>
      <formula>24</formula>
    </cfRule>
  </conditionalFormatting>
  <conditionalFormatting sqref="C103">
    <cfRule type="cellIs" priority="67" operator="between" dxfId="6">
      <formula>61</formula>
      <formula>72</formula>
    </cfRule>
    <cfRule type="cellIs" priority="71" operator="between" dxfId="0">
      <formula>13</formula>
      <formula>24</formula>
    </cfRule>
    <cfRule type="cellIs" priority="70" operator="between" dxfId="9">
      <formula>25</formula>
      <formula>36</formula>
    </cfRule>
    <cfRule type="cellIs" priority="69" operator="between" dxfId="8">
      <formula>37</formula>
      <formula>48</formula>
    </cfRule>
    <cfRule type="cellIs" priority="68" operator="between" dxfId="7">
      <formula>49</formula>
      <formula>60</formula>
    </cfRule>
    <cfRule type="cellIs" priority="66" operator="between" dxfId="5">
      <formula>73</formula>
      <formula>84</formula>
    </cfRule>
    <cfRule type="cellIs" priority="64" operator="between" dxfId="140">
      <formula>97</formula>
      <formula>108</formula>
    </cfRule>
    <cfRule type="cellIs" priority="63" operator="between" dxfId="141">
      <formula>109</formula>
      <formula>120</formula>
    </cfRule>
    <cfRule type="cellIs" priority="61" operator="between" dxfId="143">
      <formula>133</formula>
      <formula>144</formula>
    </cfRule>
    <cfRule type="cellIs" priority="62" operator="between" dxfId="142">
      <formula>121</formula>
      <formula>132</formula>
    </cfRule>
    <cfRule type="cellIs" priority="72" operator="between" dxfId="10">
      <formula>1</formula>
      <formula>12</formula>
    </cfRule>
    <cfRule type="cellIs" priority="65" operator="between" dxfId="4">
      <formula>85</formula>
      <formula>96</formula>
    </cfRule>
  </conditionalFormatting>
  <conditionalFormatting sqref="C115">
    <cfRule type="cellIs" priority="38" operator="between" dxfId="142">
      <formula>121</formula>
      <formula>132</formula>
    </cfRule>
    <cfRule type="cellIs" priority="48" operator="between" dxfId="10">
      <formula>1</formula>
      <formula>12</formula>
    </cfRule>
    <cfRule type="cellIs" priority="44" operator="between" dxfId="7">
      <formula>49</formula>
      <formula>60</formula>
    </cfRule>
    <cfRule type="cellIs" priority="47" operator="between" dxfId="0">
      <formula>13</formula>
      <formula>24</formula>
    </cfRule>
    <cfRule type="cellIs" priority="46" operator="between" dxfId="9">
      <formula>25</formula>
      <formula>36</formula>
    </cfRule>
    <cfRule type="cellIs" priority="45" operator="between" dxfId="8">
      <formula>37</formula>
      <formula>48</formula>
    </cfRule>
    <cfRule type="cellIs" priority="43" operator="between" dxfId="6">
      <formula>61</formula>
      <formula>72</formula>
    </cfRule>
    <cfRule type="cellIs" priority="42" operator="between" dxfId="5">
      <formula>73</formula>
      <formula>84</formula>
    </cfRule>
    <cfRule type="cellIs" priority="41" operator="between" dxfId="4">
      <formula>85</formula>
      <formula>96</formula>
    </cfRule>
    <cfRule type="cellIs" priority="40" operator="between" dxfId="140">
      <formula>97</formula>
      <formula>108</formula>
    </cfRule>
    <cfRule type="cellIs" priority="39" operator="between" dxfId="141">
      <formula>109</formula>
      <formula>120</formula>
    </cfRule>
    <cfRule type="cellIs" priority="37" operator="between" dxfId="143">
      <formula>133</formula>
      <formula>144</formula>
    </cfRule>
  </conditionalFormatting>
  <conditionalFormatting sqref="C127">
    <cfRule type="cellIs" priority="13" operator="between" dxfId="143">
      <formula>133</formula>
      <formula>144</formula>
    </cfRule>
    <cfRule type="cellIs" priority="14" operator="between" dxfId="142">
      <formula>121</formula>
      <formula>132</formula>
    </cfRule>
    <cfRule type="cellIs" priority="15" operator="between" dxfId="141">
      <formula>109</formula>
      <formula>120</formula>
    </cfRule>
    <cfRule type="cellIs" priority="16" operator="between" dxfId="140">
      <formula>97</formula>
      <formula>108</formula>
    </cfRule>
    <cfRule type="cellIs" priority="17" operator="between" dxfId="4">
      <formula>85</formula>
      <formula>96</formula>
    </cfRule>
    <cfRule type="cellIs" priority="18" operator="between" dxfId="5">
      <formula>73</formula>
      <formula>84</formula>
    </cfRule>
    <cfRule type="cellIs" priority="19" operator="between" dxfId="6">
      <formula>61</formula>
      <formula>72</formula>
    </cfRule>
    <cfRule type="cellIs" priority="20" operator="between" dxfId="7">
      <formula>49</formula>
      <formula>60</formula>
    </cfRule>
    <cfRule type="cellIs" priority="21" operator="between" dxfId="8">
      <formula>37</formula>
      <formula>48</formula>
    </cfRule>
    <cfRule type="cellIs" priority="22" operator="between" dxfId="9">
      <formula>25</formula>
      <formula>36</formula>
    </cfRule>
    <cfRule type="cellIs" priority="23" operator="between" dxfId="0">
      <formula>13</formula>
      <formula>24</formula>
    </cfRule>
    <cfRule type="cellIs" priority="24" operator="between" dxfId="10">
      <formula>1</formula>
      <formula>12</formula>
    </cfRule>
  </conditionalFormatting>
  <conditionalFormatting sqref="D2">
    <cfRule type="expression" priority="130" dxfId="9">
      <formula>OR($A2=3, $A2=15, $A2=27, $A2=39, $A2=51, $A2=63, $A2=75, $A2=87, $A2=99, $A2=111, $A2=123, $A2=135)</formula>
    </cfRule>
    <cfRule type="expression" priority="129" dxfId="8">
      <formula>OR($A2=4, $A2=16, $A2=28, $A2=40, $A2=52, $A2=64, $A2=76, $A2=88, $A2=100, $A2=112, $A2=124, $A2=136)</formula>
    </cfRule>
    <cfRule type="expression" priority="128" dxfId="7">
      <formula>OR($A2=5, $A2=17, $A2=29, $A2=41, $A2=53, $A2=65, $A2=77, $A2=89, $A2=101, $A2=113, $A2=125, $A2=137)</formula>
    </cfRule>
    <cfRule type="expression" priority="127" dxfId="6">
      <formula>OR($A2=6, $A2=18, $A2=30, $A2=42, $A2=54, $A2=66, $A2=78, $A2=90, $A2=102, $A2=114, $A2=126, $A2=138)</formula>
    </cfRule>
    <cfRule type="expression" priority="126" dxfId="5">
      <formula>OR($A2=7, $A2=19, $A2=31, $A2=43, $A2=55, $A2=67, $A2=79, $A2=91, $A2=103, $A2=115, $A2=127, $A2=139)</formula>
    </cfRule>
    <cfRule type="expression" priority="131" dxfId="0">
      <formula>OR($A2=2, $A2=14, $A2=26, $A2=38, $A2=50, $A2=62, $A2=74, $A2=86, $A2=98, $A2=110, $A2=122, $A2=134)</formula>
    </cfRule>
    <cfRule type="expression" priority="125" dxfId="4">
      <formula>OR($A2=8, $A2=20, $A2=32, $A2=44, $A2=56, $A2=68, $A2=80, $A2=92, $A2=104, $A2=116, $A2=128, $A2=140)</formula>
    </cfRule>
    <cfRule type="expression" priority="124" dxfId="3">
      <formula>OR($A2=9, $A2=21, $A2=33, $A2=45, $A2=57, $A2=69, $A2=81, $A2=93, $A2=105, $A2=117, $A2=129, $A2=141)</formula>
    </cfRule>
    <cfRule type="expression" priority="123" dxfId="2">
      <formula>OR($A2=10, $A2=22, $A2=34, $A2=46, $A2=58, $A2=70, $A2=82, $A2=94, $A2=106, $A2=118, $A2=130, $A2=142)</formula>
    </cfRule>
    <cfRule type="expression" priority="122" dxfId="1">
      <formula>OR($A2=11, $A2=23, $A2=35, $A2=47, $A2=59, $A2=71, $A2=83, $A2=95, $A2=107, $A2=119, $A2=131, $A2=143)</formula>
    </cfRule>
    <cfRule type="expression" priority="121" dxfId="11">
      <formula>OR($A2=12, $A2=24, $A2=36, $A2=48, $A2=60, $A2=72, $A2=84, $A2=96, $A2=108, $A2=120, $A2=132, $A2=144)</formula>
    </cfRule>
    <cfRule type="expression" priority="132" dxfId="10">
      <formula>OR($A2=1, $A2=13, $A2=25, $A2=37, $A2=49, $A2=61, $A2=73, $A2=85, $A2=97, $A2=109, $A2=121, $A2=133)</formula>
    </cfRule>
  </conditionalFormatting>
  <conditionalFormatting sqref="D15">
    <cfRule type="expression" priority="145" dxfId="11">
      <formula>OR($A15=12, $A15=24, $A15=36, $A15=48, $A15=60, $A15=72, $A15=84, $A15=96, $A15=108, $A15=120, $A15=132, $A15=144)</formula>
    </cfRule>
    <cfRule type="expression" priority="146" dxfId="1">
      <formula>OR($A15=11, $A15=23, $A15=35, $A15=47, $A15=59, $A15=71, $A15=83, $A15=95, $A15=107, $A15=119, $A15=131, $A15=143)</formula>
    </cfRule>
    <cfRule type="expression" priority="147" dxfId="2">
      <formula>OR($A15=10, $A15=22, $A15=34, $A15=46, $A15=58, $A15=70, $A15=82, $A15=94, $A15=106, $A15=118, $A15=130, $A15=142)</formula>
    </cfRule>
    <cfRule type="expression" priority="148" dxfId="3">
      <formula>OR($A15=9, $A15=21, $A15=33, $A15=45, $A15=57, $A15=69, $A15=81, $A15=93, $A15=105, $A15=117, $A15=129, $A15=141)</formula>
    </cfRule>
    <cfRule type="expression" priority="149" dxfId="4">
      <formula>OR($A15=8, $A15=20, $A15=32, $A15=44, $A15=56, $A15=68, $A15=80, $A15=92, $A15=104, $A15=116, $A15=128, $A15=140)</formula>
    </cfRule>
    <cfRule type="expression" priority="150" dxfId="5">
      <formula>OR($A15=7, $A15=19, $A15=31, $A15=43, $A15=55, $A15=67, $A15=79, $A15=91, $A15=103, $A15=115, $A15=127, $A15=139)</formula>
    </cfRule>
    <cfRule type="expression" priority="151" dxfId="6">
      <formula>OR($A15=6, $A15=18, $A15=30, $A15=42, $A15=54, $A15=66, $A15=78, $A15=90, $A15=102, $A15=114, $A15=126, $A15=138)</formula>
    </cfRule>
    <cfRule type="expression" priority="152" dxfId="7">
      <formula>OR($A15=5, $A15=17, $A15=29, $A15=41, $A15=53, $A15=65, $A15=77, $A15=89, $A15=101, $A15=113, $A15=125, $A15=137)</formula>
    </cfRule>
    <cfRule type="expression" priority="153" dxfId="8">
      <formula>OR($A15=4, $A15=16, $A15=28, $A15=40, $A15=52, $A15=64, $A15=76, $A15=88, $A15=100, $A15=112, $A15=124, $A15=136)</formula>
    </cfRule>
    <cfRule type="expression" priority="154" dxfId="9">
      <formula>OR($A15=3, $A15=15, $A15=27, $A15=39, $A15=51, $A15=63, $A15=75, $A15=87, $A15=99, $A15=111, $A15=123, $A15=135)</formula>
    </cfRule>
    <cfRule type="expression" priority="155" dxfId="0">
      <formula>OR($A15=2, $A15=14, $A15=26, $A15=38, $A15=50, $A15=62, $A15=74, $A15=86, $A15=98, $A15=110, $A15=122, $A15=134)</formula>
    </cfRule>
    <cfRule type="expression" priority="156" dxfId="10">
      <formula>OR($A15=1, $A15=13, $A15=25, $A15=37, $A15=49, $A15=61, $A15=73, $A15=85, $A15=97, $A15=109, $A15=121, $A15=133)</formula>
    </cfRule>
  </conditionalFormatting>
  <conditionalFormatting sqref="D28">
    <cfRule type="expression" priority="169" dxfId="11">
      <formula>OR($A28=12, $A28=24, $A28=36, $A28=48, $A28=60, $A28=72, $A28=84, $A28=96, $A28=108, $A28=120, $A28=132, $A28=144)</formula>
    </cfRule>
    <cfRule type="expression" priority="180" dxfId="10">
      <formula>OR($A28=1, $A28=13, $A28=25, $A28=37, $A28=49, $A28=61, $A28=73, $A28=85, $A28=97, $A28=109, $A28=121, $A28=133)</formula>
    </cfRule>
    <cfRule type="expression" priority="179" dxfId="0">
      <formula>OR($A28=2, $A28=14, $A28=26, $A28=38, $A28=50, $A28=62, $A28=74, $A28=86, $A28=98, $A28=110, $A28=122, $A28=134)</formula>
    </cfRule>
    <cfRule type="expression" priority="178" dxfId="9">
      <formula>OR($A28=3, $A28=15, $A28=27, $A28=39, $A28=51, $A28=63, $A28=75, $A28=87, $A28=99, $A28=111, $A28=123, $A28=135)</formula>
    </cfRule>
    <cfRule type="expression" priority="177" dxfId="8">
      <formula>OR($A28=4, $A28=16, $A28=28, $A28=40, $A28=52, $A28=64, $A28=76, $A28=88, $A28=100, $A28=112, $A28=124, $A28=136)</formula>
    </cfRule>
    <cfRule type="expression" priority="176" dxfId="7">
      <formula>OR($A28=5, $A28=17, $A28=29, $A28=41, $A28=53, $A28=65, $A28=77, $A28=89, $A28=101, $A28=113, $A28=125, $A28=137)</formula>
    </cfRule>
    <cfRule type="expression" priority="175" dxfId="6">
      <formula>OR($A28=6, $A28=18, $A28=30, $A28=42, $A28=54, $A28=66, $A28=78, $A28=90, $A28=102, $A28=114, $A28=126, $A28=138)</formula>
    </cfRule>
    <cfRule type="expression" priority="174" dxfId="5">
      <formula>OR($A28=7, $A28=19, $A28=31, $A28=43, $A28=55, $A28=67, $A28=79, $A28=91, $A28=103, $A28=115, $A28=127, $A28=139)</formula>
    </cfRule>
    <cfRule type="expression" priority="173" dxfId="4">
      <formula>OR($A28=8, $A28=20, $A28=32, $A28=44, $A28=56, $A28=68, $A28=80, $A28=92, $A28=104, $A28=116, $A28=128, $A28=140)</formula>
    </cfRule>
    <cfRule type="expression" priority="170" dxfId="1">
      <formula>OR($A28=11, $A28=23, $A28=35, $A28=47, $A28=59, $A28=71, $A28=83, $A28=95, $A28=107, $A28=119, $A28=131, $A28=143)</formula>
    </cfRule>
    <cfRule type="expression" priority="172" dxfId="3">
      <formula>OR($A28=9, $A28=21, $A28=33, $A28=45, $A28=57, $A28=69, $A28=81, $A28=93, $A28=105, $A28=117, $A28=129, $A28=141)</formula>
    </cfRule>
    <cfRule type="expression" priority="171" dxfId="2">
      <formula>OR($A28=10, $A28=22, $A28=34, $A28=46, $A28=58, $A28=70, $A28=82, $A28=94, $A28=106, $A28=118, $A28=130, $A28=142)</formula>
    </cfRule>
  </conditionalFormatting>
  <conditionalFormatting sqref="D41">
    <cfRule type="expression" priority="198" dxfId="5">
      <formula>OR($A41=7, $A41=19, $A41=31, $A41=43, $A41=55, $A41=67, $A41=79, $A41=91, $A41=103, $A41=115, $A41=127, $A41=139)</formula>
    </cfRule>
    <cfRule type="expression" priority="193" dxfId="11">
      <formula>OR($A41=12, $A41=24, $A41=36, $A41=48, $A41=60, $A41=72, $A41=84, $A41=96, $A41=108, $A41=120, $A41=132, $A41=144)</formula>
    </cfRule>
    <cfRule type="expression" priority="194" dxfId="1">
      <formula>OR($A41=11, $A41=23, $A41=35, $A41=47, $A41=59, $A41=71, $A41=83, $A41=95, $A41=107, $A41=119, $A41=131, $A41=143)</formula>
    </cfRule>
    <cfRule type="expression" priority="195" dxfId="2">
      <formula>OR($A41=10, $A41=22, $A41=34, $A41=46, $A41=58, $A41=70, $A41=82, $A41=94, $A41=106, $A41=118, $A41=130, $A41=142)</formula>
    </cfRule>
    <cfRule type="expression" priority="196" dxfId="3">
      <formula>OR($A41=9, $A41=21, $A41=33, $A41=45, $A41=57, $A41=69, $A41=81, $A41=93, $A41=105, $A41=117, $A41=129, $A41=141)</formula>
    </cfRule>
    <cfRule type="expression" priority="197" dxfId="4">
      <formula>OR($A41=8, $A41=20, $A41=32, $A41=44, $A41=56, $A41=68, $A41=80, $A41=92, $A41=104, $A41=116, $A41=128, $A41=140)</formula>
    </cfRule>
    <cfRule type="expression" priority="199" dxfId="6">
      <formula>OR($A41=6, $A41=18, $A41=30, $A41=42, $A41=54, $A41=66, $A41=78, $A41=90, $A41=102, $A41=114, $A41=126, $A41=138)</formula>
    </cfRule>
    <cfRule type="expression" priority="200" dxfId="7">
      <formula>OR($A41=5, $A41=17, $A41=29, $A41=41, $A41=53, $A41=65, $A41=77, $A41=89, $A41=101, $A41=113, $A41=125, $A41=137)</formula>
    </cfRule>
    <cfRule type="expression" priority="201" dxfId="8">
      <formula>OR($A41=4, $A41=16, $A41=28, $A41=40, $A41=52, $A41=64, $A41=76, $A41=88, $A41=100, $A41=112, $A41=124, $A41=136)</formula>
    </cfRule>
    <cfRule type="expression" priority="202" dxfId="9">
      <formula>OR($A41=3, $A41=15, $A41=27, $A41=39, $A41=51, $A41=63, $A41=75, $A41=87, $A41=99, $A41=111, $A41=123, $A41=135)</formula>
    </cfRule>
    <cfRule type="expression" priority="203" dxfId="0">
      <formula>OR($A41=2, $A41=14, $A41=26, $A41=38, $A41=50, $A41=62, $A41=74, $A41=86, $A41=98, $A41=110, $A41=122, $A41=134)</formula>
    </cfRule>
    <cfRule type="expression" priority="204" dxfId="10">
      <formula>OR($A41=1, $A41=13, $A41=25, $A41=37, $A41=49, $A41=61, $A41=73, $A41=85, $A41=97, $A41=109, $A41=121, $A41=133)</formula>
    </cfRule>
  </conditionalFormatting>
  <conditionalFormatting sqref="D54">
    <cfRule type="expression" priority="224" dxfId="7">
      <formula>OR($A54=5, $A54=17, $A54=29, $A54=41, $A54=53, $A54=65, $A54=77, $A54=89, $A54=101, $A54=113, $A54=125, $A54=137)</formula>
    </cfRule>
    <cfRule type="expression" priority="217" dxfId="11">
      <formula>OR($A54=12, $A54=24, $A54=36, $A54=48, $A54=60, $A54=72, $A54=84, $A54=96, $A54=108, $A54=120, $A54=132, $A54=144)</formula>
    </cfRule>
    <cfRule type="expression" priority="227" dxfId="0">
      <formula>OR($A54=2, $A54=14, $A54=26, $A54=38, $A54=50, $A54=62, $A54=74, $A54=86, $A54=98, $A54=110, $A54=122, $A54=134)</formula>
    </cfRule>
    <cfRule type="expression" priority="219" dxfId="2">
      <formula>OR($A54=10, $A54=22, $A54=34, $A54=46, $A54=58, $A54=70, $A54=82, $A54=94, $A54=106, $A54=118, $A54=130, $A54=142)</formula>
    </cfRule>
    <cfRule type="expression" priority="220" dxfId="3">
      <formula>OR($A54=9, $A54=21, $A54=33, $A54=45, $A54=57, $A54=69, $A54=81, $A54=93, $A54=105, $A54=117, $A54=129, $A54=141)</formula>
    </cfRule>
    <cfRule type="expression" priority="221" dxfId="4">
      <formula>OR($A54=8, $A54=20, $A54=32, $A54=44, $A54=56, $A54=68, $A54=80, $A54=92, $A54=104, $A54=116, $A54=128, $A54=140)</formula>
    </cfRule>
    <cfRule type="expression" priority="222" dxfId="5">
      <formula>OR($A54=7, $A54=19, $A54=31, $A54=43, $A54=55, $A54=67, $A54=79, $A54=91, $A54=103, $A54=115, $A54=127, $A54=139)</formula>
    </cfRule>
    <cfRule type="expression" priority="228" dxfId="10">
      <formula>OR($A54=1, $A54=13, $A54=25, $A54=37, $A54=49, $A54=61, $A54=73, $A54=85, $A54=97, $A54=109, $A54=121, $A54=133)</formula>
    </cfRule>
    <cfRule type="expression" priority="225" dxfId="8">
      <formula>OR($A54=4, $A54=16, $A54=28, $A54=40, $A54=52, $A54=64, $A54=76, $A54=88, $A54=100, $A54=112, $A54=124, $A54=136)</formula>
    </cfRule>
    <cfRule type="expression" priority="226" dxfId="9">
      <formula>OR($A54=3, $A54=15, $A54=27, $A54=39, $A54=51, $A54=63, $A54=75, $A54=87, $A54=99, $A54=111, $A54=123, $A54=135)</formula>
    </cfRule>
    <cfRule type="expression" priority="218" dxfId="1">
      <formula>OR($A54=11, $A54=23, $A54=35, $A54=47, $A54=59, $A54=71, $A54=83, $A54=95, $A54=107, $A54=119, $A54=131, $A54=143)</formula>
    </cfRule>
    <cfRule type="expression" priority="223" dxfId="6">
      <formula>OR($A54=6, $A54=18, $A54=30, $A54=42, $A54=54, $A54=66, $A54=78, $A54=90, $A54=102, $A54=114, $A54=126, $A54=138)</formula>
    </cfRule>
  </conditionalFormatting>
  <conditionalFormatting sqref="D67">
    <cfRule type="expression" priority="246" dxfId="5">
      <formula>OR($A67=7, $A67=19, $A67=31, $A67=43, $A67=55, $A67=67, $A67=79, $A67=91, $A67=103, $A67=115, $A67=127, $A67=139)</formula>
    </cfRule>
    <cfRule type="expression" priority="245" dxfId="4">
      <formula>OR($A67=8, $A67=20, $A67=32, $A67=44, $A67=56, $A67=68, $A67=80, $A67=92, $A67=104, $A67=116, $A67=128, $A67=140)</formula>
    </cfRule>
    <cfRule type="expression" priority="244" dxfId="3">
      <formula>OR($A67=9, $A67=21, $A67=33, $A67=45, $A67=57, $A67=69, $A67=81, $A67=93, $A67=105, $A67=117, $A67=129, $A67=141)</formula>
    </cfRule>
    <cfRule type="expression" priority="243" dxfId="2">
      <formula>OR($A67=10, $A67=22, $A67=34, $A67=46, $A67=58, $A67=70, $A67=82, $A67=94, $A67=106, $A67=118, $A67=130, $A67=142)</formula>
    </cfRule>
    <cfRule type="expression" priority="242" dxfId="1">
      <formula>OR($A67=11, $A67=23, $A67=35, $A67=47, $A67=59, $A67=71, $A67=83, $A67=95, $A67=107, $A67=119, $A67=131, $A67=143)</formula>
    </cfRule>
    <cfRule type="expression" priority="241" dxfId="11">
      <formula>OR($A67=12, $A67=24, $A67=36, $A67=48, $A67=60, $A67=72, $A67=84, $A67=96, $A67=108, $A67=120, $A67=132, $A67=144)</formula>
    </cfRule>
    <cfRule type="expression" priority="252" dxfId="10">
      <formula>OR($A67=1, $A67=13, $A67=25, $A67=37, $A67=49, $A67=61, $A67=73, $A67=85, $A67=97, $A67=109, $A67=121, $A67=133)</formula>
    </cfRule>
    <cfRule type="expression" priority="251" dxfId="0">
      <formula>OR($A67=2, $A67=14, $A67=26, $A67=38, $A67=50, $A67=62, $A67=74, $A67=86, $A67=98, $A67=110, $A67=122, $A67=134)</formula>
    </cfRule>
    <cfRule type="expression" priority="250" dxfId="9">
      <formula>OR($A67=3, $A67=15, $A67=27, $A67=39, $A67=51, $A67=63, $A67=75, $A67=87, $A67=99, $A67=111, $A67=123, $A67=135)</formula>
    </cfRule>
    <cfRule type="expression" priority="249" dxfId="8">
      <formula>OR($A67=4, $A67=16, $A67=28, $A67=40, $A67=52, $A67=64, $A67=76, $A67=88, $A67=100, $A67=112, $A67=124, $A67=136)</formula>
    </cfRule>
    <cfRule type="expression" priority="248" dxfId="7">
      <formula>OR($A67=5, $A67=17, $A67=29, $A67=41, $A67=53, $A67=65, $A67=77, $A67=89, $A67=101, $A67=113, $A67=125, $A67=137)</formula>
    </cfRule>
    <cfRule type="expression" priority="247" dxfId="6">
      <formula>OR($A67=6, $A67=18, $A67=30, $A67=42, $A67=54, $A67=66, $A67=78, $A67=90, $A67=102, $A67=114, $A67=126, $A67=138)</formula>
    </cfRule>
  </conditionalFormatting>
  <conditionalFormatting sqref="D79">
    <cfRule type="expression" priority="108" dxfId="10">
      <formula>OR($A79=1, $A79=13, $A79=25, $A79=37, $A79=49, $A79=61, $A79=73, $A79=85, $A79=97, $A79=109, $A79=121, $A79=133)</formula>
    </cfRule>
    <cfRule type="expression" priority="107" dxfId="0">
      <formula>OR($A79=2, $A79=14, $A79=26, $A79=38, $A79=50, $A79=62, $A79=74, $A79=86, $A79=98, $A79=110, $A79=122, $A79=134)</formula>
    </cfRule>
    <cfRule type="expression" priority="106" dxfId="9">
      <formula>OR($A79=3, $A79=15, $A79=27, $A79=39, $A79=51, $A79=63, $A79=75, $A79=87, $A79=99, $A79=111, $A79=123, $A79=135)</formula>
    </cfRule>
    <cfRule type="expression" priority="105" dxfId="8">
      <formula>OR($A79=4, $A79=16, $A79=28, $A79=40, $A79=52, $A79=64, $A79=76, $A79=88, $A79=100, $A79=112, $A79=124, $A79=136)</formula>
    </cfRule>
    <cfRule type="expression" priority="104" dxfId="7">
      <formula>OR($A79=5, $A79=17, $A79=29, $A79=41, $A79=53, $A79=65, $A79=77, $A79=89, $A79=101, $A79=113, $A79=125, $A79=137)</formula>
    </cfRule>
    <cfRule type="expression" priority="103" dxfId="6">
      <formula>OR($A79=6, $A79=18, $A79=30, $A79=42, $A79=54, $A79=66, $A79=78, $A79=90, $A79=102, $A79=114, $A79=126, $A79=138)</formula>
    </cfRule>
    <cfRule type="expression" priority="97" dxfId="11">
      <formula>OR($A79=12, $A79=24, $A79=36, $A79=48, $A79=60, $A79=72, $A79=84, $A79=96, $A79=108, $A79=120, $A79=132, $A79=144)</formula>
    </cfRule>
    <cfRule type="expression" priority="100" dxfId="3">
      <formula>OR($A79=9, $A79=21, $A79=33, $A79=45, $A79=57, $A79=69, $A79=81, $A79=93, $A79=105, $A79=117, $A79=129, $A79=141)</formula>
    </cfRule>
    <cfRule type="expression" priority="98" dxfId="1">
      <formula>OR($A79=11, $A79=23, $A79=35, $A79=47, $A79=59, $A79=71, $A79=83, $A79=95, $A79=107, $A79=119, $A79=131, $A79=143)</formula>
    </cfRule>
    <cfRule type="expression" priority="101" dxfId="4">
      <formula>OR($A79=8, $A79=20, $A79=32, $A79=44, $A79=56, $A79=68, $A79=80, $A79=92, $A79=104, $A79=116, $A79=128, $A79=140)</formula>
    </cfRule>
    <cfRule type="expression" priority="102" dxfId="5">
      <formula>OR($A79=7, $A79=19, $A79=31, $A79=43, $A79=55, $A79=67, $A79=79, $A79=91, $A79=103, $A79=115, $A79=127, $A79=139)</formula>
    </cfRule>
    <cfRule type="expression" priority="99" dxfId="2">
      <formula>OR($A79=10, $A79=22, $A79=34, $A79=46, $A79=58, $A79=70, $A79=82, $A79=94, $A79=106, $A79=118, $A79=130, $A79=142)</formula>
    </cfRule>
  </conditionalFormatting>
  <conditionalFormatting sqref="D91">
    <cfRule type="expression" priority="78" dxfId="5">
      <formula>OR($A91=7, $A91=19, $A91=31, $A91=43, $A91=55, $A91=67, $A91=79, $A91=91, $A91=103, $A91=115, $A91=127, $A91=139)</formula>
    </cfRule>
    <cfRule type="expression" priority="81" dxfId="8">
      <formula>OR($A91=4, $A91=16, $A91=28, $A91=40, $A91=52, $A91=64, $A91=76, $A91=88, $A91=100, $A91=112, $A91=124, $A91=136)</formula>
    </cfRule>
    <cfRule type="expression" priority="73" dxfId="11">
      <formula>OR($A91=12, $A91=24, $A91=36, $A91=48, $A91=60, $A91=72, $A91=84, $A91=96, $A91=108, $A91=120, $A91=132, $A91=144)</formula>
    </cfRule>
    <cfRule type="expression" priority="77" dxfId="4">
      <formula>OR($A91=8, $A91=20, $A91=32, $A91=44, $A91=56, $A91=68, $A91=80, $A91=92, $A91=104, $A91=116, $A91=128, $A91=140)</formula>
    </cfRule>
    <cfRule type="expression" priority="76" dxfId="3">
      <formula>OR($A91=9, $A91=21, $A91=33, $A91=45, $A91=57, $A91=69, $A91=81, $A91=93, $A91=105, $A91=117, $A91=129, $A91=141)</formula>
    </cfRule>
    <cfRule type="expression" priority="75" dxfId="2">
      <formula>OR($A91=10, $A91=22, $A91=34, $A91=46, $A91=58, $A91=70, $A91=82, $A91=94, $A91=106, $A91=118, $A91=130, $A91=142)</formula>
    </cfRule>
    <cfRule type="expression" priority="74" dxfId="1">
      <formula>OR($A91=11, $A91=23, $A91=35, $A91=47, $A91=59, $A91=71, $A91=83, $A91=95, $A91=107, $A91=119, $A91=131, $A91=143)</formula>
    </cfRule>
    <cfRule type="expression" priority="84" dxfId="10">
      <formula>OR($A91=1, $A91=13, $A91=25, $A91=37, $A91=49, $A91=61, $A91=73, $A91=85, $A91=97, $A91=109, $A91=121, $A91=133)</formula>
    </cfRule>
    <cfRule type="expression" priority="83" dxfId="0">
      <formula>OR($A91=2, $A91=14, $A91=26, $A91=38, $A91=50, $A91=62, $A91=74, $A91=86, $A91=98, $A91=110, $A91=122, $A91=134)</formula>
    </cfRule>
    <cfRule type="expression" priority="82" dxfId="9">
      <formula>OR($A91=3, $A91=15, $A91=27, $A91=39, $A91=51, $A91=63, $A91=75, $A91=87, $A91=99, $A91=111, $A91=123, $A91=135)</formula>
    </cfRule>
    <cfRule type="expression" priority="80" dxfId="7">
      <formula>OR($A91=5, $A91=17, $A91=29, $A91=41, $A91=53, $A91=65, $A91=77, $A91=89, $A91=101, $A91=113, $A91=125, $A91=137)</formula>
    </cfRule>
    <cfRule type="expression" priority="79" dxfId="6">
      <formula>OR($A91=6, $A91=18, $A91=30, $A91=42, $A91=54, $A91=66, $A91=78, $A91=90, $A91=102, $A91=114, $A91=126, $A91=138)</formula>
    </cfRule>
  </conditionalFormatting>
  <conditionalFormatting sqref="D103">
    <cfRule type="expression" priority="51" dxfId="2">
      <formula>OR($A103=10, $A103=22, $A103=34, $A103=46, $A103=58, $A103=70, $A103=82, $A103=94, $A103=106, $A103=118, $A103=130, $A103=142)</formula>
    </cfRule>
    <cfRule type="expression" priority="55" dxfId="6">
      <formula>OR($A103=6, $A103=18, $A103=30, $A103=42, $A103=54, $A103=66, $A103=78, $A103=90, $A103=102, $A103=114, $A103=126, $A103=138)</formula>
    </cfRule>
    <cfRule type="expression" priority="60" dxfId="10">
      <formula>OR($A103=1, $A103=13, $A103=25, $A103=37, $A103=49, $A103=61, $A103=73, $A103=85, $A103=97, $A103=109, $A103=121, $A103=133)</formula>
    </cfRule>
    <cfRule type="expression" priority="59" dxfId="0">
      <formula>OR($A103=2, $A103=14, $A103=26, $A103=38, $A103=50, $A103=62, $A103=74, $A103=86, $A103=98, $A103=110, $A103=122, $A103=134)</formula>
    </cfRule>
    <cfRule type="expression" priority="56" dxfId="7">
      <formula>OR($A103=5, $A103=17, $A103=29, $A103=41, $A103=53, $A103=65, $A103=77, $A103=89, $A103=101, $A103=113, $A103=125, $A103=137)</formula>
    </cfRule>
    <cfRule type="expression" priority="57" dxfId="8">
      <formula>OR($A103=4, $A103=16, $A103=28, $A103=40, $A103=52, $A103=64, $A103=76, $A103=88, $A103=100, $A103=112, $A103=124, $A103=136)</formula>
    </cfRule>
    <cfRule type="expression" priority="58" dxfId="9">
      <formula>OR($A103=3, $A103=15, $A103=27, $A103=39, $A103=51, $A103=63, $A103=75, $A103=87, $A103=99, $A103=111, $A103=123, $A103=135)</formula>
    </cfRule>
    <cfRule type="expression" priority="49" dxfId="11">
      <formula>OR($A103=12, $A103=24, $A103=36, $A103=48, $A103=60, $A103=72, $A103=84, $A103=96, $A103=108, $A103=120, $A103=132, $A103=144)</formula>
    </cfRule>
    <cfRule type="expression" priority="52" dxfId="3">
      <formula>OR($A103=9, $A103=21, $A103=33, $A103=45, $A103=57, $A103=69, $A103=81, $A103=93, $A103=105, $A103=117, $A103=129, $A103=141)</formula>
    </cfRule>
    <cfRule type="expression" priority="53" dxfId="4">
      <formula>OR($A103=8, $A103=20, $A103=32, $A103=44, $A103=56, $A103=68, $A103=80, $A103=92, $A103=104, $A103=116, $A103=128, $A103=140)</formula>
    </cfRule>
    <cfRule type="expression" priority="54" dxfId="5">
      <formula>OR($A103=7, $A103=19, $A103=31, $A103=43, $A103=55, $A103=67, $A103=79, $A103=91, $A103=103, $A103=115, $A103=127, $A103=139)</formula>
    </cfRule>
    <cfRule type="expression" priority="50" dxfId="1">
      <formula>OR($A103=11, $A103=23, $A103=35, $A103=47, $A103=59, $A103=71, $A103=83, $A103=95, $A103=107, $A103=119, $A103=131, $A103=143)</formula>
    </cfRule>
  </conditionalFormatting>
  <conditionalFormatting sqref="D115">
    <cfRule type="expression" priority="29" dxfId="4">
      <formula>OR($A115=8, $A115=20, $A115=32, $A115=44, $A115=56, $A115=68, $A115=80, $A115=92, $A115=104, $A115=116, $A115=128, $A115=140)</formula>
    </cfRule>
    <cfRule type="expression" priority="30" dxfId="5">
      <formula>OR($A115=7, $A115=19, $A115=31, $A115=43, $A115=55, $A115=67, $A115=79, $A115=91, $A115=103, $A115=115, $A115=127, $A115=139)</formula>
    </cfRule>
    <cfRule type="expression" priority="31" dxfId="6">
      <formula>OR($A115=6, $A115=18, $A115=30, $A115=42, $A115=54, $A115=66, $A115=78, $A115=90, $A115=102, $A115=114, $A115=126, $A115=138)</formula>
    </cfRule>
    <cfRule type="expression" priority="26" dxfId="1">
      <formula>OR($A115=11, $A115=23, $A115=35, $A115=47, $A115=59, $A115=71, $A115=83, $A115=95, $A115=107, $A115=119, $A115=131, $A115=143)</formula>
    </cfRule>
    <cfRule type="expression" priority="27" dxfId="2">
      <formula>OR($A115=10, $A115=22, $A115=34, $A115=46, $A115=58, $A115=70, $A115=82, $A115=94, $A115=106, $A115=118, $A115=130, $A115=142)</formula>
    </cfRule>
    <cfRule type="expression" priority="34" dxfId="9">
      <formula>OR($A115=3, $A115=15, $A115=27, $A115=39, $A115=51, $A115=63, $A115=75, $A115=87, $A115=99, $A115=111, $A115=123, $A115=135)</formula>
    </cfRule>
    <cfRule type="expression" priority="28" dxfId="3">
      <formula>OR($A115=9, $A115=21, $A115=33, $A115=45, $A115=57, $A115=69, $A115=81, $A115=93, $A115=105, $A115=117, $A115=129, $A115=141)</formula>
    </cfRule>
    <cfRule type="expression" priority="32" dxfId="7">
      <formula>OR($A115=5, $A115=17, $A115=29, $A115=41, $A115=53, $A115=65, $A115=77, $A115=89, $A115=101, $A115=113, $A115=125, $A115=137)</formula>
    </cfRule>
    <cfRule type="expression" priority="33" dxfId="8">
      <formula>OR($A115=4, $A115=16, $A115=28, $A115=40, $A115=52, $A115=64, $A115=76, $A115=88, $A115=100, $A115=112, $A115=124, $A115=136)</formula>
    </cfRule>
    <cfRule type="expression" priority="35" dxfId="0">
      <formula>OR($A115=2, $A115=14, $A115=26, $A115=38, $A115=50, $A115=62, $A115=74, $A115=86, $A115=98, $A115=110, $A115=122, $A115=134)</formula>
    </cfRule>
    <cfRule type="expression" priority="36" dxfId="10">
      <formula>OR($A115=1, $A115=13, $A115=25, $A115=37, $A115=49, $A115=61, $A115=73, $A115=85, $A115=97, $A115=109, $A115=121, $A115=133)</formula>
    </cfRule>
    <cfRule type="expression" priority="25" dxfId="11">
      <formula>OR($A115=12, $A115=24, $A115=36, $A115=48, $A115=60, $A115=72, $A115=84, $A115=96, $A115=108, $A115=120, $A115=132, $A115=144)</formula>
    </cfRule>
  </conditionalFormatting>
  <conditionalFormatting sqref="D127">
    <cfRule type="expression" priority="1" dxfId="11">
      <formula>OR($A127=12, $A127=24, $A127=36, $A127=48, $A127=60, $A127=72, $A127=84, $A127=96, $A127=108, $A127=120, $A127=132, $A127=144)</formula>
    </cfRule>
    <cfRule type="expression" priority="12" dxfId="10">
      <formula>OR($A127=1, $A127=13, $A127=25, $A127=37, $A127=49, $A127=61, $A127=73, $A127=85, $A127=97, $A127=109, $A127=121, $A127=133)</formula>
    </cfRule>
    <cfRule type="expression" priority="10" dxfId="9">
      <formula>OR($A127=3, $A127=15, $A127=27, $A127=39, $A127=51, $A127=63, $A127=75, $A127=87, $A127=99, $A127=111, $A127=123, $A127=135)</formula>
    </cfRule>
    <cfRule type="expression" priority="9" dxfId="8">
      <formula>OR($A127=4, $A127=16, $A127=28, $A127=40, $A127=52, $A127=64, $A127=76, $A127=88, $A127=100, $A127=112, $A127=124, $A127=136)</formula>
    </cfRule>
    <cfRule type="expression" priority="8" dxfId="7">
      <formula>OR($A127=5, $A127=17, $A127=29, $A127=41, $A127=53, $A127=65, $A127=77, $A127=89, $A127=101, $A127=113, $A127=125, $A127=137)</formula>
    </cfRule>
    <cfRule type="expression" priority="7" dxfId="6">
      <formula>OR($A127=6, $A127=18, $A127=30, $A127=42, $A127=54, $A127=66, $A127=78, $A127=90, $A127=102, $A127=114, $A127=126, $A127=138)</formula>
    </cfRule>
    <cfRule type="expression" priority="6" dxfId="5">
      <formula>OR($A127=7, $A127=19, $A127=31, $A127=43, $A127=55, $A127=67, $A127=79, $A127=91, $A127=103, $A127=115, $A127=127, $A127=139)</formula>
    </cfRule>
    <cfRule type="expression" priority="5" dxfId="4">
      <formula>OR($A127=8, $A127=20, $A127=32, $A127=44, $A127=56, $A127=68, $A127=80, $A127=92, $A127=104, $A127=116, $A127=128, $A127=140)</formula>
    </cfRule>
    <cfRule type="expression" priority="4" dxfId="3">
      <formula>OR($A127=9, $A127=21, $A127=33, $A127=45, $A127=57, $A127=69, $A127=81, $A127=93, $A127=105, $A127=117, $A127=129, $A127=141)</formula>
    </cfRule>
    <cfRule type="expression" priority="3" dxfId="2">
      <formula>OR($A127=10, $A127=22, $A127=34, $A127=46, $A127=58, $A127=70, $A127=82, $A127=94, $A127=106, $A127=118, $A127=130, $A127=142)</formula>
    </cfRule>
    <cfRule type="expression" priority="2" dxfId="1">
      <formula>OR($A127=11, $A127=23, $A127=35, $A127=47, $A127=59, $A127=71, $A127=83, $A127=95, $A127=107, $A127=119, $A127=131, $A127=143)</formula>
    </cfRule>
    <cfRule type="expression" priority="11" dxfId="0">
      <formula>OR($A127=2, $A127=14, $A127=26, $A127=38, $A127=50, $A127=62, $A127=74, $A127=86, $A127=98, $A127=110, $A127=122, $A127=134)</formula>
    </cfRule>
  </conditionalFormatting>
  <pageMargins left="0.7" right="0.7" top="0.75" bottom="0.75" header="0.3" footer="0.3"/>
  <pageSetup orientation="portrait" paperSize="9"/>
</worksheet>
</file>

<file path=xl/worksheets/sheet12.xml><?xml version="1.0" encoding="utf-8"?>
<worksheet xmlns="http://schemas.openxmlformats.org/spreadsheetml/2006/main">
  <sheetPr codeName="Sheet13">
    <outlinePr summaryBelow="1" summaryRight="1"/>
    <pageSetUpPr/>
  </sheetPr>
  <dimension ref="A1:H1500"/>
  <sheetViews>
    <sheetView workbookViewId="0">
      <selection activeCell="A2" sqref="A2"/>
    </sheetView>
  </sheetViews>
  <sheetFormatPr baseColWidth="8" defaultColWidth="9.140625" defaultRowHeight="15"/>
  <cols>
    <col width="28.7109375" customWidth="1" style="773" min="1" max="1"/>
    <col width="10.28515625" bestFit="1" customWidth="1" style="192" min="2" max="2"/>
    <col width="21.28515625" customWidth="1" style="192" min="3" max="3"/>
    <col width="11.5703125" bestFit="1" customWidth="1" style="192" min="4" max="4"/>
    <col width="15.7109375" customWidth="1" style="192" min="5" max="5"/>
    <col width="28.85546875" bestFit="1" customWidth="1" style="192" min="6" max="6"/>
    <col width="16.85546875" customWidth="1" style="192" min="7" max="7"/>
    <col width="17" customWidth="1" style="192" min="8" max="8"/>
    <col width="9.140625" customWidth="1" style="192" min="9" max="16384"/>
  </cols>
  <sheetData>
    <row r="1" ht="15.75" customHeight="1">
      <c r="A1" s="634" t="inlineStr">
        <is>
          <t>ADDRESS</t>
        </is>
      </c>
      <c r="B1" s="634" t="inlineStr">
        <is>
          <t>UNIT</t>
        </is>
      </c>
      <c r="C1" s="634" t="inlineStr">
        <is>
          <t>City</t>
        </is>
      </c>
      <c r="D1" s="634" t="inlineStr">
        <is>
          <t>STATE</t>
        </is>
      </c>
      <c r="E1" s="634" t="inlineStr">
        <is>
          <t>ZIP</t>
        </is>
      </c>
      <c r="F1" s="634" t="inlineStr">
        <is>
          <t>BUSINESS/RESIDENTIAL</t>
        </is>
      </c>
      <c r="G1" s="634" t="inlineStr">
        <is>
          <t>House Type</t>
        </is>
      </c>
      <c r="H1" s="634" t="inlineStr">
        <is>
          <t>Servicablity</t>
        </is>
      </c>
    </row>
    <row r="2">
      <c r="A2" s="1165">
        <f>'House Count'!A2</f>
        <v/>
      </c>
      <c r="B2" s="1166">
        <f>'House Count'!E2</f>
        <v/>
      </c>
      <c r="C2" s="1166">
        <f>'House Count'!B2</f>
        <v/>
      </c>
      <c r="D2" s="1166">
        <f>'House Count'!C2</f>
        <v/>
      </c>
      <c r="E2" s="1166">
        <f>'House Count'!D2</f>
        <v/>
      </c>
      <c r="F2" s="1166">
        <f>IF(G2="RES-SFU","RESIDENTIAL",IF(G2="RES-HOA","RESIDENTIAL",IF(G2="RES-MDU","RESIDENTIAL",IF(G2="COMM-SU","BUSINESS",IF(G2="COM-MTU","BUSINESS",IF(G2="ENT","BUSINESS",""))))))</f>
        <v/>
      </c>
      <c r="G2" s="1166">
        <f>'House Count'!F2</f>
        <v/>
      </c>
      <c r="H2" s="1166">
        <f>'House Count'!H2</f>
        <v/>
      </c>
    </row>
    <row r="3">
      <c r="A3" s="1165">
        <f>'House Count'!A3</f>
        <v/>
      </c>
      <c r="B3" s="1166">
        <f>'House Count'!E3</f>
        <v/>
      </c>
      <c r="C3" s="1166">
        <f>'House Count'!B3</f>
        <v/>
      </c>
      <c r="D3" s="1166">
        <f>'House Count'!C3</f>
        <v/>
      </c>
      <c r="E3" s="1166">
        <f>'House Count'!D3</f>
        <v/>
      </c>
      <c r="F3" s="1166">
        <f>IF(G3="RES-SFU","RESIDENTIAL",IF(G3="RES-HOA","RESIDENTIAL",IF(G3="RES-MDU","RESIDENTIAL",IF(G3="COMM-SU","BUSINESS",IF(G3="COM-MTU","BUSINESS",IF(G3="ENT","BUSINESS",""))))))</f>
        <v/>
      </c>
      <c r="G3" s="1166">
        <f>'House Count'!F3</f>
        <v/>
      </c>
      <c r="H3" s="1166">
        <f>'House Count'!H3</f>
        <v/>
      </c>
    </row>
    <row r="4">
      <c r="A4" s="1165">
        <f>'House Count'!A4</f>
        <v/>
      </c>
      <c r="B4" s="1166">
        <f>'House Count'!E4</f>
        <v/>
      </c>
      <c r="C4" s="1166">
        <f>'House Count'!B4</f>
        <v/>
      </c>
      <c r="D4" s="1166">
        <f>'House Count'!C4</f>
        <v/>
      </c>
      <c r="E4" s="1166">
        <f>'House Count'!D4</f>
        <v/>
      </c>
      <c r="F4" s="1166">
        <f>IF(G4="RES-SFU","RESIDENTIAL",IF(G4="RES-HOA","RESIDENTIAL",IF(G4="RES-MDU","RESIDENTIAL",IF(G4="COMM-SU","BUSINESS",IF(G4="COM-MTU","BUSINESS",IF(G4="ENT","BUSINESS",""))))))</f>
        <v/>
      </c>
      <c r="G4" s="1166">
        <f>'House Count'!F4</f>
        <v/>
      </c>
      <c r="H4" s="1166">
        <f>'House Count'!H4</f>
        <v/>
      </c>
    </row>
    <row r="5">
      <c r="A5" s="1165">
        <f>'House Count'!A5</f>
        <v/>
      </c>
      <c r="B5" s="1166">
        <f>'House Count'!E5</f>
        <v/>
      </c>
      <c r="C5" s="1166">
        <f>'House Count'!B5</f>
        <v/>
      </c>
      <c r="D5" s="1166">
        <f>'House Count'!C5</f>
        <v/>
      </c>
      <c r="E5" s="1166">
        <f>'House Count'!D5</f>
        <v/>
      </c>
      <c r="F5" s="1166">
        <f>IF(G5="RES-SFU","RESIDENTIAL",IF(G5="RES-HOA","RESIDENTIAL",IF(G5="RES-MDU","RESIDENTIAL",IF(G5="COMM-SU","BUSINESS",IF(G5="COM-MTU","BUSINESS",IF(G5="ENT","BUSINESS",""))))))</f>
        <v/>
      </c>
      <c r="G5" s="1166">
        <f>'House Count'!F5</f>
        <v/>
      </c>
      <c r="H5" s="1166">
        <f>'House Count'!H5</f>
        <v/>
      </c>
    </row>
    <row r="6">
      <c r="A6" s="1165">
        <f>'House Count'!A6</f>
        <v/>
      </c>
      <c r="B6" s="1166">
        <f>'House Count'!E6</f>
        <v/>
      </c>
      <c r="C6" s="1166">
        <f>'House Count'!B6</f>
        <v/>
      </c>
      <c r="D6" s="1166">
        <f>'House Count'!C6</f>
        <v/>
      </c>
      <c r="E6" s="1166">
        <f>'House Count'!D6</f>
        <v/>
      </c>
      <c r="F6" s="1166">
        <f>IF(G6="RES-SFU","RESIDENTIAL",IF(G6="RES-HOA","RESIDENTIAL",IF(G6="RES-MDU","RESIDENTIAL",IF(G6="COMM-SU","BUSINESS",IF(G6="COM-MTU","BUSINESS",IF(G6="ENT","BUSINESS",""))))))</f>
        <v/>
      </c>
      <c r="G6" s="1166">
        <f>'House Count'!F6</f>
        <v/>
      </c>
      <c r="H6" s="1166">
        <f>'House Count'!H6</f>
        <v/>
      </c>
    </row>
    <row r="7">
      <c r="A7" s="1165">
        <f>'House Count'!A7</f>
        <v/>
      </c>
      <c r="B7" s="1166">
        <f>'House Count'!E7</f>
        <v/>
      </c>
      <c r="C7" s="1166">
        <f>'House Count'!B7</f>
        <v/>
      </c>
      <c r="D7" s="1166">
        <f>'House Count'!C7</f>
        <v/>
      </c>
      <c r="E7" s="1166">
        <f>'House Count'!D7</f>
        <v/>
      </c>
      <c r="F7" s="1166">
        <f>IF(G7="RES-SFU","RESIDENTIAL",IF(G7="RES-HOA","RESIDENTIAL",IF(G7="RES-MDU","RESIDENTIAL",IF(G7="COMM-SU","BUSINESS",IF(G7="COM-MTU","BUSINESS",IF(G7="ENT","BUSINESS",""))))))</f>
        <v/>
      </c>
      <c r="G7" s="1166">
        <f>'House Count'!F7</f>
        <v/>
      </c>
      <c r="H7" s="1166">
        <f>'House Count'!H7</f>
        <v/>
      </c>
    </row>
    <row r="8">
      <c r="A8" s="1165">
        <f>'House Count'!A8</f>
        <v/>
      </c>
      <c r="B8" s="1166">
        <f>'House Count'!E8</f>
        <v/>
      </c>
      <c r="C8" s="1166">
        <f>'House Count'!B8</f>
        <v/>
      </c>
      <c r="D8" s="1166">
        <f>'House Count'!C8</f>
        <v/>
      </c>
      <c r="E8" s="1166">
        <f>'House Count'!D8</f>
        <v/>
      </c>
      <c r="F8" s="1166">
        <f>IF(G8="RES-SFU","RESIDENTIAL",IF(G8="RES-HOA","RESIDENTIAL",IF(G8="RES-MDU","RESIDENTIAL",IF(G8="COMM-SU","BUSINESS",IF(G8="COM-MTU","BUSINESS",IF(G8="ENT","BUSINESS",""))))))</f>
        <v/>
      </c>
      <c r="G8" s="1166">
        <f>'House Count'!F8</f>
        <v/>
      </c>
      <c r="H8" s="1166">
        <f>'House Count'!H8</f>
        <v/>
      </c>
    </row>
    <row r="9">
      <c r="A9" s="1165">
        <f>'House Count'!A9</f>
        <v/>
      </c>
      <c r="B9" s="1166">
        <f>'House Count'!E9</f>
        <v/>
      </c>
      <c r="C9" s="1166">
        <f>'House Count'!B9</f>
        <v/>
      </c>
      <c r="D9" s="1166">
        <f>'House Count'!C9</f>
        <v/>
      </c>
      <c r="E9" s="1166">
        <f>'House Count'!D9</f>
        <v/>
      </c>
      <c r="F9" s="1166">
        <f>IF(G9="RES-SFU","RESIDENTIAL",IF(G9="RES-HOA","RESIDENTIAL",IF(G9="RES-MDU","RESIDENTIAL",IF(G9="COMM-SU","BUSINESS",IF(G9="COM-MTU","BUSINESS",IF(G9="ENT","BUSINESS",""))))))</f>
        <v/>
      </c>
      <c r="G9" s="1166">
        <f>'House Count'!F9</f>
        <v/>
      </c>
      <c r="H9" s="1166">
        <f>'House Count'!H9</f>
        <v/>
      </c>
    </row>
    <row r="10">
      <c r="A10" s="1165">
        <f>'House Count'!A10</f>
        <v/>
      </c>
      <c r="B10" s="1166">
        <f>'House Count'!E10</f>
        <v/>
      </c>
      <c r="C10" s="1166">
        <f>'House Count'!B10</f>
        <v/>
      </c>
      <c r="D10" s="1166">
        <f>'House Count'!C10</f>
        <v/>
      </c>
      <c r="E10" s="1166">
        <f>'House Count'!D10</f>
        <v/>
      </c>
      <c r="F10" s="1166">
        <f>IF(G10="RES-SFU","RESIDENTIAL",IF(G10="RES-HOA","RESIDENTIAL",IF(G10="RES-MDU","RESIDENTIAL",IF(G10="COMM-SU","BUSINESS",IF(G10="COM-MTU","BUSINESS",IF(G10="ENT","BUSINESS",""))))))</f>
        <v/>
      </c>
      <c r="G10" s="1166">
        <f>'House Count'!F10</f>
        <v/>
      </c>
      <c r="H10" s="1166">
        <f>'House Count'!H10</f>
        <v/>
      </c>
    </row>
    <row r="11">
      <c r="A11" s="1165">
        <f>'House Count'!A11</f>
        <v/>
      </c>
      <c r="B11" s="1166">
        <f>'House Count'!E11</f>
        <v/>
      </c>
      <c r="C11" s="1166">
        <f>'House Count'!B11</f>
        <v/>
      </c>
      <c r="D11" s="1166">
        <f>'House Count'!C11</f>
        <v/>
      </c>
      <c r="E11" s="1166">
        <f>'House Count'!D11</f>
        <v/>
      </c>
      <c r="F11" s="1166">
        <f>IF(G11="RES-SFU","RESIDENTIAL",IF(G11="RES-HOA","RESIDENTIAL",IF(G11="RES-MDU","RESIDENTIAL",IF(G11="COMM-SU","BUSINESS",IF(G11="COM-MTU","BUSINESS",IF(G11="ENT","BUSINESS",""))))))</f>
        <v/>
      </c>
      <c r="G11" s="1166">
        <f>'House Count'!F11</f>
        <v/>
      </c>
      <c r="H11" s="1166">
        <f>'House Count'!H11</f>
        <v/>
      </c>
    </row>
    <row r="12">
      <c r="A12" s="1165">
        <f>'House Count'!A12</f>
        <v/>
      </c>
      <c r="B12" s="1166">
        <f>'House Count'!E12</f>
        <v/>
      </c>
      <c r="C12" s="1166">
        <f>'House Count'!B12</f>
        <v/>
      </c>
      <c r="D12" s="1166">
        <f>'House Count'!C12</f>
        <v/>
      </c>
      <c r="E12" s="1166">
        <f>'House Count'!D12</f>
        <v/>
      </c>
      <c r="F12" s="1166">
        <f>IF(G12="RES-SFU","RESIDENTIAL",IF(G12="RES-HOA","RESIDENTIAL",IF(G12="RES-MDU","RESIDENTIAL",IF(G12="COMM-SU","BUSINESS",IF(G12="COM-MTU","BUSINESS",IF(G12="ENT","BUSINESS",""))))))</f>
        <v/>
      </c>
      <c r="G12" s="1166">
        <f>'House Count'!F12</f>
        <v/>
      </c>
      <c r="H12" s="1166">
        <f>'House Count'!H12</f>
        <v/>
      </c>
    </row>
    <row r="13">
      <c r="A13" s="1165">
        <f>'House Count'!A13</f>
        <v/>
      </c>
      <c r="B13" s="1166">
        <f>'House Count'!E13</f>
        <v/>
      </c>
      <c r="C13" s="1166">
        <f>'House Count'!B13</f>
        <v/>
      </c>
      <c r="D13" s="1166">
        <f>'House Count'!C13</f>
        <v/>
      </c>
      <c r="E13" s="1166">
        <f>'House Count'!D13</f>
        <v/>
      </c>
      <c r="F13" s="1166">
        <f>IF(G13="RES-SFU","RESIDENTIAL",IF(G13="RES-HOA","RESIDENTIAL",IF(G13="RES-MDU","RESIDENTIAL",IF(G13="COMM-SU","BUSINESS",IF(G13="COM-MTU","BUSINESS",IF(G13="ENT","BUSINESS",""))))))</f>
        <v/>
      </c>
      <c r="G13" s="1166">
        <f>'House Count'!F13</f>
        <v/>
      </c>
      <c r="H13" s="1166">
        <f>'House Count'!H13</f>
        <v/>
      </c>
    </row>
    <row r="14">
      <c r="A14" s="1165">
        <f>'House Count'!A14</f>
        <v/>
      </c>
      <c r="B14" s="1166">
        <f>'House Count'!E14</f>
        <v/>
      </c>
      <c r="C14" s="1166">
        <f>'House Count'!B14</f>
        <v/>
      </c>
      <c r="D14" s="1166">
        <f>'House Count'!C14</f>
        <v/>
      </c>
      <c r="E14" s="1166">
        <f>'House Count'!D14</f>
        <v/>
      </c>
      <c r="F14" s="1166">
        <f>IF(G14="RES-SFU","RESIDENTIAL",IF(G14="RES-HOA","RESIDENTIAL",IF(G14="RES-MDU","RESIDENTIAL",IF(G14="COMM-SU","BUSINESS",IF(G14="COM-MTU","BUSINESS",IF(G14="ENT","BUSINESS",""))))))</f>
        <v/>
      </c>
      <c r="G14" s="1166">
        <f>'House Count'!F14</f>
        <v/>
      </c>
      <c r="H14" s="1166">
        <f>'House Count'!H14</f>
        <v/>
      </c>
    </row>
    <row r="15">
      <c r="A15" s="1165">
        <f>'House Count'!A15</f>
        <v/>
      </c>
      <c r="B15" s="1166">
        <f>'House Count'!E15</f>
        <v/>
      </c>
      <c r="C15" s="1166">
        <f>'House Count'!B15</f>
        <v/>
      </c>
      <c r="D15" s="1166">
        <f>'House Count'!C15</f>
        <v/>
      </c>
      <c r="E15" s="1166">
        <f>'House Count'!D15</f>
        <v/>
      </c>
      <c r="F15" s="1166">
        <f>IF(G15="RES-SFU","RESIDENTIAL",IF(G15="RES-HOA","RESIDENTIAL",IF(G15="RES-MDU","RESIDENTIAL",IF(G15="COMM-SU","BUSINESS",IF(G15="COM-MTU","BUSINESS",IF(G15="ENT","BUSINESS",""))))))</f>
        <v/>
      </c>
      <c r="G15" s="1166">
        <f>'House Count'!F15</f>
        <v/>
      </c>
      <c r="H15" s="1166">
        <f>'House Count'!H15</f>
        <v/>
      </c>
    </row>
    <row r="16">
      <c r="A16" s="1165">
        <f>'House Count'!A16</f>
        <v/>
      </c>
      <c r="B16" s="1166">
        <f>'House Count'!E16</f>
        <v/>
      </c>
      <c r="C16" s="1166">
        <f>'House Count'!B16</f>
        <v/>
      </c>
      <c r="D16" s="1166">
        <f>'House Count'!C16</f>
        <v/>
      </c>
      <c r="E16" s="1166">
        <f>'House Count'!D16</f>
        <v/>
      </c>
      <c r="F16" s="1166">
        <f>IF(G16="RES-SFU","RESIDENTIAL",IF(G16="RES-HOA","RESIDENTIAL",IF(G16="RES-MDU","RESIDENTIAL",IF(G16="COMM-SU","BUSINESS",IF(G16="COM-MTU","BUSINESS",IF(G16="ENT","BUSINESS",""))))))</f>
        <v/>
      </c>
      <c r="G16" s="1166">
        <f>'House Count'!F16</f>
        <v/>
      </c>
      <c r="H16" s="1166">
        <f>'House Count'!H16</f>
        <v/>
      </c>
    </row>
    <row r="17">
      <c r="A17" s="1165">
        <f>'House Count'!A17</f>
        <v/>
      </c>
      <c r="B17" s="1166">
        <f>'House Count'!E17</f>
        <v/>
      </c>
      <c r="C17" s="1166">
        <f>'House Count'!B17</f>
        <v/>
      </c>
      <c r="D17" s="1166">
        <f>'House Count'!C17</f>
        <v/>
      </c>
      <c r="E17" s="1166">
        <f>'House Count'!D17</f>
        <v/>
      </c>
      <c r="F17" s="1166">
        <f>IF(G17="RES-SFU","RESIDENTIAL",IF(G17="RES-HOA","RESIDENTIAL",IF(G17="RES-MDU","RESIDENTIAL",IF(G17="COMM-SU","BUSINESS",IF(G17="COM-MTU","BUSINESS",IF(G17="ENT","BUSINESS",""))))))</f>
        <v/>
      </c>
      <c r="G17" s="1166">
        <f>'House Count'!F17</f>
        <v/>
      </c>
      <c r="H17" s="1166">
        <f>'House Count'!H17</f>
        <v/>
      </c>
    </row>
    <row r="18">
      <c r="A18" s="1165">
        <f>'House Count'!A18</f>
        <v/>
      </c>
      <c r="B18" s="1166">
        <f>'House Count'!E18</f>
        <v/>
      </c>
      <c r="C18" s="1166">
        <f>'House Count'!B18</f>
        <v/>
      </c>
      <c r="D18" s="1166">
        <f>'House Count'!C18</f>
        <v/>
      </c>
      <c r="E18" s="1166">
        <f>'House Count'!D18</f>
        <v/>
      </c>
      <c r="F18" s="1166">
        <f>IF(G18="RES-SFU","RESIDENTIAL",IF(G18="RES-HOA","RESIDENTIAL",IF(G18="RES-MDU","RESIDENTIAL",IF(G18="COMM-SU","BUSINESS",IF(G18="COM-MTU","BUSINESS",IF(G18="ENT","BUSINESS",""))))))</f>
        <v/>
      </c>
      <c r="G18" s="1166">
        <f>'House Count'!F18</f>
        <v/>
      </c>
      <c r="H18" s="1166">
        <f>'House Count'!H18</f>
        <v/>
      </c>
    </row>
    <row r="19">
      <c r="A19" s="1165">
        <f>'House Count'!A19</f>
        <v/>
      </c>
      <c r="B19" s="1166">
        <f>'House Count'!E19</f>
        <v/>
      </c>
      <c r="C19" s="1166">
        <f>'House Count'!B19</f>
        <v/>
      </c>
      <c r="D19" s="1166">
        <f>'House Count'!C19</f>
        <v/>
      </c>
      <c r="E19" s="1166">
        <f>'House Count'!D19</f>
        <v/>
      </c>
      <c r="F19" s="1166">
        <f>IF(G19="RES-SFU","RESIDENTIAL",IF(G19="RES-HOA","RESIDENTIAL",IF(G19="RES-MDU","RESIDENTIAL",IF(G19="COMM-SU","BUSINESS",IF(G19="COM-MTU","BUSINESS",IF(G19="ENT","BUSINESS",""))))))</f>
        <v/>
      </c>
      <c r="G19" s="1166">
        <f>'House Count'!F19</f>
        <v/>
      </c>
      <c r="H19" s="1166">
        <f>'House Count'!H19</f>
        <v/>
      </c>
    </row>
    <row r="20">
      <c r="A20" s="1165">
        <f>'House Count'!A20</f>
        <v/>
      </c>
      <c r="B20" s="1166">
        <f>'House Count'!E20</f>
        <v/>
      </c>
      <c r="C20" s="1166">
        <f>'House Count'!B20</f>
        <v/>
      </c>
      <c r="D20" s="1166">
        <f>'House Count'!C20</f>
        <v/>
      </c>
      <c r="E20" s="1166">
        <f>'House Count'!D20</f>
        <v/>
      </c>
      <c r="F20" s="1166">
        <f>IF(G20="RES-SFU","RESIDENTIAL",IF(G20="RES-HOA","RESIDENTIAL",IF(G20="RES-MDU","RESIDENTIAL",IF(G20="COMM-SU","BUSINESS",IF(G20="COM-MTU","BUSINESS",IF(G20="ENT","BUSINESS",""))))))</f>
        <v/>
      </c>
      <c r="G20" s="1166">
        <f>'House Count'!F20</f>
        <v/>
      </c>
      <c r="H20" s="1166">
        <f>'House Count'!H20</f>
        <v/>
      </c>
    </row>
    <row r="21">
      <c r="A21" s="1165">
        <f>'House Count'!A21</f>
        <v/>
      </c>
      <c r="B21" s="1166">
        <f>'House Count'!E21</f>
        <v/>
      </c>
      <c r="C21" s="1166">
        <f>'House Count'!B21</f>
        <v/>
      </c>
      <c r="D21" s="1166">
        <f>'House Count'!C21</f>
        <v/>
      </c>
      <c r="E21" s="1166">
        <f>'House Count'!D21</f>
        <v/>
      </c>
      <c r="F21" s="1166">
        <f>IF(G21="RES-SFU","RESIDENTIAL",IF(G21="RES-HOA","RESIDENTIAL",IF(G21="RES-MDU","RESIDENTIAL",IF(G21="COMM-SU","BUSINESS",IF(G21="COM-MTU","BUSINESS",IF(G21="ENT","BUSINESS",""))))))</f>
        <v/>
      </c>
      <c r="G21" s="1166">
        <f>'House Count'!F21</f>
        <v/>
      </c>
      <c r="H21" s="1166">
        <f>'House Count'!H21</f>
        <v/>
      </c>
    </row>
    <row r="22">
      <c r="A22" s="1165">
        <f>'House Count'!A22</f>
        <v/>
      </c>
      <c r="B22" s="1166">
        <f>'House Count'!E22</f>
        <v/>
      </c>
      <c r="C22" s="1166">
        <f>'House Count'!B22</f>
        <v/>
      </c>
      <c r="D22" s="1166">
        <f>'House Count'!C22</f>
        <v/>
      </c>
      <c r="E22" s="1166">
        <f>'House Count'!D22</f>
        <v/>
      </c>
      <c r="F22" s="1166">
        <f>IF(G22="RES-SFU","RESIDENTIAL",IF(G22="RES-HOA","RESIDENTIAL",IF(G22="RES-MDU","RESIDENTIAL",IF(G22="COMM-SU","BUSINESS",IF(G22="COM-MTU","BUSINESS",IF(G22="ENT","BUSINESS",""))))))</f>
        <v/>
      </c>
      <c r="G22" s="1166">
        <f>'House Count'!F22</f>
        <v/>
      </c>
      <c r="H22" s="1166">
        <f>'House Count'!H22</f>
        <v/>
      </c>
    </row>
    <row r="23">
      <c r="A23" s="1165">
        <f>'House Count'!A23</f>
        <v/>
      </c>
      <c r="B23" s="1166">
        <f>'House Count'!E23</f>
        <v/>
      </c>
      <c r="C23" s="1166">
        <f>'House Count'!B23</f>
        <v/>
      </c>
      <c r="D23" s="1166">
        <f>'House Count'!C23</f>
        <v/>
      </c>
      <c r="E23" s="1166">
        <f>'House Count'!D23</f>
        <v/>
      </c>
      <c r="F23" s="1166">
        <f>IF(G23="RES-SFU","RESIDENTIAL",IF(G23="RES-HOA","RESIDENTIAL",IF(G23="RES-MDU","RESIDENTIAL",IF(G23="COMM-SU","BUSINESS",IF(G23="COM-MTU","BUSINESS",IF(G23="ENT","BUSINESS",""))))))</f>
        <v/>
      </c>
      <c r="G23" s="1166">
        <f>'House Count'!F23</f>
        <v/>
      </c>
      <c r="H23" s="1166">
        <f>'House Count'!H23</f>
        <v/>
      </c>
    </row>
    <row r="24">
      <c r="A24" s="1165">
        <f>'House Count'!A24</f>
        <v/>
      </c>
      <c r="B24" s="1166">
        <f>'House Count'!E24</f>
        <v/>
      </c>
      <c r="C24" s="1166">
        <f>'House Count'!B24</f>
        <v/>
      </c>
      <c r="D24" s="1166">
        <f>'House Count'!C24</f>
        <v/>
      </c>
      <c r="E24" s="1166">
        <f>'House Count'!D24</f>
        <v/>
      </c>
      <c r="F24" s="1166">
        <f>IF(G24="RES-SFU","RESIDENTIAL",IF(G24="RES-HOA","RESIDENTIAL",IF(G24="RES-MDU","RESIDENTIAL",IF(G24="COMM-SU","BUSINESS",IF(G24="COM-MTU","BUSINESS",IF(G24="ENT","BUSINESS",""))))))</f>
        <v/>
      </c>
      <c r="G24" s="1166">
        <f>'House Count'!F24</f>
        <v/>
      </c>
      <c r="H24" s="1166">
        <f>'House Count'!H24</f>
        <v/>
      </c>
    </row>
    <row r="25">
      <c r="A25" s="1165">
        <f>'House Count'!A25</f>
        <v/>
      </c>
      <c r="B25" s="1166">
        <f>'House Count'!E25</f>
        <v/>
      </c>
      <c r="C25" s="1166">
        <f>'House Count'!B25</f>
        <v/>
      </c>
      <c r="D25" s="1166">
        <f>'House Count'!C25</f>
        <v/>
      </c>
      <c r="E25" s="1166">
        <f>'House Count'!D25</f>
        <v/>
      </c>
      <c r="F25" s="1166">
        <f>IF(G25="RES-SFU","RESIDENTIAL",IF(G25="RES-HOA","RESIDENTIAL",IF(G25="RES-MDU","RESIDENTIAL",IF(G25="COMM-SU","BUSINESS",IF(G25="COM-MTU","BUSINESS",IF(G25="ENT","BUSINESS",""))))))</f>
        <v/>
      </c>
      <c r="G25" s="1166">
        <f>'House Count'!F25</f>
        <v/>
      </c>
      <c r="H25" s="1166">
        <f>'House Count'!H25</f>
        <v/>
      </c>
    </row>
    <row r="26">
      <c r="A26" s="1165">
        <f>'House Count'!A26</f>
        <v/>
      </c>
      <c r="B26" s="1166">
        <f>'House Count'!E26</f>
        <v/>
      </c>
      <c r="C26" s="1166">
        <f>'House Count'!B26</f>
        <v/>
      </c>
      <c r="D26" s="1166">
        <f>'House Count'!C26</f>
        <v/>
      </c>
      <c r="E26" s="1166">
        <f>'House Count'!D26</f>
        <v/>
      </c>
      <c r="F26" s="1166">
        <f>IF(G26="RES-SFU","RESIDENTIAL",IF(G26="RES-HOA","RESIDENTIAL",IF(G26="RES-MDU","RESIDENTIAL",IF(G26="COMM-SU","BUSINESS",IF(G26="COM-MTU","BUSINESS",IF(G26="ENT","BUSINESS",""))))))</f>
        <v/>
      </c>
      <c r="G26" s="1166">
        <f>'House Count'!F26</f>
        <v/>
      </c>
      <c r="H26" s="1166">
        <f>'House Count'!H26</f>
        <v/>
      </c>
    </row>
    <row r="27">
      <c r="A27" s="1165">
        <f>'House Count'!A27</f>
        <v/>
      </c>
      <c r="B27" s="1166">
        <f>'House Count'!E27</f>
        <v/>
      </c>
      <c r="C27" s="1166">
        <f>'House Count'!B27</f>
        <v/>
      </c>
      <c r="D27" s="1166">
        <f>'House Count'!C27</f>
        <v/>
      </c>
      <c r="E27" s="1166">
        <f>'House Count'!D27</f>
        <v/>
      </c>
      <c r="F27" s="1166">
        <f>IF(G27="RES-SFU","RESIDENTIAL",IF(G27="RES-HOA","RESIDENTIAL",IF(G27="RES-MDU","RESIDENTIAL",IF(G27="COMM-SU","BUSINESS",IF(G27="COM-MTU","BUSINESS",IF(G27="ENT","BUSINESS",""))))))</f>
        <v/>
      </c>
      <c r="G27" s="1166">
        <f>'House Count'!F27</f>
        <v/>
      </c>
      <c r="H27" s="1166">
        <f>'House Count'!H27</f>
        <v/>
      </c>
    </row>
    <row r="28">
      <c r="A28" s="1165">
        <f>'House Count'!A28</f>
        <v/>
      </c>
      <c r="B28" s="1166">
        <f>'House Count'!E28</f>
        <v/>
      </c>
      <c r="C28" s="1166">
        <f>'House Count'!B28</f>
        <v/>
      </c>
      <c r="D28" s="1166">
        <f>'House Count'!C28</f>
        <v/>
      </c>
      <c r="E28" s="1166">
        <f>'House Count'!D28</f>
        <v/>
      </c>
      <c r="F28" s="1166">
        <f>IF(G28="RES-SFU","RESIDENTIAL",IF(G28="RES-HOA","RESIDENTIAL",IF(G28="RES-MDU","RESIDENTIAL",IF(G28="COMM-SU","BUSINESS",IF(G28="COM-MTU","BUSINESS",IF(G28="ENT","BUSINESS",""))))))</f>
        <v/>
      </c>
      <c r="G28" s="1166">
        <f>'House Count'!F28</f>
        <v/>
      </c>
      <c r="H28" s="1166">
        <f>'House Count'!H28</f>
        <v/>
      </c>
    </row>
    <row r="29">
      <c r="A29" s="1165">
        <f>'House Count'!A29</f>
        <v/>
      </c>
      <c r="B29" s="1166">
        <f>'House Count'!E29</f>
        <v/>
      </c>
      <c r="C29" s="1166">
        <f>'House Count'!B29</f>
        <v/>
      </c>
      <c r="D29" s="1166">
        <f>'House Count'!C29</f>
        <v/>
      </c>
      <c r="E29" s="1166">
        <f>'House Count'!D29</f>
        <v/>
      </c>
      <c r="F29" s="1166">
        <f>IF(G29="RES-SFU","RESIDENTIAL",IF(G29="RES-HOA","RESIDENTIAL",IF(G29="RES-MDU","RESIDENTIAL",IF(G29="COMM-SU","BUSINESS",IF(G29="COM-MTU","BUSINESS",IF(G29="ENT","BUSINESS",""))))))</f>
        <v/>
      </c>
      <c r="G29" s="1166">
        <f>'House Count'!F29</f>
        <v/>
      </c>
      <c r="H29" s="1166">
        <f>'House Count'!H29</f>
        <v/>
      </c>
    </row>
    <row r="30">
      <c r="A30" s="1165">
        <f>'House Count'!A30</f>
        <v/>
      </c>
      <c r="B30" s="1166">
        <f>'House Count'!E30</f>
        <v/>
      </c>
      <c r="C30" s="1166">
        <f>'House Count'!B30</f>
        <v/>
      </c>
      <c r="D30" s="1166">
        <f>'House Count'!C30</f>
        <v/>
      </c>
      <c r="E30" s="1166">
        <f>'House Count'!D30</f>
        <v/>
      </c>
      <c r="F30" s="1166">
        <f>IF(G30="RES-SFU","RESIDENTIAL",IF(G30="RES-HOA","RESIDENTIAL",IF(G30="RES-MDU","RESIDENTIAL",IF(G30="COMM-SU","BUSINESS",IF(G30="COM-MTU","BUSINESS",IF(G30="ENT","BUSINESS",""))))))</f>
        <v/>
      </c>
      <c r="G30" s="1166">
        <f>'House Count'!F30</f>
        <v/>
      </c>
      <c r="H30" s="1166">
        <f>'House Count'!H30</f>
        <v/>
      </c>
    </row>
    <row r="31">
      <c r="A31" s="1165">
        <f>'House Count'!A31</f>
        <v/>
      </c>
      <c r="B31" s="1166">
        <f>'House Count'!E31</f>
        <v/>
      </c>
      <c r="C31" s="1166">
        <f>'House Count'!B31</f>
        <v/>
      </c>
      <c r="D31" s="1166">
        <f>'House Count'!C31</f>
        <v/>
      </c>
      <c r="E31" s="1166">
        <f>'House Count'!D31</f>
        <v/>
      </c>
      <c r="F31" s="1166">
        <f>IF(G31="RES-SFU","RESIDENTIAL",IF(G31="RES-HOA","RESIDENTIAL",IF(G31="RES-MDU","RESIDENTIAL",IF(G31="COMM-SU","BUSINESS",IF(G31="COM-MTU","BUSINESS",IF(G31="ENT","BUSINESS",""))))))</f>
        <v/>
      </c>
      <c r="G31" s="1166">
        <f>'House Count'!F31</f>
        <v/>
      </c>
      <c r="H31" s="1166">
        <f>'House Count'!H31</f>
        <v/>
      </c>
    </row>
    <row r="32">
      <c r="A32" s="1165">
        <f>'House Count'!A32</f>
        <v/>
      </c>
      <c r="B32" s="1166">
        <f>'House Count'!E32</f>
        <v/>
      </c>
      <c r="C32" s="1166">
        <f>'House Count'!B32</f>
        <v/>
      </c>
      <c r="D32" s="1166">
        <f>'House Count'!C32</f>
        <v/>
      </c>
      <c r="E32" s="1166">
        <f>'House Count'!D32</f>
        <v/>
      </c>
      <c r="F32" s="1166">
        <f>IF(G32="RES-SFU","RESIDENTIAL",IF(G32="RES-HOA","RESIDENTIAL",IF(G32="RES-MDU","RESIDENTIAL",IF(G32="COMM-SU","BUSINESS",IF(G32="COM-MTU","BUSINESS",IF(G32="ENT","BUSINESS",""))))))</f>
        <v/>
      </c>
      <c r="G32" s="1166">
        <f>'House Count'!F32</f>
        <v/>
      </c>
      <c r="H32" s="1166">
        <f>'House Count'!H32</f>
        <v/>
      </c>
    </row>
    <row r="33">
      <c r="A33" s="1165">
        <f>'House Count'!A33</f>
        <v/>
      </c>
      <c r="B33" s="1166">
        <f>'House Count'!E33</f>
        <v/>
      </c>
      <c r="C33" s="1166">
        <f>'House Count'!B33</f>
        <v/>
      </c>
      <c r="D33" s="1166">
        <f>'House Count'!C33</f>
        <v/>
      </c>
      <c r="E33" s="1166">
        <f>'House Count'!D33</f>
        <v/>
      </c>
      <c r="F33" s="1166">
        <f>IF(G33="RES-SFU","RESIDENTIAL",IF(G33="RES-HOA","RESIDENTIAL",IF(G33="RES-MDU","RESIDENTIAL",IF(G33="COMM-SU","BUSINESS",IF(G33="COM-MTU","BUSINESS",IF(G33="ENT","BUSINESS",""))))))</f>
        <v/>
      </c>
      <c r="G33" s="1166">
        <f>'House Count'!F33</f>
        <v/>
      </c>
      <c r="H33" s="1166">
        <f>'House Count'!H33</f>
        <v/>
      </c>
    </row>
    <row r="34">
      <c r="A34" s="1165">
        <f>'House Count'!A34</f>
        <v/>
      </c>
      <c r="B34" s="1166">
        <f>'House Count'!E34</f>
        <v/>
      </c>
      <c r="C34" s="1166">
        <f>'House Count'!B34</f>
        <v/>
      </c>
      <c r="D34" s="1166">
        <f>'House Count'!C34</f>
        <v/>
      </c>
      <c r="E34" s="1166">
        <f>'House Count'!D34</f>
        <v/>
      </c>
      <c r="F34" s="1166">
        <f>IF(G34="RES-SFU","RESIDENTIAL",IF(G34="RES-HOA","RESIDENTIAL",IF(G34="RES-MDU","RESIDENTIAL",IF(G34="COMM-SU","BUSINESS",IF(G34="COM-MTU","BUSINESS",IF(G34="ENT","BUSINESS",""))))))</f>
        <v/>
      </c>
      <c r="G34" s="1166">
        <f>'House Count'!F34</f>
        <v/>
      </c>
      <c r="H34" s="1166">
        <f>'House Count'!H34</f>
        <v/>
      </c>
    </row>
    <row r="35">
      <c r="A35" s="1165">
        <f>'House Count'!A35</f>
        <v/>
      </c>
      <c r="B35" s="1166">
        <f>'House Count'!E35</f>
        <v/>
      </c>
      <c r="C35" s="1166">
        <f>'House Count'!B35</f>
        <v/>
      </c>
      <c r="D35" s="1166">
        <f>'House Count'!C35</f>
        <v/>
      </c>
      <c r="E35" s="1166">
        <f>'House Count'!D35</f>
        <v/>
      </c>
      <c r="F35" s="1166">
        <f>IF(G35="RES-SFU","RESIDENTIAL",IF(G35="RES-HOA","RESIDENTIAL",IF(G35="RES-MDU","RESIDENTIAL",IF(G35="COMM-SU","BUSINESS",IF(G35="COM-MTU","BUSINESS",IF(G35="ENT","BUSINESS",""))))))</f>
        <v/>
      </c>
      <c r="G35" s="1166">
        <f>'House Count'!F35</f>
        <v/>
      </c>
      <c r="H35" s="1166">
        <f>'House Count'!H35</f>
        <v/>
      </c>
    </row>
    <row r="36">
      <c r="A36" s="1165">
        <f>'House Count'!A36</f>
        <v/>
      </c>
      <c r="B36" s="1166">
        <f>'House Count'!E36</f>
        <v/>
      </c>
      <c r="C36" s="1166">
        <f>'House Count'!B36</f>
        <v/>
      </c>
      <c r="D36" s="1166">
        <f>'House Count'!C36</f>
        <v/>
      </c>
      <c r="E36" s="1166">
        <f>'House Count'!D36</f>
        <v/>
      </c>
      <c r="F36" s="1166">
        <f>IF(G36="RES-SFU","RESIDENTIAL",IF(G36="RES-HOA","RESIDENTIAL",IF(G36="RES-MDU","RESIDENTIAL",IF(G36="COMM-SU","BUSINESS",IF(G36="COM-MTU","BUSINESS",IF(G36="ENT","BUSINESS",""))))))</f>
        <v/>
      </c>
      <c r="G36" s="1166">
        <f>'House Count'!F36</f>
        <v/>
      </c>
      <c r="H36" s="1166">
        <f>'House Count'!H36</f>
        <v/>
      </c>
    </row>
    <row r="37">
      <c r="A37" s="1165">
        <f>'House Count'!A37</f>
        <v/>
      </c>
      <c r="B37" s="1166">
        <f>'House Count'!E37</f>
        <v/>
      </c>
      <c r="C37" s="1166">
        <f>'House Count'!B37</f>
        <v/>
      </c>
      <c r="D37" s="1166">
        <f>'House Count'!C37</f>
        <v/>
      </c>
      <c r="E37" s="1166">
        <f>'House Count'!D37</f>
        <v/>
      </c>
      <c r="F37" s="1166">
        <f>IF(G37="RES-SFU","RESIDENTIAL",IF(G37="RES-HOA","RESIDENTIAL",IF(G37="RES-MDU","RESIDENTIAL",IF(G37="COMM-SU","BUSINESS",IF(G37="COM-MTU","BUSINESS",IF(G37="ENT","BUSINESS",""))))))</f>
        <v/>
      </c>
      <c r="G37" s="1166">
        <f>'House Count'!F37</f>
        <v/>
      </c>
      <c r="H37" s="1166">
        <f>'House Count'!H37</f>
        <v/>
      </c>
    </row>
    <row r="38">
      <c r="A38" s="1165">
        <f>'House Count'!A38</f>
        <v/>
      </c>
      <c r="B38" s="1166">
        <f>'House Count'!E38</f>
        <v/>
      </c>
      <c r="C38" s="1166">
        <f>'House Count'!B38</f>
        <v/>
      </c>
      <c r="D38" s="1166">
        <f>'House Count'!C38</f>
        <v/>
      </c>
      <c r="E38" s="1166">
        <f>'House Count'!D38</f>
        <v/>
      </c>
      <c r="F38" s="1166">
        <f>IF(G38="RES-SFU","RESIDENTIAL",IF(G38="RES-HOA","RESIDENTIAL",IF(G38="RES-MDU","RESIDENTIAL",IF(G38="COMM-SU","BUSINESS",IF(G38="COM-MTU","BUSINESS",IF(G38="ENT","BUSINESS",""))))))</f>
        <v/>
      </c>
      <c r="G38" s="1166">
        <f>'House Count'!F38</f>
        <v/>
      </c>
      <c r="H38" s="1166">
        <f>'House Count'!H38</f>
        <v/>
      </c>
    </row>
    <row r="39">
      <c r="A39" s="1165">
        <f>'House Count'!A39</f>
        <v/>
      </c>
      <c r="B39" s="1166">
        <f>'House Count'!E39</f>
        <v/>
      </c>
      <c r="C39" s="1166">
        <f>'House Count'!B39</f>
        <v/>
      </c>
      <c r="D39" s="1166">
        <f>'House Count'!C39</f>
        <v/>
      </c>
      <c r="E39" s="1166">
        <f>'House Count'!D39</f>
        <v/>
      </c>
      <c r="F39" s="1166">
        <f>IF(G39="RES-SFU","RESIDENTIAL",IF(G39="RES-HOA","RESIDENTIAL",IF(G39="RES-MDU","RESIDENTIAL",IF(G39="COMM-SU","BUSINESS",IF(G39="COM-MTU","BUSINESS",IF(G39="ENT","BUSINESS",""))))))</f>
        <v/>
      </c>
      <c r="G39" s="1166">
        <f>'House Count'!F39</f>
        <v/>
      </c>
      <c r="H39" s="1166">
        <f>'House Count'!H39</f>
        <v/>
      </c>
    </row>
    <row r="40">
      <c r="A40" s="1165">
        <f>'House Count'!A40</f>
        <v/>
      </c>
      <c r="B40" s="1166">
        <f>'House Count'!E40</f>
        <v/>
      </c>
      <c r="C40" s="1166">
        <f>'House Count'!B40</f>
        <v/>
      </c>
      <c r="D40" s="1166">
        <f>'House Count'!C40</f>
        <v/>
      </c>
      <c r="E40" s="1166">
        <f>'House Count'!D40</f>
        <v/>
      </c>
      <c r="F40" s="1166">
        <f>IF(G40="RES-SFU","RESIDENTIAL",IF(G40="RES-HOA","RESIDENTIAL",IF(G40="RES-MDU","RESIDENTIAL",IF(G40="COMM-SU","BUSINESS",IF(G40="COM-MTU","BUSINESS",IF(G40="ENT","BUSINESS",""))))))</f>
        <v/>
      </c>
      <c r="G40" s="1166">
        <f>'House Count'!F40</f>
        <v/>
      </c>
      <c r="H40" s="1166">
        <f>'House Count'!H40</f>
        <v/>
      </c>
    </row>
    <row r="41">
      <c r="A41" s="1165">
        <f>'House Count'!A41</f>
        <v/>
      </c>
      <c r="B41" s="1166">
        <f>'House Count'!E41</f>
        <v/>
      </c>
      <c r="C41" s="1166">
        <f>'House Count'!B41</f>
        <v/>
      </c>
      <c r="D41" s="1166">
        <f>'House Count'!C41</f>
        <v/>
      </c>
      <c r="E41" s="1166">
        <f>'House Count'!D41</f>
        <v/>
      </c>
      <c r="F41" s="1166">
        <f>IF(G41="RES-SFU","RESIDENTIAL",IF(G41="RES-HOA","RESIDENTIAL",IF(G41="RES-MDU","RESIDENTIAL",IF(G41="COMM-SU","BUSINESS",IF(G41="COM-MTU","BUSINESS",IF(G41="ENT","BUSINESS",""))))))</f>
        <v/>
      </c>
      <c r="G41" s="1166">
        <f>'House Count'!F41</f>
        <v/>
      </c>
      <c r="H41" s="1166">
        <f>'House Count'!H41</f>
        <v/>
      </c>
    </row>
    <row r="42">
      <c r="A42" s="1165">
        <f>'House Count'!A42</f>
        <v/>
      </c>
      <c r="B42" s="1166">
        <f>'House Count'!E42</f>
        <v/>
      </c>
      <c r="C42" s="1166">
        <f>'House Count'!B42</f>
        <v/>
      </c>
      <c r="D42" s="1166">
        <f>'House Count'!C42</f>
        <v/>
      </c>
      <c r="E42" s="1166">
        <f>'House Count'!D42</f>
        <v/>
      </c>
      <c r="F42" s="1166">
        <f>IF(G42="RES-SFU","RESIDENTIAL",IF(G42="RES-HOA","RESIDENTIAL",IF(G42="RES-MDU","RESIDENTIAL",IF(G42="COMM-SU","BUSINESS",IF(G42="COM-MTU","BUSINESS",IF(G42="ENT","BUSINESS",""))))))</f>
        <v/>
      </c>
      <c r="G42" s="1166">
        <f>'House Count'!F42</f>
        <v/>
      </c>
      <c r="H42" s="1166">
        <f>'House Count'!H42</f>
        <v/>
      </c>
    </row>
    <row r="43">
      <c r="A43" s="1165">
        <f>'House Count'!A43</f>
        <v/>
      </c>
      <c r="B43" s="1166">
        <f>'House Count'!E43</f>
        <v/>
      </c>
      <c r="C43" s="1166">
        <f>'House Count'!B43</f>
        <v/>
      </c>
      <c r="D43" s="1166">
        <f>'House Count'!C43</f>
        <v/>
      </c>
      <c r="E43" s="1166">
        <f>'House Count'!D43</f>
        <v/>
      </c>
      <c r="F43" s="1166">
        <f>IF(G43="RES-SFU","RESIDENTIAL",IF(G43="RES-HOA","RESIDENTIAL",IF(G43="RES-MDU","RESIDENTIAL",IF(G43="COMM-SU","BUSINESS",IF(G43="COM-MTU","BUSINESS",IF(G43="ENT","BUSINESS",""))))))</f>
        <v/>
      </c>
      <c r="G43" s="1166">
        <f>'House Count'!F43</f>
        <v/>
      </c>
      <c r="H43" s="1166">
        <f>'House Count'!H43</f>
        <v/>
      </c>
    </row>
    <row r="44">
      <c r="A44" s="1165">
        <f>'House Count'!A44</f>
        <v/>
      </c>
      <c r="B44" s="1166">
        <f>'House Count'!E44</f>
        <v/>
      </c>
      <c r="C44" s="1166">
        <f>'House Count'!B44</f>
        <v/>
      </c>
      <c r="D44" s="1166">
        <f>'House Count'!C44</f>
        <v/>
      </c>
      <c r="E44" s="1166">
        <f>'House Count'!D44</f>
        <v/>
      </c>
      <c r="F44" s="1166">
        <f>IF(G44="RES-SFU","RESIDENTIAL",IF(G44="RES-HOA","RESIDENTIAL",IF(G44="RES-MDU","RESIDENTIAL",IF(G44="COMM-SU","BUSINESS",IF(G44="COM-MTU","BUSINESS",IF(G44="ENT","BUSINESS",""))))))</f>
        <v/>
      </c>
      <c r="G44" s="1166">
        <f>'House Count'!F44</f>
        <v/>
      </c>
      <c r="H44" s="1166">
        <f>'House Count'!H44</f>
        <v/>
      </c>
    </row>
    <row r="45">
      <c r="A45" s="1165">
        <f>'House Count'!A45</f>
        <v/>
      </c>
      <c r="B45" s="1166">
        <f>'House Count'!E45</f>
        <v/>
      </c>
      <c r="C45" s="1166">
        <f>'House Count'!B45</f>
        <v/>
      </c>
      <c r="D45" s="1166">
        <f>'House Count'!C45</f>
        <v/>
      </c>
      <c r="E45" s="1166">
        <f>'House Count'!D45</f>
        <v/>
      </c>
      <c r="F45" s="1166">
        <f>IF(G45="RES-SFU","RESIDENTIAL",IF(G45="RES-HOA","RESIDENTIAL",IF(G45="RES-MDU","RESIDENTIAL",IF(G45="COMM-SU","BUSINESS",IF(G45="COM-MTU","BUSINESS",IF(G45="ENT","BUSINESS",""))))))</f>
        <v/>
      </c>
      <c r="G45" s="1166">
        <f>'House Count'!F45</f>
        <v/>
      </c>
      <c r="H45" s="1166">
        <f>'House Count'!H45</f>
        <v/>
      </c>
    </row>
    <row r="46">
      <c r="A46" s="1165">
        <f>'House Count'!A46</f>
        <v/>
      </c>
      <c r="B46" s="1166">
        <f>'House Count'!E46</f>
        <v/>
      </c>
      <c r="C46" s="1166">
        <f>'House Count'!B46</f>
        <v/>
      </c>
      <c r="D46" s="1166">
        <f>'House Count'!C46</f>
        <v/>
      </c>
      <c r="E46" s="1166">
        <f>'House Count'!D46</f>
        <v/>
      </c>
      <c r="F46" s="1166">
        <f>IF(G46="RES-SFU","RESIDENTIAL",IF(G46="RES-HOA","RESIDENTIAL",IF(G46="RES-MDU","RESIDENTIAL",IF(G46="COMM-SU","BUSINESS",IF(G46="COM-MTU","BUSINESS",IF(G46="ENT","BUSINESS",""))))))</f>
        <v/>
      </c>
      <c r="G46" s="1166">
        <f>'House Count'!F46</f>
        <v/>
      </c>
      <c r="H46" s="1166">
        <f>'House Count'!H46</f>
        <v/>
      </c>
    </row>
    <row r="47">
      <c r="A47" s="1165">
        <f>'House Count'!A47</f>
        <v/>
      </c>
      <c r="B47" s="1166">
        <f>'House Count'!E47</f>
        <v/>
      </c>
      <c r="C47" s="1166">
        <f>'House Count'!B47</f>
        <v/>
      </c>
      <c r="D47" s="1166">
        <f>'House Count'!C47</f>
        <v/>
      </c>
      <c r="E47" s="1166">
        <f>'House Count'!D47</f>
        <v/>
      </c>
      <c r="F47" s="1166">
        <f>IF(G47="RES-SFU","RESIDENTIAL",IF(G47="RES-HOA","RESIDENTIAL",IF(G47="RES-MDU","RESIDENTIAL",IF(G47="COMM-SU","BUSINESS",IF(G47="COM-MTU","BUSINESS",IF(G47="ENT","BUSINESS",""))))))</f>
        <v/>
      </c>
      <c r="G47" s="1166">
        <f>'House Count'!F47</f>
        <v/>
      </c>
      <c r="H47" s="1166">
        <f>'House Count'!H47</f>
        <v/>
      </c>
    </row>
    <row r="48">
      <c r="A48" s="1165">
        <f>'House Count'!A48</f>
        <v/>
      </c>
      <c r="B48" s="1166">
        <f>'House Count'!E48</f>
        <v/>
      </c>
      <c r="C48" s="1166">
        <f>'House Count'!B48</f>
        <v/>
      </c>
      <c r="D48" s="1166">
        <f>'House Count'!C48</f>
        <v/>
      </c>
      <c r="E48" s="1166">
        <f>'House Count'!D48</f>
        <v/>
      </c>
      <c r="F48" s="1166">
        <f>IF(G48="RES-SFU","RESIDENTIAL",IF(G48="RES-HOA","RESIDENTIAL",IF(G48="RES-MDU","RESIDENTIAL",IF(G48="COMM-SU","BUSINESS",IF(G48="COM-MTU","BUSINESS",IF(G48="ENT","BUSINESS",""))))))</f>
        <v/>
      </c>
      <c r="G48" s="1166">
        <f>'House Count'!F48</f>
        <v/>
      </c>
      <c r="H48" s="1166">
        <f>'House Count'!H48</f>
        <v/>
      </c>
    </row>
    <row r="49">
      <c r="A49" s="1165">
        <f>'House Count'!A49</f>
        <v/>
      </c>
      <c r="B49" s="1166">
        <f>'House Count'!E49</f>
        <v/>
      </c>
      <c r="C49" s="1166">
        <f>'House Count'!B49</f>
        <v/>
      </c>
      <c r="D49" s="1166">
        <f>'House Count'!C49</f>
        <v/>
      </c>
      <c r="E49" s="1166">
        <f>'House Count'!D49</f>
        <v/>
      </c>
      <c r="F49" s="1166">
        <f>IF(G49="RES-SFU","RESIDENTIAL",IF(G49="RES-HOA","RESIDENTIAL",IF(G49="RES-MDU","RESIDENTIAL",IF(G49="COMM-SU","BUSINESS",IF(G49="COM-MTU","BUSINESS",IF(G49="ENT","BUSINESS",""))))))</f>
        <v/>
      </c>
      <c r="G49" s="1166">
        <f>'House Count'!F49</f>
        <v/>
      </c>
      <c r="H49" s="1166">
        <f>'House Count'!H49</f>
        <v/>
      </c>
    </row>
    <row r="50">
      <c r="A50" s="1165">
        <f>'House Count'!A50</f>
        <v/>
      </c>
      <c r="B50" s="1166">
        <f>'House Count'!E50</f>
        <v/>
      </c>
      <c r="C50" s="1166">
        <f>'House Count'!B50</f>
        <v/>
      </c>
      <c r="D50" s="1166">
        <f>'House Count'!C50</f>
        <v/>
      </c>
      <c r="E50" s="1166">
        <f>'House Count'!D50</f>
        <v/>
      </c>
      <c r="F50" s="1166">
        <f>IF(G50="RES-SFU","RESIDENTIAL",IF(G50="RES-HOA","RESIDENTIAL",IF(G50="RES-MDU","RESIDENTIAL",IF(G50="COMM-SU","BUSINESS",IF(G50="COM-MTU","BUSINESS",IF(G50="ENT","BUSINESS",""))))))</f>
        <v/>
      </c>
      <c r="G50" s="1166">
        <f>'House Count'!F50</f>
        <v/>
      </c>
      <c r="H50" s="1166">
        <f>'House Count'!H50</f>
        <v/>
      </c>
    </row>
    <row r="51">
      <c r="A51" s="1165">
        <f>'House Count'!A51</f>
        <v/>
      </c>
      <c r="B51" s="1166">
        <f>'House Count'!E51</f>
        <v/>
      </c>
      <c r="C51" s="1166">
        <f>'House Count'!B51</f>
        <v/>
      </c>
      <c r="D51" s="1166">
        <f>'House Count'!C51</f>
        <v/>
      </c>
      <c r="E51" s="1166">
        <f>'House Count'!D51</f>
        <v/>
      </c>
      <c r="F51" s="1166">
        <f>IF(G51="RES-SFU","RESIDENTIAL",IF(G51="RES-HOA","RESIDENTIAL",IF(G51="RES-MDU","RESIDENTIAL",IF(G51="COMM-SU","BUSINESS",IF(G51="COM-MTU","BUSINESS",IF(G51="ENT","BUSINESS",""))))))</f>
        <v/>
      </c>
      <c r="G51" s="1166">
        <f>'House Count'!F51</f>
        <v/>
      </c>
      <c r="H51" s="1166">
        <f>'House Count'!H51</f>
        <v/>
      </c>
    </row>
    <row r="52">
      <c r="A52" s="1165">
        <f>'House Count'!A52</f>
        <v/>
      </c>
      <c r="B52" s="1166">
        <f>'House Count'!E52</f>
        <v/>
      </c>
      <c r="C52" s="1166">
        <f>'House Count'!B52</f>
        <v/>
      </c>
      <c r="D52" s="1166">
        <f>'House Count'!C52</f>
        <v/>
      </c>
      <c r="E52" s="1166">
        <f>'House Count'!D52</f>
        <v/>
      </c>
      <c r="F52" s="1166">
        <f>IF(G52="RES-SFU","RESIDENTIAL",IF(G52="RES-HOA","RESIDENTIAL",IF(G52="RES-MDU","RESIDENTIAL",IF(G52="COMM-SU","BUSINESS",IF(G52="COM-MTU","BUSINESS",IF(G52="ENT","BUSINESS",""))))))</f>
        <v/>
      </c>
      <c r="G52" s="1166">
        <f>'House Count'!F52</f>
        <v/>
      </c>
      <c r="H52" s="1166">
        <f>'House Count'!H52</f>
        <v/>
      </c>
    </row>
    <row r="53">
      <c r="A53" s="1165">
        <f>'House Count'!A53</f>
        <v/>
      </c>
      <c r="B53" s="1166">
        <f>'House Count'!E53</f>
        <v/>
      </c>
      <c r="C53" s="1166">
        <f>'House Count'!B53</f>
        <v/>
      </c>
      <c r="D53" s="1166">
        <f>'House Count'!C53</f>
        <v/>
      </c>
      <c r="E53" s="1166">
        <f>'House Count'!D53</f>
        <v/>
      </c>
      <c r="F53" s="1166">
        <f>IF(G53="RES-SFU","RESIDENTIAL",IF(G53="RES-HOA","RESIDENTIAL",IF(G53="RES-MDU","RESIDENTIAL",IF(G53="COMM-SU","BUSINESS",IF(G53="COM-MTU","BUSINESS",IF(G53="ENT","BUSINESS",""))))))</f>
        <v/>
      </c>
      <c r="G53" s="1166">
        <f>'House Count'!F53</f>
        <v/>
      </c>
      <c r="H53" s="1166">
        <f>'House Count'!H53</f>
        <v/>
      </c>
    </row>
    <row r="54">
      <c r="A54" s="1165">
        <f>'House Count'!A54</f>
        <v/>
      </c>
      <c r="B54" s="1166">
        <f>'House Count'!E54</f>
        <v/>
      </c>
      <c r="C54" s="1166">
        <f>'House Count'!B54</f>
        <v/>
      </c>
      <c r="D54" s="1166">
        <f>'House Count'!C54</f>
        <v/>
      </c>
      <c r="E54" s="1166">
        <f>'House Count'!D54</f>
        <v/>
      </c>
      <c r="F54" s="1166">
        <f>IF(G54="RES-SFU","RESIDENTIAL",IF(G54="RES-HOA","RESIDENTIAL",IF(G54="RES-MDU","RESIDENTIAL",IF(G54="COMM-SU","BUSINESS",IF(G54="COM-MTU","BUSINESS",IF(G54="ENT","BUSINESS",""))))))</f>
        <v/>
      </c>
      <c r="G54" s="1166">
        <f>'House Count'!F54</f>
        <v/>
      </c>
      <c r="H54" s="1166">
        <f>'House Count'!H54</f>
        <v/>
      </c>
    </row>
    <row r="55">
      <c r="A55" s="1165">
        <f>'House Count'!A55</f>
        <v/>
      </c>
      <c r="B55" s="1166">
        <f>'House Count'!E55</f>
        <v/>
      </c>
      <c r="C55" s="1166">
        <f>'House Count'!B55</f>
        <v/>
      </c>
      <c r="D55" s="1166">
        <f>'House Count'!C55</f>
        <v/>
      </c>
      <c r="E55" s="1166">
        <f>'House Count'!D55</f>
        <v/>
      </c>
      <c r="F55" s="1166">
        <f>IF(G55="RES-SFU","RESIDENTIAL",IF(G55="RES-HOA","RESIDENTIAL",IF(G55="RES-MDU","RESIDENTIAL",IF(G55="COMM-SU","BUSINESS",IF(G55="COM-MTU","BUSINESS",IF(G55="ENT","BUSINESS",""))))))</f>
        <v/>
      </c>
      <c r="G55" s="1166">
        <f>'House Count'!F55</f>
        <v/>
      </c>
      <c r="H55" s="1166">
        <f>'House Count'!H55</f>
        <v/>
      </c>
    </row>
    <row r="56">
      <c r="A56" s="1165">
        <f>'House Count'!A56</f>
        <v/>
      </c>
      <c r="B56" s="1166">
        <f>'House Count'!E56</f>
        <v/>
      </c>
      <c r="C56" s="1166">
        <f>'House Count'!B56</f>
        <v/>
      </c>
      <c r="D56" s="1166">
        <f>'House Count'!C56</f>
        <v/>
      </c>
      <c r="E56" s="1166">
        <f>'House Count'!D56</f>
        <v/>
      </c>
      <c r="F56" s="1166">
        <f>IF(G56="RES-SFU","RESIDENTIAL",IF(G56="RES-HOA","RESIDENTIAL",IF(G56="RES-MDU","RESIDENTIAL",IF(G56="COMM-SU","BUSINESS",IF(G56="COM-MTU","BUSINESS",IF(G56="ENT","BUSINESS",""))))))</f>
        <v/>
      </c>
      <c r="G56" s="1166">
        <f>'House Count'!F56</f>
        <v/>
      </c>
      <c r="H56" s="1166">
        <f>'House Count'!H56</f>
        <v/>
      </c>
    </row>
    <row r="57">
      <c r="A57" s="1165">
        <f>'House Count'!A57</f>
        <v/>
      </c>
      <c r="B57" s="1166">
        <f>'House Count'!E57</f>
        <v/>
      </c>
      <c r="C57" s="1166">
        <f>'House Count'!B57</f>
        <v/>
      </c>
      <c r="D57" s="1166">
        <f>'House Count'!C57</f>
        <v/>
      </c>
      <c r="E57" s="1166">
        <f>'House Count'!D57</f>
        <v/>
      </c>
      <c r="F57" s="1166">
        <f>IF(G57="RES-SFU","RESIDENTIAL",IF(G57="RES-HOA","RESIDENTIAL",IF(G57="RES-MDU","RESIDENTIAL",IF(G57="COMM-SU","BUSINESS",IF(G57="COM-MTU","BUSINESS",IF(G57="ENT","BUSINESS",""))))))</f>
        <v/>
      </c>
      <c r="G57" s="1166">
        <f>'House Count'!F57</f>
        <v/>
      </c>
      <c r="H57" s="1166">
        <f>'House Count'!H57</f>
        <v/>
      </c>
    </row>
    <row r="58">
      <c r="A58" s="1165">
        <f>'House Count'!A58</f>
        <v/>
      </c>
      <c r="B58" s="1166">
        <f>'House Count'!E58</f>
        <v/>
      </c>
      <c r="C58" s="1166">
        <f>'House Count'!B58</f>
        <v/>
      </c>
      <c r="D58" s="1166">
        <f>'House Count'!C58</f>
        <v/>
      </c>
      <c r="E58" s="1166">
        <f>'House Count'!D58</f>
        <v/>
      </c>
      <c r="F58" s="1166">
        <f>IF(G58="RES-SFU","RESIDENTIAL",IF(G58="RES-HOA","RESIDENTIAL",IF(G58="RES-MDU","RESIDENTIAL",IF(G58="COMM-SU","BUSINESS",IF(G58="COM-MTU","BUSINESS",IF(G58="ENT","BUSINESS",""))))))</f>
        <v/>
      </c>
      <c r="G58" s="1166">
        <f>'House Count'!F58</f>
        <v/>
      </c>
      <c r="H58" s="1166">
        <f>'House Count'!H58</f>
        <v/>
      </c>
    </row>
    <row r="59">
      <c r="A59" s="1165">
        <f>'House Count'!A59</f>
        <v/>
      </c>
      <c r="B59" s="1166">
        <f>'House Count'!E59</f>
        <v/>
      </c>
      <c r="C59" s="1166">
        <f>'House Count'!B59</f>
        <v/>
      </c>
      <c r="D59" s="1166">
        <f>'House Count'!C59</f>
        <v/>
      </c>
      <c r="E59" s="1166">
        <f>'House Count'!D59</f>
        <v/>
      </c>
      <c r="F59" s="1166">
        <f>IF(G59="RES-SFU","RESIDENTIAL",IF(G59="RES-HOA","RESIDENTIAL",IF(G59="RES-MDU","RESIDENTIAL",IF(G59="COMM-SU","BUSINESS",IF(G59="COM-MTU","BUSINESS",IF(G59="ENT","BUSINESS",""))))))</f>
        <v/>
      </c>
      <c r="G59" s="1166">
        <f>'House Count'!F59</f>
        <v/>
      </c>
      <c r="H59" s="1166">
        <f>'House Count'!H59</f>
        <v/>
      </c>
    </row>
    <row r="60">
      <c r="A60" s="1165">
        <f>'House Count'!A60</f>
        <v/>
      </c>
      <c r="B60" s="1166">
        <f>'House Count'!E60</f>
        <v/>
      </c>
      <c r="C60" s="1166">
        <f>'House Count'!B60</f>
        <v/>
      </c>
      <c r="D60" s="1166">
        <f>'House Count'!C60</f>
        <v/>
      </c>
      <c r="E60" s="1166">
        <f>'House Count'!D60</f>
        <v/>
      </c>
      <c r="F60" s="1166">
        <f>IF(G60="RES-SFU","RESIDENTIAL",IF(G60="RES-HOA","RESIDENTIAL",IF(G60="RES-MDU","RESIDENTIAL",IF(G60="COMM-SU","BUSINESS",IF(G60="COM-MTU","BUSINESS",IF(G60="ENT","BUSINESS",""))))))</f>
        <v/>
      </c>
      <c r="G60" s="1166">
        <f>'House Count'!F60</f>
        <v/>
      </c>
      <c r="H60" s="1166">
        <f>'House Count'!H60</f>
        <v/>
      </c>
    </row>
    <row r="61">
      <c r="A61" s="1165">
        <f>'House Count'!A61</f>
        <v/>
      </c>
      <c r="B61" s="1166">
        <f>'House Count'!E61</f>
        <v/>
      </c>
      <c r="C61" s="1166">
        <f>'House Count'!B61</f>
        <v/>
      </c>
      <c r="D61" s="1166">
        <f>'House Count'!C61</f>
        <v/>
      </c>
      <c r="E61" s="1166">
        <f>'House Count'!D61</f>
        <v/>
      </c>
      <c r="F61" s="1166">
        <f>IF(G61="RES-SFU","RESIDENTIAL",IF(G61="RES-HOA","RESIDENTIAL",IF(G61="RES-MDU","RESIDENTIAL",IF(G61="COMM-SU","BUSINESS",IF(G61="COM-MTU","BUSINESS",IF(G61="ENT","BUSINESS",""))))))</f>
        <v/>
      </c>
      <c r="G61" s="1166">
        <f>'House Count'!F61</f>
        <v/>
      </c>
      <c r="H61" s="1166">
        <f>'House Count'!H61</f>
        <v/>
      </c>
    </row>
    <row r="62">
      <c r="A62" s="1165">
        <f>'House Count'!A62</f>
        <v/>
      </c>
      <c r="B62" s="1166">
        <f>'House Count'!E62</f>
        <v/>
      </c>
      <c r="C62" s="1166">
        <f>'House Count'!B62</f>
        <v/>
      </c>
      <c r="D62" s="1166">
        <f>'House Count'!C62</f>
        <v/>
      </c>
      <c r="E62" s="1166">
        <f>'House Count'!D62</f>
        <v/>
      </c>
      <c r="F62" s="1166">
        <f>IF(G62="RES-SFU","RESIDENTIAL",IF(G62="RES-HOA","RESIDENTIAL",IF(G62="RES-MDU","RESIDENTIAL",IF(G62="COMM-SU","BUSINESS",IF(G62="COM-MTU","BUSINESS",IF(G62="ENT","BUSINESS",""))))))</f>
        <v/>
      </c>
      <c r="G62" s="1166">
        <f>'House Count'!F62</f>
        <v/>
      </c>
      <c r="H62" s="1166">
        <f>'House Count'!H62</f>
        <v/>
      </c>
    </row>
    <row r="63">
      <c r="A63" s="1165">
        <f>'House Count'!A63</f>
        <v/>
      </c>
      <c r="B63" s="1166">
        <f>'House Count'!E63</f>
        <v/>
      </c>
      <c r="C63" s="1166">
        <f>'House Count'!B63</f>
        <v/>
      </c>
      <c r="D63" s="1166">
        <f>'House Count'!C63</f>
        <v/>
      </c>
      <c r="E63" s="1166">
        <f>'House Count'!D63</f>
        <v/>
      </c>
      <c r="F63" s="1166">
        <f>IF(G63="RES-SFU","RESIDENTIAL",IF(G63="RES-HOA","RESIDENTIAL",IF(G63="RES-MDU","RESIDENTIAL",IF(G63="COMM-SU","BUSINESS",IF(G63="COM-MTU","BUSINESS",IF(G63="ENT","BUSINESS",""))))))</f>
        <v/>
      </c>
      <c r="G63" s="1166">
        <f>'House Count'!F63</f>
        <v/>
      </c>
      <c r="H63" s="1166">
        <f>'House Count'!H63</f>
        <v/>
      </c>
    </row>
    <row r="64">
      <c r="A64" s="1165">
        <f>'House Count'!A64</f>
        <v/>
      </c>
      <c r="B64" s="1166">
        <f>'House Count'!E64</f>
        <v/>
      </c>
      <c r="C64" s="1166">
        <f>'House Count'!B64</f>
        <v/>
      </c>
      <c r="D64" s="1166">
        <f>'House Count'!C64</f>
        <v/>
      </c>
      <c r="E64" s="1166">
        <f>'House Count'!D64</f>
        <v/>
      </c>
      <c r="F64" s="1166">
        <f>IF(G64="RES-SFU","RESIDENTIAL",IF(G64="RES-HOA","RESIDENTIAL",IF(G64="RES-MDU","RESIDENTIAL",IF(G64="COMM-SU","BUSINESS",IF(G64="COM-MTU","BUSINESS",IF(G64="ENT","BUSINESS",""))))))</f>
        <v/>
      </c>
      <c r="G64" s="1166">
        <f>'House Count'!F64</f>
        <v/>
      </c>
      <c r="H64" s="1166">
        <f>'House Count'!H64</f>
        <v/>
      </c>
    </row>
    <row r="65">
      <c r="A65" s="1165">
        <f>'House Count'!A65</f>
        <v/>
      </c>
      <c r="B65" s="1166">
        <f>'House Count'!E65</f>
        <v/>
      </c>
      <c r="C65" s="1166">
        <f>'House Count'!B65</f>
        <v/>
      </c>
      <c r="D65" s="1166">
        <f>'House Count'!C65</f>
        <v/>
      </c>
      <c r="E65" s="1166">
        <f>'House Count'!D65</f>
        <v/>
      </c>
      <c r="F65" s="1166">
        <f>IF(G65="RES-SFU","RESIDENTIAL",IF(G65="RES-HOA","RESIDENTIAL",IF(G65="RES-MDU","RESIDENTIAL",IF(G65="COMM-SU","BUSINESS",IF(G65="COM-MTU","BUSINESS",IF(G65="ENT","BUSINESS",""))))))</f>
        <v/>
      </c>
      <c r="G65" s="1166">
        <f>'House Count'!F65</f>
        <v/>
      </c>
      <c r="H65" s="1166">
        <f>'House Count'!H65</f>
        <v/>
      </c>
    </row>
    <row r="66">
      <c r="A66" s="1165">
        <f>'House Count'!A66</f>
        <v/>
      </c>
      <c r="B66" s="1166">
        <f>'House Count'!E66</f>
        <v/>
      </c>
      <c r="C66" s="1166">
        <f>'House Count'!B66</f>
        <v/>
      </c>
      <c r="D66" s="1166">
        <f>'House Count'!C66</f>
        <v/>
      </c>
      <c r="E66" s="1166">
        <f>'House Count'!D66</f>
        <v/>
      </c>
      <c r="F66" s="1166">
        <f>IF(G66="RES-SFU","RESIDENTIAL",IF(G66="RES-HOA","RESIDENTIAL",IF(G66="RES-MDU","RESIDENTIAL",IF(G66="COMM-SU","BUSINESS",IF(G66="COM-MTU","BUSINESS",IF(G66="ENT","BUSINESS",""))))))</f>
        <v/>
      </c>
      <c r="G66" s="1166">
        <f>'House Count'!F66</f>
        <v/>
      </c>
      <c r="H66" s="1166">
        <f>'House Count'!H66</f>
        <v/>
      </c>
    </row>
    <row r="67">
      <c r="A67" s="1165">
        <f>'House Count'!A67</f>
        <v/>
      </c>
      <c r="B67" s="1166">
        <f>'House Count'!E67</f>
        <v/>
      </c>
      <c r="C67" s="1166">
        <f>'House Count'!B67</f>
        <v/>
      </c>
      <c r="D67" s="1166">
        <f>'House Count'!C67</f>
        <v/>
      </c>
      <c r="E67" s="1166">
        <f>'House Count'!D67</f>
        <v/>
      </c>
      <c r="F67" s="1166">
        <f>IF(G67="RES-SFU","RESIDENTIAL",IF(G67="RES-HOA","RESIDENTIAL",IF(G67="RES-MDU","RESIDENTIAL",IF(G67="COMM-SU","BUSINESS",IF(G67="COM-MTU","BUSINESS",IF(G67="ENT","BUSINESS",""))))))</f>
        <v/>
      </c>
      <c r="G67" s="1166">
        <f>'House Count'!F67</f>
        <v/>
      </c>
      <c r="H67" s="1166">
        <f>'House Count'!H67</f>
        <v/>
      </c>
    </row>
    <row r="68">
      <c r="A68" s="1165">
        <f>'House Count'!A68</f>
        <v/>
      </c>
      <c r="B68" s="1166">
        <f>'House Count'!E68</f>
        <v/>
      </c>
      <c r="C68" s="1166">
        <f>'House Count'!B68</f>
        <v/>
      </c>
      <c r="D68" s="1166">
        <f>'House Count'!C68</f>
        <v/>
      </c>
      <c r="E68" s="1166">
        <f>'House Count'!D68</f>
        <v/>
      </c>
      <c r="F68" s="1166">
        <f>IF(G68="RES-SFU","RESIDENTIAL",IF(G68="RES-HOA","RESIDENTIAL",IF(G68="RES-MDU","RESIDENTIAL",IF(G68="COMM-SU","BUSINESS",IF(G68="COM-MTU","BUSINESS",IF(G68="ENT","BUSINESS",""))))))</f>
        <v/>
      </c>
      <c r="G68" s="1166">
        <f>'House Count'!F68</f>
        <v/>
      </c>
      <c r="H68" s="1166">
        <f>'House Count'!H68</f>
        <v/>
      </c>
    </row>
    <row r="69">
      <c r="A69" s="1165">
        <f>'House Count'!A69</f>
        <v/>
      </c>
      <c r="B69" s="1166">
        <f>'House Count'!E69</f>
        <v/>
      </c>
      <c r="C69" s="1166">
        <f>'House Count'!B69</f>
        <v/>
      </c>
      <c r="D69" s="1166">
        <f>'House Count'!C69</f>
        <v/>
      </c>
      <c r="E69" s="1166">
        <f>'House Count'!D69</f>
        <v/>
      </c>
      <c r="F69" s="1166">
        <f>IF(G69="RES-SFU","RESIDENTIAL",IF(G69="RES-HOA","RESIDENTIAL",IF(G69="RES-MDU","RESIDENTIAL",IF(G69="COMM-SU","BUSINESS",IF(G69="COM-MTU","BUSINESS",IF(G69="ENT","BUSINESS",""))))))</f>
        <v/>
      </c>
      <c r="G69" s="1166">
        <f>'House Count'!F69</f>
        <v/>
      </c>
      <c r="H69" s="1166">
        <f>'House Count'!H69</f>
        <v/>
      </c>
    </row>
    <row r="70">
      <c r="A70" s="1165">
        <f>'House Count'!A70</f>
        <v/>
      </c>
      <c r="B70" s="1166">
        <f>'House Count'!E70</f>
        <v/>
      </c>
      <c r="C70" s="1166">
        <f>'House Count'!B70</f>
        <v/>
      </c>
      <c r="D70" s="1166">
        <f>'House Count'!C70</f>
        <v/>
      </c>
      <c r="E70" s="1166">
        <f>'House Count'!D70</f>
        <v/>
      </c>
      <c r="F70" s="1166">
        <f>IF(G70="RES-SFU","RESIDENTIAL",IF(G70="RES-HOA","RESIDENTIAL",IF(G70="RES-MDU","RESIDENTIAL",IF(G70="COMM-SU","BUSINESS",IF(G70="COM-MTU","BUSINESS",IF(G70="ENT","BUSINESS",""))))))</f>
        <v/>
      </c>
      <c r="G70" s="1166">
        <f>'House Count'!F70</f>
        <v/>
      </c>
      <c r="H70" s="1166">
        <f>'House Count'!H70</f>
        <v/>
      </c>
    </row>
    <row r="71">
      <c r="A71" s="1165">
        <f>'House Count'!A71</f>
        <v/>
      </c>
      <c r="B71" s="1166">
        <f>'House Count'!E71</f>
        <v/>
      </c>
      <c r="C71" s="1166">
        <f>'House Count'!B71</f>
        <v/>
      </c>
      <c r="D71" s="1166">
        <f>'House Count'!C71</f>
        <v/>
      </c>
      <c r="E71" s="1166">
        <f>'House Count'!D71</f>
        <v/>
      </c>
      <c r="F71" s="1166">
        <f>IF(G71="RES-SFU","RESIDENTIAL",IF(G71="RES-HOA","RESIDENTIAL",IF(G71="RES-MDU","RESIDENTIAL",IF(G71="COMM-SU","BUSINESS",IF(G71="COM-MTU","BUSINESS",IF(G71="ENT","BUSINESS",""))))))</f>
        <v/>
      </c>
      <c r="G71" s="1166">
        <f>'House Count'!F71</f>
        <v/>
      </c>
      <c r="H71" s="1166">
        <f>'House Count'!H71</f>
        <v/>
      </c>
    </row>
    <row r="72">
      <c r="A72" s="1165">
        <f>'House Count'!A72</f>
        <v/>
      </c>
      <c r="B72" s="1166">
        <f>'House Count'!E72</f>
        <v/>
      </c>
      <c r="C72" s="1166">
        <f>'House Count'!B72</f>
        <v/>
      </c>
      <c r="D72" s="1166">
        <f>'House Count'!C72</f>
        <v/>
      </c>
      <c r="E72" s="1166">
        <f>'House Count'!D72</f>
        <v/>
      </c>
      <c r="F72" s="1166">
        <f>IF(G72="RES-SFU","RESIDENTIAL",IF(G72="RES-HOA","RESIDENTIAL",IF(G72="RES-MDU","RESIDENTIAL",IF(G72="COMM-SU","BUSINESS",IF(G72="COM-MTU","BUSINESS",IF(G72="ENT","BUSINESS",""))))))</f>
        <v/>
      </c>
      <c r="G72" s="1166">
        <f>'House Count'!F72</f>
        <v/>
      </c>
      <c r="H72" s="1166">
        <f>'House Count'!H72</f>
        <v/>
      </c>
    </row>
    <row r="73">
      <c r="A73" s="1165">
        <f>'House Count'!A73</f>
        <v/>
      </c>
      <c r="B73" s="1166">
        <f>'House Count'!E73</f>
        <v/>
      </c>
      <c r="C73" s="1166">
        <f>'House Count'!B73</f>
        <v/>
      </c>
      <c r="D73" s="1166">
        <f>'House Count'!C73</f>
        <v/>
      </c>
      <c r="E73" s="1166">
        <f>'House Count'!D73</f>
        <v/>
      </c>
      <c r="F73" s="1166">
        <f>IF(G73="RES-SFU","RESIDENTIAL",IF(G73="RES-HOA","RESIDENTIAL",IF(G73="RES-MDU","RESIDENTIAL",IF(G73="COMM-SU","BUSINESS",IF(G73="COM-MTU","BUSINESS",IF(G73="ENT","BUSINESS",""))))))</f>
        <v/>
      </c>
      <c r="G73" s="1166">
        <f>'House Count'!F73</f>
        <v/>
      </c>
      <c r="H73" s="1166">
        <f>'House Count'!H73</f>
        <v/>
      </c>
    </row>
    <row r="74">
      <c r="A74" s="1165">
        <f>'House Count'!A74</f>
        <v/>
      </c>
      <c r="B74" s="1166">
        <f>'House Count'!E74</f>
        <v/>
      </c>
      <c r="C74" s="1166">
        <f>'House Count'!B74</f>
        <v/>
      </c>
      <c r="D74" s="1166">
        <f>'House Count'!C74</f>
        <v/>
      </c>
      <c r="E74" s="1166">
        <f>'House Count'!D74</f>
        <v/>
      </c>
      <c r="F74" s="1166">
        <f>IF(G74="RES-SFU","RESIDENTIAL",IF(G74="RES-HOA","RESIDENTIAL",IF(G74="RES-MDU","RESIDENTIAL",IF(G74="COMM-SU","BUSINESS",IF(G74="COM-MTU","BUSINESS",IF(G74="ENT","BUSINESS",""))))))</f>
        <v/>
      </c>
      <c r="G74" s="1166">
        <f>'House Count'!F74</f>
        <v/>
      </c>
      <c r="H74" s="1166">
        <f>'House Count'!H74</f>
        <v/>
      </c>
    </row>
    <row r="75">
      <c r="A75" s="1165">
        <f>'House Count'!A75</f>
        <v/>
      </c>
      <c r="B75" s="1166">
        <f>'House Count'!E75</f>
        <v/>
      </c>
      <c r="C75" s="1166">
        <f>'House Count'!B75</f>
        <v/>
      </c>
      <c r="D75" s="1166">
        <f>'House Count'!C75</f>
        <v/>
      </c>
      <c r="E75" s="1166">
        <f>'House Count'!D75</f>
        <v/>
      </c>
      <c r="F75" s="1166">
        <f>IF(G75="RES-SFU","RESIDENTIAL",IF(G75="RES-HOA","RESIDENTIAL",IF(G75="RES-MDU","RESIDENTIAL",IF(G75="COMM-SU","BUSINESS",IF(G75="COM-MTU","BUSINESS",IF(G75="ENT","BUSINESS",""))))))</f>
        <v/>
      </c>
      <c r="G75" s="1166">
        <f>'House Count'!F75</f>
        <v/>
      </c>
      <c r="H75" s="1166">
        <f>'House Count'!H75</f>
        <v/>
      </c>
    </row>
    <row r="76">
      <c r="A76" s="1165">
        <f>'House Count'!A76</f>
        <v/>
      </c>
      <c r="B76" s="1166">
        <f>'House Count'!E76</f>
        <v/>
      </c>
      <c r="C76" s="1166">
        <f>'House Count'!B76</f>
        <v/>
      </c>
      <c r="D76" s="1166">
        <f>'House Count'!C76</f>
        <v/>
      </c>
      <c r="E76" s="1166">
        <f>'House Count'!D76</f>
        <v/>
      </c>
      <c r="F76" s="1166">
        <f>IF(G76="RES-SFU","RESIDENTIAL",IF(G76="RES-HOA","RESIDENTIAL",IF(G76="RES-MDU","RESIDENTIAL",IF(G76="COMM-SU","BUSINESS",IF(G76="COM-MTU","BUSINESS",IF(G76="ENT","BUSINESS",""))))))</f>
        <v/>
      </c>
      <c r="G76" s="1166">
        <f>'House Count'!F76</f>
        <v/>
      </c>
      <c r="H76" s="1166">
        <f>'House Count'!H76</f>
        <v/>
      </c>
    </row>
    <row r="77">
      <c r="A77" s="1165">
        <f>'House Count'!A77</f>
        <v/>
      </c>
      <c r="B77" s="1166">
        <f>'House Count'!E77</f>
        <v/>
      </c>
      <c r="C77" s="1166">
        <f>'House Count'!B77</f>
        <v/>
      </c>
      <c r="D77" s="1166">
        <f>'House Count'!C77</f>
        <v/>
      </c>
      <c r="E77" s="1166">
        <f>'House Count'!D77</f>
        <v/>
      </c>
      <c r="F77" s="1166">
        <f>IF(G77="RES-SFU","RESIDENTIAL",IF(G77="RES-HOA","RESIDENTIAL",IF(G77="RES-MDU","RESIDENTIAL",IF(G77="COMM-SU","BUSINESS",IF(G77="COM-MTU","BUSINESS",IF(G77="ENT","BUSINESS",""))))))</f>
        <v/>
      </c>
      <c r="G77" s="1166">
        <f>'House Count'!F77</f>
        <v/>
      </c>
      <c r="H77" s="1166">
        <f>'House Count'!H77</f>
        <v/>
      </c>
    </row>
    <row r="78">
      <c r="A78" s="1165">
        <f>'House Count'!A78</f>
        <v/>
      </c>
      <c r="B78" s="1166">
        <f>'House Count'!E78</f>
        <v/>
      </c>
      <c r="C78" s="1166">
        <f>'House Count'!B78</f>
        <v/>
      </c>
      <c r="D78" s="1166">
        <f>'House Count'!C78</f>
        <v/>
      </c>
      <c r="E78" s="1166">
        <f>'House Count'!D78</f>
        <v/>
      </c>
      <c r="F78" s="1166">
        <f>IF(G78="RES-SFU","RESIDENTIAL",IF(G78="RES-HOA","RESIDENTIAL",IF(G78="RES-MDU","RESIDENTIAL",IF(G78="COMM-SU","BUSINESS",IF(G78="COM-MTU","BUSINESS",IF(G78="ENT","BUSINESS",""))))))</f>
        <v/>
      </c>
      <c r="G78" s="1166">
        <f>'House Count'!F78</f>
        <v/>
      </c>
      <c r="H78" s="1166">
        <f>'House Count'!H78</f>
        <v/>
      </c>
    </row>
    <row r="79">
      <c r="A79" s="1165">
        <f>'House Count'!A79</f>
        <v/>
      </c>
      <c r="B79" s="1166">
        <f>'House Count'!E79</f>
        <v/>
      </c>
      <c r="C79" s="1166">
        <f>'House Count'!B79</f>
        <v/>
      </c>
      <c r="D79" s="1166">
        <f>'House Count'!C79</f>
        <v/>
      </c>
      <c r="E79" s="1166">
        <f>'House Count'!D79</f>
        <v/>
      </c>
      <c r="F79" s="1166">
        <f>IF(G79="RES-SFU","RESIDENTIAL",IF(G79="RES-HOA","RESIDENTIAL",IF(G79="RES-MDU","RESIDENTIAL",IF(G79="COMM-SU","BUSINESS",IF(G79="COM-MTU","BUSINESS",IF(G79="ENT","BUSINESS",""))))))</f>
        <v/>
      </c>
      <c r="G79" s="1166">
        <f>'House Count'!F79</f>
        <v/>
      </c>
      <c r="H79" s="1166">
        <f>'House Count'!H79</f>
        <v/>
      </c>
    </row>
    <row r="80">
      <c r="A80" s="1165">
        <f>'House Count'!A80</f>
        <v/>
      </c>
      <c r="B80" s="1166">
        <f>'House Count'!E80</f>
        <v/>
      </c>
      <c r="C80" s="1166">
        <f>'House Count'!B80</f>
        <v/>
      </c>
      <c r="D80" s="1166">
        <f>'House Count'!C80</f>
        <v/>
      </c>
      <c r="E80" s="1166">
        <f>'House Count'!D80</f>
        <v/>
      </c>
      <c r="F80" s="1166">
        <f>IF(G80="RES-SFU","RESIDENTIAL",IF(G80="RES-HOA","RESIDENTIAL",IF(G80="RES-MDU","RESIDENTIAL",IF(G80="COMM-SU","BUSINESS",IF(G80="COM-MTU","BUSINESS",IF(G80="ENT","BUSINESS",""))))))</f>
        <v/>
      </c>
      <c r="G80" s="1166">
        <f>'House Count'!F80</f>
        <v/>
      </c>
      <c r="H80" s="1166">
        <f>'House Count'!H80</f>
        <v/>
      </c>
    </row>
    <row r="81">
      <c r="A81" s="1165">
        <f>'House Count'!A81</f>
        <v/>
      </c>
      <c r="B81" s="1166">
        <f>'House Count'!E81</f>
        <v/>
      </c>
      <c r="C81" s="1166">
        <f>'House Count'!B81</f>
        <v/>
      </c>
      <c r="D81" s="1166">
        <f>'House Count'!C81</f>
        <v/>
      </c>
      <c r="E81" s="1166">
        <f>'House Count'!D81</f>
        <v/>
      </c>
      <c r="F81" s="1166">
        <f>IF(G81="RES-SFU","RESIDENTIAL",IF(G81="RES-HOA","RESIDENTIAL",IF(G81="RES-MDU","RESIDENTIAL",IF(G81="COMM-SU","BUSINESS",IF(G81="COM-MTU","BUSINESS",IF(G81="ENT","BUSINESS",""))))))</f>
        <v/>
      </c>
      <c r="G81" s="1166">
        <f>'House Count'!F81</f>
        <v/>
      </c>
      <c r="H81" s="1166">
        <f>'House Count'!H81</f>
        <v/>
      </c>
    </row>
    <row r="82">
      <c r="A82" s="1165">
        <f>'House Count'!A82</f>
        <v/>
      </c>
      <c r="B82" s="1166">
        <f>'House Count'!E82</f>
        <v/>
      </c>
      <c r="C82" s="1166">
        <f>'House Count'!B82</f>
        <v/>
      </c>
      <c r="D82" s="1166">
        <f>'House Count'!C82</f>
        <v/>
      </c>
      <c r="E82" s="1166">
        <f>'House Count'!D82</f>
        <v/>
      </c>
      <c r="F82" s="1166">
        <f>IF(G82="RES-SFU","RESIDENTIAL",IF(G82="RES-HOA","RESIDENTIAL",IF(G82="RES-MDU","RESIDENTIAL",IF(G82="COMM-SU","BUSINESS",IF(G82="COM-MTU","BUSINESS",IF(G82="ENT","BUSINESS",""))))))</f>
        <v/>
      </c>
      <c r="G82" s="1166">
        <f>'House Count'!F82</f>
        <v/>
      </c>
      <c r="H82" s="1166">
        <f>'House Count'!H82</f>
        <v/>
      </c>
    </row>
    <row r="83">
      <c r="A83" s="1165">
        <f>'House Count'!A83</f>
        <v/>
      </c>
      <c r="B83" s="1166">
        <f>'House Count'!E83</f>
        <v/>
      </c>
      <c r="C83" s="1166">
        <f>'House Count'!B83</f>
        <v/>
      </c>
      <c r="D83" s="1166">
        <f>'House Count'!C83</f>
        <v/>
      </c>
      <c r="E83" s="1166">
        <f>'House Count'!D83</f>
        <v/>
      </c>
      <c r="F83" s="1166">
        <f>IF(G83="RES-SFU","RESIDENTIAL",IF(G83="RES-HOA","RESIDENTIAL",IF(G83="RES-MDU","RESIDENTIAL",IF(G83="COMM-SU","BUSINESS",IF(G83="COM-MTU","BUSINESS",IF(G83="ENT","BUSINESS",""))))))</f>
        <v/>
      </c>
      <c r="G83" s="1166">
        <f>'House Count'!F83</f>
        <v/>
      </c>
      <c r="H83" s="1166">
        <f>'House Count'!H83</f>
        <v/>
      </c>
    </row>
    <row r="84">
      <c r="A84" s="1165">
        <f>'House Count'!A84</f>
        <v/>
      </c>
      <c r="B84" s="1166">
        <f>'House Count'!E84</f>
        <v/>
      </c>
      <c r="C84" s="1166">
        <f>'House Count'!B84</f>
        <v/>
      </c>
      <c r="D84" s="1166">
        <f>'House Count'!C84</f>
        <v/>
      </c>
      <c r="E84" s="1166">
        <f>'House Count'!D84</f>
        <v/>
      </c>
      <c r="F84" s="1166">
        <f>IF(G84="RES-SFU","RESIDENTIAL",IF(G84="RES-HOA","RESIDENTIAL",IF(G84="RES-MDU","RESIDENTIAL",IF(G84="COMM-SU","BUSINESS",IF(G84="COM-MTU","BUSINESS",IF(G84="ENT","BUSINESS",""))))))</f>
        <v/>
      </c>
      <c r="G84" s="1166">
        <f>'House Count'!F84</f>
        <v/>
      </c>
      <c r="H84" s="1166">
        <f>'House Count'!H84</f>
        <v/>
      </c>
    </row>
    <row r="85">
      <c r="A85" s="1165">
        <f>'House Count'!A85</f>
        <v/>
      </c>
      <c r="B85" s="1166">
        <f>'House Count'!E85</f>
        <v/>
      </c>
      <c r="C85" s="1166">
        <f>'House Count'!B85</f>
        <v/>
      </c>
      <c r="D85" s="1166">
        <f>'House Count'!C85</f>
        <v/>
      </c>
      <c r="E85" s="1166">
        <f>'House Count'!D85</f>
        <v/>
      </c>
      <c r="F85" s="1166">
        <f>IF(G85="RES-SFU","RESIDENTIAL",IF(G85="RES-HOA","RESIDENTIAL",IF(G85="RES-MDU","RESIDENTIAL",IF(G85="COMM-SU","BUSINESS",IF(G85="COM-MTU","BUSINESS",IF(G85="ENT","BUSINESS",""))))))</f>
        <v/>
      </c>
      <c r="G85" s="1166">
        <f>'House Count'!F85</f>
        <v/>
      </c>
      <c r="H85" s="1166">
        <f>'House Count'!H85</f>
        <v/>
      </c>
    </row>
    <row r="86">
      <c r="A86" s="1165">
        <f>'House Count'!A86</f>
        <v/>
      </c>
      <c r="B86" s="1166">
        <f>'House Count'!E86</f>
        <v/>
      </c>
      <c r="C86" s="1166">
        <f>'House Count'!B86</f>
        <v/>
      </c>
      <c r="D86" s="1166">
        <f>'House Count'!C86</f>
        <v/>
      </c>
      <c r="E86" s="1166">
        <f>'House Count'!D86</f>
        <v/>
      </c>
      <c r="F86" s="1166">
        <f>IF(G86="RES-SFU","RESIDENTIAL",IF(G86="RES-HOA","RESIDENTIAL",IF(G86="RES-MDU","RESIDENTIAL",IF(G86="COMM-SU","BUSINESS",IF(G86="COM-MTU","BUSINESS",IF(G86="ENT","BUSINESS",""))))))</f>
        <v/>
      </c>
      <c r="G86" s="1166">
        <f>'House Count'!F86</f>
        <v/>
      </c>
      <c r="H86" s="1166">
        <f>'House Count'!H86</f>
        <v/>
      </c>
    </row>
    <row r="87">
      <c r="A87" s="1165">
        <f>'House Count'!A87</f>
        <v/>
      </c>
      <c r="B87" s="1166">
        <f>'House Count'!E87</f>
        <v/>
      </c>
      <c r="C87" s="1166">
        <f>'House Count'!B87</f>
        <v/>
      </c>
      <c r="D87" s="1166">
        <f>'House Count'!C87</f>
        <v/>
      </c>
      <c r="E87" s="1166">
        <f>'House Count'!D87</f>
        <v/>
      </c>
      <c r="F87" s="1166">
        <f>IF(G87="RES-SFU","RESIDENTIAL",IF(G87="RES-HOA","RESIDENTIAL",IF(G87="RES-MDU","RESIDENTIAL",IF(G87="COMM-SU","BUSINESS",IF(G87="COM-MTU","BUSINESS",IF(G87="ENT","BUSINESS",""))))))</f>
        <v/>
      </c>
      <c r="G87" s="1166">
        <f>'House Count'!F87</f>
        <v/>
      </c>
      <c r="H87" s="1166">
        <f>'House Count'!H87</f>
        <v/>
      </c>
    </row>
    <row r="88">
      <c r="A88" s="1165">
        <f>'House Count'!A88</f>
        <v/>
      </c>
      <c r="B88" s="1166">
        <f>'House Count'!E88</f>
        <v/>
      </c>
      <c r="C88" s="1166">
        <f>'House Count'!B88</f>
        <v/>
      </c>
      <c r="D88" s="1166">
        <f>'House Count'!C88</f>
        <v/>
      </c>
      <c r="E88" s="1166">
        <f>'House Count'!D88</f>
        <v/>
      </c>
      <c r="F88" s="1166">
        <f>IF(G88="RES-SFU","RESIDENTIAL",IF(G88="RES-HOA","RESIDENTIAL",IF(G88="RES-MDU","RESIDENTIAL",IF(G88="COMM-SU","BUSINESS",IF(G88="COM-MTU","BUSINESS",IF(G88="ENT","BUSINESS",""))))))</f>
        <v/>
      </c>
      <c r="G88" s="1166">
        <f>'House Count'!F88</f>
        <v/>
      </c>
      <c r="H88" s="1166">
        <f>'House Count'!H88</f>
        <v/>
      </c>
    </row>
    <row r="89">
      <c r="A89" s="1165">
        <f>'House Count'!A89</f>
        <v/>
      </c>
      <c r="B89" s="1166">
        <f>'House Count'!E89</f>
        <v/>
      </c>
      <c r="C89" s="1166">
        <f>'House Count'!B89</f>
        <v/>
      </c>
      <c r="D89" s="1166">
        <f>'House Count'!C89</f>
        <v/>
      </c>
      <c r="E89" s="1166">
        <f>'House Count'!D89</f>
        <v/>
      </c>
      <c r="F89" s="1166">
        <f>IF(G89="RES-SFU","RESIDENTIAL",IF(G89="RES-HOA","RESIDENTIAL",IF(G89="RES-MDU","RESIDENTIAL",IF(G89="COMM-SU","BUSINESS",IF(G89="COM-MTU","BUSINESS",IF(G89="ENT","BUSINESS",""))))))</f>
        <v/>
      </c>
      <c r="G89" s="1166">
        <f>'House Count'!F89</f>
        <v/>
      </c>
      <c r="H89" s="1166">
        <f>'House Count'!H89</f>
        <v/>
      </c>
    </row>
    <row r="90">
      <c r="A90" s="1165">
        <f>'House Count'!A90</f>
        <v/>
      </c>
      <c r="B90" s="1166">
        <f>'House Count'!E90</f>
        <v/>
      </c>
      <c r="C90" s="1166">
        <f>'House Count'!B90</f>
        <v/>
      </c>
      <c r="D90" s="1166">
        <f>'House Count'!C90</f>
        <v/>
      </c>
      <c r="E90" s="1166">
        <f>'House Count'!D90</f>
        <v/>
      </c>
      <c r="F90" s="1166">
        <f>IF(G90="RES-SFU","RESIDENTIAL",IF(G90="RES-HOA","RESIDENTIAL",IF(G90="RES-MDU","RESIDENTIAL",IF(G90="COMM-SU","BUSINESS",IF(G90="COM-MTU","BUSINESS",IF(G90="ENT","BUSINESS",""))))))</f>
        <v/>
      </c>
      <c r="G90" s="1166">
        <f>'House Count'!F90</f>
        <v/>
      </c>
      <c r="H90" s="1166">
        <f>'House Count'!H90</f>
        <v/>
      </c>
    </row>
    <row r="91">
      <c r="A91" s="1165">
        <f>'House Count'!A91</f>
        <v/>
      </c>
      <c r="B91" s="1166">
        <f>'House Count'!E91</f>
        <v/>
      </c>
      <c r="C91" s="1166">
        <f>'House Count'!B91</f>
        <v/>
      </c>
      <c r="D91" s="1166">
        <f>'House Count'!C91</f>
        <v/>
      </c>
      <c r="E91" s="1166">
        <f>'House Count'!D91</f>
        <v/>
      </c>
      <c r="F91" s="1166">
        <f>IF(G91="RES-SFU","RESIDENTIAL",IF(G91="RES-HOA","RESIDENTIAL",IF(G91="RES-MDU","RESIDENTIAL",IF(G91="COMM-SU","BUSINESS",IF(G91="COM-MTU","BUSINESS",IF(G91="ENT","BUSINESS",""))))))</f>
        <v/>
      </c>
      <c r="G91" s="1166">
        <f>'House Count'!F91</f>
        <v/>
      </c>
      <c r="H91" s="1166">
        <f>'House Count'!H91</f>
        <v/>
      </c>
    </row>
    <row r="92">
      <c r="A92" s="1165">
        <f>'House Count'!A92</f>
        <v/>
      </c>
      <c r="B92" s="1166">
        <f>'House Count'!E92</f>
        <v/>
      </c>
      <c r="C92" s="1166">
        <f>'House Count'!B92</f>
        <v/>
      </c>
      <c r="D92" s="1166">
        <f>'House Count'!C92</f>
        <v/>
      </c>
      <c r="E92" s="1166">
        <f>'House Count'!D92</f>
        <v/>
      </c>
      <c r="F92" s="1166">
        <f>IF(G92="RES-SFU","RESIDENTIAL",IF(G92="RES-HOA","RESIDENTIAL",IF(G92="RES-MDU","RESIDENTIAL",IF(G92="COMM-SU","BUSINESS",IF(G92="COM-MTU","BUSINESS",IF(G92="ENT","BUSINESS",""))))))</f>
        <v/>
      </c>
      <c r="G92" s="1166">
        <f>'House Count'!F92</f>
        <v/>
      </c>
      <c r="H92" s="1166">
        <f>'House Count'!H92</f>
        <v/>
      </c>
    </row>
    <row r="93">
      <c r="A93" s="1165">
        <f>'House Count'!A93</f>
        <v/>
      </c>
      <c r="B93" s="1166">
        <f>'House Count'!E93</f>
        <v/>
      </c>
      <c r="C93" s="1166">
        <f>'House Count'!B93</f>
        <v/>
      </c>
      <c r="D93" s="1166">
        <f>'House Count'!C93</f>
        <v/>
      </c>
      <c r="E93" s="1166">
        <f>'House Count'!D93</f>
        <v/>
      </c>
      <c r="F93" s="1166">
        <f>IF(G93="RES-SFU","RESIDENTIAL",IF(G93="RES-HOA","RESIDENTIAL",IF(G93="RES-MDU","RESIDENTIAL",IF(G93="COMM-SU","BUSINESS",IF(G93="COM-MTU","BUSINESS",IF(G93="ENT","BUSINESS",""))))))</f>
        <v/>
      </c>
      <c r="G93" s="1166">
        <f>'House Count'!F93</f>
        <v/>
      </c>
      <c r="H93" s="1166">
        <f>'House Count'!H93</f>
        <v/>
      </c>
    </row>
    <row r="94">
      <c r="A94" s="1165">
        <f>'House Count'!A94</f>
        <v/>
      </c>
      <c r="B94" s="1166">
        <f>'House Count'!E94</f>
        <v/>
      </c>
      <c r="C94" s="1166">
        <f>'House Count'!B94</f>
        <v/>
      </c>
      <c r="D94" s="1166">
        <f>'House Count'!C94</f>
        <v/>
      </c>
      <c r="E94" s="1166">
        <f>'House Count'!D94</f>
        <v/>
      </c>
      <c r="F94" s="1166">
        <f>IF(G94="RES-SFU","RESIDENTIAL",IF(G94="RES-HOA","RESIDENTIAL",IF(G94="RES-MDU","RESIDENTIAL",IF(G94="COMM-SU","BUSINESS",IF(G94="COM-MTU","BUSINESS",IF(G94="ENT","BUSINESS",""))))))</f>
        <v/>
      </c>
      <c r="G94" s="1166">
        <f>'House Count'!F94</f>
        <v/>
      </c>
      <c r="H94" s="1166">
        <f>'House Count'!H94</f>
        <v/>
      </c>
    </row>
    <row r="95">
      <c r="A95" s="1165">
        <f>'House Count'!A95</f>
        <v/>
      </c>
      <c r="B95" s="1166">
        <f>'House Count'!E95</f>
        <v/>
      </c>
      <c r="C95" s="1166">
        <f>'House Count'!B95</f>
        <v/>
      </c>
      <c r="D95" s="1166">
        <f>'House Count'!C95</f>
        <v/>
      </c>
      <c r="E95" s="1166">
        <f>'House Count'!D95</f>
        <v/>
      </c>
      <c r="F95" s="1166">
        <f>IF(G95="RES-SFU","RESIDENTIAL",IF(G95="RES-HOA","RESIDENTIAL",IF(G95="RES-MDU","RESIDENTIAL",IF(G95="COMM-SU","BUSINESS",IF(G95="COM-MTU","BUSINESS",IF(G95="ENT","BUSINESS",""))))))</f>
        <v/>
      </c>
      <c r="G95" s="1166">
        <f>'House Count'!F95</f>
        <v/>
      </c>
      <c r="H95" s="1166">
        <f>'House Count'!H95</f>
        <v/>
      </c>
    </row>
    <row r="96">
      <c r="A96" s="1165">
        <f>'House Count'!A96</f>
        <v/>
      </c>
      <c r="B96" s="1166">
        <f>'House Count'!E96</f>
        <v/>
      </c>
      <c r="C96" s="1166">
        <f>'House Count'!B96</f>
        <v/>
      </c>
      <c r="D96" s="1166">
        <f>'House Count'!C96</f>
        <v/>
      </c>
      <c r="E96" s="1166">
        <f>'House Count'!D96</f>
        <v/>
      </c>
      <c r="F96" s="1166">
        <f>IF(G96="RES-SFU","RESIDENTIAL",IF(G96="RES-HOA","RESIDENTIAL",IF(G96="RES-MDU","RESIDENTIAL",IF(G96="COMM-SU","BUSINESS",IF(G96="COM-MTU","BUSINESS",IF(G96="ENT","BUSINESS",""))))))</f>
        <v/>
      </c>
      <c r="G96" s="1166">
        <f>'House Count'!F96</f>
        <v/>
      </c>
      <c r="H96" s="1166">
        <f>'House Count'!H96</f>
        <v/>
      </c>
    </row>
    <row r="97">
      <c r="A97" s="1165">
        <f>'House Count'!A97</f>
        <v/>
      </c>
      <c r="B97" s="1166">
        <f>'House Count'!E97</f>
        <v/>
      </c>
      <c r="C97" s="1166">
        <f>'House Count'!B97</f>
        <v/>
      </c>
      <c r="D97" s="1166">
        <f>'House Count'!C97</f>
        <v/>
      </c>
      <c r="E97" s="1166">
        <f>'House Count'!D97</f>
        <v/>
      </c>
      <c r="F97" s="1166">
        <f>IF(G97="RES-SFU","RESIDENTIAL",IF(G97="RES-HOA","RESIDENTIAL",IF(G97="RES-MDU","RESIDENTIAL",IF(G97="COMM-SU","BUSINESS",IF(G97="COM-MTU","BUSINESS",IF(G97="ENT","BUSINESS",""))))))</f>
        <v/>
      </c>
      <c r="G97" s="1166">
        <f>'House Count'!F97</f>
        <v/>
      </c>
      <c r="H97" s="1166">
        <f>'House Count'!H97</f>
        <v/>
      </c>
    </row>
    <row r="98">
      <c r="A98" s="1165">
        <f>'House Count'!A98</f>
        <v/>
      </c>
      <c r="B98" s="1166">
        <f>'House Count'!E98</f>
        <v/>
      </c>
      <c r="C98" s="1166">
        <f>'House Count'!B98</f>
        <v/>
      </c>
      <c r="D98" s="1166">
        <f>'House Count'!C98</f>
        <v/>
      </c>
      <c r="E98" s="1166">
        <f>'House Count'!D98</f>
        <v/>
      </c>
      <c r="F98" s="1166">
        <f>IF(G98="RES-SFU","RESIDENTIAL",IF(G98="RES-HOA","RESIDENTIAL",IF(G98="RES-MDU","RESIDENTIAL",IF(G98="COMM-SU","BUSINESS",IF(G98="COM-MTU","BUSINESS",IF(G98="ENT","BUSINESS",""))))))</f>
        <v/>
      </c>
      <c r="G98" s="1166">
        <f>'House Count'!F98</f>
        <v/>
      </c>
      <c r="H98" s="1166">
        <f>'House Count'!H98</f>
        <v/>
      </c>
    </row>
    <row r="99">
      <c r="A99" s="1165">
        <f>'House Count'!A99</f>
        <v/>
      </c>
      <c r="B99" s="1166">
        <f>'House Count'!E99</f>
        <v/>
      </c>
      <c r="C99" s="1166">
        <f>'House Count'!B99</f>
        <v/>
      </c>
      <c r="D99" s="1166">
        <f>'House Count'!C99</f>
        <v/>
      </c>
      <c r="E99" s="1166">
        <f>'House Count'!D99</f>
        <v/>
      </c>
      <c r="F99" s="1166">
        <f>IF(G99="RES-SFU","RESIDENTIAL",IF(G99="RES-HOA","RESIDENTIAL",IF(G99="RES-MDU","RESIDENTIAL",IF(G99="COMM-SU","BUSINESS",IF(G99="COM-MTU","BUSINESS",IF(G99="ENT","BUSINESS",""))))))</f>
        <v/>
      </c>
      <c r="G99" s="1166">
        <f>'House Count'!F99</f>
        <v/>
      </c>
      <c r="H99" s="1166">
        <f>'House Count'!H99</f>
        <v/>
      </c>
    </row>
    <row r="100">
      <c r="A100" s="1165">
        <f>'House Count'!A100</f>
        <v/>
      </c>
      <c r="B100" s="1166">
        <f>'House Count'!E100</f>
        <v/>
      </c>
      <c r="C100" s="1166">
        <f>'House Count'!B100</f>
        <v/>
      </c>
      <c r="D100" s="1166">
        <f>'House Count'!C100</f>
        <v/>
      </c>
      <c r="E100" s="1166">
        <f>'House Count'!D100</f>
        <v/>
      </c>
      <c r="F100" s="1166">
        <f>IF(G100="RES-SFU","RESIDENTIAL",IF(G100="RES-HOA","RESIDENTIAL",IF(G100="RES-MDU","RESIDENTIAL",IF(G100="COMM-SU","BUSINESS",IF(G100="COM-MTU","BUSINESS",IF(G100="ENT","BUSINESS",""))))))</f>
        <v/>
      </c>
      <c r="G100" s="1166">
        <f>'House Count'!F100</f>
        <v/>
      </c>
      <c r="H100" s="1166">
        <f>'House Count'!H100</f>
        <v/>
      </c>
    </row>
    <row r="101">
      <c r="A101" s="1165">
        <f>'House Count'!A101</f>
        <v/>
      </c>
      <c r="B101" s="1166">
        <f>'House Count'!E101</f>
        <v/>
      </c>
      <c r="C101" s="1166">
        <f>'House Count'!B101</f>
        <v/>
      </c>
      <c r="D101" s="1166">
        <f>'House Count'!C101</f>
        <v/>
      </c>
      <c r="E101" s="1166">
        <f>'House Count'!D101</f>
        <v/>
      </c>
      <c r="F101" s="1166">
        <f>IF(G101="RES-SFU","RESIDENTIAL",IF(G101="RES-HOA","RESIDENTIAL",IF(G101="RES-MDU","RESIDENTIAL",IF(G101="COMM-SU","BUSINESS",IF(G101="COM-MTU","BUSINESS",IF(G101="ENT","BUSINESS",""))))))</f>
        <v/>
      </c>
      <c r="G101" s="1166">
        <f>'House Count'!F101</f>
        <v/>
      </c>
      <c r="H101" s="1166">
        <f>'House Count'!H101</f>
        <v/>
      </c>
    </row>
    <row r="102">
      <c r="A102" s="1165">
        <f>'House Count'!A102</f>
        <v/>
      </c>
      <c r="B102" s="1166">
        <f>'House Count'!E102</f>
        <v/>
      </c>
      <c r="C102" s="1166">
        <f>'House Count'!B102</f>
        <v/>
      </c>
      <c r="D102" s="1166">
        <f>'House Count'!C102</f>
        <v/>
      </c>
      <c r="E102" s="1166">
        <f>'House Count'!D102</f>
        <v/>
      </c>
      <c r="F102" s="1166">
        <f>IF(G102="RES-SFU","RESIDENTIAL",IF(G102="RES-HOA","RESIDENTIAL",IF(G102="RES-MDU","RESIDENTIAL",IF(G102="COMM-SU","BUSINESS",IF(G102="COM-MTU","BUSINESS",IF(G102="ENT","BUSINESS",""))))))</f>
        <v/>
      </c>
      <c r="G102" s="1166">
        <f>'House Count'!F102</f>
        <v/>
      </c>
      <c r="H102" s="1166">
        <f>'House Count'!H102</f>
        <v/>
      </c>
    </row>
    <row r="103">
      <c r="A103" s="1165">
        <f>'House Count'!A103</f>
        <v/>
      </c>
      <c r="B103" s="1166">
        <f>'House Count'!E103</f>
        <v/>
      </c>
      <c r="C103" s="1166">
        <f>'House Count'!B103</f>
        <v/>
      </c>
      <c r="D103" s="1166">
        <f>'House Count'!C103</f>
        <v/>
      </c>
      <c r="E103" s="1166">
        <f>'House Count'!D103</f>
        <v/>
      </c>
      <c r="F103" s="1166">
        <f>IF(G103="RES-SFU","RESIDENTIAL",IF(G103="RES-HOA","RESIDENTIAL",IF(G103="RES-MDU","RESIDENTIAL",IF(G103="COMM-SU","BUSINESS",IF(G103="COM-MTU","BUSINESS",IF(G103="ENT","BUSINESS",""))))))</f>
        <v/>
      </c>
      <c r="G103" s="1166">
        <f>'House Count'!F103</f>
        <v/>
      </c>
      <c r="H103" s="1166">
        <f>'House Count'!H103</f>
        <v/>
      </c>
    </row>
    <row r="104">
      <c r="A104" s="1165">
        <f>'House Count'!A104</f>
        <v/>
      </c>
      <c r="B104" s="1166">
        <f>'House Count'!E104</f>
        <v/>
      </c>
      <c r="C104" s="1166">
        <f>'House Count'!B104</f>
        <v/>
      </c>
      <c r="D104" s="1166">
        <f>'House Count'!C104</f>
        <v/>
      </c>
      <c r="E104" s="1166">
        <f>'House Count'!D104</f>
        <v/>
      </c>
      <c r="F104" s="1166">
        <f>IF(G104="RES-SFU","RESIDENTIAL",IF(G104="RES-HOA","RESIDENTIAL",IF(G104="RES-MDU","RESIDENTIAL",IF(G104="COMM-SU","BUSINESS",IF(G104="COM-MTU","BUSINESS",IF(G104="ENT","BUSINESS",""))))))</f>
        <v/>
      </c>
      <c r="G104" s="1166">
        <f>'House Count'!F104</f>
        <v/>
      </c>
      <c r="H104" s="1166">
        <f>'House Count'!H104</f>
        <v/>
      </c>
    </row>
    <row r="105">
      <c r="A105" s="1165">
        <f>'House Count'!A105</f>
        <v/>
      </c>
      <c r="B105" s="1166">
        <f>'House Count'!E105</f>
        <v/>
      </c>
      <c r="C105" s="1166">
        <f>'House Count'!B105</f>
        <v/>
      </c>
      <c r="D105" s="1166">
        <f>'House Count'!C105</f>
        <v/>
      </c>
      <c r="E105" s="1166">
        <f>'House Count'!D105</f>
        <v/>
      </c>
      <c r="F105" s="1166">
        <f>IF(G105="RES-SFU","RESIDENTIAL",IF(G105="RES-HOA","RESIDENTIAL",IF(G105="RES-MDU","RESIDENTIAL",IF(G105="COMM-SU","BUSINESS",IF(G105="COM-MTU","BUSINESS",IF(G105="ENT","BUSINESS",""))))))</f>
        <v/>
      </c>
      <c r="G105" s="1166">
        <f>'House Count'!F105</f>
        <v/>
      </c>
      <c r="H105" s="1166">
        <f>'House Count'!H105</f>
        <v/>
      </c>
    </row>
    <row r="106">
      <c r="A106" s="1165">
        <f>'House Count'!A106</f>
        <v/>
      </c>
      <c r="B106" s="1166">
        <f>'House Count'!E106</f>
        <v/>
      </c>
      <c r="C106" s="1166">
        <f>'House Count'!B106</f>
        <v/>
      </c>
      <c r="D106" s="1166">
        <f>'House Count'!C106</f>
        <v/>
      </c>
      <c r="E106" s="1166">
        <f>'House Count'!D106</f>
        <v/>
      </c>
      <c r="F106" s="1166">
        <f>IF(G106="RES-SFU","RESIDENTIAL",IF(G106="RES-HOA","RESIDENTIAL",IF(G106="RES-MDU","RESIDENTIAL",IF(G106="COMM-SU","BUSINESS",IF(G106="COM-MTU","BUSINESS",IF(G106="ENT","BUSINESS",""))))))</f>
        <v/>
      </c>
      <c r="G106" s="1166">
        <f>'House Count'!F106</f>
        <v/>
      </c>
      <c r="H106" s="1166">
        <f>'House Count'!H106</f>
        <v/>
      </c>
    </row>
    <row r="107">
      <c r="A107" s="1165">
        <f>'House Count'!A107</f>
        <v/>
      </c>
      <c r="B107" s="1166">
        <f>'House Count'!E107</f>
        <v/>
      </c>
      <c r="C107" s="1166">
        <f>'House Count'!B107</f>
        <v/>
      </c>
      <c r="D107" s="1166">
        <f>'House Count'!C107</f>
        <v/>
      </c>
      <c r="E107" s="1166">
        <f>'House Count'!D107</f>
        <v/>
      </c>
      <c r="F107" s="1166">
        <f>IF(G107="RES-SFU","RESIDENTIAL",IF(G107="RES-HOA","RESIDENTIAL",IF(G107="RES-MDU","RESIDENTIAL",IF(G107="COMM-SU","BUSINESS",IF(G107="COM-MTU","BUSINESS",IF(G107="ENT","BUSINESS",""))))))</f>
        <v/>
      </c>
      <c r="G107" s="1166">
        <f>'House Count'!F107</f>
        <v/>
      </c>
      <c r="H107" s="1166">
        <f>'House Count'!H107</f>
        <v/>
      </c>
    </row>
    <row r="108">
      <c r="A108" s="1165">
        <f>'House Count'!A108</f>
        <v/>
      </c>
      <c r="B108" s="1166">
        <f>'House Count'!E108</f>
        <v/>
      </c>
      <c r="C108" s="1166">
        <f>'House Count'!B108</f>
        <v/>
      </c>
      <c r="D108" s="1166">
        <f>'House Count'!C108</f>
        <v/>
      </c>
      <c r="E108" s="1166">
        <f>'House Count'!D108</f>
        <v/>
      </c>
      <c r="F108" s="1166">
        <f>IF(G108="RES-SFU","RESIDENTIAL",IF(G108="RES-HOA","RESIDENTIAL",IF(G108="RES-MDU","RESIDENTIAL",IF(G108="COMM-SU","BUSINESS",IF(G108="COM-MTU","BUSINESS",IF(G108="ENT","BUSINESS",""))))))</f>
        <v/>
      </c>
      <c r="G108" s="1166">
        <f>'House Count'!F108</f>
        <v/>
      </c>
      <c r="H108" s="1166">
        <f>'House Count'!H108</f>
        <v/>
      </c>
    </row>
    <row r="109">
      <c r="A109" s="1165">
        <f>'House Count'!A109</f>
        <v/>
      </c>
      <c r="B109" s="1166">
        <f>'House Count'!E109</f>
        <v/>
      </c>
      <c r="C109" s="1166">
        <f>'House Count'!B109</f>
        <v/>
      </c>
      <c r="D109" s="1166">
        <f>'House Count'!C109</f>
        <v/>
      </c>
      <c r="E109" s="1166">
        <f>'House Count'!D109</f>
        <v/>
      </c>
      <c r="F109" s="1166">
        <f>IF(G109="RES-SFU","RESIDENTIAL",IF(G109="RES-HOA","RESIDENTIAL",IF(G109="RES-MDU","RESIDENTIAL",IF(G109="COMM-SU","BUSINESS",IF(G109="COM-MTU","BUSINESS",IF(G109="ENT","BUSINESS",""))))))</f>
        <v/>
      </c>
      <c r="G109" s="1166">
        <f>'House Count'!F109</f>
        <v/>
      </c>
      <c r="H109" s="1166">
        <f>'House Count'!H109</f>
        <v/>
      </c>
    </row>
    <row r="110">
      <c r="A110" s="1165">
        <f>'House Count'!A110</f>
        <v/>
      </c>
      <c r="B110" s="1166">
        <f>'House Count'!E110</f>
        <v/>
      </c>
      <c r="C110" s="1166">
        <f>'House Count'!B110</f>
        <v/>
      </c>
      <c r="D110" s="1166">
        <f>'House Count'!C110</f>
        <v/>
      </c>
      <c r="E110" s="1166">
        <f>'House Count'!D110</f>
        <v/>
      </c>
      <c r="F110" s="1166">
        <f>IF(G110="RES-SFU","RESIDENTIAL",IF(G110="RES-HOA","RESIDENTIAL",IF(G110="RES-MDU","RESIDENTIAL",IF(G110="COMM-SU","BUSINESS",IF(G110="COM-MTU","BUSINESS",IF(G110="ENT","BUSINESS",""))))))</f>
        <v/>
      </c>
      <c r="G110" s="1166">
        <f>'House Count'!F110</f>
        <v/>
      </c>
      <c r="H110" s="1166">
        <f>'House Count'!H110</f>
        <v/>
      </c>
    </row>
    <row r="111">
      <c r="A111" s="1165">
        <f>'House Count'!A111</f>
        <v/>
      </c>
      <c r="B111" s="1166">
        <f>'House Count'!E111</f>
        <v/>
      </c>
      <c r="C111" s="1166">
        <f>'House Count'!B111</f>
        <v/>
      </c>
      <c r="D111" s="1166">
        <f>'House Count'!C111</f>
        <v/>
      </c>
      <c r="E111" s="1166">
        <f>'House Count'!D111</f>
        <v/>
      </c>
      <c r="F111" s="1166">
        <f>IF(G111="RES-SFU","RESIDENTIAL",IF(G111="RES-HOA","RESIDENTIAL",IF(G111="RES-MDU","RESIDENTIAL",IF(G111="COMM-SU","BUSINESS",IF(G111="COM-MTU","BUSINESS",IF(G111="ENT","BUSINESS",""))))))</f>
        <v/>
      </c>
      <c r="G111" s="1166">
        <f>'House Count'!F111</f>
        <v/>
      </c>
      <c r="H111" s="1166">
        <f>'House Count'!H111</f>
        <v/>
      </c>
    </row>
    <row r="112">
      <c r="A112" s="1165">
        <f>'House Count'!A112</f>
        <v/>
      </c>
      <c r="B112" s="1166">
        <f>'House Count'!E112</f>
        <v/>
      </c>
      <c r="C112" s="1166">
        <f>'House Count'!B112</f>
        <v/>
      </c>
      <c r="D112" s="1166">
        <f>'House Count'!C112</f>
        <v/>
      </c>
      <c r="E112" s="1166">
        <f>'House Count'!D112</f>
        <v/>
      </c>
      <c r="F112" s="1166">
        <f>IF(G112="RES-SFU","RESIDENTIAL",IF(G112="RES-HOA","RESIDENTIAL",IF(G112="RES-MDU","RESIDENTIAL",IF(G112="COMM-SU","BUSINESS",IF(G112="COM-MTU","BUSINESS",IF(G112="ENT","BUSINESS",""))))))</f>
        <v/>
      </c>
      <c r="G112" s="1166">
        <f>'House Count'!F112</f>
        <v/>
      </c>
      <c r="H112" s="1166">
        <f>'House Count'!H112</f>
        <v/>
      </c>
    </row>
    <row r="113">
      <c r="A113" s="1165">
        <f>'House Count'!A113</f>
        <v/>
      </c>
      <c r="B113" s="1166">
        <f>'House Count'!E113</f>
        <v/>
      </c>
      <c r="C113" s="1166">
        <f>'House Count'!B113</f>
        <v/>
      </c>
      <c r="D113" s="1166">
        <f>'House Count'!C113</f>
        <v/>
      </c>
      <c r="E113" s="1166">
        <f>'House Count'!D113</f>
        <v/>
      </c>
      <c r="F113" s="1166">
        <f>IF(G113="RES-SFU","RESIDENTIAL",IF(G113="RES-HOA","RESIDENTIAL",IF(G113="RES-MDU","RESIDENTIAL",IF(G113="COMM-SU","BUSINESS",IF(G113="COM-MTU","BUSINESS",IF(G113="ENT","BUSINESS",""))))))</f>
        <v/>
      </c>
      <c r="G113" s="1166">
        <f>'House Count'!F113</f>
        <v/>
      </c>
      <c r="H113" s="1166">
        <f>'House Count'!H113</f>
        <v/>
      </c>
    </row>
    <row r="114">
      <c r="A114" s="1165">
        <f>'House Count'!A114</f>
        <v/>
      </c>
      <c r="B114" s="1166">
        <f>'House Count'!E114</f>
        <v/>
      </c>
      <c r="C114" s="1166">
        <f>'House Count'!B114</f>
        <v/>
      </c>
      <c r="D114" s="1166">
        <f>'House Count'!C114</f>
        <v/>
      </c>
      <c r="E114" s="1166">
        <f>'House Count'!D114</f>
        <v/>
      </c>
      <c r="F114" s="1166">
        <f>IF(G114="RES-SFU","RESIDENTIAL",IF(G114="RES-HOA","RESIDENTIAL",IF(G114="RES-MDU","RESIDENTIAL",IF(G114="COMM-SU","BUSINESS",IF(G114="COM-MTU","BUSINESS",IF(G114="ENT","BUSINESS",""))))))</f>
        <v/>
      </c>
      <c r="G114" s="1166">
        <f>'House Count'!F114</f>
        <v/>
      </c>
      <c r="H114" s="1166">
        <f>'House Count'!H114</f>
        <v/>
      </c>
    </row>
    <row r="115">
      <c r="A115" s="1165">
        <f>'House Count'!A115</f>
        <v/>
      </c>
      <c r="B115" s="1166">
        <f>'House Count'!E115</f>
        <v/>
      </c>
      <c r="C115" s="1166">
        <f>'House Count'!B115</f>
        <v/>
      </c>
      <c r="D115" s="1166">
        <f>'House Count'!C115</f>
        <v/>
      </c>
      <c r="E115" s="1166">
        <f>'House Count'!D115</f>
        <v/>
      </c>
      <c r="F115" s="1166">
        <f>IF(G115="RES-SFU","RESIDENTIAL",IF(G115="RES-HOA","RESIDENTIAL",IF(G115="RES-MDU","RESIDENTIAL",IF(G115="COMM-SU","BUSINESS",IF(G115="COM-MTU","BUSINESS",IF(G115="ENT","BUSINESS",""))))))</f>
        <v/>
      </c>
      <c r="G115" s="1166">
        <f>'House Count'!F115</f>
        <v/>
      </c>
      <c r="H115" s="1166">
        <f>'House Count'!H115</f>
        <v/>
      </c>
    </row>
    <row r="116">
      <c r="A116" s="1165">
        <f>'House Count'!A116</f>
        <v/>
      </c>
      <c r="B116" s="1166">
        <f>'House Count'!E116</f>
        <v/>
      </c>
      <c r="C116" s="1166">
        <f>'House Count'!B116</f>
        <v/>
      </c>
      <c r="D116" s="1166">
        <f>'House Count'!C116</f>
        <v/>
      </c>
      <c r="E116" s="1166">
        <f>'House Count'!D116</f>
        <v/>
      </c>
      <c r="F116" s="1166">
        <f>IF(G116="RES-SFU","RESIDENTIAL",IF(G116="RES-HOA","RESIDENTIAL",IF(G116="RES-MDU","RESIDENTIAL",IF(G116="COMM-SU","BUSINESS",IF(G116="COM-MTU","BUSINESS",IF(G116="ENT","BUSINESS",""))))))</f>
        <v/>
      </c>
      <c r="G116" s="1166">
        <f>'House Count'!F116</f>
        <v/>
      </c>
      <c r="H116" s="1166">
        <f>'House Count'!H116</f>
        <v/>
      </c>
    </row>
    <row r="117">
      <c r="A117" s="1165">
        <f>'House Count'!A117</f>
        <v/>
      </c>
      <c r="B117" s="1166">
        <f>'House Count'!E117</f>
        <v/>
      </c>
      <c r="C117" s="1166">
        <f>'House Count'!B117</f>
        <v/>
      </c>
      <c r="D117" s="1166">
        <f>'House Count'!C117</f>
        <v/>
      </c>
      <c r="E117" s="1166">
        <f>'House Count'!D117</f>
        <v/>
      </c>
      <c r="F117" s="1166">
        <f>IF(G117="RES-SFU","RESIDENTIAL",IF(G117="RES-HOA","RESIDENTIAL",IF(G117="RES-MDU","RESIDENTIAL",IF(G117="COMM-SU","BUSINESS",IF(G117="COM-MTU","BUSINESS",IF(G117="ENT","BUSINESS",""))))))</f>
        <v/>
      </c>
      <c r="G117" s="1166">
        <f>'House Count'!F117</f>
        <v/>
      </c>
      <c r="H117" s="1166">
        <f>'House Count'!H117</f>
        <v/>
      </c>
    </row>
    <row r="118">
      <c r="A118" s="1165">
        <f>'House Count'!A118</f>
        <v/>
      </c>
      <c r="B118" s="1166">
        <f>'House Count'!E118</f>
        <v/>
      </c>
      <c r="C118" s="1166">
        <f>'House Count'!B118</f>
        <v/>
      </c>
      <c r="D118" s="1166">
        <f>'House Count'!C118</f>
        <v/>
      </c>
      <c r="E118" s="1166">
        <f>'House Count'!D118</f>
        <v/>
      </c>
      <c r="F118" s="1166">
        <f>IF(G118="RES-SFU","RESIDENTIAL",IF(G118="RES-HOA","RESIDENTIAL",IF(G118="RES-MDU","RESIDENTIAL",IF(G118="COMM-SU","BUSINESS",IF(G118="COM-MTU","BUSINESS",IF(G118="ENT","BUSINESS",""))))))</f>
        <v/>
      </c>
      <c r="G118" s="1166">
        <f>'House Count'!F118</f>
        <v/>
      </c>
      <c r="H118" s="1166">
        <f>'House Count'!H118</f>
        <v/>
      </c>
    </row>
    <row r="119">
      <c r="A119" s="1165">
        <f>'House Count'!A119</f>
        <v/>
      </c>
      <c r="B119" s="1166">
        <f>'House Count'!E119</f>
        <v/>
      </c>
      <c r="C119" s="1166">
        <f>'House Count'!B119</f>
        <v/>
      </c>
      <c r="D119" s="1166">
        <f>'House Count'!C119</f>
        <v/>
      </c>
      <c r="E119" s="1166">
        <f>'House Count'!D119</f>
        <v/>
      </c>
      <c r="F119" s="1166">
        <f>IF(G119="RES-SFU","RESIDENTIAL",IF(G119="RES-HOA","RESIDENTIAL",IF(G119="RES-MDU","RESIDENTIAL",IF(G119="COMM-SU","BUSINESS",IF(G119="COM-MTU","BUSINESS",IF(G119="ENT","BUSINESS",""))))))</f>
        <v/>
      </c>
      <c r="G119" s="1166">
        <f>'House Count'!F119</f>
        <v/>
      </c>
      <c r="H119" s="1166">
        <f>'House Count'!H119</f>
        <v/>
      </c>
    </row>
    <row r="120">
      <c r="A120" s="1165">
        <f>'House Count'!A120</f>
        <v/>
      </c>
      <c r="B120" s="1166">
        <f>'House Count'!E120</f>
        <v/>
      </c>
      <c r="C120" s="1166">
        <f>'House Count'!B120</f>
        <v/>
      </c>
      <c r="D120" s="1166">
        <f>'House Count'!C120</f>
        <v/>
      </c>
      <c r="E120" s="1166">
        <f>'House Count'!D120</f>
        <v/>
      </c>
      <c r="F120" s="1166">
        <f>IF(G120="RES-SFU","RESIDENTIAL",IF(G120="RES-HOA","RESIDENTIAL",IF(G120="RES-MDU","RESIDENTIAL",IF(G120="COMM-SU","BUSINESS",IF(G120="COM-MTU","BUSINESS",IF(G120="ENT","BUSINESS",""))))))</f>
        <v/>
      </c>
      <c r="G120" s="1166">
        <f>'House Count'!F120</f>
        <v/>
      </c>
      <c r="H120" s="1166">
        <f>'House Count'!H120</f>
        <v/>
      </c>
    </row>
    <row r="121">
      <c r="A121" s="1165">
        <f>'House Count'!A121</f>
        <v/>
      </c>
      <c r="B121" s="1166">
        <f>'House Count'!E121</f>
        <v/>
      </c>
      <c r="C121" s="1166">
        <f>'House Count'!B121</f>
        <v/>
      </c>
      <c r="D121" s="1166">
        <f>'House Count'!C121</f>
        <v/>
      </c>
      <c r="E121" s="1166">
        <f>'House Count'!D121</f>
        <v/>
      </c>
      <c r="F121" s="1166">
        <f>IF(G121="RES-SFU","RESIDENTIAL",IF(G121="RES-HOA","RESIDENTIAL",IF(G121="RES-MDU","RESIDENTIAL",IF(G121="COMM-SU","BUSINESS",IF(G121="COM-MTU","BUSINESS",IF(G121="ENT","BUSINESS",""))))))</f>
        <v/>
      </c>
      <c r="G121" s="1166">
        <f>'House Count'!F121</f>
        <v/>
      </c>
      <c r="H121" s="1166">
        <f>'House Count'!H121</f>
        <v/>
      </c>
    </row>
    <row r="122">
      <c r="A122" s="1165">
        <f>'House Count'!A122</f>
        <v/>
      </c>
      <c r="B122" s="1166">
        <f>'House Count'!E122</f>
        <v/>
      </c>
      <c r="C122" s="1166">
        <f>'House Count'!B122</f>
        <v/>
      </c>
      <c r="D122" s="1166">
        <f>'House Count'!C122</f>
        <v/>
      </c>
      <c r="E122" s="1166">
        <f>'House Count'!D122</f>
        <v/>
      </c>
      <c r="F122" s="1166">
        <f>IF(G122="RES-SFU","RESIDENTIAL",IF(G122="RES-HOA","RESIDENTIAL",IF(G122="RES-MDU","RESIDENTIAL",IF(G122="COMM-SU","BUSINESS",IF(G122="COM-MTU","BUSINESS",IF(G122="ENT","BUSINESS",""))))))</f>
        <v/>
      </c>
      <c r="G122" s="1166">
        <f>'House Count'!F122</f>
        <v/>
      </c>
      <c r="H122" s="1166">
        <f>'House Count'!H122</f>
        <v/>
      </c>
    </row>
    <row r="123">
      <c r="A123" s="1165">
        <f>'House Count'!A123</f>
        <v/>
      </c>
      <c r="B123" s="1166">
        <f>'House Count'!E123</f>
        <v/>
      </c>
      <c r="C123" s="1166">
        <f>'House Count'!B123</f>
        <v/>
      </c>
      <c r="D123" s="1166">
        <f>'House Count'!C123</f>
        <v/>
      </c>
      <c r="E123" s="1166">
        <f>'House Count'!D123</f>
        <v/>
      </c>
      <c r="F123" s="1166">
        <f>IF(G123="RES-SFU","RESIDENTIAL",IF(G123="RES-HOA","RESIDENTIAL",IF(G123="RES-MDU","RESIDENTIAL",IF(G123="COMM-SU","BUSINESS",IF(G123="COM-MTU","BUSINESS",IF(G123="ENT","BUSINESS",""))))))</f>
        <v/>
      </c>
      <c r="G123" s="1166">
        <f>'House Count'!F123</f>
        <v/>
      </c>
      <c r="H123" s="1166">
        <f>'House Count'!H123</f>
        <v/>
      </c>
    </row>
    <row r="124">
      <c r="A124" s="1165">
        <f>'House Count'!A124</f>
        <v/>
      </c>
      <c r="B124" s="1166">
        <f>'House Count'!E124</f>
        <v/>
      </c>
      <c r="C124" s="1166">
        <f>'House Count'!B124</f>
        <v/>
      </c>
      <c r="D124" s="1166">
        <f>'House Count'!C124</f>
        <v/>
      </c>
      <c r="E124" s="1166">
        <f>'House Count'!D124</f>
        <v/>
      </c>
      <c r="F124" s="1166">
        <f>IF(G124="RES-SFU","RESIDENTIAL",IF(G124="RES-HOA","RESIDENTIAL",IF(G124="RES-MDU","RESIDENTIAL",IF(G124="COMM-SU","BUSINESS",IF(G124="COM-MTU","BUSINESS",IF(G124="ENT","BUSINESS",""))))))</f>
        <v/>
      </c>
      <c r="G124" s="1166">
        <f>'House Count'!F124</f>
        <v/>
      </c>
      <c r="H124" s="1166">
        <f>'House Count'!H124</f>
        <v/>
      </c>
    </row>
    <row r="125">
      <c r="A125" s="1165">
        <f>'House Count'!A125</f>
        <v/>
      </c>
      <c r="B125" s="1166">
        <f>'House Count'!E125</f>
        <v/>
      </c>
      <c r="C125" s="1166">
        <f>'House Count'!B125</f>
        <v/>
      </c>
      <c r="D125" s="1166">
        <f>'House Count'!C125</f>
        <v/>
      </c>
      <c r="E125" s="1166">
        <f>'House Count'!D125</f>
        <v/>
      </c>
      <c r="F125" s="1166">
        <f>IF(G125="RES-SFU","RESIDENTIAL",IF(G125="RES-HOA","RESIDENTIAL",IF(G125="RES-MDU","RESIDENTIAL",IF(G125="COMM-SU","BUSINESS",IF(G125="COM-MTU","BUSINESS",IF(G125="ENT","BUSINESS",""))))))</f>
        <v/>
      </c>
      <c r="G125" s="1166">
        <f>'House Count'!F125</f>
        <v/>
      </c>
      <c r="H125" s="1166">
        <f>'House Count'!H125</f>
        <v/>
      </c>
    </row>
    <row r="126">
      <c r="A126" s="1165">
        <f>'House Count'!A126</f>
        <v/>
      </c>
      <c r="B126" s="1166">
        <f>'House Count'!E126</f>
        <v/>
      </c>
      <c r="C126" s="1166">
        <f>'House Count'!B126</f>
        <v/>
      </c>
      <c r="D126" s="1166">
        <f>'House Count'!C126</f>
        <v/>
      </c>
      <c r="E126" s="1166">
        <f>'House Count'!D126</f>
        <v/>
      </c>
      <c r="F126" s="1166">
        <f>IF(G126="RES-SFU","RESIDENTIAL",IF(G126="RES-HOA","RESIDENTIAL",IF(G126="RES-MDU","RESIDENTIAL",IF(G126="COMM-SU","BUSINESS",IF(G126="COM-MTU","BUSINESS",IF(G126="ENT","BUSINESS",""))))))</f>
        <v/>
      </c>
      <c r="G126" s="1166">
        <f>'House Count'!F126</f>
        <v/>
      </c>
      <c r="H126" s="1166">
        <f>'House Count'!H126</f>
        <v/>
      </c>
    </row>
    <row r="127">
      <c r="A127" s="1165">
        <f>'House Count'!A127</f>
        <v/>
      </c>
      <c r="B127" s="1166">
        <f>'House Count'!E127</f>
        <v/>
      </c>
      <c r="C127" s="1166">
        <f>'House Count'!B127</f>
        <v/>
      </c>
      <c r="D127" s="1166">
        <f>'House Count'!C127</f>
        <v/>
      </c>
      <c r="E127" s="1166">
        <f>'House Count'!D127</f>
        <v/>
      </c>
      <c r="F127" s="1166">
        <f>IF(G127="RES-SFU","RESIDENTIAL",IF(G127="RES-HOA","RESIDENTIAL",IF(G127="RES-MDU","RESIDENTIAL",IF(G127="COMM-SU","BUSINESS",IF(G127="COM-MTU","BUSINESS",IF(G127="ENT","BUSINESS",""))))))</f>
        <v/>
      </c>
      <c r="G127" s="1166">
        <f>'House Count'!F127</f>
        <v/>
      </c>
      <c r="H127" s="1166">
        <f>'House Count'!H127</f>
        <v/>
      </c>
    </row>
    <row r="128">
      <c r="A128" s="1165">
        <f>'House Count'!A128</f>
        <v/>
      </c>
      <c r="B128" s="1166">
        <f>'House Count'!E128</f>
        <v/>
      </c>
      <c r="C128" s="1166">
        <f>'House Count'!B128</f>
        <v/>
      </c>
      <c r="D128" s="1166">
        <f>'House Count'!C128</f>
        <v/>
      </c>
      <c r="E128" s="1166">
        <f>'House Count'!D128</f>
        <v/>
      </c>
      <c r="F128" s="1166">
        <f>IF(G128="RES-SFU","RESIDENTIAL",IF(G128="RES-HOA","RESIDENTIAL",IF(G128="RES-MDU","RESIDENTIAL",IF(G128="COMM-SU","BUSINESS",IF(G128="COM-MTU","BUSINESS",IF(G128="ENT","BUSINESS",""))))))</f>
        <v/>
      </c>
      <c r="G128" s="1166">
        <f>'House Count'!F128</f>
        <v/>
      </c>
      <c r="H128" s="1166">
        <f>'House Count'!H128</f>
        <v/>
      </c>
    </row>
    <row r="129">
      <c r="A129" s="1165">
        <f>'House Count'!A129</f>
        <v/>
      </c>
      <c r="B129" s="1166">
        <f>'House Count'!E129</f>
        <v/>
      </c>
      <c r="C129" s="1166">
        <f>'House Count'!B129</f>
        <v/>
      </c>
      <c r="D129" s="1166">
        <f>'House Count'!C129</f>
        <v/>
      </c>
      <c r="E129" s="1166">
        <f>'House Count'!D129</f>
        <v/>
      </c>
      <c r="F129" s="1166">
        <f>IF(G129="RES-SFU","RESIDENTIAL",IF(G129="RES-HOA","RESIDENTIAL",IF(G129="RES-MDU","RESIDENTIAL",IF(G129="COMM-SU","BUSINESS",IF(G129="COM-MTU","BUSINESS",IF(G129="ENT","BUSINESS",""))))))</f>
        <v/>
      </c>
      <c r="G129" s="1166">
        <f>'House Count'!F129</f>
        <v/>
      </c>
      <c r="H129" s="1166">
        <f>'House Count'!H129</f>
        <v/>
      </c>
    </row>
    <row r="130">
      <c r="A130" s="1165">
        <f>'House Count'!A130</f>
        <v/>
      </c>
      <c r="B130" s="1166">
        <f>'House Count'!E130</f>
        <v/>
      </c>
      <c r="C130" s="1166">
        <f>'House Count'!B130</f>
        <v/>
      </c>
      <c r="D130" s="1166">
        <f>'House Count'!C130</f>
        <v/>
      </c>
      <c r="E130" s="1166">
        <f>'House Count'!D130</f>
        <v/>
      </c>
      <c r="F130" s="1166">
        <f>IF(G130="RES-SFU","RESIDENTIAL",IF(G130="RES-HOA","RESIDENTIAL",IF(G130="RES-MDU","RESIDENTIAL",IF(G130="COMM-SU","BUSINESS",IF(G130="COM-MTU","BUSINESS",IF(G130="ENT","BUSINESS",""))))))</f>
        <v/>
      </c>
      <c r="G130" s="1166">
        <f>'House Count'!F130</f>
        <v/>
      </c>
      <c r="H130" s="1166">
        <f>'House Count'!H130</f>
        <v/>
      </c>
    </row>
    <row r="131">
      <c r="A131" s="1165">
        <f>'House Count'!A131</f>
        <v/>
      </c>
      <c r="B131" s="1166">
        <f>'House Count'!E131</f>
        <v/>
      </c>
      <c r="C131" s="1166">
        <f>'House Count'!B131</f>
        <v/>
      </c>
      <c r="D131" s="1166">
        <f>'House Count'!C131</f>
        <v/>
      </c>
      <c r="E131" s="1166">
        <f>'House Count'!D131</f>
        <v/>
      </c>
      <c r="F131" s="1166">
        <f>IF(G131="RES-SFU","RESIDENTIAL",IF(G131="RES-HOA","RESIDENTIAL",IF(G131="RES-MDU","RESIDENTIAL",IF(G131="COMM-SU","BUSINESS",IF(G131="COM-MTU","BUSINESS",IF(G131="ENT","BUSINESS",""))))))</f>
        <v/>
      </c>
      <c r="G131" s="1166">
        <f>'House Count'!F131</f>
        <v/>
      </c>
      <c r="H131" s="1166">
        <f>'House Count'!H131</f>
        <v/>
      </c>
    </row>
    <row r="132">
      <c r="A132" s="1165">
        <f>'House Count'!A132</f>
        <v/>
      </c>
      <c r="B132" s="1166">
        <f>'House Count'!E132</f>
        <v/>
      </c>
      <c r="C132" s="1166">
        <f>'House Count'!B132</f>
        <v/>
      </c>
      <c r="D132" s="1166">
        <f>'House Count'!C132</f>
        <v/>
      </c>
      <c r="E132" s="1166">
        <f>'House Count'!D132</f>
        <v/>
      </c>
      <c r="F132" s="1166">
        <f>IF(G132="RES-SFU","RESIDENTIAL",IF(G132="RES-HOA","RESIDENTIAL",IF(G132="RES-MDU","RESIDENTIAL",IF(G132="COMM-SU","BUSINESS",IF(G132="COM-MTU","BUSINESS",IF(G132="ENT","BUSINESS",""))))))</f>
        <v/>
      </c>
      <c r="G132" s="1166">
        <f>'House Count'!F132</f>
        <v/>
      </c>
      <c r="H132" s="1166">
        <f>'House Count'!H132</f>
        <v/>
      </c>
    </row>
    <row r="133">
      <c r="A133" s="1165">
        <f>'House Count'!A133</f>
        <v/>
      </c>
      <c r="B133" s="1166">
        <f>'House Count'!E133</f>
        <v/>
      </c>
      <c r="C133" s="1166">
        <f>'House Count'!B133</f>
        <v/>
      </c>
      <c r="D133" s="1166">
        <f>'House Count'!C133</f>
        <v/>
      </c>
      <c r="E133" s="1166">
        <f>'House Count'!D133</f>
        <v/>
      </c>
      <c r="F133" s="1166">
        <f>IF(G133="RES-SFU","RESIDENTIAL",IF(G133="RES-HOA","RESIDENTIAL",IF(G133="RES-MDU","RESIDENTIAL",IF(G133="COMM-SU","BUSINESS",IF(G133="COM-MTU","BUSINESS",IF(G133="ENT","BUSINESS",""))))))</f>
        <v/>
      </c>
      <c r="G133" s="1166">
        <f>'House Count'!F133</f>
        <v/>
      </c>
      <c r="H133" s="1166">
        <f>'House Count'!H133</f>
        <v/>
      </c>
    </row>
    <row r="134">
      <c r="A134" s="1165">
        <f>'House Count'!A134</f>
        <v/>
      </c>
      <c r="B134" s="1166">
        <f>'House Count'!E134</f>
        <v/>
      </c>
      <c r="C134" s="1166">
        <f>'House Count'!B134</f>
        <v/>
      </c>
      <c r="D134" s="1166">
        <f>'House Count'!C134</f>
        <v/>
      </c>
      <c r="E134" s="1166">
        <f>'House Count'!D134</f>
        <v/>
      </c>
      <c r="F134" s="1166">
        <f>IF(G134="RES-SFU","RESIDENTIAL",IF(G134="RES-HOA","RESIDENTIAL",IF(G134="RES-MDU","RESIDENTIAL",IF(G134="COMM-SU","BUSINESS",IF(G134="COM-MTU","BUSINESS",IF(G134="ENT","BUSINESS",""))))))</f>
        <v/>
      </c>
      <c r="G134" s="1166">
        <f>'House Count'!F134</f>
        <v/>
      </c>
      <c r="H134" s="1166">
        <f>'House Count'!H134</f>
        <v/>
      </c>
    </row>
    <row r="135">
      <c r="A135" s="1165">
        <f>'House Count'!A135</f>
        <v/>
      </c>
      <c r="B135" s="1166">
        <f>'House Count'!E135</f>
        <v/>
      </c>
      <c r="C135" s="1166">
        <f>'House Count'!B135</f>
        <v/>
      </c>
      <c r="D135" s="1166">
        <f>'House Count'!C135</f>
        <v/>
      </c>
      <c r="E135" s="1166">
        <f>'House Count'!D135</f>
        <v/>
      </c>
      <c r="F135" s="1166">
        <f>IF(G135="RES-SFU","RESIDENTIAL",IF(G135="RES-HOA","RESIDENTIAL",IF(G135="RES-MDU","RESIDENTIAL",IF(G135="COMM-SU","BUSINESS",IF(G135="COM-MTU","BUSINESS",IF(G135="ENT","BUSINESS",""))))))</f>
        <v/>
      </c>
      <c r="G135" s="1166">
        <f>'House Count'!F135</f>
        <v/>
      </c>
      <c r="H135" s="1166">
        <f>'House Count'!H135</f>
        <v/>
      </c>
    </row>
    <row r="136">
      <c r="A136" s="1165">
        <f>'House Count'!A136</f>
        <v/>
      </c>
      <c r="B136" s="1166">
        <f>'House Count'!E136</f>
        <v/>
      </c>
      <c r="C136" s="1166">
        <f>'House Count'!B136</f>
        <v/>
      </c>
      <c r="D136" s="1166">
        <f>'House Count'!C136</f>
        <v/>
      </c>
      <c r="E136" s="1166">
        <f>'House Count'!D136</f>
        <v/>
      </c>
      <c r="F136" s="1166">
        <f>IF(G136="RES-SFU","RESIDENTIAL",IF(G136="RES-HOA","RESIDENTIAL",IF(G136="RES-MDU","RESIDENTIAL",IF(G136="COMM-SU","BUSINESS",IF(G136="COM-MTU","BUSINESS",IF(G136="ENT","BUSINESS",""))))))</f>
        <v/>
      </c>
      <c r="G136" s="1166">
        <f>'House Count'!F136</f>
        <v/>
      </c>
      <c r="H136" s="1166">
        <f>'House Count'!H136</f>
        <v/>
      </c>
    </row>
    <row r="137">
      <c r="A137" s="1165">
        <f>'House Count'!A137</f>
        <v/>
      </c>
      <c r="B137" s="1166">
        <f>'House Count'!E137</f>
        <v/>
      </c>
      <c r="C137" s="1166">
        <f>'House Count'!B137</f>
        <v/>
      </c>
      <c r="D137" s="1166">
        <f>'House Count'!C137</f>
        <v/>
      </c>
      <c r="E137" s="1166">
        <f>'House Count'!D137</f>
        <v/>
      </c>
      <c r="F137" s="1166">
        <f>IF(G137="RES-SFU","RESIDENTIAL",IF(G137="RES-HOA","RESIDENTIAL",IF(G137="RES-MDU","RESIDENTIAL",IF(G137="COMM-SU","BUSINESS",IF(G137="COM-MTU","BUSINESS",IF(G137="ENT","BUSINESS",""))))))</f>
        <v/>
      </c>
      <c r="G137" s="1166">
        <f>'House Count'!F137</f>
        <v/>
      </c>
      <c r="H137" s="1166">
        <f>'House Count'!H137</f>
        <v/>
      </c>
    </row>
    <row r="138">
      <c r="A138" s="1165">
        <f>'House Count'!A138</f>
        <v/>
      </c>
      <c r="B138" s="1166">
        <f>'House Count'!E138</f>
        <v/>
      </c>
      <c r="C138" s="1166">
        <f>'House Count'!B138</f>
        <v/>
      </c>
      <c r="D138" s="1166">
        <f>'House Count'!C138</f>
        <v/>
      </c>
      <c r="E138" s="1166">
        <f>'House Count'!D138</f>
        <v/>
      </c>
      <c r="F138" s="1166">
        <f>IF(G138="RES-SFU","RESIDENTIAL",IF(G138="RES-HOA","RESIDENTIAL",IF(G138="RES-MDU","RESIDENTIAL",IF(G138="COMM-SU","BUSINESS",IF(G138="COM-MTU","BUSINESS",IF(G138="ENT","BUSINESS",""))))))</f>
        <v/>
      </c>
      <c r="G138" s="1166">
        <f>'House Count'!F138</f>
        <v/>
      </c>
      <c r="H138" s="1166">
        <f>'House Count'!H138</f>
        <v/>
      </c>
    </row>
    <row r="139">
      <c r="A139" s="1165">
        <f>'House Count'!A139</f>
        <v/>
      </c>
      <c r="B139" s="1166">
        <f>'House Count'!E139</f>
        <v/>
      </c>
      <c r="C139" s="1166">
        <f>'House Count'!B139</f>
        <v/>
      </c>
      <c r="D139" s="1166">
        <f>'House Count'!C139</f>
        <v/>
      </c>
      <c r="E139" s="1166">
        <f>'House Count'!D139</f>
        <v/>
      </c>
      <c r="F139" s="1166">
        <f>IF(G139="RES-SFU","RESIDENTIAL",IF(G139="RES-HOA","RESIDENTIAL",IF(G139="RES-MDU","RESIDENTIAL",IF(G139="COMM-SU","BUSINESS",IF(G139="COM-MTU","BUSINESS",IF(G139="ENT","BUSINESS",""))))))</f>
        <v/>
      </c>
      <c r="G139" s="1166">
        <f>'House Count'!F139</f>
        <v/>
      </c>
      <c r="H139" s="1166">
        <f>'House Count'!H139</f>
        <v/>
      </c>
    </row>
    <row r="140">
      <c r="A140" s="1165">
        <f>'House Count'!A140</f>
        <v/>
      </c>
      <c r="B140" s="1166">
        <f>'House Count'!E140</f>
        <v/>
      </c>
      <c r="C140" s="1166">
        <f>'House Count'!B140</f>
        <v/>
      </c>
      <c r="D140" s="1166">
        <f>'House Count'!C140</f>
        <v/>
      </c>
      <c r="E140" s="1166">
        <f>'House Count'!D140</f>
        <v/>
      </c>
      <c r="F140" s="1166">
        <f>IF(G140="RES-SFU","RESIDENTIAL",IF(G140="RES-HOA","RESIDENTIAL",IF(G140="RES-MDU","RESIDENTIAL",IF(G140="COMM-SU","BUSINESS",IF(G140="COM-MTU","BUSINESS",IF(G140="ENT","BUSINESS",""))))))</f>
        <v/>
      </c>
      <c r="G140" s="1166">
        <f>'House Count'!F140</f>
        <v/>
      </c>
      <c r="H140" s="1166">
        <f>'House Count'!H140</f>
        <v/>
      </c>
    </row>
    <row r="141">
      <c r="A141" s="1165">
        <f>'House Count'!A141</f>
        <v/>
      </c>
      <c r="B141" s="1166">
        <f>'House Count'!E141</f>
        <v/>
      </c>
      <c r="C141" s="1166">
        <f>'House Count'!B141</f>
        <v/>
      </c>
      <c r="D141" s="1166">
        <f>'House Count'!C141</f>
        <v/>
      </c>
      <c r="E141" s="1166">
        <f>'House Count'!D141</f>
        <v/>
      </c>
      <c r="F141" s="1166">
        <f>IF(G141="RES-SFU","RESIDENTIAL",IF(G141="RES-HOA","RESIDENTIAL",IF(G141="RES-MDU","RESIDENTIAL",IF(G141="COMM-SU","BUSINESS",IF(G141="COM-MTU","BUSINESS",IF(G141="ENT","BUSINESS",""))))))</f>
        <v/>
      </c>
      <c r="G141" s="1166">
        <f>'House Count'!F141</f>
        <v/>
      </c>
      <c r="H141" s="1166">
        <f>'House Count'!H141</f>
        <v/>
      </c>
    </row>
    <row r="142">
      <c r="A142" s="1165">
        <f>'House Count'!A142</f>
        <v/>
      </c>
      <c r="B142" s="1166">
        <f>'House Count'!E142</f>
        <v/>
      </c>
      <c r="C142" s="1166">
        <f>'House Count'!B142</f>
        <v/>
      </c>
      <c r="D142" s="1166">
        <f>'House Count'!C142</f>
        <v/>
      </c>
      <c r="E142" s="1166">
        <f>'House Count'!D142</f>
        <v/>
      </c>
      <c r="F142" s="1166">
        <f>IF(G142="RES-SFU","RESIDENTIAL",IF(G142="RES-HOA","RESIDENTIAL",IF(G142="RES-MDU","RESIDENTIAL",IF(G142="COMM-SU","BUSINESS",IF(G142="COM-MTU","BUSINESS",IF(G142="ENT","BUSINESS",""))))))</f>
        <v/>
      </c>
      <c r="G142" s="1166">
        <f>'House Count'!F142</f>
        <v/>
      </c>
      <c r="H142" s="1166">
        <f>'House Count'!H142</f>
        <v/>
      </c>
    </row>
    <row r="143">
      <c r="A143" s="1165">
        <f>'House Count'!A143</f>
        <v/>
      </c>
      <c r="B143" s="1166">
        <f>'House Count'!E143</f>
        <v/>
      </c>
      <c r="C143" s="1166">
        <f>'House Count'!B143</f>
        <v/>
      </c>
      <c r="D143" s="1166">
        <f>'House Count'!C143</f>
        <v/>
      </c>
      <c r="E143" s="1166">
        <f>'House Count'!D143</f>
        <v/>
      </c>
      <c r="F143" s="1166">
        <f>IF(G143="RES-SFU","RESIDENTIAL",IF(G143="RES-HOA","RESIDENTIAL",IF(G143="RES-MDU","RESIDENTIAL",IF(G143="COMM-SU","BUSINESS",IF(G143="COM-MTU","BUSINESS",IF(G143="ENT","BUSINESS",""))))))</f>
        <v/>
      </c>
      <c r="G143" s="1166">
        <f>'House Count'!F143</f>
        <v/>
      </c>
      <c r="H143" s="1166">
        <f>'House Count'!H143</f>
        <v/>
      </c>
    </row>
    <row r="144">
      <c r="A144" s="1165">
        <f>'House Count'!A144</f>
        <v/>
      </c>
      <c r="B144" s="1166">
        <f>'House Count'!E144</f>
        <v/>
      </c>
      <c r="C144" s="1166">
        <f>'House Count'!B144</f>
        <v/>
      </c>
      <c r="D144" s="1166">
        <f>'House Count'!C144</f>
        <v/>
      </c>
      <c r="E144" s="1166">
        <f>'House Count'!D144</f>
        <v/>
      </c>
      <c r="F144" s="1166">
        <f>IF(G144="RES-SFU","RESIDENTIAL",IF(G144="RES-HOA","RESIDENTIAL",IF(G144="RES-MDU","RESIDENTIAL",IF(G144="COMM-SU","BUSINESS",IF(G144="COM-MTU","BUSINESS",IF(G144="ENT","BUSINESS",""))))))</f>
        <v/>
      </c>
      <c r="G144" s="1166">
        <f>'House Count'!F144</f>
        <v/>
      </c>
      <c r="H144" s="1166">
        <f>'House Count'!H144</f>
        <v/>
      </c>
    </row>
    <row r="145">
      <c r="A145" s="1165">
        <f>'House Count'!A145</f>
        <v/>
      </c>
      <c r="B145" s="1166">
        <f>'House Count'!E145</f>
        <v/>
      </c>
      <c r="C145" s="1166">
        <f>'House Count'!B145</f>
        <v/>
      </c>
      <c r="D145" s="1166">
        <f>'House Count'!C145</f>
        <v/>
      </c>
      <c r="E145" s="1166">
        <f>'House Count'!D145</f>
        <v/>
      </c>
      <c r="F145" s="1166">
        <f>IF(G145="RES-SFU","RESIDENTIAL",IF(G145="RES-HOA","RESIDENTIAL",IF(G145="RES-MDU","RESIDENTIAL",IF(G145="COMM-SU","BUSINESS",IF(G145="COM-MTU","BUSINESS",IF(G145="ENT","BUSINESS",""))))))</f>
        <v/>
      </c>
      <c r="G145" s="1166">
        <f>'House Count'!F145</f>
        <v/>
      </c>
      <c r="H145" s="1166">
        <f>'House Count'!H145</f>
        <v/>
      </c>
    </row>
    <row r="146">
      <c r="A146" s="1165">
        <f>'House Count'!A146</f>
        <v/>
      </c>
      <c r="B146" s="1166">
        <f>'House Count'!E146</f>
        <v/>
      </c>
      <c r="C146" s="1166">
        <f>'House Count'!B146</f>
        <v/>
      </c>
      <c r="D146" s="1166">
        <f>'House Count'!C146</f>
        <v/>
      </c>
      <c r="E146" s="1166">
        <f>'House Count'!D146</f>
        <v/>
      </c>
      <c r="F146" s="1166">
        <f>IF(G146="RES-SFU","RESIDENTIAL",IF(G146="RES-HOA","RESIDENTIAL",IF(G146="RES-MDU","RESIDENTIAL",IF(G146="COMM-SU","BUSINESS",IF(G146="COM-MTU","BUSINESS",IF(G146="ENT","BUSINESS",""))))))</f>
        <v/>
      </c>
      <c r="G146" s="1166">
        <f>'House Count'!F146</f>
        <v/>
      </c>
      <c r="H146" s="1166">
        <f>'House Count'!H146</f>
        <v/>
      </c>
    </row>
    <row r="147">
      <c r="A147" s="1165">
        <f>'House Count'!A147</f>
        <v/>
      </c>
      <c r="B147" s="1166">
        <f>'House Count'!E147</f>
        <v/>
      </c>
      <c r="C147" s="1166">
        <f>'House Count'!B147</f>
        <v/>
      </c>
      <c r="D147" s="1166">
        <f>'House Count'!C147</f>
        <v/>
      </c>
      <c r="E147" s="1166">
        <f>'House Count'!D147</f>
        <v/>
      </c>
      <c r="F147" s="1166">
        <f>IF(G147="RES-SFU","RESIDENTIAL",IF(G147="RES-HOA","RESIDENTIAL",IF(G147="RES-MDU","RESIDENTIAL",IF(G147="COMM-SU","BUSINESS",IF(G147="COM-MTU","BUSINESS",IF(G147="ENT","BUSINESS",""))))))</f>
        <v/>
      </c>
      <c r="G147" s="1166">
        <f>'House Count'!F147</f>
        <v/>
      </c>
      <c r="H147" s="1166">
        <f>'House Count'!H147</f>
        <v/>
      </c>
    </row>
    <row r="148">
      <c r="A148" s="1165">
        <f>'House Count'!A148</f>
        <v/>
      </c>
      <c r="B148" s="1166">
        <f>'House Count'!E148</f>
        <v/>
      </c>
      <c r="C148" s="1166">
        <f>'House Count'!B148</f>
        <v/>
      </c>
      <c r="D148" s="1166">
        <f>'House Count'!C148</f>
        <v/>
      </c>
      <c r="E148" s="1166">
        <f>'House Count'!D148</f>
        <v/>
      </c>
      <c r="F148" s="1166">
        <f>IF(G148="RES-SFU","RESIDENTIAL",IF(G148="RES-HOA","RESIDENTIAL",IF(G148="RES-MDU","RESIDENTIAL",IF(G148="COMM-SU","BUSINESS",IF(G148="COM-MTU","BUSINESS",IF(G148="ENT","BUSINESS",""))))))</f>
        <v/>
      </c>
      <c r="G148" s="1166">
        <f>'House Count'!F148</f>
        <v/>
      </c>
      <c r="H148" s="1166">
        <f>'House Count'!H148</f>
        <v/>
      </c>
    </row>
    <row r="149">
      <c r="A149" s="1165">
        <f>'House Count'!A149</f>
        <v/>
      </c>
      <c r="B149" s="1166">
        <f>'House Count'!E149</f>
        <v/>
      </c>
      <c r="C149" s="1166">
        <f>'House Count'!B149</f>
        <v/>
      </c>
      <c r="D149" s="1166">
        <f>'House Count'!C149</f>
        <v/>
      </c>
      <c r="E149" s="1166">
        <f>'House Count'!D149</f>
        <v/>
      </c>
      <c r="F149" s="1166">
        <f>IF(G149="RES-SFU","RESIDENTIAL",IF(G149="RES-HOA","RESIDENTIAL",IF(G149="RES-MDU","RESIDENTIAL",IF(G149="COMM-SU","BUSINESS",IF(G149="COM-MTU","BUSINESS",IF(G149="ENT","BUSINESS",""))))))</f>
        <v/>
      </c>
      <c r="G149" s="1166">
        <f>'House Count'!F149</f>
        <v/>
      </c>
      <c r="H149" s="1166">
        <f>'House Count'!H149</f>
        <v/>
      </c>
    </row>
    <row r="150">
      <c r="A150" s="1165">
        <f>'House Count'!A150</f>
        <v/>
      </c>
      <c r="B150" s="1166">
        <f>'House Count'!E150</f>
        <v/>
      </c>
      <c r="C150" s="1166">
        <f>'House Count'!B150</f>
        <v/>
      </c>
      <c r="D150" s="1166">
        <f>'House Count'!C150</f>
        <v/>
      </c>
      <c r="E150" s="1166">
        <f>'House Count'!D150</f>
        <v/>
      </c>
      <c r="F150" s="1166">
        <f>IF(G150="RES-SFU","RESIDENTIAL",IF(G150="RES-HOA","RESIDENTIAL",IF(G150="RES-MDU","RESIDENTIAL",IF(G150="COMM-SU","BUSINESS",IF(G150="COM-MTU","BUSINESS",IF(G150="ENT","BUSINESS",""))))))</f>
        <v/>
      </c>
      <c r="G150" s="1166">
        <f>'House Count'!F150</f>
        <v/>
      </c>
      <c r="H150" s="1166">
        <f>'House Count'!H150</f>
        <v/>
      </c>
    </row>
    <row r="151">
      <c r="A151" s="1165">
        <f>'House Count'!A151</f>
        <v/>
      </c>
      <c r="B151" s="1166">
        <f>'House Count'!E151</f>
        <v/>
      </c>
      <c r="C151" s="1166">
        <f>'House Count'!B151</f>
        <v/>
      </c>
      <c r="D151" s="1166">
        <f>'House Count'!C151</f>
        <v/>
      </c>
      <c r="E151" s="1166">
        <f>'House Count'!D151</f>
        <v/>
      </c>
      <c r="F151" s="1166">
        <f>IF(G151="RES-SFU","RESIDENTIAL",IF(G151="RES-HOA","RESIDENTIAL",IF(G151="RES-MDU","RESIDENTIAL",IF(G151="COMM-SU","BUSINESS",IF(G151="COM-MTU","BUSINESS",IF(G151="ENT","BUSINESS",""))))))</f>
        <v/>
      </c>
      <c r="G151" s="1166">
        <f>'House Count'!F151</f>
        <v/>
      </c>
      <c r="H151" s="1166">
        <f>'House Count'!H151</f>
        <v/>
      </c>
    </row>
    <row r="152">
      <c r="A152" s="1165">
        <f>'House Count'!A152</f>
        <v/>
      </c>
      <c r="B152" s="1166">
        <f>'House Count'!E152</f>
        <v/>
      </c>
      <c r="C152" s="1166">
        <f>'House Count'!B152</f>
        <v/>
      </c>
      <c r="D152" s="1166">
        <f>'House Count'!C152</f>
        <v/>
      </c>
      <c r="E152" s="1166">
        <f>'House Count'!D152</f>
        <v/>
      </c>
      <c r="F152" s="1166">
        <f>IF(G152="RES-SFU","RESIDENTIAL",IF(G152="RES-HOA","RESIDENTIAL",IF(G152="RES-MDU","RESIDENTIAL",IF(G152="COMM-SU","BUSINESS",IF(G152="COM-MTU","BUSINESS",IF(G152="ENT","BUSINESS",""))))))</f>
        <v/>
      </c>
      <c r="G152" s="1166">
        <f>'House Count'!F152</f>
        <v/>
      </c>
      <c r="H152" s="1166">
        <f>'House Count'!H152</f>
        <v/>
      </c>
    </row>
    <row r="153">
      <c r="A153" s="1165">
        <f>'House Count'!A153</f>
        <v/>
      </c>
      <c r="B153" s="1166">
        <f>'House Count'!E153</f>
        <v/>
      </c>
      <c r="C153" s="1166">
        <f>'House Count'!B153</f>
        <v/>
      </c>
      <c r="D153" s="1166">
        <f>'House Count'!C153</f>
        <v/>
      </c>
      <c r="E153" s="1166">
        <f>'House Count'!D153</f>
        <v/>
      </c>
      <c r="F153" s="1166">
        <f>IF(G153="RES-SFU","RESIDENTIAL",IF(G153="RES-HOA","RESIDENTIAL",IF(G153="RES-MDU","RESIDENTIAL",IF(G153="COMM-SU","BUSINESS",IF(G153="COM-MTU","BUSINESS",IF(G153="ENT","BUSINESS",""))))))</f>
        <v/>
      </c>
      <c r="G153" s="1166">
        <f>'House Count'!F153</f>
        <v/>
      </c>
      <c r="H153" s="1166">
        <f>'House Count'!H153</f>
        <v/>
      </c>
    </row>
    <row r="154">
      <c r="A154" s="1165">
        <f>'House Count'!A154</f>
        <v/>
      </c>
      <c r="B154" s="1166">
        <f>'House Count'!E154</f>
        <v/>
      </c>
      <c r="C154" s="1166">
        <f>'House Count'!B154</f>
        <v/>
      </c>
      <c r="D154" s="1166">
        <f>'House Count'!C154</f>
        <v/>
      </c>
      <c r="E154" s="1166">
        <f>'House Count'!D154</f>
        <v/>
      </c>
      <c r="F154" s="1166">
        <f>IF(G154="RES-SFU","RESIDENTIAL",IF(G154="RES-HOA","RESIDENTIAL",IF(G154="RES-MDU","RESIDENTIAL",IF(G154="COMM-SU","BUSINESS",IF(G154="COM-MTU","BUSINESS",IF(G154="ENT","BUSINESS",""))))))</f>
        <v/>
      </c>
      <c r="G154" s="1166">
        <f>'House Count'!F154</f>
        <v/>
      </c>
      <c r="H154" s="1166">
        <f>'House Count'!H154</f>
        <v/>
      </c>
    </row>
    <row r="155">
      <c r="A155" s="1165">
        <f>'House Count'!A155</f>
        <v/>
      </c>
      <c r="B155" s="1166">
        <f>'House Count'!E155</f>
        <v/>
      </c>
      <c r="C155" s="1166">
        <f>'House Count'!B155</f>
        <v/>
      </c>
      <c r="D155" s="1166">
        <f>'House Count'!C155</f>
        <v/>
      </c>
      <c r="E155" s="1166">
        <f>'House Count'!D155</f>
        <v/>
      </c>
      <c r="F155" s="1166">
        <f>IF(G155="RES-SFU","RESIDENTIAL",IF(G155="RES-HOA","RESIDENTIAL",IF(G155="RES-MDU","RESIDENTIAL",IF(G155="COMM-SU","BUSINESS",IF(G155="COM-MTU","BUSINESS",IF(G155="ENT","BUSINESS",""))))))</f>
        <v/>
      </c>
      <c r="G155" s="1166">
        <f>'House Count'!F155</f>
        <v/>
      </c>
      <c r="H155" s="1166">
        <f>'House Count'!H155</f>
        <v/>
      </c>
    </row>
    <row r="156">
      <c r="A156" s="1165">
        <f>'House Count'!A156</f>
        <v/>
      </c>
      <c r="B156" s="1166">
        <f>'House Count'!E156</f>
        <v/>
      </c>
      <c r="C156" s="1166">
        <f>'House Count'!B156</f>
        <v/>
      </c>
      <c r="D156" s="1166">
        <f>'House Count'!C156</f>
        <v/>
      </c>
      <c r="E156" s="1166">
        <f>'House Count'!D156</f>
        <v/>
      </c>
      <c r="F156" s="1166">
        <f>IF(G156="RES-SFU","RESIDENTIAL",IF(G156="RES-HOA","RESIDENTIAL",IF(G156="RES-MDU","RESIDENTIAL",IF(G156="COMM-SU","BUSINESS",IF(G156="COM-MTU","BUSINESS",IF(G156="ENT","BUSINESS",""))))))</f>
        <v/>
      </c>
      <c r="G156" s="1166">
        <f>'House Count'!F156</f>
        <v/>
      </c>
      <c r="H156" s="1166">
        <f>'House Count'!H156</f>
        <v/>
      </c>
    </row>
    <row r="157">
      <c r="A157" s="1165">
        <f>'House Count'!A157</f>
        <v/>
      </c>
      <c r="B157" s="1166">
        <f>'House Count'!E157</f>
        <v/>
      </c>
      <c r="C157" s="1166">
        <f>'House Count'!B157</f>
        <v/>
      </c>
      <c r="D157" s="1166">
        <f>'House Count'!C157</f>
        <v/>
      </c>
      <c r="E157" s="1166">
        <f>'House Count'!D157</f>
        <v/>
      </c>
      <c r="F157" s="1166">
        <f>IF(G157="RES-SFU","RESIDENTIAL",IF(G157="RES-HOA","RESIDENTIAL",IF(G157="RES-MDU","RESIDENTIAL",IF(G157="COMM-SU","BUSINESS",IF(G157="COM-MTU","BUSINESS",IF(G157="ENT","BUSINESS",""))))))</f>
        <v/>
      </c>
      <c r="G157" s="1166">
        <f>'House Count'!F157</f>
        <v/>
      </c>
      <c r="H157" s="1166">
        <f>'House Count'!H157</f>
        <v/>
      </c>
    </row>
    <row r="158">
      <c r="A158" s="1165">
        <f>'House Count'!A158</f>
        <v/>
      </c>
      <c r="B158" s="1166">
        <f>'House Count'!E158</f>
        <v/>
      </c>
      <c r="C158" s="1166">
        <f>'House Count'!B158</f>
        <v/>
      </c>
      <c r="D158" s="1166">
        <f>'House Count'!C158</f>
        <v/>
      </c>
      <c r="E158" s="1166">
        <f>'House Count'!D158</f>
        <v/>
      </c>
      <c r="F158" s="1166">
        <f>IF(G158="RES-SFU","RESIDENTIAL",IF(G158="RES-HOA","RESIDENTIAL",IF(G158="RES-MDU","RESIDENTIAL",IF(G158="COMM-SU","BUSINESS",IF(G158="COM-MTU","BUSINESS",IF(G158="ENT","BUSINESS",""))))))</f>
        <v/>
      </c>
      <c r="G158" s="1166">
        <f>'House Count'!F158</f>
        <v/>
      </c>
      <c r="H158" s="1166">
        <f>'House Count'!H158</f>
        <v/>
      </c>
    </row>
    <row r="159">
      <c r="A159" s="1165">
        <f>'House Count'!A159</f>
        <v/>
      </c>
      <c r="B159" s="1166">
        <f>'House Count'!E159</f>
        <v/>
      </c>
      <c r="C159" s="1166">
        <f>'House Count'!B159</f>
        <v/>
      </c>
      <c r="D159" s="1166">
        <f>'House Count'!C159</f>
        <v/>
      </c>
      <c r="E159" s="1166">
        <f>'House Count'!D159</f>
        <v/>
      </c>
      <c r="F159" s="1166">
        <f>IF(G159="RES-SFU","RESIDENTIAL",IF(G159="RES-HOA","RESIDENTIAL",IF(G159="RES-MDU","RESIDENTIAL",IF(G159="COMM-SU","BUSINESS",IF(G159="COM-MTU","BUSINESS",IF(G159="ENT","BUSINESS",""))))))</f>
        <v/>
      </c>
      <c r="G159" s="1166">
        <f>'House Count'!F159</f>
        <v/>
      </c>
      <c r="H159" s="1166">
        <f>'House Count'!H159</f>
        <v/>
      </c>
    </row>
    <row r="160">
      <c r="A160" s="1165">
        <f>'House Count'!A160</f>
        <v/>
      </c>
      <c r="B160" s="1166">
        <f>'House Count'!E160</f>
        <v/>
      </c>
      <c r="C160" s="1166">
        <f>'House Count'!B160</f>
        <v/>
      </c>
      <c r="D160" s="1166">
        <f>'House Count'!C160</f>
        <v/>
      </c>
      <c r="E160" s="1166">
        <f>'House Count'!D160</f>
        <v/>
      </c>
      <c r="F160" s="1166">
        <f>IF(G160="RES-SFU","RESIDENTIAL",IF(G160="RES-HOA","RESIDENTIAL",IF(G160="RES-MDU","RESIDENTIAL",IF(G160="COMM-SU","BUSINESS",IF(G160="COM-MTU","BUSINESS",IF(G160="ENT","BUSINESS",""))))))</f>
        <v/>
      </c>
      <c r="G160" s="1166">
        <f>'House Count'!F160</f>
        <v/>
      </c>
      <c r="H160" s="1166">
        <f>'House Count'!H160</f>
        <v/>
      </c>
    </row>
    <row r="161">
      <c r="A161" s="1165">
        <f>'House Count'!A161</f>
        <v/>
      </c>
      <c r="B161" s="1166">
        <f>'House Count'!E161</f>
        <v/>
      </c>
      <c r="C161" s="1166">
        <f>'House Count'!B161</f>
        <v/>
      </c>
      <c r="D161" s="1166">
        <f>'House Count'!C161</f>
        <v/>
      </c>
      <c r="E161" s="1166">
        <f>'House Count'!D161</f>
        <v/>
      </c>
      <c r="F161" s="1166">
        <f>IF(G161="RES-SFU","RESIDENTIAL",IF(G161="RES-HOA","RESIDENTIAL",IF(G161="RES-MDU","RESIDENTIAL",IF(G161="COMM-SU","BUSINESS",IF(G161="COM-MTU","BUSINESS",IF(G161="ENT","BUSINESS",""))))))</f>
        <v/>
      </c>
      <c r="G161" s="1166">
        <f>'House Count'!F161</f>
        <v/>
      </c>
      <c r="H161" s="1166">
        <f>'House Count'!H161</f>
        <v/>
      </c>
    </row>
    <row r="162">
      <c r="A162" s="1165">
        <f>'House Count'!A162</f>
        <v/>
      </c>
      <c r="B162" s="1166">
        <f>'House Count'!E162</f>
        <v/>
      </c>
      <c r="C162" s="1166">
        <f>'House Count'!B162</f>
        <v/>
      </c>
      <c r="D162" s="1166">
        <f>'House Count'!C162</f>
        <v/>
      </c>
      <c r="E162" s="1166">
        <f>'House Count'!D162</f>
        <v/>
      </c>
      <c r="F162" s="1166">
        <f>IF(G162="RES-SFU","RESIDENTIAL",IF(G162="RES-HOA","RESIDENTIAL",IF(G162="RES-MDU","RESIDENTIAL",IF(G162="COMM-SU","BUSINESS",IF(G162="COM-MTU","BUSINESS",IF(G162="ENT","BUSINESS",""))))))</f>
        <v/>
      </c>
      <c r="G162" s="1166">
        <f>'House Count'!F162</f>
        <v/>
      </c>
      <c r="H162" s="1166">
        <f>'House Count'!H162</f>
        <v/>
      </c>
    </row>
    <row r="163">
      <c r="A163" s="1165">
        <f>'House Count'!A163</f>
        <v/>
      </c>
      <c r="B163" s="1166">
        <f>'House Count'!E163</f>
        <v/>
      </c>
      <c r="C163" s="1166">
        <f>'House Count'!B163</f>
        <v/>
      </c>
      <c r="D163" s="1166">
        <f>'House Count'!C163</f>
        <v/>
      </c>
      <c r="E163" s="1166">
        <f>'House Count'!D163</f>
        <v/>
      </c>
      <c r="F163" s="1166">
        <f>IF(G163="RES-SFU","RESIDENTIAL",IF(G163="RES-HOA","RESIDENTIAL",IF(G163="RES-MDU","RESIDENTIAL",IF(G163="COMM-SU","BUSINESS",IF(G163="COM-MTU","BUSINESS",IF(G163="ENT","BUSINESS",""))))))</f>
        <v/>
      </c>
      <c r="G163" s="1166">
        <f>'House Count'!F163</f>
        <v/>
      </c>
      <c r="H163" s="1166">
        <f>'House Count'!H163</f>
        <v/>
      </c>
    </row>
    <row r="164">
      <c r="A164" s="1165">
        <f>'House Count'!A164</f>
        <v/>
      </c>
      <c r="B164" s="1166">
        <f>'House Count'!E164</f>
        <v/>
      </c>
      <c r="C164" s="1166">
        <f>'House Count'!B164</f>
        <v/>
      </c>
      <c r="D164" s="1166">
        <f>'House Count'!C164</f>
        <v/>
      </c>
      <c r="E164" s="1166">
        <f>'House Count'!D164</f>
        <v/>
      </c>
      <c r="F164" s="1166">
        <f>IF(G164="RES-SFU","RESIDENTIAL",IF(G164="RES-HOA","RESIDENTIAL",IF(G164="RES-MDU","RESIDENTIAL",IF(G164="COMM-SU","BUSINESS",IF(G164="COM-MTU","BUSINESS",IF(G164="ENT","BUSINESS",""))))))</f>
        <v/>
      </c>
      <c r="G164" s="1166">
        <f>'House Count'!F164</f>
        <v/>
      </c>
      <c r="H164" s="1166">
        <f>'House Count'!H164</f>
        <v/>
      </c>
    </row>
    <row r="165">
      <c r="A165" s="1165">
        <f>'House Count'!A165</f>
        <v/>
      </c>
      <c r="B165" s="1166">
        <f>'House Count'!E165</f>
        <v/>
      </c>
      <c r="C165" s="1166">
        <f>'House Count'!B165</f>
        <v/>
      </c>
      <c r="D165" s="1166">
        <f>'House Count'!C165</f>
        <v/>
      </c>
      <c r="E165" s="1166">
        <f>'House Count'!D165</f>
        <v/>
      </c>
      <c r="F165" s="1166">
        <f>IF(G165="RES-SFU","RESIDENTIAL",IF(G165="RES-HOA","RESIDENTIAL",IF(G165="RES-MDU","RESIDENTIAL",IF(G165="COMM-SU","BUSINESS",IF(G165="COM-MTU","BUSINESS",IF(G165="ENT","BUSINESS",""))))))</f>
        <v/>
      </c>
      <c r="G165" s="1166">
        <f>'House Count'!F165</f>
        <v/>
      </c>
      <c r="H165" s="1166">
        <f>'House Count'!H165</f>
        <v/>
      </c>
    </row>
    <row r="166">
      <c r="A166" s="1165">
        <f>'House Count'!A166</f>
        <v/>
      </c>
      <c r="B166" s="1166">
        <f>'House Count'!E166</f>
        <v/>
      </c>
      <c r="C166" s="1166">
        <f>'House Count'!B166</f>
        <v/>
      </c>
      <c r="D166" s="1166">
        <f>'House Count'!C166</f>
        <v/>
      </c>
      <c r="E166" s="1166">
        <f>'House Count'!D166</f>
        <v/>
      </c>
      <c r="F166" s="1166">
        <f>IF(G166="RES-SFU","RESIDENTIAL",IF(G166="RES-HOA","RESIDENTIAL",IF(G166="RES-MDU","RESIDENTIAL",IF(G166="COMM-SU","BUSINESS",IF(G166="COM-MTU","BUSINESS",IF(G166="ENT","BUSINESS",""))))))</f>
        <v/>
      </c>
      <c r="G166" s="1166">
        <f>'House Count'!F166</f>
        <v/>
      </c>
      <c r="H166" s="1166">
        <f>'House Count'!H166</f>
        <v/>
      </c>
    </row>
    <row r="167">
      <c r="A167" s="1165">
        <f>'House Count'!A167</f>
        <v/>
      </c>
      <c r="B167" s="1166">
        <f>'House Count'!E167</f>
        <v/>
      </c>
      <c r="C167" s="1166">
        <f>'House Count'!B167</f>
        <v/>
      </c>
      <c r="D167" s="1166">
        <f>'House Count'!C167</f>
        <v/>
      </c>
      <c r="E167" s="1166">
        <f>'House Count'!D167</f>
        <v/>
      </c>
      <c r="F167" s="1166">
        <f>IF(G167="RES-SFU","RESIDENTIAL",IF(G167="RES-HOA","RESIDENTIAL",IF(G167="RES-MDU","RESIDENTIAL",IF(G167="COMM-SU","BUSINESS",IF(G167="COM-MTU","BUSINESS",IF(G167="ENT","BUSINESS",""))))))</f>
        <v/>
      </c>
      <c r="G167" s="1166">
        <f>'House Count'!F167</f>
        <v/>
      </c>
      <c r="H167" s="1166">
        <f>'House Count'!H167</f>
        <v/>
      </c>
    </row>
    <row r="168">
      <c r="A168" s="1165">
        <f>'House Count'!A168</f>
        <v/>
      </c>
      <c r="B168" s="1166">
        <f>'House Count'!E168</f>
        <v/>
      </c>
      <c r="C168" s="1166">
        <f>'House Count'!B168</f>
        <v/>
      </c>
      <c r="D168" s="1166">
        <f>'House Count'!C168</f>
        <v/>
      </c>
      <c r="E168" s="1166">
        <f>'House Count'!D168</f>
        <v/>
      </c>
      <c r="F168" s="1166">
        <f>IF(G168="RES-SFU","RESIDENTIAL",IF(G168="RES-HOA","RESIDENTIAL",IF(G168="RES-MDU","RESIDENTIAL",IF(G168="COMM-SU","BUSINESS",IF(G168="COM-MTU","BUSINESS",IF(G168="ENT","BUSINESS",""))))))</f>
        <v/>
      </c>
      <c r="G168" s="1166">
        <f>'House Count'!F168</f>
        <v/>
      </c>
      <c r="H168" s="1166">
        <f>'House Count'!H168</f>
        <v/>
      </c>
    </row>
    <row r="169">
      <c r="A169" s="1165">
        <f>'House Count'!A169</f>
        <v/>
      </c>
      <c r="B169" s="1166">
        <f>'House Count'!E169</f>
        <v/>
      </c>
      <c r="C169" s="1166">
        <f>'House Count'!B169</f>
        <v/>
      </c>
      <c r="D169" s="1166">
        <f>'House Count'!C169</f>
        <v/>
      </c>
      <c r="E169" s="1166">
        <f>'House Count'!D169</f>
        <v/>
      </c>
      <c r="F169" s="1166">
        <f>IF(G169="RES-SFU","RESIDENTIAL",IF(G169="RES-HOA","RESIDENTIAL",IF(G169="RES-MDU","RESIDENTIAL",IF(G169="COMM-SU","BUSINESS",IF(G169="COM-MTU","BUSINESS",IF(G169="ENT","BUSINESS",""))))))</f>
        <v/>
      </c>
      <c r="G169" s="1166">
        <f>'House Count'!F169</f>
        <v/>
      </c>
      <c r="H169" s="1166">
        <f>'House Count'!H169</f>
        <v/>
      </c>
    </row>
    <row r="170">
      <c r="A170" s="1165">
        <f>'House Count'!A170</f>
        <v/>
      </c>
      <c r="B170" s="1166">
        <f>'House Count'!E170</f>
        <v/>
      </c>
      <c r="C170" s="1166">
        <f>'House Count'!B170</f>
        <v/>
      </c>
      <c r="D170" s="1166">
        <f>'House Count'!C170</f>
        <v/>
      </c>
      <c r="E170" s="1166">
        <f>'House Count'!D170</f>
        <v/>
      </c>
      <c r="F170" s="1166">
        <f>IF(G170="RES-SFU","RESIDENTIAL",IF(G170="RES-HOA","RESIDENTIAL",IF(G170="RES-MDU","RESIDENTIAL",IF(G170="COMM-SU","BUSINESS",IF(G170="COM-MTU","BUSINESS",IF(G170="ENT","BUSINESS",""))))))</f>
        <v/>
      </c>
      <c r="G170" s="1166">
        <f>'House Count'!F170</f>
        <v/>
      </c>
      <c r="H170" s="1166">
        <f>'House Count'!H170</f>
        <v/>
      </c>
    </row>
    <row r="171">
      <c r="A171" s="1165">
        <f>'House Count'!A171</f>
        <v/>
      </c>
      <c r="B171" s="1166">
        <f>'House Count'!E171</f>
        <v/>
      </c>
      <c r="C171" s="1166">
        <f>'House Count'!B171</f>
        <v/>
      </c>
      <c r="D171" s="1166">
        <f>'House Count'!C171</f>
        <v/>
      </c>
      <c r="E171" s="1166">
        <f>'House Count'!D171</f>
        <v/>
      </c>
      <c r="F171" s="1166">
        <f>IF(G171="RES-SFU","RESIDENTIAL",IF(G171="RES-HOA","RESIDENTIAL",IF(G171="RES-MDU","RESIDENTIAL",IF(G171="COMM-SU","BUSINESS",IF(G171="COM-MTU","BUSINESS",IF(G171="ENT","BUSINESS",""))))))</f>
        <v/>
      </c>
      <c r="G171" s="1166">
        <f>'House Count'!F171</f>
        <v/>
      </c>
      <c r="H171" s="1166">
        <f>'House Count'!H171</f>
        <v/>
      </c>
    </row>
    <row r="172">
      <c r="A172" s="1165">
        <f>'House Count'!A172</f>
        <v/>
      </c>
      <c r="B172" s="1166">
        <f>'House Count'!E172</f>
        <v/>
      </c>
      <c r="C172" s="1166">
        <f>'House Count'!B172</f>
        <v/>
      </c>
      <c r="D172" s="1166">
        <f>'House Count'!C172</f>
        <v/>
      </c>
      <c r="E172" s="1166">
        <f>'House Count'!D172</f>
        <v/>
      </c>
      <c r="F172" s="1166">
        <f>IF(G172="RES-SFU","RESIDENTIAL",IF(G172="RES-HOA","RESIDENTIAL",IF(G172="RES-MDU","RESIDENTIAL",IF(G172="COMM-SU","BUSINESS",IF(G172="COM-MTU","BUSINESS",IF(G172="ENT","BUSINESS",""))))))</f>
        <v/>
      </c>
      <c r="G172" s="1166">
        <f>'House Count'!F172</f>
        <v/>
      </c>
      <c r="H172" s="1166">
        <f>'House Count'!H172</f>
        <v/>
      </c>
    </row>
    <row r="173">
      <c r="A173" s="1165">
        <f>'House Count'!A173</f>
        <v/>
      </c>
      <c r="B173" s="1166">
        <f>'House Count'!E173</f>
        <v/>
      </c>
      <c r="C173" s="1166">
        <f>'House Count'!B173</f>
        <v/>
      </c>
      <c r="D173" s="1166">
        <f>'House Count'!C173</f>
        <v/>
      </c>
      <c r="E173" s="1166">
        <f>'House Count'!D173</f>
        <v/>
      </c>
      <c r="F173" s="1166">
        <f>IF(G173="RES-SFU","RESIDENTIAL",IF(G173="RES-HOA","RESIDENTIAL",IF(G173="RES-MDU","RESIDENTIAL",IF(G173="COMM-SU","BUSINESS",IF(G173="COM-MTU","BUSINESS",IF(G173="ENT","BUSINESS",""))))))</f>
        <v/>
      </c>
      <c r="G173" s="1166">
        <f>'House Count'!F173</f>
        <v/>
      </c>
      <c r="H173" s="1166">
        <f>'House Count'!H173</f>
        <v/>
      </c>
    </row>
    <row r="174">
      <c r="A174" s="1165">
        <f>'House Count'!A174</f>
        <v/>
      </c>
      <c r="B174" s="1166">
        <f>'House Count'!E174</f>
        <v/>
      </c>
      <c r="C174" s="1166">
        <f>'House Count'!B174</f>
        <v/>
      </c>
      <c r="D174" s="1166">
        <f>'House Count'!C174</f>
        <v/>
      </c>
      <c r="E174" s="1166">
        <f>'House Count'!D174</f>
        <v/>
      </c>
      <c r="F174" s="1166">
        <f>IF(G174="RES-SFU","RESIDENTIAL",IF(G174="RES-HOA","RESIDENTIAL",IF(G174="RES-MDU","RESIDENTIAL",IF(G174="COMM-SU","BUSINESS",IF(G174="COM-MTU","BUSINESS",IF(G174="ENT","BUSINESS",""))))))</f>
        <v/>
      </c>
      <c r="G174" s="1166">
        <f>'House Count'!F174</f>
        <v/>
      </c>
      <c r="H174" s="1166">
        <f>'House Count'!H174</f>
        <v/>
      </c>
    </row>
    <row r="175">
      <c r="A175" s="1165">
        <f>'House Count'!A175</f>
        <v/>
      </c>
      <c r="B175" s="1166">
        <f>'House Count'!E175</f>
        <v/>
      </c>
      <c r="C175" s="1166">
        <f>'House Count'!B175</f>
        <v/>
      </c>
      <c r="D175" s="1166">
        <f>'House Count'!C175</f>
        <v/>
      </c>
      <c r="E175" s="1166">
        <f>'House Count'!D175</f>
        <v/>
      </c>
      <c r="F175" s="1166">
        <f>IF(G175="RES-SFU","RESIDENTIAL",IF(G175="RES-HOA","RESIDENTIAL",IF(G175="RES-MDU","RESIDENTIAL",IF(G175="COMM-SU","BUSINESS",IF(G175="COM-MTU","BUSINESS",IF(G175="ENT","BUSINESS",""))))))</f>
        <v/>
      </c>
      <c r="G175" s="1166">
        <f>'House Count'!F175</f>
        <v/>
      </c>
      <c r="H175" s="1166">
        <f>'House Count'!H175</f>
        <v/>
      </c>
    </row>
    <row r="176">
      <c r="A176" s="1165">
        <f>'House Count'!A176</f>
        <v/>
      </c>
      <c r="B176" s="1166">
        <f>'House Count'!E176</f>
        <v/>
      </c>
      <c r="C176" s="1166">
        <f>'House Count'!B176</f>
        <v/>
      </c>
      <c r="D176" s="1166">
        <f>'House Count'!C176</f>
        <v/>
      </c>
      <c r="E176" s="1166">
        <f>'House Count'!D176</f>
        <v/>
      </c>
      <c r="F176" s="1166">
        <f>IF(G176="RES-SFU","RESIDENTIAL",IF(G176="RES-HOA","RESIDENTIAL",IF(G176="RES-MDU","RESIDENTIAL",IF(G176="COMM-SU","BUSINESS",IF(G176="COM-MTU","BUSINESS",IF(G176="ENT","BUSINESS",""))))))</f>
        <v/>
      </c>
      <c r="G176" s="1166">
        <f>'House Count'!F176</f>
        <v/>
      </c>
      <c r="H176" s="1166">
        <f>'House Count'!H176</f>
        <v/>
      </c>
    </row>
    <row r="177">
      <c r="A177" s="1165">
        <f>'House Count'!A177</f>
        <v/>
      </c>
      <c r="B177" s="1166">
        <f>'House Count'!E177</f>
        <v/>
      </c>
      <c r="C177" s="1166">
        <f>'House Count'!B177</f>
        <v/>
      </c>
      <c r="D177" s="1166">
        <f>'House Count'!C177</f>
        <v/>
      </c>
      <c r="E177" s="1166">
        <f>'House Count'!D177</f>
        <v/>
      </c>
      <c r="F177" s="1166">
        <f>IF(G177="RES-SFU","RESIDENTIAL",IF(G177="RES-HOA","RESIDENTIAL",IF(G177="RES-MDU","RESIDENTIAL",IF(G177="COMM-SU","BUSINESS",IF(G177="COM-MTU","BUSINESS",IF(G177="ENT","BUSINESS",""))))))</f>
        <v/>
      </c>
      <c r="G177" s="1166">
        <f>'House Count'!F177</f>
        <v/>
      </c>
      <c r="H177" s="1166">
        <f>'House Count'!H177</f>
        <v/>
      </c>
    </row>
    <row r="178">
      <c r="A178" s="1165">
        <f>'House Count'!A178</f>
        <v/>
      </c>
      <c r="B178" s="1166">
        <f>'House Count'!E178</f>
        <v/>
      </c>
      <c r="C178" s="1166">
        <f>'House Count'!B178</f>
        <v/>
      </c>
      <c r="D178" s="1166">
        <f>'House Count'!C178</f>
        <v/>
      </c>
      <c r="E178" s="1166">
        <f>'House Count'!D178</f>
        <v/>
      </c>
      <c r="F178" s="1166">
        <f>IF(G178="RES-SFU","RESIDENTIAL",IF(G178="RES-HOA","RESIDENTIAL",IF(G178="RES-MDU","RESIDENTIAL",IF(G178="COMM-SU","BUSINESS",IF(G178="COM-MTU","BUSINESS",IF(G178="ENT","BUSINESS",""))))))</f>
        <v/>
      </c>
      <c r="G178" s="1166">
        <f>'House Count'!F178</f>
        <v/>
      </c>
      <c r="H178" s="1166">
        <f>'House Count'!H178</f>
        <v/>
      </c>
    </row>
    <row r="179">
      <c r="A179" s="1165">
        <f>'House Count'!A179</f>
        <v/>
      </c>
      <c r="B179" s="1166">
        <f>'House Count'!E179</f>
        <v/>
      </c>
      <c r="C179" s="1166">
        <f>'House Count'!B179</f>
        <v/>
      </c>
      <c r="D179" s="1166">
        <f>'House Count'!C179</f>
        <v/>
      </c>
      <c r="E179" s="1166">
        <f>'House Count'!D179</f>
        <v/>
      </c>
      <c r="F179" s="1166">
        <f>IF(G179="RES-SFU","RESIDENTIAL",IF(G179="RES-HOA","RESIDENTIAL",IF(G179="RES-MDU","RESIDENTIAL",IF(G179="COMM-SU","BUSINESS",IF(G179="COM-MTU","BUSINESS",IF(G179="ENT","BUSINESS",""))))))</f>
        <v/>
      </c>
      <c r="G179" s="1166">
        <f>'House Count'!F179</f>
        <v/>
      </c>
      <c r="H179" s="1166">
        <f>'House Count'!H179</f>
        <v/>
      </c>
    </row>
    <row r="180">
      <c r="A180" s="1165">
        <f>'House Count'!A180</f>
        <v/>
      </c>
      <c r="B180" s="1166">
        <f>'House Count'!E180</f>
        <v/>
      </c>
      <c r="C180" s="1166">
        <f>'House Count'!B180</f>
        <v/>
      </c>
      <c r="D180" s="1166">
        <f>'House Count'!C180</f>
        <v/>
      </c>
      <c r="E180" s="1166">
        <f>'House Count'!D180</f>
        <v/>
      </c>
      <c r="F180" s="1166">
        <f>IF(G180="RES-SFU","RESIDENTIAL",IF(G180="RES-HOA","RESIDENTIAL",IF(G180="RES-MDU","RESIDENTIAL",IF(G180="COMM-SU","BUSINESS",IF(G180="COM-MTU","BUSINESS",IF(G180="ENT","BUSINESS",""))))))</f>
        <v/>
      </c>
      <c r="G180" s="1166">
        <f>'House Count'!F180</f>
        <v/>
      </c>
      <c r="H180" s="1166">
        <f>'House Count'!H180</f>
        <v/>
      </c>
    </row>
    <row r="181">
      <c r="A181" s="1165">
        <f>'House Count'!A181</f>
        <v/>
      </c>
      <c r="B181" s="1166">
        <f>'House Count'!E181</f>
        <v/>
      </c>
      <c r="C181" s="1166">
        <f>'House Count'!B181</f>
        <v/>
      </c>
      <c r="D181" s="1166">
        <f>'House Count'!C181</f>
        <v/>
      </c>
      <c r="E181" s="1166">
        <f>'House Count'!D181</f>
        <v/>
      </c>
      <c r="F181" s="1166">
        <f>IF(G181="RES-SFU","RESIDENTIAL",IF(G181="RES-HOA","RESIDENTIAL",IF(G181="RES-MDU","RESIDENTIAL",IF(G181="COMM-SU","BUSINESS",IF(G181="COM-MTU","BUSINESS",IF(G181="ENT","BUSINESS",""))))))</f>
        <v/>
      </c>
      <c r="G181" s="1166">
        <f>'House Count'!F181</f>
        <v/>
      </c>
      <c r="H181" s="1166">
        <f>'House Count'!H181</f>
        <v/>
      </c>
    </row>
    <row r="182">
      <c r="A182" s="1165">
        <f>'House Count'!A182</f>
        <v/>
      </c>
      <c r="B182" s="1166">
        <f>'House Count'!E182</f>
        <v/>
      </c>
      <c r="C182" s="1166">
        <f>'House Count'!B182</f>
        <v/>
      </c>
      <c r="D182" s="1166">
        <f>'House Count'!C182</f>
        <v/>
      </c>
      <c r="E182" s="1166">
        <f>'House Count'!D182</f>
        <v/>
      </c>
      <c r="F182" s="1166">
        <f>IF(G182="RES-SFU","RESIDENTIAL",IF(G182="RES-HOA","RESIDENTIAL",IF(G182="RES-MDU","RESIDENTIAL",IF(G182="COMM-SU","BUSINESS",IF(G182="COM-MTU","BUSINESS",IF(G182="ENT","BUSINESS",""))))))</f>
        <v/>
      </c>
      <c r="G182" s="1166">
        <f>'House Count'!F182</f>
        <v/>
      </c>
      <c r="H182" s="1166">
        <f>'House Count'!H182</f>
        <v/>
      </c>
    </row>
    <row r="183">
      <c r="A183" s="1165">
        <f>'House Count'!A183</f>
        <v/>
      </c>
      <c r="B183" s="1166">
        <f>'House Count'!E183</f>
        <v/>
      </c>
      <c r="C183" s="1166">
        <f>'House Count'!B183</f>
        <v/>
      </c>
      <c r="D183" s="1166">
        <f>'House Count'!C183</f>
        <v/>
      </c>
      <c r="E183" s="1166">
        <f>'House Count'!D183</f>
        <v/>
      </c>
      <c r="F183" s="1166">
        <f>IF(G183="RES-SFU","RESIDENTIAL",IF(G183="RES-HOA","RESIDENTIAL",IF(G183="RES-MDU","RESIDENTIAL",IF(G183="COMM-SU","BUSINESS",IF(G183="COM-MTU","BUSINESS",IF(G183="ENT","BUSINESS",""))))))</f>
        <v/>
      </c>
      <c r="G183" s="1166">
        <f>'House Count'!F183</f>
        <v/>
      </c>
      <c r="H183" s="1166">
        <f>'House Count'!H183</f>
        <v/>
      </c>
    </row>
    <row r="184">
      <c r="A184" s="1165">
        <f>'House Count'!A184</f>
        <v/>
      </c>
      <c r="B184" s="1166">
        <f>'House Count'!E184</f>
        <v/>
      </c>
      <c r="C184" s="1166">
        <f>'House Count'!B184</f>
        <v/>
      </c>
      <c r="D184" s="1166">
        <f>'House Count'!C184</f>
        <v/>
      </c>
      <c r="E184" s="1166">
        <f>'House Count'!D184</f>
        <v/>
      </c>
      <c r="F184" s="1166">
        <f>IF(G184="RES-SFU","RESIDENTIAL",IF(G184="RES-HOA","RESIDENTIAL",IF(G184="RES-MDU","RESIDENTIAL",IF(G184="COMM-SU","BUSINESS",IF(G184="COM-MTU","BUSINESS",IF(G184="ENT","BUSINESS",""))))))</f>
        <v/>
      </c>
      <c r="G184" s="1166">
        <f>'House Count'!F184</f>
        <v/>
      </c>
      <c r="H184" s="1166">
        <f>'House Count'!H184</f>
        <v/>
      </c>
    </row>
    <row r="185">
      <c r="A185" s="1165">
        <f>'House Count'!A185</f>
        <v/>
      </c>
      <c r="B185" s="1166">
        <f>'House Count'!E185</f>
        <v/>
      </c>
      <c r="C185" s="1166">
        <f>'House Count'!B185</f>
        <v/>
      </c>
      <c r="D185" s="1166">
        <f>'House Count'!C185</f>
        <v/>
      </c>
      <c r="E185" s="1166">
        <f>'House Count'!D185</f>
        <v/>
      </c>
      <c r="F185" s="1166">
        <f>IF(G185="RES-SFU","RESIDENTIAL",IF(G185="RES-HOA","RESIDENTIAL",IF(G185="RES-MDU","RESIDENTIAL",IF(G185="COMM-SU","BUSINESS",IF(G185="COM-MTU","BUSINESS",IF(G185="ENT","BUSINESS",""))))))</f>
        <v/>
      </c>
      <c r="G185" s="1166">
        <f>'House Count'!F185</f>
        <v/>
      </c>
      <c r="H185" s="1166">
        <f>'House Count'!H185</f>
        <v/>
      </c>
    </row>
    <row r="186">
      <c r="A186" s="1165">
        <f>'House Count'!A186</f>
        <v/>
      </c>
      <c r="B186" s="1166">
        <f>'House Count'!E186</f>
        <v/>
      </c>
      <c r="C186" s="1166">
        <f>'House Count'!B186</f>
        <v/>
      </c>
      <c r="D186" s="1166">
        <f>'House Count'!C186</f>
        <v/>
      </c>
      <c r="E186" s="1166">
        <f>'House Count'!D186</f>
        <v/>
      </c>
      <c r="F186" s="1166">
        <f>IF(G186="RES-SFU","RESIDENTIAL",IF(G186="RES-HOA","RESIDENTIAL",IF(G186="RES-MDU","RESIDENTIAL",IF(G186="COMM-SU","BUSINESS",IF(G186="COM-MTU","BUSINESS",IF(G186="ENT","BUSINESS",""))))))</f>
        <v/>
      </c>
      <c r="G186" s="1166">
        <f>'House Count'!F186</f>
        <v/>
      </c>
      <c r="H186" s="1166">
        <f>'House Count'!H186</f>
        <v/>
      </c>
    </row>
    <row r="187">
      <c r="A187" s="1165">
        <f>'House Count'!A187</f>
        <v/>
      </c>
      <c r="B187" s="1166">
        <f>'House Count'!E187</f>
        <v/>
      </c>
      <c r="C187" s="1166">
        <f>'House Count'!B187</f>
        <v/>
      </c>
      <c r="D187" s="1166">
        <f>'House Count'!C187</f>
        <v/>
      </c>
      <c r="E187" s="1166">
        <f>'House Count'!D187</f>
        <v/>
      </c>
      <c r="F187" s="1166">
        <f>IF(G187="RES-SFU","RESIDENTIAL",IF(G187="RES-HOA","RESIDENTIAL",IF(G187="RES-MDU","RESIDENTIAL",IF(G187="COMM-SU","BUSINESS",IF(G187="COM-MTU","BUSINESS",IF(G187="ENT","BUSINESS",""))))))</f>
        <v/>
      </c>
      <c r="G187" s="1166">
        <f>'House Count'!F187</f>
        <v/>
      </c>
      <c r="H187" s="1166">
        <f>'House Count'!H187</f>
        <v/>
      </c>
    </row>
    <row r="188">
      <c r="A188" s="1165">
        <f>'House Count'!A188</f>
        <v/>
      </c>
      <c r="B188" s="1166">
        <f>'House Count'!E188</f>
        <v/>
      </c>
      <c r="C188" s="1166">
        <f>'House Count'!B188</f>
        <v/>
      </c>
      <c r="D188" s="1166">
        <f>'House Count'!C188</f>
        <v/>
      </c>
      <c r="E188" s="1166">
        <f>'House Count'!D188</f>
        <v/>
      </c>
      <c r="F188" s="1166">
        <f>IF(G188="RES-SFU","RESIDENTIAL",IF(G188="RES-HOA","RESIDENTIAL",IF(G188="RES-MDU","RESIDENTIAL",IF(G188="COMM-SU","BUSINESS",IF(G188="COM-MTU","BUSINESS",IF(G188="ENT","BUSINESS",""))))))</f>
        <v/>
      </c>
      <c r="G188" s="1166">
        <f>'House Count'!F188</f>
        <v/>
      </c>
      <c r="H188" s="1166">
        <f>'House Count'!H188</f>
        <v/>
      </c>
    </row>
    <row r="189">
      <c r="A189" s="1165">
        <f>'House Count'!A189</f>
        <v/>
      </c>
      <c r="B189" s="1166">
        <f>'House Count'!E189</f>
        <v/>
      </c>
      <c r="C189" s="1166">
        <f>'House Count'!B189</f>
        <v/>
      </c>
      <c r="D189" s="1166">
        <f>'House Count'!C189</f>
        <v/>
      </c>
      <c r="E189" s="1166">
        <f>'House Count'!D189</f>
        <v/>
      </c>
      <c r="F189" s="1166">
        <f>IF(G189="RES-SFU","RESIDENTIAL",IF(G189="RES-HOA","RESIDENTIAL",IF(G189="RES-MDU","RESIDENTIAL",IF(G189="COMM-SU","BUSINESS",IF(G189="COM-MTU","BUSINESS",IF(G189="ENT","BUSINESS",""))))))</f>
        <v/>
      </c>
      <c r="G189" s="1166">
        <f>'House Count'!F189</f>
        <v/>
      </c>
      <c r="H189" s="1166">
        <f>'House Count'!H189</f>
        <v/>
      </c>
    </row>
    <row r="190">
      <c r="A190" s="1165">
        <f>'House Count'!A190</f>
        <v/>
      </c>
      <c r="B190" s="1166">
        <f>'House Count'!E190</f>
        <v/>
      </c>
      <c r="C190" s="1166">
        <f>'House Count'!B190</f>
        <v/>
      </c>
      <c r="D190" s="1166">
        <f>'House Count'!C190</f>
        <v/>
      </c>
      <c r="E190" s="1166">
        <f>'House Count'!D190</f>
        <v/>
      </c>
      <c r="F190" s="1166">
        <f>IF(G190="RES-SFU","RESIDENTIAL",IF(G190="RES-HOA","RESIDENTIAL",IF(G190="RES-MDU","RESIDENTIAL",IF(G190="COMM-SU","BUSINESS",IF(G190="COM-MTU","BUSINESS",IF(G190="ENT","BUSINESS",""))))))</f>
        <v/>
      </c>
      <c r="G190" s="1166">
        <f>'House Count'!F190</f>
        <v/>
      </c>
      <c r="H190" s="1166">
        <f>'House Count'!H190</f>
        <v/>
      </c>
    </row>
    <row r="191">
      <c r="A191" s="1165">
        <f>'House Count'!A191</f>
        <v/>
      </c>
      <c r="B191" s="1166">
        <f>'House Count'!E191</f>
        <v/>
      </c>
      <c r="C191" s="1166">
        <f>'House Count'!B191</f>
        <v/>
      </c>
      <c r="D191" s="1166">
        <f>'House Count'!C191</f>
        <v/>
      </c>
      <c r="E191" s="1166">
        <f>'House Count'!D191</f>
        <v/>
      </c>
      <c r="F191" s="1166">
        <f>IF(G191="RES-SFU","RESIDENTIAL",IF(G191="RES-HOA","RESIDENTIAL",IF(G191="RES-MDU","RESIDENTIAL",IF(G191="COMM-SU","BUSINESS",IF(G191="COM-MTU","BUSINESS",IF(G191="ENT","BUSINESS",""))))))</f>
        <v/>
      </c>
      <c r="G191" s="1166">
        <f>'House Count'!F191</f>
        <v/>
      </c>
      <c r="H191" s="1166">
        <f>'House Count'!H191</f>
        <v/>
      </c>
    </row>
    <row r="192">
      <c r="A192" s="1165">
        <f>'House Count'!A192</f>
        <v/>
      </c>
      <c r="B192" s="1166">
        <f>'House Count'!E192</f>
        <v/>
      </c>
      <c r="C192" s="1166">
        <f>'House Count'!B192</f>
        <v/>
      </c>
      <c r="D192" s="1166">
        <f>'House Count'!C192</f>
        <v/>
      </c>
      <c r="E192" s="1166">
        <f>'House Count'!D192</f>
        <v/>
      </c>
      <c r="F192" s="1166">
        <f>IF(G192="RES-SFU","RESIDENTIAL",IF(G192="RES-HOA","RESIDENTIAL",IF(G192="RES-MDU","RESIDENTIAL",IF(G192="COMM-SU","BUSINESS",IF(G192="COM-MTU","BUSINESS",IF(G192="ENT","BUSINESS",""))))))</f>
        <v/>
      </c>
      <c r="G192" s="1166">
        <f>'House Count'!F192</f>
        <v/>
      </c>
      <c r="H192" s="1166">
        <f>'House Count'!H192</f>
        <v/>
      </c>
    </row>
    <row r="193">
      <c r="A193" s="1165">
        <f>'House Count'!A193</f>
        <v/>
      </c>
      <c r="B193" s="1166">
        <f>'House Count'!E193</f>
        <v/>
      </c>
      <c r="C193" s="1166">
        <f>'House Count'!B193</f>
        <v/>
      </c>
      <c r="D193" s="1166">
        <f>'House Count'!C193</f>
        <v/>
      </c>
      <c r="E193" s="1166">
        <f>'House Count'!D193</f>
        <v/>
      </c>
      <c r="F193" s="1166">
        <f>IF(G193="RES-SFU","RESIDENTIAL",IF(G193="RES-HOA","RESIDENTIAL",IF(G193="RES-MDU","RESIDENTIAL",IF(G193="COMM-SU","BUSINESS",IF(G193="COM-MTU","BUSINESS",IF(G193="ENT","BUSINESS",""))))))</f>
        <v/>
      </c>
      <c r="G193" s="1166">
        <f>'House Count'!F193</f>
        <v/>
      </c>
      <c r="H193" s="1166">
        <f>'House Count'!H193</f>
        <v/>
      </c>
    </row>
    <row r="194">
      <c r="A194" s="1165">
        <f>'House Count'!A194</f>
        <v/>
      </c>
      <c r="B194" s="1166">
        <f>'House Count'!E194</f>
        <v/>
      </c>
      <c r="C194" s="1166">
        <f>'House Count'!B194</f>
        <v/>
      </c>
      <c r="D194" s="1166">
        <f>'House Count'!C194</f>
        <v/>
      </c>
      <c r="E194" s="1166">
        <f>'House Count'!D194</f>
        <v/>
      </c>
      <c r="F194" s="1166">
        <f>IF(G194="RES-SFU","RESIDENTIAL",IF(G194="RES-HOA","RESIDENTIAL",IF(G194="RES-MDU","RESIDENTIAL",IF(G194="COMM-SU","BUSINESS",IF(G194="COM-MTU","BUSINESS",IF(G194="ENT","BUSINESS",""))))))</f>
        <v/>
      </c>
      <c r="G194" s="1166">
        <f>'House Count'!F194</f>
        <v/>
      </c>
      <c r="H194" s="1166">
        <f>'House Count'!H194</f>
        <v/>
      </c>
    </row>
    <row r="195">
      <c r="A195" s="1165">
        <f>'House Count'!A195</f>
        <v/>
      </c>
      <c r="B195" s="1166">
        <f>'House Count'!E195</f>
        <v/>
      </c>
      <c r="C195" s="1166">
        <f>'House Count'!B195</f>
        <v/>
      </c>
      <c r="D195" s="1166">
        <f>'House Count'!C195</f>
        <v/>
      </c>
      <c r="E195" s="1166">
        <f>'House Count'!D195</f>
        <v/>
      </c>
      <c r="F195" s="1166">
        <f>IF(G195="RES-SFU","RESIDENTIAL",IF(G195="RES-HOA","RESIDENTIAL",IF(G195="RES-MDU","RESIDENTIAL",IF(G195="COMM-SU","BUSINESS",IF(G195="COM-MTU","BUSINESS",IF(G195="ENT","BUSINESS",""))))))</f>
        <v/>
      </c>
      <c r="G195" s="1166">
        <f>'House Count'!F195</f>
        <v/>
      </c>
      <c r="H195" s="1166">
        <f>'House Count'!H195</f>
        <v/>
      </c>
    </row>
    <row r="196">
      <c r="A196" s="1165">
        <f>'House Count'!A196</f>
        <v/>
      </c>
      <c r="B196" s="1166">
        <f>'House Count'!E196</f>
        <v/>
      </c>
      <c r="C196" s="1166">
        <f>'House Count'!B196</f>
        <v/>
      </c>
      <c r="D196" s="1166">
        <f>'House Count'!C196</f>
        <v/>
      </c>
      <c r="E196" s="1166">
        <f>'House Count'!D196</f>
        <v/>
      </c>
      <c r="F196" s="1166">
        <f>IF(G196="RES-SFU","RESIDENTIAL",IF(G196="RES-HOA","RESIDENTIAL",IF(G196="RES-MDU","RESIDENTIAL",IF(G196="COMM-SU","BUSINESS",IF(G196="COM-MTU","BUSINESS",IF(G196="ENT","BUSINESS",""))))))</f>
        <v/>
      </c>
      <c r="G196" s="1166">
        <f>'House Count'!F196</f>
        <v/>
      </c>
      <c r="H196" s="1166">
        <f>'House Count'!H196</f>
        <v/>
      </c>
    </row>
    <row r="197">
      <c r="A197" s="1165">
        <f>'House Count'!A197</f>
        <v/>
      </c>
      <c r="B197" s="1166">
        <f>'House Count'!E197</f>
        <v/>
      </c>
      <c r="C197" s="1166">
        <f>'House Count'!B197</f>
        <v/>
      </c>
      <c r="D197" s="1166">
        <f>'House Count'!C197</f>
        <v/>
      </c>
      <c r="E197" s="1166">
        <f>'House Count'!D197</f>
        <v/>
      </c>
      <c r="F197" s="1166">
        <f>IF(G197="RES-SFU","RESIDENTIAL",IF(G197="RES-HOA","RESIDENTIAL",IF(G197="RES-MDU","RESIDENTIAL",IF(G197="COMM-SU","BUSINESS",IF(G197="COM-MTU","BUSINESS",IF(G197="ENT","BUSINESS",""))))))</f>
        <v/>
      </c>
      <c r="G197" s="1166">
        <f>'House Count'!F197</f>
        <v/>
      </c>
      <c r="H197" s="1166">
        <f>'House Count'!H197</f>
        <v/>
      </c>
    </row>
    <row r="198">
      <c r="A198" s="1165">
        <f>'House Count'!A198</f>
        <v/>
      </c>
      <c r="B198" s="1166">
        <f>'House Count'!E198</f>
        <v/>
      </c>
      <c r="C198" s="1166">
        <f>'House Count'!B198</f>
        <v/>
      </c>
      <c r="D198" s="1166">
        <f>'House Count'!C198</f>
        <v/>
      </c>
      <c r="E198" s="1166">
        <f>'House Count'!D198</f>
        <v/>
      </c>
      <c r="F198" s="1166">
        <f>IF(G198="RES-SFU","RESIDENTIAL",IF(G198="RES-HOA","RESIDENTIAL",IF(G198="RES-MDU","RESIDENTIAL",IF(G198="COMM-SU","BUSINESS",IF(G198="COM-MTU","BUSINESS",IF(G198="ENT","BUSINESS",""))))))</f>
        <v/>
      </c>
      <c r="G198" s="1166">
        <f>'House Count'!F198</f>
        <v/>
      </c>
      <c r="H198" s="1166">
        <f>'House Count'!H198</f>
        <v/>
      </c>
    </row>
    <row r="199">
      <c r="A199" s="1165">
        <f>'House Count'!A199</f>
        <v/>
      </c>
      <c r="B199" s="1166">
        <f>'House Count'!E199</f>
        <v/>
      </c>
      <c r="C199" s="1166">
        <f>'House Count'!B199</f>
        <v/>
      </c>
      <c r="D199" s="1166">
        <f>'House Count'!C199</f>
        <v/>
      </c>
      <c r="E199" s="1166">
        <f>'House Count'!D199</f>
        <v/>
      </c>
      <c r="F199" s="1166">
        <f>IF(G199="RES-SFU","RESIDENTIAL",IF(G199="RES-HOA","RESIDENTIAL",IF(G199="RES-MDU","RESIDENTIAL",IF(G199="COMM-SU","BUSINESS",IF(G199="COM-MTU","BUSINESS",IF(G199="ENT","BUSINESS",""))))))</f>
        <v/>
      </c>
      <c r="G199" s="1166">
        <f>'House Count'!F199</f>
        <v/>
      </c>
      <c r="H199" s="1166">
        <f>'House Count'!H199</f>
        <v/>
      </c>
    </row>
    <row r="200">
      <c r="A200" s="1165">
        <f>'House Count'!A200</f>
        <v/>
      </c>
      <c r="B200" s="1166">
        <f>'House Count'!E200</f>
        <v/>
      </c>
      <c r="C200" s="1166">
        <f>'House Count'!B200</f>
        <v/>
      </c>
      <c r="D200" s="1166">
        <f>'House Count'!C200</f>
        <v/>
      </c>
      <c r="E200" s="1166">
        <f>'House Count'!D200</f>
        <v/>
      </c>
      <c r="F200" s="1166">
        <f>IF(G200="RES-SFU","RESIDENTIAL",IF(G200="RES-HOA","RESIDENTIAL",IF(G200="RES-MDU","RESIDENTIAL",IF(G200="COMM-SU","BUSINESS",IF(G200="COM-MTU","BUSINESS",IF(G200="ENT","BUSINESS",""))))))</f>
        <v/>
      </c>
      <c r="G200" s="1166">
        <f>'House Count'!F200</f>
        <v/>
      </c>
      <c r="H200" s="1166">
        <f>'House Count'!H200</f>
        <v/>
      </c>
    </row>
    <row r="201">
      <c r="A201" s="1165">
        <f>'House Count'!A201</f>
        <v/>
      </c>
      <c r="B201" s="1166">
        <f>'House Count'!E201</f>
        <v/>
      </c>
      <c r="C201" s="1166">
        <f>'House Count'!B201</f>
        <v/>
      </c>
      <c r="D201" s="1166">
        <f>'House Count'!C201</f>
        <v/>
      </c>
      <c r="E201" s="1166">
        <f>'House Count'!D201</f>
        <v/>
      </c>
      <c r="F201" s="1166">
        <f>IF(G201="RES-SFU","RESIDENTIAL",IF(G201="RES-HOA","RESIDENTIAL",IF(G201="RES-MDU","RESIDENTIAL",IF(G201="COMM-SU","BUSINESS",IF(G201="COM-MTU","BUSINESS",IF(G201="ENT","BUSINESS",""))))))</f>
        <v/>
      </c>
      <c r="G201" s="1166">
        <f>'House Count'!F201</f>
        <v/>
      </c>
      <c r="H201" s="1166">
        <f>'House Count'!H201</f>
        <v/>
      </c>
    </row>
    <row r="202">
      <c r="A202" s="1165">
        <f>'House Count'!A202</f>
        <v/>
      </c>
      <c r="B202" s="1166">
        <f>'House Count'!E202</f>
        <v/>
      </c>
      <c r="C202" s="1166">
        <f>'House Count'!B202</f>
        <v/>
      </c>
      <c r="D202" s="1166">
        <f>'House Count'!C202</f>
        <v/>
      </c>
      <c r="E202" s="1166">
        <f>'House Count'!D202</f>
        <v/>
      </c>
      <c r="F202" s="1166">
        <f>IF(G202="RES-SFU","RESIDENTIAL",IF(G202="RES-HOA","RESIDENTIAL",IF(G202="RES-MDU","RESIDENTIAL",IF(G202="COMM-SU","BUSINESS",IF(G202="COM-MTU","BUSINESS",IF(G202="ENT","BUSINESS",""))))))</f>
        <v/>
      </c>
      <c r="G202" s="1166">
        <f>'House Count'!F202</f>
        <v/>
      </c>
      <c r="H202" s="1166">
        <f>'House Count'!H202</f>
        <v/>
      </c>
    </row>
    <row r="203">
      <c r="A203" s="1165">
        <f>'House Count'!A203</f>
        <v/>
      </c>
      <c r="B203" s="1166">
        <f>'House Count'!E203</f>
        <v/>
      </c>
      <c r="C203" s="1166">
        <f>'House Count'!B203</f>
        <v/>
      </c>
      <c r="D203" s="1166">
        <f>'House Count'!C203</f>
        <v/>
      </c>
      <c r="E203" s="1166">
        <f>'House Count'!D203</f>
        <v/>
      </c>
      <c r="F203" s="1166">
        <f>IF(G203="RES-SFU","RESIDENTIAL",IF(G203="RES-HOA","RESIDENTIAL",IF(G203="RES-MDU","RESIDENTIAL",IF(G203="COMM-SU","BUSINESS",IF(G203="COM-MTU","BUSINESS",IF(G203="ENT","BUSINESS",""))))))</f>
        <v/>
      </c>
      <c r="G203" s="1166">
        <f>'House Count'!F203</f>
        <v/>
      </c>
      <c r="H203" s="1166">
        <f>'House Count'!H203</f>
        <v/>
      </c>
    </row>
    <row r="204">
      <c r="A204" s="1165">
        <f>'House Count'!A204</f>
        <v/>
      </c>
      <c r="B204" s="1166">
        <f>'House Count'!E204</f>
        <v/>
      </c>
      <c r="C204" s="1166">
        <f>'House Count'!B204</f>
        <v/>
      </c>
      <c r="D204" s="1166">
        <f>'House Count'!C204</f>
        <v/>
      </c>
      <c r="E204" s="1166">
        <f>'House Count'!D204</f>
        <v/>
      </c>
      <c r="F204" s="1166">
        <f>IF(G204="RES-SFU","RESIDENTIAL",IF(G204="RES-HOA","RESIDENTIAL",IF(G204="RES-MDU","RESIDENTIAL",IF(G204="COMM-SU","BUSINESS",IF(G204="COM-MTU","BUSINESS",IF(G204="ENT","BUSINESS",""))))))</f>
        <v/>
      </c>
      <c r="G204" s="1166">
        <f>'House Count'!F204</f>
        <v/>
      </c>
      <c r="H204" s="1166">
        <f>'House Count'!H204</f>
        <v/>
      </c>
    </row>
    <row r="205">
      <c r="A205" s="1165">
        <f>'House Count'!A205</f>
        <v/>
      </c>
      <c r="B205" s="1166">
        <f>'House Count'!E205</f>
        <v/>
      </c>
      <c r="C205" s="1166">
        <f>'House Count'!B205</f>
        <v/>
      </c>
      <c r="D205" s="1166">
        <f>'House Count'!C205</f>
        <v/>
      </c>
      <c r="E205" s="1166">
        <f>'House Count'!D205</f>
        <v/>
      </c>
      <c r="F205" s="1166">
        <f>IF(G205="RES-SFU","RESIDENTIAL",IF(G205="RES-HOA","RESIDENTIAL",IF(G205="RES-MDU","RESIDENTIAL",IF(G205="COMM-SU","BUSINESS",IF(G205="COM-MTU","BUSINESS",IF(G205="ENT","BUSINESS",""))))))</f>
        <v/>
      </c>
      <c r="G205" s="1166">
        <f>'House Count'!F205</f>
        <v/>
      </c>
      <c r="H205" s="1166">
        <f>'House Count'!H205</f>
        <v/>
      </c>
    </row>
    <row r="206">
      <c r="A206" s="1165">
        <f>'House Count'!A206</f>
        <v/>
      </c>
      <c r="B206" s="1166">
        <f>'House Count'!E206</f>
        <v/>
      </c>
      <c r="C206" s="1166">
        <f>'House Count'!B206</f>
        <v/>
      </c>
      <c r="D206" s="1166">
        <f>'House Count'!C206</f>
        <v/>
      </c>
      <c r="E206" s="1166">
        <f>'House Count'!D206</f>
        <v/>
      </c>
      <c r="F206" s="1166">
        <f>IF(G206="RES-SFU","RESIDENTIAL",IF(G206="RES-HOA","RESIDENTIAL",IF(G206="RES-MDU","RESIDENTIAL",IF(G206="COMM-SU","BUSINESS",IF(G206="COM-MTU","BUSINESS",IF(G206="ENT","BUSINESS",""))))))</f>
        <v/>
      </c>
      <c r="G206" s="1166">
        <f>'House Count'!F206</f>
        <v/>
      </c>
      <c r="H206" s="1166">
        <f>'House Count'!H206</f>
        <v/>
      </c>
    </row>
    <row r="207">
      <c r="A207" s="1165">
        <f>'House Count'!A207</f>
        <v/>
      </c>
      <c r="B207" s="1166">
        <f>'House Count'!E207</f>
        <v/>
      </c>
      <c r="C207" s="1166">
        <f>'House Count'!B207</f>
        <v/>
      </c>
      <c r="D207" s="1166">
        <f>'House Count'!C207</f>
        <v/>
      </c>
      <c r="E207" s="1166">
        <f>'House Count'!D207</f>
        <v/>
      </c>
      <c r="F207" s="1166">
        <f>IF(G207="RES-SFU","RESIDENTIAL",IF(G207="RES-HOA","RESIDENTIAL",IF(G207="RES-MDU","RESIDENTIAL",IF(G207="COMM-SU","BUSINESS",IF(G207="COM-MTU","BUSINESS",IF(G207="ENT","BUSINESS",""))))))</f>
        <v/>
      </c>
      <c r="G207" s="1166">
        <f>'House Count'!F207</f>
        <v/>
      </c>
      <c r="H207" s="1166">
        <f>'House Count'!H207</f>
        <v/>
      </c>
    </row>
    <row r="208">
      <c r="A208" s="1165">
        <f>'House Count'!A208</f>
        <v/>
      </c>
      <c r="B208" s="1166">
        <f>'House Count'!E208</f>
        <v/>
      </c>
      <c r="C208" s="1166">
        <f>'House Count'!B208</f>
        <v/>
      </c>
      <c r="D208" s="1166">
        <f>'House Count'!C208</f>
        <v/>
      </c>
      <c r="E208" s="1166">
        <f>'House Count'!D208</f>
        <v/>
      </c>
      <c r="F208" s="1166">
        <f>IF(G208="RES-SFU","RESIDENTIAL",IF(G208="RES-HOA","RESIDENTIAL",IF(G208="RES-MDU","RESIDENTIAL",IF(G208="COMM-SU","BUSINESS",IF(G208="COM-MTU","BUSINESS",IF(G208="ENT","BUSINESS",""))))))</f>
        <v/>
      </c>
      <c r="G208" s="1166">
        <f>'House Count'!F208</f>
        <v/>
      </c>
      <c r="H208" s="1166">
        <f>'House Count'!H208</f>
        <v/>
      </c>
    </row>
    <row r="209">
      <c r="A209" s="1165">
        <f>'House Count'!A209</f>
        <v/>
      </c>
      <c r="B209" s="1166">
        <f>'House Count'!E209</f>
        <v/>
      </c>
      <c r="C209" s="1166">
        <f>'House Count'!B209</f>
        <v/>
      </c>
      <c r="D209" s="1166">
        <f>'House Count'!C209</f>
        <v/>
      </c>
      <c r="E209" s="1166">
        <f>'House Count'!D209</f>
        <v/>
      </c>
      <c r="F209" s="1166">
        <f>IF(G209="RES-SFU","RESIDENTIAL",IF(G209="RES-HOA","RESIDENTIAL",IF(G209="RES-MDU","RESIDENTIAL",IF(G209="COMM-SU","BUSINESS",IF(G209="COM-MTU","BUSINESS",IF(G209="ENT","BUSINESS",""))))))</f>
        <v/>
      </c>
      <c r="G209" s="1166">
        <f>'House Count'!F209</f>
        <v/>
      </c>
      <c r="H209" s="1166">
        <f>'House Count'!H209</f>
        <v/>
      </c>
    </row>
    <row r="210">
      <c r="A210" s="1165">
        <f>'House Count'!A210</f>
        <v/>
      </c>
      <c r="B210" s="1166">
        <f>'House Count'!E210</f>
        <v/>
      </c>
      <c r="C210" s="1166">
        <f>'House Count'!B210</f>
        <v/>
      </c>
      <c r="D210" s="1166">
        <f>'House Count'!C210</f>
        <v/>
      </c>
      <c r="E210" s="1166">
        <f>'House Count'!D210</f>
        <v/>
      </c>
      <c r="F210" s="1166">
        <f>IF(G210="RES-SFU","RESIDENTIAL",IF(G210="RES-HOA","RESIDENTIAL",IF(G210="RES-MDU","RESIDENTIAL",IF(G210="COMM-SU","BUSINESS",IF(G210="COM-MTU","BUSINESS",IF(G210="ENT","BUSINESS",""))))))</f>
        <v/>
      </c>
      <c r="G210" s="1166">
        <f>'House Count'!F210</f>
        <v/>
      </c>
      <c r="H210" s="1166">
        <f>'House Count'!H210</f>
        <v/>
      </c>
    </row>
    <row r="211">
      <c r="A211" s="1165">
        <f>'House Count'!A211</f>
        <v/>
      </c>
      <c r="B211" s="1166">
        <f>'House Count'!E211</f>
        <v/>
      </c>
      <c r="C211" s="1166">
        <f>'House Count'!B211</f>
        <v/>
      </c>
      <c r="D211" s="1166">
        <f>'House Count'!C211</f>
        <v/>
      </c>
      <c r="E211" s="1166">
        <f>'House Count'!D211</f>
        <v/>
      </c>
      <c r="F211" s="1166">
        <f>IF(G211="RES-SFU","RESIDENTIAL",IF(G211="RES-HOA","RESIDENTIAL",IF(G211="RES-MDU","RESIDENTIAL",IF(G211="COMM-SU","BUSINESS",IF(G211="COM-MTU","BUSINESS",IF(G211="ENT","BUSINESS",""))))))</f>
        <v/>
      </c>
      <c r="G211" s="1166">
        <f>'House Count'!F211</f>
        <v/>
      </c>
      <c r="H211" s="1166">
        <f>'House Count'!H211</f>
        <v/>
      </c>
    </row>
    <row r="212">
      <c r="A212" s="1165">
        <f>'House Count'!A212</f>
        <v/>
      </c>
      <c r="B212" s="1166">
        <f>'House Count'!E212</f>
        <v/>
      </c>
      <c r="C212" s="1166">
        <f>'House Count'!B212</f>
        <v/>
      </c>
      <c r="D212" s="1166">
        <f>'House Count'!C212</f>
        <v/>
      </c>
      <c r="E212" s="1166">
        <f>'House Count'!D212</f>
        <v/>
      </c>
      <c r="F212" s="1166">
        <f>IF(G212="RES-SFU","RESIDENTIAL",IF(G212="RES-HOA","RESIDENTIAL",IF(G212="RES-MDU","RESIDENTIAL",IF(G212="COMM-SU","BUSINESS",IF(G212="COM-MTU","BUSINESS",IF(G212="ENT","BUSINESS",""))))))</f>
        <v/>
      </c>
      <c r="G212" s="1166">
        <f>'House Count'!F212</f>
        <v/>
      </c>
      <c r="H212" s="1166">
        <f>'House Count'!H212</f>
        <v/>
      </c>
    </row>
    <row r="213">
      <c r="A213" s="1165">
        <f>'House Count'!A213</f>
        <v/>
      </c>
      <c r="B213" s="1166">
        <f>'House Count'!E213</f>
        <v/>
      </c>
      <c r="C213" s="1166">
        <f>'House Count'!B213</f>
        <v/>
      </c>
      <c r="D213" s="1166">
        <f>'House Count'!C213</f>
        <v/>
      </c>
      <c r="E213" s="1166">
        <f>'House Count'!D213</f>
        <v/>
      </c>
      <c r="F213" s="1166">
        <f>IF(G213="RES-SFU","RESIDENTIAL",IF(G213="RES-HOA","RESIDENTIAL",IF(G213="RES-MDU","RESIDENTIAL",IF(G213="COMM-SU","BUSINESS",IF(G213="COM-MTU","BUSINESS",IF(G213="ENT","BUSINESS",""))))))</f>
        <v/>
      </c>
      <c r="G213" s="1166">
        <f>'House Count'!F213</f>
        <v/>
      </c>
      <c r="H213" s="1166">
        <f>'House Count'!H213</f>
        <v/>
      </c>
    </row>
    <row r="214">
      <c r="A214" s="1165">
        <f>'House Count'!A214</f>
        <v/>
      </c>
      <c r="B214" s="1166">
        <f>'House Count'!E214</f>
        <v/>
      </c>
      <c r="C214" s="1166">
        <f>'House Count'!B214</f>
        <v/>
      </c>
      <c r="D214" s="1166">
        <f>'House Count'!C214</f>
        <v/>
      </c>
      <c r="E214" s="1166">
        <f>'House Count'!D214</f>
        <v/>
      </c>
      <c r="F214" s="1166">
        <f>IF(G214="RES-SFU","RESIDENTIAL",IF(G214="RES-HOA","RESIDENTIAL",IF(G214="RES-MDU","RESIDENTIAL",IF(G214="COMM-SU","BUSINESS",IF(G214="COM-MTU","BUSINESS",IF(G214="ENT","BUSINESS",""))))))</f>
        <v/>
      </c>
      <c r="G214" s="1166">
        <f>'House Count'!F214</f>
        <v/>
      </c>
      <c r="H214" s="1166">
        <f>'House Count'!H214</f>
        <v/>
      </c>
    </row>
    <row r="215">
      <c r="A215" s="1165">
        <f>'House Count'!A215</f>
        <v/>
      </c>
      <c r="B215" s="1166">
        <f>'House Count'!E215</f>
        <v/>
      </c>
      <c r="C215" s="1166">
        <f>'House Count'!B215</f>
        <v/>
      </c>
      <c r="D215" s="1166">
        <f>'House Count'!C215</f>
        <v/>
      </c>
      <c r="E215" s="1166">
        <f>'House Count'!D215</f>
        <v/>
      </c>
      <c r="F215" s="1166">
        <f>IF(G215="RES-SFU","RESIDENTIAL",IF(G215="RES-HOA","RESIDENTIAL",IF(G215="RES-MDU","RESIDENTIAL",IF(G215="COMM-SU","BUSINESS",IF(G215="COM-MTU","BUSINESS",IF(G215="ENT","BUSINESS",""))))))</f>
        <v/>
      </c>
      <c r="G215" s="1166">
        <f>'House Count'!F215</f>
        <v/>
      </c>
      <c r="H215" s="1166">
        <f>'House Count'!H215</f>
        <v/>
      </c>
    </row>
    <row r="216">
      <c r="A216" s="1165">
        <f>'House Count'!A216</f>
        <v/>
      </c>
      <c r="B216" s="1166">
        <f>'House Count'!E216</f>
        <v/>
      </c>
      <c r="C216" s="1166">
        <f>'House Count'!B216</f>
        <v/>
      </c>
      <c r="D216" s="1166">
        <f>'House Count'!C216</f>
        <v/>
      </c>
      <c r="E216" s="1166">
        <f>'House Count'!D216</f>
        <v/>
      </c>
      <c r="F216" s="1166">
        <f>IF(G216="RES-SFU","RESIDENTIAL",IF(G216="RES-HOA","RESIDENTIAL",IF(G216="RES-MDU","RESIDENTIAL",IF(G216="COMM-SU","BUSINESS",IF(G216="COM-MTU","BUSINESS",IF(G216="ENT","BUSINESS",""))))))</f>
        <v/>
      </c>
      <c r="G216" s="1166">
        <f>'House Count'!F216</f>
        <v/>
      </c>
      <c r="H216" s="1166">
        <f>'House Count'!H216</f>
        <v/>
      </c>
    </row>
    <row r="217">
      <c r="A217" s="1165">
        <f>'House Count'!A217</f>
        <v/>
      </c>
      <c r="B217" s="1166">
        <f>'House Count'!E217</f>
        <v/>
      </c>
      <c r="C217" s="1166">
        <f>'House Count'!B217</f>
        <v/>
      </c>
      <c r="D217" s="1166">
        <f>'House Count'!C217</f>
        <v/>
      </c>
      <c r="E217" s="1166">
        <f>'House Count'!D217</f>
        <v/>
      </c>
      <c r="F217" s="1166">
        <f>IF(G217="RES-SFU","RESIDENTIAL",IF(G217="RES-HOA","RESIDENTIAL",IF(G217="RES-MDU","RESIDENTIAL",IF(G217="COMM-SU","BUSINESS",IF(G217="COM-MTU","BUSINESS",IF(G217="ENT","BUSINESS",""))))))</f>
        <v/>
      </c>
      <c r="G217" s="1166">
        <f>'House Count'!F217</f>
        <v/>
      </c>
      <c r="H217" s="1166">
        <f>'House Count'!H217</f>
        <v/>
      </c>
    </row>
    <row r="218">
      <c r="A218" s="1165">
        <f>'House Count'!A218</f>
        <v/>
      </c>
      <c r="B218" s="1166">
        <f>'House Count'!E218</f>
        <v/>
      </c>
      <c r="C218" s="1166">
        <f>'House Count'!B218</f>
        <v/>
      </c>
      <c r="D218" s="1166">
        <f>'House Count'!C218</f>
        <v/>
      </c>
      <c r="E218" s="1166">
        <f>'House Count'!D218</f>
        <v/>
      </c>
      <c r="F218" s="1166">
        <f>IF(G218="RES-SFU","RESIDENTIAL",IF(G218="RES-HOA","RESIDENTIAL",IF(G218="RES-MDU","RESIDENTIAL",IF(G218="COMM-SU","BUSINESS",IF(G218="COM-MTU","BUSINESS",IF(G218="ENT","BUSINESS",""))))))</f>
        <v/>
      </c>
      <c r="G218" s="1166">
        <f>'House Count'!F218</f>
        <v/>
      </c>
      <c r="H218" s="1166">
        <f>'House Count'!H218</f>
        <v/>
      </c>
    </row>
    <row r="219">
      <c r="A219" s="1165">
        <f>'House Count'!A219</f>
        <v/>
      </c>
      <c r="B219" s="1166">
        <f>'House Count'!E219</f>
        <v/>
      </c>
      <c r="C219" s="1166">
        <f>'House Count'!B219</f>
        <v/>
      </c>
      <c r="D219" s="1166">
        <f>'House Count'!C219</f>
        <v/>
      </c>
      <c r="E219" s="1166">
        <f>'House Count'!D219</f>
        <v/>
      </c>
      <c r="F219" s="1166">
        <f>IF(G219="RES-SFU","RESIDENTIAL",IF(G219="RES-HOA","RESIDENTIAL",IF(G219="RES-MDU","RESIDENTIAL",IF(G219="COMM-SU","BUSINESS",IF(G219="COM-MTU","BUSINESS",IF(G219="ENT","BUSINESS",""))))))</f>
        <v/>
      </c>
      <c r="G219" s="1166">
        <f>'House Count'!F219</f>
        <v/>
      </c>
      <c r="H219" s="1166">
        <f>'House Count'!H219</f>
        <v/>
      </c>
    </row>
    <row r="220">
      <c r="A220" s="1165">
        <f>'House Count'!A220</f>
        <v/>
      </c>
      <c r="B220" s="1166">
        <f>'House Count'!E220</f>
        <v/>
      </c>
      <c r="C220" s="1166">
        <f>'House Count'!B220</f>
        <v/>
      </c>
      <c r="D220" s="1166">
        <f>'House Count'!C220</f>
        <v/>
      </c>
      <c r="E220" s="1166">
        <f>'House Count'!D220</f>
        <v/>
      </c>
      <c r="F220" s="1166">
        <f>IF(G220="RES-SFU","RESIDENTIAL",IF(G220="RES-HOA","RESIDENTIAL",IF(G220="RES-MDU","RESIDENTIAL",IF(G220="COMM-SU","BUSINESS",IF(G220="COM-MTU","BUSINESS",IF(G220="ENT","BUSINESS",""))))))</f>
        <v/>
      </c>
      <c r="G220" s="1166">
        <f>'House Count'!F220</f>
        <v/>
      </c>
      <c r="H220" s="1166">
        <f>'House Count'!H220</f>
        <v/>
      </c>
    </row>
    <row r="221">
      <c r="A221" s="1165">
        <f>'House Count'!A221</f>
        <v/>
      </c>
      <c r="B221" s="1166">
        <f>'House Count'!E221</f>
        <v/>
      </c>
      <c r="C221" s="1166">
        <f>'House Count'!B221</f>
        <v/>
      </c>
      <c r="D221" s="1166">
        <f>'House Count'!C221</f>
        <v/>
      </c>
      <c r="E221" s="1166">
        <f>'House Count'!D221</f>
        <v/>
      </c>
      <c r="F221" s="1166">
        <f>IF(G221="RES-SFU","RESIDENTIAL",IF(G221="RES-HOA","RESIDENTIAL",IF(G221="RES-MDU","RESIDENTIAL",IF(G221="COMM-SU","BUSINESS",IF(G221="COM-MTU","BUSINESS",IF(G221="ENT","BUSINESS",""))))))</f>
        <v/>
      </c>
      <c r="G221" s="1166">
        <f>'House Count'!F221</f>
        <v/>
      </c>
      <c r="H221" s="1166">
        <f>'House Count'!H221</f>
        <v/>
      </c>
    </row>
    <row r="222">
      <c r="A222" s="1165">
        <f>'House Count'!A222</f>
        <v/>
      </c>
      <c r="B222" s="1166">
        <f>'House Count'!E222</f>
        <v/>
      </c>
      <c r="C222" s="1166">
        <f>'House Count'!B222</f>
        <v/>
      </c>
      <c r="D222" s="1166">
        <f>'House Count'!C222</f>
        <v/>
      </c>
      <c r="E222" s="1166">
        <f>'House Count'!D222</f>
        <v/>
      </c>
      <c r="F222" s="1166">
        <f>IF(G222="RES-SFU","RESIDENTIAL",IF(G222="RES-HOA","RESIDENTIAL",IF(G222="RES-MDU","RESIDENTIAL",IF(G222="COMM-SU","BUSINESS",IF(G222="COM-MTU","BUSINESS",IF(G222="ENT","BUSINESS",""))))))</f>
        <v/>
      </c>
      <c r="G222" s="1166">
        <f>'House Count'!F222</f>
        <v/>
      </c>
      <c r="H222" s="1166">
        <f>'House Count'!H222</f>
        <v/>
      </c>
    </row>
    <row r="223">
      <c r="A223" s="1165">
        <f>'House Count'!A223</f>
        <v/>
      </c>
      <c r="B223" s="1166">
        <f>'House Count'!E223</f>
        <v/>
      </c>
      <c r="C223" s="1166">
        <f>'House Count'!B223</f>
        <v/>
      </c>
      <c r="D223" s="1166">
        <f>'House Count'!C223</f>
        <v/>
      </c>
      <c r="E223" s="1166">
        <f>'House Count'!D223</f>
        <v/>
      </c>
      <c r="F223" s="1166">
        <f>IF(G223="RES-SFU","RESIDENTIAL",IF(G223="RES-HOA","RESIDENTIAL",IF(G223="RES-MDU","RESIDENTIAL",IF(G223="COMM-SU","BUSINESS",IF(G223="COM-MTU","BUSINESS",IF(G223="ENT","BUSINESS",""))))))</f>
        <v/>
      </c>
      <c r="G223" s="1166">
        <f>'House Count'!F223</f>
        <v/>
      </c>
      <c r="H223" s="1166">
        <f>'House Count'!H223</f>
        <v/>
      </c>
    </row>
    <row r="224">
      <c r="A224" s="1165">
        <f>'House Count'!A224</f>
        <v/>
      </c>
      <c r="B224" s="1166">
        <f>'House Count'!E224</f>
        <v/>
      </c>
      <c r="C224" s="1166">
        <f>'House Count'!B224</f>
        <v/>
      </c>
      <c r="D224" s="1166">
        <f>'House Count'!C224</f>
        <v/>
      </c>
      <c r="E224" s="1166">
        <f>'House Count'!D224</f>
        <v/>
      </c>
      <c r="F224" s="1166">
        <f>IF(G224="RES-SFU","RESIDENTIAL",IF(G224="RES-HOA","RESIDENTIAL",IF(G224="RES-MDU","RESIDENTIAL",IF(G224="COMM-SU","BUSINESS",IF(G224="COM-MTU","BUSINESS",IF(G224="ENT","BUSINESS",""))))))</f>
        <v/>
      </c>
      <c r="G224" s="1166">
        <f>'House Count'!F224</f>
        <v/>
      </c>
      <c r="H224" s="1166">
        <f>'House Count'!H224</f>
        <v/>
      </c>
    </row>
    <row r="225">
      <c r="A225" s="1165">
        <f>'House Count'!A225</f>
        <v/>
      </c>
      <c r="B225" s="1166">
        <f>'House Count'!E225</f>
        <v/>
      </c>
      <c r="C225" s="1166">
        <f>'House Count'!B225</f>
        <v/>
      </c>
      <c r="D225" s="1166">
        <f>'House Count'!C225</f>
        <v/>
      </c>
      <c r="E225" s="1166">
        <f>'House Count'!D225</f>
        <v/>
      </c>
      <c r="F225" s="1166">
        <f>IF(G225="RES-SFU","RESIDENTIAL",IF(G225="RES-HOA","RESIDENTIAL",IF(G225="RES-MDU","RESIDENTIAL",IF(G225="COMM-SU","BUSINESS",IF(G225="COM-MTU","BUSINESS",IF(G225="ENT","BUSINESS",""))))))</f>
        <v/>
      </c>
      <c r="G225" s="1166">
        <f>'House Count'!F225</f>
        <v/>
      </c>
      <c r="H225" s="1166">
        <f>'House Count'!H225</f>
        <v/>
      </c>
    </row>
    <row r="226">
      <c r="A226" s="1165">
        <f>'House Count'!A226</f>
        <v/>
      </c>
      <c r="B226" s="1166">
        <f>'House Count'!E226</f>
        <v/>
      </c>
      <c r="C226" s="1166">
        <f>'House Count'!B226</f>
        <v/>
      </c>
      <c r="D226" s="1166">
        <f>'House Count'!C226</f>
        <v/>
      </c>
      <c r="E226" s="1166">
        <f>'House Count'!D226</f>
        <v/>
      </c>
      <c r="F226" s="1166">
        <f>IF(G226="RES-SFU","RESIDENTIAL",IF(G226="RES-HOA","RESIDENTIAL",IF(G226="RES-MDU","RESIDENTIAL",IF(G226="COMM-SU","BUSINESS",IF(G226="COM-MTU","BUSINESS",IF(G226="ENT","BUSINESS",""))))))</f>
        <v/>
      </c>
      <c r="G226" s="1166">
        <f>'House Count'!F226</f>
        <v/>
      </c>
      <c r="H226" s="1166">
        <f>'House Count'!H226</f>
        <v/>
      </c>
    </row>
    <row r="227">
      <c r="A227" s="1165">
        <f>'House Count'!A227</f>
        <v/>
      </c>
      <c r="B227" s="1166">
        <f>'House Count'!E227</f>
        <v/>
      </c>
      <c r="C227" s="1166">
        <f>'House Count'!B227</f>
        <v/>
      </c>
      <c r="D227" s="1166">
        <f>'House Count'!C227</f>
        <v/>
      </c>
      <c r="E227" s="1166">
        <f>'House Count'!D227</f>
        <v/>
      </c>
      <c r="F227" s="1166">
        <f>IF(G227="RES-SFU","RESIDENTIAL",IF(G227="RES-HOA","RESIDENTIAL",IF(G227="RES-MDU","RESIDENTIAL",IF(G227="COMM-SU","BUSINESS",IF(G227="COM-MTU","BUSINESS",IF(G227="ENT","BUSINESS",""))))))</f>
        <v/>
      </c>
      <c r="G227" s="1166">
        <f>'House Count'!F227</f>
        <v/>
      </c>
      <c r="H227" s="1166">
        <f>'House Count'!H227</f>
        <v/>
      </c>
    </row>
    <row r="228">
      <c r="A228" s="1165">
        <f>'House Count'!A228</f>
        <v/>
      </c>
      <c r="B228" s="1166">
        <f>'House Count'!E228</f>
        <v/>
      </c>
      <c r="C228" s="1166">
        <f>'House Count'!B228</f>
        <v/>
      </c>
      <c r="D228" s="1166">
        <f>'House Count'!C228</f>
        <v/>
      </c>
      <c r="E228" s="1166">
        <f>'House Count'!D228</f>
        <v/>
      </c>
      <c r="F228" s="1166">
        <f>IF(G228="RES-SFU","RESIDENTIAL",IF(G228="RES-HOA","RESIDENTIAL",IF(G228="RES-MDU","RESIDENTIAL",IF(G228="COMM-SU","BUSINESS",IF(G228="COM-MTU","BUSINESS",IF(G228="ENT","BUSINESS",""))))))</f>
        <v/>
      </c>
      <c r="G228" s="1166">
        <f>'House Count'!F228</f>
        <v/>
      </c>
      <c r="H228" s="1166">
        <f>'House Count'!H228</f>
        <v/>
      </c>
    </row>
    <row r="229">
      <c r="A229" s="1165">
        <f>'House Count'!A229</f>
        <v/>
      </c>
      <c r="B229" s="1166">
        <f>'House Count'!E229</f>
        <v/>
      </c>
      <c r="C229" s="1166">
        <f>'House Count'!B229</f>
        <v/>
      </c>
      <c r="D229" s="1166">
        <f>'House Count'!C229</f>
        <v/>
      </c>
      <c r="E229" s="1166">
        <f>'House Count'!D229</f>
        <v/>
      </c>
      <c r="F229" s="1166">
        <f>IF(G229="RES-SFU","RESIDENTIAL",IF(G229="RES-HOA","RESIDENTIAL",IF(G229="RES-MDU","RESIDENTIAL",IF(G229="COMM-SU","BUSINESS",IF(G229="COM-MTU","BUSINESS",IF(G229="ENT","BUSINESS",""))))))</f>
        <v/>
      </c>
      <c r="G229" s="1166">
        <f>'House Count'!F229</f>
        <v/>
      </c>
      <c r="H229" s="1166">
        <f>'House Count'!H229</f>
        <v/>
      </c>
    </row>
    <row r="230">
      <c r="A230" s="1165">
        <f>'House Count'!A230</f>
        <v/>
      </c>
      <c r="B230" s="1166">
        <f>'House Count'!E230</f>
        <v/>
      </c>
      <c r="C230" s="1166">
        <f>'House Count'!B230</f>
        <v/>
      </c>
      <c r="D230" s="1166">
        <f>'House Count'!C230</f>
        <v/>
      </c>
      <c r="E230" s="1166">
        <f>'House Count'!D230</f>
        <v/>
      </c>
      <c r="F230" s="1166">
        <f>IF(G230="RES-SFU","RESIDENTIAL",IF(G230="RES-HOA","RESIDENTIAL",IF(G230="RES-MDU","RESIDENTIAL",IF(G230="COMM-SU","BUSINESS",IF(G230="COM-MTU","BUSINESS",IF(G230="ENT","BUSINESS",""))))))</f>
        <v/>
      </c>
      <c r="G230" s="1166">
        <f>'House Count'!F230</f>
        <v/>
      </c>
      <c r="H230" s="1166">
        <f>'House Count'!H230</f>
        <v/>
      </c>
    </row>
    <row r="231">
      <c r="A231" s="1165">
        <f>'House Count'!A231</f>
        <v/>
      </c>
      <c r="B231" s="1166">
        <f>'House Count'!E231</f>
        <v/>
      </c>
      <c r="C231" s="1166">
        <f>'House Count'!B231</f>
        <v/>
      </c>
      <c r="D231" s="1166">
        <f>'House Count'!C231</f>
        <v/>
      </c>
      <c r="E231" s="1166">
        <f>'House Count'!D231</f>
        <v/>
      </c>
      <c r="F231" s="1166">
        <f>IF(G231="RES-SFU","RESIDENTIAL",IF(G231="RES-HOA","RESIDENTIAL",IF(G231="RES-MDU","RESIDENTIAL",IF(G231="COMM-SU","BUSINESS",IF(G231="COM-MTU","BUSINESS",IF(G231="ENT","BUSINESS",""))))))</f>
        <v/>
      </c>
      <c r="G231" s="1166">
        <f>'House Count'!F231</f>
        <v/>
      </c>
      <c r="H231" s="1166">
        <f>'House Count'!H231</f>
        <v/>
      </c>
    </row>
    <row r="232">
      <c r="A232" s="1165">
        <f>'House Count'!A232</f>
        <v/>
      </c>
      <c r="B232" s="1166">
        <f>'House Count'!E232</f>
        <v/>
      </c>
      <c r="C232" s="1166">
        <f>'House Count'!B232</f>
        <v/>
      </c>
      <c r="D232" s="1166">
        <f>'House Count'!C232</f>
        <v/>
      </c>
      <c r="E232" s="1166">
        <f>'House Count'!D232</f>
        <v/>
      </c>
      <c r="F232" s="1166">
        <f>IF(G232="RES-SFU","RESIDENTIAL",IF(G232="RES-HOA","RESIDENTIAL",IF(G232="RES-MDU","RESIDENTIAL",IF(G232="COMM-SU","BUSINESS",IF(G232="COM-MTU","BUSINESS",IF(G232="ENT","BUSINESS",""))))))</f>
        <v/>
      </c>
      <c r="G232" s="1166">
        <f>'House Count'!F232</f>
        <v/>
      </c>
      <c r="H232" s="1166">
        <f>'House Count'!H232</f>
        <v/>
      </c>
    </row>
    <row r="233">
      <c r="A233" s="1165">
        <f>'House Count'!A233</f>
        <v/>
      </c>
      <c r="B233" s="1166">
        <f>'House Count'!E233</f>
        <v/>
      </c>
      <c r="C233" s="1166">
        <f>'House Count'!B233</f>
        <v/>
      </c>
      <c r="D233" s="1166">
        <f>'House Count'!C233</f>
        <v/>
      </c>
      <c r="E233" s="1166">
        <f>'House Count'!D233</f>
        <v/>
      </c>
      <c r="F233" s="1166">
        <f>IF(G233="RES-SFU","RESIDENTIAL",IF(G233="RES-HOA","RESIDENTIAL",IF(G233="RES-MDU","RESIDENTIAL",IF(G233="COMM-SU","BUSINESS",IF(G233="COM-MTU","BUSINESS",IF(G233="ENT","BUSINESS",""))))))</f>
        <v/>
      </c>
      <c r="G233" s="1166">
        <f>'House Count'!F233</f>
        <v/>
      </c>
      <c r="H233" s="1166">
        <f>'House Count'!H233</f>
        <v/>
      </c>
    </row>
    <row r="234">
      <c r="A234" s="1165">
        <f>'House Count'!A234</f>
        <v/>
      </c>
      <c r="B234" s="1166">
        <f>'House Count'!E234</f>
        <v/>
      </c>
      <c r="C234" s="1166">
        <f>'House Count'!B234</f>
        <v/>
      </c>
      <c r="D234" s="1166">
        <f>'House Count'!C234</f>
        <v/>
      </c>
      <c r="E234" s="1166">
        <f>'House Count'!D234</f>
        <v/>
      </c>
      <c r="F234" s="1166">
        <f>IF(G234="RES-SFU","RESIDENTIAL",IF(G234="RES-HOA","RESIDENTIAL",IF(G234="RES-MDU","RESIDENTIAL",IF(G234="COMM-SU","BUSINESS",IF(G234="COM-MTU","BUSINESS",IF(G234="ENT","BUSINESS",""))))))</f>
        <v/>
      </c>
      <c r="G234" s="1166">
        <f>'House Count'!F234</f>
        <v/>
      </c>
      <c r="H234" s="1166">
        <f>'House Count'!H234</f>
        <v/>
      </c>
    </row>
    <row r="235">
      <c r="A235" s="1165">
        <f>'House Count'!A235</f>
        <v/>
      </c>
      <c r="B235" s="1166">
        <f>'House Count'!E235</f>
        <v/>
      </c>
      <c r="C235" s="1166">
        <f>'House Count'!B235</f>
        <v/>
      </c>
      <c r="D235" s="1166">
        <f>'House Count'!C235</f>
        <v/>
      </c>
      <c r="E235" s="1166">
        <f>'House Count'!D235</f>
        <v/>
      </c>
      <c r="F235" s="1166">
        <f>IF(G235="RES-SFU","RESIDENTIAL",IF(G235="RES-HOA","RESIDENTIAL",IF(G235="RES-MDU","RESIDENTIAL",IF(G235="COMM-SU","BUSINESS",IF(G235="COM-MTU","BUSINESS",IF(G235="ENT","BUSINESS",""))))))</f>
        <v/>
      </c>
      <c r="G235" s="1166">
        <f>'House Count'!F235</f>
        <v/>
      </c>
      <c r="H235" s="1166">
        <f>'House Count'!H235</f>
        <v/>
      </c>
    </row>
    <row r="236">
      <c r="A236" s="1165">
        <f>'House Count'!A236</f>
        <v/>
      </c>
      <c r="B236" s="1166">
        <f>'House Count'!E236</f>
        <v/>
      </c>
      <c r="C236" s="1166">
        <f>'House Count'!B236</f>
        <v/>
      </c>
      <c r="D236" s="1166">
        <f>'House Count'!C236</f>
        <v/>
      </c>
      <c r="E236" s="1166">
        <f>'House Count'!D236</f>
        <v/>
      </c>
      <c r="F236" s="1166">
        <f>IF(G236="RES-SFU","RESIDENTIAL",IF(G236="RES-HOA","RESIDENTIAL",IF(G236="RES-MDU","RESIDENTIAL",IF(G236="COMM-SU","BUSINESS",IF(G236="COM-MTU","BUSINESS",IF(G236="ENT","BUSINESS",""))))))</f>
        <v/>
      </c>
      <c r="G236" s="1166">
        <f>'House Count'!F236</f>
        <v/>
      </c>
      <c r="H236" s="1166">
        <f>'House Count'!H236</f>
        <v/>
      </c>
    </row>
    <row r="237">
      <c r="A237" s="1165">
        <f>'House Count'!A237</f>
        <v/>
      </c>
      <c r="B237" s="1166">
        <f>'House Count'!E237</f>
        <v/>
      </c>
      <c r="C237" s="1166">
        <f>'House Count'!B237</f>
        <v/>
      </c>
      <c r="D237" s="1166">
        <f>'House Count'!C237</f>
        <v/>
      </c>
      <c r="E237" s="1166">
        <f>'House Count'!D237</f>
        <v/>
      </c>
      <c r="F237" s="1166">
        <f>IF(G237="RES-SFU","RESIDENTIAL",IF(G237="RES-HOA","RESIDENTIAL",IF(G237="RES-MDU","RESIDENTIAL",IF(G237="COMM-SU","BUSINESS",IF(G237="COM-MTU","BUSINESS",IF(G237="ENT","BUSINESS",""))))))</f>
        <v/>
      </c>
      <c r="G237" s="1166">
        <f>'House Count'!F237</f>
        <v/>
      </c>
      <c r="H237" s="1166">
        <f>'House Count'!H237</f>
        <v/>
      </c>
    </row>
    <row r="238">
      <c r="A238" s="1165">
        <f>'House Count'!A238</f>
        <v/>
      </c>
      <c r="B238" s="1166">
        <f>'House Count'!E238</f>
        <v/>
      </c>
      <c r="C238" s="1166">
        <f>'House Count'!B238</f>
        <v/>
      </c>
      <c r="D238" s="1166">
        <f>'House Count'!C238</f>
        <v/>
      </c>
      <c r="E238" s="1166">
        <f>'House Count'!D238</f>
        <v/>
      </c>
      <c r="F238" s="1166">
        <f>IF(G238="RES-SFU","RESIDENTIAL",IF(G238="RES-HOA","RESIDENTIAL",IF(G238="RES-MDU","RESIDENTIAL",IF(G238="COMM-SU","BUSINESS",IF(G238="COM-MTU","BUSINESS",IF(G238="ENT","BUSINESS",""))))))</f>
        <v/>
      </c>
      <c r="G238" s="1166">
        <f>'House Count'!F238</f>
        <v/>
      </c>
      <c r="H238" s="1166">
        <f>'House Count'!H238</f>
        <v/>
      </c>
    </row>
    <row r="239">
      <c r="A239" s="1165">
        <f>'House Count'!A239</f>
        <v/>
      </c>
      <c r="B239" s="1166">
        <f>'House Count'!E239</f>
        <v/>
      </c>
      <c r="C239" s="1166">
        <f>'House Count'!B239</f>
        <v/>
      </c>
      <c r="D239" s="1166">
        <f>'House Count'!C239</f>
        <v/>
      </c>
      <c r="E239" s="1166">
        <f>'House Count'!D239</f>
        <v/>
      </c>
      <c r="F239" s="1166">
        <f>IF(G239="RES-SFU","RESIDENTIAL",IF(G239="RES-HOA","RESIDENTIAL",IF(G239="RES-MDU","RESIDENTIAL",IF(G239="COMM-SU","BUSINESS",IF(G239="COM-MTU","BUSINESS",IF(G239="ENT","BUSINESS",""))))))</f>
        <v/>
      </c>
      <c r="G239" s="1166">
        <f>'House Count'!F239</f>
        <v/>
      </c>
      <c r="H239" s="1166">
        <f>'House Count'!H239</f>
        <v/>
      </c>
    </row>
    <row r="240">
      <c r="A240" s="1165">
        <f>'House Count'!A240</f>
        <v/>
      </c>
      <c r="B240" s="1166">
        <f>'House Count'!E240</f>
        <v/>
      </c>
      <c r="C240" s="1166">
        <f>'House Count'!B240</f>
        <v/>
      </c>
      <c r="D240" s="1166">
        <f>'House Count'!C240</f>
        <v/>
      </c>
      <c r="E240" s="1166">
        <f>'House Count'!D240</f>
        <v/>
      </c>
      <c r="F240" s="1166">
        <f>IF(G240="RES-SFU","RESIDENTIAL",IF(G240="RES-HOA","RESIDENTIAL",IF(G240="RES-MDU","RESIDENTIAL",IF(G240="COMM-SU","BUSINESS",IF(G240="COM-MTU","BUSINESS",IF(G240="ENT","BUSINESS",""))))))</f>
        <v/>
      </c>
      <c r="G240" s="1166">
        <f>'House Count'!F240</f>
        <v/>
      </c>
      <c r="H240" s="1166">
        <f>'House Count'!H240</f>
        <v/>
      </c>
    </row>
    <row r="241">
      <c r="A241" s="1165">
        <f>'House Count'!A241</f>
        <v/>
      </c>
      <c r="B241" s="1166">
        <f>'House Count'!E241</f>
        <v/>
      </c>
      <c r="C241" s="1166">
        <f>'House Count'!B241</f>
        <v/>
      </c>
      <c r="D241" s="1166">
        <f>'House Count'!C241</f>
        <v/>
      </c>
      <c r="E241" s="1166">
        <f>'House Count'!D241</f>
        <v/>
      </c>
      <c r="F241" s="1166">
        <f>IF(G241="RES-SFU","RESIDENTIAL",IF(G241="RES-HOA","RESIDENTIAL",IF(G241="RES-MDU","RESIDENTIAL",IF(G241="COMM-SU","BUSINESS",IF(G241="COM-MTU","BUSINESS",IF(G241="ENT","BUSINESS",""))))))</f>
        <v/>
      </c>
      <c r="G241" s="1166">
        <f>'House Count'!F241</f>
        <v/>
      </c>
      <c r="H241" s="1166">
        <f>'House Count'!H241</f>
        <v/>
      </c>
    </row>
    <row r="242">
      <c r="A242" s="1165">
        <f>'House Count'!A242</f>
        <v/>
      </c>
      <c r="B242" s="1166">
        <f>'House Count'!E242</f>
        <v/>
      </c>
      <c r="C242" s="1166">
        <f>'House Count'!B242</f>
        <v/>
      </c>
      <c r="D242" s="1166">
        <f>'House Count'!C242</f>
        <v/>
      </c>
      <c r="E242" s="1166">
        <f>'House Count'!D242</f>
        <v/>
      </c>
      <c r="F242" s="1166">
        <f>IF(G242="RES-SFU","RESIDENTIAL",IF(G242="RES-HOA","RESIDENTIAL",IF(G242="RES-MDU","RESIDENTIAL",IF(G242="COMM-SU","BUSINESS",IF(G242="COM-MTU","BUSINESS",IF(G242="ENT","BUSINESS",""))))))</f>
        <v/>
      </c>
      <c r="G242" s="1166">
        <f>'House Count'!F242</f>
        <v/>
      </c>
      <c r="H242" s="1166">
        <f>'House Count'!H242</f>
        <v/>
      </c>
    </row>
    <row r="243">
      <c r="A243" s="1165">
        <f>'House Count'!A243</f>
        <v/>
      </c>
      <c r="B243" s="1166">
        <f>'House Count'!E243</f>
        <v/>
      </c>
      <c r="C243" s="1166">
        <f>'House Count'!B243</f>
        <v/>
      </c>
      <c r="D243" s="1166">
        <f>'House Count'!C243</f>
        <v/>
      </c>
      <c r="E243" s="1166">
        <f>'House Count'!D243</f>
        <v/>
      </c>
      <c r="F243" s="1166">
        <f>IF(G243="RES-SFU","RESIDENTIAL",IF(G243="RES-HOA","RESIDENTIAL",IF(G243="RES-MDU","RESIDENTIAL",IF(G243="COMM-SU","BUSINESS",IF(G243="COM-MTU","BUSINESS",IF(G243="ENT","BUSINESS",""))))))</f>
        <v/>
      </c>
      <c r="G243" s="1166">
        <f>'House Count'!F243</f>
        <v/>
      </c>
      <c r="H243" s="1166">
        <f>'House Count'!H243</f>
        <v/>
      </c>
    </row>
    <row r="244">
      <c r="A244" s="1165">
        <f>'House Count'!A244</f>
        <v/>
      </c>
      <c r="B244" s="1166">
        <f>'House Count'!E244</f>
        <v/>
      </c>
      <c r="C244" s="1166">
        <f>'House Count'!B244</f>
        <v/>
      </c>
      <c r="D244" s="1166">
        <f>'House Count'!C244</f>
        <v/>
      </c>
      <c r="E244" s="1166">
        <f>'House Count'!D244</f>
        <v/>
      </c>
      <c r="F244" s="1166">
        <f>IF(G244="RES-SFU","RESIDENTIAL",IF(G244="RES-HOA","RESIDENTIAL",IF(G244="RES-MDU","RESIDENTIAL",IF(G244="COMM-SU","BUSINESS",IF(G244="COM-MTU","BUSINESS",IF(G244="ENT","BUSINESS",""))))))</f>
        <v/>
      </c>
      <c r="G244" s="1166">
        <f>'House Count'!F244</f>
        <v/>
      </c>
      <c r="H244" s="1166">
        <f>'House Count'!H244</f>
        <v/>
      </c>
    </row>
    <row r="245">
      <c r="A245" s="1165">
        <f>'House Count'!A245</f>
        <v/>
      </c>
      <c r="B245" s="1166">
        <f>'House Count'!E245</f>
        <v/>
      </c>
      <c r="C245" s="1166">
        <f>'House Count'!B245</f>
        <v/>
      </c>
      <c r="D245" s="1166">
        <f>'House Count'!C245</f>
        <v/>
      </c>
      <c r="E245" s="1166">
        <f>'House Count'!D245</f>
        <v/>
      </c>
      <c r="F245" s="1166">
        <f>IF(G245="RES-SFU","RESIDENTIAL",IF(G245="RES-HOA","RESIDENTIAL",IF(G245="RES-MDU","RESIDENTIAL",IF(G245="COMM-SU","BUSINESS",IF(G245="COM-MTU","BUSINESS",IF(G245="ENT","BUSINESS",""))))))</f>
        <v/>
      </c>
      <c r="G245" s="1166">
        <f>'House Count'!F245</f>
        <v/>
      </c>
      <c r="H245" s="1166">
        <f>'House Count'!H245</f>
        <v/>
      </c>
    </row>
    <row r="246">
      <c r="A246" s="1165">
        <f>'House Count'!A246</f>
        <v/>
      </c>
      <c r="B246" s="1166">
        <f>'House Count'!E246</f>
        <v/>
      </c>
      <c r="C246" s="1166">
        <f>'House Count'!B246</f>
        <v/>
      </c>
      <c r="D246" s="1166">
        <f>'House Count'!C246</f>
        <v/>
      </c>
      <c r="E246" s="1166">
        <f>'House Count'!D246</f>
        <v/>
      </c>
      <c r="F246" s="1166">
        <f>IF(G246="RES-SFU","RESIDENTIAL",IF(G246="RES-HOA","RESIDENTIAL",IF(G246="RES-MDU","RESIDENTIAL",IF(G246="COMM-SU","BUSINESS",IF(G246="COM-MTU","BUSINESS",IF(G246="ENT","BUSINESS",""))))))</f>
        <v/>
      </c>
      <c r="G246" s="1166">
        <f>'House Count'!F246</f>
        <v/>
      </c>
      <c r="H246" s="1166">
        <f>'House Count'!H246</f>
        <v/>
      </c>
    </row>
    <row r="247">
      <c r="A247" s="1165">
        <f>'House Count'!A247</f>
        <v/>
      </c>
      <c r="B247" s="1166">
        <f>'House Count'!E247</f>
        <v/>
      </c>
      <c r="C247" s="1166">
        <f>'House Count'!B247</f>
        <v/>
      </c>
      <c r="D247" s="1166">
        <f>'House Count'!C247</f>
        <v/>
      </c>
      <c r="E247" s="1166">
        <f>'House Count'!D247</f>
        <v/>
      </c>
      <c r="F247" s="1166">
        <f>IF(G247="RES-SFU","RESIDENTIAL",IF(G247="RES-HOA","RESIDENTIAL",IF(G247="RES-MDU","RESIDENTIAL",IF(G247="COMM-SU","BUSINESS",IF(G247="COM-MTU","BUSINESS",IF(G247="ENT","BUSINESS",""))))))</f>
        <v/>
      </c>
      <c r="G247" s="1166">
        <f>'House Count'!F247</f>
        <v/>
      </c>
      <c r="H247" s="1166">
        <f>'House Count'!H247</f>
        <v/>
      </c>
    </row>
    <row r="248">
      <c r="A248" s="1165">
        <f>'House Count'!A248</f>
        <v/>
      </c>
      <c r="B248" s="1166">
        <f>'House Count'!E248</f>
        <v/>
      </c>
      <c r="C248" s="1166">
        <f>'House Count'!B248</f>
        <v/>
      </c>
      <c r="D248" s="1166">
        <f>'House Count'!C248</f>
        <v/>
      </c>
      <c r="E248" s="1166">
        <f>'House Count'!D248</f>
        <v/>
      </c>
      <c r="F248" s="1166">
        <f>IF(G248="RES-SFU","RESIDENTIAL",IF(G248="RES-HOA","RESIDENTIAL",IF(G248="RES-MDU","RESIDENTIAL",IF(G248="COMM-SU","BUSINESS",IF(G248="COM-MTU","BUSINESS",IF(G248="ENT","BUSINESS",""))))))</f>
        <v/>
      </c>
      <c r="G248" s="1166">
        <f>'House Count'!F248</f>
        <v/>
      </c>
      <c r="H248" s="1166">
        <f>'House Count'!H248</f>
        <v/>
      </c>
    </row>
    <row r="249">
      <c r="A249" s="1165">
        <f>'House Count'!A249</f>
        <v/>
      </c>
      <c r="B249" s="1166">
        <f>'House Count'!E249</f>
        <v/>
      </c>
      <c r="C249" s="1166">
        <f>'House Count'!B249</f>
        <v/>
      </c>
      <c r="D249" s="1166">
        <f>'House Count'!C249</f>
        <v/>
      </c>
      <c r="E249" s="1166">
        <f>'House Count'!D249</f>
        <v/>
      </c>
      <c r="F249" s="1166">
        <f>IF(G249="RES-SFU","RESIDENTIAL",IF(G249="RES-HOA","RESIDENTIAL",IF(G249="RES-MDU","RESIDENTIAL",IF(G249="COMM-SU","BUSINESS",IF(G249="COM-MTU","BUSINESS",IF(G249="ENT","BUSINESS",""))))))</f>
        <v/>
      </c>
      <c r="G249" s="1166">
        <f>'House Count'!F249</f>
        <v/>
      </c>
      <c r="H249" s="1166">
        <f>'House Count'!H249</f>
        <v/>
      </c>
    </row>
    <row r="250">
      <c r="A250" s="1165">
        <f>'House Count'!A250</f>
        <v/>
      </c>
      <c r="B250" s="1166">
        <f>'House Count'!E250</f>
        <v/>
      </c>
      <c r="C250" s="1166">
        <f>'House Count'!B250</f>
        <v/>
      </c>
      <c r="D250" s="1166">
        <f>'House Count'!C250</f>
        <v/>
      </c>
      <c r="E250" s="1166">
        <f>'House Count'!D250</f>
        <v/>
      </c>
      <c r="F250" s="1166">
        <f>IF(G250="RES-SFU","RESIDENTIAL",IF(G250="RES-HOA","RESIDENTIAL",IF(G250="RES-MDU","RESIDENTIAL",IF(G250="COMM-SU","BUSINESS",IF(G250="COM-MTU","BUSINESS",IF(G250="ENT","BUSINESS",""))))))</f>
        <v/>
      </c>
      <c r="G250" s="1166">
        <f>'House Count'!F250</f>
        <v/>
      </c>
      <c r="H250" s="1166">
        <f>'House Count'!H250</f>
        <v/>
      </c>
    </row>
    <row r="251">
      <c r="A251" s="1165">
        <f>'House Count'!A251</f>
        <v/>
      </c>
      <c r="B251" s="1166">
        <f>'House Count'!E251</f>
        <v/>
      </c>
      <c r="C251" s="1166">
        <f>'House Count'!B251</f>
        <v/>
      </c>
      <c r="D251" s="1166">
        <f>'House Count'!C251</f>
        <v/>
      </c>
      <c r="E251" s="1166">
        <f>'House Count'!D251</f>
        <v/>
      </c>
      <c r="F251" s="1166">
        <f>IF(G251="RES-SFU","RESIDENTIAL",IF(G251="RES-HOA","RESIDENTIAL",IF(G251="RES-MDU","RESIDENTIAL",IF(G251="COMM-SU","BUSINESS",IF(G251="COM-MTU","BUSINESS",IF(G251="ENT","BUSINESS",""))))))</f>
        <v/>
      </c>
      <c r="G251" s="1166">
        <f>'House Count'!F251</f>
        <v/>
      </c>
      <c r="H251" s="1166">
        <f>'House Count'!H251</f>
        <v/>
      </c>
    </row>
    <row r="252">
      <c r="A252" s="1165">
        <f>'House Count'!A252</f>
        <v/>
      </c>
      <c r="B252" s="1166">
        <f>'House Count'!E252</f>
        <v/>
      </c>
      <c r="C252" s="1166">
        <f>'House Count'!B252</f>
        <v/>
      </c>
      <c r="D252" s="1166">
        <f>'House Count'!C252</f>
        <v/>
      </c>
      <c r="E252" s="1166">
        <f>'House Count'!D252</f>
        <v/>
      </c>
      <c r="F252" s="1166">
        <f>IF(G252="RES-SFU","RESIDENTIAL",IF(G252="RES-HOA","RESIDENTIAL",IF(G252="RES-MDU","RESIDENTIAL",IF(G252="COMM-SU","BUSINESS",IF(G252="COM-MTU","BUSINESS",IF(G252="ENT","BUSINESS",""))))))</f>
        <v/>
      </c>
      <c r="G252" s="1166">
        <f>'House Count'!F252</f>
        <v/>
      </c>
      <c r="H252" s="1166">
        <f>'House Count'!H252</f>
        <v/>
      </c>
    </row>
    <row r="253">
      <c r="A253" s="1165">
        <f>'House Count'!A253</f>
        <v/>
      </c>
      <c r="B253" s="1166">
        <f>'House Count'!E253</f>
        <v/>
      </c>
      <c r="C253" s="1166">
        <f>'House Count'!B253</f>
        <v/>
      </c>
      <c r="D253" s="1166">
        <f>'House Count'!C253</f>
        <v/>
      </c>
      <c r="E253" s="1166">
        <f>'House Count'!D253</f>
        <v/>
      </c>
      <c r="F253" s="1166">
        <f>IF(G253="RES-SFU","RESIDENTIAL",IF(G253="RES-HOA","RESIDENTIAL",IF(G253="RES-MDU","RESIDENTIAL",IF(G253="COMM-SU","BUSINESS",IF(G253="COM-MTU","BUSINESS",IF(G253="ENT","BUSINESS",""))))))</f>
        <v/>
      </c>
      <c r="G253" s="1166">
        <f>'House Count'!F253</f>
        <v/>
      </c>
      <c r="H253" s="1166">
        <f>'House Count'!H253</f>
        <v/>
      </c>
    </row>
    <row r="254">
      <c r="A254" s="1165">
        <f>'House Count'!A254</f>
        <v/>
      </c>
      <c r="B254" s="1166">
        <f>'House Count'!E254</f>
        <v/>
      </c>
      <c r="C254" s="1166">
        <f>'House Count'!B254</f>
        <v/>
      </c>
      <c r="D254" s="1166">
        <f>'House Count'!C254</f>
        <v/>
      </c>
      <c r="E254" s="1166">
        <f>'House Count'!D254</f>
        <v/>
      </c>
      <c r="F254" s="1166">
        <f>IF(G254="RES-SFU","RESIDENTIAL",IF(G254="RES-HOA","RESIDENTIAL",IF(G254="RES-MDU","RESIDENTIAL",IF(G254="COMM-SU","BUSINESS",IF(G254="COM-MTU","BUSINESS",IF(G254="ENT","BUSINESS",""))))))</f>
        <v/>
      </c>
      <c r="G254" s="1166">
        <f>'House Count'!F254</f>
        <v/>
      </c>
      <c r="H254" s="1166">
        <f>'House Count'!H254</f>
        <v/>
      </c>
    </row>
    <row r="255">
      <c r="A255" s="1165">
        <f>'House Count'!A255</f>
        <v/>
      </c>
      <c r="B255" s="1166">
        <f>'House Count'!E255</f>
        <v/>
      </c>
      <c r="C255" s="1166">
        <f>'House Count'!B255</f>
        <v/>
      </c>
      <c r="D255" s="1166">
        <f>'House Count'!C255</f>
        <v/>
      </c>
      <c r="E255" s="1166">
        <f>'House Count'!D255</f>
        <v/>
      </c>
      <c r="F255" s="1166">
        <f>IF(G255="RES-SFU","RESIDENTIAL",IF(G255="RES-HOA","RESIDENTIAL",IF(G255="RES-MDU","RESIDENTIAL",IF(G255="COMM-SU","BUSINESS",IF(G255="COM-MTU","BUSINESS",IF(G255="ENT","BUSINESS",""))))))</f>
        <v/>
      </c>
      <c r="G255" s="1166">
        <f>'House Count'!F255</f>
        <v/>
      </c>
      <c r="H255" s="1166">
        <f>'House Count'!H255</f>
        <v/>
      </c>
    </row>
    <row r="256">
      <c r="A256" s="1165">
        <f>'House Count'!A256</f>
        <v/>
      </c>
      <c r="B256" s="1166">
        <f>'House Count'!E256</f>
        <v/>
      </c>
      <c r="C256" s="1166">
        <f>'House Count'!B256</f>
        <v/>
      </c>
      <c r="D256" s="1166">
        <f>'House Count'!C256</f>
        <v/>
      </c>
      <c r="E256" s="1166">
        <f>'House Count'!D256</f>
        <v/>
      </c>
      <c r="F256" s="1166">
        <f>IF(G256="RES-SFU","RESIDENTIAL",IF(G256="RES-HOA","RESIDENTIAL",IF(G256="RES-MDU","RESIDENTIAL",IF(G256="COMM-SU","BUSINESS",IF(G256="COM-MTU","BUSINESS",IF(G256="ENT","BUSINESS",""))))))</f>
        <v/>
      </c>
      <c r="G256" s="1166">
        <f>'House Count'!F256</f>
        <v/>
      </c>
      <c r="H256" s="1166">
        <f>'House Count'!H256</f>
        <v/>
      </c>
    </row>
    <row r="257">
      <c r="A257" s="1165">
        <f>'House Count'!A257</f>
        <v/>
      </c>
      <c r="B257" s="1166">
        <f>'House Count'!E257</f>
        <v/>
      </c>
      <c r="C257" s="1166">
        <f>'House Count'!B257</f>
        <v/>
      </c>
      <c r="D257" s="1166">
        <f>'House Count'!C257</f>
        <v/>
      </c>
      <c r="E257" s="1166">
        <f>'House Count'!D257</f>
        <v/>
      </c>
      <c r="F257" s="1166">
        <f>IF(G257="RES-SFU","RESIDENTIAL",IF(G257="RES-HOA","RESIDENTIAL",IF(G257="RES-MDU","RESIDENTIAL",IF(G257="COMM-SU","BUSINESS",IF(G257="COM-MTU","BUSINESS",IF(G257="ENT","BUSINESS",""))))))</f>
        <v/>
      </c>
      <c r="G257" s="1166">
        <f>'House Count'!F257</f>
        <v/>
      </c>
      <c r="H257" s="1166">
        <f>'House Count'!H257</f>
        <v/>
      </c>
    </row>
    <row r="258">
      <c r="A258" s="1165">
        <f>'House Count'!A258</f>
        <v/>
      </c>
      <c r="B258" s="1166">
        <f>'House Count'!E258</f>
        <v/>
      </c>
      <c r="C258" s="1166">
        <f>'House Count'!B258</f>
        <v/>
      </c>
      <c r="D258" s="1166">
        <f>'House Count'!C258</f>
        <v/>
      </c>
      <c r="E258" s="1166">
        <f>'House Count'!D258</f>
        <v/>
      </c>
      <c r="F258" s="1166">
        <f>IF(G258="RES-SFU","RESIDENTIAL",IF(G258="RES-HOA","RESIDENTIAL",IF(G258="RES-MDU","RESIDENTIAL",IF(G258="COMM-SU","BUSINESS",IF(G258="COM-MTU","BUSINESS",IF(G258="ENT","BUSINESS",""))))))</f>
        <v/>
      </c>
      <c r="G258" s="1166">
        <f>'House Count'!F258</f>
        <v/>
      </c>
      <c r="H258" s="1166">
        <f>'House Count'!H258</f>
        <v/>
      </c>
    </row>
    <row r="259">
      <c r="A259" s="1165">
        <f>'House Count'!A259</f>
        <v/>
      </c>
      <c r="B259" s="1166">
        <f>'House Count'!E259</f>
        <v/>
      </c>
      <c r="C259" s="1166">
        <f>'House Count'!B259</f>
        <v/>
      </c>
      <c r="D259" s="1166">
        <f>'House Count'!C259</f>
        <v/>
      </c>
      <c r="E259" s="1166">
        <f>'House Count'!D259</f>
        <v/>
      </c>
      <c r="F259" s="1166">
        <f>IF(G259="RES-SFU","RESIDENTIAL",IF(G259="RES-HOA","RESIDENTIAL",IF(G259="RES-MDU","RESIDENTIAL",IF(G259="COMM-SU","BUSINESS",IF(G259="COM-MTU","BUSINESS",IF(G259="ENT","BUSINESS",""))))))</f>
        <v/>
      </c>
      <c r="G259" s="1166">
        <f>'House Count'!F259</f>
        <v/>
      </c>
      <c r="H259" s="1166">
        <f>'House Count'!H259</f>
        <v/>
      </c>
    </row>
    <row r="260">
      <c r="A260" s="1165">
        <f>'House Count'!A260</f>
        <v/>
      </c>
      <c r="B260" s="1166">
        <f>'House Count'!E260</f>
        <v/>
      </c>
      <c r="C260" s="1166">
        <f>'House Count'!B260</f>
        <v/>
      </c>
      <c r="D260" s="1166">
        <f>'House Count'!C260</f>
        <v/>
      </c>
      <c r="E260" s="1166">
        <f>'House Count'!D260</f>
        <v/>
      </c>
      <c r="F260" s="1166">
        <f>IF(G260="RES-SFU","RESIDENTIAL",IF(G260="RES-HOA","RESIDENTIAL",IF(G260="RES-MDU","RESIDENTIAL",IF(G260="COMM-SU","BUSINESS",IF(G260="COM-MTU","BUSINESS",IF(G260="ENT","BUSINESS",""))))))</f>
        <v/>
      </c>
      <c r="G260" s="1166">
        <f>'House Count'!F260</f>
        <v/>
      </c>
      <c r="H260" s="1166">
        <f>'House Count'!H260</f>
        <v/>
      </c>
    </row>
    <row r="261">
      <c r="A261" s="1165">
        <f>'House Count'!A261</f>
        <v/>
      </c>
      <c r="B261" s="1166">
        <f>'House Count'!E261</f>
        <v/>
      </c>
      <c r="C261" s="1166">
        <f>'House Count'!B261</f>
        <v/>
      </c>
      <c r="D261" s="1166">
        <f>'House Count'!C261</f>
        <v/>
      </c>
      <c r="E261" s="1166">
        <f>'House Count'!D261</f>
        <v/>
      </c>
      <c r="F261" s="1166">
        <f>IF(G261="RES-SFU","RESIDENTIAL",IF(G261="RES-HOA","RESIDENTIAL",IF(G261="RES-MDU","RESIDENTIAL",IF(G261="COMM-SU","BUSINESS",IF(G261="COM-MTU","BUSINESS",IF(G261="ENT","BUSINESS",""))))))</f>
        <v/>
      </c>
      <c r="G261" s="1166">
        <f>'House Count'!F261</f>
        <v/>
      </c>
      <c r="H261" s="1166">
        <f>'House Count'!H261</f>
        <v/>
      </c>
    </row>
    <row r="262">
      <c r="A262" s="1165">
        <f>'House Count'!A262</f>
        <v/>
      </c>
      <c r="B262" s="1166">
        <f>'House Count'!E262</f>
        <v/>
      </c>
      <c r="C262" s="1166">
        <f>'House Count'!B262</f>
        <v/>
      </c>
      <c r="D262" s="1166">
        <f>'House Count'!C262</f>
        <v/>
      </c>
      <c r="E262" s="1166">
        <f>'House Count'!D262</f>
        <v/>
      </c>
      <c r="F262" s="1166">
        <f>IF(G262="RES-SFU","RESIDENTIAL",IF(G262="RES-HOA","RESIDENTIAL",IF(G262="RES-MDU","RESIDENTIAL",IF(G262="COMM-SU","BUSINESS",IF(G262="COM-MTU","BUSINESS",IF(G262="ENT","BUSINESS",""))))))</f>
        <v/>
      </c>
      <c r="G262" s="1166">
        <f>'House Count'!F262</f>
        <v/>
      </c>
      <c r="H262" s="1166">
        <f>'House Count'!H262</f>
        <v/>
      </c>
    </row>
    <row r="263">
      <c r="A263" s="1165">
        <f>'House Count'!A263</f>
        <v/>
      </c>
      <c r="B263" s="1166">
        <f>'House Count'!E263</f>
        <v/>
      </c>
      <c r="C263" s="1166">
        <f>'House Count'!B263</f>
        <v/>
      </c>
      <c r="D263" s="1166">
        <f>'House Count'!C263</f>
        <v/>
      </c>
      <c r="E263" s="1166">
        <f>'House Count'!D263</f>
        <v/>
      </c>
      <c r="F263" s="1166">
        <f>IF(G263="RES-SFU","RESIDENTIAL",IF(G263="RES-HOA","RESIDENTIAL",IF(G263="RES-MDU","RESIDENTIAL",IF(G263="COMM-SU","BUSINESS",IF(G263="COM-MTU","BUSINESS",IF(G263="ENT","BUSINESS",""))))))</f>
        <v/>
      </c>
      <c r="G263" s="1166">
        <f>'House Count'!F263</f>
        <v/>
      </c>
      <c r="H263" s="1166">
        <f>'House Count'!H263</f>
        <v/>
      </c>
    </row>
    <row r="264">
      <c r="A264" s="1165">
        <f>'House Count'!A264</f>
        <v/>
      </c>
      <c r="B264" s="1166">
        <f>'House Count'!E264</f>
        <v/>
      </c>
      <c r="C264" s="1166">
        <f>'House Count'!B264</f>
        <v/>
      </c>
      <c r="D264" s="1166">
        <f>'House Count'!C264</f>
        <v/>
      </c>
      <c r="E264" s="1166">
        <f>'House Count'!D264</f>
        <v/>
      </c>
      <c r="F264" s="1166">
        <f>IF(G264="RES-SFU","RESIDENTIAL",IF(G264="RES-HOA","RESIDENTIAL",IF(G264="RES-MDU","RESIDENTIAL",IF(G264="COMM-SU","BUSINESS",IF(G264="COM-MTU","BUSINESS",IF(G264="ENT","BUSINESS",""))))))</f>
        <v/>
      </c>
      <c r="G264" s="1166">
        <f>'House Count'!F264</f>
        <v/>
      </c>
      <c r="H264" s="1166">
        <f>'House Count'!H264</f>
        <v/>
      </c>
    </row>
    <row r="265">
      <c r="A265" s="1165">
        <f>'House Count'!A265</f>
        <v/>
      </c>
      <c r="B265" s="1166">
        <f>'House Count'!E265</f>
        <v/>
      </c>
      <c r="C265" s="1166">
        <f>'House Count'!B265</f>
        <v/>
      </c>
      <c r="D265" s="1166">
        <f>'House Count'!C265</f>
        <v/>
      </c>
      <c r="E265" s="1166">
        <f>'House Count'!D265</f>
        <v/>
      </c>
      <c r="F265" s="1166">
        <f>IF(G265="RES-SFU","RESIDENTIAL",IF(G265="RES-HOA","RESIDENTIAL",IF(G265="RES-MDU","RESIDENTIAL",IF(G265="COMM-SU","BUSINESS",IF(G265="COM-MTU","BUSINESS",IF(G265="ENT","BUSINESS",""))))))</f>
        <v/>
      </c>
      <c r="G265" s="1166">
        <f>'House Count'!F265</f>
        <v/>
      </c>
      <c r="H265" s="1166">
        <f>'House Count'!H265</f>
        <v/>
      </c>
    </row>
    <row r="266">
      <c r="A266" s="1165">
        <f>'House Count'!A266</f>
        <v/>
      </c>
      <c r="B266" s="1166">
        <f>'House Count'!E266</f>
        <v/>
      </c>
      <c r="C266" s="1166">
        <f>'House Count'!B266</f>
        <v/>
      </c>
      <c r="D266" s="1166">
        <f>'House Count'!C266</f>
        <v/>
      </c>
      <c r="E266" s="1166">
        <f>'House Count'!D266</f>
        <v/>
      </c>
      <c r="F266" s="1166">
        <f>IF(G266="RES-SFU","RESIDENTIAL",IF(G266="RES-HOA","RESIDENTIAL",IF(G266="RES-MDU","RESIDENTIAL",IF(G266="COMM-SU","BUSINESS",IF(G266="COM-MTU","BUSINESS",IF(G266="ENT","BUSINESS",""))))))</f>
        <v/>
      </c>
      <c r="G266" s="1166">
        <f>'House Count'!F266</f>
        <v/>
      </c>
      <c r="H266" s="1166">
        <f>'House Count'!H266</f>
        <v/>
      </c>
    </row>
    <row r="267">
      <c r="A267" s="1165">
        <f>'House Count'!A267</f>
        <v/>
      </c>
      <c r="B267" s="1166">
        <f>'House Count'!E267</f>
        <v/>
      </c>
      <c r="C267" s="1166">
        <f>'House Count'!B267</f>
        <v/>
      </c>
      <c r="D267" s="1166">
        <f>'House Count'!C267</f>
        <v/>
      </c>
      <c r="E267" s="1166">
        <f>'House Count'!D267</f>
        <v/>
      </c>
      <c r="F267" s="1166">
        <f>IF(G267="RES-SFU","RESIDENTIAL",IF(G267="RES-HOA","RESIDENTIAL",IF(G267="RES-MDU","RESIDENTIAL",IF(G267="COMM-SU","BUSINESS",IF(G267="COM-MTU","BUSINESS",IF(G267="ENT","BUSINESS",""))))))</f>
        <v/>
      </c>
      <c r="G267" s="1166">
        <f>'House Count'!F267</f>
        <v/>
      </c>
      <c r="H267" s="1166">
        <f>'House Count'!H267</f>
        <v/>
      </c>
    </row>
    <row r="268">
      <c r="A268" s="1165">
        <f>'House Count'!A268</f>
        <v/>
      </c>
      <c r="B268" s="1166">
        <f>'House Count'!E268</f>
        <v/>
      </c>
      <c r="C268" s="1166">
        <f>'House Count'!B268</f>
        <v/>
      </c>
      <c r="D268" s="1166">
        <f>'House Count'!C268</f>
        <v/>
      </c>
      <c r="E268" s="1166">
        <f>'House Count'!D268</f>
        <v/>
      </c>
      <c r="F268" s="1166">
        <f>IF(G268="RES-SFU","RESIDENTIAL",IF(G268="RES-HOA","RESIDENTIAL",IF(G268="RES-MDU","RESIDENTIAL",IF(G268="COMM-SU","BUSINESS",IF(G268="COM-MTU","BUSINESS",IF(G268="ENT","BUSINESS",""))))))</f>
        <v/>
      </c>
      <c r="G268" s="1166">
        <f>'House Count'!F268</f>
        <v/>
      </c>
      <c r="H268" s="1166">
        <f>'House Count'!H268</f>
        <v/>
      </c>
    </row>
    <row r="269">
      <c r="A269" s="1165">
        <f>'House Count'!A269</f>
        <v/>
      </c>
      <c r="B269" s="1166">
        <f>'House Count'!E269</f>
        <v/>
      </c>
      <c r="C269" s="1166">
        <f>'House Count'!B269</f>
        <v/>
      </c>
      <c r="D269" s="1166">
        <f>'House Count'!C269</f>
        <v/>
      </c>
      <c r="E269" s="1166">
        <f>'House Count'!D269</f>
        <v/>
      </c>
      <c r="F269" s="1166">
        <f>IF(G269="RES-SFU","RESIDENTIAL",IF(G269="RES-HOA","RESIDENTIAL",IF(G269="RES-MDU","RESIDENTIAL",IF(G269="COMM-SU","BUSINESS",IF(G269="COM-MTU","BUSINESS",IF(G269="ENT","BUSINESS",""))))))</f>
        <v/>
      </c>
      <c r="G269" s="1166">
        <f>'House Count'!F269</f>
        <v/>
      </c>
      <c r="H269" s="1166">
        <f>'House Count'!H269</f>
        <v/>
      </c>
    </row>
    <row r="270">
      <c r="A270" s="1165">
        <f>'House Count'!A270</f>
        <v/>
      </c>
      <c r="B270" s="1166">
        <f>'House Count'!E270</f>
        <v/>
      </c>
      <c r="C270" s="1166">
        <f>'House Count'!B270</f>
        <v/>
      </c>
      <c r="D270" s="1166">
        <f>'House Count'!C270</f>
        <v/>
      </c>
      <c r="E270" s="1166">
        <f>'House Count'!D270</f>
        <v/>
      </c>
      <c r="F270" s="1166">
        <f>IF(G270="RES-SFU","RESIDENTIAL",IF(G270="RES-HOA","RESIDENTIAL",IF(G270="RES-MDU","RESIDENTIAL",IF(G270="COMM-SU","BUSINESS",IF(G270="COM-MTU","BUSINESS",IF(G270="ENT","BUSINESS",""))))))</f>
        <v/>
      </c>
      <c r="G270" s="1166">
        <f>'House Count'!F270</f>
        <v/>
      </c>
      <c r="H270" s="1166">
        <f>'House Count'!H270</f>
        <v/>
      </c>
    </row>
    <row r="271">
      <c r="A271" s="1165">
        <f>'House Count'!A271</f>
        <v/>
      </c>
      <c r="B271" s="1166">
        <f>'House Count'!E271</f>
        <v/>
      </c>
      <c r="C271" s="1166">
        <f>'House Count'!B271</f>
        <v/>
      </c>
      <c r="D271" s="1166">
        <f>'House Count'!C271</f>
        <v/>
      </c>
      <c r="E271" s="1166">
        <f>'House Count'!D271</f>
        <v/>
      </c>
      <c r="F271" s="1166">
        <f>IF(G271="RES-SFU","RESIDENTIAL",IF(G271="RES-HOA","RESIDENTIAL",IF(G271="RES-MDU","RESIDENTIAL",IF(G271="COMM-SU","BUSINESS",IF(G271="COM-MTU","BUSINESS",IF(G271="ENT","BUSINESS",""))))))</f>
        <v/>
      </c>
      <c r="G271" s="1166">
        <f>'House Count'!F271</f>
        <v/>
      </c>
      <c r="H271" s="1166">
        <f>'House Count'!H271</f>
        <v/>
      </c>
    </row>
    <row r="272">
      <c r="A272" s="1165">
        <f>'House Count'!A272</f>
        <v/>
      </c>
      <c r="B272" s="1166">
        <f>'House Count'!E272</f>
        <v/>
      </c>
      <c r="C272" s="1166">
        <f>'House Count'!B272</f>
        <v/>
      </c>
      <c r="D272" s="1166">
        <f>'House Count'!C272</f>
        <v/>
      </c>
      <c r="E272" s="1166">
        <f>'House Count'!D272</f>
        <v/>
      </c>
      <c r="F272" s="1166">
        <f>IF(G272="RES-SFU","RESIDENTIAL",IF(G272="RES-HOA","RESIDENTIAL",IF(G272="RES-MDU","RESIDENTIAL",IF(G272="COMM-SU","BUSINESS",IF(G272="COM-MTU","BUSINESS",IF(G272="ENT","BUSINESS",""))))))</f>
        <v/>
      </c>
      <c r="G272" s="1166">
        <f>'House Count'!F272</f>
        <v/>
      </c>
      <c r="H272" s="1166">
        <f>'House Count'!H272</f>
        <v/>
      </c>
    </row>
    <row r="273">
      <c r="A273" s="1165">
        <f>'House Count'!A273</f>
        <v/>
      </c>
      <c r="B273" s="1166">
        <f>'House Count'!E273</f>
        <v/>
      </c>
      <c r="C273" s="1166">
        <f>'House Count'!B273</f>
        <v/>
      </c>
      <c r="D273" s="1166">
        <f>'House Count'!C273</f>
        <v/>
      </c>
      <c r="E273" s="1166">
        <f>'House Count'!D273</f>
        <v/>
      </c>
      <c r="F273" s="1166">
        <f>IF(G273="RES-SFU","RESIDENTIAL",IF(G273="RES-HOA","RESIDENTIAL",IF(G273="RES-MDU","RESIDENTIAL",IF(G273="COMM-SU","BUSINESS",IF(G273="COM-MTU","BUSINESS",IF(G273="ENT","BUSINESS",""))))))</f>
        <v/>
      </c>
      <c r="G273" s="1166">
        <f>'House Count'!F273</f>
        <v/>
      </c>
      <c r="H273" s="1166">
        <f>'House Count'!H273</f>
        <v/>
      </c>
    </row>
    <row r="274">
      <c r="A274" s="1165">
        <f>'House Count'!A274</f>
        <v/>
      </c>
      <c r="B274" s="1166">
        <f>'House Count'!E274</f>
        <v/>
      </c>
      <c r="C274" s="1166">
        <f>'House Count'!B274</f>
        <v/>
      </c>
      <c r="D274" s="1166">
        <f>'House Count'!C274</f>
        <v/>
      </c>
      <c r="E274" s="1166">
        <f>'House Count'!D274</f>
        <v/>
      </c>
      <c r="F274" s="1166">
        <f>IF(G274="RES-SFU","RESIDENTIAL",IF(G274="RES-HOA","RESIDENTIAL",IF(G274="RES-MDU","RESIDENTIAL",IF(G274="COMM-SU","BUSINESS",IF(G274="COM-MTU","BUSINESS",IF(G274="ENT","BUSINESS",""))))))</f>
        <v/>
      </c>
      <c r="G274" s="1166">
        <f>'House Count'!F274</f>
        <v/>
      </c>
      <c r="H274" s="1166">
        <f>'House Count'!H274</f>
        <v/>
      </c>
    </row>
    <row r="275">
      <c r="A275" s="1165">
        <f>'House Count'!A275</f>
        <v/>
      </c>
      <c r="B275" s="1166">
        <f>'House Count'!E275</f>
        <v/>
      </c>
      <c r="C275" s="1166">
        <f>'House Count'!B275</f>
        <v/>
      </c>
      <c r="D275" s="1166">
        <f>'House Count'!C275</f>
        <v/>
      </c>
      <c r="E275" s="1166">
        <f>'House Count'!D275</f>
        <v/>
      </c>
      <c r="F275" s="1166">
        <f>IF(G275="RES-SFU","RESIDENTIAL",IF(G275="RES-HOA","RESIDENTIAL",IF(G275="RES-MDU","RESIDENTIAL",IF(G275="COMM-SU","BUSINESS",IF(G275="COM-MTU","BUSINESS",IF(G275="ENT","BUSINESS",""))))))</f>
        <v/>
      </c>
      <c r="G275" s="1166">
        <f>'House Count'!F275</f>
        <v/>
      </c>
      <c r="H275" s="1166">
        <f>'House Count'!H275</f>
        <v/>
      </c>
    </row>
    <row r="276">
      <c r="A276" s="1165">
        <f>'House Count'!A276</f>
        <v/>
      </c>
      <c r="B276" s="1166">
        <f>'House Count'!E276</f>
        <v/>
      </c>
      <c r="C276" s="1166">
        <f>'House Count'!B276</f>
        <v/>
      </c>
      <c r="D276" s="1166">
        <f>'House Count'!C276</f>
        <v/>
      </c>
      <c r="E276" s="1166">
        <f>'House Count'!D276</f>
        <v/>
      </c>
      <c r="F276" s="1166">
        <f>IF(G276="RES-SFU","RESIDENTIAL",IF(G276="RES-HOA","RESIDENTIAL",IF(G276="RES-MDU","RESIDENTIAL",IF(G276="COMM-SU","BUSINESS",IF(G276="COM-MTU","BUSINESS",IF(G276="ENT","BUSINESS",""))))))</f>
        <v/>
      </c>
      <c r="G276" s="1166">
        <f>'House Count'!F276</f>
        <v/>
      </c>
      <c r="H276" s="1166">
        <f>'House Count'!H276</f>
        <v/>
      </c>
    </row>
    <row r="277">
      <c r="A277" s="1165">
        <f>'House Count'!A277</f>
        <v/>
      </c>
      <c r="B277" s="1166">
        <f>'House Count'!E277</f>
        <v/>
      </c>
      <c r="C277" s="1166">
        <f>'House Count'!B277</f>
        <v/>
      </c>
      <c r="D277" s="1166">
        <f>'House Count'!C277</f>
        <v/>
      </c>
      <c r="E277" s="1166">
        <f>'House Count'!D277</f>
        <v/>
      </c>
      <c r="F277" s="1166">
        <f>IF(G277="RES-SFU","RESIDENTIAL",IF(G277="RES-HOA","RESIDENTIAL",IF(G277="RES-MDU","RESIDENTIAL",IF(G277="COMM-SU","BUSINESS",IF(G277="COM-MTU","BUSINESS",IF(G277="ENT","BUSINESS",""))))))</f>
        <v/>
      </c>
      <c r="G277" s="1166">
        <f>'House Count'!F277</f>
        <v/>
      </c>
      <c r="H277" s="1166">
        <f>'House Count'!H277</f>
        <v/>
      </c>
    </row>
    <row r="278">
      <c r="A278" s="1165">
        <f>'House Count'!A278</f>
        <v/>
      </c>
      <c r="B278" s="1166">
        <f>'House Count'!E278</f>
        <v/>
      </c>
      <c r="C278" s="1166">
        <f>'House Count'!B278</f>
        <v/>
      </c>
      <c r="D278" s="1166">
        <f>'House Count'!C278</f>
        <v/>
      </c>
      <c r="E278" s="1166">
        <f>'House Count'!D278</f>
        <v/>
      </c>
      <c r="F278" s="1166">
        <f>IF(G278="RES-SFU","RESIDENTIAL",IF(G278="RES-HOA","RESIDENTIAL",IF(G278="RES-MDU","RESIDENTIAL",IF(G278="COMM-SU","BUSINESS",IF(G278="COM-MTU","BUSINESS",IF(G278="ENT","BUSINESS",""))))))</f>
        <v/>
      </c>
      <c r="G278" s="1166">
        <f>'House Count'!F278</f>
        <v/>
      </c>
      <c r="H278" s="1166">
        <f>'House Count'!H278</f>
        <v/>
      </c>
    </row>
    <row r="279">
      <c r="A279" s="1165">
        <f>'House Count'!A279</f>
        <v/>
      </c>
      <c r="B279" s="1166">
        <f>'House Count'!E279</f>
        <v/>
      </c>
      <c r="C279" s="1166">
        <f>'House Count'!B279</f>
        <v/>
      </c>
      <c r="D279" s="1166">
        <f>'House Count'!C279</f>
        <v/>
      </c>
      <c r="E279" s="1166">
        <f>'House Count'!D279</f>
        <v/>
      </c>
      <c r="F279" s="1166">
        <f>IF(G279="RES-SFU","RESIDENTIAL",IF(G279="RES-HOA","RESIDENTIAL",IF(G279="RES-MDU","RESIDENTIAL",IF(G279="COMM-SU","BUSINESS",IF(G279="COM-MTU","BUSINESS",IF(G279="ENT","BUSINESS",""))))))</f>
        <v/>
      </c>
      <c r="G279" s="1166">
        <f>'House Count'!F279</f>
        <v/>
      </c>
      <c r="H279" s="1166">
        <f>'House Count'!H279</f>
        <v/>
      </c>
    </row>
    <row r="280">
      <c r="A280" s="1165">
        <f>'House Count'!A280</f>
        <v/>
      </c>
      <c r="B280" s="1166">
        <f>'House Count'!E280</f>
        <v/>
      </c>
      <c r="C280" s="1166">
        <f>'House Count'!B280</f>
        <v/>
      </c>
      <c r="D280" s="1166">
        <f>'House Count'!C280</f>
        <v/>
      </c>
      <c r="E280" s="1166">
        <f>'House Count'!D280</f>
        <v/>
      </c>
      <c r="F280" s="1166">
        <f>IF(G280="RES-SFU","RESIDENTIAL",IF(G280="RES-HOA","RESIDENTIAL",IF(G280="RES-MDU","RESIDENTIAL",IF(G280="COMM-SU","BUSINESS",IF(G280="COM-MTU","BUSINESS",IF(G280="ENT","BUSINESS",""))))))</f>
        <v/>
      </c>
      <c r="G280" s="1166">
        <f>'House Count'!F280</f>
        <v/>
      </c>
      <c r="H280" s="1166">
        <f>'House Count'!H280</f>
        <v/>
      </c>
    </row>
    <row r="281">
      <c r="A281" s="1165">
        <f>'House Count'!A281</f>
        <v/>
      </c>
      <c r="B281" s="1166">
        <f>'House Count'!E281</f>
        <v/>
      </c>
      <c r="C281" s="1166">
        <f>'House Count'!B281</f>
        <v/>
      </c>
      <c r="D281" s="1166">
        <f>'House Count'!C281</f>
        <v/>
      </c>
      <c r="E281" s="1166">
        <f>'House Count'!D281</f>
        <v/>
      </c>
      <c r="F281" s="1166">
        <f>IF(G281="RES-SFU","RESIDENTIAL",IF(G281="RES-HOA","RESIDENTIAL",IF(G281="RES-MDU","RESIDENTIAL",IF(G281="COMM-SU","BUSINESS",IF(G281="COM-MTU","BUSINESS",IF(G281="ENT","BUSINESS",""))))))</f>
        <v/>
      </c>
      <c r="G281" s="1166">
        <f>'House Count'!F281</f>
        <v/>
      </c>
      <c r="H281" s="1166">
        <f>'House Count'!H281</f>
        <v/>
      </c>
    </row>
    <row r="282">
      <c r="A282" s="1165">
        <f>'House Count'!A282</f>
        <v/>
      </c>
      <c r="B282" s="1166">
        <f>'House Count'!E282</f>
        <v/>
      </c>
      <c r="C282" s="1166">
        <f>'House Count'!B282</f>
        <v/>
      </c>
      <c r="D282" s="1166">
        <f>'House Count'!C282</f>
        <v/>
      </c>
      <c r="E282" s="1166">
        <f>'House Count'!D282</f>
        <v/>
      </c>
      <c r="F282" s="1166">
        <f>IF(G282="RES-SFU","RESIDENTIAL",IF(G282="RES-HOA","RESIDENTIAL",IF(G282="RES-MDU","RESIDENTIAL",IF(G282="COMM-SU","BUSINESS",IF(G282="COM-MTU","BUSINESS",IF(G282="ENT","BUSINESS",""))))))</f>
        <v/>
      </c>
      <c r="G282" s="1166">
        <f>'House Count'!F282</f>
        <v/>
      </c>
      <c r="H282" s="1166">
        <f>'House Count'!H282</f>
        <v/>
      </c>
    </row>
    <row r="283">
      <c r="A283" s="1165">
        <f>'House Count'!A283</f>
        <v/>
      </c>
      <c r="B283" s="1166">
        <f>'House Count'!E283</f>
        <v/>
      </c>
      <c r="C283" s="1166">
        <f>'House Count'!B283</f>
        <v/>
      </c>
      <c r="D283" s="1166">
        <f>'House Count'!C283</f>
        <v/>
      </c>
      <c r="E283" s="1166">
        <f>'House Count'!D283</f>
        <v/>
      </c>
      <c r="F283" s="1166">
        <f>IF(G283="RES-SFU","RESIDENTIAL",IF(G283="RES-HOA","RESIDENTIAL",IF(G283="RES-MDU","RESIDENTIAL",IF(G283="COMM-SU","BUSINESS",IF(G283="COM-MTU","BUSINESS",IF(G283="ENT","BUSINESS",""))))))</f>
        <v/>
      </c>
      <c r="G283" s="1166">
        <f>'House Count'!F283</f>
        <v/>
      </c>
      <c r="H283" s="1166">
        <f>'House Count'!H283</f>
        <v/>
      </c>
    </row>
    <row r="284">
      <c r="A284" s="1165">
        <f>'House Count'!A284</f>
        <v/>
      </c>
      <c r="B284" s="1166">
        <f>'House Count'!E284</f>
        <v/>
      </c>
      <c r="C284" s="1166">
        <f>'House Count'!B284</f>
        <v/>
      </c>
      <c r="D284" s="1166">
        <f>'House Count'!C284</f>
        <v/>
      </c>
      <c r="E284" s="1166">
        <f>'House Count'!D284</f>
        <v/>
      </c>
      <c r="F284" s="1166">
        <f>IF(G284="RES-SFU","RESIDENTIAL",IF(G284="RES-HOA","RESIDENTIAL",IF(G284="RES-MDU","RESIDENTIAL",IF(G284="COMM-SU","BUSINESS",IF(G284="COM-MTU","BUSINESS",IF(G284="ENT","BUSINESS",""))))))</f>
        <v/>
      </c>
      <c r="G284" s="1166">
        <f>'House Count'!F284</f>
        <v/>
      </c>
      <c r="H284" s="1166">
        <f>'House Count'!H284</f>
        <v/>
      </c>
    </row>
    <row r="285">
      <c r="A285" s="1165">
        <f>'House Count'!A285</f>
        <v/>
      </c>
      <c r="B285" s="1166">
        <f>'House Count'!E285</f>
        <v/>
      </c>
      <c r="C285" s="1166">
        <f>'House Count'!B285</f>
        <v/>
      </c>
      <c r="D285" s="1166">
        <f>'House Count'!C285</f>
        <v/>
      </c>
      <c r="E285" s="1166">
        <f>'House Count'!D285</f>
        <v/>
      </c>
      <c r="F285" s="1166">
        <f>IF(G285="RES-SFU","RESIDENTIAL",IF(G285="RES-HOA","RESIDENTIAL",IF(G285="RES-MDU","RESIDENTIAL",IF(G285="COMM-SU","BUSINESS",IF(G285="COM-MTU","BUSINESS",IF(G285="ENT","BUSINESS",""))))))</f>
        <v/>
      </c>
      <c r="G285" s="1166">
        <f>'House Count'!F285</f>
        <v/>
      </c>
      <c r="H285" s="1166">
        <f>'House Count'!H285</f>
        <v/>
      </c>
    </row>
    <row r="286">
      <c r="A286" s="1165">
        <f>'House Count'!A286</f>
        <v/>
      </c>
      <c r="B286" s="1166">
        <f>'House Count'!E286</f>
        <v/>
      </c>
      <c r="C286" s="1166">
        <f>'House Count'!B286</f>
        <v/>
      </c>
      <c r="D286" s="1166">
        <f>'House Count'!C286</f>
        <v/>
      </c>
      <c r="E286" s="1166">
        <f>'House Count'!D286</f>
        <v/>
      </c>
      <c r="F286" s="1166">
        <f>IF(G286="RES-SFU","RESIDENTIAL",IF(G286="RES-HOA","RESIDENTIAL",IF(G286="RES-MDU","RESIDENTIAL",IF(G286="COMM-SU","BUSINESS",IF(G286="COM-MTU","BUSINESS",IF(G286="ENT","BUSINESS",""))))))</f>
        <v/>
      </c>
      <c r="G286" s="1166">
        <f>'House Count'!F286</f>
        <v/>
      </c>
      <c r="H286" s="1166">
        <f>'House Count'!H286</f>
        <v/>
      </c>
    </row>
    <row r="287">
      <c r="A287" s="1165">
        <f>'House Count'!A287</f>
        <v/>
      </c>
      <c r="B287" s="1166">
        <f>'House Count'!E287</f>
        <v/>
      </c>
      <c r="C287" s="1166">
        <f>'House Count'!B287</f>
        <v/>
      </c>
      <c r="D287" s="1166">
        <f>'House Count'!C287</f>
        <v/>
      </c>
      <c r="E287" s="1166">
        <f>'House Count'!D287</f>
        <v/>
      </c>
      <c r="F287" s="1166">
        <f>IF(G287="RES-SFU","RESIDENTIAL",IF(G287="RES-HOA","RESIDENTIAL",IF(G287="RES-MDU","RESIDENTIAL",IF(G287="COMM-SU","BUSINESS",IF(G287="COM-MTU","BUSINESS",IF(G287="ENT","BUSINESS",""))))))</f>
        <v/>
      </c>
      <c r="G287" s="1166">
        <f>'House Count'!F287</f>
        <v/>
      </c>
      <c r="H287" s="1166">
        <f>'House Count'!H287</f>
        <v/>
      </c>
    </row>
    <row r="288">
      <c r="A288" s="1165">
        <f>'House Count'!A288</f>
        <v/>
      </c>
      <c r="B288" s="1166">
        <f>'House Count'!E288</f>
        <v/>
      </c>
      <c r="C288" s="1166">
        <f>'House Count'!B288</f>
        <v/>
      </c>
      <c r="D288" s="1166">
        <f>'House Count'!C288</f>
        <v/>
      </c>
      <c r="E288" s="1166">
        <f>'House Count'!D288</f>
        <v/>
      </c>
      <c r="F288" s="1166">
        <f>IF(G288="RES-SFU","RESIDENTIAL",IF(G288="RES-HOA","RESIDENTIAL",IF(G288="RES-MDU","RESIDENTIAL",IF(G288="COMM-SU","BUSINESS",IF(G288="COM-MTU","BUSINESS",IF(G288="ENT","BUSINESS",""))))))</f>
        <v/>
      </c>
      <c r="G288" s="1166">
        <f>'House Count'!F288</f>
        <v/>
      </c>
      <c r="H288" s="1166">
        <f>'House Count'!H288</f>
        <v/>
      </c>
    </row>
    <row r="289">
      <c r="A289" s="1165">
        <f>'House Count'!A289</f>
        <v/>
      </c>
      <c r="B289" s="1166">
        <f>'House Count'!E289</f>
        <v/>
      </c>
      <c r="C289" s="1166">
        <f>'House Count'!B289</f>
        <v/>
      </c>
      <c r="D289" s="1166">
        <f>'House Count'!C289</f>
        <v/>
      </c>
      <c r="E289" s="1166">
        <f>'House Count'!D289</f>
        <v/>
      </c>
      <c r="F289" s="1166">
        <f>IF(G289="RES-SFU","RESIDENTIAL",IF(G289="RES-HOA","RESIDENTIAL",IF(G289="RES-MDU","RESIDENTIAL",IF(G289="COMM-SU","BUSINESS",IF(G289="COM-MTU","BUSINESS",IF(G289="ENT","BUSINESS",""))))))</f>
        <v/>
      </c>
      <c r="G289" s="1166">
        <f>'House Count'!F289</f>
        <v/>
      </c>
      <c r="H289" s="1166">
        <f>'House Count'!H289</f>
        <v/>
      </c>
    </row>
    <row r="290">
      <c r="A290" s="1165">
        <f>'House Count'!A290</f>
        <v/>
      </c>
      <c r="B290" s="1166">
        <f>'House Count'!E290</f>
        <v/>
      </c>
      <c r="C290" s="1166">
        <f>'House Count'!B290</f>
        <v/>
      </c>
      <c r="D290" s="1166">
        <f>'House Count'!C290</f>
        <v/>
      </c>
      <c r="E290" s="1166">
        <f>'House Count'!D290</f>
        <v/>
      </c>
      <c r="F290" s="1166">
        <f>IF(G290="RES-SFU","RESIDENTIAL",IF(G290="RES-HOA","RESIDENTIAL",IF(G290="RES-MDU","RESIDENTIAL",IF(G290="COMM-SU","BUSINESS",IF(G290="COM-MTU","BUSINESS",IF(G290="ENT","BUSINESS",""))))))</f>
        <v/>
      </c>
      <c r="G290" s="1166">
        <f>'House Count'!F290</f>
        <v/>
      </c>
      <c r="H290" s="1166">
        <f>'House Count'!H290</f>
        <v/>
      </c>
    </row>
    <row r="291">
      <c r="A291" s="1165">
        <f>'House Count'!A291</f>
        <v/>
      </c>
      <c r="B291" s="1166">
        <f>'House Count'!E291</f>
        <v/>
      </c>
      <c r="C291" s="1166">
        <f>'House Count'!B291</f>
        <v/>
      </c>
      <c r="D291" s="1166">
        <f>'House Count'!C291</f>
        <v/>
      </c>
      <c r="E291" s="1166">
        <f>'House Count'!D291</f>
        <v/>
      </c>
      <c r="F291" s="1166">
        <f>IF(G291="RES-SFU","RESIDENTIAL",IF(G291="RES-HOA","RESIDENTIAL",IF(G291="RES-MDU","RESIDENTIAL",IF(G291="COMM-SU","BUSINESS",IF(G291="COM-MTU","BUSINESS",IF(G291="ENT","BUSINESS",""))))))</f>
        <v/>
      </c>
      <c r="G291" s="1166">
        <f>'House Count'!F291</f>
        <v/>
      </c>
      <c r="H291" s="1166">
        <f>'House Count'!H291</f>
        <v/>
      </c>
    </row>
    <row r="292">
      <c r="A292" s="1165">
        <f>'House Count'!A292</f>
        <v/>
      </c>
      <c r="B292" s="1166">
        <f>'House Count'!E292</f>
        <v/>
      </c>
      <c r="C292" s="1166">
        <f>'House Count'!B292</f>
        <v/>
      </c>
      <c r="D292" s="1166">
        <f>'House Count'!C292</f>
        <v/>
      </c>
      <c r="E292" s="1166">
        <f>'House Count'!D292</f>
        <v/>
      </c>
      <c r="F292" s="1166">
        <f>IF(G292="RES-SFU","RESIDENTIAL",IF(G292="RES-HOA","RESIDENTIAL",IF(G292="RES-MDU","RESIDENTIAL",IF(G292="COMM-SU","BUSINESS",IF(G292="COM-MTU","BUSINESS",IF(G292="ENT","BUSINESS",""))))))</f>
        <v/>
      </c>
      <c r="G292" s="1166">
        <f>'House Count'!F292</f>
        <v/>
      </c>
      <c r="H292" s="1166">
        <f>'House Count'!H292</f>
        <v/>
      </c>
    </row>
    <row r="293">
      <c r="A293" s="1165">
        <f>'House Count'!A293</f>
        <v/>
      </c>
      <c r="B293" s="1166">
        <f>'House Count'!E293</f>
        <v/>
      </c>
      <c r="C293" s="1166">
        <f>'House Count'!B293</f>
        <v/>
      </c>
      <c r="D293" s="1166">
        <f>'House Count'!C293</f>
        <v/>
      </c>
      <c r="E293" s="1166">
        <f>'House Count'!D293</f>
        <v/>
      </c>
      <c r="F293" s="1166">
        <f>IF(G293="RES-SFU","RESIDENTIAL",IF(G293="RES-HOA","RESIDENTIAL",IF(G293="RES-MDU","RESIDENTIAL",IF(G293="COMM-SU","BUSINESS",IF(G293="COM-MTU","BUSINESS",IF(G293="ENT","BUSINESS",""))))))</f>
        <v/>
      </c>
      <c r="G293" s="1166">
        <f>'House Count'!F293</f>
        <v/>
      </c>
      <c r="H293" s="1166">
        <f>'House Count'!H293</f>
        <v/>
      </c>
    </row>
    <row r="294">
      <c r="A294" s="1165">
        <f>'House Count'!A294</f>
        <v/>
      </c>
      <c r="B294" s="1166">
        <f>'House Count'!E294</f>
        <v/>
      </c>
      <c r="C294" s="1166">
        <f>'House Count'!B294</f>
        <v/>
      </c>
      <c r="D294" s="1166">
        <f>'House Count'!C294</f>
        <v/>
      </c>
      <c r="E294" s="1166">
        <f>'House Count'!D294</f>
        <v/>
      </c>
      <c r="F294" s="1166">
        <f>IF(G294="RES-SFU","RESIDENTIAL",IF(G294="RES-HOA","RESIDENTIAL",IF(G294="RES-MDU","RESIDENTIAL",IF(G294="COMM-SU","BUSINESS",IF(G294="COM-MTU","BUSINESS",IF(G294="ENT","BUSINESS",""))))))</f>
        <v/>
      </c>
      <c r="G294" s="1166">
        <f>'House Count'!F294</f>
        <v/>
      </c>
      <c r="H294" s="1166">
        <f>'House Count'!H294</f>
        <v/>
      </c>
    </row>
    <row r="295">
      <c r="A295" s="1165">
        <f>'House Count'!A295</f>
        <v/>
      </c>
      <c r="B295" s="1166">
        <f>'House Count'!E295</f>
        <v/>
      </c>
      <c r="C295" s="1166">
        <f>'House Count'!B295</f>
        <v/>
      </c>
      <c r="D295" s="1166">
        <f>'House Count'!C295</f>
        <v/>
      </c>
      <c r="E295" s="1166">
        <f>'House Count'!D295</f>
        <v/>
      </c>
      <c r="F295" s="1166">
        <f>IF(G295="RES-SFU","RESIDENTIAL",IF(G295="RES-HOA","RESIDENTIAL",IF(G295="RES-MDU","RESIDENTIAL",IF(G295="COMM-SU","BUSINESS",IF(G295="COM-MTU","BUSINESS",IF(G295="ENT","BUSINESS",""))))))</f>
        <v/>
      </c>
      <c r="G295" s="1166">
        <f>'House Count'!F295</f>
        <v/>
      </c>
      <c r="H295" s="1166">
        <f>'House Count'!H295</f>
        <v/>
      </c>
    </row>
    <row r="296">
      <c r="A296" s="1165">
        <f>'House Count'!A296</f>
        <v/>
      </c>
      <c r="B296" s="1166">
        <f>'House Count'!E296</f>
        <v/>
      </c>
      <c r="C296" s="1166">
        <f>'House Count'!B296</f>
        <v/>
      </c>
      <c r="D296" s="1166">
        <f>'House Count'!C296</f>
        <v/>
      </c>
      <c r="E296" s="1166">
        <f>'House Count'!D296</f>
        <v/>
      </c>
      <c r="F296" s="1166">
        <f>IF(G296="RES-SFU","RESIDENTIAL",IF(G296="RES-HOA","RESIDENTIAL",IF(G296="RES-MDU","RESIDENTIAL",IF(G296="COMM-SU","BUSINESS",IF(G296="COM-MTU","BUSINESS",IF(G296="ENT","BUSINESS",""))))))</f>
        <v/>
      </c>
      <c r="G296" s="1166">
        <f>'House Count'!F296</f>
        <v/>
      </c>
      <c r="H296" s="1166">
        <f>'House Count'!H296</f>
        <v/>
      </c>
    </row>
    <row r="297">
      <c r="A297" s="1165">
        <f>'House Count'!A297</f>
        <v/>
      </c>
      <c r="B297" s="1166">
        <f>'House Count'!E297</f>
        <v/>
      </c>
      <c r="C297" s="1166">
        <f>'House Count'!B297</f>
        <v/>
      </c>
      <c r="D297" s="1166">
        <f>'House Count'!C297</f>
        <v/>
      </c>
      <c r="E297" s="1166">
        <f>'House Count'!D297</f>
        <v/>
      </c>
      <c r="F297" s="1166">
        <f>IF(G297="RES-SFU","RESIDENTIAL",IF(G297="RES-HOA","RESIDENTIAL",IF(G297="RES-MDU","RESIDENTIAL",IF(G297="COMM-SU","BUSINESS",IF(G297="COM-MTU","BUSINESS",IF(G297="ENT","BUSINESS",""))))))</f>
        <v/>
      </c>
      <c r="G297" s="1166">
        <f>'House Count'!F297</f>
        <v/>
      </c>
      <c r="H297" s="1166">
        <f>'House Count'!H297</f>
        <v/>
      </c>
    </row>
    <row r="298">
      <c r="A298" s="1165">
        <f>'House Count'!A298</f>
        <v/>
      </c>
      <c r="B298" s="1166">
        <f>'House Count'!E298</f>
        <v/>
      </c>
      <c r="C298" s="1166">
        <f>'House Count'!B298</f>
        <v/>
      </c>
      <c r="D298" s="1166">
        <f>'House Count'!C298</f>
        <v/>
      </c>
      <c r="E298" s="1166">
        <f>'House Count'!D298</f>
        <v/>
      </c>
      <c r="F298" s="1166">
        <f>IF(G298="RES-SFU","RESIDENTIAL",IF(G298="RES-HOA","RESIDENTIAL",IF(G298="RES-MDU","RESIDENTIAL",IF(G298="COMM-SU","BUSINESS",IF(G298="COM-MTU","BUSINESS",IF(G298="ENT","BUSINESS",""))))))</f>
        <v/>
      </c>
      <c r="G298" s="1166">
        <f>'House Count'!F298</f>
        <v/>
      </c>
      <c r="H298" s="1166">
        <f>'House Count'!H298</f>
        <v/>
      </c>
    </row>
    <row r="299">
      <c r="A299" s="1165">
        <f>'House Count'!A299</f>
        <v/>
      </c>
      <c r="B299" s="1166">
        <f>'House Count'!E299</f>
        <v/>
      </c>
      <c r="C299" s="1166">
        <f>'House Count'!B299</f>
        <v/>
      </c>
      <c r="D299" s="1166">
        <f>'House Count'!C299</f>
        <v/>
      </c>
      <c r="E299" s="1166">
        <f>'House Count'!D299</f>
        <v/>
      </c>
      <c r="F299" s="1166">
        <f>IF(G299="RES-SFU","RESIDENTIAL",IF(G299="RES-HOA","RESIDENTIAL",IF(G299="RES-MDU","RESIDENTIAL",IF(G299="COMM-SU","BUSINESS",IF(G299="COM-MTU","BUSINESS",IF(G299="ENT","BUSINESS",""))))))</f>
        <v/>
      </c>
      <c r="G299" s="1166">
        <f>'House Count'!F299</f>
        <v/>
      </c>
      <c r="H299" s="1166">
        <f>'House Count'!H299</f>
        <v/>
      </c>
    </row>
    <row r="300">
      <c r="A300" s="1165">
        <f>'House Count'!A300</f>
        <v/>
      </c>
      <c r="B300" s="1166">
        <f>'House Count'!E300</f>
        <v/>
      </c>
      <c r="C300" s="1166">
        <f>'House Count'!B300</f>
        <v/>
      </c>
      <c r="D300" s="1166">
        <f>'House Count'!C300</f>
        <v/>
      </c>
      <c r="E300" s="1166">
        <f>'House Count'!D300</f>
        <v/>
      </c>
      <c r="F300" s="1166">
        <f>IF(G300="RES-SFU","RESIDENTIAL",IF(G300="RES-HOA","RESIDENTIAL",IF(G300="RES-MDU","RESIDENTIAL",IF(G300="COMM-SU","BUSINESS",IF(G300="COM-MTU","BUSINESS",IF(G300="ENT","BUSINESS",""))))))</f>
        <v/>
      </c>
      <c r="G300" s="1166">
        <f>'House Count'!F300</f>
        <v/>
      </c>
      <c r="H300" s="1166">
        <f>'House Count'!H300</f>
        <v/>
      </c>
    </row>
    <row r="301">
      <c r="A301" s="1165">
        <f>'House Count'!A301</f>
        <v/>
      </c>
      <c r="B301" s="1166">
        <f>'House Count'!E301</f>
        <v/>
      </c>
      <c r="C301" s="1166">
        <f>'House Count'!B301</f>
        <v/>
      </c>
      <c r="D301" s="1166">
        <f>'House Count'!C301</f>
        <v/>
      </c>
      <c r="E301" s="1166">
        <f>'House Count'!D301</f>
        <v/>
      </c>
      <c r="F301" s="1166">
        <f>IF(G301="RES-SFU","RESIDENTIAL",IF(G301="RES-HOA","RESIDENTIAL",IF(G301="RES-MDU","RESIDENTIAL",IF(G301="COMM-SU","BUSINESS",IF(G301="COM-MTU","BUSINESS",IF(G301="ENT","BUSINESS",""))))))</f>
        <v/>
      </c>
      <c r="G301" s="1166">
        <f>'House Count'!F301</f>
        <v/>
      </c>
      <c r="H301" s="1166">
        <f>'House Count'!H301</f>
        <v/>
      </c>
    </row>
    <row r="302">
      <c r="A302" s="1165">
        <f>'House Count'!A302</f>
        <v/>
      </c>
      <c r="B302" s="1166">
        <f>'House Count'!E302</f>
        <v/>
      </c>
      <c r="C302" s="1166">
        <f>'House Count'!B302</f>
        <v/>
      </c>
      <c r="D302" s="1166">
        <f>'House Count'!C302</f>
        <v/>
      </c>
      <c r="E302" s="1166">
        <f>'House Count'!D302</f>
        <v/>
      </c>
      <c r="F302" s="1166">
        <f>IF(G302="RES-SFU","RESIDENTIAL",IF(G302="RES-HOA","RESIDENTIAL",IF(G302="RES-MDU","RESIDENTIAL",IF(G302="COMM-SU","BUSINESS",IF(G302="COM-MTU","BUSINESS",IF(G302="ENT","BUSINESS",""))))))</f>
        <v/>
      </c>
      <c r="G302" s="1166">
        <f>'House Count'!F302</f>
        <v/>
      </c>
      <c r="H302" s="1166">
        <f>'House Count'!H302</f>
        <v/>
      </c>
    </row>
    <row r="303">
      <c r="A303" s="1165">
        <f>'House Count'!A303</f>
        <v/>
      </c>
      <c r="B303" s="1166">
        <f>'House Count'!E303</f>
        <v/>
      </c>
      <c r="C303" s="1166">
        <f>'House Count'!B303</f>
        <v/>
      </c>
      <c r="D303" s="1166">
        <f>'House Count'!C303</f>
        <v/>
      </c>
      <c r="E303" s="1166">
        <f>'House Count'!D303</f>
        <v/>
      </c>
      <c r="F303" s="1166">
        <f>IF(G303="RES-SFU","RESIDENTIAL",IF(G303="RES-HOA","RESIDENTIAL",IF(G303="RES-MDU","RESIDENTIAL",IF(G303="COMM-SU","BUSINESS",IF(G303="COM-MTU","BUSINESS",IF(G303="ENT","BUSINESS",""))))))</f>
        <v/>
      </c>
      <c r="G303" s="1166">
        <f>'House Count'!F303</f>
        <v/>
      </c>
      <c r="H303" s="1166">
        <f>'House Count'!H303</f>
        <v/>
      </c>
    </row>
    <row r="304">
      <c r="A304" s="1165">
        <f>'House Count'!A304</f>
        <v/>
      </c>
      <c r="B304" s="1166">
        <f>'House Count'!E304</f>
        <v/>
      </c>
      <c r="C304" s="1166">
        <f>'House Count'!B304</f>
        <v/>
      </c>
      <c r="D304" s="1166">
        <f>'House Count'!C304</f>
        <v/>
      </c>
      <c r="E304" s="1166">
        <f>'House Count'!D304</f>
        <v/>
      </c>
      <c r="F304" s="1166">
        <f>IF(G304="RES-SFU","RESIDENTIAL",IF(G304="RES-HOA","RESIDENTIAL",IF(G304="RES-MDU","RESIDENTIAL",IF(G304="COMM-SU","BUSINESS",IF(G304="COM-MTU","BUSINESS",IF(G304="ENT","BUSINESS",""))))))</f>
        <v/>
      </c>
      <c r="G304" s="1166">
        <f>'House Count'!F304</f>
        <v/>
      </c>
      <c r="H304" s="1166">
        <f>'House Count'!H304</f>
        <v/>
      </c>
    </row>
    <row r="305">
      <c r="A305" s="1165">
        <f>'House Count'!A305</f>
        <v/>
      </c>
      <c r="B305" s="1166">
        <f>'House Count'!E305</f>
        <v/>
      </c>
      <c r="C305" s="1166">
        <f>'House Count'!B305</f>
        <v/>
      </c>
      <c r="D305" s="1166">
        <f>'House Count'!C305</f>
        <v/>
      </c>
      <c r="E305" s="1166">
        <f>'House Count'!D305</f>
        <v/>
      </c>
      <c r="F305" s="1166">
        <f>IF(G305="RES-SFU","RESIDENTIAL",IF(G305="RES-HOA","RESIDENTIAL",IF(G305="RES-MDU","RESIDENTIAL",IF(G305="COMM-SU","BUSINESS",IF(G305="COM-MTU","BUSINESS",IF(G305="ENT","BUSINESS",""))))))</f>
        <v/>
      </c>
      <c r="G305" s="1166">
        <f>'House Count'!F305</f>
        <v/>
      </c>
      <c r="H305" s="1166">
        <f>'House Count'!H305</f>
        <v/>
      </c>
    </row>
    <row r="306">
      <c r="A306" s="1165">
        <f>'House Count'!A306</f>
        <v/>
      </c>
      <c r="B306" s="1166">
        <f>'House Count'!E306</f>
        <v/>
      </c>
      <c r="C306" s="1166">
        <f>'House Count'!B306</f>
        <v/>
      </c>
      <c r="D306" s="1166">
        <f>'House Count'!C306</f>
        <v/>
      </c>
      <c r="E306" s="1166">
        <f>'House Count'!D306</f>
        <v/>
      </c>
      <c r="F306" s="1166">
        <f>IF(G306="RES-SFU","RESIDENTIAL",IF(G306="RES-HOA","RESIDENTIAL",IF(G306="RES-MDU","RESIDENTIAL",IF(G306="COMM-SU","BUSINESS",IF(G306="COM-MTU","BUSINESS",IF(G306="ENT","BUSINESS",""))))))</f>
        <v/>
      </c>
      <c r="G306" s="1166">
        <f>'House Count'!F306</f>
        <v/>
      </c>
      <c r="H306" s="1166">
        <f>'House Count'!H306</f>
        <v/>
      </c>
    </row>
    <row r="307">
      <c r="A307" s="1165">
        <f>'House Count'!A307</f>
        <v/>
      </c>
      <c r="B307" s="1166">
        <f>'House Count'!E307</f>
        <v/>
      </c>
      <c r="C307" s="1166">
        <f>'House Count'!B307</f>
        <v/>
      </c>
      <c r="D307" s="1166">
        <f>'House Count'!C307</f>
        <v/>
      </c>
      <c r="E307" s="1166">
        <f>'House Count'!D307</f>
        <v/>
      </c>
      <c r="F307" s="1166">
        <f>IF(G307="RES-SFU","RESIDENTIAL",IF(G307="RES-HOA","RESIDENTIAL",IF(G307="RES-MDU","RESIDENTIAL",IF(G307="COMM-SU","BUSINESS",IF(G307="COM-MTU","BUSINESS",IF(G307="ENT","BUSINESS",""))))))</f>
        <v/>
      </c>
      <c r="G307" s="1166">
        <f>'House Count'!F307</f>
        <v/>
      </c>
      <c r="H307" s="1166">
        <f>'House Count'!H307</f>
        <v/>
      </c>
    </row>
    <row r="308">
      <c r="A308" s="1165">
        <f>'House Count'!A308</f>
        <v/>
      </c>
      <c r="B308" s="1166">
        <f>'House Count'!E308</f>
        <v/>
      </c>
      <c r="C308" s="1166">
        <f>'House Count'!B308</f>
        <v/>
      </c>
      <c r="D308" s="1166">
        <f>'House Count'!C308</f>
        <v/>
      </c>
      <c r="E308" s="1166">
        <f>'House Count'!D308</f>
        <v/>
      </c>
      <c r="F308" s="1166">
        <f>IF(G308="RES-SFU","RESIDENTIAL",IF(G308="RES-HOA","RESIDENTIAL",IF(G308="RES-MDU","RESIDENTIAL",IF(G308="COMM-SU","BUSINESS",IF(G308="COM-MTU","BUSINESS",IF(G308="ENT","BUSINESS",""))))))</f>
        <v/>
      </c>
      <c r="G308" s="1166">
        <f>'House Count'!F308</f>
        <v/>
      </c>
      <c r="H308" s="1166">
        <f>'House Count'!H308</f>
        <v/>
      </c>
    </row>
    <row r="309">
      <c r="A309" s="1165">
        <f>'House Count'!A309</f>
        <v/>
      </c>
      <c r="B309" s="1166">
        <f>'House Count'!E309</f>
        <v/>
      </c>
      <c r="C309" s="1166">
        <f>'House Count'!B309</f>
        <v/>
      </c>
      <c r="D309" s="1166">
        <f>'House Count'!C309</f>
        <v/>
      </c>
      <c r="E309" s="1166">
        <f>'House Count'!D309</f>
        <v/>
      </c>
      <c r="F309" s="1166">
        <f>IF(G309="RES-SFU","RESIDENTIAL",IF(G309="RES-HOA","RESIDENTIAL",IF(G309="RES-MDU","RESIDENTIAL",IF(G309="COMM-SU","BUSINESS",IF(G309="COM-MTU","BUSINESS",IF(G309="ENT","BUSINESS",""))))))</f>
        <v/>
      </c>
      <c r="G309" s="1166">
        <f>'House Count'!F309</f>
        <v/>
      </c>
      <c r="H309" s="1166">
        <f>'House Count'!H309</f>
        <v/>
      </c>
    </row>
    <row r="310">
      <c r="A310" s="1165">
        <f>'House Count'!A310</f>
        <v/>
      </c>
      <c r="B310" s="1166">
        <f>'House Count'!E310</f>
        <v/>
      </c>
      <c r="C310" s="1166">
        <f>'House Count'!B310</f>
        <v/>
      </c>
      <c r="D310" s="1166">
        <f>'House Count'!C310</f>
        <v/>
      </c>
      <c r="E310" s="1166">
        <f>'House Count'!D310</f>
        <v/>
      </c>
      <c r="F310" s="1166">
        <f>IF(G310="RES-SFU","RESIDENTIAL",IF(G310="RES-HOA","RESIDENTIAL",IF(G310="RES-MDU","RESIDENTIAL",IF(G310="COMM-SU","BUSINESS",IF(G310="COM-MTU","BUSINESS",IF(G310="ENT","BUSINESS",""))))))</f>
        <v/>
      </c>
      <c r="G310" s="1166">
        <f>'House Count'!F310</f>
        <v/>
      </c>
      <c r="H310" s="1166">
        <f>'House Count'!H310</f>
        <v/>
      </c>
    </row>
    <row r="311">
      <c r="A311" s="1165">
        <f>'House Count'!A311</f>
        <v/>
      </c>
      <c r="B311" s="1166">
        <f>'House Count'!E311</f>
        <v/>
      </c>
      <c r="C311" s="1166">
        <f>'House Count'!B311</f>
        <v/>
      </c>
      <c r="D311" s="1166">
        <f>'House Count'!C311</f>
        <v/>
      </c>
      <c r="E311" s="1166">
        <f>'House Count'!D311</f>
        <v/>
      </c>
      <c r="F311" s="1166">
        <f>IF(G311="RES-SFU","RESIDENTIAL",IF(G311="RES-HOA","RESIDENTIAL",IF(G311="RES-MDU","RESIDENTIAL",IF(G311="COMM-SU","BUSINESS",IF(G311="COM-MTU","BUSINESS",IF(G311="ENT","BUSINESS",""))))))</f>
        <v/>
      </c>
      <c r="G311" s="1166">
        <f>'House Count'!F311</f>
        <v/>
      </c>
      <c r="H311" s="1166">
        <f>'House Count'!H311</f>
        <v/>
      </c>
    </row>
    <row r="312">
      <c r="A312" s="1165">
        <f>'House Count'!A312</f>
        <v/>
      </c>
      <c r="B312" s="1166">
        <f>'House Count'!E312</f>
        <v/>
      </c>
      <c r="C312" s="1166">
        <f>'House Count'!B312</f>
        <v/>
      </c>
      <c r="D312" s="1166">
        <f>'House Count'!C312</f>
        <v/>
      </c>
      <c r="E312" s="1166">
        <f>'House Count'!D312</f>
        <v/>
      </c>
      <c r="F312" s="1166">
        <f>IF(G312="RES-SFU","RESIDENTIAL",IF(G312="RES-HOA","RESIDENTIAL",IF(G312="RES-MDU","RESIDENTIAL",IF(G312="COMM-SU","BUSINESS",IF(G312="COM-MTU","BUSINESS",IF(G312="ENT","BUSINESS",""))))))</f>
        <v/>
      </c>
      <c r="G312" s="1166">
        <f>'House Count'!F312</f>
        <v/>
      </c>
      <c r="H312" s="1166">
        <f>'House Count'!H312</f>
        <v/>
      </c>
    </row>
    <row r="313">
      <c r="A313" s="1165">
        <f>'House Count'!A313</f>
        <v/>
      </c>
      <c r="B313" s="1166">
        <f>'House Count'!E313</f>
        <v/>
      </c>
      <c r="C313" s="1166">
        <f>'House Count'!B313</f>
        <v/>
      </c>
      <c r="D313" s="1166">
        <f>'House Count'!C313</f>
        <v/>
      </c>
      <c r="E313" s="1166">
        <f>'House Count'!D313</f>
        <v/>
      </c>
      <c r="F313" s="1166">
        <f>IF(G313="RES-SFU","RESIDENTIAL",IF(G313="RES-HOA","RESIDENTIAL",IF(G313="RES-MDU","RESIDENTIAL",IF(G313="COMM-SU","BUSINESS",IF(G313="COM-MTU","BUSINESS",IF(G313="ENT","BUSINESS",""))))))</f>
        <v/>
      </c>
      <c r="G313" s="1166">
        <f>'House Count'!F313</f>
        <v/>
      </c>
      <c r="H313" s="1166">
        <f>'House Count'!H313</f>
        <v/>
      </c>
    </row>
    <row r="314">
      <c r="A314" s="1165">
        <f>'House Count'!A314</f>
        <v/>
      </c>
      <c r="B314" s="1166">
        <f>'House Count'!E314</f>
        <v/>
      </c>
      <c r="C314" s="1166">
        <f>'House Count'!B314</f>
        <v/>
      </c>
      <c r="D314" s="1166">
        <f>'House Count'!C314</f>
        <v/>
      </c>
      <c r="E314" s="1166">
        <f>'House Count'!D314</f>
        <v/>
      </c>
      <c r="F314" s="1166">
        <f>IF(G314="RES-SFU","RESIDENTIAL",IF(G314="RES-HOA","RESIDENTIAL",IF(G314="RES-MDU","RESIDENTIAL",IF(G314="COMM-SU","BUSINESS",IF(G314="COM-MTU","BUSINESS",IF(G314="ENT","BUSINESS",""))))))</f>
        <v/>
      </c>
      <c r="G314" s="1166">
        <f>'House Count'!F314</f>
        <v/>
      </c>
      <c r="H314" s="1166">
        <f>'House Count'!H314</f>
        <v/>
      </c>
    </row>
    <row r="315">
      <c r="A315" s="1165">
        <f>'House Count'!A315</f>
        <v/>
      </c>
      <c r="B315" s="1166">
        <f>'House Count'!E315</f>
        <v/>
      </c>
      <c r="C315" s="1166">
        <f>'House Count'!B315</f>
        <v/>
      </c>
      <c r="D315" s="1166">
        <f>'House Count'!C315</f>
        <v/>
      </c>
      <c r="E315" s="1166">
        <f>'House Count'!D315</f>
        <v/>
      </c>
      <c r="F315" s="1166">
        <f>IF(G315="RES-SFU","RESIDENTIAL",IF(G315="RES-HOA","RESIDENTIAL",IF(G315="RES-MDU","RESIDENTIAL",IF(G315="COMM-SU","BUSINESS",IF(G315="COM-MTU","BUSINESS",IF(G315="ENT","BUSINESS",""))))))</f>
        <v/>
      </c>
      <c r="G315" s="1166">
        <f>'House Count'!F315</f>
        <v/>
      </c>
      <c r="H315" s="1166">
        <f>'House Count'!H315</f>
        <v/>
      </c>
    </row>
    <row r="316">
      <c r="A316" s="1165">
        <f>'House Count'!A316</f>
        <v/>
      </c>
      <c r="B316" s="1166">
        <f>'House Count'!E316</f>
        <v/>
      </c>
      <c r="C316" s="1166">
        <f>'House Count'!B316</f>
        <v/>
      </c>
      <c r="D316" s="1166">
        <f>'House Count'!C316</f>
        <v/>
      </c>
      <c r="E316" s="1166">
        <f>'House Count'!D316</f>
        <v/>
      </c>
      <c r="F316" s="1166">
        <f>IF(G316="RES-SFU","RESIDENTIAL",IF(G316="RES-HOA","RESIDENTIAL",IF(G316="RES-MDU","RESIDENTIAL",IF(G316="COMM-SU","BUSINESS",IF(G316="COM-MTU","BUSINESS",IF(G316="ENT","BUSINESS",""))))))</f>
        <v/>
      </c>
      <c r="G316" s="1166">
        <f>'House Count'!F316</f>
        <v/>
      </c>
      <c r="H316" s="1166">
        <f>'House Count'!H316</f>
        <v/>
      </c>
    </row>
    <row r="317">
      <c r="A317" s="1165">
        <f>'House Count'!A317</f>
        <v/>
      </c>
      <c r="B317" s="1166">
        <f>'House Count'!E317</f>
        <v/>
      </c>
      <c r="C317" s="1166">
        <f>'House Count'!B317</f>
        <v/>
      </c>
      <c r="D317" s="1166">
        <f>'House Count'!C317</f>
        <v/>
      </c>
      <c r="E317" s="1166">
        <f>'House Count'!D317</f>
        <v/>
      </c>
      <c r="F317" s="1166">
        <f>IF(G317="RES-SFU","RESIDENTIAL",IF(G317="RES-HOA","RESIDENTIAL",IF(G317="RES-MDU","RESIDENTIAL",IF(G317="COMM-SU","BUSINESS",IF(G317="COM-MTU","BUSINESS",IF(G317="ENT","BUSINESS",""))))))</f>
        <v/>
      </c>
      <c r="G317" s="1166">
        <f>'House Count'!F317</f>
        <v/>
      </c>
      <c r="H317" s="1166">
        <f>'House Count'!H317</f>
        <v/>
      </c>
    </row>
    <row r="318">
      <c r="A318" s="1165">
        <f>'House Count'!A318</f>
        <v/>
      </c>
      <c r="B318" s="1166">
        <f>'House Count'!E318</f>
        <v/>
      </c>
      <c r="C318" s="1166">
        <f>'House Count'!B318</f>
        <v/>
      </c>
      <c r="D318" s="1166">
        <f>'House Count'!C318</f>
        <v/>
      </c>
      <c r="E318" s="1166">
        <f>'House Count'!D318</f>
        <v/>
      </c>
      <c r="F318" s="1166">
        <f>IF(G318="RES-SFU","RESIDENTIAL",IF(G318="RES-HOA","RESIDENTIAL",IF(G318="RES-MDU","RESIDENTIAL",IF(G318="COMM-SU","BUSINESS",IF(G318="COM-MTU","BUSINESS",IF(G318="ENT","BUSINESS",""))))))</f>
        <v/>
      </c>
      <c r="G318" s="1166">
        <f>'House Count'!F318</f>
        <v/>
      </c>
      <c r="H318" s="1166">
        <f>'House Count'!H318</f>
        <v/>
      </c>
    </row>
    <row r="319">
      <c r="A319" s="1165">
        <f>'House Count'!A319</f>
        <v/>
      </c>
      <c r="B319" s="1166">
        <f>'House Count'!E319</f>
        <v/>
      </c>
      <c r="C319" s="1166">
        <f>'House Count'!B319</f>
        <v/>
      </c>
      <c r="D319" s="1166">
        <f>'House Count'!C319</f>
        <v/>
      </c>
      <c r="E319" s="1166">
        <f>'House Count'!D319</f>
        <v/>
      </c>
      <c r="F319" s="1166">
        <f>IF(G319="RES-SFU","RESIDENTIAL",IF(G319="RES-HOA","RESIDENTIAL",IF(G319="RES-MDU","RESIDENTIAL",IF(G319="COMM-SU","BUSINESS",IF(G319="COM-MTU","BUSINESS",IF(G319="ENT","BUSINESS",""))))))</f>
        <v/>
      </c>
      <c r="G319" s="1166">
        <f>'House Count'!F319</f>
        <v/>
      </c>
      <c r="H319" s="1166">
        <f>'House Count'!H319</f>
        <v/>
      </c>
    </row>
    <row r="320">
      <c r="A320" s="1165">
        <f>'House Count'!A320</f>
        <v/>
      </c>
      <c r="B320" s="1166">
        <f>'House Count'!E320</f>
        <v/>
      </c>
      <c r="C320" s="1166">
        <f>'House Count'!B320</f>
        <v/>
      </c>
      <c r="D320" s="1166">
        <f>'House Count'!C320</f>
        <v/>
      </c>
      <c r="E320" s="1166">
        <f>'House Count'!D320</f>
        <v/>
      </c>
      <c r="F320" s="1166">
        <f>IF(G320="RES-SFU","RESIDENTIAL",IF(G320="RES-HOA","RESIDENTIAL",IF(G320="RES-MDU","RESIDENTIAL",IF(G320="COMM-SU","BUSINESS",IF(G320="COM-MTU","BUSINESS",IF(G320="ENT","BUSINESS",""))))))</f>
        <v/>
      </c>
      <c r="G320" s="1166">
        <f>'House Count'!F320</f>
        <v/>
      </c>
      <c r="H320" s="1166">
        <f>'House Count'!H320</f>
        <v/>
      </c>
    </row>
    <row r="321">
      <c r="A321" s="1165">
        <f>'House Count'!A321</f>
        <v/>
      </c>
      <c r="B321" s="1166">
        <f>'House Count'!E321</f>
        <v/>
      </c>
      <c r="C321" s="1166">
        <f>'House Count'!B321</f>
        <v/>
      </c>
      <c r="D321" s="1166">
        <f>'House Count'!C321</f>
        <v/>
      </c>
      <c r="E321" s="1166">
        <f>'House Count'!D321</f>
        <v/>
      </c>
      <c r="F321" s="1166">
        <f>IF(G321="RES-SFU","RESIDENTIAL",IF(G321="RES-HOA","RESIDENTIAL",IF(G321="RES-MDU","RESIDENTIAL",IF(G321="COMM-SU","BUSINESS",IF(G321="COM-MTU","BUSINESS",IF(G321="ENT","BUSINESS",""))))))</f>
        <v/>
      </c>
      <c r="G321" s="1166">
        <f>'House Count'!F321</f>
        <v/>
      </c>
      <c r="H321" s="1166">
        <f>'House Count'!H321</f>
        <v/>
      </c>
    </row>
    <row r="322">
      <c r="A322" s="1165">
        <f>'House Count'!A322</f>
        <v/>
      </c>
      <c r="B322" s="1166">
        <f>'House Count'!E322</f>
        <v/>
      </c>
      <c r="C322" s="1166">
        <f>'House Count'!B322</f>
        <v/>
      </c>
      <c r="D322" s="1166">
        <f>'House Count'!C322</f>
        <v/>
      </c>
      <c r="E322" s="1166">
        <f>'House Count'!D322</f>
        <v/>
      </c>
      <c r="F322" s="1166">
        <f>IF(G322="RES-SFU","RESIDENTIAL",IF(G322="RES-HOA","RESIDENTIAL",IF(G322="RES-MDU","RESIDENTIAL",IF(G322="COMM-SU","BUSINESS",IF(G322="COM-MTU","BUSINESS",IF(G322="ENT","BUSINESS",""))))))</f>
        <v/>
      </c>
      <c r="G322" s="1166">
        <f>'House Count'!F322</f>
        <v/>
      </c>
      <c r="H322" s="1166">
        <f>'House Count'!H322</f>
        <v/>
      </c>
    </row>
    <row r="323">
      <c r="A323" s="1165">
        <f>'House Count'!A323</f>
        <v/>
      </c>
      <c r="B323" s="1166">
        <f>'House Count'!E323</f>
        <v/>
      </c>
      <c r="C323" s="1166">
        <f>'House Count'!B323</f>
        <v/>
      </c>
      <c r="D323" s="1166">
        <f>'House Count'!C323</f>
        <v/>
      </c>
      <c r="E323" s="1166">
        <f>'House Count'!D323</f>
        <v/>
      </c>
      <c r="F323" s="1166">
        <f>IF(G323="RES-SFU","RESIDENTIAL",IF(G323="RES-HOA","RESIDENTIAL",IF(G323="RES-MDU","RESIDENTIAL",IF(G323="COMM-SU","BUSINESS",IF(G323="COM-MTU","BUSINESS",IF(G323="ENT","BUSINESS",""))))))</f>
        <v/>
      </c>
      <c r="G323" s="1166">
        <f>'House Count'!F323</f>
        <v/>
      </c>
      <c r="H323" s="1166">
        <f>'House Count'!H323</f>
        <v/>
      </c>
    </row>
    <row r="324">
      <c r="A324" s="1165">
        <f>'House Count'!A324</f>
        <v/>
      </c>
      <c r="B324" s="1166">
        <f>'House Count'!E324</f>
        <v/>
      </c>
      <c r="C324" s="1166">
        <f>'House Count'!B324</f>
        <v/>
      </c>
      <c r="D324" s="1166">
        <f>'House Count'!C324</f>
        <v/>
      </c>
      <c r="E324" s="1166">
        <f>'House Count'!D324</f>
        <v/>
      </c>
      <c r="F324" s="1166">
        <f>IF(G324="RES-SFU","RESIDENTIAL",IF(G324="RES-HOA","RESIDENTIAL",IF(G324="RES-MDU","RESIDENTIAL",IF(G324="COMM-SU","BUSINESS",IF(G324="COM-MTU","BUSINESS",IF(G324="ENT","BUSINESS",""))))))</f>
        <v/>
      </c>
      <c r="G324" s="1166">
        <f>'House Count'!F324</f>
        <v/>
      </c>
      <c r="H324" s="1166">
        <f>'House Count'!H324</f>
        <v/>
      </c>
    </row>
    <row r="325">
      <c r="A325" s="1165">
        <f>'House Count'!A325</f>
        <v/>
      </c>
      <c r="B325" s="1166">
        <f>'House Count'!E325</f>
        <v/>
      </c>
      <c r="C325" s="1166">
        <f>'House Count'!B325</f>
        <v/>
      </c>
      <c r="D325" s="1166">
        <f>'House Count'!C325</f>
        <v/>
      </c>
      <c r="E325" s="1166">
        <f>'House Count'!D325</f>
        <v/>
      </c>
      <c r="F325" s="1166">
        <f>IF(G325="RES-SFU","RESIDENTIAL",IF(G325="RES-HOA","RESIDENTIAL",IF(G325="RES-MDU","RESIDENTIAL",IF(G325="COMM-SU","BUSINESS",IF(G325="COM-MTU","BUSINESS",IF(G325="ENT","BUSINESS",""))))))</f>
        <v/>
      </c>
      <c r="G325" s="1166">
        <f>'House Count'!F325</f>
        <v/>
      </c>
      <c r="H325" s="1166">
        <f>'House Count'!H325</f>
        <v/>
      </c>
    </row>
    <row r="326">
      <c r="A326" s="1165">
        <f>'House Count'!A326</f>
        <v/>
      </c>
      <c r="B326" s="1166">
        <f>'House Count'!E326</f>
        <v/>
      </c>
      <c r="C326" s="1166">
        <f>'House Count'!B326</f>
        <v/>
      </c>
      <c r="D326" s="1166">
        <f>'House Count'!C326</f>
        <v/>
      </c>
      <c r="E326" s="1166">
        <f>'House Count'!D326</f>
        <v/>
      </c>
      <c r="F326" s="1166">
        <f>IF(G326="RES-SFU","RESIDENTIAL",IF(G326="RES-HOA","RESIDENTIAL",IF(G326="RES-MDU","RESIDENTIAL",IF(G326="COMM-SU","BUSINESS",IF(G326="COM-MTU","BUSINESS",IF(G326="ENT","BUSINESS",""))))))</f>
        <v/>
      </c>
      <c r="G326" s="1166">
        <f>'House Count'!F326</f>
        <v/>
      </c>
      <c r="H326" s="1166">
        <f>'House Count'!H326</f>
        <v/>
      </c>
    </row>
    <row r="327">
      <c r="A327" s="1165">
        <f>'House Count'!A327</f>
        <v/>
      </c>
      <c r="B327" s="1166">
        <f>'House Count'!E327</f>
        <v/>
      </c>
      <c r="C327" s="1166">
        <f>'House Count'!B327</f>
        <v/>
      </c>
      <c r="D327" s="1166">
        <f>'House Count'!C327</f>
        <v/>
      </c>
      <c r="E327" s="1166">
        <f>'House Count'!D327</f>
        <v/>
      </c>
      <c r="F327" s="1166">
        <f>IF(G327="RES-SFU","RESIDENTIAL",IF(G327="RES-HOA","RESIDENTIAL",IF(G327="RES-MDU","RESIDENTIAL",IF(G327="COMM-SU","BUSINESS",IF(G327="COM-MTU","BUSINESS",IF(G327="ENT","BUSINESS",""))))))</f>
        <v/>
      </c>
      <c r="G327" s="1166">
        <f>'House Count'!F327</f>
        <v/>
      </c>
      <c r="H327" s="1166">
        <f>'House Count'!H327</f>
        <v/>
      </c>
    </row>
    <row r="328">
      <c r="A328" s="1165">
        <f>'House Count'!A328</f>
        <v/>
      </c>
      <c r="B328" s="1166">
        <f>'House Count'!E328</f>
        <v/>
      </c>
      <c r="C328" s="1166">
        <f>'House Count'!B328</f>
        <v/>
      </c>
      <c r="D328" s="1166">
        <f>'House Count'!C328</f>
        <v/>
      </c>
      <c r="E328" s="1166">
        <f>'House Count'!D328</f>
        <v/>
      </c>
      <c r="F328" s="1166">
        <f>IF(G328="RES-SFU","RESIDENTIAL",IF(G328="RES-HOA","RESIDENTIAL",IF(G328="RES-MDU","RESIDENTIAL",IF(G328="COMM-SU","BUSINESS",IF(G328="COM-MTU","BUSINESS",IF(G328="ENT","BUSINESS",""))))))</f>
        <v/>
      </c>
      <c r="G328" s="1166">
        <f>'House Count'!F328</f>
        <v/>
      </c>
      <c r="H328" s="1166">
        <f>'House Count'!H328</f>
        <v/>
      </c>
    </row>
    <row r="329">
      <c r="A329" s="1165">
        <f>'House Count'!A329</f>
        <v/>
      </c>
      <c r="B329" s="1166">
        <f>'House Count'!E329</f>
        <v/>
      </c>
      <c r="C329" s="1166">
        <f>'House Count'!B329</f>
        <v/>
      </c>
      <c r="D329" s="1166">
        <f>'House Count'!C329</f>
        <v/>
      </c>
      <c r="E329" s="1166">
        <f>'House Count'!D329</f>
        <v/>
      </c>
      <c r="F329" s="1166">
        <f>IF(G329="RES-SFU","RESIDENTIAL",IF(G329="RES-HOA","RESIDENTIAL",IF(G329="RES-MDU","RESIDENTIAL",IF(G329="COMM-SU","BUSINESS",IF(G329="COM-MTU","BUSINESS",IF(G329="ENT","BUSINESS",""))))))</f>
        <v/>
      </c>
      <c r="G329" s="1166">
        <f>'House Count'!F329</f>
        <v/>
      </c>
      <c r="H329" s="1166">
        <f>'House Count'!H329</f>
        <v/>
      </c>
    </row>
    <row r="330">
      <c r="A330" s="1165">
        <f>'House Count'!A330</f>
        <v/>
      </c>
      <c r="B330" s="1166">
        <f>'House Count'!E330</f>
        <v/>
      </c>
      <c r="C330" s="1166">
        <f>'House Count'!B330</f>
        <v/>
      </c>
      <c r="D330" s="1166">
        <f>'House Count'!C330</f>
        <v/>
      </c>
      <c r="E330" s="1166">
        <f>'House Count'!D330</f>
        <v/>
      </c>
      <c r="F330" s="1166">
        <f>IF(G330="RES-SFU","RESIDENTIAL",IF(G330="RES-HOA","RESIDENTIAL",IF(G330="RES-MDU","RESIDENTIAL",IF(G330="COMM-SU","BUSINESS",IF(G330="COM-MTU","BUSINESS",IF(G330="ENT","BUSINESS",""))))))</f>
        <v/>
      </c>
      <c r="G330" s="1166">
        <f>'House Count'!F330</f>
        <v/>
      </c>
      <c r="H330" s="1166">
        <f>'House Count'!H330</f>
        <v/>
      </c>
    </row>
    <row r="331">
      <c r="A331" s="1165">
        <f>'House Count'!A331</f>
        <v/>
      </c>
      <c r="B331" s="1166">
        <f>'House Count'!E331</f>
        <v/>
      </c>
      <c r="C331" s="1166">
        <f>'House Count'!B331</f>
        <v/>
      </c>
      <c r="D331" s="1166">
        <f>'House Count'!C331</f>
        <v/>
      </c>
      <c r="E331" s="1166">
        <f>'House Count'!D331</f>
        <v/>
      </c>
      <c r="F331" s="1166">
        <f>IF(G331="RES-SFU","RESIDENTIAL",IF(G331="RES-HOA","RESIDENTIAL",IF(G331="RES-MDU","RESIDENTIAL",IF(G331="COMM-SU","BUSINESS",IF(G331="COM-MTU","BUSINESS",IF(G331="ENT","BUSINESS",""))))))</f>
        <v/>
      </c>
      <c r="G331" s="1166">
        <f>'House Count'!F331</f>
        <v/>
      </c>
      <c r="H331" s="1166">
        <f>'House Count'!H331</f>
        <v/>
      </c>
    </row>
    <row r="332">
      <c r="A332" s="1165">
        <f>'House Count'!A332</f>
        <v/>
      </c>
      <c r="B332" s="1166">
        <f>'House Count'!E332</f>
        <v/>
      </c>
      <c r="C332" s="1166">
        <f>'House Count'!B332</f>
        <v/>
      </c>
      <c r="D332" s="1166">
        <f>'House Count'!C332</f>
        <v/>
      </c>
      <c r="E332" s="1166">
        <f>'House Count'!D332</f>
        <v/>
      </c>
      <c r="F332" s="1166">
        <f>IF(G332="RES-SFU","RESIDENTIAL",IF(G332="RES-HOA","RESIDENTIAL",IF(G332="RES-MDU","RESIDENTIAL",IF(G332="COMM-SU","BUSINESS",IF(G332="COM-MTU","BUSINESS",IF(G332="ENT","BUSINESS",""))))))</f>
        <v/>
      </c>
      <c r="G332" s="1166">
        <f>'House Count'!F332</f>
        <v/>
      </c>
      <c r="H332" s="1166">
        <f>'House Count'!H332</f>
        <v/>
      </c>
    </row>
    <row r="333">
      <c r="A333" s="1165">
        <f>'House Count'!A333</f>
        <v/>
      </c>
      <c r="B333" s="1166">
        <f>'House Count'!E333</f>
        <v/>
      </c>
      <c r="C333" s="1166">
        <f>'House Count'!B333</f>
        <v/>
      </c>
      <c r="D333" s="1166">
        <f>'House Count'!C333</f>
        <v/>
      </c>
      <c r="E333" s="1166">
        <f>'House Count'!D333</f>
        <v/>
      </c>
      <c r="F333" s="1166">
        <f>IF(G333="RES-SFU","RESIDENTIAL",IF(G333="RES-HOA","RESIDENTIAL",IF(G333="RES-MDU","RESIDENTIAL",IF(G333="COMM-SU","BUSINESS",IF(G333="COM-MTU","BUSINESS",IF(G333="ENT","BUSINESS",""))))))</f>
        <v/>
      </c>
      <c r="G333" s="1166">
        <f>'House Count'!F333</f>
        <v/>
      </c>
      <c r="H333" s="1166">
        <f>'House Count'!H333</f>
        <v/>
      </c>
    </row>
    <row r="334">
      <c r="A334" s="1165">
        <f>'House Count'!A334</f>
        <v/>
      </c>
      <c r="B334" s="1166">
        <f>'House Count'!E334</f>
        <v/>
      </c>
      <c r="C334" s="1166">
        <f>'House Count'!B334</f>
        <v/>
      </c>
      <c r="D334" s="1166">
        <f>'House Count'!C334</f>
        <v/>
      </c>
      <c r="E334" s="1166">
        <f>'House Count'!D334</f>
        <v/>
      </c>
      <c r="F334" s="1166">
        <f>IF(G334="RES-SFU","RESIDENTIAL",IF(G334="RES-HOA","RESIDENTIAL",IF(G334="RES-MDU","RESIDENTIAL",IF(G334="COMM-SU","BUSINESS",IF(G334="COM-MTU","BUSINESS",IF(G334="ENT","BUSINESS",""))))))</f>
        <v/>
      </c>
      <c r="G334" s="1166">
        <f>'House Count'!F334</f>
        <v/>
      </c>
      <c r="H334" s="1166">
        <f>'House Count'!H334</f>
        <v/>
      </c>
    </row>
    <row r="335">
      <c r="A335" s="1165">
        <f>'House Count'!A335</f>
        <v/>
      </c>
      <c r="B335" s="1166">
        <f>'House Count'!E335</f>
        <v/>
      </c>
      <c r="C335" s="1166">
        <f>'House Count'!B335</f>
        <v/>
      </c>
      <c r="D335" s="1166">
        <f>'House Count'!C335</f>
        <v/>
      </c>
      <c r="E335" s="1166">
        <f>'House Count'!D335</f>
        <v/>
      </c>
      <c r="F335" s="1166">
        <f>IF(G335="RES-SFU","RESIDENTIAL",IF(G335="RES-HOA","RESIDENTIAL",IF(G335="RES-MDU","RESIDENTIAL",IF(G335="COMM-SU","BUSINESS",IF(G335="COM-MTU","BUSINESS",IF(G335="ENT","BUSINESS",""))))))</f>
        <v/>
      </c>
      <c r="G335" s="1166">
        <f>'House Count'!F335</f>
        <v/>
      </c>
      <c r="H335" s="1166">
        <f>'House Count'!H335</f>
        <v/>
      </c>
    </row>
    <row r="336">
      <c r="A336" s="1165">
        <f>'House Count'!A336</f>
        <v/>
      </c>
      <c r="B336" s="1166">
        <f>'House Count'!E336</f>
        <v/>
      </c>
      <c r="C336" s="1166">
        <f>'House Count'!B336</f>
        <v/>
      </c>
      <c r="D336" s="1166">
        <f>'House Count'!C336</f>
        <v/>
      </c>
      <c r="E336" s="1166">
        <f>'House Count'!D336</f>
        <v/>
      </c>
      <c r="F336" s="1166">
        <f>IF(G336="RES-SFU","RESIDENTIAL",IF(G336="RES-HOA","RESIDENTIAL",IF(G336="RES-MDU","RESIDENTIAL",IF(G336="COMM-SU","BUSINESS",IF(G336="COM-MTU","BUSINESS",IF(G336="ENT","BUSINESS",""))))))</f>
        <v/>
      </c>
      <c r="G336" s="1166">
        <f>'House Count'!F336</f>
        <v/>
      </c>
      <c r="H336" s="1166">
        <f>'House Count'!H336</f>
        <v/>
      </c>
    </row>
    <row r="337">
      <c r="A337" s="1165">
        <f>'House Count'!A337</f>
        <v/>
      </c>
      <c r="B337" s="1166">
        <f>'House Count'!E337</f>
        <v/>
      </c>
      <c r="C337" s="1166">
        <f>'House Count'!B337</f>
        <v/>
      </c>
      <c r="D337" s="1166">
        <f>'House Count'!C337</f>
        <v/>
      </c>
      <c r="E337" s="1166">
        <f>'House Count'!D337</f>
        <v/>
      </c>
      <c r="F337" s="1166">
        <f>IF(G337="RES-SFU","RESIDENTIAL",IF(G337="RES-HOA","RESIDENTIAL",IF(G337="RES-MDU","RESIDENTIAL",IF(G337="COMM-SU","BUSINESS",IF(G337="COM-MTU","BUSINESS",IF(G337="ENT","BUSINESS",""))))))</f>
        <v/>
      </c>
      <c r="G337" s="1166">
        <f>'House Count'!F337</f>
        <v/>
      </c>
      <c r="H337" s="1166">
        <f>'House Count'!H337</f>
        <v/>
      </c>
    </row>
    <row r="338">
      <c r="A338" s="1165">
        <f>'House Count'!A338</f>
        <v/>
      </c>
      <c r="B338" s="1166">
        <f>'House Count'!E338</f>
        <v/>
      </c>
      <c r="C338" s="1166">
        <f>'House Count'!B338</f>
        <v/>
      </c>
      <c r="D338" s="1166">
        <f>'House Count'!C338</f>
        <v/>
      </c>
      <c r="E338" s="1166">
        <f>'House Count'!D338</f>
        <v/>
      </c>
      <c r="F338" s="1166">
        <f>IF(G338="RES-SFU","RESIDENTIAL",IF(G338="RES-HOA","RESIDENTIAL",IF(G338="RES-MDU","RESIDENTIAL",IF(G338="COMM-SU","BUSINESS",IF(G338="COM-MTU","BUSINESS",IF(G338="ENT","BUSINESS",""))))))</f>
        <v/>
      </c>
      <c r="G338" s="1166">
        <f>'House Count'!F338</f>
        <v/>
      </c>
      <c r="H338" s="1166">
        <f>'House Count'!H338</f>
        <v/>
      </c>
    </row>
    <row r="339">
      <c r="A339" s="1165">
        <f>'House Count'!A339</f>
        <v/>
      </c>
      <c r="B339" s="1166">
        <f>'House Count'!E339</f>
        <v/>
      </c>
      <c r="C339" s="1166">
        <f>'House Count'!B339</f>
        <v/>
      </c>
      <c r="D339" s="1166">
        <f>'House Count'!C339</f>
        <v/>
      </c>
      <c r="E339" s="1166">
        <f>'House Count'!D339</f>
        <v/>
      </c>
      <c r="F339" s="1166">
        <f>IF(G339="RES-SFU","RESIDENTIAL",IF(G339="RES-HOA","RESIDENTIAL",IF(G339="RES-MDU","RESIDENTIAL",IF(G339="COMM-SU","BUSINESS",IF(G339="COM-MTU","BUSINESS",IF(G339="ENT","BUSINESS",""))))))</f>
        <v/>
      </c>
      <c r="G339" s="1166">
        <f>'House Count'!F339</f>
        <v/>
      </c>
      <c r="H339" s="1166">
        <f>'House Count'!H339</f>
        <v/>
      </c>
    </row>
    <row r="340">
      <c r="A340" s="1165">
        <f>'House Count'!A340</f>
        <v/>
      </c>
      <c r="B340" s="1166">
        <f>'House Count'!E340</f>
        <v/>
      </c>
      <c r="C340" s="1166">
        <f>'House Count'!B340</f>
        <v/>
      </c>
      <c r="D340" s="1166">
        <f>'House Count'!C340</f>
        <v/>
      </c>
      <c r="E340" s="1166">
        <f>'House Count'!D340</f>
        <v/>
      </c>
      <c r="F340" s="1166">
        <f>IF(G340="RES-SFU","RESIDENTIAL",IF(G340="RES-HOA","RESIDENTIAL",IF(G340="RES-MDU","RESIDENTIAL",IF(G340="COMM-SU","BUSINESS",IF(G340="COM-MTU","BUSINESS",IF(G340="ENT","BUSINESS",""))))))</f>
        <v/>
      </c>
      <c r="G340" s="1166">
        <f>'House Count'!F340</f>
        <v/>
      </c>
      <c r="H340" s="1166">
        <f>'House Count'!H340</f>
        <v/>
      </c>
    </row>
    <row r="341">
      <c r="A341" s="1165">
        <f>'House Count'!A341</f>
        <v/>
      </c>
      <c r="B341" s="1166">
        <f>'House Count'!E341</f>
        <v/>
      </c>
      <c r="C341" s="1166">
        <f>'House Count'!B341</f>
        <v/>
      </c>
      <c r="D341" s="1166">
        <f>'House Count'!C341</f>
        <v/>
      </c>
      <c r="E341" s="1166">
        <f>'House Count'!D341</f>
        <v/>
      </c>
      <c r="F341" s="1166">
        <f>IF(G341="RES-SFU","RESIDENTIAL",IF(G341="RES-HOA","RESIDENTIAL",IF(G341="RES-MDU","RESIDENTIAL",IF(G341="COMM-SU","BUSINESS",IF(G341="COM-MTU","BUSINESS",IF(G341="ENT","BUSINESS",""))))))</f>
        <v/>
      </c>
      <c r="G341" s="1166">
        <f>'House Count'!F341</f>
        <v/>
      </c>
      <c r="H341" s="1166">
        <f>'House Count'!H341</f>
        <v/>
      </c>
    </row>
    <row r="342">
      <c r="A342" s="1165">
        <f>'House Count'!A342</f>
        <v/>
      </c>
      <c r="B342" s="1166">
        <f>'House Count'!E342</f>
        <v/>
      </c>
      <c r="C342" s="1166">
        <f>'House Count'!B342</f>
        <v/>
      </c>
      <c r="D342" s="1166">
        <f>'House Count'!C342</f>
        <v/>
      </c>
      <c r="E342" s="1166">
        <f>'House Count'!D342</f>
        <v/>
      </c>
      <c r="F342" s="1166">
        <f>IF(G342="RES-SFU","RESIDENTIAL",IF(G342="RES-HOA","RESIDENTIAL",IF(G342="RES-MDU","RESIDENTIAL",IF(G342="COMM-SU","BUSINESS",IF(G342="COM-MTU","BUSINESS",IF(G342="ENT","BUSINESS",""))))))</f>
        <v/>
      </c>
      <c r="G342" s="1166">
        <f>'House Count'!F342</f>
        <v/>
      </c>
      <c r="H342" s="1166">
        <f>'House Count'!H342</f>
        <v/>
      </c>
    </row>
    <row r="343">
      <c r="A343" s="1165">
        <f>'House Count'!A343</f>
        <v/>
      </c>
      <c r="B343" s="1166">
        <f>'House Count'!E343</f>
        <v/>
      </c>
      <c r="C343" s="1166">
        <f>'House Count'!B343</f>
        <v/>
      </c>
      <c r="D343" s="1166">
        <f>'House Count'!C343</f>
        <v/>
      </c>
      <c r="E343" s="1166">
        <f>'House Count'!D343</f>
        <v/>
      </c>
      <c r="F343" s="1166">
        <f>IF(G343="RES-SFU","RESIDENTIAL",IF(G343="RES-HOA","RESIDENTIAL",IF(G343="RES-MDU","RESIDENTIAL",IF(G343="COMM-SU","BUSINESS",IF(G343="COM-MTU","BUSINESS",IF(G343="ENT","BUSINESS",""))))))</f>
        <v/>
      </c>
      <c r="G343" s="1166">
        <f>'House Count'!F343</f>
        <v/>
      </c>
      <c r="H343" s="1166">
        <f>'House Count'!H343</f>
        <v/>
      </c>
    </row>
    <row r="344">
      <c r="A344" s="1165">
        <f>'House Count'!A344</f>
        <v/>
      </c>
      <c r="B344" s="1166">
        <f>'House Count'!E344</f>
        <v/>
      </c>
      <c r="C344" s="1166">
        <f>'House Count'!B344</f>
        <v/>
      </c>
      <c r="D344" s="1166">
        <f>'House Count'!C344</f>
        <v/>
      </c>
      <c r="E344" s="1166">
        <f>'House Count'!D344</f>
        <v/>
      </c>
      <c r="F344" s="1166">
        <f>IF(G344="RES-SFU","RESIDENTIAL",IF(G344="RES-HOA","RESIDENTIAL",IF(G344="RES-MDU","RESIDENTIAL",IF(G344="COMM-SU","BUSINESS",IF(G344="COM-MTU","BUSINESS",IF(G344="ENT","BUSINESS",""))))))</f>
        <v/>
      </c>
      <c r="G344" s="1166">
        <f>'House Count'!F344</f>
        <v/>
      </c>
      <c r="H344" s="1166">
        <f>'House Count'!H344</f>
        <v/>
      </c>
    </row>
    <row r="345">
      <c r="A345" s="1165">
        <f>'House Count'!A345</f>
        <v/>
      </c>
      <c r="B345" s="1166">
        <f>'House Count'!E345</f>
        <v/>
      </c>
      <c r="C345" s="1166">
        <f>'House Count'!B345</f>
        <v/>
      </c>
      <c r="D345" s="1166">
        <f>'House Count'!C345</f>
        <v/>
      </c>
      <c r="E345" s="1166">
        <f>'House Count'!D345</f>
        <v/>
      </c>
      <c r="F345" s="1166">
        <f>IF(G345="RES-SFU","RESIDENTIAL",IF(G345="RES-HOA","RESIDENTIAL",IF(G345="RES-MDU","RESIDENTIAL",IF(G345="COMM-SU","BUSINESS",IF(G345="COM-MTU","BUSINESS",IF(G345="ENT","BUSINESS",""))))))</f>
        <v/>
      </c>
      <c r="G345" s="1166">
        <f>'House Count'!F345</f>
        <v/>
      </c>
      <c r="H345" s="1166">
        <f>'House Count'!H345</f>
        <v/>
      </c>
    </row>
    <row r="346">
      <c r="A346" s="1165">
        <f>'House Count'!A346</f>
        <v/>
      </c>
      <c r="B346" s="1166">
        <f>'House Count'!E346</f>
        <v/>
      </c>
      <c r="C346" s="1166">
        <f>'House Count'!B346</f>
        <v/>
      </c>
      <c r="D346" s="1166">
        <f>'House Count'!C346</f>
        <v/>
      </c>
      <c r="E346" s="1166">
        <f>'House Count'!D346</f>
        <v/>
      </c>
      <c r="F346" s="1166">
        <f>IF(G346="RES-SFU","RESIDENTIAL",IF(G346="RES-HOA","RESIDENTIAL",IF(G346="RES-MDU","RESIDENTIAL",IF(G346="COMM-SU","BUSINESS",IF(G346="COM-MTU","BUSINESS",IF(G346="ENT","BUSINESS",""))))))</f>
        <v/>
      </c>
      <c r="G346" s="1166">
        <f>'House Count'!F346</f>
        <v/>
      </c>
      <c r="H346" s="1166">
        <f>'House Count'!H346</f>
        <v/>
      </c>
    </row>
    <row r="347">
      <c r="A347" s="1165">
        <f>'House Count'!A347</f>
        <v/>
      </c>
      <c r="B347" s="1166">
        <f>'House Count'!E347</f>
        <v/>
      </c>
      <c r="C347" s="1166">
        <f>'House Count'!B347</f>
        <v/>
      </c>
      <c r="D347" s="1166">
        <f>'House Count'!C347</f>
        <v/>
      </c>
      <c r="E347" s="1166">
        <f>'House Count'!D347</f>
        <v/>
      </c>
      <c r="F347" s="1166">
        <f>IF(G347="RES-SFU","RESIDENTIAL",IF(G347="RES-HOA","RESIDENTIAL",IF(G347="RES-MDU","RESIDENTIAL",IF(G347="COMM-SU","BUSINESS",IF(G347="COM-MTU","BUSINESS",IF(G347="ENT","BUSINESS",""))))))</f>
        <v/>
      </c>
      <c r="G347" s="1166">
        <f>'House Count'!F347</f>
        <v/>
      </c>
      <c r="H347" s="1166">
        <f>'House Count'!H347</f>
        <v/>
      </c>
    </row>
    <row r="348">
      <c r="A348" s="1165">
        <f>'House Count'!A348</f>
        <v/>
      </c>
      <c r="B348" s="1166">
        <f>'House Count'!E348</f>
        <v/>
      </c>
      <c r="C348" s="1166">
        <f>'House Count'!B348</f>
        <v/>
      </c>
      <c r="D348" s="1166">
        <f>'House Count'!C348</f>
        <v/>
      </c>
      <c r="E348" s="1166">
        <f>'House Count'!D348</f>
        <v/>
      </c>
      <c r="F348" s="1166">
        <f>IF(G348="RES-SFU","RESIDENTIAL",IF(G348="RES-HOA","RESIDENTIAL",IF(G348="RES-MDU","RESIDENTIAL",IF(G348="COMM-SU","BUSINESS",IF(G348="COM-MTU","BUSINESS",IF(G348="ENT","BUSINESS",""))))))</f>
        <v/>
      </c>
      <c r="G348" s="1166">
        <f>'House Count'!F348</f>
        <v/>
      </c>
      <c r="H348" s="1166">
        <f>'House Count'!H348</f>
        <v/>
      </c>
    </row>
    <row r="349">
      <c r="A349" s="1165">
        <f>'House Count'!A349</f>
        <v/>
      </c>
      <c r="B349" s="1166">
        <f>'House Count'!E349</f>
        <v/>
      </c>
      <c r="C349" s="1166">
        <f>'House Count'!B349</f>
        <v/>
      </c>
      <c r="D349" s="1166">
        <f>'House Count'!C349</f>
        <v/>
      </c>
      <c r="E349" s="1166">
        <f>'House Count'!D349</f>
        <v/>
      </c>
      <c r="F349" s="1166">
        <f>IF(G349="RES-SFU","RESIDENTIAL",IF(G349="RES-HOA","RESIDENTIAL",IF(G349="RES-MDU","RESIDENTIAL",IF(G349="COMM-SU","BUSINESS",IF(G349="COM-MTU","BUSINESS",IF(G349="ENT","BUSINESS",""))))))</f>
        <v/>
      </c>
      <c r="G349" s="1166">
        <f>'House Count'!F349</f>
        <v/>
      </c>
      <c r="H349" s="1166">
        <f>'House Count'!H349</f>
        <v/>
      </c>
    </row>
    <row r="350">
      <c r="A350" s="1165">
        <f>'House Count'!A350</f>
        <v/>
      </c>
      <c r="B350" s="1166">
        <f>'House Count'!E350</f>
        <v/>
      </c>
      <c r="C350" s="1166">
        <f>'House Count'!B350</f>
        <v/>
      </c>
      <c r="D350" s="1166">
        <f>'House Count'!C350</f>
        <v/>
      </c>
      <c r="E350" s="1166">
        <f>'House Count'!D350</f>
        <v/>
      </c>
      <c r="F350" s="1166">
        <f>IF(G350="RES-SFU","RESIDENTIAL",IF(G350="RES-HOA","RESIDENTIAL",IF(G350="RES-MDU","RESIDENTIAL",IF(G350="COMM-SU","BUSINESS",IF(G350="COM-MTU","BUSINESS",IF(G350="ENT","BUSINESS",""))))))</f>
        <v/>
      </c>
      <c r="G350" s="1166">
        <f>'House Count'!F350</f>
        <v/>
      </c>
      <c r="H350" s="1166">
        <f>'House Count'!H350</f>
        <v/>
      </c>
    </row>
    <row r="351">
      <c r="A351" s="1165">
        <f>'House Count'!A351</f>
        <v/>
      </c>
      <c r="B351" s="1166">
        <f>'House Count'!E351</f>
        <v/>
      </c>
      <c r="C351" s="1166">
        <f>'House Count'!B351</f>
        <v/>
      </c>
      <c r="D351" s="1166">
        <f>'House Count'!C351</f>
        <v/>
      </c>
      <c r="E351" s="1166">
        <f>'House Count'!D351</f>
        <v/>
      </c>
      <c r="F351" s="1166">
        <f>IF(G351="RES-SFU","RESIDENTIAL",IF(G351="RES-HOA","RESIDENTIAL",IF(G351="RES-MDU","RESIDENTIAL",IF(G351="COMM-SU","BUSINESS",IF(G351="COM-MTU","BUSINESS",IF(G351="ENT","BUSINESS",""))))))</f>
        <v/>
      </c>
      <c r="G351" s="1166">
        <f>'House Count'!F351</f>
        <v/>
      </c>
      <c r="H351" s="1166">
        <f>'House Count'!H351</f>
        <v/>
      </c>
    </row>
    <row r="352">
      <c r="A352" s="1165">
        <f>'House Count'!A352</f>
        <v/>
      </c>
      <c r="B352" s="1166">
        <f>'House Count'!E352</f>
        <v/>
      </c>
      <c r="C352" s="1166">
        <f>'House Count'!B352</f>
        <v/>
      </c>
      <c r="D352" s="1166">
        <f>'House Count'!C352</f>
        <v/>
      </c>
      <c r="E352" s="1166">
        <f>'House Count'!D352</f>
        <v/>
      </c>
      <c r="F352" s="1166">
        <f>IF(G352="RES-SFU","RESIDENTIAL",IF(G352="RES-HOA","RESIDENTIAL",IF(G352="RES-MDU","RESIDENTIAL",IF(G352="COMM-SU","BUSINESS",IF(G352="COM-MTU","BUSINESS",IF(G352="ENT","BUSINESS",""))))))</f>
        <v/>
      </c>
      <c r="G352" s="1166">
        <f>'House Count'!F352</f>
        <v/>
      </c>
      <c r="H352" s="1166">
        <f>'House Count'!H352</f>
        <v/>
      </c>
    </row>
    <row r="353">
      <c r="A353" s="1165">
        <f>'House Count'!A353</f>
        <v/>
      </c>
      <c r="B353" s="1166">
        <f>'House Count'!E353</f>
        <v/>
      </c>
      <c r="C353" s="1166">
        <f>'House Count'!B353</f>
        <v/>
      </c>
      <c r="D353" s="1166">
        <f>'House Count'!C353</f>
        <v/>
      </c>
      <c r="E353" s="1166">
        <f>'House Count'!D353</f>
        <v/>
      </c>
      <c r="F353" s="1166">
        <f>IF(G353="RES-SFU","RESIDENTIAL",IF(G353="RES-HOA","RESIDENTIAL",IF(G353="RES-MDU","RESIDENTIAL",IF(G353="COMM-SU","BUSINESS",IF(G353="COM-MTU","BUSINESS",IF(G353="ENT","BUSINESS",""))))))</f>
        <v/>
      </c>
      <c r="G353" s="1166">
        <f>'House Count'!F353</f>
        <v/>
      </c>
      <c r="H353" s="1166">
        <f>'House Count'!H353</f>
        <v/>
      </c>
    </row>
    <row r="354">
      <c r="A354" s="1165">
        <f>'House Count'!A354</f>
        <v/>
      </c>
      <c r="B354" s="1166">
        <f>'House Count'!E354</f>
        <v/>
      </c>
      <c r="C354" s="1166">
        <f>'House Count'!B354</f>
        <v/>
      </c>
      <c r="D354" s="1166">
        <f>'House Count'!C354</f>
        <v/>
      </c>
      <c r="E354" s="1166">
        <f>'House Count'!D354</f>
        <v/>
      </c>
      <c r="F354" s="1166">
        <f>IF(G354="RES-SFU","RESIDENTIAL",IF(G354="RES-HOA","RESIDENTIAL",IF(G354="RES-MDU","RESIDENTIAL",IF(G354="COMM-SU","BUSINESS",IF(G354="COM-MTU","BUSINESS",IF(G354="ENT","BUSINESS",""))))))</f>
        <v/>
      </c>
      <c r="G354" s="1166">
        <f>'House Count'!F354</f>
        <v/>
      </c>
      <c r="H354" s="1166">
        <f>'House Count'!H354</f>
        <v/>
      </c>
    </row>
    <row r="355">
      <c r="A355" s="1165">
        <f>'House Count'!A355</f>
        <v/>
      </c>
      <c r="B355" s="1166">
        <f>'House Count'!E355</f>
        <v/>
      </c>
      <c r="C355" s="1166">
        <f>'House Count'!B355</f>
        <v/>
      </c>
      <c r="D355" s="1166">
        <f>'House Count'!C355</f>
        <v/>
      </c>
      <c r="E355" s="1166">
        <f>'House Count'!D355</f>
        <v/>
      </c>
      <c r="F355" s="1166">
        <f>IF(G355="RES-SFU","RESIDENTIAL",IF(G355="RES-HOA","RESIDENTIAL",IF(G355="RES-MDU","RESIDENTIAL",IF(G355="COMM-SU","BUSINESS",IF(G355="COM-MTU","BUSINESS",IF(G355="ENT","BUSINESS",""))))))</f>
        <v/>
      </c>
      <c r="G355" s="1166">
        <f>'House Count'!F355</f>
        <v/>
      </c>
      <c r="H355" s="1166">
        <f>'House Count'!H355</f>
        <v/>
      </c>
    </row>
    <row r="356">
      <c r="A356" s="1165">
        <f>'House Count'!A356</f>
        <v/>
      </c>
      <c r="B356" s="1166">
        <f>'House Count'!E356</f>
        <v/>
      </c>
      <c r="C356" s="1166">
        <f>'House Count'!B356</f>
        <v/>
      </c>
      <c r="D356" s="1166">
        <f>'House Count'!C356</f>
        <v/>
      </c>
      <c r="E356" s="1166">
        <f>'House Count'!D356</f>
        <v/>
      </c>
      <c r="F356" s="1166">
        <f>IF(G356="RES-SFU","RESIDENTIAL",IF(G356="RES-HOA","RESIDENTIAL",IF(G356="RES-MDU","RESIDENTIAL",IF(G356="COMM-SU","BUSINESS",IF(G356="COM-MTU","BUSINESS",IF(G356="ENT","BUSINESS",""))))))</f>
        <v/>
      </c>
      <c r="G356" s="1166">
        <f>'House Count'!F356</f>
        <v/>
      </c>
      <c r="H356" s="1166">
        <f>'House Count'!H356</f>
        <v/>
      </c>
    </row>
    <row r="357">
      <c r="A357" s="1165">
        <f>'House Count'!A357</f>
        <v/>
      </c>
      <c r="B357" s="1166">
        <f>'House Count'!E357</f>
        <v/>
      </c>
      <c r="C357" s="1166">
        <f>'House Count'!B357</f>
        <v/>
      </c>
      <c r="D357" s="1166">
        <f>'House Count'!C357</f>
        <v/>
      </c>
      <c r="E357" s="1166">
        <f>'House Count'!D357</f>
        <v/>
      </c>
      <c r="F357" s="1166">
        <f>IF(G357="RES-SFU","RESIDENTIAL",IF(G357="RES-HOA","RESIDENTIAL",IF(G357="RES-MDU","RESIDENTIAL",IF(G357="COMM-SU","BUSINESS",IF(G357="COM-MTU","BUSINESS",IF(G357="ENT","BUSINESS",""))))))</f>
        <v/>
      </c>
      <c r="G357" s="1166">
        <f>'House Count'!F357</f>
        <v/>
      </c>
      <c r="H357" s="1166">
        <f>'House Count'!H357</f>
        <v/>
      </c>
    </row>
    <row r="358">
      <c r="A358" s="1165">
        <f>'House Count'!A358</f>
        <v/>
      </c>
      <c r="B358" s="1166">
        <f>'House Count'!E358</f>
        <v/>
      </c>
      <c r="C358" s="1166">
        <f>'House Count'!B358</f>
        <v/>
      </c>
      <c r="D358" s="1166">
        <f>'House Count'!C358</f>
        <v/>
      </c>
      <c r="E358" s="1166">
        <f>'House Count'!D358</f>
        <v/>
      </c>
      <c r="F358" s="1166">
        <f>IF(G358="RES-SFU","RESIDENTIAL",IF(G358="RES-HOA","RESIDENTIAL",IF(G358="RES-MDU","RESIDENTIAL",IF(G358="COMM-SU","BUSINESS",IF(G358="COM-MTU","BUSINESS",IF(G358="ENT","BUSINESS",""))))))</f>
        <v/>
      </c>
      <c r="G358" s="1166">
        <f>'House Count'!F358</f>
        <v/>
      </c>
      <c r="H358" s="1166">
        <f>'House Count'!H358</f>
        <v/>
      </c>
    </row>
    <row r="359">
      <c r="A359" s="1165">
        <f>'House Count'!A359</f>
        <v/>
      </c>
      <c r="B359" s="1166">
        <f>'House Count'!E359</f>
        <v/>
      </c>
      <c r="C359" s="1166">
        <f>'House Count'!B359</f>
        <v/>
      </c>
      <c r="D359" s="1166">
        <f>'House Count'!C359</f>
        <v/>
      </c>
      <c r="E359" s="1166">
        <f>'House Count'!D359</f>
        <v/>
      </c>
      <c r="F359" s="1166">
        <f>IF(G359="RES-SFU","RESIDENTIAL",IF(G359="RES-HOA","RESIDENTIAL",IF(G359="RES-MDU","RESIDENTIAL",IF(G359="COMM-SU","BUSINESS",IF(G359="COM-MTU","BUSINESS",IF(G359="ENT","BUSINESS",""))))))</f>
        <v/>
      </c>
      <c r="G359" s="1166">
        <f>'House Count'!F359</f>
        <v/>
      </c>
      <c r="H359" s="1166">
        <f>'House Count'!H359</f>
        <v/>
      </c>
    </row>
    <row r="360">
      <c r="A360" s="1165">
        <f>'House Count'!A360</f>
        <v/>
      </c>
      <c r="B360" s="1166">
        <f>'House Count'!E360</f>
        <v/>
      </c>
      <c r="C360" s="1166">
        <f>'House Count'!B360</f>
        <v/>
      </c>
      <c r="D360" s="1166">
        <f>'House Count'!C360</f>
        <v/>
      </c>
      <c r="E360" s="1166">
        <f>'House Count'!D360</f>
        <v/>
      </c>
      <c r="F360" s="1166">
        <f>IF(G360="RES-SFU","RESIDENTIAL",IF(G360="RES-HOA","RESIDENTIAL",IF(G360="RES-MDU","RESIDENTIAL",IF(G360="COMM-SU","BUSINESS",IF(G360="COM-MTU","BUSINESS",IF(G360="ENT","BUSINESS",""))))))</f>
        <v/>
      </c>
      <c r="G360" s="1166">
        <f>'House Count'!F360</f>
        <v/>
      </c>
      <c r="H360" s="1166">
        <f>'House Count'!H360</f>
        <v/>
      </c>
    </row>
    <row r="361">
      <c r="A361" s="1165">
        <f>'House Count'!A361</f>
        <v/>
      </c>
      <c r="B361" s="1166">
        <f>'House Count'!E361</f>
        <v/>
      </c>
      <c r="C361" s="1166">
        <f>'House Count'!B361</f>
        <v/>
      </c>
      <c r="D361" s="1166">
        <f>'House Count'!C361</f>
        <v/>
      </c>
      <c r="E361" s="1166">
        <f>'House Count'!D361</f>
        <v/>
      </c>
      <c r="F361" s="1166">
        <f>IF(G361="RES-SFU","RESIDENTIAL",IF(G361="RES-HOA","RESIDENTIAL",IF(G361="RES-MDU","RESIDENTIAL",IF(G361="COMM-SU","BUSINESS",IF(G361="COM-MTU","BUSINESS",IF(G361="ENT","BUSINESS",""))))))</f>
        <v/>
      </c>
      <c r="G361" s="1166">
        <f>'House Count'!F361</f>
        <v/>
      </c>
      <c r="H361" s="1166">
        <f>'House Count'!H361</f>
        <v/>
      </c>
    </row>
    <row r="362">
      <c r="A362" s="1165">
        <f>'House Count'!A362</f>
        <v/>
      </c>
      <c r="B362" s="1166">
        <f>'House Count'!E362</f>
        <v/>
      </c>
      <c r="C362" s="1166">
        <f>'House Count'!B362</f>
        <v/>
      </c>
      <c r="D362" s="1166">
        <f>'House Count'!C362</f>
        <v/>
      </c>
      <c r="E362" s="1166">
        <f>'House Count'!D362</f>
        <v/>
      </c>
      <c r="F362" s="1166">
        <f>IF(G362="RES-SFU","RESIDENTIAL",IF(G362="RES-HOA","RESIDENTIAL",IF(G362="RES-MDU","RESIDENTIAL",IF(G362="COMM-SU","BUSINESS",IF(G362="COM-MTU","BUSINESS",IF(G362="ENT","BUSINESS",""))))))</f>
        <v/>
      </c>
      <c r="G362" s="1166">
        <f>'House Count'!F362</f>
        <v/>
      </c>
      <c r="H362" s="1166">
        <f>'House Count'!H362</f>
        <v/>
      </c>
    </row>
    <row r="363">
      <c r="A363" s="1165">
        <f>'House Count'!A363</f>
        <v/>
      </c>
      <c r="B363" s="1166">
        <f>'House Count'!E363</f>
        <v/>
      </c>
      <c r="C363" s="1166">
        <f>'House Count'!B363</f>
        <v/>
      </c>
      <c r="D363" s="1166">
        <f>'House Count'!C363</f>
        <v/>
      </c>
      <c r="E363" s="1166">
        <f>'House Count'!D363</f>
        <v/>
      </c>
      <c r="F363" s="1166">
        <f>IF(G363="RES-SFU","RESIDENTIAL",IF(G363="RES-HOA","RESIDENTIAL",IF(G363="RES-MDU","RESIDENTIAL",IF(G363="COMM-SU","BUSINESS",IF(G363="COM-MTU","BUSINESS",IF(G363="ENT","BUSINESS",""))))))</f>
        <v/>
      </c>
      <c r="G363" s="1166">
        <f>'House Count'!F363</f>
        <v/>
      </c>
      <c r="H363" s="1166">
        <f>'House Count'!H363</f>
        <v/>
      </c>
    </row>
    <row r="364">
      <c r="A364" s="1165">
        <f>'House Count'!A364</f>
        <v/>
      </c>
      <c r="B364" s="1166">
        <f>'House Count'!E364</f>
        <v/>
      </c>
      <c r="C364" s="1166">
        <f>'House Count'!B364</f>
        <v/>
      </c>
      <c r="D364" s="1166">
        <f>'House Count'!C364</f>
        <v/>
      </c>
      <c r="E364" s="1166">
        <f>'House Count'!D364</f>
        <v/>
      </c>
      <c r="F364" s="1166">
        <f>IF(G364="RES-SFU","RESIDENTIAL",IF(G364="RES-HOA","RESIDENTIAL",IF(G364="RES-MDU","RESIDENTIAL",IF(G364="COMM-SU","BUSINESS",IF(G364="COM-MTU","BUSINESS",IF(G364="ENT","BUSINESS",""))))))</f>
        <v/>
      </c>
      <c r="G364" s="1166">
        <f>'House Count'!F364</f>
        <v/>
      </c>
      <c r="H364" s="1166">
        <f>'House Count'!H364</f>
        <v/>
      </c>
    </row>
    <row r="365">
      <c r="A365" s="1165">
        <f>'House Count'!A365</f>
        <v/>
      </c>
      <c r="B365" s="1166">
        <f>'House Count'!E365</f>
        <v/>
      </c>
      <c r="C365" s="1166">
        <f>'House Count'!B365</f>
        <v/>
      </c>
      <c r="D365" s="1166">
        <f>'House Count'!C365</f>
        <v/>
      </c>
      <c r="E365" s="1166">
        <f>'House Count'!D365</f>
        <v/>
      </c>
      <c r="F365" s="1166">
        <f>IF(G365="RES-SFU","RESIDENTIAL",IF(G365="RES-HOA","RESIDENTIAL",IF(G365="RES-MDU","RESIDENTIAL",IF(G365="COMM-SU","BUSINESS",IF(G365="COM-MTU","BUSINESS",IF(G365="ENT","BUSINESS",""))))))</f>
        <v/>
      </c>
      <c r="G365" s="1166">
        <f>'House Count'!F365</f>
        <v/>
      </c>
      <c r="H365" s="1166">
        <f>'House Count'!H365</f>
        <v/>
      </c>
    </row>
    <row r="366">
      <c r="A366" s="1165">
        <f>'House Count'!A366</f>
        <v/>
      </c>
      <c r="B366" s="1166">
        <f>'House Count'!E366</f>
        <v/>
      </c>
      <c r="C366" s="1166">
        <f>'House Count'!B366</f>
        <v/>
      </c>
      <c r="D366" s="1166">
        <f>'House Count'!C366</f>
        <v/>
      </c>
      <c r="E366" s="1166">
        <f>'House Count'!D366</f>
        <v/>
      </c>
      <c r="F366" s="1166">
        <f>IF(G366="RES-SFU","RESIDENTIAL",IF(G366="RES-HOA","RESIDENTIAL",IF(G366="RES-MDU","RESIDENTIAL",IF(G366="COMM-SU","BUSINESS",IF(G366="COM-MTU","BUSINESS",IF(G366="ENT","BUSINESS",""))))))</f>
        <v/>
      </c>
      <c r="G366" s="1166">
        <f>'House Count'!F366</f>
        <v/>
      </c>
      <c r="H366" s="1166">
        <f>'House Count'!H366</f>
        <v/>
      </c>
    </row>
    <row r="367">
      <c r="A367" s="1165">
        <f>'House Count'!A367</f>
        <v/>
      </c>
      <c r="B367" s="1166">
        <f>'House Count'!E367</f>
        <v/>
      </c>
      <c r="C367" s="1166">
        <f>'House Count'!B367</f>
        <v/>
      </c>
      <c r="D367" s="1166">
        <f>'House Count'!C367</f>
        <v/>
      </c>
      <c r="E367" s="1166">
        <f>'House Count'!D367</f>
        <v/>
      </c>
      <c r="F367" s="1166">
        <f>IF(G367="RES-SFU","RESIDENTIAL",IF(G367="RES-HOA","RESIDENTIAL",IF(G367="RES-MDU","RESIDENTIAL",IF(G367="COMM-SU","BUSINESS",IF(G367="COM-MTU","BUSINESS",IF(G367="ENT","BUSINESS",""))))))</f>
        <v/>
      </c>
      <c r="G367" s="1166">
        <f>'House Count'!F367</f>
        <v/>
      </c>
      <c r="H367" s="1166">
        <f>'House Count'!H367</f>
        <v/>
      </c>
    </row>
    <row r="368">
      <c r="A368" s="1165">
        <f>'House Count'!A368</f>
        <v/>
      </c>
      <c r="B368" s="1166">
        <f>'House Count'!E368</f>
        <v/>
      </c>
      <c r="C368" s="1166">
        <f>'House Count'!B368</f>
        <v/>
      </c>
      <c r="D368" s="1166">
        <f>'House Count'!C368</f>
        <v/>
      </c>
      <c r="E368" s="1166">
        <f>'House Count'!D368</f>
        <v/>
      </c>
      <c r="F368" s="1166">
        <f>IF(G368="RES-SFU","RESIDENTIAL",IF(G368="RES-HOA","RESIDENTIAL",IF(G368="RES-MDU","RESIDENTIAL",IF(G368="COMM-SU","BUSINESS",IF(G368="COM-MTU","BUSINESS",IF(G368="ENT","BUSINESS",""))))))</f>
        <v/>
      </c>
      <c r="G368" s="1166">
        <f>'House Count'!F368</f>
        <v/>
      </c>
      <c r="H368" s="1166">
        <f>'House Count'!H368</f>
        <v/>
      </c>
    </row>
    <row r="369">
      <c r="A369" s="1165">
        <f>'House Count'!A369</f>
        <v/>
      </c>
      <c r="B369" s="1166">
        <f>'House Count'!E369</f>
        <v/>
      </c>
      <c r="C369" s="1166">
        <f>'House Count'!B369</f>
        <v/>
      </c>
      <c r="D369" s="1166">
        <f>'House Count'!C369</f>
        <v/>
      </c>
      <c r="E369" s="1166">
        <f>'House Count'!D369</f>
        <v/>
      </c>
      <c r="F369" s="1166">
        <f>IF(G369="RES-SFU","RESIDENTIAL",IF(G369="RES-HOA","RESIDENTIAL",IF(G369="RES-MDU","RESIDENTIAL",IF(G369="COMM-SU","BUSINESS",IF(G369="COM-MTU","BUSINESS",IF(G369="ENT","BUSINESS",""))))))</f>
        <v/>
      </c>
      <c r="G369" s="1166">
        <f>'House Count'!F369</f>
        <v/>
      </c>
      <c r="H369" s="1166">
        <f>'House Count'!H369</f>
        <v/>
      </c>
    </row>
    <row r="370">
      <c r="A370" s="1165">
        <f>'House Count'!A370</f>
        <v/>
      </c>
      <c r="B370" s="1166">
        <f>'House Count'!E370</f>
        <v/>
      </c>
      <c r="C370" s="1166">
        <f>'House Count'!B370</f>
        <v/>
      </c>
      <c r="D370" s="1166">
        <f>'House Count'!C370</f>
        <v/>
      </c>
      <c r="E370" s="1166">
        <f>'House Count'!D370</f>
        <v/>
      </c>
      <c r="F370" s="1166">
        <f>IF(G370="RES-SFU","RESIDENTIAL",IF(G370="RES-HOA","RESIDENTIAL",IF(G370="RES-MDU","RESIDENTIAL",IF(G370="COMM-SU","BUSINESS",IF(G370="COM-MTU","BUSINESS",IF(G370="ENT","BUSINESS",""))))))</f>
        <v/>
      </c>
      <c r="G370" s="1166">
        <f>'House Count'!F370</f>
        <v/>
      </c>
      <c r="H370" s="1166">
        <f>'House Count'!H370</f>
        <v/>
      </c>
    </row>
    <row r="371">
      <c r="A371" s="1165">
        <f>'House Count'!A371</f>
        <v/>
      </c>
      <c r="B371" s="1166">
        <f>'House Count'!E371</f>
        <v/>
      </c>
      <c r="C371" s="1166">
        <f>'House Count'!B371</f>
        <v/>
      </c>
      <c r="D371" s="1166">
        <f>'House Count'!C371</f>
        <v/>
      </c>
      <c r="E371" s="1166">
        <f>'House Count'!D371</f>
        <v/>
      </c>
      <c r="F371" s="1166">
        <f>IF(G371="RES-SFU","RESIDENTIAL",IF(G371="RES-HOA","RESIDENTIAL",IF(G371="RES-MDU","RESIDENTIAL",IF(G371="COMM-SU","BUSINESS",IF(G371="COM-MTU","BUSINESS",IF(G371="ENT","BUSINESS",""))))))</f>
        <v/>
      </c>
      <c r="G371" s="1166">
        <f>'House Count'!F371</f>
        <v/>
      </c>
      <c r="H371" s="1166">
        <f>'House Count'!H371</f>
        <v/>
      </c>
    </row>
    <row r="372">
      <c r="A372" s="1165">
        <f>'House Count'!A372</f>
        <v/>
      </c>
      <c r="B372" s="1166">
        <f>'House Count'!E372</f>
        <v/>
      </c>
      <c r="C372" s="1166">
        <f>'House Count'!B372</f>
        <v/>
      </c>
      <c r="D372" s="1166">
        <f>'House Count'!C372</f>
        <v/>
      </c>
      <c r="E372" s="1166">
        <f>'House Count'!D372</f>
        <v/>
      </c>
      <c r="F372" s="1166">
        <f>IF(G372="RES-SFU","RESIDENTIAL",IF(G372="RES-HOA","RESIDENTIAL",IF(G372="RES-MDU","RESIDENTIAL",IF(G372="COMM-SU","BUSINESS",IF(G372="COM-MTU","BUSINESS",IF(G372="ENT","BUSINESS",""))))))</f>
        <v/>
      </c>
      <c r="G372" s="1166">
        <f>'House Count'!F372</f>
        <v/>
      </c>
      <c r="H372" s="1166">
        <f>'House Count'!H372</f>
        <v/>
      </c>
    </row>
    <row r="373">
      <c r="A373" s="1165">
        <f>'House Count'!A373</f>
        <v/>
      </c>
      <c r="B373" s="1166">
        <f>'House Count'!E373</f>
        <v/>
      </c>
      <c r="C373" s="1166">
        <f>'House Count'!B373</f>
        <v/>
      </c>
      <c r="D373" s="1166">
        <f>'House Count'!C373</f>
        <v/>
      </c>
      <c r="E373" s="1166">
        <f>'House Count'!D373</f>
        <v/>
      </c>
      <c r="F373" s="1166">
        <f>IF(G373="RES-SFU","RESIDENTIAL",IF(G373="RES-HOA","RESIDENTIAL",IF(G373="RES-MDU","RESIDENTIAL",IF(G373="COMM-SU","BUSINESS",IF(G373="COM-MTU","BUSINESS",IF(G373="ENT","BUSINESS",""))))))</f>
        <v/>
      </c>
      <c r="G373" s="1166">
        <f>'House Count'!F373</f>
        <v/>
      </c>
      <c r="H373" s="1166">
        <f>'House Count'!H373</f>
        <v/>
      </c>
    </row>
    <row r="374">
      <c r="A374" s="1165">
        <f>'House Count'!A374</f>
        <v/>
      </c>
      <c r="B374" s="1166">
        <f>'House Count'!E374</f>
        <v/>
      </c>
      <c r="C374" s="1166">
        <f>'House Count'!B374</f>
        <v/>
      </c>
      <c r="D374" s="1166">
        <f>'House Count'!C374</f>
        <v/>
      </c>
      <c r="E374" s="1166">
        <f>'House Count'!D374</f>
        <v/>
      </c>
      <c r="F374" s="1166">
        <f>IF(G374="RES-SFU","RESIDENTIAL",IF(G374="RES-HOA","RESIDENTIAL",IF(G374="RES-MDU","RESIDENTIAL",IF(G374="COMM-SU","BUSINESS",IF(G374="COM-MTU","BUSINESS",IF(G374="ENT","BUSINESS",""))))))</f>
        <v/>
      </c>
      <c r="G374" s="1166">
        <f>'House Count'!F374</f>
        <v/>
      </c>
      <c r="H374" s="1166">
        <f>'House Count'!H374</f>
        <v/>
      </c>
    </row>
    <row r="375">
      <c r="A375" s="1165">
        <f>'House Count'!A375</f>
        <v/>
      </c>
      <c r="B375" s="1166">
        <f>'House Count'!E375</f>
        <v/>
      </c>
      <c r="C375" s="1166">
        <f>'House Count'!B375</f>
        <v/>
      </c>
      <c r="D375" s="1166">
        <f>'House Count'!C375</f>
        <v/>
      </c>
      <c r="E375" s="1166">
        <f>'House Count'!D375</f>
        <v/>
      </c>
      <c r="F375" s="1166">
        <f>IF(G375="RES-SFU","RESIDENTIAL",IF(G375="RES-HOA","RESIDENTIAL",IF(G375="RES-MDU","RESIDENTIAL",IF(G375="COMM-SU","BUSINESS",IF(G375="COM-MTU","BUSINESS",IF(G375="ENT","BUSINESS",""))))))</f>
        <v/>
      </c>
      <c r="G375" s="1166">
        <f>'House Count'!F375</f>
        <v/>
      </c>
      <c r="H375" s="1166">
        <f>'House Count'!H375</f>
        <v/>
      </c>
    </row>
    <row r="376">
      <c r="A376" s="1165">
        <f>'House Count'!A376</f>
        <v/>
      </c>
      <c r="B376" s="1166">
        <f>'House Count'!E376</f>
        <v/>
      </c>
      <c r="C376" s="1166">
        <f>'House Count'!B376</f>
        <v/>
      </c>
      <c r="D376" s="1166">
        <f>'House Count'!C376</f>
        <v/>
      </c>
      <c r="E376" s="1166">
        <f>'House Count'!D376</f>
        <v/>
      </c>
      <c r="F376" s="1166">
        <f>IF(G376="RES-SFU","RESIDENTIAL",IF(G376="RES-HOA","RESIDENTIAL",IF(G376="RES-MDU","RESIDENTIAL",IF(G376="COMM-SU","BUSINESS",IF(G376="COM-MTU","BUSINESS",IF(G376="ENT","BUSINESS",""))))))</f>
        <v/>
      </c>
      <c r="G376" s="1166">
        <f>'House Count'!F376</f>
        <v/>
      </c>
      <c r="H376" s="1166">
        <f>'House Count'!H376</f>
        <v/>
      </c>
    </row>
    <row r="377">
      <c r="A377" s="1165">
        <f>'House Count'!A377</f>
        <v/>
      </c>
      <c r="B377" s="1166">
        <f>'House Count'!E377</f>
        <v/>
      </c>
      <c r="C377" s="1166">
        <f>'House Count'!B377</f>
        <v/>
      </c>
      <c r="D377" s="1166">
        <f>'House Count'!C377</f>
        <v/>
      </c>
      <c r="E377" s="1166">
        <f>'House Count'!D377</f>
        <v/>
      </c>
      <c r="F377" s="1166">
        <f>IF(G377="RES-SFU","RESIDENTIAL",IF(G377="RES-HOA","RESIDENTIAL",IF(G377="RES-MDU","RESIDENTIAL",IF(G377="COMM-SU","BUSINESS",IF(G377="COM-MTU","BUSINESS",IF(G377="ENT","BUSINESS",""))))))</f>
        <v/>
      </c>
      <c r="G377" s="1166">
        <f>'House Count'!F377</f>
        <v/>
      </c>
      <c r="H377" s="1166">
        <f>'House Count'!H377</f>
        <v/>
      </c>
    </row>
    <row r="378">
      <c r="A378" s="1165">
        <f>'House Count'!A378</f>
        <v/>
      </c>
      <c r="B378" s="1166">
        <f>'House Count'!E378</f>
        <v/>
      </c>
      <c r="C378" s="1166">
        <f>'House Count'!B378</f>
        <v/>
      </c>
      <c r="D378" s="1166">
        <f>'House Count'!C378</f>
        <v/>
      </c>
      <c r="E378" s="1166">
        <f>'House Count'!D378</f>
        <v/>
      </c>
      <c r="F378" s="1166">
        <f>IF(G378="RES-SFU","RESIDENTIAL",IF(G378="RES-HOA","RESIDENTIAL",IF(G378="RES-MDU","RESIDENTIAL",IF(G378="COMM-SU","BUSINESS",IF(G378="COM-MTU","BUSINESS",IF(G378="ENT","BUSINESS",""))))))</f>
        <v/>
      </c>
      <c r="G378" s="1166">
        <f>'House Count'!F378</f>
        <v/>
      </c>
      <c r="H378" s="1166">
        <f>'House Count'!H378</f>
        <v/>
      </c>
    </row>
    <row r="379">
      <c r="A379" s="1165">
        <f>'House Count'!A379</f>
        <v/>
      </c>
      <c r="B379" s="1166">
        <f>'House Count'!E379</f>
        <v/>
      </c>
      <c r="C379" s="1166">
        <f>'House Count'!B379</f>
        <v/>
      </c>
      <c r="D379" s="1166">
        <f>'House Count'!C379</f>
        <v/>
      </c>
      <c r="E379" s="1166">
        <f>'House Count'!D379</f>
        <v/>
      </c>
      <c r="F379" s="1166">
        <f>IF(G379="RES-SFU","RESIDENTIAL",IF(G379="RES-HOA","RESIDENTIAL",IF(G379="RES-MDU","RESIDENTIAL",IF(G379="COMM-SU","BUSINESS",IF(G379="COM-MTU","BUSINESS",IF(G379="ENT","BUSINESS",""))))))</f>
        <v/>
      </c>
      <c r="G379" s="1166">
        <f>'House Count'!F379</f>
        <v/>
      </c>
      <c r="H379" s="1166">
        <f>'House Count'!H379</f>
        <v/>
      </c>
    </row>
    <row r="380">
      <c r="A380" s="1165">
        <f>'House Count'!A380</f>
        <v/>
      </c>
      <c r="B380" s="1166">
        <f>'House Count'!E380</f>
        <v/>
      </c>
      <c r="C380" s="1166">
        <f>'House Count'!B380</f>
        <v/>
      </c>
      <c r="D380" s="1166">
        <f>'House Count'!C380</f>
        <v/>
      </c>
      <c r="E380" s="1166">
        <f>'House Count'!D380</f>
        <v/>
      </c>
      <c r="F380" s="1166">
        <f>IF(G380="RES-SFU","RESIDENTIAL",IF(G380="RES-HOA","RESIDENTIAL",IF(G380="RES-MDU","RESIDENTIAL",IF(G380="COMM-SU","BUSINESS",IF(G380="COM-MTU","BUSINESS",IF(G380="ENT","BUSINESS",""))))))</f>
        <v/>
      </c>
      <c r="G380" s="1166">
        <f>'House Count'!F380</f>
        <v/>
      </c>
      <c r="H380" s="1166">
        <f>'House Count'!H380</f>
        <v/>
      </c>
    </row>
    <row r="381">
      <c r="A381" s="1165">
        <f>'House Count'!A381</f>
        <v/>
      </c>
      <c r="B381" s="1166">
        <f>'House Count'!E381</f>
        <v/>
      </c>
      <c r="C381" s="1166">
        <f>'House Count'!B381</f>
        <v/>
      </c>
      <c r="D381" s="1166">
        <f>'House Count'!C381</f>
        <v/>
      </c>
      <c r="E381" s="1166">
        <f>'House Count'!D381</f>
        <v/>
      </c>
      <c r="F381" s="1166">
        <f>IF(G381="RES-SFU","RESIDENTIAL",IF(G381="RES-HOA","RESIDENTIAL",IF(G381="RES-MDU","RESIDENTIAL",IF(G381="COMM-SU","BUSINESS",IF(G381="COM-MTU","BUSINESS",IF(G381="ENT","BUSINESS",""))))))</f>
        <v/>
      </c>
      <c r="G381" s="1166">
        <f>'House Count'!F381</f>
        <v/>
      </c>
      <c r="H381" s="1166">
        <f>'House Count'!H381</f>
        <v/>
      </c>
    </row>
    <row r="382">
      <c r="A382" s="1165">
        <f>'House Count'!A382</f>
        <v/>
      </c>
      <c r="B382" s="1166">
        <f>'House Count'!E382</f>
        <v/>
      </c>
      <c r="C382" s="1166">
        <f>'House Count'!B382</f>
        <v/>
      </c>
      <c r="D382" s="1166">
        <f>'House Count'!C382</f>
        <v/>
      </c>
      <c r="E382" s="1166">
        <f>'House Count'!D382</f>
        <v/>
      </c>
      <c r="F382" s="1166">
        <f>IF(G382="RES-SFU","RESIDENTIAL",IF(G382="RES-HOA","RESIDENTIAL",IF(G382="RES-MDU","RESIDENTIAL",IF(G382="COMM-SU","BUSINESS",IF(G382="COM-MTU","BUSINESS",IF(G382="ENT","BUSINESS",""))))))</f>
        <v/>
      </c>
      <c r="G382" s="1166">
        <f>'House Count'!F382</f>
        <v/>
      </c>
      <c r="H382" s="1166">
        <f>'House Count'!H382</f>
        <v/>
      </c>
    </row>
    <row r="383">
      <c r="A383" s="1165">
        <f>'House Count'!A383</f>
        <v/>
      </c>
      <c r="B383" s="1166">
        <f>'House Count'!E383</f>
        <v/>
      </c>
      <c r="C383" s="1166">
        <f>'House Count'!B383</f>
        <v/>
      </c>
      <c r="D383" s="1166">
        <f>'House Count'!C383</f>
        <v/>
      </c>
      <c r="E383" s="1166">
        <f>'House Count'!D383</f>
        <v/>
      </c>
      <c r="F383" s="1166">
        <f>IF(G383="RES-SFU","RESIDENTIAL",IF(G383="RES-HOA","RESIDENTIAL",IF(G383="RES-MDU","RESIDENTIAL",IF(G383="COMM-SU","BUSINESS",IF(G383="COM-MTU","BUSINESS",IF(G383="ENT","BUSINESS",""))))))</f>
        <v/>
      </c>
      <c r="G383" s="1166">
        <f>'House Count'!F383</f>
        <v/>
      </c>
      <c r="H383" s="1166">
        <f>'House Count'!H383</f>
        <v/>
      </c>
    </row>
    <row r="384">
      <c r="A384" s="1165">
        <f>'House Count'!A384</f>
        <v/>
      </c>
      <c r="B384" s="1166">
        <f>'House Count'!E384</f>
        <v/>
      </c>
      <c r="C384" s="1166">
        <f>'House Count'!B384</f>
        <v/>
      </c>
      <c r="D384" s="1166">
        <f>'House Count'!C384</f>
        <v/>
      </c>
      <c r="E384" s="1166">
        <f>'House Count'!D384</f>
        <v/>
      </c>
      <c r="F384" s="1166">
        <f>IF(G384="RES-SFU","RESIDENTIAL",IF(G384="RES-HOA","RESIDENTIAL",IF(G384="RES-MDU","RESIDENTIAL",IF(G384="COMM-SU","BUSINESS",IF(G384="COM-MTU","BUSINESS",IF(G384="ENT","BUSINESS",""))))))</f>
        <v/>
      </c>
      <c r="G384" s="1166">
        <f>'House Count'!F384</f>
        <v/>
      </c>
      <c r="H384" s="1166">
        <f>'House Count'!H384</f>
        <v/>
      </c>
    </row>
    <row r="385">
      <c r="A385" s="1165">
        <f>'House Count'!A385</f>
        <v/>
      </c>
      <c r="B385" s="1166">
        <f>'House Count'!E385</f>
        <v/>
      </c>
      <c r="C385" s="1166">
        <f>'House Count'!B385</f>
        <v/>
      </c>
      <c r="D385" s="1166">
        <f>'House Count'!C385</f>
        <v/>
      </c>
      <c r="E385" s="1166">
        <f>'House Count'!D385</f>
        <v/>
      </c>
      <c r="F385" s="1166">
        <f>IF(G385="RES-SFU","RESIDENTIAL",IF(G385="RES-HOA","RESIDENTIAL",IF(G385="RES-MDU","RESIDENTIAL",IF(G385="COMM-SU","BUSINESS",IF(G385="COM-MTU","BUSINESS",IF(G385="ENT","BUSINESS",""))))))</f>
        <v/>
      </c>
      <c r="G385" s="1166">
        <f>'House Count'!F385</f>
        <v/>
      </c>
      <c r="H385" s="1166">
        <f>'House Count'!H385</f>
        <v/>
      </c>
    </row>
    <row r="386">
      <c r="A386" s="1165">
        <f>'House Count'!A386</f>
        <v/>
      </c>
      <c r="B386" s="1166">
        <f>'House Count'!E386</f>
        <v/>
      </c>
      <c r="C386" s="1166">
        <f>'House Count'!B386</f>
        <v/>
      </c>
      <c r="D386" s="1166">
        <f>'House Count'!C386</f>
        <v/>
      </c>
      <c r="E386" s="1166">
        <f>'House Count'!D386</f>
        <v/>
      </c>
      <c r="F386" s="1166">
        <f>IF(G386="RES-SFU","RESIDENTIAL",IF(G386="RES-HOA","RESIDENTIAL",IF(G386="RES-MDU","RESIDENTIAL",IF(G386="COMM-SU","BUSINESS",IF(G386="COM-MTU","BUSINESS",IF(G386="ENT","BUSINESS",""))))))</f>
        <v/>
      </c>
      <c r="G386" s="1166">
        <f>'House Count'!F386</f>
        <v/>
      </c>
      <c r="H386" s="1166">
        <f>'House Count'!H386</f>
        <v/>
      </c>
    </row>
    <row r="387">
      <c r="A387" s="1165">
        <f>'House Count'!A387</f>
        <v/>
      </c>
      <c r="B387" s="1166">
        <f>'House Count'!E387</f>
        <v/>
      </c>
      <c r="C387" s="1166">
        <f>'House Count'!B387</f>
        <v/>
      </c>
      <c r="D387" s="1166">
        <f>'House Count'!C387</f>
        <v/>
      </c>
      <c r="E387" s="1166">
        <f>'House Count'!D387</f>
        <v/>
      </c>
      <c r="F387" s="1166">
        <f>IF(G387="RES-SFU","RESIDENTIAL",IF(G387="RES-HOA","RESIDENTIAL",IF(G387="RES-MDU","RESIDENTIAL",IF(G387="COMM-SU","BUSINESS",IF(G387="COM-MTU","BUSINESS",IF(G387="ENT","BUSINESS",""))))))</f>
        <v/>
      </c>
      <c r="G387" s="1166">
        <f>'House Count'!F387</f>
        <v/>
      </c>
      <c r="H387" s="1166">
        <f>'House Count'!H387</f>
        <v/>
      </c>
    </row>
    <row r="388">
      <c r="A388" s="1165">
        <f>'House Count'!A388</f>
        <v/>
      </c>
      <c r="B388" s="1166">
        <f>'House Count'!E388</f>
        <v/>
      </c>
      <c r="C388" s="1166">
        <f>'House Count'!B388</f>
        <v/>
      </c>
      <c r="D388" s="1166">
        <f>'House Count'!C388</f>
        <v/>
      </c>
      <c r="E388" s="1166">
        <f>'House Count'!D388</f>
        <v/>
      </c>
      <c r="F388" s="1166">
        <f>IF(G388="RES-SFU","RESIDENTIAL",IF(G388="RES-HOA","RESIDENTIAL",IF(G388="RES-MDU","RESIDENTIAL",IF(G388="COMM-SU","BUSINESS",IF(G388="COM-MTU","BUSINESS",IF(G388="ENT","BUSINESS",""))))))</f>
        <v/>
      </c>
      <c r="G388" s="1166">
        <f>'House Count'!F388</f>
        <v/>
      </c>
      <c r="H388" s="1166">
        <f>'House Count'!H388</f>
        <v/>
      </c>
    </row>
    <row r="389">
      <c r="A389" s="1165">
        <f>'House Count'!A389</f>
        <v/>
      </c>
      <c r="B389" s="1166">
        <f>'House Count'!E389</f>
        <v/>
      </c>
      <c r="C389" s="1166">
        <f>'House Count'!B389</f>
        <v/>
      </c>
      <c r="D389" s="1166">
        <f>'House Count'!C389</f>
        <v/>
      </c>
      <c r="E389" s="1166">
        <f>'House Count'!D389</f>
        <v/>
      </c>
      <c r="F389" s="1166">
        <f>IF(G389="RES-SFU","RESIDENTIAL",IF(G389="RES-HOA","RESIDENTIAL",IF(G389="RES-MDU","RESIDENTIAL",IF(G389="COMM-SU","BUSINESS",IF(G389="COM-MTU","BUSINESS",IF(G389="ENT","BUSINESS",""))))))</f>
        <v/>
      </c>
      <c r="G389" s="1166">
        <f>'House Count'!F389</f>
        <v/>
      </c>
      <c r="H389" s="1166">
        <f>'House Count'!H389</f>
        <v/>
      </c>
    </row>
    <row r="390">
      <c r="A390" s="1165">
        <f>'House Count'!A390</f>
        <v/>
      </c>
      <c r="B390" s="1166">
        <f>'House Count'!E390</f>
        <v/>
      </c>
      <c r="C390" s="1166">
        <f>'House Count'!B390</f>
        <v/>
      </c>
      <c r="D390" s="1166">
        <f>'House Count'!C390</f>
        <v/>
      </c>
      <c r="E390" s="1166">
        <f>'House Count'!D390</f>
        <v/>
      </c>
      <c r="F390" s="1166">
        <f>IF(G390="RES-SFU","RESIDENTIAL",IF(G390="RES-HOA","RESIDENTIAL",IF(G390="RES-MDU","RESIDENTIAL",IF(G390="COMM-SU","BUSINESS",IF(G390="COM-MTU","BUSINESS",IF(G390="ENT","BUSINESS",""))))))</f>
        <v/>
      </c>
      <c r="G390" s="1166">
        <f>'House Count'!F390</f>
        <v/>
      </c>
      <c r="H390" s="1166">
        <f>'House Count'!H390</f>
        <v/>
      </c>
    </row>
    <row r="391">
      <c r="A391" s="1165">
        <f>'House Count'!A391</f>
        <v/>
      </c>
      <c r="B391" s="1166">
        <f>'House Count'!E391</f>
        <v/>
      </c>
      <c r="C391" s="1166">
        <f>'House Count'!B391</f>
        <v/>
      </c>
      <c r="D391" s="1166">
        <f>'House Count'!C391</f>
        <v/>
      </c>
      <c r="E391" s="1166">
        <f>'House Count'!D391</f>
        <v/>
      </c>
      <c r="F391" s="1166">
        <f>IF(G391="RES-SFU","RESIDENTIAL",IF(G391="RES-HOA","RESIDENTIAL",IF(G391="RES-MDU","RESIDENTIAL",IF(G391="COMM-SU","BUSINESS",IF(G391="COM-MTU","BUSINESS",IF(G391="ENT","BUSINESS",""))))))</f>
        <v/>
      </c>
      <c r="G391" s="1166">
        <f>'House Count'!F391</f>
        <v/>
      </c>
      <c r="H391" s="1166">
        <f>'House Count'!H391</f>
        <v/>
      </c>
    </row>
    <row r="392">
      <c r="A392" s="1165">
        <f>'House Count'!A392</f>
        <v/>
      </c>
      <c r="B392" s="1166">
        <f>'House Count'!E392</f>
        <v/>
      </c>
      <c r="C392" s="1166">
        <f>'House Count'!B392</f>
        <v/>
      </c>
      <c r="D392" s="1166">
        <f>'House Count'!C392</f>
        <v/>
      </c>
      <c r="E392" s="1166">
        <f>'House Count'!D392</f>
        <v/>
      </c>
      <c r="F392" s="1166">
        <f>IF(G392="RES-SFU","RESIDENTIAL",IF(G392="RES-HOA","RESIDENTIAL",IF(G392="RES-MDU","RESIDENTIAL",IF(G392="COMM-SU","BUSINESS",IF(G392="COM-MTU","BUSINESS",IF(G392="ENT","BUSINESS",""))))))</f>
        <v/>
      </c>
      <c r="G392" s="1166">
        <f>'House Count'!F392</f>
        <v/>
      </c>
      <c r="H392" s="1166">
        <f>'House Count'!H392</f>
        <v/>
      </c>
    </row>
    <row r="393">
      <c r="A393" s="1165">
        <f>'House Count'!A393</f>
        <v/>
      </c>
      <c r="B393" s="1166">
        <f>'House Count'!E393</f>
        <v/>
      </c>
      <c r="C393" s="1166">
        <f>'House Count'!B393</f>
        <v/>
      </c>
      <c r="D393" s="1166">
        <f>'House Count'!C393</f>
        <v/>
      </c>
      <c r="E393" s="1166">
        <f>'House Count'!D393</f>
        <v/>
      </c>
      <c r="F393" s="1166">
        <f>IF(G393="RES-SFU","RESIDENTIAL",IF(G393="RES-HOA","RESIDENTIAL",IF(G393="RES-MDU","RESIDENTIAL",IF(G393="COMM-SU","BUSINESS",IF(G393="COM-MTU","BUSINESS",IF(G393="ENT","BUSINESS",""))))))</f>
        <v/>
      </c>
      <c r="G393" s="1166">
        <f>'House Count'!F393</f>
        <v/>
      </c>
      <c r="H393" s="1166">
        <f>'House Count'!H393</f>
        <v/>
      </c>
    </row>
    <row r="394">
      <c r="A394" s="1165">
        <f>'House Count'!A394</f>
        <v/>
      </c>
      <c r="B394" s="1166">
        <f>'House Count'!E394</f>
        <v/>
      </c>
      <c r="C394" s="1166">
        <f>'House Count'!B394</f>
        <v/>
      </c>
      <c r="D394" s="1166">
        <f>'House Count'!C394</f>
        <v/>
      </c>
      <c r="E394" s="1166">
        <f>'House Count'!D394</f>
        <v/>
      </c>
      <c r="F394" s="1166">
        <f>IF(G394="RES-SFU","RESIDENTIAL",IF(G394="RES-HOA","RESIDENTIAL",IF(G394="RES-MDU","RESIDENTIAL",IF(G394="COMM-SU","BUSINESS",IF(G394="COM-MTU","BUSINESS",IF(G394="ENT","BUSINESS",""))))))</f>
        <v/>
      </c>
      <c r="G394" s="1166">
        <f>'House Count'!F394</f>
        <v/>
      </c>
      <c r="H394" s="1166">
        <f>'House Count'!H394</f>
        <v/>
      </c>
    </row>
    <row r="395">
      <c r="A395" s="1165">
        <f>'House Count'!A395</f>
        <v/>
      </c>
      <c r="B395" s="1166">
        <f>'House Count'!E395</f>
        <v/>
      </c>
      <c r="C395" s="1166">
        <f>'House Count'!B395</f>
        <v/>
      </c>
      <c r="D395" s="1166">
        <f>'House Count'!C395</f>
        <v/>
      </c>
      <c r="E395" s="1166">
        <f>'House Count'!D395</f>
        <v/>
      </c>
      <c r="F395" s="1166">
        <f>IF(G395="RES-SFU","RESIDENTIAL",IF(G395="RES-HOA","RESIDENTIAL",IF(G395="RES-MDU","RESIDENTIAL",IF(G395="COMM-SU","BUSINESS",IF(G395="COM-MTU","BUSINESS",IF(G395="ENT","BUSINESS",""))))))</f>
        <v/>
      </c>
      <c r="G395" s="1166">
        <f>'House Count'!F395</f>
        <v/>
      </c>
      <c r="H395" s="1166">
        <f>'House Count'!H395</f>
        <v/>
      </c>
    </row>
    <row r="396">
      <c r="A396" s="1165">
        <f>'House Count'!A396</f>
        <v/>
      </c>
      <c r="B396" s="1166">
        <f>'House Count'!E396</f>
        <v/>
      </c>
      <c r="C396" s="1166">
        <f>'House Count'!B396</f>
        <v/>
      </c>
      <c r="D396" s="1166">
        <f>'House Count'!C396</f>
        <v/>
      </c>
      <c r="E396" s="1166">
        <f>'House Count'!D396</f>
        <v/>
      </c>
      <c r="F396" s="1166">
        <f>IF(G396="RES-SFU","RESIDENTIAL",IF(G396="RES-HOA","RESIDENTIAL",IF(G396="RES-MDU","RESIDENTIAL",IF(G396="COMM-SU","BUSINESS",IF(G396="COM-MTU","BUSINESS",IF(G396="ENT","BUSINESS",""))))))</f>
        <v/>
      </c>
      <c r="G396" s="1166">
        <f>'House Count'!F396</f>
        <v/>
      </c>
      <c r="H396" s="1166">
        <f>'House Count'!H396</f>
        <v/>
      </c>
    </row>
    <row r="397">
      <c r="A397" s="1165">
        <f>'House Count'!A397</f>
        <v/>
      </c>
      <c r="B397" s="1166">
        <f>'House Count'!E397</f>
        <v/>
      </c>
      <c r="C397" s="1166">
        <f>'House Count'!B397</f>
        <v/>
      </c>
      <c r="D397" s="1166">
        <f>'House Count'!C397</f>
        <v/>
      </c>
      <c r="E397" s="1166">
        <f>'House Count'!D397</f>
        <v/>
      </c>
      <c r="F397" s="1166">
        <f>IF(G397="RES-SFU","RESIDENTIAL",IF(G397="RES-HOA","RESIDENTIAL",IF(G397="RES-MDU","RESIDENTIAL",IF(G397="COMM-SU","BUSINESS",IF(G397="COM-MTU","BUSINESS",IF(G397="ENT","BUSINESS",""))))))</f>
        <v/>
      </c>
      <c r="G397" s="1166">
        <f>'House Count'!F397</f>
        <v/>
      </c>
      <c r="H397" s="1166">
        <f>'House Count'!H397</f>
        <v/>
      </c>
    </row>
    <row r="398">
      <c r="A398" s="1165">
        <f>'House Count'!A398</f>
        <v/>
      </c>
      <c r="B398" s="1166">
        <f>'House Count'!E398</f>
        <v/>
      </c>
      <c r="C398" s="1166">
        <f>'House Count'!B398</f>
        <v/>
      </c>
      <c r="D398" s="1166">
        <f>'House Count'!C398</f>
        <v/>
      </c>
      <c r="E398" s="1166">
        <f>'House Count'!D398</f>
        <v/>
      </c>
      <c r="F398" s="1166">
        <f>IF(G398="RES-SFU","RESIDENTIAL",IF(G398="RES-HOA","RESIDENTIAL",IF(G398="RES-MDU","RESIDENTIAL",IF(G398="COMM-SU","BUSINESS",IF(G398="COM-MTU","BUSINESS",IF(G398="ENT","BUSINESS",""))))))</f>
        <v/>
      </c>
      <c r="G398" s="1166">
        <f>'House Count'!F398</f>
        <v/>
      </c>
      <c r="H398" s="1166">
        <f>'House Count'!H398</f>
        <v/>
      </c>
    </row>
    <row r="399">
      <c r="A399" s="1165">
        <f>'House Count'!A399</f>
        <v/>
      </c>
      <c r="B399" s="1166">
        <f>'House Count'!E399</f>
        <v/>
      </c>
      <c r="C399" s="1166">
        <f>'House Count'!B399</f>
        <v/>
      </c>
      <c r="D399" s="1166">
        <f>'House Count'!C399</f>
        <v/>
      </c>
      <c r="E399" s="1166">
        <f>'House Count'!D399</f>
        <v/>
      </c>
      <c r="F399" s="1166">
        <f>IF(G399="RES-SFU","RESIDENTIAL",IF(G399="RES-HOA","RESIDENTIAL",IF(G399="RES-MDU","RESIDENTIAL",IF(G399="COMM-SU","BUSINESS",IF(G399="COM-MTU","BUSINESS",IF(G399="ENT","BUSINESS",""))))))</f>
        <v/>
      </c>
      <c r="G399" s="1166">
        <f>'House Count'!F399</f>
        <v/>
      </c>
      <c r="H399" s="1166">
        <f>'House Count'!H399</f>
        <v/>
      </c>
    </row>
    <row r="400">
      <c r="A400" s="1165">
        <f>'House Count'!A400</f>
        <v/>
      </c>
      <c r="B400" s="1166">
        <f>'House Count'!E400</f>
        <v/>
      </c>
      <c r="C400" s="1166">
        <f>'House Count'!B400</f>
        <v/>
      </c>
      <c r="D400" s="1166">
        <f>'House Count'!C400</f>
        <v/>
      </c>
      <c r="E400" s="1166">
        <f>'House Count'!D400</f>
        <v/>
      </c>
      <c r="F400" s="1166">
        <f>IF(G400="RES-SFU","RESIDENTIAL",IF(G400="RES-HOA","RESIDENTIAL",IF(G400="RES-MDU","RESIDENTIAL",IF(G400="COMM-SU","BUSINESS",IF(G400="COM-MTU","BUSINESS",IF(G400="ENT","BUSINESS",""))))))</f>
        <v/>
      </c>
      <c r="G400" s="1166">
        <f>'House Count'!F400</f>
        <v/>
      </c>
      <c r="H400" s="1166">
        <f>'House Count'!H400</f>
        <v/>
      </c>
    </row>
    <row r="401">
      <c r="A401" s="1165">
        <f>'House Count'!A401</f>
        <v/>
      </c>
      <c r="B401" s="1166">
        <f>'House Count'!E401</f>
        <v/>
      </c>
      <c r="C401" s="1166">
        <f>'House Count'!B401</f>
        <v/>
      </c>
      <c r="D401" s="1166">
        <f>'House Count'!C401</f>
        <v/>
      </c>
      <c r="E401" s="1166">
        <f>'House Count'!D401</f>
        <v/>
      </c>
      <c r="F401" s="1166">
        <f>IF(G401="RES-SFU","RESIDENTIAL",IF(G401="RES-HOA","RESIDENTIAL",IF(G401="RES-MDU","RESIDENTIAL",IF(G401="COMM-SU","BUSINESS",IF(G401="COM-MTU","BUSINESS",IF(G401="ENT","BUSINESS",""))))))</f>
        <v/>
      </c>
      <c r="G401" s="1166">
        <f>'House Count'!F401</f>
        <v/>
      </c>
      <c r="H401" s="1166">
        <f>'House Count'!H401</f>
        <v/>
      </c>
    </row>
    <row r="402">
      <c r="A402" s="1165">
        <f>'House Count'!A402</f>
        <v/>
      </c>
      <c r="B402" s="1166">
        <f>'House Count'!E402</f>
        <v/>
      </c>
      <c r="C402" s="1166">
        <f>'House Count'!B402</f>
        <v/>
      </c>
      <c r="D402" s="1166">
        <f>'House Count'!C402</f>
        <v/>
      </c>
      <c r="E402" s="1166">
        <f>'House Count'!D402</f>
        <v/>
      </c>
      <c r="F402" s="1166">
        <f>IF(G402="RES-SFU","RESIDENTIAL",IF(G402="RES-HOA","RESIDENTIAL",IF(G402="RES-MDU","RESIDENTIAL",IF(G402="COMM-SU","BUSINESS",IF(G402="COM-MTU","BUSINESS",IF(G402="ENT","BUSINESS",""))))))</f>
        <v/>
      </c>
      <c r="G402" s="1166">
        <f>'House Count'!F402</f>
        <v/>
      </c>
      <c r="H402" s="1166">
        <f>'House Count'!H402</f>
        <v/>
      </c>
    </row>
    <row r="403">
      <c r="A403" s="1165">
        <f>'House Count'!A403</f>
        <v/>
      </c>
      <c r="B403" s="1166">
        <f>'House Count'!E403</f>
        <v/>
      </c>
      <c r="C403" s="1166">
        <f>'House Count'!B403</f>
        <v/>
      </c>
      <c r="D403" s="1166">
        <f>'House Count'!C403</f>
        <v/>
      </c>
      <c r="E403" s="1166">
        <f>'House Count'!D403</f>
        <v/>
      </c>
      <c r="F403" s="1166">
        <f>IF(G403="RES-SFU","RESIDENTIAL",IF(G403="RES-HOA","RESIDENTIAL",IF(G403="RES-MDU","RESIDENTIAL",IF(G403="COMM-SU","BUSINESS",IF(G403="COM-MTU","BUSINESS",IF(G403="ENT","BUSINESS",""))))))</f>
        <v/>
      </c>
      <c r="G403" s="1166">
        <f>'House Count'!F403</f>
        <v/>
      </c>
      <c r="H403" s="1166">
        <f>'House Count'!H403</f>
        <v/>
      </c>
    </row>
    <row r="404">
      <c r="A404" s="1165">
        <f>'House Count'!A404</f>
        <v/>
      </c>
      <c r="B404" s="1166">
        <f>'House Count'!E404</f>
        <v/>
      </c>
      <c r="C404" s="1166">
        <f>'House Count'!B404</f>
        <v/>
      </c>
      <c r="D404" s="1166">
        <f>'House Count'!C404</f>
        <v/>
      </c>
      <c r="E404" s="1166">
        <f>'House Count'!D404</f>
        <v/>
      </c>
      <c r="F404" s="1166">
        <f>IF(G404="RES-SFU","RESIDENTIAL",IF(G404="RES-HOA","RESIDENTIAL",IF(G404="RES-MDU","RESIDENTIAL",IF(G404="COMM-SU","BUSINESS",IF(G404="COM-MTU","BUSINESS",IF(G404="ENT","BUSINESS",""))))))</f>
        <v/>
      </c>
      <c r="G404" s="1166">
        <f>'House Count'!F404</f>
        <v/>
      </c>
      <c r="H404" s="1166">
        <f>'House Count'!H404</f>
        <v/>
      </c>
    </row>
    <row r="405">
      <c r="A405" s="1165">
        <f>'House Count'!A405</f>
        <v/>
      </c>
      <c r="B405" s="1166">
        <f>'House Count'!E405</f>
        <v/>
      </c>
      <c r="C405" s="1166">
        <f>'House Count'!B405</f>
        <v/>
      </c>
      <c r="D405" s="1166">
        <f>'House Count'!C405</f>
        <v/>
      </c>
      <c r="E405" s="1166">
        <f>'House Count'!D405</f>
        <v/>
      </c>
      <c r="F405" s="1166">
        <f>IF(G405="RES-SFU","RESIDENTIAL",IF(G405="RES-HOA","RESIDENTIAL",IF(G405="RES-MDU","RESIDENTIAL",IF(G405="COMM-SU","BUSINESS",IF(G405="COM-MTU","BUSINESS",IF(G405="ENT","BUSINESS",""))))))</f>
        <v/>
      </c>
      <c r="G405" s="1166">
        <f>'House Count'!F405</f>
        <v/>
      </c>
      <c r="H405" s="1166">
        <f>'House Count'!H405</f>
        <v/>
      </c>
    </row>
    <row r="406">
      <c r="A406" s="1165">
        <f>'House Count'!A406</f>
        <v/>
      </c>
      <c r="B406" s="1166">
        <f>'House Count'!E406</f>
        <v/>
      </c>
      <c r="C406" s="1166">
        <f>'House Count'!B406</f>
        <v/>
      </c>
      <c r="D406" s="1166">
        <f>'House Count'!C406</f>
        <v/>
      </c>
      <c r="E406" s="1166">
        <f>'House Count'!D406</f>
        <v/>
      </c>
      <c r="F406" s="1166">
        <f>IF(G406="RES-SFU","RESIDENTIAL",IF(G406="RES-HOA","RESIDENTIAL",IF(G406="RES-MDU","RESIDENTIAL",IF(G406="COMM-SU","BUSINESS",IF(G406="COM-MTU","BUSINESS",IF(G406="ENT","BUSINESS",""))))))</f>
        <v/>
      </c>
      <c r="G406" s="1166">
        <f>'House Count'!F406</f>
        <v/>
      </c>
      <c r="H406" s="1166">
        <f>'House Count'!H406</f>
        <v/>
      </c>
    </row>
    <row r="407">
      <c r="A407" s="1165">
        <f>'House Count'!A407</f>
        <v/>
      </c>
      <c r="B407" s="1166">
        <f>'House Count'!E407</f>
        <v/>
      </c>
      <c r="C407" s="1166">
        <f>'House Count'!B407</f>
        <v/>
      </c>
      <c r="D407" s="1166">
        <f>'House Count'!C407</f>
        <v/>
      </c>
      <c r="E407" s="1166">
        <f>'House Count'!D407</f>
        <v/>
      </c>
      <c r="F407" s="1166">
        <f>IF(G407="RES-SFU","RESIDENTIAL",IF(G407="RES-HOA","RESIDENTIAL",IF(G407="RES-MDU","RESIDENTIAL",IF(G407="COMM-SU","BUSINESS",IF(G407="COM-MTU","BUSINESS",IF(G407="ENT","BUSINESS",""))))))</f>
        <v/>
      </c>
      <c r="G407" s="1166">
        <f>'House Count'!F407</f>
        <v/>
      </c>
      <c r="H407" s="1166">
        <f>'House Count'!H407</f>
        <v/>
      </c>
    </row>
    <row r="408">
      <c r="A408" s="1165">
        <f>'House Count'!A408</f>
        <v/>
      </c>
      <c r="B408" s="1166">
        <f>'House Count'!E408</f>
        <v/>
      </c>
      <c r="C408" s="1166">
        <f>'House Count'!B408</f>
        <v/>
      </c>
      <c r="D408" s="1166">
        <f>'House Count'!C408</f>
        <v/>
      </c>
      <c r="E408" s="1166">
        <f>'House Count'!D408</f>
        <v/>
      </c>
      <c r="F408" s="1166">
        <f>IF(G408="RES-SFU","RESIDENTIAL",IF(G408="RES-HOA","RESIDENTIAL",IF(G408="RES-MDU","RESIDENTIAL",IF(G408="COMM-SU","BUSINESS",IF(G408="COM-MTU","BUSINESS",IF(G408="ENT","BUSINESS",""))))))</f>
        <v/>
      </c>
      <c r="G408" s="1166">
        <f>'House Count'!F408</f>
        <v/>
      </c>
      <c r="H408" s="1166">
        <f>'House Count'!H408</f>
        <v/>
      </c>
    </row>
    <row r="409">
      <c r="A409" s="1165">
        <f>'House Count'!A409</f>
        <v/>
      </c>
      <c r="B409" s="1166">
        <f>'House Count'!E409</f>
        <v/>
      </c>
      <c r="C409" s="1166">
        <f>'House Count'!B409</f>
        <v/>
      </c>
      <c r="D409" s="1166">
        <f>'House Count'!C409</f>
        <v/>
      </c>
      <c r="E409" s="1166">
        <f>'House Count'!D409</f>
        <v/>
      </c>
      <c r="F409" s="1166">
        <f>IF(G409="RES-SFU","RESIDENTIAL",IF(G409="RES-HOA","RESIDENTIAL",IF(G409="RES-MDU","RESIDENTIAL",IF(G409="COMM-SU","BUSINESS",IF(G409="COM-MTU","BUSINESS",IF(G409="ENT","BUSINESS",""))))))</f>
        <v/>
      </c>
      <c r="G409" s="1166">
        <f>'House Count'!F409</f>
        <v/>
      </c>
      <c r="H409" s="1166">
        <f>'House Count'!H409</f>
        <v/>
      </c>
    </row>
    <row r="410">
      <c r="A410" s="1165">
        <f>'House Count'!A410</f>
        <v/>
      </c>
      <c r="B410" s="1166">
        <f>'House Count'!E410</f>
        <v/>
      </c>
      <c r="C410" s="1166">
        <f>'House Count'!B410</f>
        <v/>
      </c>
      <c r="D410" s="1166">
        <f>'House Count'!C410</f>
        <v/>
      </c>
      <c r="E410" s="1166">
        <f>'House Count'!D410</f>
        <v/>
      </c>
      <c r="F410" s="1166">
        <f>IF(G410="RES-SFU","RESIDENTIAL",IF(G410="RES-HOA","RESIDENTIAL",IF(G410="RES-MDU","RESIDENTIAL",IF(G410="COMM-SU","BUSINESS",IF(G410="COM-MTU","BUSINESS",IF(G410="ENT","BUSINESS",""))))))</f>
        <v/>
      </c>
      <c r="G410" s="1166">
        <f>'House Count'!F410</f>
        <v/>
      </c>
      <c r="H410" s="1166">
        <f>'House Count'!H410</f>
        <v/>
      </c>
    </row>
    <row r="411">
      <c r="A411" s="1165">
        <f>'House Count'!A411</f>
        <v/>
      </c>
      <c r="B411" s="1166">
        <f>'House Count'!E411</f>
        <v/>
      </c>
      <c r="C411" s="1166">
        <f>'House Count'!B411</f>
        <v/>
      </c>
      <c r="D411" s="1166">
        <f>'House Count'!C411</f>
        <v/>
      </c>
      <c r="E411" s="1166">
        <f>'House Count'!D411</f>
        <v/>
      </c>
      <c r="F411" s="1166">
        <f>IF(G411="RES-SFU","RESIDENTIAL",IF(G411="RES-HOA","RESIDENTIAL",IF(G411="RES-MDU","RESIDENTIAL",IF(G411="COMM-SU","BUSINESS",IF(G411="COM-MTU","BUSINESS",IF(G411="ENT","BUSINESS",""))))))</f>
        <v/>
      </c>
      <c r="G411" s="1166">
        <f>'House Count'!F411</f>
        <v/>
      </c>
      <c r="H411" s="1166">
        <f>'House Count'!H411</f>
        <v/>
      </c>
    </row>
    <row r="412">
      <c r="A412" s="1165">
        <f>'House Count'!A412</f>
        <v/>
      </c>
      <c r="B412" s="1166">
        <f>'House Count'!E412</f>
        <v/>
      </c>
      <c r="C412" s="1166">
        <f>'House Count'!B412</f>
        <v/>
      </c>
      <c r="D412" s="1166">
        <f>'House Count'!C412</f>
        <v/>
      </c>
      <c r="E412" s="1166">
        <f>'House Count'!D412</f>
        <v/>
      </c>
      <c r="F412" s="1166">
        <f>IF(G412="RES-SFU","RESIDENTIAL",IF(G412="RES-HOA","RESIDENTIAL",IF(G412="RES-MDU","RESIDENTIAL",IF(G412="COMM-SU","BUSINESS",IF(G412="COM-MTU","BUSINESS",IF(G412="ENT","BUSINESS",""))))))</f>
        <v/>
      </c>
      <c r="G412" s="1166">
        <f>'House Count'!F412</f>
        <v/>
      </c>
      <c r="H412" s="1166">
        <f>'House Count'!H412</f>
        <v/>
      </c>
    </row>
    <row r="413">
      <c r="A413" s="1165">
        <f>'House Count'!A413</f>
        <v/>
      </c>
      <c r="B413" s="1166">
        <f>'House Count'!E413</f>
        <v/>
      </c>
      <c r="C413" s="1166">
        <f>'House Count'!B413</f>
        <v/>
      </c>
      <c r="D413" s="1166">
        <f>'House Count'!C413</f>
        <v/>
      </c>
      <c r="E413" s="1166">
        <f>'House Count'!D413</f>
        <v/>
      </c>
      <c r="F413" s="1166">
        <f>IF(G413="RES-SFU","RESIDENTIAL",IF(G413="RES-HOA","RESIDENTIAL",IF(G413="RES-MDU","RESIDENTIAL",IF(G413="COMM-SU","BUSINESS",IF(G413="COM-MTU","BUSINESS",IF(G413="ENT","BUSINESS",""))))))</f>
        <v/>
      </c>
      <c r="G413" s="1166">
        <f>'House Count'!F413</f>
        <v/>
      </c>
      <c r="H413" s="1166">
        <f>'House Count'!H413</f>
        <v/>
      </c>
    </row>
    <row r="414">
      <c r="A414" s="1165">
        <f>'House Count'!A414</f>
        <v/>
      </c>
      <c r="B414" s="1166">
        <f>'House Count'!E414</f>
        <v/>
      </c>
      <c r="C414" s="1166">
        <f>'House Count'!B414</f>
        <v/>
      </c>
      <c r="D414" s="1166">
        <f>'House Count'!C414</f>
        <v/>
      </c>
      <c r="E414" s="1166">
        <f>'House Count'!D414</f>
        <v/>
      </c>
      <c r="F414" s="1166">
        <f>IF(G414="RES-SFU","RESIDENTIAL",IF(G414="RES-HOA","RESIDENTIAL",IF(G414="RES-MDU","RESIDENTIAL",IF(G414="COMM-SU","BUSINESS",IF(G414="COM-MTU","BUSINESS",IF(G414="ENT","BUSINESS",""))))))</f>
        <v/>
      </c>
      <c r="G414" s="1166">
        <f>'House Count'!F414</f>
        <v/>
      </c>
      <c r="H414" s="1166">
        <f>'House Count'!H414</f>
        <v/>
      </c>
    </row>
    <row r="415">
      <c r="A415" s="1165">
        <f>'House Count'!A415</f>
        <v/>
      </c>
      <c r="B415" s="1166">
        <f>'House Count'!E415</f>
        <v/>
      </c>
      <c r="C415" s="1166">
        <f>'House Count'!B415</f>
        <v/>
      </c>
      <c r="D415" s="1166">
        <f>'House Count'!C415</f>
        <v/>
      </c>
      <c r="E415" s="1166">
        <f>'House Count'!D415</f>
        <v/>
      </c>
      <c r="F415" s="1166">
        <f>IF(G415="RES-SFU","RESIDENTIAL",IF(G415="RES-HOA","RESIDENTIAL",IF(G415="RES-MDU","RESIDENTIAL",IF(G415="COMM-SU","BUSINESS",IF(G415="COM-MTU","BUSINESS",IF(G415="ENT","BUSINESS",""))))))</f>
        <v/>
      </c>
      <c r="G415" s="1166">
        <f>'House Count'!F415</f>
        <v/>
      </c>
      <c r="H415" s="1166">
        <f>'House Count'!H415</f>
        <v/>
      </c>
    </row>
    <row r="416">
      <c r="A416" s="1165">
        <f>'House Count'!A416</f>
        <v/>
      </c>
      <c r="B416" s="1166">
        <f>'House Count'!E416</f>
        <v/>
      </c>
      <c r="C416" s="1166">
        <f>'House Count'!B416</f>
        <v/>
      </c>
      <c r="D416" s="1166">
        <f>'House Count'!C416</f>
        <v/>
      </c>
      <c r="E416" s="1166">
        <f>'House Count'!D416</f>
        <v/>
      </c>
      <c r="F416" s="1166">
        <f>IF(G416="RES-SFU","RESIDENTIAL",IF(G416="RES-HOA","RESIDENTIAL",IF(G416="RES-MDU","RESIDENTIAL",IF(G416="COMM-SU","BUSINESS",IF(G416="COM-MTU","BUSINESS",IF(G416="ENT","BUSINESS",""))))))</f>
        <v/>
      </c>
      <c r="G416" s="1166">
        <f>'House Count'!F416</f>
        <v/>
      </c>
      <c r="H416" s="1166">
        <f>'House Count'!H416</f>
        <v/>
      </c>
    </row>
    <row r="417">
      <c r="A417" s="1165">
        <f>'House Count'!A417</f>
        <v/>
      </c>
      <c r="B417" s="1166">
        <f>'House Count'!E417</f>
        <v/>
      </c>
      <c r="C417" s="1166">
        <f>'House Count'!B417</f>
        <v/>
      </c>
      <c r="D417" s="1166">
        <f>'House Count'!C417</f>
        <v/>
      </c>
      <c r="E417" s="1166">
        <f>'House Count'!D417</f>
        <v/>
      </c>
      <c r="F417" s="1166">
        <f>IF(G417="RES-SFU","RESIDENTIAL",IF(G417="RES-HOA","RESIDENTIAL",IF(G417="RES-MDU","RESIDENTIAL",IF(G417="COMM-SU","BUSINESS",IF(G417="COM-MTU","BUSINESS",IF(G417="ENT","BUSINESS",""))))))</f>
        <v/>
      </c>
      <c r="G417" s="1166">
        <f>'House Count'!F417</f>
        <v/>
      </c>
      <c r="H417" s="1166">
        <f>'House Count'!H417</f>
        <v/>
      </c>
    </row>
    <row r="418">
      <c r="A418" s="1165">
        <f>'House Count'!A418</f>
        <v/>
      </c>
      <c r="B418" s="1166">
        <f>'House Count'!E418</f>
        <v/>
      </c>
      <c r="C418" s="1166">
        <f>'House Count'!B418</f>
        <v/>
      </c>
      <c r="D418" s="1166">
        <f>'House Count'!C418</f>
        <v/>
      </c>
      <c r="E418" s="1166">
        <f>'House Count'!D418</f>
        <v/>
      </c>
      <c r="F418" s="1166">
        <f>IF(G418="RES-SFU","RESIDENTIAL",IF(G418="RES-HOA","RESIDENTIAL",IF(G418="RES-MDU","RESIDENTIAL",IF(G418="COMM-SU","BUSINESS",IF(G418="COM-MTU","BUSINESS",IF(G418="ENT","BUSINESS",""))))))</f>
        <v/>
      </c>
      <c r="G418" s="1166">
        <f>'House Count'!F418</f>
        <v/>
      </c>
      <c r="H418" s="1166">
        <f>'House Count'!H418</f>
        <v/>
      </c>
    </row>
    <row r="419">
      <c r="A419" s="1165">
        <f>'House Count'!A419</f>
        <v/>
      </c>
      <c r="B419" s="1166">
        <f>'House Count'!E419</f>
        <v/>
      </c>
      <c r="C419" s="1166">
        <f>'House Count'!B419</f>
        <v/>
      </c>
      <c r="D419" s="1166">
        <f>'House Count'!C419</f>
        <v/>
      </c>
      <c r="E419" s="1166">
        <f>'House Count'!D419</f>
        <v/>
      </c>
      <c r="F419" s="1166">
        <f>IF(G419="RES-SFU","RESIDENTIAL",IF(G419="RES-HOA","RESIDENTIAL",IF(G419="RES-MDU","RESIDENTIAL",IF(G419="COMM-SU","BUSINESS",IF(G419="COM-MTU","BUSINESS",IF(G419="ENT","BUSINESS",""))))))</f>
        <v/>
      </c>
      <c r="G419" s="1166">
        <f>'House Count'!F419</f>
        <v/>
      </c>
      <c r="H419" s="1166">
        <f>'House Count'!H419</f>
        <v/>
      </c>
    </row>
    <row r="420">
      <c r="A420" s="1165">
        <f>'House Count'!A420</f>
        <v/>
      </c>
      <c r="B420" s="1166">
        <f>'House Count'!E420</f>
        <v/>
      </c>
      <c r="C420" s="1166">
        <f>'House Count'!B420</f>
        <v/>
      </c>
      <c r="D420" s="1166">
        <f>'House Count'!C420</f>
        <v/>
      </c>
      <c r="E420" s="1166">
        <f>'House Count'!D420</f>
        <v/>
      </c>
      <c r="F420" s="1166">
        <f>IF(G420="RES-SFU","RESIDENTIAL",IF(G420="RES-HOA","RESIDENTIAL",IF(G420="RES-MDU","RESIDENTIAL",IF(G420="COMM-SU","BUSINESS",IF(G420="COM-MTU","BUSINESS",IF(G420="ENT","BUSINESS",""))))))</f>
        <v/>
      </c>
      <c r="G420" s="1166">
        <f>'House Count'!F420</f>
        <v/>
      </c>
      <c r="H420" s="1166">
        <f>'House Count'!H420</f>
        <v/>
      </c>
    </row>
    <row r="421">
      <c r="A421" s="1165">
        <f>'House Count'!A421</f>
        <v/>
      </c>
      <c r="B421" s="1166">
        <f>'House Count'!E421</f>
        <v/>
      </c>
      <c r="C421" s="1166">
        <f>'House Count'!B421</f>
        <v/>
      </c>
      <c r="D421" s="1166">
        <f>'House Count'!C421</f>
        <v/>
      </c>
      <c r="E421" s="1166">
        <f>'House Count'!D421</f>
        <v/>
      </c>
      <c r="F421" s="1166">
        <f>IF(G421="RES-SFU","RESIDENTIAL",IF(G421="RES-HOA","RESIDENTIAL",IF(G421="RES-MDU","RESIDENTIAL",IF(G421="COMM-SU","BUSINESS",IF(G421="COM-MTU","BUSINESS",IF(G421="ENT","BUSINESS",""))))))</f>
        <v/>
      </c>
      <c r="G421" s="1166">
        <f>'House Count'!F421</f>
        <v/>
      </c>
      <c r="H421" s="1166">
        <f>'House Count'!H421</f>
        <v/>
      </c>
    </row>
    <row r="422">
      <c r="A422" s="1165">
        <f>'House Count'!A422</f>
        <v/>
      </c>
      <c r="B422" s="1166">
        <f>'House Count'!E422</f>
        <v/>
      </c>
      <c r="C422" s="1166">
        <f>'House Count'!B422</f>
        <v/>
      </c>
      <c r="D422" s="1166">
        <f>'House Count'!C422</f>
        <v/>
      </c>
      <c r="E422" s="1166">
        <f>'House Count'!D422</f>
        <v/>
      </c>
      <c r="F422" s="1166">
        <f>IF(G422="RES-SFU","RESIDENTIAL",IF(G422="RES-HOA","RESIDENTIAL",IF(G422="RES-MDU","RESIDENTIAL",IF(G422="COMM-SU","BUSINESS",IF(G422="COM-MTU","BUSINESS",IF(G422="ENT","BUSINESS",""))))))</f>
        <v/>
      </c>
      <c r="G422" s="1166">
        <f>'House Count'!F422</f>
        <v/>
      </c>
      <c r="H422" s="1166">
        <f>'House Count'!H422</f>
        <v/>
      </c>
    </row>
    <row r="423">
      <c r="A423" s="1165">
        <f>'House Count'!A423</f>
        <v/>
      </c>
      <c r="B423" s="1166">
        <f>'House Count'!E423</f>
        <v/>
      </c>
      <c r="C423" s="1166">
        <f>'House Count'!B423</f>
        <v/>
      </c>
      <c r="D423" s="1166">
        <f>'House Count'!C423</f>
        <v/>
      </c>
      <c r="E423" s="1166">
        <f>'House Count'!D423</f>
        <v/>
      </c>
      <c r="F423" s="1166">
        <f>IF(G423="RES-SFU","RESIDENTIAL",IF(G423="RES-HOA","RESIDENTIAL",IF(G423="RES-MDU","RESIDENTIAL",IF(G423="COMM-SU","BUSINESS",IF(G423="COM-MTU","BUSINESS",IF(G423="ENT","BUSINESS",""))))))</f>
        <v/>
      </c>
      <c r="G423" s="1166">
        <f>'House Count'!F423</f>
        <v/>
      </c>
      <c r="H423" s="1166">
        <f>'House Count'!H423</f>
        <v/>
      </c>
    </row>
    <row r="424">
      <c r="A424" s="1165">
        <f>'House Count'!A424</f>
        <v/>
      </c>
      <c r="B424" s="1166">
        <f>'House Count'!E424</f>
        <v/>
      </c>
      <c r="C424" s="1166">
        <f>'House Count'!B424</f>
        <v/>
      </c>
      <c r="D424" s="1166">
        <f>'House Count'!C424</f>
        <v/>
      </c>
      <c r="E424" s="1166">
        <f>'House Count'!D424</f>
        <v/>
      </c>
      <c r="F424" s="1166">
        <f>IF(G424="RES-SFU","RESIDENTIAL",IF(G424="RES-HOA","RESIDENTIAL",IF(G424="RES-MDU","RESIDENTIAL",IF(G424="COMM-SU","BUSINESS",IF(G424="COM-MTU","BUSINESS",IF(G424="ENT","BUSINESS",""))))))</f>
        <v/>
      </c>
      <c r="G424" s="1166">
        <f>'House Count'!F424</f>
        <v/>
      </c>
      <c r="H424" s="1166">
        <f>'House Count'!H424</f>
        <v/>
      </c>
    </row>
    <row r="425">
      <c r="A425" s="1165">
        <f>'House Count'!A425</f>
        <v/>
      </c>
      <c r="B425" s="1166">
        <f>'House Count'!E425</f>
        <v/>
      </c>
      <c r="C425" s="1166">
        <f>'House Count'!B425</f>
        <v/>
      </c>
      <c r="D425" s="1166">
        <f>'House Count'!C425</f>
        <v/>
      </c>
      <c r="E425" s="1166">
        <f>'House Count'!D425</f>
        <v/>
      </c>
      <c r="F425" s="1166">
        <f>IF(G425="RES-SFU","RESIDENTIAL",IF(G425="RES-HOA","RESIDENTIAL",IF(G425="RES-MDU","RESIDENTIAL",IF(G425="COMM-SU","BUSINESS",IF(G425="COM-MTU","BUSINESS",IF(G425="ENT","BUSINESS",""))))))</f>
        <v/>
      </c>
      <c r="G425" s="1166">
        <f>'House Count'!F425</f>
        <v/>
      </c>
      <c r="H425" s="1166">
        <f>'House Count'!H425</f>
        <v/>
      </c>
    </row>
    <row r="426">
      <c r="A426" s="1165">
        <f>'House Count'!A426</f>
        <v/>
      </c>
      <c r="B426" s="1166">
        <f>'House Count'!E426</f>
        <v/>
      </c>
      <c r="C426" s="1166">
        <f>'House Count'!B426</f>
        <v/>
      </c>
      <c r="D426" s="1166">
        <f>'House Count'!C426</f>
        <v/>
      </c>
      <c r="E426" s="1166">
        <f>'House Count'!D426</f>
        <v/>
      </c>
      <c r="F426" s="1166">
        <f>IF(G426="RES-SFU","RESIDENTIAL",IF(G426="RES-HOA","RESIDENTIAL",IF(G426="RES-MDU","RESIDENTIAL",IF(G426="COMM-SU","BUSINESS",IF(G426="COM-MTU","BUSINESS",IF(G426="ENT","BUSINESS",""))))))</f>
        <v/>
      </c>
      <c r="G426" s="1166">
        <f>'House Count'!F426</f>
        <v/>
      </c>
      <c r="H426" s="1166">
        <f>'House Count'!H426</f>
        <v/>
      </c>
    </row>
    <row r="427">
      <c r="A427" s="1165">
        <f>'House Count'!A427</f>
        <v/>
      </c>
      <c r="B427" s="1166">
        <f>'House Count'!E427</f>
        <v/>
      </c>
      <c r="C427" s="1166">
        <f>'House Count'!B427</f>
        <v/>
      </c>
      <c r="D427" s="1166">
        <f>'House Count'!C427</f>
        <v/>
      </c>
      <c r="E427" s="1166">
        <f>'House Count'!D427</f>
        <v/>
      </c>
      <c r="F427" s="1166">
        <f>IF(G427="RES-SFU","RESIDENTIAL",IF(G427="RES-HOA","RESIDENTIAL",IF(G427="RES-MDU","RESIDENTIAL",IF(G427="COMM-SU","BUSINESS",IF(G427="COM-MTU","BUSINESS",IF(G427="ENT","BUSINESS",""))))))</f>
        <v/>
      </c>
      <c r="G427" s="1166">
        <f>'House Count'!F427</f>
        <v/>
      </c>
      <c r="H427" s="1166">
        <f>'House Count'!H427</f>
        <v/>
      </c>
    </row>
    <row r="428">
      <c r="A428" s="1165">
        <f>'House Count'!A428</f>
        <v/>
      </c>
      <c r="B428" s="1166">
        <f>'House Count'!E428</f>
        <v/>
      </c>
      <c r="C428" s="1166">
        <f>'House Count'!B428</f>
        <v/>
      </c>
      <c r="D428" s="1166">
        <f>'House Count'!C428</f>
        <v/>
      </c>
      <c r="E428" s="1166">
        <f>'House Count'!D428</f>
        <v/>
      </c>
      <c r="F428" s="1166">
        <f>IF(G428="RES-SFU","RESIDENTIAL",IF(G428="RES-HOA","RESIDENTIAL",IF(G428="RES-MDU","RESIDENTIAL",IF(G428="COMM-SU","BUSINESS",IF(G428="COM-MTU","BUSINESS",IF(G428="ENT","BUSINESS",""))))))</f>
        <v/>
      </c>
      <c r="G428" s="1166">
        <f>'House Count'!F428</f>
        <v/>
      </c>
      <c r="H428" s="1166">
        <f>'House Count'!H428</f>
        <v/>
      </c>
    </row>
    <row r="429">
      <c r="A429" s="1165">
        <f>'House Count'!A429</f>
        <v/>
      </c>
      <c r="B429" s="1166">
        <f>'House Count'!E429</f>
        <v/>
      </c>
      <c r="C429" s="1166">
        <f>'House Count'!B429</f>
        <v/>
      </c>
      <c r="D429" s="1166">
        <f>'House Count'!C429</f>
        <v/>
      </c>
      <c r="E429" s="1166">
        <f>'House Count'!D429</f>
        <v/>
      </c>
      <c r="F429" s="1166">
        <f>IF(G429="RES-SFU","RESIDENTIAL",IF(G429="RES-HOA","RESIDENTIAL",IF(G429="RES-MDU","RESIDENTIAL",IF(G429="COMM-SU","BUSINESS",IF(G429="COM-MTU","BUSINESS",IF(G429="ENT","BUSINESS",""))))))</f>
        <v/>
      </c>
      <c r="G429" s="1166">
        <f>'House Count'!F429</f>
        <v/>
      </c>
      <c r="H429" s="1166">
        <f>'House Count'!H429</f>
        <v/>
      </c>
    </row>
    <row r="430">
      <c r="A430" s="1165">
        <f>'House Count'!A430</f>
        <v/>
      </c>
      <c r="B430" s="1166">
        <f>'House Count'!E430</f>
        <v/>
      </c>
      <c r="C430" s="1166">
        <f>'House Count'!B430</f>
        <v/>
      </c>
      <c r="D430" s="1166">
        <f>'House Count'!C430</f>
        <v/>
      </c>
      <c r="E430" s="1166">
        <f>'House Count'!D430</f>
        <v/>
      </c>
      <c r="F430" s="1166">
        <f>IF(G430="RES-SFU","RESIDENTIAL",IF(G430="RES-HOA","RESIDENTIAL",IF(G430="RES-MDU","RESIDENTIAL",IF(G430="COMM-SU","BUSINESS",IF(G430="COM-MTU","BUSINESS",IF(G430="ENT","BUSINESS",""))))))</f>
        <v/>
      </c>
      <c r="G430" s="1166">
        <f>'House Count'!F430</f>
        <v/>
      </c>
      <c r="H430" s="1166">
        <f>'House Count'!H430</f>
        <v/>
      </c>
    </row>
    <row r="431">
      <c r="A431" s="1165">
        <f>'House Count'!A431</f>
        <v/>
      </c>
      <c r="B431" s="1166">
        <f>'House Count'!E431</f>
        <v/>
      </c>
      <c r="C431" s="1166">
        <f>'House Count'!B431</f>
        <v/>
      </c>
      <c r="D431" s="1166">
        <f>'House Count'!C431</f>
        <v/>
      </c>
      <c r="E431" s="1166">
        <f>'House Count'!D431</f>
        <v/>
      </c>
      <c r="F431" s="1166">
        <f>IF(G431="RES-SFU","RESIDENTIAL",IF(G431="RES-HOA","RESIDENTIAL",IF(G431="RES-MDU","RESIDENTIAL",IF(G431="COMM-SU","BUSINESS",IF(G431="COM-MTU","BUSINESS",IF(G431="ENT","BUSINESS",""))))))</f>
        <v/>
      </c>
      <c r="G431" s="1166">
        <f>'House Count'!F431</f>
        <v/>
      </c>
      <c r="H431" s="1166">
        <f>'House Count'!H431</f>
        <v/>
      </c>
    </row>
    <row r="432">
      <c r="A432" s="1165">
        <f>'House Count'!A432</f>
        <v/>
      </c>
      <c r="B432" s="1166">
        <f>'House Count'!E432</f>
        <v/>
      </c>
      <c r="C432" s="1166">
        <f>'House Count'!B432</f>
        <v/>
      </c>
      <c r="D432" s="1166">
        <f>'House Count'!C432</f>
        <v/>
      </c>
      <c r="E432" s="1166">
        <f>'House Count'!D432</f>
        <v/>
      </c>
      <c r="F432" s="1166">
        <f>IF(G432="RES-SFU","RESIDENTIAL",IF(G432="RES-HOA","RESIDENTIAL",IF(G432="RES-MDU","RESIDENTIAL",IF(G432="COMM-SU","BUSINESS",IF(G432="COM-MTU","BUSINESS",IF(G432="ENT","BUSINESS",""))))))</f>
        <v/>
      </c>
      <c r="G432" s="1166">
        <f>'House Count'!F432</f>
        <v/>
      </c>
      <c r="H432" s="1166">
        <f>'House Count'!H432</f>
        <v/>
      </c>
    </row>
    <row r="433">
      <c r="A433" s="1165">
        <f>'House Count'!A433</f>
        <v/>
      </c>
      <c r="B433" s="1166">
        <f>'House Count'!E433</f>
        <v/>
      </c>
      <c r="C433" s="1166">
        <f>'House Count'!B433</f>
        <v/>
      </c>
      <c r="D433" s="1166">
        <f>'House Count'!C433</f>
        <v/>
      </c>
      <c r="E433" s="1166">
        <f>'House Count'!D433</f>
        <v/>
      </c>
      <c r="F433" s="1166">
        <f>IF(G433="RES-SFU","RESIDENTIAL",IF(G433="RES-HOA","RESIDENTIAL",IF(G433="RES-MDU","RESIDENTIAL",IF(G433="COMM-SU","BUSINESS",IF(G433="COM-MTU","BUSINESS",IF(G433="ENT","BUSINESS",""))))))</f>
        <v/>
      </c>
      <c r="G433" s="1166">
        <f>'House Count'!F433</f>
        <v/>
      </c>
      <c r="H433" s="1166">
        <f>'House Count'!H433</f>
        <v/>
      </c>
    </row>
    <row r="434">
      <c r="A434" s="1165">
        <f>'House Count'!A434</f>
        <v/>
      </c>
      <c r="B434" s="1166">
        <f>'House Count'!E434</f>
        <v/>
      </c>
      <c r="C434" s="1166">
        <f>'House Count'!B434</f>
        <v/>
      </c>
      <c r="D434" s="1166">
        <f>'House Count'!C434</f>
        <v/>
      </c>
      <c r="E434" s="1166">
        <f>'House Count'!D434</f>
        <v/>
      </c>
      <c r="F434" s="1166">
        <f>IF(G434="RES-SFU","RESIDENTIAL",IF(G434="RES-HOA","RESIDENTIAL",IF(G434="RES-MDU","RESIDENTIAL",IF(G434="COMM-SU","BUSINESS",IF(G434="COM-MTU","BUSINESS",IF(G434="ENT","BUSINESS",""))))))</f>
        <v/>
      </c>
      <c r="G434" s="1166">
        <f>'House Count'!F434</f>
        <v/>
      </c>
      <c r="H434" s="1166">
        <f>'House Count'!H434</f>
        <v/>
      </c>
    </row>
    <row r="435">
      <c r="A435" s="1165">
        <f>'House Count'!A435</f>
        <v/>
      </c>
      <c r="B435" s="1166">
        <f>'House Count'!E435</f>
        <v/>
      </c>
      <c r="C435" s="1166">
        <f>'House Count'!B435</f>
        <v/>
      </c>
      <c r="D435" s="1166">
        <f>'House Count'!C435</f>
        <v/>
      </c>
      <c r="E435" s="1166">
        <f>'House Count'!D435</f>
        <v/>
      </c>
      <c r="F435" s="1166">
        <f>IF(G435="RES-SFU","RESIDENTIAL",IF(G435="RES-HOA","RESIDENTIAL",IF(G435="RES-MDU","RESIDENTIAL",IF(G435="COMM-SU","BUSINESS",IF(G435="COM-MTU","BUSINESS",IF(G435="ENT","BUSINESS",""))))))</f>
        <v/>
      </c>
      <c r="G435" s="1166">
        <f>'House Count'!F435</f>
        <v/>
      </c>
      <c r="H435" s="1166">
        <f>'House Count'!H435</f>
        <v/>
      </c>
    </row>
    <row r="436">
      <c r="A436" s="1165">
        <f>'House Count'!A436</f>
        <v/>
      </c>
      <c r="B436" s="1166">
        <f>'House Count'!E436</f>
        <v/>
      </c>
      <c r="C436" s="1166">
        <f>'House Count'!B436</f>
        <v/>
      </c>
      <c r="D436" s="1166">
        <f>'House Count'!C436</f>
        <v/>
      </c>
      <c r="E436" s="1166">
        <f>'House Count'!D436</f>
        <v/>
      </c>
      <c r="F436" s="1166">
        <f>IF(G436="RES-SFU","RESIDENTIAL",IF(G436="RES-HOA","RESIDENTIAL",IF(G436="RES-MDU","RESIDENTIAL",IF(G436="COMM-SU","BUSINESS",IF(G436="COM-MTU","BUSINESS",IF(G436="ENT","BUSINESS",""))))))</f>
        <v/>
      </c>
      <c r="G436" s="1166">
        <f>'House Count'!F436</f>
        <v/>
      </c>
      <c r="H436" s="1166">
        <f>'House Count'!H436</f>
        <v/>
      </c>
    </row>
    <row r="437">
      <c r="A437" s="1165">
        <f>'House Count'!A437</f>
        <v/>
      </c>
      <c r="B437" s="1166">
        <f>'House Count'!E437</f>
        <v/>
      </c>
      <c r="C437" s="1166">
        <f>'House Count'!B437</f>
        <v/>
      </c>
      <c r="D437" s="1166">
        <f>'House Count'!C437</f>
        <v/>
      </c>
      <c r="E437" s="1166">
        <f>'House Count'!D437</f>
        <v/>
      </c>
      <c r="F437" s="1166">
        <f>IF(G437="RES-SFU","RESIDENTIAL",IF(G437="RES-HOA","RESIDENTIAL",IF(G437="RES-MDU","RESIDENTIAL",IF(G437="COMM-SU","BUSINESS",IF(G437="COM-MTU","BUSINESS",IF(G437="ENT","BUSINESS",""))))))</f>
        <v/>
      </c>
      <c r="G437" s="1166">
        <f>'House Count'!F437</f>
        <v/>
      </c>
      <c r="H437" s="1166">
        <f>'House Count'!H437</f>
        <v/>
      </c>
    </row>
    <row r="438">
      <c r="A438" s="1165">
        <f>'House Count'!A438</f>
        <v/>
      </c>
      <c r="B438" s="1166">
        <f>'House Count'!E438</f>
        <v/>
      </c>
      <c r="C438" s="1166">
        <f>'House Count'!B438</f>
        <v/>
      </c>
      <c r="D438" s="1166">
        <f>'House Count'!C438</f>
        <v/>
      </c>
      <c r="E438" s="1166">
        <f>'House Count'!D438</f>
        <v/>
      </c>
      <c r="F438" s="1166">
        <f>IF(G438="RES-SFU","RESIDENTIAL",IF(G438="RES-HOA","RESIDENTIAL",IF(G438="RES-MDU","RESIDENTIAL",IF(G438="COMM-SU","BUSINESS",IF(G438="COM-MTU","BUSINESS",IF(G438="ENT","BUSINESS",""))))))</f>
        <v/>
      </c>
      <c r="G438" s="1166">
        <f>'House Count'!F438</f>
        <v/>
      </c>
      <c r="H438" s="1166">
        <f>'House Count'!H438</f>
        <v/>
      </c>
    </row>
    <row r="439">
      <c r="A439" s="1165">
        <f>'House Count'!A439</f>
        <v/>
      </c>
      <c r="B439" s="1166">
        <f>'House Count'!E439</f>
        <v/>
      </c>
      <c r="C439" s="1166">
        <f>'House Count'!B439</f>
        <v/>
      </c>
      <c r="D439" s="1166">
        <f>'House Count'!C439</f>
        <v/>
      </c>
      <c r="E439" s="1166">
        <f>'House Count'!D439</f>
        <v/>
      </c>
      <c r="F439" s="1166">
        <f>IF(G439="RES-SFU","RESIDENTIAL",IF(G439="RES-HOA","RESIDENTIAL",IF(G439="RES-MDU","RESIDENTIAL",IF(G439="COMM-SU","BUSINESS",IF(G439="COM-MTU","BUSINESS",IF(G439="ENT","BUSINESS",""))))))</f>
        <v/>
      </c>
      <c r="G439" s="1166">
        <f>'House Count'!F439</f>
        <v/>
      </c>
      <c r="H439" s="1166">
        <f>'House Count'!H439</f>
        <v/>
      </c>
    </row>
    <row r="440">
      <c r="A440" s="1165">
        <f>'House Count'!A440</f>
        <v/>
      </c>
      <c r="B440" s="1166">
        <f>'House Count'!E440</f>
        <v/>
      </c>
      <c r="C440" s="1166">
        <f>'House Count'!B440</f>
        <v/>
      </c>
      <c r="D440" s="1166">
        <f>'House Count'!C440</f>
        <v/>
      </c>
      <c r="E440" s="1166">
        <f>'House Count'!D440</f>
        <v/>
      </c>
      <c r="F440" s="1166">
        <f>IF(G440="RES-SFU","RESIDENTIAL",IF(G440="RES-HOA","RESIDENTIAL",IF(G440="RES-MDU","RESIDENTIAL",IF(G440="COMM-SU","BUSINESS",IF(G440="COM-MTU","BUSINESS",IF(G440="ENT","BUSINESS",""))))))</f>
        <v/>
      </c>
      <c r="G440" s="1166">
        <f>'House Count'!F440</f>
        <v/>
      </c>
      <c r="H440" s="1166">
        <f>'House Count'!H440</f>
        <v/>
      </c>
    </row>
    <row r="441">
      <c r="A441" s="1165">
        <f>'House Count'!A441</f>
        <v/>
      </c>
      <c r="B441" s="1166">
        <f>'House Count'!E441</f>
        <v/>
      </c>
      <c r="C441" s="1166">
        <f>'House Count'!B441</f>
        <v/>
      </c>
      <c r="D441" s="1166">
        <f>'House Count'!C441</f>
        <v/>
      </c>
      <c r="E441" s="1166">
        <f>'House Count'!D441</f>
        <v/>
      </c>
      <c r="F441" s="1166">
        <f>IF(G441="RES-SFU","RESIDENTIAL",IF(G441="RES-HOA","RESIDENTIAL",IF(G441="RES-MDU","RESIDENTIAL",IF(G441="COMM-SU","BUSINESS",IF(G441="COM-MTU","BUSINESS",IF(G441="ENT","BUSINESS",""))))))</f>
        <v/>
      </c>
      <c r="G441" s="1166">
        <f>'House Count'!F441</f>
        <v/>
      </c>
      <c r="H441" s="1166">
        <f>'House Count'!H441</f>
        <v/>
      </c>
    </row>
    <row r="442">
      <c r="A442" s="1165">
        <f>'House Count'!A442</f>
        <v/>
      </c>
      <c r="B442" s="1166">
        <f>'House Count'!E442</f>
        <v/>
      </c>
      <c r="C442" s="1166">
        <f>'House Count'!B442</f>
        <v/>
      </c>
      <c r="D442" s="1166">
        <f>'House Count'!C442</f>
        <v/>
      </c>
      <c r="E442" s="1166">
        <f>'House Count'!D442</f>
        <v/>
      </c>
      <c r="F442" s="1166">
        <f>IF(G442="RES-SFU","RESIDENTIAL",IF(G442="RES-HOA","RESIDENTIAL",IF(G442="RES-MDU","RESIDENTIAL",IF(G442="COMM-SU","BUSINESS",IF(G442="COM-MTU","BUSINESS",IF(G442="ENT","BUSINESS",""))))))</f>
        <v/>
      </c>
      <c r="G442" s="1166">
        <f>'House Count'!F442</f>
        <v/>
      </c>
      <c r="H442" s="1166">
        <f>'House Count'!H442</f>
        <v/>
      </c>
    </row>
    <row r="443">
      <c r="A443" s="1165">
        <f>'House Count'!A443</f>
        <v/>
      </c>
      <c r="B443" s="1166">
        <f>'House Count'!E443</f>
        <v/>
      </c>
      <c r="C443" s="1166">
        <f>'House Count'!B443</f>
        <v/>
      </c>
      <c r="D443" s="1166">
        <f>'House Count'!C443</f>
        <v/>
      </c>
      <c r="E443" s="1166">
        <f>'House Count'!D443</f>
        <v/>
      </c>
      <c r="F443" s="1166">
        <f>IF(G443="RES-SFU","RESIDENTIAL",IF(G443="RES-HOA","RESIDENTIAL",IF(G443="RES-MDU","RESIDENTIAL",IF(G443="COMM-SU","BUSINESS",IF(G443="COM-MTU","BUSINESS",IF(G443="ENT","BUSINESS",""))))))</f>
        <v/>
      </c>
      <c r="G443" s="1166">
        <f>'House Count'!F443</f>
        <v/>
      </c>
      <c r="H443" s="1166">
        <f>'House Count'!H443</f>
        <v/>
      </c>
    </row>
    <row r="444">
      <c r="A444" s="1165">
        <f>'House Count'!A444</f>
        <v/>
      </c>
      <c r="B444" s="1166">
        <f>'House Count'!E444</f>
        <v/>
      </c>
      <c r="C444" s="1166">
        <f>'House Count'!B444</f>
        <v/>
      </c>
      <c r="D444" s="1166">
        <f>'House Count'!C444</f>
        <v/>
      </c>
      <c r="E444" s="1166">
        <f>'House Count'!D444</f>
        <v/>
      </c>
      <c r="F444" s="1166">
        <f>IF(G444="RES-SFU","RESIDENTIAL",IF(G444="RES-HOA","RESIDENTIAL",IF(G444="RES-MDU","RESIDENTIAL",IF(G444="COMM-SU","BUSINESS",IF(G444="COM-MTU","BUSINESS",IF(G444="ENT","BUSINESS",""))))))</f>
        <v/>
      </c>
      <c r="G444" s="1166">
        <f>'House Count'!F444</f>
        <v/>
      </c>
      <c r="H444" s="1166">
        <f>'House Count'!H444</f>
        <v/>
      </c>
    </row>
    <row r="445">
      <c r="A445" s="1165">
        <f>'House Count'!A445</f>
        <v/>
      </c>
      <c r="B445" s="1166">
        <f>'House Count'!E445</f>
        <v/>
      </c>
      <c r="C445" s="1166">
        <f>'House Count'!B445</f>
        <v/>
      </c>
      <c r="D445" s="1166">
        <f>'House Count'!C445</f>
        <v/>
      </c>
      <c r="E445" s="1166">
        <f>'House Count'!D445</f>
        <v/>
      </c>
      <c r="F445" s="1166">
        <f>IF(G445="RES-SFU","RESIDENTIAL",IF(G445="RES-HOA","RESIDENTIAL",IF(G445="RES-MDU","RESIDENTIAL",IF(G445="COMM-SU","BUSINESS",IF(G445="COM-MTU","BUSINESS",IF(G445="ENT","BUSINESS",""))))))</f>
        <v/>
      </c>
      <c r="G445" s="1166">
        <f>'House Count'!F445</f>
        <v/>
      </c>
      <c r="H445" s="1166">
        <f>'House Count'!H445</f>
        <v/>
      </c>
    </row>
    <row r="446">
      <c r="A446" s="1165">
        <f>'House Count'!A446</f>
        <v/>
      </c>
      <c r="B446" s="1166">
        <f>'House Count'!E446</f>
        <v/>
      </c>
      <c r="C446" s="1166">
        <f>'House Count'!B446</f>
        <v/>
      </c>
      <c r="D446" s="1166">
        <f>'House Count'!C446</f>
        <v/>
      </c>
      <c r="E446" s="1166">
        <f>'House Count'!D446</f>
        <v/>
      </c>
      <c r="F446" s="1166">
        <f>IF(G446="RES-SFU","RESIDENTIAL",IF(G446="RES-HOA","RESIDENTIAL",IF(G446="RES-MDU","RESIDENTIAL",IF(G446="COMM-SU","BUSINESS",IF(G446="COM-MTU","BUSINESS",IF(G446="ENT","BUSINESS",""))))))</f>
        <v/>
      </c>
      <c r="G446" s="1166">
        <f>'House Count'!F446</f>
        <v/>
      </c>
      <c r="H446" s="1166">
        <f>'House Count'!H446</f>
        <v/>
      </c>
    </row>
    <row r="447">
      <c r="A447" s="1165">
        <f>'House Count'!A447</f>
        <v/>
      </c>
      <c r="B447" s="1166">
        <f>'House Count'!E447</f>
        <v/>
      </c>
      <c r="C447" s="1166">
        <f>'House Count'!B447</f>
        <v/>
      </c>
      <c r="D447" s="1166">
        <f>'House Count'!C447</f>
        <v/>
      </c>
      <c r="E447" s="1166">
        <f>'House Count'!D447</f>
        <v/>
      </c>
      <c r="F447" s="1166">
        <f>IF(G447="RES-SFU","RESIDENTIAL",IF(G447="RES-HOA","RESIDENTIAL",IF(G447="RES-MDU","RESIDENTIAL",IF(G447="COMM-SU","BUSINESS",IF(G447="COM-MTU","BUSINESS",IF(G447="ENT","BUSINESS",""))))))</f>
        <v/>
      </c>
      <c r="G447" s="1166">
        <f>'House Count'!F447</f>
        <v/>
      </c>
      <c r="H447" s="1166">
        <f>'House Count'!H447</f>
        <v/>
      </c>
    </row>
    <row r="448">
      <c r="A448" s="1165">
        <f>'House Count'!A448</f>
        <v/>
      </c>
      <c r="B448" s="1166">
        <f>'House Count'!E448</f>
        <v/>
      </c>
      <c r="C448" s="1166">
        <f>'House Count'!B448</f>
        <v/>
      </c>
      <c r="D448" s="1166">
        <f>'House Count'!C448</f>
        <v/>
      </c>
      <c r="E448" s="1166">
        <f>'House Count'!D448</f>
        <v/>
      </c>
      <c r="F448" s="1166">
        <f>IF(G448="RES-SFU","RESIDENTIAL",IF(G448="RES-HOA","RESIDENTIAL",IF(G448="RES-MDU","RESIDENTIAL",IF(G448="COMM-SU","BUSINESS",IF(G448="COM-MTU","BUSINESS",IF(G448="ENT","BUSINESS",""))))))</f>
        <v/>
      </c>
      <c r="G448" s="1166">
        <f>'House Count'!F448</f>
        <v/>
      </c>
      <c r="H448" s="1166">
        <f>'House Count'!H448</f>
        <v/>
      </c>
    </row>
    <row r="449">
      <c r="A449" s="1165">
        <f>'House Count'!A449</f>
        <v/>
      </c>
      <c r="B449" s="1166">
        <f>'House Count'!E449</f>
        <v/>
      </c>
      <c r="C449" s="1166">
        <f>'House Count'!B449</f>
        <v/>
      </c>
      <c r="D449" s="1166">
        <f>'House Count'!C449</f>
        <v/>
      </c>
      <c r="E449" s="1166">
        <f>'House Count'!D449</f>
        <v/>
      </c>
      <c r="F449" s="1166">
        <f>IF(G449="RES-SFU","RESIDENTIAL",IF(G449="RES-HOA","RESIDENTIAL",IF(G449="RES-MDU","RESIDENTIAL",IF(G449="COMM-SU","BUSINESS",IF(G449="COM-MTU","BUSINESS",IF(G449="ENT","BUSINESS",""))))))</f>
        <v/>
      </c>
      <c r="G449" s="1166">
        <f>'House Count'!F449</f>
        <v/>
      </c>
      <c r="H449" s="1166">
        <f>'House Count'!H449</f>
        <v/>
      </c>
    </row>
    <row r="450">
      <c r="A450" s="1165">
        <f>'House Count'!A450</f>
        <v/>
      </c>
      <c r="B450" s="1166">
        <f>'House Count'!E450</f>
        <v/>
      </c>
      <c r="C450" s="1166">
        <f>'House Count'!B450</f>
        <v/>
      </c>
      <c r="D450" s="1166">
        <f>'House Count'!C450</f>
        <v/>
      </c>
      <c r="E450" s="1166">
        <f>'House Count'!D450</f>
        <v/>
      </c>
      <c r="F450" s="1166">
        <f>IF(G450="RES-SFU","RESIDENTIAL",IF(G450="RES-HOA","RESIDENTIAL",IF(G450="RES-MDU","RESIDENTIAL",IF(G450="COMM-SU","BUSINESS",IF(G450="COM-MTU","BUSINESS",IF(G450="ENT","BUSINESS",""))))))</f>
        <v/>
      </c>
      <c r="G450" s="1166">
        <f>'House Count'!F450</f>
        <v/>
      </c>
      <c r="H450" s="1166">
        <f>'House Count'!H450</f>
        <v/>
      </c>
    </row>
    <row r="451">
      <c r="A451" s="1165">
        <f>'House Count'!A451</f>
        <v/>
      </c>
      <c r="B451" s="1166">
        <f>'House Count'!E451</f>
        <v/>
      </c>
      <c r="C451" s="1166">
        <f>'House Count'!B451</f>
        <v/>
      </c>
      <c r="D451" s="1166">
        <f>'House Count'!C451</f>
        <v/>
      </c>
      <c r="E451" s="1166">
        <f>'House Count'!D451</f>
        <v/>
      </c>
      <c r="F451" s="1166">
        <f>IF(G451="RES-SFU","RESIDENTIAL",IF(G451="RES-HOA","RESIDENTIAL",IF(G451="RES-MDU","RESIDENTIAL",IF(G451="COMM-SU","BUSINESS",IF(G451="COM-MTU","BUSINESS",IF(G451="ENT","BUSINESS",""))))))</f>
        <v/>
      </c>
      <c r="G451" s="1166">
        <f>'House Count'!F451</f>
        <v/>
      </c>
      <c r="H451" s="1166">
        <f>'House Count'!H451</f>
        <v/>
      </c>
    </row>
    <row r="452">
      <c r="A452" s="1165">
        <f>'House Count'!A452</f>
        <v/>
      </c>
      <c r="B452" s="1166">
        <f>'House Count'!E452</f>
        <v/>
      </c>
      <c r="C452" s="1166">
        <f>'House Count'!B452</f>
        <v/>
      </c>
      <c r="D452" s="1166">
        <f>'House Count'!C452</f>
        <v/>
      </c>
      <c r="E452" s="1166">
        <f>'House Count'!D452</f>
        <v/>
      </c>
      <c r="F452" s="1166">
        <f>IF(G452="RES-SFU","RESIDENTIAL",IF(G452="RES-HOA","RESIDENTIAL",IF(G452="RES-MDU","RESIDENTIAL",IF(G452="COMM-SU","BUSINESS",IF(G452="COM-MTU","BUSINESS",IF(G452="ENT","BUSINESS",""))))))</f>
        <v/>
      </c>
      <c r="G452" s="1166">
        <f>'House Count'!F452</f>
        <v/>
      </c>
      <c r="H452" s="1166">
        <f>'House Count'!H452</f>
        <v/>
      </c>
    </row>
    <row r="453">
      <c r="A453" s="1165">
        <f>'House Count'!A453</f>
        <v/>
      </c>
      <c r="B453" s="1166">
        <f>'House Count'!E453</f>
        <v/>
      </c>
      <c r="C453" s="1166">
        <f>'House Count'!B453</f>
        <v/>
      </c>
      <c r="D453" s="1166">
        <f>'House Count'!C453</f>
        <v/>
      </c>
      <c r="E453" s="1166">
        <f>'House Count'!D453</f>
        <v/>
      </c>
      <c r="F453" s="1166">
        <f>IF(G453="RES-SFU","RESIDENTIAL",IF(G453="RES-HOA","RESIDENTIAL",IF(G453="RES-MDU","RESIDENTIAL",IF(G453="COMM-SU","BUSINESS",IF(G453="COM-MTU","BUSINESS",IF(G453="ENT","BUSINESS",""))))))</f>
        <v/>
      </c>
      <c r="G453" s="1166">
        <f>'House Count'!F453</f>
        <v/>
      </c>
      <c r="H453" s="1166">
        <f>'House Count'!H453</f>
        <v/>
      </c>
    </row>
    <row r="454">
      <c r="A454" s="1165">
        <f>'House Count'!A454</f>
        <v/>
      </c>
      <c r="B454" s="1166">
        <f>'House Count'!E454</f>
        <v/>
      </c>
      <c r="C454" s="1166">
        <f>'House Count'!B454</f>
        <v/>
      </c>
      <c r="D454" s="1166">
        <f>'House Count'!C454</f>
        <v/>
      </c>
      <c r="E454" s="1166">
        <f>'House Count'!D454</f>
        <v/>
      </c>
      <c r="F454" s="1166">
        <f>IF(G454="RES-SFU","RESIDENTIAL",IF(G454="RES-HOA","RESIDENTIAL",IF(G454="RES-MDU","RESIDENTIAL",IF(G454="COMM-SU","BUSINESS",IF(G454="COM-MTU","BUSINESS",IF(G454="ENT","BUSINESS",""))))))</f>
        <v/>
      </c>
      <c r="G454" s="1166">
        <f>'House Count'!F454</f>
        <v/>
      </c>
      <c r="H454" s="1166">
        <f>'House Count'!H454</f>
        <v/>
      </c>
    </row>
    <row r="455">
      <c r="A455" s="1165">
        <f>'House Count'!A455</f>
        <v/>
      </c>
      <c r="B455" s="1166">
        <f>'House Count'!E455</f>
        <v/>
      </c>
      <c r="C455" s="1166">
        <f>'House Count'!B455</f>
        <v/>
      </c>
      <c r="D455" s="1166">
        <f>'House Count'!C455</f>
        <v/>
      </c>
      <c r="E455" s="1166">
        <f>'House Count'!D455</f>
        <v/>
      </c>
      <c r="F455" s="1166">
        <f>IF(G455="RES-SFU","RESIDENTIAL",IF(G455="RES-HOA","RESIDENTIAL",IF(G455="RES-MDU","RESIDENTIAL",IF(G455="COMM-SU","BUSINESS",IF(G455="COM-MTU","BUSINESS",IF(G455="ENT","BUSINESS",""))))))</f>
        <v/>
      </c>
      <c r="G455" s="1166">
        <f>'House Count'!F455</f>
        <v/>
      </c>
      <c r="H455" s="1166">
        <f>'House Count'!H455</f>
        <v/>
      </c>
    </row>
    <row r="456">
      <c r="A456" s="1165">
        <f>'House Count'!A456</f>
        <v/>
      </c>
      <c r="B456" s="1166">
        <f>'House Count'!E456</f>
        <v/>
      </c>
      <c r="C456" s="1166">
        <f>'House Count'!B456</f>
        <v/>
      </c>
      <c r="D456" s="1166">
        <f>'House Count'!C456</f>
        <v/>
      </c>
      <c r="E456" s="1166">
        <f>'House Count'!D456</f>
        <v/>
      </c>
      <c r="F456" s="1166">
        <f>IF(G456="RES-SFU","RESIDENTIAL",IF(G456="RES-HOA","RESIDENTIAL",IF(G456="RES-MDU","RESIDENTIAL",IF(G456="COMM-SU","BUSINESS",IF(G456="COM-MTU","BUSINESS",IF(G456="ENT","BUSINESS",""))))))</f>
        <v/>
      </c>
      <c r="G456" s="1166">
        <f>'House Count'!F456</f>
        <v/>
      </c>
      <c r="H456" s="1166">
        <f>'House Count'!H456</f>
        <v/>
      </c>
    </row>
    <row r="457">
      <c r="A457" s="1165">
        <f>'House Count'!A457</f>
        <v/>
      </c>
      <c r="B457" s="1166">
        <f>'House Count'!E457</f>
        <v/>
      </c>
      <c r="C457" s="1166">
        <f>'House Count'!B457</f>
        <v/>
      </c>
      <c r="D457" s="1166">
        <f>'House Count'!C457</f>
        <v/>
      </c>
      <c r="E457" s="1166">
        <f>'House Count'!D457</f>
        <v/>
      </c>
      <c r="F457" s="1166">
        <f>IF(G457="RES-SFU","RESIDENTIAL",IF(G457="RES-HOA","RESIDENTIAL",IF(G457="RES-MDU","RESIDENTIAL",IF(G457="COMM-SU","BUSINESS",IF(G457="COM-MTU","BUSINESS",IF(G457="ENT","BUSINESS",""))))))</f>
        <v/>
      </c>
      <c r="G457" s="1166">
        <f>'House Count'!F457</f>
        <v/>
      </c>
      <c r="H457" s="1166">
        <f>'House Count'!H457</f>
        <v/>
      </c>
    </row>
    <row r="458">
      <c r="A458" s="1165">
        <f>'House Count'!A458</f>
        <v/>
      </c>
      <c r="B458" s="1166">
        <f>'House Count'!E458</f>
        <v/>
      </c>
      <c r="C458" s="1166">
        <f>'House Count'!B458</f>
        <v/>
      </c>
      <c r="D458" s="1166">
        <f>'House Count'!C458</f>
        <v/>
      </c>
      <c r="E458" s="1166">
        <f>'House Count'!D458</f>
        <v/>
      </c>
      <c r="F458" s="1166">
        <f>IF(G458="RES-SFU","RESIDENTIAL",IF(G458="RES-HOA","RESIDENTIAL",IF(G458="RES-MDU","RESIDENTIAL",IF(G458="COMM-SU","BUSINESS",IF(G458="COM-MTU","BUSINESS",IF(G458="ENT","BUSINESS",""))))))</f>
        <v/>
      </c>
      <c r="G458" s="1166">
        <f>'House Count'!F458</f>
        <v/>
      </c>
      <c r="H458" s="1166">
        <f>'House Count'!H458</f>
        <v/>
      </c>
    </row>
    <row r="459">
      <c r="A459" s="1165">
        <f>'House Count'!A459</f>
        <v/>
      </c>
      <c r="B459" s="1166">
        <f>'House Count'!E459</f>
        <v/>
      </c>
      <c r="C459" s="1166">
        <f>'House Count'!B459</f>
        <v/>
      </c>
      <c r="D459" s="1166">
        <f>'House Count'!C459</f>
        <v/>
      </c>
      <c r="E459" s="1166">
        <f>'House Count'!D459</f>
        <v/>
      </c>
      <c r="F459" s="1166">
        <f>IF(G459="RES-SFU","RESIDENTIAL",IF(G459="RES-HOA","RESIDENTIAL",IF(G459="RES-MDU","RESIDENTIAL",IF(G459="COMM-SU","BUSINESS",IF(G459="COM-MTU","BUSINESS",IF(G459="ENT","BUSINESS",""))))))</f>
        <v/>
      </c>
      <c r="G459" s="1166">
        <f>'House Count'!F459</f>
        <v/>
      </c>
      <c r="H459" s="1166">
        <f>'House Count'!H459</f>
        <v/>
      </c>
    </row>
    <row r="460">
      <c r="A460" s="1165">
        <f>'House Count'!A460</f>
        <v/>
      </c>
      <c r="B460" s="1166">
        <f>'House Count'!E460</f>
        <v/>
      </c>
      <c r="C460" s="1166">
        <f>'House Count'!B460</f>
        <v/>
      </c>
      <c r="D460" s="1166">
        <f>'House Count'!C460</f>
        <v/>
      </c>
      <c r="E460" s="1166">
        <f>'House Count'!D460</f>
        <v/>
      </c>
      <c r="F460" s="1166">
        <f>IF(G460="RES-SFU","RESIDENTIAL",IF(G460="RES-HOA","RESIDENTIAL",IF(G460="RES-MDU","RESIDENTIAL",IF(G460="COMM-SU","BUSINESS",IF(G460="COM-MTU","BUSINESS",IF(G460="ENT","BUSINESS",""))))))</f>
        <v/>
      </c>
      <c r="G460" s="1166">
        <f>'House Count'!F460</f>
        <v/>
      </c>
      <c r="H460" s="1166">
        <f>'House Count'!H460</f>
        <v/>
      </c>
    </row>
    <row r="461">
      <c r="A461" s="1165">
        <f>'House Count'!A461</f>
        <v/>
      </c>
      <c r="B461" s="1166">
        <f>'House Count'!E461</f>
        <v/>
      </c>
      <c r="C461" s="1166">
        <f>'House Count'!B461</f>
        <v/>
      </c>
      <c r="D461" s="1166">
        <f>'House Count'!C461</f>
        <v/>
      </c>
      <c r="E461" s="1166">
        <f>'House Count'!D461</f>
        <v/>
      </c>
      <c r="F461" s="1166">
        <f>IF(G461="RES-SFU","RESIDENTIAL",IF(G461="RES-HOA","RESIDENTIAL",IF(G461="RES-MDU","RESIDENTIAL",IF(G461="COMM-SU","BUSINESS",IF(G461="COM-MTU","BUSINESS",IF(G461="ENT","BUSINESS",""))))))</f>
        <v/>
      </c>
      <c r="G461" s="1166">
        <f>'House Count'!F461</f>
        <v/>
      </c>
      <c r="H461" s="1166">
        <f>'House Count'!H461</f>
        <v/>
      </c>
    </row>
    <row r="462">
      <c r="A462" s="1165">
        <f>'House Count'!A462</f>
        <v/>
      </c>
      <c r="B462" s="1166">
        <f>'House Count'!E462</f>
        <v/>
      </c>
      <c r="C462" s="1166">
        <f>'House Count'!B462</f>
        <v/>
      </c>
      <c r="D462" s="1166">
        <f>'House Count'!C462</f>
        <v/>
      </c>
      <c r="E462" s="1166">
        <f>'House Count'!D462</f>
        <v/>
      </c>
      <c r="F462" s="1166">
        <f>IF(G462="RES-SFU","RESIDENTIAL",IF(G462="RES-HOA","RESIDENTIAL",IF(G462="RES-MDU","RESIDENTIAL",IF(G462="COMM-SU","BUSINESS",IF(G462="COM-MTU","BUSINESS",IF(G462="ENT","BUSINESS",""))))))</f>
        <v/>
      </c>
      <c r="G462" s="1166">
        <f>'House Count'!F462</f>
        <v/>
      </c>
      <c r="H462" s="1166">
        <f>'House Count'!H462</f>
        <v/>
      </c>
    </row>
    <row r="463">
      <c r="A463" s="1165">
        <f>'House Count'!A463</f>
        <v/>
      </c>
      <c r="B463" s="1166">
        <f>'House Count'!E463</f>
        <v/>
      </c>
      <c r="C463" s="1166">
        <f>'House Count'!B463</f>
        <v/>
      </c>
      <c r="D463" s="1166">
        <f>'House Count'!C463</f>
        <v/>
      </c>
      <c r="E463" s="1166">
        <f>'House Count'!D463</f>
        <v/>
      </c>
      <c r="F463" s="1166">
        <f>IF(G463="RES-SFU","RESIDENTIAL",IF(G463="RES-HOA","RESIDENTIAL",IF(G463="RES-MDU","RESIDENTIAL",IF(G463="COMM-SU","BUSINESS",IF(G463="COM-MTU","BUSINESS",IF(G463="ENT","BUSINESS",""))))))</f>
        <v/>
      </c>
      <c r="G463" s="1166">
        <f>'House Count'!F463</f>
        <v/>
      </c>
      <c r="H463" s="1166">
        <f>'House Count'!H463</f>
        <v/>
      </c>
    </row>
    <row r="464">
      <c r="A464" s="1165">
        <f>'House Count'!A464</f>
        <v/>
      </c>
      <c r="B464" s="1166">
        <f>'House Count'!E464</f>
        <v/>
      </c>
      <c r="C464" s="1166">
        <f>'House Count'!B464</f>
        <v/>
      </c>
      <c r="D464" s="1166">
        <f>'House Count'!C464</f>
        <v/>
      </c>
      <c r="E464" s="1166">
        <f>'House Count'!D464</f>
        <v/>
      </c>
      <c r="F464" s="1166">
        <f>IF(G464="RES-SFU","RESIDENTIAL",IF(G464="RES-HOA","RESIDENTIAL",IF(G464="RES-MDU","RESIDENTIAL",IF(G464="COMM-SU","BUSINESS",IF(G464="COM-MTU","BUSINESS",IF(G464="ENT","BUSINESS",""))))))</f>
        <v/>
      </c>
      <c r="G464" s="1166">
        <f>'House Count'!F464</f>
        <v/>
      </c>
      <c r="H464" s="1166">
        <f>'House Count'!H464</f>
        <v/>
      </c>
    </row>
    <row r="465">
      <c r="A465" s="1165">
        <f>'House Count'!A465</f>
        <v/>
      </c>
      <c r="B465" s="1166">
        <f>'House Count'!E465</f>
        <v/>
      </c>
      <c r="C465" s="1166">
        <f>'House Count'!B465</f>
        <v/>
      </c>
      <c r="D465" s="1166">
        <f>'House Count'!C465</f>
        <v/>
      </c>
      <c r="E465" s="1166">
        <f>'House Count'!D465</f>
        <v/>
      </c>
      <c r="F465" s="1166">
        <f>IF(G465="RES-SFU","RESIDENTIAL",IF(G465="RES-HOA","RESIDENTIAL",IF(G465="RES-MDU","RESIDENTIAL",IF(G465="COMM-SU","BUSINESS",IF(G465="COM-MTU","BUSINESS",IF(G465="ENT","BUSINESS",""))))))</f>
        <v/>
      </c>
      <c r="G465" s="1166">
        <f>'House Count'!F465</f>
        <v/>
      </c>
      <c r="H465" s="1166">
        <f>'House Count'!H465</f>
        <v/>
      </c>
    </row>
    <row r="466">
      <c r="A466" s="1165">
        <f>'House Count'!A466</f>
        <v/>
      </c>
      <c r="B466" s="1166">
        <f>'House Count'!E466</f>
        <v/>
      </c>
      <c r="C466" s="1166">
        <f>'House Count'!B466</f>
        <v/>
      </c>
      <c r="D466" s="1166">
        <f>'House Count'!C466</f>
        <v/>
      </c>
      <c r="E466" s="1166">
        <f>'House Count'!D466</f>
        <v/>
      </c>
      <c r="F466" s="1166">
        <f>IF(G466="RES-SFU","RESIDENTIAL",IF(G466="RES-HOA","RESIDENTIAL",IF(G466="RES-MDU","RESIDENTIAL",IF(G466="COMM-SU","BUSINESS",IF(G466="COM-MTU","BUSINESS",IF(G466="ENT","BUSINESS",""))))))</f>
        <v/>
      </c>
      <c r="G466" s="1166">
        <f>'House Count'!F466</f>
        <v/>
      </c>
      <c r="H466" s="1166">
        <f>'House Count'!H466</f>
        <v/>
      </c>
    </row>
    <row r="467">
      <c r="A467" s="1165">
        <f>'House Count'!A467</f>
        <v/>
      </c>
      <c r="B467" s="1166">
        <f>'House Count'!E467</f>
        <v/>
      </c>
      <c r="C467" s="1166">
        <f>'House Count'!B467</f>
        <v/>
      </c>
      <c r="D467" s="1166">
        <f>'House Count'!C467</f>
        <v/>
      </c>
      <c r="E467" s="1166">
        <f>'House Count'!D467</f>
        <v/>
      </c>
      <c r="F467" s="1166">
        <f>IF(G467="RES-SFU","RESIDENTIAL",IF(G467="RES-HOA","RESIDENTIAL",IF(G467="RES-MDU","RESIDENTIAL",IF(G467="COMM-SU","BUSINESS",IF(G467="COM-MTU","BUSINESS",IF(G467="ENT","BUSINESS",""))))))</f>
        <v/>
      </c>
      <c r="G467" s="1166">
        <f>'House Count'!F467</f>
        <v/>
      </c>
      <c r="H467" s="1166">
        <f>'House Count'!H467</f>
        <v/>
      </c>
    </row>
    <row r="468">
      <c r="A468" s="1165">
        <f>'House Count'!A468</f>
        <v/>
      </c>
      <c r="B468" s="1166">
        <f>'House Count'!E468</f>
        <v/>
      </c>
      <c r="C468" s="1166">
        <f>'House Count'!B468</f>
        <v/>
      </c>
      <c r="D468" s="1166">
        <f>'House Count'!C468</f>
        <v/>
      </c>
      <c r="E468" s="1166">
        <f>'House Count'!D468</f>
        <v/>
      </c>
      <c r="F468" s="1166">
        <f>IF(G468="RES-SFU","RESIDENTIAL",IF(G468="RES-HOA","RESIDENTIAL",IF(G468="RES-MDU","RESIDENTIAL",IF(G468="COMM-SU","BUSINESS",IF(G468="COM-MTU","BUSINESS",IF(G468="ENT","BUSINESS",""))))))</f>
        <v/>
      </c>
      <c r="G468" s="1166">
        <f>'House Count'!F468</f>
        <v/>
      </c>
      <c r="H468" s="1166">
        <f>'House Count'!H468</f>
        <v/>
      </c>
    </row>
    <row r="469">
      <c r="A469" s="1165">
        <f>'House Count'!A469</f>
        <v/>
      </c>
      <c r="B469" s="1166">
        <f>'House Count'!E469</f>
        <v/>
      </c>
      <c r="C469" s="1166">
        <f>'House Count'!B469</f>
        <v/>
      </c>
      <c r="D469" s="1166">
        <f>'House Count'!C469</f>
        <v/>
      </c>
      <c r="E469" s="1166">
        <f>'House Count'!D469</f>
        <v/>
      </c>
      <c r="F469" s="1166">
        <f>IF(G469="RES-SFU","RESIDENTIAL",IF(G469="RES-HOA","RESIDENTIAL",IF(G469="RES-MDU","RESIDENTIAL",IF(G469="COMM-SU","BUSINESS",IF(G469="COM-MTU","BUSINESS",IF(G469="ENT","BUSINESS",""))))))</f>
        <v/>
      </c>
      <c r="G469" s="1166">
        <f>'House Count'!F469</f>
        <v/>
      </c>
      <c r="H469" s="1166">
        <f>'House Count'!H469</f>
        <v/>
      </c>
    </row>
    <row r="470">
      <c r="A470" s="1165">
        <f>'House Count'!A470</f>
        <v/>
      </c>
      <c r="B470" s="1166">
        <f>'House Count'!E470</f>
        <v/>
      </c>
      <c r="C470" s="1166">
        <f>'House Count'!B470</f>
        <v/>
      </c>
      <c r="D470" s="1166">
        <f>'House Count'!C470</f>
        <v/>
      </c>
      <c r="E470" s="1166">
        <f>'House Count'!D470</f>
        <v/>
      </c>
      <c r="F470" s="1166">
        <f>IF(G470="RES-SFU","RESIDENTIAL",IF(G470="RES-HOA","RESIDENTIAL",IF(G470="RES-MDU","RESIDENTIAL",IF(G470="COMM-SU","BUSINESS",IF(G470="COM-MTU","BUSINESS",IF(G470="ENT","BUSINESS",""))))))</f>
        <v/>
      </c>
      <c r="G470" s="1166">
        <f>'House Count'!F470</f>
        <v/>
      </c>
      <c r="H470" s="1166">
        <f>'House Count'!H470</f>
        <v/>
      </c>
    </row>
    <row r="471">
      <c r="A471" s="1165">
        <f>'House Count'!A471</f>
        <v/>
      </c>
      <c r="B471" s="1166">
        <f>'House Count'!E471</f>
        <v/>
      </c>
      <c r="C471" s="1166">
        <f>'House Count'!B471</f>
        <v/>
      </c>
      <c r="D471" s="1166">
        <f>'House Count'!C471</f>
        <v/>
      </c>
      <c r="E471" s="1166">
        <f>'House Count'!D471</f>
        <v/>
      </c>
      <c r="F471" s="1166">
        <f>IF(G471="RES-SFU","RESIDENTIAL",IF(G471="RES-HOA","RESIDENTIAL",IF(G471="RES-MDU","RESIDENTIAL",IF(G471="COMM-SU","BUSINESS",IF(G471="COM-MTU","BUSINESS",IF(G471="ENT","BUSINESS",""))))))</f>
        <v/>
      </c>
      <c r="G471" s="1166">
        <f>'House Count'!F471</f>
        <v/>
      </c>
      <c r="H471" s="1166">
        <f>'House Count'!H471</f>
        <v/>
      </c>
    </row>
    <row r="472">
      <c r="A472" s="1165">
        <f>'House Count'!A472</f>
        <v/>
      </c>
      <c r="B472" s="1166">
        <f>'House Count'!E472</f>
        <v/>
      </c>
      <c r="C472" s="1166">
        <f>'House Count'!B472</f>
        <v/>
      </c>
      <c r="D472" s="1166">
        <f>'House Count'!C472</f>
        <v/>
      </c>
      <c r="E472" s="1166">
        <f>'House Count'!D472</f>
        <v/>
      </c>
      <c r="F472" s="1166">
        <f>IF(G472="RES-SFU","RESIDENTIAL",IF(G472="RES-HOA","RESIDENTIAL",IF(G472="RES-MDU","RESIDENTIAL",IF(G472="COMM-SU","BUSINESS",IF(G472="COM-MTU","BUSINESS",IF(G472="ENT","BUSINESS",""))))))</f>
        <v/>
      </c>
      <c r="G472" s="1166">
        <f>'House Count'!F472</f>
        <v/>
      </c>
      <c r="H472" s="1166">
        <f>'House Count'!H472</f>
        <v/>
      </c>
    </row>
    <row r="473">
      <c r="A473" s="1165">
        <f>'House Count'!A473</f>
        <v/>
      </c>
      <c r="B473" s="1166">
        <f>'House Count'!E473</f>
        <v/>
      </c>
      <c r="C473" s="1166">
        <f>'House Count'!B473</f>
        <v/>
      </c>
      <c r="D473" s="1166">
        <f>'House Count'!C473</f>
        <v/>
      </c>
      <c r="E473" s="1166">
        <f>'House Count'!D473</f>
        <v/>
      </c>
      <c r="F473" s="1166">
        <f>IF(G473="RES-SFU","RESIDENTIAL",IF(G473="RES-HOA","RESIDENTIAL",IF(G473="RES-MDU","RESIDENTIAL",IF(G473="COMM-SU","BUSINESS",IF(G473="COM-MTU","BUSINESS",IF(G473="ENT","BUSINESS",""))))))</f>
        <v/>
      </c>
      <c r="G473" s="1166">
        <f>'House Count'!F473</f>
        <v/>
      </c>
      <c r="H473" s="1166">
        <f>'House Count'!H473</f>
        <v/>
      </c>
    </row>
    <row r="474">
      <c r="A474" s="1165">
        <f>'House Count'!A474</f>
        <v/>
      </c>
      <c r="B474" s="1166">
        <f>'House Count'!E474</f>
        <v/>
      </c>
      <c r="C474" s="1166">
        <f>'House Count'!B474</f>
        <v/>
      </c>
      <c r="D474" s="1166">
        <f>'House Count'!C474</f>
        <v/>
      </c>
      <c r="E474" s="1166">
        <f>'House Count'!D474</f>
        <v/>
      </c>
      <c r="F474" s="1166">
        <f>IF(G474="RES-SFU","RESIDENTIAL",IF(G474="RES-HOA","RESIDENTIAL",IF(G474="RES-MDU","RESIDENTIAL",IF(G474="COMM-SU","BUSINESS",IF(G474="COM-MTU","BUSINESS",IF(G474="ENT","BUSINESS",""))))))</f>
        <v/>
      </c>
      <c r="G474" s="1166">
        <f>'House Count'!F474</f>
        <v/>
      </c>
      <c r="H474" s="1166">
        <f>'House Count'!H474</f>
        <v/>
      </c>
    </row>
    <row r="475">
      <c r="A475" s="1165">
        <f>'House Count'!A475</f>
        <v/>
      </c>
      <c r="B475" s="1166">
        <f>'House Count'!E475</f>
        <v/>
      </c>
      <c r="C475" s="1166">
        <f>'House Count'!B475</f>
        <v/>
      </c>
      <c r="D475" s="1166">
        <f>'House Count'!C475</f>
        <v/>
      </c>
      <c r="E475" s="1166">
        <f>'House Count'!D475</f>
        <v/>
      </c>
      <c r="F475" s="1166">
        <f>IF(G475="RES-SFU","RESIDENTIAL",IF(G475="RES-HOA","RESIDENTIAL",IF(G475="RES-MDU","RESIDENTIAL",IF(G475="COMM-SU","BUSINESS",IF(G475="COM-MTU","BUSINESS",IF(G475="ENT","BUSINESS",""))))))</f>
        <v/>
      </c>
      <c r="G475" s="1166">
        <f>'House Count'!F475</f>
        <v/>
      </c>
      <c r="H475" s="1166">
        <f>'House Count'!H475</f>
        <v/>
      </c>
    </row>
    <row r="476">
      <c r="A476" s="1165">
        <f>'House Count'!A476</f>
        <v/>
      </c>
      <c r="B476" s="1166">
        <f>'House Count'!E476</f>
        <v/>
      </c>
      <c r="C476" s="1166">
        <f>'House Count'!B476</f>
        <v/>
      </c>
      <c r="D476" s="1166">
        <f>'House Count'!C476</f>
        <v/>
      </c>
      <c r="E476" s="1166">
        <f>'House Count'!D476</f>
        <v/>
      </c>
      <c r="F476" s="1166">
        <f>IF(G476="RES-SFU","RESIDENTIAL",IF(G476="RES-HOA","RESIDENTIAL",IF(G476="RES-MDU","RESIDENTIAL",IF(G476="COMM-SU","BUSINESS",IF(G476="COM-MTU","BUSINESS",IF(G476="ENT","BUSINESS",""))))))</f>
        <v/>
      </c>
      <c r="G476" s="1166">
        <f>'House Count'!F476</f>
        <v/>
      </c>
      <c r="H476" s="1166">
        <f>'House Count'!H476</f>
        <v/>
      </c>
    </row>
    <row r="477">
      <c r="A477" s="1165">
        <f>'House Count'!A477</f>
        <v/>
      </c>
      <c r="B477" s="1166">
        <f>'House Count'!E477</f>
        <v/>
      </c>
      <c r="C477" s="1166">
        <f>'House Count'!B477</f>
        <v/>
      </c>
      <c r="D477" s="1166">
        <f>'House Count'!C477</f>
        <v/>
      </c>
      <c r="E477" s="1166">
        <f>'House Count'!D477</f>
        <v/>
      </c>
      <c r="F477" s="1166">
        <f>IF(G477="RES-SFU","RESIDENTIAL",IF(G477="RES-HOA","RESIDENTIAL",IF(G477="RES-MDU","RESIDENTIAL",IF(G477="COMM-SU","BUSINESS",IF(G477="COM-MTU","BUSINESS",IF(G477="ENT","BUSINESS",""))))))</f>
        <v/>
      </c>
      <c r="G477" s="1166">
        <f>'House Count'!F477</f>
        <v/>
      </c>
      <c r="H477" s="1166">
        <f>'House Count'!H477</f>
        <v/>
      </c>
    </row>
    <row r="478">
      <c r="A478" s="1165">
        <f>'House Count'!A478</f>
        <v/>
      </c>
      <c r="B478" s="1166">
        <f>'House Count'!E478</f>
        <v/>
      </c>
      <c r="C478" s="1166">
        <f>'House Count'!B478</f>
        <v/>
      </c>
      <c r="D478" s="1166">
        <f>'House Count'!C478</f>
        <v/>
      </c>
      <c r="E478" s="1166">
        <f>'House Count'!D478</f>
        <v/>
      </c>
      <c r="F478" s="1166">
        <f>IF(G478="RES-SFU","RESIDENTIAL",IF(G478="RES-HOA","RESIDENTIAL",IF(G478="RES-MDU","RESIDENTIAL",IF(G478="COMM-SU","BUSINESS",IF(G478="COM-MTU","BUSINESS",IF(G478="ENT","BUSINESS",""))))))</f>
        <v/>
      </c>
      <c r="G478" s="1166">
        <f>'House Count'!F478</f>
        <v/>
      </c>
      <c r="H478" s="1166">
        <f>'House Count'!H478</f>
        <v/>
      </c>
    </row>
    <row r="479">
      <c r="A479" s="1165">
        <f>'House Count'!A479</f>
        <v/>
      </c>
      <c r="B479" s="1166">
        <f>'House Count'!E479</f>
        <v/>
      </c>
      <c r="C479" s="1166">
        <f>'House Count'!B479</f>
        <v/>
      </c>
      <c r="D479" s="1166">
        <f>'House Count'!C479</f>
        <v/>
      </c>
      <c r="E479" s="1166">
        <f>'House Count'!D479</f>
        <v/>
      </c>
      <c r="F479" s="1166">
        <f>IF(G479="RES-SFU","RESIDENTIAL",IF(G479="RES-HOA","RESIDENTIAL",IF(G479="RES-MDU","RESIDENTIAL",IF(G479="COMM-SU","BUSINESS",IF(G479="COM-MTU","BUSINESS",IF(G479="ENT","BUSINESS",""))))))</f>
        <v/>
      </c>
      <c r="G479" s="1166">
        <f>'House Count'!F479</f>
        <v/>
      </c>
      <c r="H479" s="1166">
        <f>'House Count'!H479</f>
        <v/>
      </c>
    </row>
    <row r="480">
      <c r="A480" s="1165">
        <f>'House Count'!A480</f>
        <v/>
      </c>
      <c r="B480" s="1166">
        <f>'House Count'!E480</f>
        <v/>
      </c>
      <c r="C480" s="1166">
        <f>'House Count'!B480</f>
        <v/>
      </c>
      <c r="D480" s="1166">
        <f>'House Count'!C480</f>
        <v/>
      </c>
      <c r="E480" s="1166">
        <f>'House Count'!D480</f>
        <v/>
      </c>
      <c r="F480" s="1166">
        <f>IF(G480="RES-SFU","RESIDENTIAL",IF(G480="RES-HOA","RESIDENTIAL",IF(G480="RES-MDU","RESIDENTIAL",IF(G480="COMM-SU","BUSINESS",IF(G480="COM-MTU","BUSINESS",IF(G480="ENT","BUSINESS",""))))))</f>
        <v/>
      </c>
      <c r="G480" s="1166">
        <f>'House Count'!F480</f>
        <v/>
      </c>
      <c r="H480" s="1166">
        <f>'House Count'!H480</f>
        <v/>
      </c>
    </row>
    <row r="481">
      <c r="A481" s="1165">
        <f>'House Count'!A481</f>
        <v/>
      </c>
      <c r="B481" s="1166">
        <f>'House Count'!E481</f>
        <v/>
      </c>
      <c r="C481" s="1166">
        <f>'House Count'!B481</f>
        <v/>
      </c>
      <c r="D481" s="1166">
        <f>'House Count'!C481</f>
        <v/>
      </c>
      <c r="E481" s="1166">
        <f>'House Count'!D481</f>
        <v/>
      </c>
      <c r="F481" s="1166">
        <f>IF(G481="RES-SFU","RESIDENTIAL",IF(G481="RES-HOA","RESIDENTIAL",IF(G481="RES-MDU","RESIDENTIAL",IF(G481="COMM-SU","BUSINESS",IF(G481="COM-MTU","BUSINESS",IF(G481="ENT","BUSINESS",""))))))</f>
        <v/>
      </c>
      <c r="G481" s="1166">
        <f>'House Count'!F481</f>
        <v/>
      </c>
      <c r="H481" s="1166">
        <f>'House Count'!H481</f>
        <v/>
      </c>
    </row>
    <row r="482">
      <c r="A482" s="1165">
        <f>'House Count'!A482</f>
        <v/>
      </c>
      <c r="B482" s="1166">
        <f>'House Count'!E482</f>
        <v/>
      </c>
      <c r="C482" s="1166">
        <f>'House Count'!B482</f>
        <v/>
      </c>
      <c r="D482" s="1166">
        <f>'House Count'!C482</f>
        <v/>
      </c>
      <c r="E482" s="1166">
        <f>'House Count'!D482</f>
        <v/>
      </c>
      <c r="F482" s="1166">
        <f>IF(G482="RES-SFU","RESIDENTIAL",IF(G482="RES-HOA","RESIDENTIAL",IF(G482="RES-MDU","RESIDENTIAL",IF(G482="COMM-SU","BUSINESS",IF(G482="COM-MTU","BUSINESS",IF(G482="ENT","BUSINESS",""))))))</f>
        <v/>
      </c>
      <c r="G482" s="1166">
        <f>'House Count'!F482</f>
        <v/>
      </c>
      <c r="H482" s="1166">
        <f>'House Count'!H482</f>
        <v/>
      </c>
    </row>
    <row r="483">
      <c r="A483" s="1165">
        <f>'House Count'!A483</f>
        <v/>
      </c>
      <c r="B483" s="1166">
        <f>'House Count'!E483</f>
        <v/>
      </c>
      <c r="C483" s="1166">
        <f>'House Count'!B483</f>
        <v/>
      </c>
      <c r="D483" s="1166">
        <f>'House Count'!C483</f>
        <v/>
      </c>
      <c r="E483" s="1166">
        <f>'House Count'!D483</f>
        <v/>
      </c>
      <c r="F483" s="1166">
        <f>IF(G483="RES-SFU","RESIDENTIAL",IF(G483="RES-HOA","RESIDENTIAL",IF(G483="RES-MDU","RESIDENTIAL",IF(G483="COMM-SU","BUSINESS",IF(G483="COM-MTU","BUSINESS",IF(G483="ENT","BUSINESS",""))))))</f>
        <v/>
      </c>
      <c r="G483" s="1166">
        <f>'House Count'!F483</f>
        <v/>
      </c>
      <c r="H483" s="1166">
        <f>'House Count'!H483</f>
        <v/>
      </c>
    </row>
    <row r="484">
      <c r="A484" s="1165">
        <f>'House Count'!A484</f>
        <v/>
      </c>
      <c r="B484" s="1166">
        <f>'House Count'!E484</f>
        <v/>
      </c>
      <c r="C484" s="1166">
        <f>'House Count'!B484</f>
        <v/>
      </c>
      <c r="D484" s="1166">
        <f>'House Count'!C484</f>
        <v/>
      </c>
      <c r="E484" s="1166">
        <f>'House Count'!D484</f>
        <v/>
      </c>
      <c r="F484" s="1166">
        <f>IF(G484="RES-SFU","RESIDENTIAL",IF(G484="RES-HOA","RESIDENTIAL",IF(G484="RES-MDU","RESIDENTIAL",IF(G484="COMM-SU","BUSINESS",IF(G484="COM-MTU","BUSINESS",IF(G484="ENT","BUSINESS",""))))))</f>
        <v/>
      </c>
      <c r="G484" s="1166">
        <f>'House Count'!F484</f>
        <v/>
      </c>
      <c r="H484" s="1166">
        <f>'House Count'!H484</f>
        <v/>
      </c>
    </row>
    <row r="485">
      <c r="A485" s="1165">
        <f>'House Count'!A485</f>
        <v/>
      </c>
      <c r="B485" s="1166">
        <f>'House Count'!E485</f>
        <v/>
      </c>
      <c r="C485" s="1166">
        <f>'House Count'!B485</f>
        <v/>
      </c>
      <c r="D485" s="1166">
        <f>'House Count'!C485</f>
        <v/>
      </c>
      <c r="E485" s="1166">
        <f>'House Count'!D485</f>
        <v/>
      </c>
      <c r="F485" s="1166">
        <f>IF(G485="RES-SFU","RESIDENTIAL",IF(G485="RES-HOA","RESIDENTIAL",IF(G485="RES-MDU","RESIDENTIAL",IF(G485="COMM-SU","BUSINESS",IF(G485="COM-MTU","BUSINESS",IF(G485="ENT","BUSINESS",""))))))</f>
        <v/>
      </c>
      <c r="G485" s="1166">
        <f>'House Count'!F485</f>
        <v/>
      </c>
      <c r="H485" s="1166">
        <f>'House Count'!H485</f>
        <v/>
      </c>
    </row>
    <row r="486">
      <c r="A486" s="1165">
        <f>'House Count'!A486</f>
        <v/>
      </c>
      <c r="B486" s="1166">
        <f>'House Count'!E486</f>
        <v/>
      </c>
      <c r="C486" s="1166">
        <f>'House Count'!B486</f>
        <v/>
      </c>
      <c r="D486" s="1166">
        <f>'House Count'!C486</f>
        <v/>
      </c>
      <c r="E486" s="1166">
        <f>'House Count'!D486</f>
        <v/>
      </c>
      <c r="F486" s="1166">
        <f>IF(G486="RES-SFU","RESIDENTIAL",IF(G486="RES-HOA","RESIDENTIAL",IF(G486="RES-MDU","RESIDENTIAL",IF(G486="COMM-SU","BUSINESS",IF(G486="COM-MTU","BUSINESS",IF(G486="ENT","BUSINESS",""))))))</f>
        <v/>
      </c>
      <c r="G486" s="1166">
        <f>'House Count'!F486</f>
        <v/>
      </c>
      <c r="H486" s="1166">
        <f>'House Count'!H486</f>
        <v/>
      </c>
    </row>
    <row r="487">
      <c r="A487" s="1165">
        <f>'House Count'!A487</f>
        <v/>
      </c>
      <c r="B487" s="1166">
        <f>'House Count'!E487</f>
        <v/>
      </c>
      <c r="C487" s="1166">
        <f>'House Count'!B487</f>
        <v/>
      </c>
      <c r="D487" s="1166">
        <f>'House Count'!C487</f>
        <v/>
      </c>
      <c r="E487" s="1166">
        <f>'House Count'!D487</f>
        <v/>
      </c>
      <c r="F487" s="1166">
        <f>IF(G487="RES-SFU","RESIDENTIAL",IF(G487="RES-HOA","RESIDENTIAL",IF(G487="RES-MDU","RESIDENTIAL",IF(G487="COMM-SU","BUSINESS",IF(G487="COM-MTU","BUSINESS",IF(G487="ENT","BUSINESS",""))))))</f>
        <v/>
      </c>
      <c r="G487" s="1166">
        <f>'House Count'!F487</f>
        <v/>
      </c>
      <c r="H487" s="1166">
        <f>'House Count'!H487</f>
        <v/>
      </c>
    </row>
    <row r="488">
      <c r="A488" s="1165">
        <f>'House Count'!A488</f>
        <v/>
      </c>
      <c r="B488" s="1166">
        <f>'House Count'!E488</f>
        <v/>
      </c>
      <c r="C488" s="1166">
        <f>'House Count'!B488</f>
        <v/>
      </c>
      <c r="D488" s="1166">
        <f>'House Count'!C488</f>
        <v/>
      </c>
      <c r="E488" s="1166">
        <f>'House Count'!D488</f>
        <v/>
      </c>
      <c r="F488" s="1166">
        <f>IF(G488="RES-SFU","RESIDENTIAL",IF(G488="RES-HOA","RESIDENTIAL",IF(G488="RES-MDU","RESIDENTIAL",IF(G488="COMM-SU","BUSINESS",IF(G488="COM-MTU","BUSINESS",IF(G488="ENT","BUSINESS",""))))))</f>
        <v/>
      </c>
      <c r="G488" s="1166">
        <f>'House Count'!F488</f>
        <v/>
      </c>
      <c r="H488" s="1166">
        <f>'House Count'!H488</f>
        <v/>
      </c>
    </row>
    <row r="489">
      <c r="A489" s="1165">
        <f>'House Count'!A489</f>
        <v/>
      </c>
      <c r="B489" s="1166">
        <f>'House Count'!E489</f>
        <v/>
      </c>
      <c r="C489" s="1166">
        <f>'House Count'!B489</f>
        <v/>
      </c>
      <c r="D489" s="1166">
        <f>'House Count'!C489</f>
        <v/>
      </c>
      <c r="E489" s="1166">
        <f>'House Count'!D489</f>
        <v/>
      </c>
      <c r="F489" s="1166">
        <f>IF(G489="RES-SFU","RESIDENTIAL",IF(G489="RES-HOA","RESIDENTIAL",IF(G489="RES-MDU","RESIDENTIAL",IF(G489="COMM-SU","BUSINESS",IF(G489="COM-MTU","BUSINESS",IF(G489="ENT","BUSINESS",""))))))</f>
        <v/>
      </c>
      <c r="G489" s="1166">
        <f>'House Count'!F489</f>
        <v/>
      </c>
      <c r="H489" s="1166">
        <f>'House Count'!H489</f>
        <v/>
      </c>
    </row>
    <row r="490">
      <c r="A490" s="1165">
        <f>'House Count'!A490</f>
        <v/>
      </c>
      <c r="B490" s="1166">
        <f>'House Count'!E490</f>
        <v/>
      </c>
      <c r="C490" s="1166">
        <f>'House Count'!B490</f>
        <v/>
      </c>
      <c r="D490" s="1166">
        <f>'House Count'!C490</f>
        <v/>
      </c>
      <c r="E490" s="1166">
        <f>'House Count'!D490</f>
        <v/>
      </c>
      <c r="F490" s="1166">
        <f>IF(G490="RES-SFU","RESIDENTIAL",IF(G490="RES-HOA","RESIDENTIAL",IF(G490="RES-MDU","RESIDENTIAL",IF(G490="COMM-SU","BUSINESS",IF(G490="COM-MTU","BUSINESS",IF(G490="ENT","BUSINESS",""))))))</f>
        <v/>
      </c>
      <c r="G490" s="1166">
        <f>'House Count'!F490</f>
        <v/>
      </c>
      <c r="H490" s="1166">
        <f>'House Count'!H490</f>
        <v/>
      </c>
    </row>
    <row r="491">
      <c r="A491" s="1165">
        <f>'House Count'!A491</f>
        <v/>
      </c>
      <c r="B491" s="1166">
        <f>'House Count'!E491</f>
        <v/>
      </c>
      <c r="C491" s="1166">
        <f>'House Count'!B491</f>
        <v/>
      </c>
      <c r="D491" s="1166">
        <f>'House Count'!C491</f>
        <v/>
      </c>
      <c r="E491" s="1166">
        <f>'House Count'!D491</f>
        <v/>
      </c>
      <c r="F491" s="1166">
        <f>IF(G491="RES-SFU","RESIDENTIAL",IF(G491="RES-HOA","RESIDENTIAL",IF(G491="RES-MDU","RESIDENTIAL",IF(G491="COMM-SU","BUSINESS",IF(G491="COM-MTU","BUSINESS",IF(G491="ENT","BUSINESS",""))))))</f>
        <v/>
      </c>
      <c r="G491" s="1166">
        <f>'House Count'!F491</f>
        <v/>
      </c>
      <c r="H491" s="1166">
        <f>'House Count'!H491</f>
        <v/>
      </c>
    </row>
    <row r="492">
      <c r="A492" s="1165">
        <f>'House Count'!A492</f>
        <v/>
      </c>
      <c r="B492" s="1166">
        <f>'House Count'!E492</f>
        <v/>
      </c>
      <c r="C492" s="1166">
        <f>'House Count'!B492</f>
        <v/>
      </c>
      <c r="D492" s="1166">
        <f>'House Count'!C492</f>
        <v/>
      </c>
      <c r="E492" s="1166">
        <f>'House Count'!D492</f>
        <v/>
      </c>
      <c r="F492" s="1166">
        <f>IF(G492="RES-SFU","RESIDENTIAL",IF(G492="RES-HOA","RESIDENTIAL",IF(G492="RES-MDU","RESIDENTIAL",IF(G492="COMM-SU","BUSINESS",IF(G492="COM-MTU","BUSINESS",IF(G492="ENT","BUSINESS",""))))))</f>
        <v/>
      </c>
      <c r="G492" s="1166">
        <f>'House Count'!F492</f>
        <v/>
      </c>
      <c r="H492" s="1166">
        <f>'House Count'!H492</f>
        <v/>
      </c>
    </row>
    <row r="493">
      <c r="A493" s="1165">
        <f>'House Count'!A493</f>
        <v/>
      </c>
      <c r="B493" s="1166">
        <f>'House Count'!E493</f>
        <v/>
      </c>
      <c r="C493" s="1166">
        <f>'House Count'!B493</f>
        <v/>
      </c>
      <c r="D493" s="1166">
        <f>'House Count'!C493</f>
        <v/>
      </c>
      <c r="E493" s="1166">
        <f>'House Count'!D493</f>
        <v/>
      </c>
      <c r="F493" s="1166">
        <f>IF(G493="RES-SFU","RESIDENTIAL",IF(G493="RES-HOA","RESIDENTIAL",IF(G493="RES-MDU","RESIDENTIAL",IF(G493="COMM-SU","BUSINESS",IF(G493="COM-MTU","BUSINESS",IF(G493="ENT","BUSINESS",""))))))</f>
        <v/>
      </c>
      <c r="G493" s="1166">
        <f>'House Count'!F493</f>
        <v/>
      </c>
      <c r="H493" s="1166">
        <f>'House Count'!H493</f>
        <v/>
      </c>
    </row>
    <row r="494">
      <c r="A494" s="1165">
        <f>'House Count'!A494</f>
        <v/>
      </c>
      <c r="B494" s="1166">
        <f>'House Count'!E494</f>
        <v/>
      </c>
      <c r="C494" s="1166">
        <f>'House Count'!B494</f>
        <v/>
      </c>
      <c r="D494" s="1166">
        <f>'House Count'!C494</f>
        <v/>
      </c>
      <c r="E494" s="1166">
        <f>'House Count'!D494</f>
        <v/>
      </c>
      <c r="F494" s="1166">
        <f>IF(G494="RES-SFU","RESIDENTIAL",IF(G494="RES-HOA","RESIDENTIAL",IF(G494="RES-MDU","RESIDENTIAL",IF(G494="COMM-SU","BUSINESS",IF(G494="COM-MTU","BUSINESS",IF(G494="ENT","BUSINESS",""))))))</f>
        <v/>
      </c>
      <c r="G494" s="1166">
        <f>'House Count'!F494</f>
        <v/>
      </c>
      <c r="H494" s="1166">
        <f>'House Count'!H494</f>
        <v/>
      </c>
    </row>
    <row r="495">
      <c r="A495" s="1165">
        <f>'House Count'!A495</f>
        <v/>
      </c>
      <c r="B495" s="1166">
        <f>'House Count'!E495</f>
        <v/>
      </c>
      <c r="C495" s="1166">
        <f>'House Count'!B495</f>
        <v/>
      </c>
      <c r="D495" s="1166">
        <f>'House Count'!C495</f>
        <v/>
      </c>
      <c r="E495" s="1166">
        <f>'House Count'!D495</f>
        <v/>
      </c>
      <c r="F495" s="1166">
        <f>IF(G495="RES-SFU","RESIDENTIAL",IF(G495="RES-HOA","RESIDENTIAL",IF(G495="RES-MDU","RESIDENTIAL",IF(G495="COMM-SU","BUSINESS",IF(G495="COM-MTU","BUSINESS",IF(G495="ENT","BUSINESS",""))))))</f>
        <v/>
      </c>
      <c r="G495" s="1166">
        <f>'House Count'!F495</f>
        <v/>
      </c>
      <c r="H495" s="1166">
        <f>'House Count'!H495</f>
        <v/>
      </c>
    </row>
    <row r="496">
      <c r="A496" s="1165">
        <f>'House Count'!A496</f>
        <v/>
      </c>
      <c r="B496" s="1166">
        <f>'House Count'!E496</f>
        <v/>
      </c>
      <c r="C496" s="1166">
        <f>'House Count'!B496</f>
        <v/>
      </c>
      <c r="D496" s="1166">
        <f>'House Count'!C496</f>
        <v/>
      </c>
      <c r="E496" s="1166">
        <f>'House Count'!D496</f>
        <v/>
      </c>
      <c r="F496" s="1166">
        <f>IF(G496="RES-SFU","RESIDENTIAL",IF(G496="RES-HOA","RESIDENTIAL",IF(G496="RES-MDU","RESIDENTIAL",IF(G496="COMM-SU","BUSINESS",IF(G496="COM-MTU","BUSINESS",IF(G496="ENT","BUSINESS",""))))))</f>
        <v/>
      </c>
      <c r="G496" s="1166">
        <f>'House Count'!F496</f>
        <v/>
      </c>
      <c r="H496" s="1166">
        <f>'House Count'!H496</f>
        <v/>
      </c>
    </row>
    <row r="497">
      <c r="A497" s="1165">
        <f>'House Count'!A497</f>
        <v/>
      </c>
      <c r="B497" s="1166">
        <f>'House Count'!E497</f>
        <v/>
      </c>
      <c r="C497" s="1166">
        <f>'House Count'!B497</f>
        <v/>
      </c>
      <c r="D497" s="1166">
        <f>'House Count'!C497</f>
        <v/>
      </c>
      <c r="E497" s="1166">
        <f>'House Count'!D497</f>
        <v/>
      </c>
      <c r="F497" s="1166">
        <f>IF(G497="RES-SFU","RESIDENTIAL",IF(G497="RES-HOA","RESIDENTIAL",IF(G497="RES-MDU","RESIDENTIAL",IF(G497="COMM-SU","BUSINESS",IF(G497="COM-MTU","BUSINESS",IF(G497="ENT","BUSINESS",""))))))</f>
        <v/>
      </c>
      <c r="G497" s="1166">
        <f>'House Count'!F497</f>
        <v/>
      </c>
      <c r="H497" s="1166">
        <f>'House Count'!H497</f>
        <v/>
      </c>
    </row>
    <row r="498">
      <c r="A498" s="1165">
        <f>'House Count'!A498</f>
        <v/>
      </c>
      <c r="B498" s="1166">
        <f>'House Count'!E498</f>
        <v/>
      </c>
      <c r="C498" s="1166">
        <f>'House Count'!B498</f>
        <v/>
      </c>
      <c r="D498" s="1166">
        <f>'House Count'!C498</f>
        <v/>
      </c>
      <c r="E498" s="1166">
        <f>'House Count'!D498</f>
        <v/>
      </c>
      <c r="F498" s="1166">
        <f>IF(G498="RES-SFU","RESIDENTIAL",IF(G498="RES-HOA","RESIDENTIAL",IF(G498="RES-MDU","RESIDENTIAL",IF(G498="COMM-SU","BUSINESS",IF(G498="COM-MTU","BUSINESS",IF(G498="ENT","BUSINESS",""))))))</f>
        <v/>
      </c>
      <c r="G498" s="1166">
        <f>'House Count'!F498</f>
        <v/>
      </c>
      <c r="H498" s="1166">
        <f>'House Count'!H498</f>
        <v/>
      </c>
    </row>
    <row r="499">
      <c r="A499" s="1165">
        <f>'House Count'!A499</f>
        <v/>
      </c>
      <c r="B499" s="1166">
        <f>'House Count'!E499</f>
        <v/>
      </c>
      <c r="C499" s="1166">
        <f>'House Count'!B499</f>
        <v/>
      </c>
      <c r="D499" s="1166">
        <f>'House Count'!C499</f>
        <v/>
      </c>
      <c r="E499" s="1166">
        <f>'House Count'!D499</f>
        <v/>
      </c>
      <c r="F499" s="1166">
        <f>IF(G499="RES-SFU","RESIDENTIAL",IF(G499="RES-HOA","RESIDENTIAL",IF(G499="RES-MDU","RESIDENTIAL",IF(G499="COMM-SU","BUSINESS",IF(G499="COM-MTU","BUSINESS",IF(G499="ENT","BUSINESS",""))))))</f>
        <v/>
      </c>
      <c r="G499" s="1166">
        <f>'House Count'!F499</f>
        <v/>
      </c>
      <c r="H499" s="1166">
        <f>'House Count'!H499</f>
        <v/>
      </c>
    </row>
    <row r="500">
      <c r="A500" s="1165">
        <f>'House Count'!A500</f>
        <v/>
      </c>
      <c r="B500" s="1166">
        <f>'House Count'!E500</f>
        <v/>
      </c>
      <c r="C500" s="1166">
        <f>'House Count'!B500</f>
        <v/>
      </c>
      <c r="D500" s="1166">
        <f>'House Count'!C500</f>
        <v/>
      </c>
      <c r="E500" s="1166">
        <f>'House Count'!D500</f>
        <v/>
      </c>
      <c r="F500" s="1166">
        <f>IF(G500="RES-SFU","RESIDENTIAL",IF(G500="RES-HOA","RESIDENTIAL",IF(G500="RES-MDU","RESIDENTIAL",IF(G500="COMM-SU","BUSINESS",IF(G500="COM-MTU","BUSINESS",IF(G500="ENT","BUSINESS",""))))))</f>
        <v/>
      </c>
      <c r="G500" s="1166">
        <f>'House Count'!F500</f>
        <v/>
      </c>
      <c r="H500" s="1166">
        <f>'House Count'!H500</f>
        <v/>
      </c>
    </row>
    <row r="501">
      <c r="A501" s="1165">
        <f>'House Count'!A501</f>
        <v/>
      </c>
      <c r="B501" s="1166">
        <f>'House Count'!E501</f>
        <v/>
      </c>
      <c r="C501" s="1166">
        <f>'House Count'!B501</f>
        <v/>
      </c>
      <c r="D501" s="1166">
        <f>'House Count'!C501</f>
        <v/>
      </c>
      <c r="E501" s="1166">
        <f>'House Count'!D501</f>
        <v/>
      </c>
      <c r="F501" s="1166">
        <f>IF(G501="RES-SFU","RESIDENTIAL",IF(G501="RES-HOA","RESIDENTIAL",IF(G501="RES-MDU","RESIDENTIAL",IF(G501="COMM-SU","BUSINESS",IF(G501="COM-MTU","BUSINESS",IF(G501="ENT","BUSINESS",""))))))</f>
        <v/>
      </c>
      <c r="G501" s="1166">
        <f>'House Count'!F501</f>
        <v/>
      </c>
      <c r="H501" s="1166">
        <f>'House Count'!H501</f>
        <v/>
      </c>
    </row>
    <row r="502">
      <c r="A502" s="1165">
        <f>'House Count'!A502</f>
        <v/>
      </c>
      <c r="B502" s="1166">
        <f>'House Count'!E502</f>
        <v/>
      </c>
      <c r="C502" s="1166">
        <f>'House Count'!B502</f>
        <v/>
      </c>
      <c r="D502" s="1166">
        <f>'House Count'!C502</f>
        <v/>
      </c>
      <c r="E502" s="1166">
        <f>'House Count'!D502</f>
        <v/>
      </c>
      <c r="F502" s="1166">
        <f>IF(G502="RES-SFU","RESIDENTIAL",IF(G502="RES-HOA","RESIDENTIAL",IF(G502="RES-MDU","RESIDENTIAL",IF(G502="COMM-SU","BUSINESS",IF(G502="COM-MTU","BUSINESS",IF(G502="ENT","BUSINESS",""))))))</f>
        <v/>
      </c>
      <c r="G502" s="1166">
        <f>'House Count'!F502</f>
        <v/>
      </c>
      <c r="H502" s="1166">
        <f>'House Count'!H502</f>
        <v/>
      </c>
    </row>
    <row r="503">
      <c r="A503" s="1165">
        <f>'House Count'!A503</f>
        <v/>
      </c>
      <c r="B503" s="1166">
        <f>'House Count'!E503</f>
        <v/>
      </c>
      <c r="C503" s="1166">
        <f>'House Count'!B503</f>
        <v/>
      </c>
      <c r="D503" s="1166">
        <f>'House Count'!C503</f>
        <v/>
      </c>
      <c r="E503" s="1166">
        <f>'House Count'!D503</f>
        <v/>
      </c>
      <c r="F503" s="1166">
        <f>IF(G503="RES-SFU","RESIDENTIAL",IF(G503="RES-HOA","RESIDENTIAL",IF(G503="RES-MDU","RESIDENTIAL",IF(G503="COMM-SU","BUSINESS",IF(G503="COM-MTU","BUSINESS",IF(G503="ENT","BUSINESS",""))))))</f>
        <v/>
      </c>
      <c r="G503" s="1166">
        <f>'House Count'!F503</f>
        <v/>
      </c>
      <c r="H503" s="1166">
        <f>'House Count'!H503</f>
        <v/>
      </c>
    </row>
    <row r="504">
      <c r="A504" s="1165">
        <f>'House Count'!A504</f>
        <v/>
      </c>
      <c r="B504" s="1166">
        <f>'House Count'!E504</f>
        <v/>
      </c>
      <c r="C504" s="1166">
        <f>'House Count'!B504</f>
        <v/>
      </c>
      <c r="D504" s="1166">
        <f>'House Count'!C504</f>
        <v/>
      </c>
      <c r="E504" s="1166">
        <f>'House Count'!D504</f>
        <v/>
      </c>
      <c r="F504" s="1166">
        <f>IF(G504="RES-SFU","RESIDENTIAL",IF(G504="RES-HOA","RESIDENTIAL",IF(G504="RES-MDU","RESIDENTIAL",IF(G504="COMM-SU","BUSINESS",IF(G504="COM-MTU","BUSINESS",IF(G504="ENT","BUSINESS",""))))))</f>
        <v/>
      </c>
      <c r="G504" s="1166">
        <f>'House Count'!F504</f>
        <v/>
      </c>
      <c r="H504" s="1166">
        <f>'House Count'!H504</f>
        <v/>
      </c>
    </row>
    <row r="505">
      <c r="A505" s="1165">
        <f>'House Count'!A505</f>
        <v/>
      </c>
      <c r="B505" s="1166">
        <f>'House Count'!E505</f>
        <v/>
      </c>
      <c r="C505" s="1166">
        <f>'House Count'!B505</f>
        <v/>
      </c>
      <c r="D505" s="1166">
        <f>'House Count'!C505</f>
        <v/>
      </c>
      <c r="E505" s="1166">
        <f>'House Count'!D505</f>
        <v/>
      </c>
      <c r="F505" s="1166">
        <f>IF(G505="RES-SFU","RESIDENTIAL",IF(G505="RES-HOA","RESIDENTIAL",IF(G505="RES-MDU","RESIDENTIAL",IF(G505="COMM-SU","BUSINESS",IF(G505="COM-MTU","BUSINESS",IF(G505="ENT","BUSINESS",""))))))</f>
        <v/>
      </c>
      <c r="G505" s="1166">
        <f>'House Count'!F505</f>
        <v/>
      </c>
      <c r="H505" s="1166">
        <f>'House Count'!H505</f>
        <v/>
      </c>
    </row>
    <row r="506">
      <c r="A506" s="1165">
        <f>'House Count'!A506</f>
        <v/>
      </c>
      <c r="B506" s="1166">
        <f>'House Count'!E506</f>
        <v/>
      </c>
      <c r="C506" s="1166">
        <f>'House Count'!B506</f>
        <v/>
      </c>
      <c r="D506" s="1166">
        <f>'House Count'!C506</f>
        <v/>
      </c>
      <c r="E506" s="1166">
        <f>'House Count'!D506</f>
        <v/>
      </c>
      <c r="F506" s="1166">
        <f>IF(G506="RES-SFU","RESIDENTIAL",IF(G506="RES-HOA","RESIDENTIAL",IF(G506="RES-MDU","RESIDENTIAL",IF(G506="COMM-SU","BUSINESS",IF(G506="COM-MTU","BUSINESS",IF(G506="ENT","BUSINESS",""))))))</f>
        <v/>
      </c>
      <c r="G506" s="1166">
        <f>'House Count'!F506</f>
        <v/>
      </c>
      <c r="H506" s="1166">
        <f>'House Count'!H506</f>
        <v/>
      </c>
    </row>
    <row r="507">
      <c r="A507" s="1165">
        <f>'House Count'!A507</f>
        <v/>
      </c>
      <c r="B507" s="1166">
        <f>'House Count'!E507</f>
        <v/>
      </c>
      <c r="C507" s="1166">
        <f>'House Count'!B507</f>
        <v/>
      </c>
      <c r="D507" s="1166">
        <f>'House Count'!C507</f>
        <v/>
      </c>
      <c r="E507" s="1166">
        <f>'House Count'!D507</f>
        <v/>
      </c>
      <c r="F507" s="1166">
        <f>IF(G507="RES-SFU","RESIDENTIAL",IF(G507="RES-HOA","RESIDENTIAL",IF(G507="RES-MDU","RESIDENTIAL",IF(G507="COMM-SU","BUSINESS",IF(G507="COM-MTU","BUSINESS",IF(G507="ENT","BUSINESS",""))))))</f>
        <v/>
      </c>
      <c r="G507" s="1166">
        <f>'House Count'!F507</f>
        <v/>
      </c>
      <c r="H507" s="1166">
        <f>'House Count'!H507</f>
        <v/>
      </c>
    </row>
    <row r="508">
      <c r="A508" s="1165">
        <f>'House Count'!A508</f>
        <v/>
      </c>
      <c r="B508" s="1166">
        <f>'House Count'!E508</f>
        <v/>
      </c>
      <c r="C508" s="1166">
        <f>'House Count'!B508</f>
        <v/>
      </c>
      <c r="D508" s="1166">
        <f>'House Count'!C508</f>
        <v/>
      </c>
      <c r="E508" s="1166">
        <f>'House Count'!D508</f>
        <v/>
      </c>
      <c r="F508" s="1166">
        <f>IF(G508="RES-SFU","RESIDENTIAL",IF(G508="RES-HOA","RESIDENTIAL",IF(G508="RES-MDU","RESIDENTIAL",IF(G508="COMM-SU","BUSINESS",IF(G508="COM-MTU","BUSINESS",IF(G508="ENT","BUSINESS",""))))))</f>
        <v/>
      </c>
      <c r="G508" s="1166">
        <f>'House Count'!F508</f>
        <v/>
      </c>
      <c r="H508" s="1166">
        <f>'House Count'!H508</f>
        <v/>
      </c>
    </row>
    <row r="509">
      <c r="A509" s="1165">
        <f>'House Count'!A509</f>
        <v/>
      </c>
      <c r="B509" s="1166">
        <f>'House Count'!E509</f>
        <v/>
      </c>
      <c r="C509" s="1166">
        <f>'House Count'!B509</f>
        <v/>
      </c>
      <c r="D509" s="1166">
        <f>'House Count'!C509</f>
        <v/>
      </c>
      <c r="E509" s="1166">
        <f>'House Count'!D509</f>
        <v/>
      </c>
      <c r="F509" s="1166">
        <f>IF(G509="RES-SFU","RESIDENTIAL",IF(G509="RES-HOA","RESIDENTIAL",IF(G509="RES-MDU","RESIDENTIAL",IF(G509="COMM-SU","BUSINESS",IF(G509="COM-MTU","BUSINESS",IF(G509="ENT","BUSINESS",""))))))</f>
        <v/>
      </c>
      <c r="G509" s="1166">
        <f>'House Count'!F509</f>
        <v/>
      </c>
      <c r="H509" s="1166">
        <f>'House Count'!H509</f>
        <v/>
      </c>
    </row>
    <row r="510">
      <c r="A510" s="1165">
        <f>'House Count'!A510</f>
        <v/>
      </c>
      <c r="B510" s="1166">
        <f>'House Count'!E510</f>
        <v/>
      </c>
      <c r="C510" s="1166">
        <f>'House Count'!B510</f>
        <v/>
      </c>
      <c r="D510" s="1166">
        <f>'House Count'!C510</f>
        <v/>
      </c>
      <c r="E510" s="1166">
        <f>'House Count'!D510</f>
        <v/>
      </c>
      <c r="F510" s="1166">
        <f>IF(G510="RES-SFU","RESIDENTIAL",IF(G510="RES-HOA","RESIDENTIAL",IF(G510="RES-MDU","RESIDENTIAL",IF(G510="COMM-SU","BUSINESS",IF(G510="COM-MTU","BUSINESS",IF(G510="ENT","BUSINESS",""))))))</f>
        <v/>
      </c>
      <c r="G510" s="1166">
        <f>'House Count'!F510</f>
        <v/>
      </c>
      <c r="H510" s="1166">
        <f>'House Count'!H510</f>
        <v/>
      </c>
    </row>
    <row r="511">
      <c r="A511" s="1165">
        <f>'House Count'!A511</f>
        <v/>
      </c>
      <c r="B511" s="1166">
        <f>'House Count'!E511</f>
        <v/>
      </c>
      <c r="C511" s="1166">
        <f>'House Count'!B511</f>
        <v/>
      </c>
      <c r="D511" s="1166">
        <f>'House Count'!C511</f>
        <v/>
      </c>
      <c r="E511" s="1166">
        <f>'House Count'!D511</f>
        <v/>
      </c>
      <c r="F511" s="1166">
        <f>IF(G511="RES-SFU","RESIDENTIAL",IF(G511="RES-HOA","RESIDENTIAL",IF(G511="RES-MDU","RESIDENTIAL",IF(G511="COMM-SU","BUSINESS",IF(G511="COM-MTU","BUSINESS",IF(G511="ENT","BUSINESS",""))))))</f>
        <v/>
      </c>
      <c r="G511" s="1166">
        <f>'House Count'!F511</f>
        <v/>
      </c>
      <c r="H511" s="1166">
        <f>'House Count'!H511</f>
        <v/>
      </c>
    </row>
    <row r="512">
      <c r="A512" s="1165">
        <f>'House Count'!A512</f>
        <v/>
      </c>
      <c r="B512" s="1166">
        <f>'House Count'!E512</f>
        <v/>
      </c>
      <c r="C512" s="1166">
        <f>'House Count'!B512</f>
        <v/>
      </c>
      <c r="D512" s="1166">
        <f>'House Count'!C512</f>
        <v/>
      </c>
      <c r="E512" s="1166">
        <f>'House Count'!D512</f>
        <v/>
      </c>
      <c r="F512" s="1166">
        <f>IF(G512="RES-SFU","RESIDENTIAL",IF(G512="RES-HOA","RESIDENTIAL",IF(G512="RES-MDU","RESIDENTIAL",IF(G512="COMM-SU","BUSINESS",IF(G512="COM-MTU","BUSINESS",IF(G512="ENT","BUSINESS",""))))))</f>
        <v/>
      </c>
      <c r="G512" s="1166">
        <f>'House Count'!F512</f>
        <v/>
      </c>
      <c r="H512" s="1166">
        <f>'House Count'!H512</f>
        <v/>
      </c>
    </row>
    <row r="513">
      <c r="A513" s="1165">
        <f>'House Count'!A513</f>
        <v/>
      </c>
      <c r="B513" s="1166">
        <f>'House Count'!E513</f>
        <v/>
      </c>
      <c r="C513" s="1166">
        <f>'House Count'!B513</f>
        <v/>
      </c>
      <c r="D513" s="1166">
        <f>'House Count'!C513</f>
        <v/>
      </c>
      <c r="E513" s="1166">
        <f>'House Count'!D513</f>
        <v/>
      </c>
      <c r="F513" s="1166">
        <f>IF(G513="RES-SFU","RESIDENTIAL",IF(G513="RES-HOA","RESIDENTIAL",IF(G513="RES-MDU","RESIDENTIAL",IF(G513="COMM-SU","BUSINESS",IF(G513="COM-MTU","BUSINESS",IF(G513="ENT","BUSINESS",""))))))</f>
        <v/>
      </c>
      <c r="G513" s="1166">
        <f>'House Count'!F513</f>
        <v/>
      </c>
      <c r="H513" s="1166">
        <f>'House Count'!H513</f>
        <v/>
      </c>
    </row>
    <row r="514">
      <c r="A514" s="1165">
        <f>'House Count'!A514</f>
        <v/>
      </c>
      <c r="B514" s="1166">
        <f>'House Count'!E514</f>
        <v/>
      </c>
      <c r="C514" s="1166">
        <f>'House Count'!B514</f>
        <v/>
      </c>
      <c r="D514" s="1166">
        <f>'House Count'!C514</f>
        <v/>
      </c>
      <c r="E514" s="1166">
        <f>'House Count'!D514</f>
        <v/>
      </c>
      <c r="F514" s="1166">
        <f>IF(G514="RES-SFU","RESIDENTIAL",IF(G514="RES-HOA","RESIDENTIAL",IF(G514="RES-MDU","RESIDENTIAL",IF(G514="COMM-SU","BUSINESS",IF(G514="COM-MTU","BUSINESS",IF(G514="ENT","BUSINESS",""))))))</f>
        <v/>
      </c>
      <c r="G514" s="1166">
        <f>'House Count'!F514</f>
        <v/>
      </c>
      <c r="H514" s="1166">
        <f>'House Count'!H514</f>
        <v/>
      </c>
    </row>
    <row r="515">
      <c r="A515" s="1165">
        <f>'House Count'!A515</f>
        <v/>
      </c>
      <c r="B515" s="1166">
        <f>'House Count'!E515</f>
        <v/>
      </c>
      <c r="C515" s="1166">
        <f>'House Count'!B515</f>
        <v/>
      </c>
      <c r="D515" s="1166">
        <f>'House Count'!C515</f>
        <v/>
      </c>
      <c r="E515" s="1166">
        <f>'House Count'!D515</f>
        <v/>
      </c>
      <c r="F515" s="1166">
        <f>IF(G515="RES-SFU","RESIDENTIAL",IF(G515="RES-HOA","RESIDENTIAL",IF(G515="RES-MDU","RESIDENTIAL",IF(G515="COMM-SU","BUSINESS",IF(G515="COM-MTU","BUSINESS",IF(G515="ENT","BUSINESS",""))))))</f>
        <v/>
      </c>
      <c r="G515" s="1166">
        <f>'House Count'!F515</f>
        <v/>
      </c>
      <c r="H515" s="1166">
        <f>'House Count'!H515</f>
        <v/>
      </c>
    </row>
    <row r="516">
      <c r="A516" s="1165">
        <f>'House Count'!A516</f>
        <v/>
      </c>
      <c r="B516" s="1166">
        <f>'House Count'!E516</f>
        <v/>
      </c>
      <c r="C516" s="1166">
        <f>'House Count'!B516</f>
        <v/>
      </c>
      <c r="D516" s="1166">
        <f>'House Count'!C516</f>
        <v/>
      </c>
      <c r="E516" s="1166">
        <f>'House Count'!D516</f>
        <v/>
      </c>
      <c r="F516" s="1166">
        <f>IF(G516="RES-SFU","RESIDENTIAL",IF(G516="RES-HOA","RESIDENTIAL",IF(G516="RES-MDU","RESIDENTIAL",IF(G516="COMM-SU","BUSINESS",IF(G516="COM-MTU","BUSINESS",IF(G516="ENT","BUSINESS",""))))))</f>
        <v/>
      </c>
      <c r="G516" s="1166">
        <f>'House Count'!F516</f>
        <v/>
      </c>
      <c r="H516" s="1166">
        <f>'House Count'!H516</f>
        <v/>
      </c>
    </row>
    <row r="517">
      <c r="A517" s="1165">
        <f>'House Count'!A517</f>
        <v/>
      </c>
      <c r="B517" s="1166">
        <f>'House Count'!E517</f>
        <v/>
      </c>
      <c r="C517" s="1166">
        <f>'House Count'!B517</f>
        <v/>
      </c>
      <c r="D517" s="1166">
        <f>'House Count'!C517</f>
        <v/>
      </c>
      <c r="E517" s="1166">
        <f>'House Count'!D517</f>
        <v/>
      </c>
      <c r="F517" s="1166">
        <f>IF(G517="RES-SFU","RESIDENTIAL",IF(G517="RES-HOA","RESIDENTIAL",IF(G517="RES-MDU","RESIDENTIAL",IF(G517="COMM-SU","BUSINESS",IF(G517="COM-MTU","BUSINESS",IF(G517="ENT","BUSINESS",""))))))</f>
        <v/>
      </c>
      <c r="G517" s="1166">
        <f>'House Count'!F517</f>
        <v/>
      </c>
      <c r="H517" s="1166">
        <f>'House Count'!H517</f>
        <v/>
      </c>
    </row>
    <row r="518">
      <c r="A518" s="1165">
        <f>'House Count'!A518</f>
        <v/>
      </c>
      <c r="B518" s="1166">
        <f>'House Count'!E518</f>
        <v/>
      </c>
      <c r="C518" s="1166">
        <f>'House Count'!B518</f>
        <v/>
      </c>
      <c r="D518" s="1166">
        <f>'House Count'!C518</f>
        <v/>
      </c>
      <c r="E518" s="1166">
        <f>'House Count'!D518</f>
        <v/>
      </c>
      <c r="F518" s="1166">
        <f>IF(G518="RES-SFU","RESIDENTIAL",IF(G518="RES-HOA","RESIDENTIAL",IF(G518="RES-MDU","RESIDENTIAL",IF(G518="COMM-SU","BUSINESS",IF(G518="COM-MTU","BUSINESS",IF(G518="ENT","BUSINESS",""))))))</f>
        <v/>
      </c>
      <c r="G518" s="1166">
        <f>'House Count'!F518</f>
        <v/>
      </c>
      <c r="H518" s="1166">
        <f>'House Count'!H518</f>
        <v/>
      </c>
    </row>
    <row r="519">
      <c r="A519" s="1165">
        <f>'House Count'!A519</f>
        <v/>
      </c>
      <c r="B519" s="1166">
        <f>'House Count'!E519</f>
        <v/>
      </c>
      <c r="C519" s="1166">
        <f>'House Count'!B519</f>
        <v/>
      </c>
      <c r="D519" s="1166">
        <f>'House Count'!C519</f>
        <v/>
      </c>
      <c r="E519" s="1166">
        <f>'House Count'!D519</f>
        <v/>
      </c>
      <c r="F519" s="1166">
        <f>IF(G519="RES-SFU","RESIDENTIAL",IF(G519="RES-HOA","RESIDENTIAL",IF(G519="RES-MDU","RESIDENTIAL",IF(G519="COMM-SU","BUSINESS",IF(G519="COM-MTU","BUSINESS",IF(G519="ENT","BUSINESS",""))))))</f>
        <v/>
      </c>
      <c r="G519" s="1166">
        <f>'House Count'!F519</f>
        <v/>
      </c>
      <c r="H519" s="1166">
        <f>'House Count'!H519</f>
        <v/>
      </c>
    </row>
    <row r="520">
      <c r="A520" s="1165">
        <f>'House Count'!A520</f>
        <v/>
      </c>
      <c r="B520" s="1166">
        <f>'House Count'!E520</f>
        <v/>
      </c>
      <c r="C520" s="1166">
        <f>'House Count'!B520</f>
        <v/>
      </c>
      <c r="D520" s="1166">
        <f>'House Count'!C520</f>
        <v/>
      </c>
      <c r="E520" s="1166">
        <f>'House Count'!D520</f>
        <v/>
      </c>
      <c r="F520" s="1166">
        <f>IF(G520="RES-SFU","RESIDENTIAL",IF(G520="RES-HOA","RESIDENTIAL",IF(G520="RES-MDU","RESIDENTIAL",IF(G520="COMM-SU","BUSINESS",IF(G520="COM-MTU","BUSINESS",IF(G520="ENT","BUSINESS",""))))))</f>
        <v/>
      </c>
      <c r="G520" s="1166">
        <f>'House Count'!F520</f>
        <v/>
      </c>
      <c r="H520" s="1166">
        <f>'House Count'!H520</f>
        <v/>
      </c>
    </row>
    <row r="521">
      <c r="A521" s="1165">
        <f>'House Count'!A521</f>
        <v/>
      </c>
      <c r="B521" s="1166">
        <f>'House Count'!E521</f>
        <v/>
      </c>
      <c r="C521" s="1166">
        <f>'House Count'!B521</f>
        <v/>
      </c>
      <c r="D521" s="1166">
        <f>'House Count'!C521</f>
        <v/>
      </c>
      <c r="E521" s="1166">
        <f>'House Count'!D521</f>
        <v/>
      </c>
      <c r="F521" s="1166">
        <f>IF(G521="RES-SFU","RESIDENTIAL",IF(G521="RES-HOA","RESIDENTIAL",IF(G521="RES-MDU","RESIDENTIAL",IF(G521="COMM-SU","BUSINESS",IF(G521="COM-MTU","BUSINESS",IF(G521="ENT","BUSINESS",""))))))</f>
        <v/>
      </c>
      <c r="G521" s="1166">
        <f>'House Count'!F521</f>
        <v/>
      </c>
      <c r="H521" s="1166">
        <f>'House Count'!H521</f>
        <v/>
      </c>
    </row>
    <row r="522">
      <c r="A522" s="1165">
        <f>'House Count'!A522</f>
        <v/>
      </c>
      <c r="B522" s="1166">
        <f>'House Count'!E522</f>
        <v/>
      </c>
      <c r="C522" s="1166">
        <f>'House Count'!B522</f>
        <v/>
      </c>
      <c r="D522" s="1166">
        <f>'House Count'!C522</f>
        <v/>
      </c>
      <c r="E522" s="1166">
        <f>'House Count'!D522</f>
        <v/>
      </c>
      <c r="F522" s="1166">
        <f>IF(G522="RES-SFU","RESIDENTIAL",IF(G522="RES-HOA","RESIDENTIAL",IF(G522="RES-MDU","RESIDENTIAL",IF(G522="COMM-SU","BUSINESS",IF(G522="COM-MTU","BUSINESS",IF(G522="ENT","BUSINESS",""))))))</f>
        <v/>
      </c>
      <c r="G522" s="1166">
        <f>'House Count'!F522</f>
        <v/>
      </c>
      <c r="H522" s="1166">
        <f>'House Count'!H522</f>
        <v/>
      </c>
    </row>
    <row r="523">
      <c r="A523" s="1165">
        <f>'House Count'!A523</f>
        <v/>
      </c>
      <c r="B523" s="1166">
        <f>'House Count'!E523</f>
        <v/>
      </c>
      <c r="C523" s="1166">
        <f>'House Count'!B523</f>
        <v/>
      </c>
      <c r="D523" s="1166">
        <f>'House Count'!C523</f>
        <v/>
      </c>
      <c r="E523" s="1166">
        <f>'House Count'!D523</f>
        <v/>
      </c>
      <c r="F523" s="1166">
        <f>IF(G523="RES-SFU","RESIDENTIAL",IF(G523="RES-HOA","RESIDENTIAL",IF(G523="RES-MDU","RESIDENTIAL",IF(G523="COMM-SU","BUSINESS",IF(G523="COM-MTU","BUSINESS",IF(G523="ENT","BUSINESS",""))))))</f>
        <v/>
      </c>
      <c r="G523" s="1166">
        <f>'House Count'!F523</f>
        <v/>
      </c>
      <c r="H523" s="1166">
        <f>'House Count'!H523</f>
        <v/>
      </c>
    </row>
    <row r="524">
      <c r="A524" s="1165">
        <f>'House Count'!A524</f>
        <v/>
      </c>
      <c r="B524" s="1166">
        <f>'House Count'!E524</f>
        <v/>
      </c>
      <c r="C524" s="1166">
        <f>'House Count'!B524</f>
        <v/>
      </c>
      <c r="D524" s="1166">
        <f>'House Count'!C524</f>
        <v/>
      </c>
      <c r="E524" s="1166">
        <f>'House Count'!D524</f>
        <v/>
      </c>
      <c r="F524" s="1166">
        <f>IF(G524="RES-SFU","RESIDENTIAL",IF(G524="RES-HOA","RESIDENTIAL",IF(G524="RES-MDU","RESIDENTIAL",IF(G524="COMM-SU","BUSINESS",IF(G524="COM-MTU","BUSINESS",IF(G524="ENT","BUSINESS",""))))))</f>
        <v/>
      </c>
      <c r="G524" s="1166">
        <f>'House Count'!F524</f>
        <v/>
      </c>
      <c r="H524" s="1166">
        <f>'House Count'!H524</f>
        <v/>
      </c>
    </row>
    <row r="525">
      <c r="A525" s="1165">
        <f>'House Count'!A525</f>
        <v/>
      </c>
      <c r="B525" s="1166">
        <f>'House Count'!E525</f>
        <v/>
      </c>
      <c r="C525" s="1166">
        <f>'House Count'!B525</f>
        <v/>
      </c>
      <c r="D525" s="1166">
        <f>'House Count'!C525</f>
        <v/>
      </c>
      <c r="E525" s="1166">
        <f>'House Count'!D525</f>
        <v/>
      </c>
      <c r="F525" s="1166">
        <f>IF(G525="RES-SFU","RESIDENTIAL",IF(G525="RES-HOA","RESIDENTIAL",IF(G525="RES-MDU","RESIDENTIAL",IF(G525="COMM-SU","BUSINESS",IF(G525="COM-MTU","BUSINESS",IF(G525="ENT","BUSINESS",""))))))</f>
        <v/>
      </c>
      <c r="G525" s="1166">
        <f>'House Count'!F525</f>
        <v/>
      </c>
      <c r="H525" s="1166">
        <f>'House Count'!H525</f>
        <v/>
      </c>
    </row>
    <row r="526">
      <c r="A526" s="1165">
        <f>'House Count'!A526</f>
        <v/>
      </c>
      <c r="B526" s="1166">
        <f>'House Count'!E526</f>
        <v/>
      </c>
      <c r="C526" s="1166">
        <f>'House Count'!B526</f>
        <v/>
      </c>
      <c r="D526" s="1166">
        <f>'House Count'!C526</f>
        <v/>
      </c>
      <c r="E526" s="1166">
        <f>'House Count'!D526</f>
        <v/>
      </c>
      <c r="F526" s="1166">
        <f>IF(G526="RES-SFU","RESIDENTIAL",IF(G526="RES-HOA","RESIDENTIAL",IF(G526="RES-MDU","RESIDENTIAL",IF(G526="COMM-SU","BUSINESS",IF(G526="COM-MTU","BUSINESS",IF(G526="ENT","BUSINESS",""))))))</f>
        <v/>
      </c>
      <c r="G526" s="1166">
        <f>'House Count'!F526</f>
        <v/>
      </c>
      <c r="H526" s="1166">
        <f>'House Count'!H526</f>
        <v/>
      </c>
    </row>
    <row r="527">
      <c r="A527" s="1165">
        <f>'House Count'!A527</f>
        <v/>
      </c>
      <c r="B527" s="1166">
        <f>'House Count'!E527</f>
        <v/>
      </c>
      <c r="C527" s="1166">
        <f>'House Count'!B527</f>
        <v/>
      </c>
      <c r="D527" s="1166">
        <f>'House Count'!C527</f>
        <v/>
      </c>
      <c r="E527" s="1166">
        <f>'House Count'!D527</f>
        <v/>
      </c>
      <c r="F527" s="1166">
        <f>IF(G527="RES-SFU","RESIDENTIAL",IF(G527="RES-HOA","RESIDENTIAL",IF(G527="RES-MDU","RESIDENTIAL",IF(G527="COMM-SU","BUSINESS",IF(G527="COM-MTU","BUSINESS",IF(G527="ENT","BUSINESS",""))))))</f>
        <v/>
      </c>
      <c r="G527" s="1166">
        <f>'House Count'!F527</f>
        <v/>
      </c>
      <c r="H527" s="1166">
        <f>'House Count'!H527</f>
        <v/>
      </c>
    </row>
    <row r="528">
      <c r="A528" s="1165">
        <f>'House Count'!A528</f>
        <v/>
      </c>
      <c r="B528" s="1166">
        <f>'House Count'!E528</f>
        <v/>
      </c>
      <c r="C528" s="1166">
        <f>'House Count'!B528</f>
        <v/>
      </c>
      <c r="D528" s="1166">
        <f>'House Count'!C528</f>
        <v/>
      </c>
      <c r="E528" s="1166">
        <f>'House Count'!D528</f>
        <v/>
      </c>
      <c r="F528" s="1166">
        <f>IF(G528="RES-SFU","RESIDENTIAL",IF(G528="RES-HOA","RESIDENTIAL",IF(G528="RES-MDU","RESIDENTIAL",IF(G528="COMM-SU","BUSINESS",IF(G528="COM-MTU","BUSINESS",IF(G528="ENT","BUSINESS",""))))))</f>
        <v/>
      </c>
      <c r="G528" s="1166">
        <f>'House Count'!F528</f>
        <v/>
      </c>
      <c r="H528" s="1166">
        <f>'House Count'!H528</f>
        <v/>
      </c>
    </row>
    <row r="529">
      <c r="A529" s="1165">
        <f>'House Count'!A529</f>
        <v/>
      </c>
      <c r="B529" s="1166">
        <f>'House Count'!E529</f>
        <v/>
      </c>
      <c r="C529" s="1166">
        <f>'House Count'!B529</f>
        <v/>
      </c>
      <c r="D529" s="1166">
        <f>'House Count'!C529</f>
        <v/>
      </c>
      <c r="E529" s="1166">
        <f>'House Count'!D529</f>
        <v/>
      </c>
      <c r="F529" s="1166">
        <f>IF(G529="RES-SFU","RESIDENTIAL",IF(G529="RES-HOA","RESIDENTIAL",IF(G529="RES-MDU","RESIDENTIAL",IF(G529="COMM-SU","BUSINESS",IF(G529="COM-MTU","BUSINESS",IF(G529="ENT","BUSINESS",""))))))</f>
        <v/>
      </c>
      <c r="G529" s="1166">
        <f>'House Count'!F529</f>
        <v/>
      </c>
      <c r="H529" s="1166">
        <f>'House Count'!H529</f>
        <v/>
      </c>
    </row>
    <row r="530">
      <c r="A530" s="1165">
        <f>'House Count'!A530</f>
        <v/>
      </c>
      <c r="B530" s="1166">
        <f>'House Count'!E530</f>
        <v/>
      </c>
      <c r="C530" s="1166">
        <f>'House Count'!B530</f>
        <v/>
      </c>
      <c r="D530" s="1166">
        <f>'House Count'!C530</f>
        <v/>
      </c>
      <c r="E530" s="1166">
        <f>'House Count'!D530</f>
        <v/>
      </c>
      <c r="F530" s="1166">
        <f>IF(G530="RES-SFU","RESIDENTIAL",IF(G530="RES-HOA","RESIDENTIAL",IF(G530="RES-MDU","RESIDENTIAL",IF(G530="COMM-SU","BUSINESS",IF(G530="COM-MTU","BUSINESS",IF(G530="ENT","BUSINESS",""))))))</f>
        <v/>
      </c>
      <c r="G530" s="1166">
        <f>'House Count'!F530</f>
        <v/>
      </c>
      <c r="H530" s="1166">
        <f>'House Count'!H530</f>
        <v/>
      </c>
    </row>
    <row r="531">
      <c r="A531" s="1165">
        <f>'House Count'!A531</f>
        <v/>
      </c>
      <c r="B531" s="1166">
        <f>'House Count'!E531</f>
        <v/>
      </c>
      <c r="C531" s="1166">
        <f>'House Count'!B531</f>
        <v/>
      </c>
      <c r="D531" s="1166">
        <f>'House Count'!C531</f>
        <v/>
      </c>
      <c r="E531" s="1166">
        <f>'House Count'!D531</f>
        <v/>
      </c>
      <c r="F531" s="1166">
        <f>IF(G531="RES-SFU","RESIDENTIAL",IF(G531="RES-HOA","RESIDENTIAL",IF(G531="RES-MDU","RESIDENTIAL",IF(G531="COMM-SU","BUSINESS",IF(G531="COM-MTU","BUSINESS",IF(G531="ENT","BUSINESS",""))))))</f>
        <v/>
      </c>
      <c r="G531" s="1166">
        <f>'House Count'!F531</f>
        <v/>
      </c>
      <c r="H531" s="1166">
        <f>'House Count'!H531</f>
        <v/>
      </c>
    </row>
    <row r="532">
      <c r="A532" s="1165">
        <f>'House Count'!A532</f>
        <v/>
      </c>
      <c r="B532" s="1166">
        <f>'House Count'!E532</f>
        <v/>
      </c>
      <c r="C532" s="1166">
        <f>'House Count'!B532</f>
        <v/>
      </c>
      <c r="D532" s="1166">
        <f>'House Count'!C532</f>
        <v/>
      </c>
      <c r="E532" s="1166">
        <f>'House Count'!D532</f>
        <v/>
      </c>
      <c r="F532" s="1166">
        <f>IF(G532="RES-SFU","RESIDENTIAL",IF(G532="RES-HOA","RESIDENTIAL",IF(G532="RES-MDU","RESIDENTIAL",IF(G532="COMM-SU","BUSINESS",IF(G532="COM-MTU","BUSINESS",IF(G532="ENT","BUSINESS",""))))))</f>
        <v/>
      </c>
      <c r="G532" s="1166">
        <f>'House Count'!F532</f>
        <v/>
      </c>
      <c r="H532" s="1166">
        <f>'House Count'!H532</f>
        <v/>
      </c>
    </row>
    <row r="533">
      <c r="A533" s="1165">
        <f>'House Count'!A533</f>
        <v/>
      </c>
      <c r="B533" s="1166">
        <f>'House Count'!E533</f>
        <v/>
      </c>
      <c r="C533" s="1166">
        <f>'House Count'!B533</f>
        <v/>
      </c>
      <c r="D533" s="1166">
        <f>'House Count'!C533</f>
        <v/>
      </c>
      <c r="E533" s="1166">
        <f>'House Count'!D533</f>
        <v/>
      </c>
      <c r="F533" s="1166">
        <f>IF(G533="RES-SFU","RESIDENTIAL",IF(G533="RES-HOA","RESIDENTIAL",IF(G533="RES-MDU","RESIDENTIAL",IF(G533="COMM-SU","BUSINESS",IF(G533="COM-MTU","BUSINESS",IF(G533="ENT","BUSINESS",""))))))</f>
        <v/>
      </c>
      <c r="G533" s="1166">
        <f>'House Count'!F533</f>
        <v/>
      </c>
      <c r="H533" s="1166">
        <f>'House Count'!H533</f>
        <v/>
      </c>
    </row>
    <row r="534">
      <c r="A534" s="1165">
        <f>'House Count'!A534</f>
        <v/>
      </c>
      <c r="B534" s="1166">
        <f>'House Count'!E534</f>
        <v/>
      </c>
      <c r="C534" s="1166">
        <f>'House Count'!B534</f>
        <v/>
      </c>
      <c r="D534" s="1166">
        <f>'House Count'!C534</f>
        <v/>
      </c>
      <c r="E534" s="1166">
        <f>'House Count'!D534</f>
        <v/>
      </c>
      <c r="F534" s="1166">
        <f>IF(G534="RES-SFU","RESIDENTIAL",IF(G534="RES-HOA","RESIDENTIAL",IF(G534="RES-MDU","RESIDENTIAL",IF(G534="COMM-SU","BUSINESS",IF(G534="COM-MTU","BUSINESS",IF(G534="ENT","BUSINESS",""))))))</f>
        <v/>
      </c>
      <c r="G534" s="1166">
        <f>'House Count'!F534</f>
        <v/>
      </c>
      <c r="H534" s="1166">
        <f>'House Count'!H534</f>
        <v/>
      </c>
    </row>
    <row r="535">
      <c r="A535" s="1165">
        <f>'House Count'!A535</f>
        <v/>
      </c>
      <c r="B535" s="1166">
        <f>'House Count'!E535</f>
        <v/>
      </c>
      <c r="C535" s="1166">
        <f>'House Count'!B535</f>
        <v/>
      </c>
      <c r="D535" s="1166">
        <f>'House Count'!C535</f>
        <v/>
      </c>
      <c r="E535" s="1166">
        <f>'House Count'!D535</f>
        <v/>
      </c>
      <c r="F535" s="1166">
        <f>IF(G535="RES-SFU","RESIDENTIAL",IF(G535="RES-HOA","RESIDENTIAL",IF(G535="RES-MDU","RESIDENTIAL",IF(G535="COMM-SU","BUSINESS",IF(G535="COM-MTU","BUSINESS",IF(G535="ENT","BUSINESS",""))))))</f>
        <v/>
      </c>
      <c r="G535" s="1166">
        <f>'House Count'!F535</f>
        <v/>
      </c>
      <c r="H535" s="1166">
        <f>'House Count'!H535</f>
        <v/>
      </c>
    </row>
    <row r="536">
      <c r="A536" s="1165">
        <f>'House Count'!A536</f>
        <v/>
      </c>
      <c r="B536" s="1166">
        <f>'House Count'!E536</f>
        <v/>
      </c>
      <c r="C536" s="1166">
        <f>'House Count'!B536</f>
        <v/>
      </c>
      <c r="D536" s="1166">
        <f>'House Count'!C536</f>
        <v/>
      </c>
      <c r="E536" s="1166">
        <f>'House Count'!D536</f>
        <v/>
      </c>
      <c r="F536" s="1166">
        <f>IF(G536="RES-SFU","RESIDENTIAL",IF(G536="RES-HOA","RESIDENTIAL",IF(G536="RES-MDU","RESIDENTIAL",IF(G536="COMM-SU","BUSINESS",IF(G536="COM-MTU","BUSINESS",IF(G536="ENT","BUSINESS",""))))))</f>
        <v/>
      </c>
      <c r="G536" s="1166">
        <f>'House Count'!F536</f>
        <v/>
      </c>
      <c r="H536" s="1166">
        <f>'House Count'!H536</f>
        <v/>
      </c>
    </row>
    <row r="537">
      <c r="A537" s="1165">
        <f>'House Count'!A537</f>
        <v/>
      </c>
      <c r="B537" s="1166">
        <f>'House Count'!E537</f>
        <v/>
      </c>
      <c r="C537" s="1166">
        <f>'House Count'!B537</f>
        <v/>
      </c>
      <c r="D537" s="1166">
        <f>'House Count'!C537</f>
        <v/>
      </c>
      <c r="E537" s="1166">
        <f>'House Count'!D537</f>
        <v/>
      </c>
      <c r="F537" s="1166">
        <f>IF(G537="RES-SFU","RESIDENTIAL",IF(G537="RES-HOA","RESIDENTIAL",IF(G537="RES-MDU","RESIDENTIAL",IF(G537="COMM-SU","BUSINESS",IF(G537="COM-MTU","BUSINESS",IF(G537="ENT","BUSINESS",""))))))</f>
        <v/>
      </c>
      <c r="G537" s="1166">
        <f>'House Count'!F537</f>
        <v/>
      </c>
      <c r="H537" s="1166">
        <f>'House Count'!H537</f>
        <v/>
      </c>
    </row>
    <row r="538">
      <c r="A538" s="1165">
        <f>'House Count'!A538</f>
        <v/>
      </c>
      <c r="B538" s="1166">
        <f>'House Count'!E538</f>
        <v/>
      </c>
      <c r="C538" s="1166">
        <f>'House Count'!B538</f>
        <v/>
      </c>
      <c r="D538" s="1166">
        <f>'House Count'!C538</f>
        <v/>
      </c>
      <c r="E538" s="1166">
        <f>'House Count'!D538</f>
        <v/>
      </c>
      <c r="F538" s="1166">
        <f>IF(G538="RES-SFU","RESIDENTIAL",IF(G538="RES-HOA","RESIDENTIAL",IF(G538="RES-MDU","RESIDENTIAL",IF(G538="COMM-SU","BUSINESS",IF(G538="COM-MTU","BUSINESS",IF(G538="ENT","BUSINESS",""))))))</f>
        <v/>
      </c>
      <c r="G538" s="1166">
        <f>'House Count'!F538</f>
        <v/>
      </c>
      <c r="H538" s="1166">
        <f>'House Count'!H538</f>
        <v/>
      </c>
    </row>
    <row r="539">
      <c r="A539" s="1165">
        <f>'House Count'!A539</f>
        <v/>
      </c>
      <c r="B539" s="1166">
        <f>'House Count'!E539</f>
        <v/>
      </c>
      <c r="C539" s="1166">
        <f>'House Count'!B539</f>
        <v/>
      </c>
      <c r="D539" s="1166">
        <f>'House Count'!C539</f>
        <v/>
      </c>
      <c r="E539" s="1166">
        <f>'House Count'!D539</f>
        <v/>
      </c>
      <c r="F539" s="1166">
        <f>IF(G539="RES-SFU","RESIDENTIAL",IF(G539="RES-HOA","RESIDENTIAL",IF(G539="RES-MDU","RESIDENTIAL",IF(G539="COMM-SU","BUSINESS",IF(G539="COM-MTU","BUSINESS",IF(G539="ENT","BUSINESS",""))))))</f>
        <v/>
      </c>
      <c r="G539" s="1166">
        <f>'House Count'!F539</f>
        <v/>
      </c>
      <c r="H539" s="1166">
        <f>'House Count'!H539</f>
        <v/>
      </c>
    </row>
    <row r="540">
      <c r="A540" s="1165">
        <f>'House Count'!A540</f>
        <v/>
      </c>
      <c r="B540" s="1166">
        <f>'House Count'!E540</f>
        <v/>
      </c>
      <c r="C540" s="1166">
        <f>'House Count'!B540</f>
        <v/>
      </c>
      <c r="D540" s="1166">
        <f>'House Count'!C540</f>
        <v/>
      </c>
      <c r="E540" s="1166">
        <f>'House Count'!D540</f>
        <v/>
      </c>
      <c r="F540" s="1166">
        <f>IF(G540="RES-SFU","RESIDENTIAL",IF(G540="RES-HOA","RESIDENTIAL",IF(G540="RES-MDU","RESIDENTIAL",IF(G540="COMM-SU","BUSINESS",IF(G540="COM-MTU","BUSINESS",IF(G540="ENT","BUSINESS",""))))))</f>
        <v/>
      </c>
      <c r="G540" s="1166">
        <f>'House Count'!F540</f>
        <v/>
      </c>
      <c r="H540" s="1166">
        <f>'House Count'!H540</f>
        <v/>
      </c>
    </row>
    <row r="541">
      <c r="A541" s="1165">
        <f>'House Count'!A541</f>
        <v/>
      </c>
      <c r="B541" s="1166">
        <f>'House Count'!E541</f>
        <v/>
      </c>
      <c r="C541" s="1166">
        <f>'House Count'!B541</f>
        <v/>
      </c>
      <c r="D541" s="1166">
        <f>'House Count'!C541</f>
        <v/>
      </c>
      <c r="E541" s="1166">
        <f>'House Count'!D541</f>
        <v/>
      </c>
      <c r="F541" s="1166">
        <f>IF(G541="RES-SFU","RESIDENTIAL",IF(G541="RES-HOA","RESIDENTIAL",IF(G541="RES-MDU","RESIDENTIAL",IF(G541="COMM-SU","BUSINESS",IF(G541="COM-MTU","BUSINESS",IF(G541="ENT","BUSINESS",""))))))</f>
        <v/>
      </c>
      <c r="G541" s="1166">
        <f>'House Count'!F541</f>
        <v/>
      </c>
      <c r="H541" s="1166">
        <f>'House Count'!H541</f>
        <v/>
      </c>
    </row>
    <row r="542">
      <c r="A542" s="1165">
        <f>'House Count'!A542</f>
        <v/>
      </c>
      <c r="B542" s="1166">
        <f>'House Count'!E542</f>
        <v/>
      </c>
      <c r="C542" s="1166">
        <f>'House Count'!B542</f>
        <v/>
      </c>
      <c r="D542" s="1166">
        <f>'House Count'!C542</f>
        <v/>
      </c>
      <c r="E542" s="1166">
        <f>'House Count'!D542</f>
        <v/>
      </c>
      <c r="F542" s="1166">
        <f>IF(G542="RES-SFU","RESIDENTIAL",IF(G542="RES-HOA","RESIDENTIAL",IF(G542="RES-MDU","RESIDENTIAL",IF(G542="COMM-SU","BUSINESS",IF(G542="COM-MTU","BUSINESS",IF(G542="ENT","BUSINESS",""))))))</f>
        <v/>
      </c>
      <c r="G542" s="1166">
        <f>'House Count'!F542</f>
        <v/>
      </c>
      <c r="H542" s="1166">
        <f>'House Count'!H542</f>
        <v/>
      </c>
    </row>
    <row r="543">
      <c r="A543" s="1165">
        <f>'House Count'!A543</f>
        <v/>
      </c>
      <c r="B543" s="1166">
        <f>'House Count'!E543</f>
        <v/>
      </c>
      <c r="C543" s="1166">
        <f>'House Count'!B543</f>
        <v/>
      </c>
      <c r="D543" s="1166">
        <f>'House Count'!C543</f>
        <v/>
      </c>
      <c r="E543" s="1166">
        <f>'House Count'!D543</f>
        <v/>
      </c>
      <c r="F543" s="1166">
        <f>IF(G543="RES-SFU","RESIDENTIAL",IF(G543="RES-HOA","RESIDENTIAL",IF(G543="RES-MDU","RESIDENTIAL",IF(G543="COMM-SU","BUSINESS",IF(G543="COM-MTU","BUSINESS",IF(G543="ENT","BUSINESS",""))))))</f>
        <v/>
      </c>
      <c r="G543" s="1166">
        <f>'House Count'!F543</f>
        <v/>
      </c>
      <c r="H543" s="1166">
        <f>'House Count'!H543</f>
        <v/>
      </c>
    </row>
    <row r="544">
      <c r="A544" s="1165">
        <f>'House Count'!A544</f>
        <v/>
      </c>
      <c r="B544" s="1166">
        <f>'House Count'!E544</f>
        <v/>
      </c>
      <c r="C544" s="1166">
        <f>'House Count'!B544</f>
        <v/>
      </c>
      <c r="D544" s="1166">
        <f>'House Count'!C544</f>
        <v/>
      </c>
      <c r="E544" s="1166">
        <f>'House Count'!D544</f>
        <v/>
      </c>
      <c r="F544" s="1166">
        <f>IF(G544="RES-SFU","RESIDENTIAL",IF(G544="RES-HOA","RESIDENTIAL",IF(G544="RES-MDU","RESIDENTIAL",IF(G544="COMM-SU","BUSINESS",IF(G544="COM-MTU","BUSINESS",IF(G544="ENT","BUSINESS",""))))))</f>
        <v/>
      </c>
      <c r="G544" s="1166">
        <f>'House Count'!F544</f>
        <v/>
      </c>
      <c r="H544" s="1166">
        <f>'House Count'!H544</f>
        <v/>
      </c>
    </row>
    <row r="545">
      <c r="A545" s="1165">
        <f>'House Count'!A545</f>
        <v/>
      </c>
      <c r="B545" s="1166">
        <f>'House Count'!E545</f>
        <v/>
      </c>
      <c r="C545" s="1166">
        <f>'House Count'!B545</f>
        <v/>
      </c>
      <c r="D545" s="1166">
        <f>'House Count'!C545</f>
        <v/>
      </c>
      <c r="E545" s="1166">
        <f>'House Count'!D545</f>
        <v/>
      </c>
      <c r="F545" s="1166">
        <f>IF(G545="RES-SFU","RESIDENTIAL",IF(G545="RES-HOA","RESIDENTIAL",IF(G545="RES-MDU","RESIDENTIAL",IF(G545="COMM-SU","BUSINESS",IF(G545="COM-MTU","BUSINESS",IF(G545="ENT","BUSINESS",""))))))</f>
        <v/>
      </c>
      <c r="G545" s="1166">
        <f>'House Count'!F545</f>
        <v/>
      </c>
      <c r="H545" s="1166">
        <f>'House Count'!H545</f>
        <v/>
      </c>
    </row>
    <row r="546">
      <c r="A546" s="1165">
        <f>'House Count'!A546</f>
        <v/>
      </c>
      <c r="B546" s="1166">
        <f>'House Count'!E546</f>
        <v/>
      </c>
      <c r="C546" s="1166">
        <f>'House Count'!B546</f>
        <v/>
      </c>
      <c r="D546" s="1166">
        <f>'House Count'!C546</f>
        <v/>
      </c>
      <c r="E546" s="1166">
        <f>'House Count'!D546</f>
        <v/>
      </c>
      <c r="F546" s="1166">
        <f>IF(G546="RES-SFU","RESIDENTIAL",IF(G546="RES-HOA","RESIDENTIAL",IF(G546="RES-MDU","RESIDENTIAL",IF(G546="COMM-SU","BUSINESS",IF(G546="COM-MTU","BUSINESS",IF(G546="ENT","BUSINESS",""))))))</f>
        <v/>
      </c>
      <c r="G546" s="1166">
        <f>'House Count'!F546</f>
        <v/>
      </c>
      <c r="H546" s="1166">
        <f>'House Count'!H546</f>
        <v/>
      </c>
    </row>
    <row r="547">
      <c r="A547" s="1165">
        <f>'House Count'!A547</f>
        <v/>
      </c>
      <c r="B547" s="1166">
        <f>'House Count'!E547</f>
        <v/>
      </c>
      <c r="C547" s="1166">
        <f>'House Count'!B547</f>
        <v/>
      </c>
      <c r="D547" s="1166">
        <f>'House Count'!C547</f>
        <v/>
      </c>
      <c r="E547" s="1166">
        <f>'House Count'!D547</f>
        <v/>
      </c>
      <c r="F547" s="1166">
        <f>IF(G547="RES-SFU","RESIDENTIAL",IF(G547="RES-HOA","RESIDENTIAL",IF(G547="RES-MDU","RESIDENTIAL",IF(G547="COMM-SU","BUSINESS",IF(G547="COM-MTU","BUSINESS",IF(G547="ENT","BUSINESS",""))))))</f>
        <v/>
      </c>
      <c r="G547" s="1166">
        <f>'House Count'!F547</f>
        <v/>
      </c>
      <c r="H547" s="1166">
        <f>'House Count'!H547</f>
        <v/>
      </c>
    </row>
    <row r="548">
      <c r="A548" s="1165">
        <f>'House Count'!A548</f>
        <v/>
      </c>
      <c r="B548" s="1166">
        <f>'House Count'!E548</f>
        <v/>
      </c>
      <c r="C548" s="1166">
        <f>'House Count'!B548</f>
        <v/>
      </c>
      <c r="D548" s="1166">
        <f>'House Count'!C548</f>
        <v/>
      </c>
      <c r="E548" s="1166">
        <f>'House Count'!D548</f>
        <v/>
      </c>
      <c r="F548" s="1166">
        <f>IF(G548="RES-SFU","RESIDENTIAL",IF(G548="RES-HOA","RESIDENTIAL",IF(G548="RES-MDU","RESIDENTIAL",IF(G548="COMM-SU","BUSINESS",IF(G548="COM-MTU","BUSINESS",IF(G548="ENT","BUSINESS",""))))))</f>
        <v/>
      </c>
      <c r="G548" s="1166">
        <f>'House Count'!F548</f>
        <v/>
      </c>
      <c r="H548" s="1166">
        <f>'House Count'!H548</f>
        <v/>
      </c>
    </row>
    <row r="549">
      <c r="A549" s="1165">
        <f>'House Count'!A549</f>
        <v/>
      </c>
      <c r="B549" s="1166">
        <f>'House Count'!E549</f>
        <v/>
      </c>
      <c r="C549" s="1166">
        <f>'House Count'!B549</f>
        <v/>
      </c>
      <c r="D549" s="1166">
        <f>'House Count'!C549</f>
        <v/>
      </c>
      <c r="E549" s="1166">
        <f>'House Count'!D549</f>
        <v/>
      </c>
      <c r="F549" s="1166">
        <f>IF(G549="RES-SFU","RESIDENTIAL",IF(G549="RES-HOA","RESIDENTIAL",IF(G549="RES-MDU","RESIDENTIAL",IF(G549="COMM-SU","BUSINESS",IF(G549="COM-MTU","BUSINESS",IF(G549="ENT","BUSINESS",""))))))</f>
        <v/>
      </c>
      <c r="G549" s="1166">
        <f>'House Count'!F549</f>
        <v/>
      </c>
      <c r="H549" s="1166">
        <f>'House Count'!H549</f>
        <v/>
      </c>
    </row>
    <row r="550">
      <c r="A550" s="1165">
        <f>'House Count'!A550</f>
        <v/>
      </c>
      <c r="B550" s="1166">
        <f>'House Count'!E550</f>
        <v/>
      </c>
      <c r="C550" s="1166">
        <f>'House Count'!B550</f>
        <v/>
      </c>
      <c r="D550" s="1166">
        <f>'House Count'!C550</f>
        <v/>
      </c>
      <c r="E550" s="1166">
        <f>'House Count'!D550</f>
        <v/>
      </c>
      <c r="F550" s="1166">
        <f>IF(G550="RES-SFU","RESIDENTIAL",IF(G550="RES-HOA","RESIDENTIAL",IF(G550="RES-MDU","RESIDENTIAL",IF(G550="COMM-SU","BUSINESS",IF(G550="COM-MTU","BUSINESS",IF(G550="ENT","BUSINESS",""))))))</f>
        <v/>
      </c>
      <c r="G550" s="1166">
        <f>'House Count'!F550</f>
        <v/>
      </c>
      <c r="H550" s="1166">
        <f>'House Count'!H550</f>
        <v/>
      </c>
    </row>
    <row r="551">
      <c r="A551" s="1165">
        <f>'House Count'!A551</f>
        <v/>
      </c>
      <c r="B551" s="1166">
        <f>'House Count'!E551</f>
        <v/>
      </c>
      <c r="C551" s="1166">
        <f>'House Count'!B551</f>
        <v/>
      </c>
      <c r="D551" s="1166">
        <f>'House Count'!C551</f>
        <v/>
      </c>
      <c r="E551" s="1166">
        <f>'House Count'!D551</f>
        <v/>
      </c>
      <c r="F551" s="1166">
        <f>IF(G551="RES-SFU","RESIDENTIAL",IF(G551="RES-HOA","RESIDENTIAL",IF(G551="RES-MDU","RESIDENTIAL",IF(G551="COMM-SU","BUSINESS",IF(G551="COM-MTU","BUSINESS",IF(G551="ENT","BUSINESS",""))))))</f>
        <v/>
      </c>
      <c r="G551" s="1166">
        <f>'House Count'!F551</f>
        <v/>
      </c>
      <c r="H551" s="1166">
        <f>'House Count'!H551</f>
        <v/>
      </c>
    </row>
    <row r="552">
      <c r="A552" s="1165">
        <f>'House Count'!A552</f>
        <v/>
      </c>
      <c r="B552" s="1166">
        <f>'House Count'!E552</f>
        <v/>
      </c>
      <c r="C552" s="1166">
        <f>'House Count'!B552</f>
        <v/>
      </c>
      <c r="D552" s="1166">
        <f>'House Count'!C552</f>
        <v/>
      </c>
      <c r="E552" s="1166">
        <f>'House Count'!D552</f>
        <v/>
      </c>
      <c r="F552" s="1166">
        <f>IF(G552="RES-SFU","RESIDENTIAL",IF(G552="RES-HOA","RESIDENTIAL",IF(G552="RES-MDU","RESIDENTIAL",IF(G552="COMM-SU","BUSINESS",IF(G552="COM-MTU","BUSINESS",IF(G552="ENT","BUSINESS",""))))))</f>
        <v/>
      </c>
      <c r="G552" s="1166">
        <f>'House Count'!F552</f>
        <v/>
      </c>
      <c r="H552" s="1166">
        <f>'House Count'!H552</f>
        <v/>
      </c>
    </row>
    <row r="553">
      <c r="A553" s="1165">
        <f>'House Count'!A553</f>
        <v/>
      </c>
      <c r="B553" s="1166">
        <f>'House Count'!E553</f>
        <v/>
      </c>
      <c r="C553" s="1166">
        <f>'House Count'!B553</f>
        <v/>
      </c>
      <c r="D553" s="1166">
        <f>'House Count'!C553</f>
        <v/>
      </c>
      <c r="E553" s="1166">
        <f>'House Count'!D553</f>
        <v/>
      </c>
      <c r="F553" s="1166">
        <f>IF(G553="RES-SFU","RESIDENTIAL",IF(G553="RES-HOA","RESIDENTIAL",IF(G553="RES-MDU","RESIDENTIAL",IF(G553="COMM-SU","BUSINESS",IF(G553="COM-MTU","BUSINESS",IF(G553="ENT","BUSINESS",""))))))</f>
        <v/>
      </c>
      <c r="G553" s="1166">
        <f>'House Count'!F553</f>
        <v/>
      </c>
      <c r="H553" s="1166">
        <f>'House Count'!H553</f>
        <v/>
      </c>
    </row>
    <row r="554">
      <c r="A554" s="1165">
        <f>'House Count'!A554</f>
        <v/>
      </c>
      <c r="B554" s="1166">
        <f>'House Count'!E554</f>
        <v/>
      </c>
      <c r="C554" s="1166">
        <f>'House Count'!B554</f>
        <v/>
      </c>
      <c r="D554" s="1166">
        <f>'House Count'!C554</f>
        <v/>
      </c>
      <c r="E554" s="1166">
        <f>'House Count'!D554</f>
        <v/>
      </c>
      <c r="F554" s="1166">
        <f>IF(G554="RES-SFU","RESIDENTIAL",IF(G554="RES-HOA","RESIDENTIAL",IF(G554="RES-MDU","RESIDENTIAL",IF(G554="COMM-SU","BUSINESS",IF(G554="COM-MTU","BUSINESS",IF(G554="ENT","BUSINESS",""))))))</f>
        <v/>
      </c>
      <c r="G554" s="1166">
        <f>'House Count'!F554</f>
        <v/>
      </c>
      <c r="H554" s="1166">
        <f>'House Count'!H554</f>
        <v/>
      </c>
    </row>
    <row r="555">
      <c r="A555" s="1165">
        <f>'House Count'!A555</f>
        <v/>
      </c>
      <c r="B555" s="1166">
        <f>'House Count'!E555</f>
        <v/>
      </c>
      <c r="C555" s="1166">
        <f>'House Count'!B555</f>
        <v/>
      </c>
      <c r="D555" s="1166">
        <f>'House Count'!C555</f>
        <v/>
      </c>
      <c r="E555" s="1166">
        <f>'House Count'!D555</f>
        <v/>
      </c>
      <c r="F555" s="1166">
        <f>IF(G555="RES-SFU","RESIDENTIAL",IF(G555="RES-HOA","RESIDENTIAL",IF(G555="RES-MDU","RESIDENTIAL",IF(G555="COMM-SU","BUSINESS",IF(G555="COM-MTU","BUSINESS",IF(G555="ENT","BUSINESS",""))))))</f>
        <v/>
      </c>
      <c r="G555" s="1166">
        <f>'House Count'!F555</f>
        <v/>
      </c>
      <c r="H555" s="1166">
        <f>'House Count'!H555</f>
        <v/>
      </c>
    </row>
    <row r="556">
      <c r="A556" s="1165">
        <f>'House Count'!A556</f>
        <v/>
      </c>
      <c r="B556" s="1166">
        <f>'House Count'!E556</f>
        <v/>
      </c>
      <c r="C556" s="1166">
        <f>'House Count'!B556</f>
        <v/>
      </c>
      <c r="D556" s="1166">
        <f>'House Count'!C556</f>
        <v/>
      </c>
      <c r="E556" s="1166">
        <f>'House Count'!D556</f>
        <v/>
      </c>
      <c r="F556" s="1166">
        <f>IF(G556="RES-SFU","RESIDENTIAL",IF(G556="RES-HOA","RESIDENTIAL",IF(G556="RES-MDU","RESIDENTIAL",IF(G556="COMM-SU","BUSINESS",IF(G556="COM-MTU","BUSINESS",IF(G556="ENT","BUSINESS",""))))))</f>
        <v/>
      </c>
      <c r="G556" s="1166">
        <f>'House Count'!F556</f>
        <v/>
      </c>
      <c r="H556" s="1166">
        <f>'House Count'!H556</f>
        <v/>
      </c>
    </row>
    <row r="557">
      <c r="A557" s="1165">
        <f>'House Count'!A557</f>
        <v/>
      </c>
      <c r="B557" s="1166">
        <f>'House Count'!E557</f>
        <v/>
      </c>
      <c r="C557" s="1166">
        <f>'House Count'!B557</f>
        <v/>
      </c>
      <c r="D557" s="1166">
        <f>'House Count'!C557</f>
        <v/>
      </c>
      <c r="E557" s="1166">
        <f>'House Count'!D557</f>
        <v/>
      </c>
      <c r="F557" s="1166">
        <f>IF(G557="RES-SFU","RESIDENTIAL",IF(G557="RES-HOA","RESIDENTIAL",IF(G557="RES-MDU","RESIDENTIAL",IF(G557="COMM-SU","BUSINESS",IF(G557="COM-MTU","BUSINESS",IF(G557="ENT","BUSINESS",""))))))</f>
        <v/>
      </c>
      <c r="G557" s="1166">
        <f>'House Count'!F557</f>
        <v/>
      </c>
      <c r="H557" s="1166">
        <f>'House Count'!H557</f>
        <v/>
      </c>
    </row>
    <row r="558">
      <c r="A558" s="1165">
        <f>'House Count'!A558</f>
        <v/>
      </c>
      <c r="B558" s="1166">
        <f>'House Count'!E558</f>
        <v/>
      </c>
      <c r="C558" s="1166">
        <f>'House Count'!B558</f>
        <v/>
      </c>
      <c r="D558" s="1166">
        <f>'House Count'!C558</f>
        <v/>
      </c>
      <c r="E558" s="1166">
        <f>'House Count'!D558</f>
        <v/>
      </c>
      <c r="F558" s="1166">
        <f>IF(G558="RES-SFU","RESIDENTIAL",IF(G558="RES-HOA","RESIDENTIAL",IF(G558="RES-MDU","RESIDENTIAL",IF(G558="COMM-SU","BUSINESS",IF(G558="COM-MTU","BUSINESS",IF(G558="ENT","BUSINESS",""))))))</f>
        <v/>
      </c>
      <c r="G558" s="1166">
        <f>'House Count'!F558</f>
        <v/>
      </c>
      <c r="H558" s="1166">
        <f>'House Count'!H558</f>
        <v/>
      </c>
    </row>
    <row r="559">
      <c r="A559" s="1165">
        <f>'House Count'!A559</f>
        <v/>
      </c>
      <c r="B559" s="1166">
        <f>'House Count'!E559</f>
        <v/>
      </c>
      <c r="C559" s="1166">
        <f>'House Count'!B559</f>
        <v/>
      </c>
      <c r="D559" s="1166">
        <f>'House Count'!C559</f>
        <v/>
      </c>
      <c r="E559" s="1166">
        <f>'House Count'!D559</f>
        <v/>
      </c>
      <c r="F559" s="1166">
        <f>IF(G559="RES-SFU","RESIDENTIAL",IF(G559="RES-HOA","RESIDENTIAL",IF(G559="RES-MDU","RESIDENTIAL",IF(G559="COMM-SU","BUSINESS",IF(G559="COM-MTU","BUSINESS",IF(G559="ENT","BUSINESS",""))))))</f>
        <v/>
      </c>
      <c r="G559" s="1166">
        <f>'House Count'!F559</f>
        <v/>
      </c>
      <c r="H559" s="1166">
        <f>'House Count'!H559</f>
        <v/>
      </c>
    </row>
    <row r="560">
      <c r="A560" s="1165">
        <f>'House Count'!A560</f>
        <v/>
      </c>
      <c r="B560" s="1166">
        <f>'House Count'!E560</f>
        <v/>
      </c>
      <c r="C560" s="1166">
        <f>'House Count'!B560</f>
        <v/>
      </c>
      <c r="D560" s="1166">
        <f>'House Count'!C560</f>
        <v/>
      </c>
      <c r="E560" s="1166">
        <f>'House Count'!D560</f>
        <v/>
      </c>
      <c r="F560" s="1166">
        <f>IF(G560="RES-SFU","RESIDENTIAL",IF(G560="RES-HOA","RESIDENTIAL",IF(G560="RES-MDU","RESIDENTIAL",IF(G560="COMM-SU","BUSINESS",IF(G560="COM-MTU","BUSINESS",IF(G560="ENT","BUSINESS",""))))))</f>
        <v/>
      </c>
      <c r="G560" s="1166">
        <f>'House Count'!F560</f>
        <v/>
      </c>
      <c r="H560" s="1166">
        <f>'House Count'!H560</f>
        <v/>
      </c>
    </row>
    <row r="561">
      <c r="A561" s="1165">
        <f>'House Count'!A561</f>
        <v/>
      </c>
      <c r="B561" s="1166">
        <f>'House Count'!E561</f>
        <v/>
      </c>
      <c r="C561" s="1166">
        <f>'House Count'!B561</f>
        <v/>
      </c>
      <c r="D561" s="1166">
        <f>'House Count'!C561</f>
        <v/>
      </c>
      <c r="E561" s="1166">
        <f>'House Count'!D561</f>
        <v/>
      </c>
      <c r="F561" s="1166">
        <f>IF(G561="RES-SFU","RESIDENTIAL",IF(G561="RES-HOA","RESIDENTIAL",IF(G561="RES-MDU","RESIDENTIAL",IF(G561="COMM-SU","BUSINESS",IF(G561="COM-MTU","BUSINESS",IF(G561="ENT","BUSINESS",""))))))</f>
        <v/>
      </c>
      <c r="G561" s="1166">
        <f>'House Count'!F561</f>
        <v/>
      </c>
      <c r="H561" s="1166">
        <f>'House Count'!H561</f>
        <v/>
      </c>
    </row>
    <row r="562">
      <c r="A562" s="1165">
        <f>'House Count'!A562</f>
        <v/>
      </c>
      <c r="B562" s="1166">
        <f>'House Count'!E562</f>
        <v/>
      </c>
      <c r="C562" s="1166">
        <f>'House Count'!B562</f>
        <v/>
      </c>
      <c r="D562" s="1166">
        <f>'House Count'!C562</f>
        <v/>
      </c>
      <c r="E562" s="1166">
        <f>'House Count'!D562</f>
        <v/>
      </c>
      <c r="F562" s="1166">
        <f>IF(G562="RES-SFU","RESIDENTIAL",IF(G562="RES-HOA","RESIDENTIAL",IF(G562="RES-MDU","RESIDENTIAL",IF(G562="COMM-SU","BUSINESS",IF(G562="COM-MTU","BUSINESS",IF(G562="ENT","BUSINESS",""))))))</f>
        <v/>
      </c>
      <c r="G562" s="1166">
        <f>'House Count'!F562</f>
        <v/>
      </c>
      <c r="H562" s="1166">
        <f>'House Count'!H562</f>
        <v/>
      </c>
    </row>
    <row r="563">
      <c r="A563" s="1165">
        <f>'House Count'!A563</f>
        <v/>
      </c>
      <c r="B563" s="1166">
        <f>'House Count'!E563</f>
        <v/>
      </c>
      <c r="C563" s="1166">
        <f>'House Count'!B563</f>
        <v/>
      </c>
      <c r="D563" s="1166">
        <f>'House Count'!C563</f>
        <v/>
      </c>
      <c r="E563" s="1166">
        <f>'House Count'!D563</f>
        <v/>
      </c>
      <c r="F563" s="1166">
        <f>IF(G563="RES-SFU","RESIDENTIAL",IF(G563="RES-HOA","RESIDENTIAL",IF(G563="RES-MDU","RESIDENTIAL",IF(G563="COMM-SU","BUSINESS",IF(G563="COM-MTU","BUSINESS",IF(G563="ENT","BUSINESS",""))))))</f>
        <v/>
      </c>
      <c r="G563" s="1166">
        <f>'House Count'!F563</f>
        <v/>
      </c>
      <c r="H563" s="1166">
        <f>'House Count'!H563</f>
        <v/>
      </c>
    </row>
    <row r="564">
      <c r="A564" s="1165">
        <f>'House Count'!A564</f>
        <v/>
      </c>
      <c r="B564" s="1166">
        <f>'House Count'!E564</f>
        <v/>
      </c>
      <c r="C564" s="1166">
        <f>'House Count'!B564</f>
        <v/>
      </c>
      <c r="D564" s="1166">
        <f>'House Count'!C564</f>
        <v/>
      </c>
      <c r="E564" s="1166">
        <f>'House Count'!D564</f>
        <v/>
      </c>
      <c r="F564" s="1166">
        <f>IF(G564="RES-SFU","RESIDENTIAL",IF(G564="RES-HOA","RESIDENTIAL",IF(G564="RES-MDU","RESIDENTIAL",IF(G564="COMM-SU","BUSINESS",IF(G564="COM-MTU","BUSINESS",IF(G564="ENT","BUSINESS",""))))))</f>
        <v/>
      </c>
      <c r="G564" s="1166">
        <f>'House Count'!F564</f>
        <v/>
      </c>
      <c r="H564" s="1166">
        <f>'House Count'!H564</f>
        <v/>
      </c>
    </row>
    <row r="565">
      <c r="A565" s="1165">
        <f>'House Count'!A565</f>
        <v/>
      </c>
      <c r="B565" s="1166">
        <f>'House Count'!E565</f>
        <v/>
      </c>
      <c r="C565" s="1166">
        <f>'House Count'!B565</f>
        <v/>
      </c>
      <c r="D565" s="1166">
        <f>'House Count'!C565</f>
        <v/>
      </c>
      <c r="E565" s="1166">
        <f>'House Count'!D565</f>
        <v/>
      </c>
      <c r="F565" s="1166">
        <f>IF(G565="RES-SFU","RESIDENTIAL",IF(G565="RES-HOA","RESIDENTIAL",IF(G565="RES-MDU","RESIDENTIAL",IF(G565="COMM-SU","BUSINESS",IF(G565="COM-MTU","BUSINESS",IF(G565="ENT","BUSINESS",""))))))</f>
        <v/>
      </c>
      <c r="G565" s="1166">
        <f>'House Count'!F565</f>
        <v/>
      </c>
      <c r="H565" s="1166">
        <f>'House Count'!H565</f>
        <v/>
      </c>
    </row>
    <row r="566">
      <c r="A566" s="1165">
        <f>'House Count'!A566</f>
        <v/>
      </c>
      <c r="B566" s="1166">
        <f>'House Count'!E566</f>
        <v/>
      </c>
      <c r="C566" s="1166">
        <f>'House Count'!B566</f>
        <v/>
      </c>
      <c r="D566" s="1166">
        <f>'House Count'!C566</f>
        <v/>
      </c>
      <c r="E566" s="1166">
        <f>'House Count'!D566</f>
        <v/>
      </c>
      <c r="F566" s="1166">
        <f>IF(G566="RES-SFU","RESIDENTIAL",IF(G566="RES-HOA","RESIDENTIAL",IF(G566="RES-MDU","RESIDENTIAL",IF(G566="COMM-SU","BUSINESS",IF(G566="COM-MTU","BUSINESS",IF(G566="ENT","BUSINESS",""))))))</f>
        <v/>
      </c>
      <c r="G566" s="1166">
        <f>'House Count'!F566</f>
        <v/>
      </c>
      <c r="H566" s="1166">
        <f>'House Count'!H566</f>
        <v/>
      </c>
    </row>
    <row r="567">
      <c r="A567" s="1165">
        <f>'House Count'!A567</f>
        <v/>
      </c>
      <c r="B567" s="1166">
        <f>'House Count'!E567</f>
        <v/>
      </c>
      <c r="C567" s="1166">
        <f>'House Count'!B567</f>
        <v/>
      </c>
      <c r="D567" s="1166">
        <f>'House Count'!C567</f>
        <v/>
      </c>
      <c r="E567" s="1166">
        <f>'House Count'!D567</f>
        <v/>
      </c>
      <c r="F567" s="1166">
        <f>IF(G567="RES-SFU","RESIDENTIAL",IF(G567="RES-HOA","RESIDENTIAL",IF(G567="RES-MDU","RESIDENTIAL",IF(G567="COMM-SU","BUSINESS",IF(G567="COM-MTU","BUSINESS",IF(G567="ENT","BUSINESS",""))))))</f>
        <v/>
      </c>
      <c r="G567" s="1166">
        <f>'House Count'!F567</f>
        <v/>
      </c>
      <c r="H567" s="1166">
        <f>'House Count'!H567</f>
        <v/>
      </c>
    </row>
    <row r="568">
      <c r="A568" s="1165">
        <f>'House Count'!A568</f>
        <v/>
      </c>
      <c r="B568" s="1166">
        <f>'House Count'!E568</f>
        <v/>
      </c>
      <c r="C568" s="1166">
        <f>'House Count'!B568</f>
        <v/>
      </c>
      <c r="D568" s="1166">
        <f>'House Count'!C568</f>
        <v/>
      </c>
      <c r="E568" s="1166">
        <f>'House Count'!D568</f>
        <v/>
      </c>
      <c r="F568" s="1166">
        <f>IF(G568="RES-SFU","RESIDENTIAL",IF(G568="RES-HOA","RESIDENTIAL",IF(G568="RES-MDU","RESIDENTIAL",IF(G568="COMM-SU","BUSINESS",IF(G568="COM-MTU","BUSINESS",IF(G568="ENT","BUSINESS",""))))))</f>
        <v/>
      </c>
      <c r="G568" s="1166">
        <f>'House Count'!F568</f>
        <v/>
      </c>
      <c r="H568" s="1166">
        <f>'House Count'!H568</f>
        <v/>
      </c>
    </row>
    <row r="569">
      <c r="A569" s="1165">
        <f>'House Count'!A569</f>
        <v/>
      </c>
      <c r="B569" s="1166">
        <f>'House Count'!E569</f>
        <v/>
      </c>
      <c r="C569" s="1166">
        <f>'House Count'!B569</f>
        <v/>
      </c>
      <c r="D569" s="1166">
        <f>'House Count'!C569</f>
        <v/>
      </c>
      <c r="E569" s="1166">
        <f>'House Count'!D569</f>
        <v/>
      </c>
      <c r="F569" s="1166">
        <f>IF(G569="RES-SFU","RESIDENTIAL",IF(G569="RES-HOA","RESIDENTIAL",IF(G569="RES-MDU","RESIDENTIAL",IF(G569="COMM-SU","BUSINESS",IF(G569="COM-MTU","BUSINESS",IF(G569="ENT","BUSINESS",""))))))</f>
        <v/>
      </c>
      <c r="G569" s="1166">
        <f>'House Count'!F569</f>
        <v/>
      </c>
      <c r="H569" s="1166">
        <f>'House Count'!H569</f>
        <v/>
      </c>
    </row>
    <row r="570">
      <c r="A570" s="1165">
        <f>'House Count'!A570</f>
        <v/>
      </c>
      <c r="B570" s="1166">
        <f>'House Count'!E570</f>
        <v/>
      </c>
      <c r="C570" s="1166">
        <f>'House Count'!B570</f>
        <v/>
      </c>
      <c r="D570" s="1166">
        <f>'House Count'!C570</f>
        <v/>
      </c>
      <c r="E570" s="1166">
        <f>'House Count'!D570</f>
        <v/>
      </c>
      <c r="F570" s="1166">
        <f>IF(G570="RES-SFU","RESIDENTIAL",IF(G570="RES-HOA","RESIDENTIAL",IF(G570="RES-MDU","RESIDENTIAL",IF(G570="COMM-SU","BUSINESS",IF(G570="COM-MTU","BUSINESS",IF(G570="ENT","BUSINESS",""))))))</f>
        <v/>
      </c>
      <c r="G570" s="1166">
        <f>'House Count'!F570</f>
        <v/>
      </c>
      <c r="H570" s="1166">
        <f>'House Count'!H570</f>
        <v/>
      </c>
    </row>
    <row r="571">
      <c r="A571" s="1165">
        <f>'House Count'!A571</f>
        <v/>
      </c>
      <c r="B571" s="1166">
        <f>'House Count'!E571</f>
        <v/>
      </c>
      <c r="C571" s="1166">
        <f>'House Count'!B571</f>
        <v/>
      </c>
      <c r="D571" s="1166">
        <f>'House Count'!C571</f>
        <v/>
      </c>
      <c r="E571" s="1166">
        <f>'House Count'!D571</f>
        <v/>
      </c>
      <c r="F571" s="1166">
        <f>IF(G571="RES-SFU","RESIDENTIAL",IF(G571="RES-HOA","RESIDENTIAL",IF(G571="RES-MDU","RESIDENTIAL",IF(G571="COMM-SU","BUSINESS",IF(G571="COM-MTU","BUSINESS",IF(G571="ENT","BUSINESS",""))))))</f>
        <v/>
      </c>
      <c r="G571" s="1166">
        <f>'House Count'!F571</f>
        <v/>
      </c>
      <c r="H571" s="1166">
        <f>'House Count'!H571</f>
        <v/>
      </c>
    </row>
    <row r="572">
      <c r="A572" s="1165">
        <f>'House Count'!A572</f>
        <v/>
      </c>
      <c r="B572" s="1166">
        <f>'House Count'!E572</f>
        <v/>
      </c>
      <c r="C572" s="1166">
        <f>'House Count'!B572</f>
        <v/>
      </c>
      <c r="D572" s="1166">
        <f>'House Count'!C572</f>
        <v/>
      </c>
      <c r="E572" s="1166">
        <f>'House Count'!D572</f>
        <v/>
      </c>
      <c r="F572" s="1166">
        <f>IF(G572="RES-SFU","RESIDENTIAL",IF(G572="RES-HOA","RESIDENTIAL",IF(G572="RES-MDU","RESIDENTIAL",IF(G572="COMM-SU","BUSINESS",IF(G572="COM-MTU","BUSINESS",IF(G572="ENT","BUSINESS",""))))))</f>
        <v/>
      </c>
      <c r="G572" s="1166">
        <f>'House Count'!F572</f>
        <v/>
      </c>
      <c r="H572" s="1166">
        <f>'House Count'!H572</f>
        <v/>
      </c>
    </row>
    <row r="573">
      <c r="A573" s="1165">
        <f>'House Count'!A573</f>
        <v/>
      </c>
      <c r="B573" s="1166">
        <f>'House Count'!E573</f>
        <v/>
      </c>
      <c r="C573" s="1166">
        <f>'House Count'!B573</f>
        <v/>
      </c>
      <c r="D573" s="1166">
        <f>'House Count'!C573</f>
        <v/>
      </c>
      <c r="E573" s="1166">
        <f>'House Count'!D573</f>
        <v/>
      </c>
      <c r="F573" s="1166">
        <f>IF(G573="RES-SFU","RESIDENTIAL",IF(G573="RES-HOA","RESIDENTIAL",IF(G573="RES-MDU","RESIDENTIAL",IF(G573="COMM-SU","BUSINESS",IF(G573="COM-MTU","BUSINESS",IF(G573="ENT","BUSINESS",""))))))</f>
        <v/>
      </c>
      <c r="G573" s="1166">
        <f>'House Count'!F573</f>
        <v/>
      </c>
      <c r="H573" s="1166">
        <f>'House Count'!H573</f>
        <v/>
      </c>
    </row>
    <row r="574">
      <c r="A574" s="1165">
        <f>'House Count'!A574</f>
        <v/>
      </c>
      <c r="B574" s="1166">
        <f>'House Count'!E574</f>
        <v/>
      </c>
      <c r="C574" s="1166">
        <f>'House Count'!B574</f>
        <v/>
      </c>
      <c r="D574" s="1166">
        <f>'House Count'!C574</f>
        <v/>
      </c>
      <c r="E574" s="1166">
        <f>'House Count'!D574</f>
        <v/>
      </c>
      <c r="F574" s="1166">
        <f>IF(G574="RES-SFU","RESIDENTIAL",IF(G574="RES-HOA","RESIDENTIAL",IF(G574="RES-MDU","RESIDENTIAL",IF(G574="COMM-SU","BUSINESS",IF(G574="COM-MTU","BUSINESS",IF(G574="ENT","BUSINESS",""))))))</f>
        <v/>
      </c>
      <c r="G574" s="1166">
        <f>'House Count'!F574</f>
        <v/>
      </c>
      <c r="H574" s="1166">
        <f>'House Count'!H574</f>
        <v/>
      </c>
    </row>
    <row r="575">
      <c r="A575" s="1165">
        <f>'House Count'!A575</f>
        <v/>
      </c>
      <c r="B575" s="1166">
        <f>'House Count'!E575</f>
        <v/>
      </c>
      <c r="C575" s="1166">
        <f>'House Count'!B575</f>
        <v/>
      </c>
      <c r="D575" s="1166">
        <f>'House Count'!C575</f>
        <v/>
      </c>
      <c r="E575" s="1166">
        <f>'House Count'!D575</f>
        <v/>
      </c>
      <c r="F575" s="1166">
        <f>IF(G575="RES-SFU","RESIDENTIAL",IF(G575="RES-HOA","RESIDENTIAL",IF(G575="RES-MDU","RESIDENTIAL",IF(G575="COMM-SU","BUSINESS",IF(G575="COM-MTU","BUSINESS",IF(G575="ENT","BUSINESS",""))))))</f>
        <v/>
      </c>
      <c r="G575" s="1166">
        <f>'House Count'!F575</f>
        <v/>
      </c>
      <c r="H575" s="1166">
        <f>'House Count'!H575</f>
        <v/>
      </c>
    </row>
    <row r="576">
      <c r="A576" s="1165">
        <f>'House Count'!A576</f>
        <v/>
      </c>
      <c r="B576" s="1166">
        <f>'House Count'!E576</f>
        <v/>
      </c>
      <c r="C576" s="1166">
        <f>'House Count'!B576</f>
        <v/>
      </c>
      <c r="D576" s="1166">
        <f>'House Count'!C576</f>
        <v/>
      </c>
      <c r="E576" s="1166">
        <f>'House Count'!D576</f>
        <v/>
      </c>
      <c r="F576" s="1166">
        <f>IF(G576="RES-SFU","RESIDENTIAL",IF(G576="RES-HOA","RESIDENTIAL",IF(G576="RES-MDU","RESIDENTIAL",IF(G576="COMM-SU","BUSINESS",IF(G576="COM-MTU","BUSINESS",IF(G576="ENT","BUSINESS",""))))))</f>
        <v/>
      </c>
      <c r="G576" s="1166">
        <f>'House Count'!F576</f>
        <v/>
      </c>
      <c r="H576" s="1166">
        <f>'House Count'!H576</f>
        <v/>
      </c>
    </row>
    <row r="577">
      <c r="A577" s="1165">
        <f>'House Count'!A577</f>
        <v/>
      </c>
      <c r="B577" s="1166">
        <f>'House Count'!E577</f>
        <v/>
      </c>
      <c r="C577" s="1166">
        <f>'House Count'!B577</f>
        <v/>
      </c>
      <c r="D577" s="1166">
        <f>'House Count'!C577</f>
        <v/>
      </c>
      <c r="E577" s="1166">
        <f>'House Count'!D577</f>
        <v/>
      </c>
      <c r="F577" s="1166">
        <f>IF(G577="RES-SFU","RESIDENTIAL",IF(G577="RES-HOA","RESIDENTIAL",IF(G577="RES-MDU","RESIDENTIAL",IF(G577="COMM-SU","BUSINESS",IF(G577="COM-MTU","BUSINESS",IF(G577="ENT","BUSINESS",""))))))</f>
        <v/>
      </c>
      <c r="G577" s="1166">
        <f>'House Count'!F577</f>
        <v/>
      </c>
      <c r="H577" s="1166">
        <f>'House Count'!H577</f>
        <v/>
      </c>
    </row>
    <row r="578">
      <c r="A578" s="1165">
        <f>'House Count'!A578</f>
        <v/>
      </c>
      <c r="B578" s="1166">
        <f>'House Count'!E578</f>
        <v/>
      </c>
      <c r="C578" s="1166">
        <f>'House Count'!B578</f>
        <v/>
      </c>
      <c r="D578" s="1166">
        <f>'House Count'!C578</f>
        <v/>
      </c>
      <c r="E578" s="1166">
        <f>'House Count'!D578</f>
        <v/>
      </c>
      <c r="F578" s="1166">
        <f>IF(G578="RES-SFU","RESIDENTIAL",IF(G578="RES-HOA","RESIDENTIAL",IF(G578="RES-MDU","RESIDENTIAL",IF(G578="COMM-SU","BUSINESS",IF(G578="COM-MTU","BUSINESS",IF(G578="ENT","BUSINESS",""))))))</f>
        <v/>
      </c>
      <c r="G578" s="1166">
        <f>'House Count'!F578</f>
        <v/>
      </c>
      <c r="H578" s="1166">
        <f>'House Count'!H578</f>
        <v/>
      </c>
    </row>
    <row r="579">
      <c r="A579" s="1165">
        <f>'House Count'!A579</f>
        <v/>
      </c>
      <c r="B579" s="1166">
        <f>'House Count'!E579</f>
        <v/>
      </c>
      <c r="C579" s="1166">
        <f>'House Count'!B579</f>
        <v/>
      </c>
      <c r="D579" s="1166">
        <f>'House Count'!C579</f>
        <v/>
      </c>
      <c r="E579" s="1166">
        <f>'House Count'!D579</f>
        <v/>
      </c>
      <c r="F579" s="1166">
        <f>IF(G579="RES-SFU","RESIDENTIAL",IF(G579="RES-HOA","RESIDENTIAL",IF(G579="RES-MDU","RESIDENTIAL",IF(G579="COMM-SU","BUSINESS",IF(G579="COM-MTU","BUSINESS",IF(G579="ENT","BUSINESS",""))))))</f>
        <v/>
      </c>
      <c r="G579" s="1166">
        <f>'House Count'!F579</f>
        <v/>
      </c>
      <c r="H579" s="1166">
        <f>'House Count'!H579</f>
        <v/>
      </c>
    </row>
    <row r="580">
      <c r="A580" s="1165">
        <f>'House Count'!A580</f>
        <v/>
      </c>
      <c r="B580" s="1166">
        <f>'House Count'!E580</f>
        <v/>
      </c>
      <c r="C580" s="1166">
        <f>'House Count'!B580</f>
        <v/>
      </c>
      <c r="D580" s="1166">
        <f>'House Count'!C580</f>
        <v/>
      </c>
      <c r="E580" s="1166">
        <f>'House Count'!D580</f>
        <v/>
      </c>
      <c r="F580" s="1166">
        <f>IF(G580="RES-SFU","RESIDENTIAL",IF(G580="RES-HOA","RESIDENTIAL",IF(G580="RES-MDU","RESIDENTIAL",IF(G580="COMM-SU","BUSINESS",IF(G580="COM-MTU","BUSINESS",IF(G580="ENT","BUSINESS",""))))))</f>
        <v/>
      </c>
      <c r="G580" s="1166">
        <f>'House Count'!F580</f>
        <v/>
      </c>
      <c r="H580" s="1166">
        <f>'House Count'!H580</f>
        <v/>
      </c>
    </row>
    <row r="581">
      <c r="A581" s="1165">
        <f>'House Count'!A581</f>
        <v/>
      </c>
      <c r="B581" s="1166">
        <f>'House Count'!E581</f>
        <v/>
      </c>
      <c r="C581" s="1166">
        <f>'House Count'!B581</f>
        <v/>
      </c>
      <c r="D581" s="1166">
        <f>'House Count'!C581</f>
        <v/>
      </c>
      <c r="E581" s="1166">
        <f>'House Count'!D581</f>
        <v/>
      </c>
      <c r="F581" s="1166">
        <f>IF(G581="RES-SFU","RESIDENTIAL",IF(G581="RES-HOA","RESIDENTIAL",IF(G581="RES-MDU","RESIDENTIAL",IF(G581="COMM-SU","BUSINESS",IF(G581="COM-MTU","BUSINESS",IF(G581="ENT","BUSINESS",""))))))</f>
        <v/>
      </c>
      <c r="G581" s="1166">
        <f>'House Count'!F581</f>
        <v/>
      </c>
      <c r="H581" s="1166">
        <f>'House Count'!H581</f>
        <v/>
      </c>
    </row>
    <row r="582">
      <c r="A582" s="1165">
        <f>'House Count'!A582</f>
        <v/>
      </c>
      <c r="B582" s="1166">
        <f>'House Count'!E582</f>
        <v/>
      </c>
      <c r="C582" s="1166">
        <f>'House Count'!B582</f>
        <v/>
      </c>
      <c r="D582" s="1166">
        <f>'House Count'!C582</f>
        <v/>
      </c>
      <c r="E582" s="1166">
        <f>'House Count'!D582</f>
        <v/>
      </c>
      <c r="F582" s="1166">
        <f>IF(G582="RES-SFU","RESIDENTIAL",IF(G582="RES-HOA","RESIDENTIAL",IF(G582="RES-MDU","RESIDENTIAL",IF(G582="COMM-SU","BUSINESS",IF(G582="COM-MTU","BUSINESS",IF(G582="ENT","BUSINESS",""))))))</f>
        <v/>
      </c>
      <c r="G582" s="1166">
        <f>'House Count'!F582</f>
        <v/>
      </c>
      <c r="H582" s="1166">
        <f>'House Count'!H582</f>
        <v/>
      </c>
    </row>
    <row r="583">
      <c r="A583" s="1165">
        <f>'House Count'!A583</f>
        <v/>
      </c>
      <c r="B583" s="1166">
        <f>'House Count'!E583</f>
        <v/>
      </c>
      <c r="C583" s="1166">
        <f>'House Count'!B583</f>
        <v/>
      </c>
      <c r="D583" s="1166">
        <f>'House Count'!C583</f>
        <v/>
      </c>
      <c r="E583" s="1166">
        <f>'House Count'!D583</f>
        <v/>
      </c>
      <c r="F583" s="1166">
        <f>IF(G583="RES-SFU","RESIDENTIAL",IF(G583="RES-HOA","RESIDENTIAL",IF(G583="RES-MDU","RESIDENTIAL",IF(G583="COMM-SU","BUSINESS",IF(G583="COM-MTU","BUSINESS",IF(G583="ENT","BUSINESS",""))))))</f>
        <v/>
      </c>
      <c r="G583" s="1166">
        <f>'House Count'!F583</f>
        <v/>
      </c>
      <c r="H583" s="1166">
        <f>'House Count'!H583</f>
        <v/>
      </c>
    </row>
    <row r="584">
      <c r="A584" s="1165">
        <f>'House Count'!A584</f>
        <v/>
      </c>
      <c r="B584" s="1166">
        <f>'House Count'!E584</f>
        <v/>
      </c>
      <c r="C584" s="1166">
        <f>'House Count'!B584</f>
        <v/>
      </c>
      <c r="D584" s="1166">
        <f>'House Count'!C584</f>
        <v/>
      </c>
      <c r="E584" s="1166">
        <f>'House Count'!D584</f>
        <v/>
      </c>
      <c r="F584" s="1166">
        <f>IF(G584="RES-SFU","RESIDENTIAL",IF(G584="RES-HOA","RESIDENTIAL",IF(G584="RES-MDU","RESIDENTIAL",IF(G584="COMM-SU","BUSINESS",IF(G584="COM-MTU","BUSINESS",IF(G584="ENT","BUSINESS",""))))))</f>
        <v/>
      </c>
      <c r="G584" s="1166">
        <f>'House Count'!F584</f>
        <v/>
      </c>
      <c r="H584" s="1166">
        <f>'House Count'!H584</f>
        <v/>
      </c>
    </row>
    <row r="585">
      <c r="A585" s="1165">
        <f>'House Count'!A585</f>
        <v/>
      </c>
      <c r="B585" s="1166">
        <f>'House Count'!E585</f>
        <v/>
      </c>
      <c r="C585" s="1166">
        <f>'House Count'!B585</f>
        <v/>
      </c>
      <c r="D585" s="1166">
        <f>'House Count'!C585</f>
        <v/>
      </c>
      <c r="E585" s="1166">
        <f>'House Count'!D585</f>
        <v/>
      </c>
      <c r="F585" s="1166">
        <f>IF(G585="RES-SFU","RESIDENTIAL",IF(G585="RES-HOA","RESIDENTIAL",IF(G585="RES-MDU","RESIDENTIAL",IF(G585="COMM-SU","BUSINESS",IF(G585="COM-MTU","BUSINESS",IF(G585="ENT","BUSINESS",""))))))</f>
        <v/>
      </c>
      <c r="G585" s="1166">
        <f>'House Count'!F585</f>
        <v/>
      </c>
      <c r="H585" s="1166">
        <f>'House Count'!H585</f>
        <v/>
      </c>
    </row>
    <row r="586">
      <c r="A586" s="1165">
        <f>'House Count'!A586</f>
        <v/>
      </c>
      <c r="B586" s="1166">
        <f>'House Count'!E586</f>
        <v/>
      </c>
      <c r="C586" s="1166">
        <f>'House Count'!B586</f>
        <v/>
      </c>
      <c r="D586" s="1166">
        <f>'House Count'!C586</f>
        <v/>
      </c>
      <c r="E586" s="1166">
        <f>'House Count'!D586</f>
        <v/>
      </c>
      <c r="F586" s="1166">
        <f>IF(G586="RES-SFU","RESIDENTIAL",IF(G586="RES-HOA","RESIDENTIAL",IF(G586="RES-MDU","RESIDENTIAL",IF(G586="COMM-SU","BUSINESS",IF(G586="COM-MTU","BUSINESS",IF(G586="ENT","BUSINESS",""))))))</f>
        <v/>
      </c>
      <c r="G586" s="1166">
        <f>'House Count'!F586</f>
        <v/>
      </c>
      <c r="H586" s="1166">
        <f>'House Count'!H586</f>
        <v/>
      </c>
    </row>
    <row r="587">
      <c r="A587" s="1165">
        <f>'House Count'!A587</f>
        <v/>
      </c>
      <c r="B587" s="1166">
        <f>'House Count'!E587</f>
        <v/>
      </c>
      <c r="C587" s="1166">
        <f>'House Count'!B587</f>
        <v/>
      </c>
      <c r="D587" s="1166">
        <f>'House Count'!C587</f>
        <v/>
      </c>
      <c r="E587" s="1166">
        <f>'House Count'!D587</f>
        <v/>
      </c>
      <c r="F587" s="1166">
        <f>IF(G587="RES-SFU","RESIDENTIAL",IF(G587="RES-HOA","RESIDENTIAL",IF(G587="RES-MDU","RESIDENTIAL",IF(G587="COMM-SU","BUSINESS",IF(G587="COM-MTU","BUSINESS",IF(G587="ENT","BUSINESS",""))))))</f>
        <v/>
      </c>
      <c r="G587" s="1166">
        <f>'House Count'!F587</f>
        <v/>
      </c>
      <c r="H587" s="1166">
        <f>'House Count'!H587</f>
        <v/>
      </c>
    </row>
    <row r="588">
      <c r="A588" s="1165">
        <f>'House Count'!A588</f>
        <v/>
      </c>
      <c r="B588" s="1166">
        <f>'House Count'!E588</f>
        <v/>
      </c>
      <c r="C588" s="1166">
        <f>'House Count'!B588</f>
        <v/>
      </c>
      <c r="D588" s="1166">
        <f>'House Count'!C588</f>
        <v/>
      </c>
      <c r="E588" s="1166">
        <f>'House Count'!D588</f>
        <v/>
      </c>
      <c r="F588" s="1166">
        <f>IF(G588="RES-SFU","RESIDENTIAL",IF(G588="RES-HOA","RESIDENTIAL",IF(G588="RES-MDU","RESIDENTIAL",IF(G588="COMM-SU","BUSINESS",IF(G588="COM-MTU","BUSINESS",IF(G588="ENT","BUSINESS",""))))))</f>
        <v/>
      </c>
      <c r="G588" s="1166">
        <f>'House Count'!F588</f>
        <v/>
      </c>
      <c r="H588" s="1166">
        <f>'House Count'!H588</f>
        <v/>
      </c>
    </row>
    <row r="589">
      <c r="A589" s="1165">
        <f>'House Count'!A589</f>
        <v/>
      </c>
      <c r="B589" s="1166">
        <f>'House Count'!E589</f>
        <v/>
      </c>
      <c r="C589" s="1166">
        <f>'House Count'!B589</f>
        <v/>
      </c>
      <c r="D589" s="1166">
        <f>'House Count'!C589</f>
        <v/>
      </c>
      <c r="E589" s="1166">
        <f>'House Count'!D589</f>
        <v/>
      </c>
      <c r="F589" s="1166">
        <f>IF(G589="RES-SFU","RESIDENTIAL",IF(G589="RES-HOA","RESIDENTIAL",IF(G589="RES-MDU","RESIDENTIAL",IF(G589="COMM-SU","BUSINESS",IF(G589="COM-MTU","BUSINESS",IF(G589="ENT","BUSINESS",""))))))</f>
        <v/>
      </c>
      <c r="G589" s="1166">
        <f>'House Count'!F589</f>
        <v/>
      </c>
      <c r="H589" s="1166">
        <f>'House Count'!H589</f>
        <v/>
      </c>
    </row>
    <row r="590">
      <c r="A590" s="1165">
        <f>'House Count'!A590</f>
        <v/>
      </c>
      <c r="B590" s="1166">
        <f>'House Count'!E590</f>
        <v/>
      </c>
      <c r="C590" s="1166">
        <f>'House Count'!B590</f>
        <v/>
      </c>
      <c r="D590" s="1166">
        <f>'House Count'!C590</f>
        <v/>
      </c>
      <c r="E590" s="1166">
        <f>'House Count'!D590</f>
        <v/>
      </c>
      <c r="F590" s="1166">
        <f>IF(G590="RES-SFU","RESIDENTIAL",IF(G590="RES-HOA","RESIDENTIAL",IF(G590="RES-MDU","RESIDENTIAL",IF(G590="COMM-SU","BUSINESS",IF(G590="COM-MTU","BUSINESS",IF(G590="ENT","BUSINESS",""))))))</f>
        <v/>
      </c>
      <c r="G590" s="1166">
        <f>'House Count'!F590</f>
        <v/>
      </c>
      <c r="H590" s="1166">
        <f>'House Count'!H590</f>
        <v/>
      </c>
    </row>
    <row r="591">
      <c r="A591" s="1165">
        <f>'House Count'!A591</f>
        <v/>
      </c>
      <c r="B591" s="1166">
        <f>'House Count'!E591</f>
        <v/>
      </c>
      <c r="C591" s="1166">
        <f>'House Count'!B591</f>
        <v/>
      </c>
      <c r="D591" s="1166">
        <f>'House Count'!C591</f>
        <v/>
      </c>
      <c r="E591" s="1166">
        <f>'House Count'!D591</f>
        <v/>
      </c>
      <c r="F591" s="1166">
        <f>IF(G591="RES-SFU","RESIDENTIAL",IF(G591="RES-HOA","RESIDENTIAL",IF(G591="RES-MDU","RESIDENTIAL",IF(G591="COMM-SU","BUSINESS",IF(G591="COM-MTU","BUSINESS",IF(G591="ENT","BUSINESS",""))))))</f>
        <v/>
      </c>
      <c r="G591" s="1166">
        <f>'House Count'!F591</f>
        <v/>
      </c>
      <c r="H591" s="1166">
        <f>'House Count'!H591</f>
        <v/>
      </c>
    </row>
    <row r="592">
      <c r="A592" s="1165">
        <f>'House Count'!A592</f>
        <v/>
      </c>
      <c r="B592" s="1166">
        <f>'House Count'!E592</f>
        <v/>
      </c>
      <c r="C592" s="1166">
        <f>'House Count'!B592</f>
        <v/>
      </c>
      <c r="D592" s="1166">
        <f>'House Count'!C592</f>
        <v/>
      </c>
      <c r="E592" s="1166">
        <f>'House Count'!D592</f>
        <v/>
      </c>
      <c r="F592" s="1166">
        <f>IF(G592="RES-SFU","RESIDENTIAL",IF(G592="RES-HOA","RESIDENTIAL",IF(G592="RES-MDU","RESIDENTIAL",IF(G592="COMM-SU","BUSINESS",IF(G592="COM-MTU","BUSINESS",IF(G592="ENT","BUSINESS",""))))))</f>
        <v/>
      </c>
      <c r="G592" s="1166">
        <f>'House Count'!F592</f>
        <v/>
      </c>
      <c r="H592" s="1166">
        <f>'House Count'!H592</f>
        <v/>
      </c>
    </row>
    <row r="593">
      <c r="A593" s="1165">
        <f>'House Count'!A593</f>
        <v/>
      </c>
      <c r="B593" s="1166">
        <f>'House Count'!E593</f>
        <v/>
      </c>
      <c r="C593" s="1166">
        <f>'House Count'!B593</f>
        <v/>
      </c>
      <c r="D593" s="1166">
        <f>'House Count'!C593</f>
        <v/>
      </c>
      <c r="E593" s="1166">
        <f>'House Count'!D593</f>
        <v/>
      </c>
      <c r="F593" s="1166">
        <f>IF(G593="RES-SFU","RESIDENTIAL",IF(G593="RES-HOA","RESIDENTIAL",IF(G593="RES-MDU","RESIDENTIAL",IF(G593="COMM-SU","BUSINESS",IF(G593="COM-MTU","BUSINESS",IF(G593="ENT","BUSINESS",""))))))</f>
        <v/>
      </c>
      <c r="G593" s="1166">
        <f>'House Count'!F593</f>
        <v/>
      </c>
      <c r="H593" s="1166">
        <f>'House Count'!H593</f>
        <v/>
      </c>
    </row>
    <row r="594">
      <c r="A594" s="1165">
        <f>'House Count'!A594</f>
        <v/>
      </c>
      <c r="B594" s="1166">
        <f>'House Count'!E594</f>
        <v/>
      </c>
      <c r="C594" s="1166">
        <f>'House Count'!B594</f>
        <v/>
      </c>
      <c r="D594" s="1166">
        <f>'House Count'!C594</f>
        <v/>
      </c>
      <c r="E594" s="1166">
        <f>'House Count'!D594</f>
        <v/>
      </c>
      <c r="F594" s="1166">
        <f>IF(G594="RES-SFU","RESIDENTIAL",IF(G594="RES-HOA","RESIDENTIAL",IF(G594="RES-MDU","RESIDENTIAL",IF(G594="COMM-SU","BUSINESS",IF(G594="COM-MTU","BUSINESS",IF(G594="ENT","BUSINESS",""))))))</f>
        <v/>
      </c>
      <c r="G594" s="1166">
        <f>'House Count'!F594</f>
        <v/>
      </c>
      <c r="H594" s="1166">
        <f>'House Count'!H594</f>
        <v/>
      </c>
    </row>
    <row r="595">
      <c r="A595" s="1165">
        <f>'House Count'!A595</f>
        <v/>
      </c>
      <c r="B595" s="1166">
        <f>'House Count'!E595</f>
        <v/>
      </c>
      <c r="C595" s="1166">
        <f>'House Count'!B595</f>
        <v/>
      </c>
      <c r="D595" s="1166">
        <f>'House Count'!C595</f>
        <v/>
      </c>
      <c r="E595" s="1166">
        <f>'House Count'!D595</f>
        <v/>
      </c>
      <c r="F595" s="1166">
        <f>IF(G595="RES-SFU","RESIDENTIAL",IF(G595="RES-HOA","RESIDENTIAL",IF(G595="RES-MDU","RESIDENTIAL",IF(G595="COMM-SU","BUSINESS",IF(G595="COM-MTU","BUSINESS",IF(G595="ENT","BUSINESS",""))))))</f>
        <v/>
      </c>
      <c r="G595" s="1166">
        <f>'House Count'!F595</f>
        <v/>
      </c>
      <c r="H595" s="1166">
        <f>'House Count'!H595</f>
        <v/>
      </c>
    </row>
    <row r="596">
      <c r="A596" s="1165">
        <f>'House Count'!A596</f>
        <v/>
      </c>
      <c r="B596" s="1166">
        <f>'House Count'!E596</f>
        <v/>
      </c>
      <c r="C596" s="1166">
        <f>'House Count'!B596</f>
        <v/>
      </c>
      <c r="D596" s="1166">
        <f>'House Count'!C596</f>
        <v/>
      </c>
      <c r="E596" s="1166">
        <f>'House Count'!D596</f>
        <v/>
      </c>
      <c r="F596" s="1166">
        <f>IF(G596="RES-SFU","RESIDENTIAL",IF(G596="RES-HOA","RESIDENTIAL",IF(G596="RES-MDU","RESIDENTIAL",IF(G596="COMM-SU","BUSINESS",IF(G596="COM-MTU","BUSINESS",IF(G596="ENT","BUSINESS",""))))))</f>
        <v/>
      </c>
      <c r="G596" s="1166">
        <f>'House Count'!F596</f>
        <v/>
      </c>
      <c r="H596" s="1166">
        <f>'House Count'!H596</f>
        <v/>
      </c>
    </row>
    <row r="597">
      <c r="A597" s="1165">
        <f>'House Count'!A597</f>
        <v/>
      </c>
      <c r="B597" s="1166">
        <f>'House Count'!E597</f>
        <v/>
      </c>
      <c r="C597" s="1166">
        <f>'House Count'!B597</f>
        <v/>
      </c>
      <c r="D597" s="1166">
        <f>'House Count'!C597</f>
        <v/>
      </c>
      <c r="E597" s="1166">
        <f>'House Count'!D597</f>
        <v/>
      </c>
      <c r="F597" s="1166">
        <f>IF(G597="RES-SFU","RESIDENTIAL",IF(G597="RES-HOA","RESIDENTIAL",IF(G597="RES-MDU","RESIDENTIAL",IF(G597="COMM-SU","BUSINESS",IF(G597="COM-MTU","BUSINESS",IF(G597="ENT","BUSINESS",""))))))</f>
        <v/>
      </c>
      <c r="G597" s="1166">
        <f>'House Count'!F597</f>
        <v/>
      </c>
      <c r="H597" s="1166">
        <f>'House Count'!H597</f>
        <v/>
      </c>
    </row>
    <row r="598">
      <c r="A598" s="1165">
        <f>'House Count'!A598</f>
        <v/>
      </c>
      <c r="B598" s="1166">
        <f>'House Count'!E598</f>
        <v/>
      </c>
      <c r="C598" s="1166">
        <f>'House Count'!B598</f>
        <v/>
      </c>
      <c r="D598" s="1166">
        <f>'House Count'!C598</f>
        <v/>
      </c>
      <c r="E598" s="1166">
        <f>'House Count'!D598</f>
        <v/>
      </c>
      <c r="F598" s="1166">
        <f>IF(G598="RES-SFU","RESIDENTIAL",IF(G598="RES-HOA","RESIDENTIAL",IF(G598="RES-MDU","RESIDENTIAL",IF(G598="COMM-SU","BUSINESS",IF(G598="COM-MTU","BUSINESS",IF(G598="ENT","BUSINESS",""))))))</f>
        <v/>
      </c>
      <c r="G598" s="1166">
        <f>'House Count'!F598</f>
        <v/>
      </c>
      <c r="H598" s="1166">
        <f>'House Count'!H598</f>
        <v/>
      </c>
    </row>
    <row r="599">
      <c r="A599" s="1165">
        <f>'House Count'!A599</f>
        <v/>
      </c>
      <c r="B599" s="1166">
        <f>'House Count'!E599</f>
        <v/>
      </c>
      <c r="C599" s="1166">
        <f>'House Count'!B599</f>
        <v/>
      </c>
      <c r="D599" s="1166">
        <f>'House Count'!C599</f>
        <v/>
      </c>
      <c r="E599" s="1166">
        <f>'House Count'!D599</f>
        <v/>
      </c>
      <c r="F599" s="1166">
        <f>IF(G599="RES-SFU","RESIDENTIAL",IF(G599="RES-HOA","RESIDENTIAL",IF(G599="RES-MDU","RESIDENTIAL",IF(G599="COMM-SU","BUSINESS",IF(G599="COM-MTU","BUSINESS",IF(G599="ENT","BUSINESS",""))))))</f>
        <v/>
      </c>
      <c r="G599" s="1166">
        <f>'House Count'!F599</f>
        <v/>
      </c>
      <c r="H599" s="1166">
        <f>'House Count'!H599</f>
        <v/>
      </c>
    </row>
    <row r="600">
      <c r="A600" s="1165">
        <f>'House Count'!A600</f>
        <v/>
      </c>
      <c r="B600" s="1166">
        <f>'House Count'!E600</f>
        <v/>
      </c>
      <c r="C600" s="1166">
        <f>'House Count'!B600</f>
        <v/>
      </c>
      <c r="D600" s="1166">
        <f>'House Count'!C600</f>
        <v/>
      </c>
      <c r="E600" s="1166">
        <f>'House Count'!D600</f>
        <v/>
      </c>
      <c r="F600" s="1166">
        <f>IF(G600="RES-SFU","RESIDENTIAL",IF(G600="RES-HOA","RESIDENTIAL",IF(G600="RES-MDU","RESIDENTIAL",IF(G600="COMM-SU","BUSINESS",IF(G600="COM-MTU","BUSINESS",IF(G600="ENT","BUSINESS",""))))))</f>
        <v/>
      </c>
      <c r="G600" s="1166">
        <f>'House Count'!F600</f>
        <v/>
      </c>
      <c r="H600" s="1166">
        <f>'House Count'!H600</f>
        <v/>
      </c>
    </row>
    <row r="601">
      <c r="A601" s="1165">
        <f>'House Count'!A601</f>
        <v/>
      </c>
      <c r="B601" s="1166">
        <f>'House Count'!E601</f>
        <v/>
      </c>
      <c r="C601" s="1166">
        <f>'House Count'!B601</f>
        <v/>
      </c>
      <c r="D601" s="1166">
        <f>'House Count'!C601</f>
        <v/>
      </c>
      <c r="E601" s="1166">
        <f>'House Count'!D601</f>
        <v/>
      </c>
      <c r="F601" s="1166">
        <f>IF(G601="RES-SFU","RESIDENTIAL",IF(G601="RES-HOA","RESIDENTIAL",IF(G601="RES-MDU","RESIDENTIAL",IF(G601="COMM-SU","BUSINESS",IF(G601="COM-MTU","BUSINESS",IF(G601="ENT","BUSINESS",""))))))</f>
        <v/>
      </c>
      <c r="G601" s="1166">
        <f>'House Count'!F601</f>
        <v/>
      </c>
      <c r="H601" s="1166">
        <f>'House Count'!H601</f>
        <v/>
      </c>
    </row>
    <row r="602">
      <c r="A602" s="1165">
        <f>'House Count'!A602</f>
        <v/>
      </c>
      <c r="B602" s="1166">
        <f>'House Count'!E602</f>
        <v/>
      </c>
      <c r="C602" s="1166">
        <f>'House Count'!B602</f>
        <v/>
      </c>
      <c r="D602" s="1166">
        <f>'House Count'!C602</f>
        <v/>
      </c>
      <c r="E602" s="1166">
        <f>'House Count'!D602</f>
        <v/>
      </c>
      <c r="F602" s="1166">
        <f>IF(G602="RES-SFU","RESIDENTIAL",IF(G602="RES-HOA","RESIDENTIAL",IF(G602="RES-MDU","RESIDENTIAL",IF(G602="COMM-SU","BUSINESS",IF(G602="COM-MTU","BUSINESS",IF(G602="ENT","BUSINESS",""))))))</f>
        <v/>
      </c>
      <c r="G602" s="1166">
        <f>'House Count'!F602</f>
        <v/>
      </c>
      <c r="H602" s="1166">
        <f>'House Count'!H602</f>
        <v/>
      </c>
    </row>
    <row r="603">
      <c r="A603" s="1165">
        <f>'House Count'!A603</f>
        <v/>
      </c>
      <c r="B603" s="1166">
        <f>'House Count'!E603</f>
        <v/>
      </c>
      <c r="C603" s="1166">
        <f>'House Count'!B603</f>
        <v/>
      </c>
      <c r="D603" s="1166">
        <f>'House Count'!C603</f>
        <v/>
      </c>
      <c r="E603" s="1166">
        <f>'House Count'!D603</f>
        <v/>
      </c>
      <c r="F603" s="1166">
        <f>IF(G603="RES-SFU","RESIDENTIAL",IF(G603="RES-HOA","RESIDENTIAL",IF(G603="RES-MDU","RESIDENTIAL",IF(G603="COMM-SU","BUSINESS",IF(G603="COM-MTU","BUSINESS",IF(G603="ENT","BUSINESS",""))))))</f>
        <v/>
      </c>
      <c r="G603" s="1166">
        <f>'House Count'!F603</f>
        <v/>
      </c>
      <c r="H603" s="1166">
        <f>'House Count'!H603</f>
        <v/>
      </c>
    </row>
    <row r="604">
      <c r="A604" s="1165">
        <f>'House Count'!A604</f>
        <v/>
      </c>
      <c r="B604" s="1166">
        <f>'House Count'!E604</f>
        <v/>
      </c>
      <c r="C604" s="1166">
        <f>'House Count'!B604</f>
        <v/>
      </c>
      <c r="D604" s="1166">
        <f>'House Count'!C604</f>
        <v/>
      </c>
      <c r="E604" s="1166">
        <f>'House Count'!D604</f>
        <v/>
      </c>
      <c r="F604" s="1166">
        <f>IF(G604="RES-SFU","RESIDENTIAL",IF(G604="RES-HOA","RESIDENTIAL",IF(G604="RES-MDU","RESIDENTIAL",IF(G604="COMM-SU","BUSINESS",IF(G604="COM-MTU","BUSINESS",IF(G604="ENT","BUSINESS",""))))))</f>
        <v/>
      </c>
      <c r="G604" s="1166">
        <f>'House Count'!F604</f>
        <v/>
      </c>
      <c r="H604" s="1166">
        <f>'House Count'!H604</f>
        <v/>
      </c>
    </row>
    <row r="605">
      <c r="A605" s="1165">
        <f>'House Count'!A605</f>
        <v/>
      </c>
      <c r="B605" s="1166">
        <f>'House Count'!E605</f>
        <v/>
      </c>
      <c r="C605" s="1166">
        <f>'House Count'!B605</f>
        <v/>
      </c>
      <c r="D605" s="1166">
        <f>'House Count'!C605</f>
        <v/>
      </c>
      <c r="E605" s="1166">
        <f>'House Count'!D605</f>
        <v/>
      </c>
      <c r="F605" s="1166">
        <f>IF(G605="RES-SFU","RESIDENTIAL",IF(G605="RES-HOA","RESIDENTIAL",IF(G605="RES-MDU","RESIDENTIAL",IF(G605="COMM-SU","BUSINESS",IF(G605="COM-MTU","BUSINESS",IF(G605="ENT","BUSINESS",""))))))</f>
        <v/>
      </c>
      <c r="G605" s="1166">
        <f>'House Count'!F605</f>
        <v/>
      </c>
      <c r="H605" s="1166">
        <f>'House Count'!H605</f>
        <v/>
      </c>
    </row>
    <row r="606">
      <c r="A606" s="1165">
        <f>'House Count'!A606</f>
        <v/>
      </c>
      <c r="B606" s="1166">
        <f>'House Count'!E606</f>
        <v/>
      </c>
      <c r="C606" s="1166">
        <f>'House Count'!B606</f>
        <v/>
      </c>
      <c r="D606" s="1166">
        <f>'House Count'!C606</f>
        <v/>
      </c>
      <c r="E606" s="1166">
        <f>'House Count'!D606</f>
        <v/>
      </c>
      <c r="F606" s="1166">
        <f>IF(G606="RES-SFU","RESIDENTIAL",IF(G606="RES-HOA","RESIDENTIAL",IF(G606="RES-MDU","RESIDENTIAL",IF(G606="COMM-SU","BUSINESS",IF(G606="COM-MTU","BUSINESS",IF(G606="ENT","BUSINESS",""))))))</f>
        <v/>
      </c>
      <c r="G606" s="1166">
        <f>'House Count'!F606</f>
        <v/>
      </c>
      <c r="H606" s="1166">
        <f>'House Count'!H606</f>
        <v/>
      </c>
    </row>
    <row r="607">
      <c r="A607" s="1165">
        <f>'House Count'!A607</f>
        <v/>
      </c>
      <c r="B607" s="1166">
        <f>'House Count'!E607</f>
        <v/>
      </c>
      <c r="C607" s="1166">
        <f>'House Count'!B607</f>
        <v/>
      </c>
      <c r="D607" s="1166">
        <f>'House Count'!C607</f>
        <v/>
      </c>
      <c r="E607" s="1166">
        <f>'House Count'!D607</f>
        <v/>
      </c>
      <c r="F607" s="1166">
        <f>IF(G607="RES-SFU","RESIDENTIAL",IF(G607="RES-HOA","RESIDENTIAL",IF(G607="RES-MDU","RESIDENTIAL",IF(G607="COMM-SU","BUSINESS",IF(G607="COM-MTU","BUSINESS",IF(G607="ENT","BUSINESS",""))))))</f>
        <v/>
      </c>
      <c r="G607" s="1166">
        <f>'House Count'!F607</f>
        <v/>
      </c>
      <c r="H607" s="1166">
        <f>'House Count'!H607</f>
        <v/>
      </c>
    </row>
    <row r="608">
      <c r="A608" s="1165">
        <f>'House Count'!A608</f>
        <v/>
      </c>
      <c r="B608" s="1166">
        <f>'House Count'!E608</f>
        <v/>
      </c>
      <c r="C608" s="1166">
        <f>'House Count'!B608</f>
        <v/>
      </c>
      <c r="D608" s="1166">
        <f>'House Count'!C608</f>
        <v/>
      </c>
      <c r="E608" s="1166">
        <f>'House Count'!D608</f>
        <v/>
      </c>
      <c r="F608" s="1166">
        <f>IF(G608="RES-SFU","RESIDENTIAL",IF(G608="RES-HOA","RESIDENTIAL",IF(G608="RES-MDU","RESIDENTIAL",IF(G608="COMM-SU","BUSINESS",IF(G608="COM-MTU","BUSINESS",IF(G608="ENT","BUSINESS",""))))))</f>
        <v/>
      </c>
      <c r="G608" s="1166">
        <f>'House Count'!F608</f>
        <v/>
      </c>
      <c r="H608" s="1166">
        <f>'House Count'!H608</f>
        <v/>
      </c>
    </row>
    <row r="609">
      <c r="A609" s="1165">
        <f>'House Count'!A609</f>
        <v/>
      </c>
      <c r="B609" s="1166">
        <f>'House Count'!E609</f>
        <v/>
      </c>
      <c r="C609" s="1166">
        <f>'House Count'!B609</f>
        <v/>
      </c>
      <c r="D609" s="1166">
        <f>'House Count'!C609</f>
        <v/>
      </c>
      <c r="E609" s="1166">
        <f>'House Count'!D609</f>
        <v/>
      </c>
      <c r="F609" s="1166">
        <f>IF(G609="RES-SFU","RESIDENTIAL",IF(G609="RES-HOA","RESIDENTIAL",IF(G609="RES-MDU","RESIDENTIAL",IF(G609="COMM-SU","BUSINESS",IF(G609="COM-MTU","BUSINESS",IF(G609="ENT","BUSINESS",""))))))</f>
        <v/>
      </c>
      <c r="G609" s="1166">
        <f>'House Count'!F609</f>
        <v/>
      </c>
      <c r="H609" s="1166">
        <f>'House Count'!H609</f>
        <v/>
      </c>
    </row>
    <row r="610">
      <c r="A610" s="1165">
        <f>'House Count'!A610</f>
        <v/>
      </c>
      <c r="B610" s="1166">
        <f>'House Count'!E610</f>
        <v/>
      </c>
      <c r="C610" s="1166">
        <f>'House Count'!B610</f>
        <v/>
      </c>
      <c r="D610" s="1166">
        <f>'House Count'!C610</f>
        <v/>
      </c>
      <c r="E610" s="1166">
        <f>'House Count'!D610</f>
        <v/>
      </c>
      <c r="F610" s="1166">
        <f>IF(G610="RES-SFU","RESIDENTIAL",IF(G610="RES-HOA","RESIDENTIAL",IF(G610="RES-MDU","RESIDENTIAL",IF(G610="COMM-SU","BUSINESS",IF(G610="COM-MTU","BUSINESS",IF(G610="ENT","BUSINESS",""))))))</f>
        <v/>
      </c>
      <c r="G610" s="1166">
        <f>'House Count'!F610</f>
        <v/>
      </c>
      <c r="H610" s="1166">
        <f>'House Count'!H610</f>
        <v/>
      </c>
    </row>
    <row r="611">
      <c r="A611" s="1165">
        <f>'House Count'!A611</f>
        <v/>
      </c>
      <c r="B611" s="1166">
        <f>'House Count'!E611</f>
        <v/>
      </c>
      <c r="C611" s="1166">
        <f>'House Count'!B611</f>
        <v/>
      </c>
      <c r="D611" s="1166">
        <f>'House Count'!C611</f>
        <v/>
      </c>
      <c r="E611" s="1166">
        <f>'House Count'!D611</f>
        <v/>
      </c>
      <c r="F611" s="1166">
        <f>IF(G611="RES-SFU","RESIDENTIAL",IF(G611="RES-HOA","RESIDENTIAL",IF(G611="RES-MDU","RESIDENTIAL",IF(G611="COMM-SU","BUSINESS",IF(G611="COM-MTU","BUSINESS",IF(G611="ENT","BUSINESS",""))))))</f>
        <v/>
      </c>
      <c r="G611" s="1166">
        <f>'House Count'!F611</f>
        <v/>
      </c>
      <c r="H611" s="1166">
        <f>'House Count'!H611</f>
        <v/>
      </c>
    </row>
    <row r="612">
      <c r="A612" s="1165">
        <f>'House Count'!A612</f>
        <v/>
      </c>
      <c r="B612" s="1166">
        <f>'House Count'!E612</f>
        <v/>
      </c>
      <c r="C612" s="1166">
        <f>'House Count'!B612</f>
        <v/>
      </c>
      <c r="D612" s="1166">
        <f>'House Count'!C612</f>
        <v/>
      </c>
      <c r="E612" s="1166">
        <f>'House Count'!D612</f>
        <v/>
      </c>
      <c r="F612" s="1166">
        <f>IF(G612="RES-SFU","RESIDENTIAL",IF(G612="RES-HOA","RESIDENTIAL",IF(G612="RES-MDU","RESIDENTIAL",IF(G612="COMM-SU","BUSINESS",IF(G612="COM-MTU","BUSINESS",IF(G612="ENT","BUSINESS",""))))))</f>
        <v/>
      </c>
      <c r="G612" s="1166">
        <f>'House Count'!F612</f>
        <v/>
      </c>
      <c r="H612" s="1166">
        <f>'House Count'!H612</f>
        <v/>
      </c>
    </row>
    <row r="613">
      <c r="A613" s="1165">
        <f>'House Count'!A613</f>
        <v/>
      </c>
      <c r="B613" s="1166">
        <f>'House Count'!E613</f>
        <v/>
      </c>
      <c r="C613" s="1166">
        <f>'House Count'!B613</f>
        <v/>
      </c>
      <c r="D613" s="1166">
        <f>'House Count'!C613</f>
        <v/>
      </c>
      <c r="E613" s="1166">
        <f>'House Count'!D613</f>
        <v/>
      </c>
      <c r="F613" s="1166">
        <f>IF(G613="RES-SFU","RESIDENTIAL",IF(G613="RES-HOA","RESIDENTIAL",IF(G613="RES-MDU","RESIDENTIAL",IF(G613="COMM-SU","BUSINESS",IF(G613="COM-MTU","BUSINESS",IF(G613="ENT","BUSINESS",""))))))</f>
        <v/>
      </c>
      <c r="G613" s="1166">
        <f>'House Count'!F613</f>
        <v/>
      </c>
      <c r="H613" s="1166">
        <f>'House Count'!H613</f>
        <v/>
      </c>
    </row>
    <row r="614">
      <c r="A614" s="1165">
        <f>'House Count'!A614</f>
        <v/>
      </c>
      <c r="B614" s="1166">
        <f>'House Count'!E614</f>
        <v/>
      </c>
      <c r="C614" s="1166">
        <f>'House Count'!B614</f>
        <v/>
      </c>
      <c r="D614" s="1166">
        <f>'House Count'!C614</f>
        <v/>
      </c>
      <c r="E614" s="1166">
        <f>'House Count'!D614</f>
        <v/>
      </c>
      <c r="F614" s="1166">
        <f>IF(G614="RES-SFU","RESIDENTIAL",IF(G614="RES-HOA","RESIDENTIAL",IF(G614="RES-MDU","RESIDENTIAL",IF(G614="COMM-SU","BUSINESS",IF(G614="COM-MTU","BUSINESS",IF(G614="ENT","BUSINESS",""))))))</f>
        <v/>
      </c>
      <c r="G614" s="1166">
        <f>'House Count'!F614</f>
        <v/>
      </c>
      <c r="H614" s="1166">
        <f>'House Count'!H614</f>
        <v/>
      </c>
    </row>
    <row r="615">
      <c r="A615" s="1165">
        <f>'House Count'!A615</f>
        <v/>
      </c>
      <c r="B615" s="1166">
        <f>'House Count'!E615</f>
        <v/>
      </c>
      <c r="C615" s="1166">
        <f>'House Count'!B615</f>
        <v/>
      </c>
      <c r="D615" s="1166">
        <f>'House Count'!C615</f>
        <v/>
      </c>
      <c r="E615" s="1166">
        <f>'House Count'!D615</f>
        <v/>
      </c>
      <c r="F615" s="1166">
        <f>IF(G615="RES-SFU","RESIDENTIAL",IF(G615="RES-HOA","RESIDENTIAL",IF(G615="RES-MDU","RESIDENTIAL",IF(G615="COMM-SU","BUSINESS",IF(G615="COM-MTU","BUSINESS",IF(G615="ENT","BUSINESS",""))))))</f>
        <v/>
      </c>
      <c r="G615" s="1166">
        <f>'House Count'!F615</f>
        <v/>
      </c>
      <c r="H615" s="1166">
        <f>'House Count'!H615</f>
        <v/>
      </c>
    </row>
    <row r="616">
      <c r="A616" s="1165">
        <f>'House Count'!A616</f>
        <v/>
      </c>
      <c r="B616" s="1166">
        <f>'House Count'!E616</f>
        <v/>
      </c>
      <c r="C616" s="1166">
        <f>'House Count'!B616</f>
        <v/>
      </c>
      <c r="D616" s="1166">
        <f>'House Count'!C616</f>
        <v/>
      </c>
      <c r="E616" s="1166">
        <f>'House Count'!D616</f>
        <v/>
      </c>
      <c r="F616" s="1166">
        <f>IF(G616="RES-SFU","RESIDENTIAL",IF(G616="RES-HOA","RESIDENTIAL",IF(G616="RES-MDU","RESIDENTIAL",IF(G616="COMM-SU","BUSINESS",IF(G616="COM-MTU","BUSINESS",IF(G616="ENT","BUSINESS",""))))))</f>
        <v/>
      </c>
      <c r="G616" s="1166">
        <f>'House Count'!F616</f>
        <v/>
      </c>
      <c r="H616" s="1166">
        <f>'House Count'!H616</f>
        <v/>
      </c>
    </row>
    <row r="617">
      <c r="A617" s="1165">
        <f>'House Count'!A617</f>
        <v/>
      </c>
      <c r="B617" s="1166">
        <f>'House Count'!E617</f>
        <v/>
      </c>
      <c r="C617" s="1166">
        <f>'House Count'!B617</f>
        <v/>
      </c>
      <c r="D617" s="1166">
        <f>'House Count'!C617</f>
        <v/>
      </c>
      <c r="E617" s="1166">
        <f>'House Count'!D617</f>
        <v/>
      </c>
      <c r="F617" s="1166">
        <f>IF(G617="RES-SFU","RESIDENTIAL",IF(G617="RES-HOA","RESIDENTIAL",IF(G617="RES-MDU","RESIDENTIAL",IF(G617="COMM-SU","BUSINESS",IF(G617="COM-MTU","BUSINESS",IF(G617="ENT","BUSINESS",""))))))</f>
        <v/>
      </c>
      <c r="G617" s="1166">
        <f>'House Count'!F617</f>
        <v/>
      </c>
      <c r="H617" s="1166">
        <f>'House Count'!H617</f>
        <v/>
      </c>
    </row>
    <row r="618">
      <c r="A618" s="1165">
        <f>'House Count'!A618</f>
        <v/>
      </c>
      <c r="B618" s="1166">
        <f>'House Count'!E618</f>
        <v/>
      </c>
      <c r="C618" s="1166">
        <f>'House Count'!B618</f>
        <v/>
      </c>
      <c r="D618" s="1166">
        <f>'House Count'!C618</f>
        <v/>
      </c>
      <c r="E618" s="1166">
        <f>'House Count'!D618</f>
        <v/>
      </c>
      <c r="F618" s="1166">
        <f>IF(G618="RES-SFU","RESIDENTIAL",IF(G618="RES-HOA","RESIDENTIAL",IF(G618="RES-MDU","RESIDENTIAL",IF(G618="COMM-SU","BUSINESS",IF(G618="COM-MTU","BUSINESS",IF(G618="ENT","BUSINESS",""))))))</f>
        <v/>
      </c>
      <c r="G618" s="1166">
        <f>'House Count'!F618</f>
        <v/>
      </c>
      <c r="H618" s="1166">
        <f>'House Count'!H618</f>
        <v/>
      </c>
    </row>
    <row r="619">
      <c r="A619" s="1165">
        <f>'House Count'!A619</f>
        <v/>
      </c>
      <c r="B619" s="1166">
        <f>'House Count'!E619</f>
        <v/>
      </c>
      <c r="C619" s="1166">
        <f>'House Count'!B619</f>
        <v/>
      </c>
      <c r="D619" s="1166">
        <f>'House Count'!C619</f>
        <v/>
      </c>
      <c r="E619" s="1166">
        <f>'House Count'!D619</f>
        <v/>
      </c>
      <c r="F619" s="1166">
        <f>IF(G619="RES-SFU","RESIDENTIAL",IF(G619="RES-HOA","RESIDENTIAL",IF(G619="RES-MDU","RESIDENTIAL",IF(G619="COMM-SU","BUSINESS",IF(G619="COM-MTU","BUSINESS",IF(G619="ENT","BUSINESS",""))))))</f>
        <v/>
      </c>
      <c r="G619" s="1166">
        <f>'House Count'!F619</f>
        <v/>
      </c>
      <c r="H619" s="1166">
        <f>'House Count'!H619</f>
        <v/>
      </c>
    </row>
    <row r="620">
      <c r="A620" s="1165">
        <f>'House Count'!A620</f>
        <v/>
      </c>
      <c r="B620" s="1166">
        <f>'House Count'!E620</f>
        <v/>
      </c>
      <c r="C620" s="1166">
        <f>'House Count'!B620</f>
        <v/>
      </c>
      <c r="D620" s="1166">
        <f>'House Count'!C620</f>
        <v/>
      </c>
      <c r="E620" s="1166">
        <f>'House Count'!D620</f>
        <v/>
      </c>
      <c r="F620" s="1166">
        <f>IF(G620="RES-SFU","RESIDENTIAL",IF(G620="RES-HOA","RESIDENTIAL",IF(G620="RES-MDU","RESIDENTIAL",IF(G620="COMM-SU","BUSINESS",IF(G620="COM-MTU","BUSINESS",IF(G620="ENT","BUSINESS",""))))))</f>
        <v/>
      </c>
      <c r="G620" s="1166">
        <f>'House Count'!F620</f>
        <v/>
      </c>
      <c r="H620" s="1166">
        <f>'House Count'!H620</f>
        <v/>
      </c>
    </row>
    <row r="621">
      <c r="A621" s="1165">
        <f>'House Count'!A621</f>
        <v/>
      </c>
      <c r="B621" s="1166">
        <f>'House Count'!E621</f>
        <v/>
      </c>
      <c r="C621" s="1166">
        <f>'House Count'!B621</f>
        <v/>
      </c>
      <c r="D621" s="1166">
        <f>'House Count'!C621</f>
        <v/>
      </c>
      <c r="E621" s="1166">
        <f>'House Count'!D621</f>
        <v/>
      </c>
      <c r="F621" s="1166">
        <f>IF(G621="RES-SFU","RESIDENTIAL",IF(G621="RES-HOA","RESIDENTIAL",IF(G621="RES-MDU","RESIDENTIAL",IF(G621="COMM-SU","BUSINESS",IF(G621="COM-MTU","BUSINESS",IF(G621="ENT","BUSINESS",""))))))</f>
        <v/>
      </c>
      <c r="G621" s="1166">
        <f>'House Count'!F621</f>
        <v/>
      </c>
      <c r="H621" s="1166">
        <f>'House Count'!H621</f>
        <v/>
      </c>
    </row>
    <row r="622">
      <c r="A622" s="1165">
        <f>'House Count'!A622</f>
        <v/>
      </c>
      <c r="B622" s="1166">
        <f>'House Count'!E622</f>
        <v/>
      </c>
      <c r="C622" s="1166">
        <f>'House Count'!B622</f>
        <v/>
      </c>
      <c r="D622" s="1166">
        <f>'House Count'!C622</f>
        <v/>
      </c>
      <c r="E622" s="1166">
        <f>'House Count'!D622</f>
        <v/>
      </c>
      <c r="F622" s="1166">
        <f>IF(G622="RES-SFU","RESIDENTIAL",IF(G622="RES-HOA","RESIDENTIAL",IF(G622="RES-MDU","RESIDENTIAL",IF(G622="COMM-SU","BUSINESS",IF(G622="COM-MTU","BUSINESS",IF(G622="ENT","BUSINESS",""))))))</f>
        <v/>
      </c>
      <c r="G622" s="1166">
        <f>'House Count'!F622</f>
        <v/>
      </c>
      <c r="H622" s="1166">
        <f>'House Count'!H622</f>
        <v/>
      </c>
    </row>
    <row r="623">
      <c r="A623" s="1165">
        <f>'House Count'!A623</f>
        <v/>
      </c>
      <c r="B623" s="1166">
        <f>'House Count'!E623</f>
        <v/>
      </c>
      <c r="C623" s="1166">
        <f>'House Count'!B623</f>
        <v/>
      </c>
      <c r="D623" s="1166">
        <f>'House Count'!C623</f>
        <v/>
      </c>
      <c r="E623" s="1166">
        <f>'House Count'!D623</f>
        <v/>
      </c>
      <c r="F623" s="1166">
        <f>IF(G623="RES-SFU","RESIDENTIAL",IF(G623="RES-HOA","RESIDENTIAL",IF(G623="RES-MDU","RESIDENTIAL",IF(G623="COMM-SU","BUSINESS",IF(G623="COM-MTU","BUSINESS",IF(G623="ENT","BUSINESS",""))))))</f>
        <v/>
      </c>
      <c r="G623" s="1166">
        <f>'House Count'!F623</f>
        <v/>
      </c>
      <c r="H623" s="1166">
        <f>'House Count'!H623</f>
        <v/>
      </c>
    </row>
    <row r="624">
      <c r="A624" s="1165">
        <f>'House Count'!A624</f>
        <v/>
      </c>
      <c r="B624" s="1166">
        <f>'House Count'!E624</f>
        <v/>
      </c>
      <c r="C624" s="1166">
        <f>'House Count'!B624</f>
        <v/>
      </c>
      <c r="D624" s="1166">
        <f>'House Count'!C624</f>
        <v/>
      </c>
      <c r="E624" s="1166">
        <f>'House Count'!D624</f>
        <v/>
      </c>
      <c r="F624" s="1166">
        <f>IF(G624="RES-SFU","RESIDENTIAL",IF(G624="RES-HOA","RESIDENTIAL",IF(G624="RES-MDU","RESIDENTIAL",IF(G624="COMM-SU","BUSINESS",IF(G624="COM-MTU","BUSINESS",IF(G624="ENT","BUSINESS",""))))))</f>
        <v/>
      </c>
      <c r="G624" s="1166">
        <f>'House Count'!F624</f>
        <v/>
      </c>
      <c r="H624" s="1166">
        <f>'House Count'!H624</f>
        <v/>
      </c>
    </row>
    <row r="625">
      <c r="A625" s="1165">
        <f>'House Count'!A625</f>
        <v/>
      </c>
      <c r="B625" s="1166">
        <f>'House Count'!E625</f>
        <v/>
      </c>
      <c r="C625" s="1166">
        <f>'House Count'!B625</f>
        <v/>
      </c>
      <c r="D625" s="1166">
        <f>'House Count'!C625</f>
        <v/>
      </c>
      <c r="E625" s="1166">
        <f>'House Count'!D625</f>
        <v/>
      </c>
      <c r="F625" s="1166">
        <f>IF(G625="RES-SFU","RESIDENTIAL",IF(G625="RES-HOA","RESIDENTIAL",IF(G625="RES-MDU","RESIDENTIAL",IF(G625="COMM-SU","BUSINESS",IF(G625="COM-MTU","BUSINESS",IF(G625="ENT","BUSINESS",""))))))</f>
        <v/>
      </c>
      <c r="G625" s="1166">
        <f>'House Count'!F625</f>
        <v/>
      </c>
      <c r="H625" s="1166">
        <f>'House Count'!H625</f>
        <v/>
      </c>
    </row>
    <row r="626">
      <c r="A626" s="1165">
        <f>'House Count'!A626</f>
        <v/>
      </c>
      <c r="B626" s="1166">
        <f>'House Count'!E626</f>
        <v/>
      </c>
      <c r="C626" s="1166">
        <f>'House Count'!B626</f>
        <v/>
      </c>
      <c r="D626" s="1166">
        <f>'House Count'!C626</f>
        <v/>
      </c>
      <c r="E626" s="1166">
        <f>'House Count'!D626</f>
        <v/>
      </c>
      <c r="F626" s="1166">
        <f>IF(G626="RES-SFU","RESIDENTIAL",IF(G626="RES-HOA","RESIDENTIAL",IF(G626="RES-MDU","RESIDENTIAL",IF(G626="COMM-SU","BUSINESS",IF(G626="COM-MTU","BUSINESS",IF(G626="ENT","BUSINESS",""))))))</f>
        <v/>
      </c>
      <c r="G626" s="1166">
        <f>'House Count'!F626</f>
        <v/>
      </c>
      <c r="H626" s="1166">
        <f>'House Count'!H626</f>
        <v/>
      </c>
    </row>
    <row r="627">
      <c r="A627" s="1165">
        <f>'House Count'!A627</f>
        <v/>
      </c>
      <c r="B627" s="1166">
        <f>'House Count'!E627</f>
        <v/>
      </c>
      <c r="C627" s="1166">
        <f>'House Count'!B627</f>
        <v/>
      </c>
      <c r="D627" s="1166">
        <f>'House Count'!C627</f>
        <v/>
      </c>
      <c r="E627" s="1166">
        <f>'House Count'!D627</f>
        <v/>
      </c>
      <c r="F627" s="1166">
        <f>IF(G627="RES-SFU","RESIDENTIAL",IF(G627="RES-HOA","RESIDENTIAL",IF(G627="RES-MDU","RESIDENTIAL",IF(G627="COMM-SU","BUSINESS",IF(G627="COM-MTU","BUSINESS",IF(G627="ENT","BUSINESS",""))))))</f>
        <v/>
      </c>
      <c r="G627" s="1166">
        <f>'House Count'!F627</f>
        <v/>
      </c>
      <c r="H627" s="1166">
        <f>'House Count'!H627</f>
        <v/>
      </c>
    </row>
    <row r="628">
      <c r="A628" s="1165">
        <f>'House Count'!A628</f>
        <v/>
      </c>
      <c r="B628" s="1166">
        <f>'House Count'!E628</f>
        <v/>
      </c>
      <c r="C628" s="1166">
        <f>'House Count'!B628</f>
        <v/>
      </c>
      <c r="D628" s="1166">
        <f>'House Count'!C628</f>
        <v/>
      </c>
      <c r="E628" s="1166">
        <f>'House Count'!D628</f>
        <v/>
      </c>
      <c r="F628" s="1166">
        <f>IF(G628="RES-SFU","RESIDENTIAL",IF(G628="RES-HOA","RESIDENTIAL",IF(G628="RES-MDU","RESIDENTIAL",IF(G628="COMM-SU","BUSINESS",IF(G628="COM-MTU","BUSINESS",IF(G628="ENT","BUSINESS",""))))))</f>
        <v/>
      </c>
      <c r="G628" s="1166">
        <f>'House Count'!F628</f>
        <v/>
      </c>
      <c r="H628" s="1166">
        <f>'House Count'!H628</f>
        <v/>
      </c>
    </row>
    <row r="629">
      <c r="A629" s="1165">
        <f>'House Count'!A629</f>
        <v/>
      </c>
      <c r="B629" s="1166">
        <f>'House Count'!E629</f>
        <v/>
      </c>
      <c r="C629" s="1166">
        <f>'House Count'!B629</f>
        <v/>
      </c>
      <c r="D629" s="1166">
        <f>'House Count'!C629</f>
        <v/>
      </c>
      <c r="E629" s="1166">
        <f>'House Count'!D629</f>
        <v/>
      </c>
      <c r="F629" s="1166">
        <f>IF(G629="RES-SFU","RESIDENTIAL",IF(G629="RES-HOA","RESIDENTIAL",IF(G629="RES-MDU","RESIDENTIAL",IF(G629="COMM-SU","BUSINESS",IF(G629="COM-MTU","BUSINESS",IF(G629="ENT","BUSINESS",""))))))</f>
        <v/>
      </c>
      <c r="G629" s="1166">
        <f>'House Count'!F629</f>
        <v/>
      </c>
      <c r="H629" s="1166">
        <f>'House Count'!H629</f>
        <v/>
      </c>
    </row>
    <row r="630">
      <c r="A630" s="1165">
        <f>'House Count'!A630</f>
        <v/>
      </c>
      <c r="B630" s="1166">
        <f>'House Count'!E630</f>
        <v/>
      </c>
      <c r="C630" s="1166">
        <f>'House Count'!B630</f>
        <v/>
      </c>
      <c r="D630" s="1166">
        <f>'House Count'!C630</f>
        <v/>
      </c>
      <c r="E630" s="1166">
        <f>'House Count'!D630</f>
        <v/>
      </c>
      <c r="F630" s="1166">
        <f>IF(G630="RES-SFU","RESIDENTIAL",IF(G630="RES-HOA","RESIDENTIAL",IF(G630="RES-MDU","RESIDENTIAL",IF(G630="COMM-SU","BUSINESS",IF(G630="COM-MTU","BUSINESS",IF(G630="ENT","BUSINESS",""))))))</f>
        <v/>
      </c>
      <c r="G630" s="1166">
        <f>'House Count'!F630</f>
        <v/>
      </c>
      <c r="H630" s="1166">
        <f>'House Count'!H630</f>
        <v/>
      </c>
    </row>
    <row r="631">
      <c r="A631" s="1165">
        <f>'House Count'!A631</f>
        <v/>
      </c>
      <c r="B631" s="1166">
        <f>'House Count'!E631</f>
        <v/>
      </c>
      <c r="C631" s="1166">
        <f>'House Count'!B631</f>
        <v/>
      </c>
      <c r="D631" s="1166">
        <f>'House Count'!C631</f>
        <v/>
      </c>
      <c r="E631" s="1166">
        <f>'House Count'!D631</f>
        <v/>
      </c>
      <c r="F631" s="1166">
        <f>IF(G631="RES-SFU","RESIDENTIAL",IF(G631="RES-HOA","RESIDENTIAL",IF(G631="RES-MDU","RESIDENTIAL",IF(G631="COMM-SU","BUSINESS",IF(G631="COM-MTU","BUSINESS",IF(G631="ENT","BUSINESS",""))))))</f>
        <v/>
      </c>
      <c r="G631" s="1166">
        <f>'House Count'!F631</f>
        <v/>
      </c>
      <c r="H631" s="1166">
        <f>'House Count'!H631</f>
        <v/>
      </c>
    </row>
    <row r="632">
      <c r="A632" s="1165">
        <f>'House Count'!A632</f>
        <v/>
      </c>
      <c r="B632" s="1166">
        <f>'House Count'!E632</f>
        <v/>
      </c>
      <c r="C632" s="1166">
        <f>'House Count'!B632</f>
        <v/>
      </c>
      <c r="D632" s="1166">
        <f>'House Count'!C632</f>
        <v/>
      </c>
      <c r="E632" s="1166">
        <f>'House Count'!D632</f>
        <v/>
      </c>
      <c r="F632" s="1166">
        <f>IF(G632="RES-SFU","RESIDENTIAL",IF(G632="RES-HOA","RESIDENTIAL",IF(G632="RES-MDU","RESIDENTIAL",IF(G632="COMM-SU","BUSINESS",IF(G632="COM-MTU","BUSINESS",IF(G632="ENT","BUSINESS",""))))))</f>
        <v/>
      </c>
      <c r="G632" s="1166">
        <f>'House Count'!F632</f>
        <v/>
      </c>
      <c r="H632" s="1166">
        <f>'House Count'!H632</f>
        <v/>
      </c>
    </row>
    <row r="633">
      <c r="A633" s="1165">
        <f>'House Count'!A633</f>
        <v/>
      </c>
      <c r="B633" s="1166">
        <f>'House Count'!E633</f>
        <v/>
      </c>
      <c r="C633" s="1166">
        <f>'House Count'!B633</f>
        <v/>
      </c>
      <c r="D633" s="1166">
        <f>'House Count'!C633</f>
        <v/>
      </c>
      <c r="E633" s="1166">
        <f>'House Count'!D633</f>
        <v/>
      </c>
      <c r="F633" s="1166">
        <f>IF(G633="RES-SFU","RESIDENTIAL",IF(G633="RES-HOA","RESIDENTIAL",IF(G633="RES-MDU","RESIDENTIAL",IF(G633="COMM-SU","BUSINESS",IF(G633="COM-MTU","BUSINESS",IF(G633="ENT","BUSINESS",""))))))</f>
        <v/>
      </c>
      <c r="G633" s="1166">
        <f>'House Count'!F633</f>
        <v/>
      </c>
      <c r="H633" s="1166">
        <f>'House Count'!H633</f>
        <v/>
      </c>
    </row>
    <row r="634">
      <c r="A634" s="1165">
        <f>'House Count'!A634</f>
        <v/>
      </c>
      <c r="B634" s="1166">
        <f>'House Count'!E634</f>
        <v/>
      </c>
      <c r="C634" s="1166">
        <f>'House Count'!B634</f>
        <v/>
      </c>
      <c r="D634" s="1166">
        <f>'House Count'!C634</f>
        <v/>
      </c>
      <c r="E634" s="1166">
        <f>'House Count'!D634</f>
        <v/>
      </c>
      <c r="F634" s="1166">
        <f>IF(G634="RES-SFU","RESIDENTIAL",IF(G634="RES-HOA","RESIDENTIAL",IF(G634="RES-MDU","RESIDENTIAL",IF(G634="COMM-SU","BUSINESS",IF(G634="COM-MTU","BUSINESS",IF(G634="ENT","BUSINESS",""))))))</f>
        <v/>
      </c>
      <c r="G634" s="1166">
        <f>'House Count'!F634</f>
        <v/>
      </c>
      <c r="H634" s="1166">
        <f>'House Count'!H634</f>
        <v/>
      </c>
    </row>
    <row r="635">
      <c r="A635" s="1165">
        <f>'House Count'!A635</f>
        <v/>
      </c>
      <c r="B635" s="1166">
        <f>'House Count'!E635</f>
        <v/>
      </c>
      <c r="C635" s="1166">
        <f>'House Count'!B635</f>
        <v/>
      </c>
      <c r="D635" s="1166">
        <f>'House Count'!C635</f>
        <v/>
      </c>
      <c r="E635" s="1166">
        <f>'House Count'!D635</f>
        <v/>
      </c>
      <c r="F635" s="1166">
        <f>IF(G635="RES-SFU","RESIDENTIAL",IF(G635="RES-HOA","RESIDENTIAL",IF(G635="RES-MDU","RESIDENTIAL",IF(G635="COMM-SU","BUSINESS",IF(G635="COM-MTU","BUSINESS",IF(G635="ENT","BUSINESS",""))))))</f>
        <v/>
      </c>
      <c r="G635" s="1166">
        <f>'House Count'!F635</f>
        <v/>
      </c>
      <c r="H635" s="1166">
        <f>'House Count'!H635</f>
        <v/>
      </c>
    </row>
    <row r="636">
      <c r="A636" s="1165">
        <f>'House Count'!A636</f>
        <v/>
      </c>
      <c r="B636" s="1166">
        <f>'House Count'!E636</f>
        <v/>
      </c>
      <c r="C636" s="1166">
        <f>'House Count'!B636</f>
        <v/>
      </c>
      <c r="D636" s="1166">
        <f>'House Count'!C636</f>
        <v/>
      </c>
      <c r="E636" s="1166">
        <f>'House Count'!D636</f>
        <v/>
      </c>
      <c r="F636" s="1166">
        <f>IF(G636="RES-SFU","RESIDENTIAL",IF(G636="RES-HOA","RESIDENTIAL",IF(G636="RES-MDU","RESIDENTIAL",IF(G636="COMM-SU","BUSINESS",IF(G636="COM-MTU","BUSINESS",IF(G636="ENT","BUSINESS",""))))))</f>
        <v/>
      </c>
      <c r="G636" s="1166">
        <f>'House Count'!F636</f>
        <v/>
      </c>
      <c r="H636" s="1166">
        <f>'House Count'!H636</f>
        <v/>
      </c>
    </row>
    <row r="637">
      <c r="A637" s="1165">
        <f>'House Count'!A637</f>
        <v/>
      </c>
      <c r="B637" s="1166">
        <f>'House Count'!E637</f>
        <v/>
      </c>
      <c r="C637" s="1166">
        <f>'House Count'!B637</f>
        <v/>
      </c>
      <c r="D637" s="1166">
        <f>'House Count'!C637</f>
        <v/>
      </c>
      <c r="E637" s="1166">
        <f>'House Count'!D637</f>
        <v/>
      </c>
      <c r="F637" s="1166">
        <f>IF(G637="RES-SFU","RESIDENTIAL",IF(G637="RES-HOA","RESIDENTIAL",IF(G637="RES-MDU","RESIDENTIAL",IF(G637="COMM-SU","BUSINESS",IF(G637="COM-MTU","BUSINESS",IF(G637="ENT","BUSINESS",""))))))</f>
        <v/>
      </c>
      <c r="G637" s="1166">
        <f>'House Count'!F637</f>
        <v/>
      </c>
      <c r="H637" s="1166">
        <f>'House Count'!H637</f>
        <v/>
      </c>
    </row>
    <row r="638">
      <c r="A638" s="1165">
        <f>'House Count'!A638</f>
        <v/>
      </c>
      <c r="B638" s="1166">
        <f>'House Count'!E638</f>
        <v/>
      </c>
      <c r="C638" s="1166">
        <f>'House Count'!B638</f>
        <v/>
      </c>
      <c r="D638" s="1166">
        <f>'House Count'!C638</f>
        <v/>
      </c>
      <c r="E638" s="1166">
        <f>'House Count'!D638</f>
        <v/>
      </c>
      <c r="F638" s="1166">
        <f>IF(G638="RES-SFU","RESIDENTIAL",IF(G638="RES-HOA","RESIDENTIAL",IF(G638="RES-MDU","RESIDENTIAL",IF(G638="COMM-SU","BUSINESS",IF(G638="COM-MTU","BUSINESS",IF(G638="ENT","BUSINESS",""))))))</f>
        <v/>
      </c>
      <c r="G638" s="1166">
        <f>'House Count'!F638</f>
        <v/>
      </c>
      <c r="H638" s="1166">
        <f>'House Count'!H638</f>
        <v/>
      </c>
    </row>
    <row r="639">
      <c r="A639" s="1165">
        <f>'House Count'!A639</f>
        <v/>
      </c>
      <c r="B639" s="1166">
        <f>'House Count'!E639</f>
        <v/>
      </c>
      <c r="C639" s="1166">
        <f>'House Count'!B639</f>
        <v/>
      </c>
      <c r="D639" s="1166">
        <f>'House Count'!C639</f>
        <v/>
      </c>
      <c r="E639" s="1166">
        <f>'House Count'!D639</f>
        <v/>
      </c>
      <c r="F639" s="1166">
        <f>IF(G639="RES-SFU","RESIDENTIAL",IF(G639="RES-HOA","RESIDENTIAL",IF(G639="RES-MDU","RESIDENTIAL",IF(G639="COMM-SU","BUSINESS",IF(G639="COM-MTU","BUSINESS",IF(G639="ENT","BUSINESS",""))))))</f>
        <v/>
      </c>
      <c r="G639" s="1166">
        <f>'House Count'!F639</f>
        <v/>
      </c>
      <c r="H639" s="1166">
        <f>'House Count'!H639</f>
        <v/>
      </c>
    </row>
    <row r="640">
      <c r="A640" s="1165">
        <f>'House Count'!A640</f>
        <v/>
      </c>
      <c r="B640" s="1166">
        <f>'House Count'!E640</f>
        <v/>
      </c>
      <c r="C640" s="1166">
        <f>'House Count'!B640</f>
        <v/>
      </c>
      <c r="D640" s="1166">
        <f>'House Count'!C640</f>
        <v/>
      </c>
      <c r="E640" s="1166">
        <f>'House Count'!D640</f>
        <v/>
      </c>
      <c r="F640" s="1166">
        <f>IF(G640="RES-SFU","RESIDENTIAL",IF(G640="RES-HOA","RESIDENTIAL",IF(G640="RES-MDU","RESIDENTIAL",IF(G640="COMM-SU","BUSINESS",IF(G640="COM-MTU","BUSINESS",IF(G640="ENT","BUSINESS",""))))))</f>
        <v/>
      </c>
      <c r="G640" s="1166">
        <f>'House Count'!F640</f>
        <v/>
      </c>
      <c r="H640" s="1166">
        <f>'House Count'!H640</f>
        <v/>
      </c>
    </row>
    <row r="641">
      <c r="A641" s="1165">
        <f>'House Count'!A641</f>
        <v/>
      </c>
      <c r="B641" s="1166">
        <f>'House Count'!E641</f>
        <v/>
      </c>
      <c r="C641" s="1166">
        <f>'House Count'!B641</f>
        <v/>
      </c>
      <c r="D641" s="1166">
        <f>'House Count'!C641</f>
        <v/>
      </c>
      <c r="E641" s="1166">
        <f>'House Count'!D641</f>
        <v/>
      </c>
      <c r="F641" s="1166">
        <f>IF(G641="RES-SFU","RESIDENTIAL",IF(G641="RES-HOA","RESIDENTIAL",IF(G641="RES-MDU","RESIDENTIAL",IF(G641="COMM-SU","BUSINESS",IF(G641="COM-MTU","BUSINESS",IF(G641="ENT","BUSINESS",""))))))</f>
        <v/>
      </c>
      <c r="G641" s="1166">
        <f>'House Count'!F641</f>
        <v/>
      </c>
      <c r="H641" s="1166">
        <f>'House Count'!H641</f>
        <v/>
      </c>
    </row>
    <row r="642">
      <c r="A642" s="1165">
        <f>'House Count'!A642</f>
        <v/>
      </c>
      <c r="B642" s="1166">
        <f>'House Count'!E642</f>
        <v/>
      </c>
      <c r="C642" s="1166">
        <f>'House Count'!B642</f>
        <v/>
      </c>
      <c r="D642" s="1166">
        <f>'House Count'!C642</f>
        <v/>
      </c>
      <c r="E642" s="1166">
        <f>'House Count'!D642</f>
        <v/>
      </c>
      <c r="F642" s="1166">
        <f>IF(G642="RES-SFU","RESIDENTIAL",IF(G642="RES-HOA","RESIDENTIAL",IF(G642="RES-MDU","RESIDENTIAL",IF(G642="COMM-SU","BUSINESS",IF(G642="COM-MTU","BUSINESS",IF(G642="ENT","BUSINESS",""))))))</f>
        <v/>
      </c>
      <c r="G642" s="1166">
        <f>'House Count'!F642</f>
        <v/>
      </c>
      <c r="H642" s="1166">
        <f>'House Count'!H642</f>
        <v/>
      </c>
    </row>
    <row r="643">
      <c r="A643" s="1165">
        <f>'House Count'!A643</f>
        <v/>
      </c>
      <c r="B643" s="1166">
        <f>'House Count'!E643</f>
        <v/>
      </c>
      <c r="C643" s="1166">
        <f>'House Count'!B643</f>
        <v/>
      </c>
      <c r="D643" s="1166">
        <f>'House Count'!C643</f>
        <v/>
      </c>
      <c r="E643" s="1166">
        <f>'House Count'!D643</f>
        <v/>
      </c>
      <c r="F643" s="1166">
        <f>IF(G643="RES-SFU","RESIDENTIAL",IF(G643="RES-HOA","RESIDENTIAL",IF(G643="RES-MDU","RESIDENTIAL",IF(G643="COMM-SU","BUSINESS",IF(G643="COM-MTU","BUSINESS",IF(G643="ENT","BUSINESS",""))))))</f>
        <v/>
      </c>
      <c r="G643" s="1166">
        <f>'House Count'!F643</f>
        <v/>
      </c>
      <c r="H643" s="1166">
        <f>'House Count'!H643</f>
        <v/>
      </c>
    </row>
    <row r="644">
      <c r="A644" s="1165">
        <f>'House Count'!A644</f>
        <v/>
      </c>
      <c r="B644" s="1166">
        <f>'House Count'!E644</f>
        <v/>
      </c>
      <c r="C644" s="1166">
        <f>'House Count'!B644</f>
        <v/>
      </c>
      <c r="D644" s="1166">
        <f>'House Count'!C644</f>
        <v/>
      </c>
      <c r="E644" s="1166">
        <f>'House Count'!D644</f>
        <v/>
      </c>
      <c r="F644" s="1166">
        <f>IF(G644="RES-SFU","RESIDENTIAL",IF(G644="RES-HOA","RESIDENTIAL",IF(G644="RES-MDU","RESIDENTIAL",IF(G644="COMM-SU","BUSINESS",IF(G644="COM-MTU","BUSINESS",IF(G644="ENT","BUSINESS",""))))))</f>
        <v/>
      </c>
      <c r="G644" s="1166">
        <f>'House Count'!F644</f>
        <v/>
      </c>
      <c r="H644" s="1166">
        <f>'House Count'!H644</f>
        <v/>
      </c>
    </row>
    <row r="645">
      <c r="A645" s="1165">
        <f>'House Count'!A645</f>
        <v/>
      </c>
      <c r="B645" s="1166">
        <f>'House Count'!E645</f>
        <v/>
      </c>
      <c r="C645" s="1166">
        <f>'House Count'!B645</f>
        <v/>
      </c>
      <c r="D645" s="1166">
        <f>'House Count'!C645</f>
        <v/>
      </c>
      <c r="E645" s="1166">
        <f>'House Count'!D645</f>
        <v/>
      </c>
      <c r="F645" s="1166">
        <f>IF(G645="RES-SFU","RESIDENTIAL",IF(G645="RES-HOA","RESIDENTIAL",IF(G645="RES-MDU","RESIDENTIAL",IF(G645="COMM-SU","BUSINESS",IF(G645="COM-MTU","BUSINESS",IF(G645="ENT","BUSINESS",""))))))</f>
        <v/>
      </c>
      <c r="G645" s="1166">
        <f>'House Count'!F645</f>
        <v/>
      </c>
      <c r="H645" s="1166">
        <f>'House Count'!H645</f>
        <v/>
      </c>
    </row>
    <row r="646">
      <c r="A646" s="1165">
        <f>'House Count'!A646</f>
        <v/>
      </c>
      <c r="B646" s="1166">
        <f>'House Count'!E646</f>
        <v/>
      </c>
      <c r="C646" s="1166">
        <f>'House Count'!B646</f>
        <v/>
      </c>
      <c r="D646" s="1166">
        <f>'House Count'!C646</f>
        <v/>
      </c>
      <c r="E646" s="1166">
        <f>'House Count'!D646</f>
        <v/>
      </c>
      <c r="F646" s="1166">
        <f>IF(G646="RES-SFU","RESIDENTIAL",IF(G646="RES-HOA","RESIDENTIAL",IF(G646="RES-MDU","RESIDENTIAL",IF(G646="COMM-SU","BUSINESS",IF(G646="COM-MTU","BUSINESS",IF(G646="ENT","BUSINESS",""))))))</f>
        <v/>
      </c>
      <c r="G646" s="1166">
        <f>'House Count'!F646</f>
        <v/>
      </c>
      <c r="H646" s="1166">
        <f>'House Count'!H646</f>
        <v/>
      </c>
    </row>
    <row r="647">
      <c r="A647" s="1165">
        <f>'House Count'!A647</f>
        <v/>
      </c>
      <c r="B647" s="1166">
        <f>'House Count'!E647</f>
        <v/>
      </c>
      <c r="C647" s="1166">
        <f>'House Count'!B647</f>
        <v/>
      </c>
      <c r="D647" s="1166">
        <f>'House Count'!C647</f>
        <v/>
      </c>
      <c r="E647" s="1166">
        <f>'House Count'!D647</f>
        <v/>
      </c>
      <c r="F647" s="1166">
        <f>IF(G647="RES-SFU","RESIDENTIAL",IF(G647="RES-HOA","RESIDENTIAL",IF(G647="RES-MDU","RESIDENTIAL",IF(G647="COMM-SU","BUSINESS",IF(G647="COM-MTU","BUSINESS",IF(G647="ENT","BUSINESS",""))))))</f>
        <v/>
      </c>
      <c r="G647" s="1166">
        <f>'House Count'!F647</f>
        <v/>
      </c>
      <c r="H647" s="1166">
        <f>'House Count'!H647</f>
        <v/>
      </c>
    </row>
    <row r="648">
      <c r="A648" s="1165">
        <f>'House Count'!A648</f>
        <v/>
      </c>
      <c r="B648" s="1166">
        <f>'House Count'!E648</f>
        <v/>
      </c>
      <c r="C648" s="1166">
        <f>'House Count'!B648</f>
        <v/>
      </c>
      <c r="D648" s="1166">
        <f>'House Count'!C648</f>
        <v/>
      </c>
      <c r="E648" s="1166">
        <f>'House Count'!D648</f>
        <v/>
      </c>
      <c r="F648" s="1166">
        <f>IF(G648="RES-SFU","RESIDENTIAL",IF(G648="RES-HOA","RESIDENTIAL",IF(G648="RES-MDU","RESIDENTIAL",IF(G648="COMM-SU","BUSINESS",IF(G648="COM-MTU","BUSINESS",IF(G648="ENT","BUSINESS",""))))))</f>
        <v/>
      </c>
      <c r="G648" s="1166">
        <f>'House Count'!F648</f>
        <v/>
      </c>
      <c r="H648" s="1166">
        <f>'House Count'!H648</f>
        <v/>
      </c>
    </row>
    <row r="649">
      <c r="A649" s="1165">
        <f>'House Count'!A649</f>
        <v/>
      </c>
      <c r="B649" s="1166">
        <f>'House Count'!E649</f>
        <v/>
      </c>
      <c r="C649" s="1166">
        <f>'House Count'!B649</f>
        <v/>
      </c>
      <c r="D649" s="1166">
        <f>'House Count'!C649</f>
        <v/>
      </c>
      <c r="E649" s="1166">
        <f>'House Count'!D649</f>
        <v/>
      </c>
      <c r="F649" s="1166">
        <f>IF(G649="RES-SFU","RESIDENTIAL",IF(G649="RES-HOA","RESIDENTIAL",IF(G649="RES-MDU","RESIDENTIAL",IF(G649="COMM-SU","BUSINESS",IF(G649="COM-MTU","BUSINESS",IF(G649="ENT","BUSINESS",""))))))</f>
        <v/>
      </c>
      <c r="G649" s="1166">
        <f>'House Count'!F649</f>
        <v/>
      </c>
      <c r="H649" s="1166">
        <f>'House Count'!H649</f>
        <v/>
      </c>
    </row>
    <row r="650">
      <c r="A650" s="1165">
        <f>'House Count'!A650</f>
        <v/>
      </c>
      <c r="B650" s="1166">
        <f>'House Count'!E650</f>
        <v/>
      </c>
      <c r="C650" s="1166">
        <f>'House Count'!B650</f>
        <v/>
      </c>
      <c r="D650" s="1166">
        <f>'House Count'!C650</f>
        <v/>
      </c>
      <c r="E650" s="1166">
        <f>'House Count'!D650</f>
        <v/>
      </c>
      <c r="F650" s="1166">
        <f>IF(G650="RES-SFU","RESIDENTIAL",IF(G650="RES-HOA","RESIDENTIAL",IF(G650="RES-MDU","RESIDENTIAL",IF(G650="COMM-SU","BUSINESS",IF(G650="COM-MTU","BUSINESS",IF(G650="ENT","BUSINESS",""))))))</f>
        <v/>
      </c>
      <c r="G650" s="1166">
        <f>'House Count'!F650</f>
        <v/>
      </c>
      <c r="H650" s="1166">
        <f>'House Count'!H650</f>
        <v/>
      </c>
    </row>
    <row r="651">
      <c r="A651" s="1165">
        <f>'House Count'!A651</f>
        <v/>
      </c>
      <c r="B651" s="1166">
        <f>'House Count'!E651</f>
        <v/>
      </c>
      <c r="C651" s="1166">
        <f>'House Count'!B651</f>
        <v/>
      </c>
      <c r="D651" s="1166">
        <f>'House Count'!C651</f>
        <v/>
      </c>
      <c r="E651" s="1166">
        <f>'House Count'!D651</f>
        <v/>
      </c>
      <c r="F651" s="1166">
        <f>IF(G651="RES-SFU","RESIDENTIAL",IF(G651="RES-HOA","RESIDENTIAL",IF(G651="RES-MDU","RESIDENTIAL",IF(G651="COMM-SU","BUSINESS",IF(G651="COM-MTU","BUSINESS",IF(G651="ENT","BUSINESS",""))))))</f>
        <v/>
      </c>
      <c r="G651" s="1166">
        <f>'House Count'!F651</f>
        <v/>
      </c>
      <c r="H651" s="1166">
        <f>'House Count'!H651</f>
        <v/>
      </c>
    </row>
    <row r="652">
      <c r="A652" s="1165">
        <f>'House Count'!A652</f>
        <v/>
      </c>
      <c r="B652" s="1166">
        <f>'House Count'!E652</f>
        <v/>
      </c>
      <c r="C652" s="1166">
        <f>'House Count'!B652</f>
        <v/>
      </c>
      <c r="D652" s="1166">
        <f>'House Count'!C652</f>
        <v/>
      </c>
      <c r="E652" s="1166">
        <f>'House Count'!D652</f>
        <v/>
      </c>
      <c r="F652" s="1166">
        <f>IF(G652="RES-SFU","RESIDENTIAL",IF(G652="RES-HOA","RESIDENTIAL",IF(G652="RES-MDU","RESIDENTIAL",IF(G652="COMM-SU","BUSINESS",IF(G652="COM-MTU","BUSINESS",IF(G652="ENT","BUSINESS",""))))))</f>
        <v/>
      </c>
      <c r="G652" s="1166">
        <f>'House Count'!F652</f>
        <v/>
      </c>
      <c r="H652" s="1166">
        <f>'House Count'!H652</f>
        <v/>
      </c>
    </row>
    <row r="653">
      <c r="A653" s="1165">
        <f>'House Count'!A653</f>
        <v/>
      </c>
      <c r="B653" s="1166">
        <f>'House Count'!E653</f>
        <v/>
      </c>
      <c r="C653" s="1166">
        <f>'House Count'!B653</f>
        <v/>
      </c>
      <c r="D653" s="1166">
        <f>'House Count'!C653</f>
        <v/>
      </c>
      <c r="E653" s="1166">
        <f>'House Count'!D653</f>
        <v/>
      </c>
      <c r="F653" s="1166">
        <f>IF(G653="RES-SFU","RESIDENTIAL",IF(G653="RES-HOA","RESIDENTIAL",IF(G653="RES-MDU","RESIDENTIAL",IF(G653="COMM-SU","BUSINESS",IF(G653="COM-MTU","BUSINESS",IF(G653="ENT","BUSINESS",""))))))</f>
        <v/>
      </c>
      <c r="G653" s="1166">
        <f>'House Count'!F653</f>
        <v/>
      </c>
      <c r="H653" s="1166">
        <f>'House Count'!H653</f>
        <v/>
      </c>
    </row>
    <row r="654">
      <c r="A654" s="1165">
        <f>'House Count'!A654</f>
        <v/>
      </c>
      <c r="B654" s="1166">
        <f>'House Count'!E654</f>
        <v/>
      </c>
      <c r="C654" s="1166">
        <f>'House Count'!B654</f>
        <v/>
      </c>
      <c r="D654" s="1166">
        <f>'House Count'!C654</f>
        <v/>
      </c>
      <c r="E654" s="1166">
        <f>'House Count'!D654</f>
        <v/>
      </c>
      <c r="F654" s="1166">
        <f>IF(G654="RES-SFU","RESIDENTIAL",IF(G654="RES-HOA","RESIDENTIAL",IF(G654="RES-MDU","RESIDENTIAL",IF(G654="COMM-SU","BUSINESS",IF(G654="COM-MTU","BUSINESS",IF(G654="ENT","BUSINESS",""))))))</f>
        <v/>
      </c>
      <c r="G654" s="1166">
        <f>'House Count'!F654</f>
        <v/>
      </c>
      <c r="H654" s="1166">
        <f>'House Count'!H654</f>
        <v/>
      </c>
    </row>
    <row r="655">
      <c r="A655" s="1165">
        <f>'House Count'!A655</f>
        <v/>
      </c>
      <c r="B655" s="1166">
        <f>'House Count'!E655</f>
        <v/>
      </c>
      <c r="C655" s="1166">
        <f>'House Count'!B655</f>
        <v/>
      </c>
      <c r="D655" s="1166">
        <f>'House Count'!C655</f>
        <v/>
      </c>
      <c r="E655" s="1166">
        <f>'House Count'!D655</f>
        <v/>
      </c>
      <c r="F655" s="1166">
        <f>IF(G655="RES-SFU","RESIDENTIAL",IF(G655="RES-HOA","RESIDENTIAL",IF(G655="RES-MDU","RESIDENTIAL",IF(G655="COMM-SU","BUSINESS",IF(G655="COM-MTU","BUSINESS",IF(G655="ENT","BUSINESS",""))))))</f>
        <v/>
      </c>
      <c r="G655" s="1166">
        <f>'House Count'!F655</f>
        <v/>
      </c>
      <c r="H655" s="1166">
        <f>'House Count'!H655</f>
        <v/>
      </c>
    </row>
    <row r="656">
      <c r="A656" s="1165">
        <f>'House Count'!A656</f>
        <v/>
      </c>
      <c r="B656" s="1166">
        <f>'House Count'!E656</f>
        <v/>
      </c>
      <c r="C656" s="1166">
        <f>'House Count'!B656</f>
        <v/>
      </c>
      <c r="D656" s="1166">
        <f>'House Count'!C656</f>
        <v/>
      </c>
      <c r="E656" s="1166">
        <f>'House Count'!D656</f>
        <v/>
      </c>
      <c r="F656" s="1166">
        <f>IF(G656="RES-SFU","RESIDENTIAL",IF(G656="RES-HOA","RESIDENTIAL",IF(G656="RES-MDU","RESIDENTIAL",IF(G656="COMM-SU","BUSINESS",IF(G656="COM-MTU","BUSINESS",IF(G656="ENT","BUSINESS",""))))))</f>
        <v/>
      </c>
      <c r="G656" s="1166">
        <f>'House Count'!F656</f>
        <v/>
      </c>
      <c r="H656" s="1166">
        <f>'House Count'!H656</f>
        <v/>
      </c>
    </row>
    <row r="657">
      <c r="A657" s="1165">
        <f>'House Count'!A657</f>
        <v/>
      </c>
      <c r="B657" s="1166">
        <f>'House Count'!E657</f>
        <v/>
      </c>
      <c r="C657" s="1166">
        <f>'House Count'!B657</f>
        <v/>
      </c>
      <c r="D657" s="1166">
        <f>'House Count'!C657</f>
        <v/>
      </c>
      <c r="E657" s="1166">
        <f>'House Count'!D657</f>
        <v/>
      </c>
      <c r="F657" s="1166">
        <f>IF(G657="RES-SFU","RESIDENTIAL",IF(G657="RES-HOA","RESIDENTIAL",IF(G657="RES-MDU","RESIDENTIAL",IF(G657="COMM-SU","BUSINESS",IF(G657="COM-MTU","BUSINESS",IF(G657="ENT","BUSINESS",""))))))</f>
        <v/>
      </c>
      <c r="G657" s="1166">
        <f>'House Count'!F657</f>
        <v/>
      </c>
      <c r="H657" s="1166">
        <f>'House Count'!H657</f>
        <v/>
      </c>
    </row>
    <row r="658">
      <c r="A658" s="1165">
        <f>'House Count'!A658</f>
        <v/>
      </c>
      <c r="B658" s="1166">
        <f>'House Count'!E658</f>
        <v/>
      </c>
      <c r="C658" s="1166">
        <f>'House Count'!B658</f>
        <v/>
      </c>
      <c r="D658" s="1166">
        <f>'House Count'!C658</f>
        <v/>
      </c>
      <c r="E658" s="1166">
        <f>'House Count'!D658</f>
        <v/>
      </c>
      <c r="F658" s="1166">
        <f>IF(G658="RES-SFU","RESIDENTIAL",IF(G658="RES-HOA","RESIDENTIAL",IF(G658="RES-MDU","RESIDENTIAL",IF(G658="COMM-SU","BUSINESS",IF(G658="COM-MTU","BUSINESS",IF(G658="ENT","BUSINESS",""))))))</f>
        <v/>
      </c>
      <c r="G658" s="1166">
        <f>'House Count'!F658</f>
        <v/>
      </c>
      <c r="H658" s="1166">
        <f>'House Count'!H658</f>
        <v/>
      </c>
    </row>
    <row r="659">
      <c r="A659" s="1165">
        <f>'House Count'!A659</f>
        <v/>
      </c>
      <c r="B659" s="1166">
        <f>'House Count'!E659</f>
        <v/>
      </c>
      <c r="C659" s="1166">
        <f>'House Count'!B659</f>
        <v/>
      </c>
      <c r="D659" s="1166">
        <f>'House Count'!C659</f>
        <v/>
      </c>
      <c r="E659" s="1166">
        <f>'House Count'!D659</f>
        <v/>
      </c>
      <c r="F659" s="1166">
        <f>IF(G659="RES-SFU","RESIDENTIAL",IF(G659="RES-HOA","RESIDENTIAL",IF(G659="RES-MDU","RESIDENTIAL",IF(G659="COMM-SU","BUSINESS",IF(G659="COM-MTU","BUSINESS",IF(G659="ENT","BUSINESS",""))))))</f>
        <v/>
      </c>
      <c r="G659" s="1166">
        <f>'House Count'!F659</f>
        <v/>
      </c>
      <c r="H659" s="1166">
        <f>'House Count'!H659</f>
        <v/>
      </c>
    </row>
    <row r="660">
      <c r="A660" s="1165">
        <f>'House Count'!A660</f>
        <v/>
      </c>
      <c r="B660" s="1166">
        <f>'House Count'!E660</f>
        <v/>
      </c>
      <c r="C660" s="1166">
        <f>'House Count'!B660</f>
        <v/>
      </c>
      <c r="D660" s="1166">
        <f>'House Count'!C660</f>
        <v/>
      </c>
      <c r="E660" s="1166">
        <f>'House Count'!D660</f>
        <v/>
      </c>
      <c r="F660" s="1166">
        <f>IF(G660="RES-SFU","RESIDENTIAL",IF(G660="RES-HOA","RESIDENTIAL",IF(G660="RES-MDU","RESIDENTIAL",IF(G660="COMM-SU","BUSINESS",IF(G660="COM-MTU","BUSINESS",IF(G660="ENT","BUSINESS",""))))))</f>
        <v/>
      </c>
      <c r="G660" s="1166">
        <f>'House Count'!F660</f>
        <v/>
      </c>
      <c r="H660" s="1166">
        <f>'House Count'!H660</f>
        <v/>
      </c>
    </row>
    <row r="661">
      <c r="A661" s="1165">
        <f>'House Count'!A661</f>
        <v/>
      </c>
      <c r="B661" s="1166">
        <f>'House Count'!E661</f>
        <v/>
      </c>
      <c r="C661" s="1166">
        <f>'House Count'!B661</f>
        <v/>
      </c>
      <c r="D661" s="1166">
        <f>'House Count'!C661</f>
        <v/>
      </c>
      <c r="E661" s="1166">
        <f>'House Count'!D661</f>
        <v/>
      </c>
      <c r="F661" s="1166">
        <f>IF(G661="RES-SFU","RESIDENTIAL",IF(G661="RES-HOA","RESIDENTIAL",IF(G661="RES-MDU","RESIDENTIAL",IF(G661="COMM-SU","BUSINESS",IF(G661="COM-MTU","BUSINESS",IF(G661="ENT","BUSINESS",""))))))</f>
        <v/>
      </c>
      <c r="G661" s="1166">
        <f>'House Count'!F661</f>
        <v/>
      </c>
      <c r="H661" s="1166">
        <f>'House Count'!H661</f>
        <v/>
      </c>
    </row>
    <row r="662">
      <c r="A662" s="1165">
        <f>'House Count'!A662</f>
        <v/>
      </c>
      <c r="B662" s="1166">
        <f>'House Count'!E662</f>
        <v/>
      </c>
      <c r="C662" s="1166">
        <f>'House Count'!B662</f>
        <v/>
      </c>
      <c r="D662" s="1166">
        <f>'House Count'!C662</f>
        <v/>
      </c>
      <c r="E662" s="1166">
        <f>'House Count'!D662</f>
        <v/>
      </c>
      <c r="F662" s="1166">
        <f>IF(G662="RES-SFU","RESIDENTIAL",IF(G662="RES-HOA","RESIDENTIAL",IF(G662="RES-MDU","RESIDENTIAL",IF(G662="COMM-SU","BUSINESS",IF(G662="COM-MTU","BUSINESS",IF(G662="ENT","BUSINESS",""))))))</f>
        <v/>
      </c>
      <c r="G662" s="1166">
        <f>'House Count'!F662</f>
        <v/>
      </c>
      <c r="H662" s="1166">
        <f>'House Count'!H662</f>
        <v/>
      </c>
    </row>
    <row r="663">
      <c r="A663" s="1165">
        <f>'House Count'!A663</f>
        <v/>
      </c>
      <c r="B663" s="1166">
        <f>'House Count'!E663</f>
        <v/>
      </c>
      <c r="C663" s="1166">
        <f>'House Count'!B663</f>
        <v/>
      </c>
      <c r="D663" s="1166">
        <f>'House Count'!C663</f>
        <v/>
      </c>
      <c r="E663" s="1166">
        <f>'House Count'!D663</f>
        <v/>
      </c>
      <c r="F663" s="1166">
        <f>IF(G663="RES-SFU","RESIDENTIAL",IF(G663="RES-HOA","RESIDENTIAL",IF(G663="RES-MDU","RESIDENTIAL",IF(G663="COMM-SU","BUSINESS",IF(G663="COM-MTU","BUSINESS",IF(G663="ENT","BUSINESS",""))))))</f>
        <v/>
      </c>
      <c r="G663" s="1166">
        <f>'House Count'!F663</f>
        <v/>
      </c>
      <c r="H663" s="1166">
        <f>'House Count'!H663</f>
        <v/>
      </c>
    </row>
    <row r="664">
      <c r="A664" s="1165">
        <f>'House Count'!A664</f>
        <v/>
      </c>
      <c r="B664" s="1166">
        <f>'House Count'!E664</f>
        <v/>
      </c>
      <c r="C664" s="1166">
        <f>'House Count'!B664</f>
        <v/>
      </c>
      <c r="D664" s="1166">
        <f>'House Count'!C664</f>
        <v/>
      </c>
      <c r="E664" s="1166">
        <f>'House Count'!D664</f>
        <v/>
      </c>
      <c r="F664" s="1166">
        <f>IF(G664="RES-SFU","RESIDENTIAL",IF(G664="RES-HOA","RESIDENTIAL",IF(G664="RES-MDU","RESIDENTIAL",IF(G664="COMM-SU","BUSINESS",IF(G664="COM-MTU","BUSINESS",IF(G664="ENT","BUSINESS",""))))))</f>
        <v/>
      </c>
      <c r="G664" s="1166">
        <f>'House Count'!F664</f>
        <v/>
      </c>
      <c r="H664" s="1166">
        <f>'House Count'!H664</f>
        <v/>
      </c>
    </row>
    <row r="665">
      <c r="A665" s="1165">
        <f>'House Count'!A665</f>
        <v/>
      </c>
      <c r="B665" s="1166">
        <f>'House Count'!E665</f>
        <v/>
      </c>
      <c r="C665" s="1166">
        <f>'House Count'!B665</f>
        <v/>
      </c>
      <c r="D665" s="1166">
        <f>'House Count'!C665</f>
        <v/>
      </c>
      <c r="E665" s="1166">
        <f>'House Count'!D665</f>
        <v/>
      </c>
      <c r="F665" s="1166">
        <f>IF(G665="RES-SFU","RESIDENTIAL",IF(G665="RES-HOA","RESIDENTIAL",IF(G665="RES-MDU","RESIDENTIAL",IF(G665="COMM-SU","BUSINESS",IF(G665="COM-MTU","BUSINESS",IF(G665="ENT","BUSINESS",""))))))</f>
        <v/>
      </c>
      <c r="G665" s="1166">
        <f>'House Count'!F665</f>
        <v/>
      </c>
      <c r="H665" s="1166">
        <f>'House Count'!H665</f>
        <v/>
      </c>
    </row>
    <row r="666">
      <c r="A666" s="1165">
        <f>'House Count'!A666</f>
        <v/>
      </c>
      <c r="B666" s="1166">
        <f>'House Count'!E666</f>
        <v/>
      </c>
      <c r="C666" s="1166">
        <f>'House Count'!B666</f>
        <v/>
      </c>
      <c r="D666" s="1166">
        <f>'House Count'!C666</f>
        <v/>
      </c>
      <c r="E666" s="1166">
        <f>'House Count'!D666</f>
        <v/>
      </c>
      <c r="F666" s="1166">
        <f>IF(G666="RES-SFU","RESIDENTIAL",IF(G666="RES-HOA","RESIDENTIAL",IF(G666="RES-MDU","RESIDENTIAL",IF(G666="COMM-SU","BUSINESS",IF(G666="COM-MTU","BUSINESS",IF(G666="ENT","BUSINESS",""))))))</f>
        <v/>
      </c>
      <c r="G666" s="1166">
        <f>'House Count'!F666</f>
        <v/>
      </c>
      <c r="H666" s="1166">
        <f>'House Count'!H666</f>
        <v/>
      </c>
    </row>
    <row r="667">
      <c r="A667" s="1165">
        <f>'House Count'!A667</f>
        <v/>
      </c>
      <c r="B667" s="1166">
        <f>'House Count'!E667</f>
        <v/>
      </c>
      <c r="C667" s="1166">
        <f>'House Count'!B667</f>
        <v/>
      </c>
      <c r="D667" s="1166">
        <f>'House Count'!C667</f>
        <v/>
      </c>
      <c r="E667" s="1166">
        <f>'House Count'!D667</f>
        <v/>
      </c>
      <c r="F667" s="1166">
        <f>IF(G667="RES-SFU","RESIDENTIAL",IF(G667="RES-HOA","RESIDENTIAL",IF(G667="RES-MDU","RESIDENTIAL",IF(G667="COMM-SU","BUSINESS",IF(G667="COM-MTU","BUSINESS",IF(G667="ENT","BUSINESS",""))))))</f>
        <v/>
      </c>
      <c r="G667" s="1166">
        <f>'House Count'!F667</f>
        <v/>
      </c>
      <c r="H667" s="1166">
        <f>'House Count'!H667</f>
        <v/>
      </c>
    </row>
    <row r="668">
      <c r="A668" s="1165">
        <f>'House Count'!A668</f>
        <v/>
      </c>
      <c r="B668" s="1166">
        <f>'House Count'!E668</f>
        <v/>
      </c>
      <c r="C668" s="1166">
        <f>'House Count'!B668</f>
        <v/>
      </c>
      <c r="D668" s="1166">
        <f>'House Count'!C668</f>
        <v/>
      </c>
      <c r="E668" s="1166">
        <f>'House Count'!D668</f>
        <v/>
      </c>
      <c r="F668" s="1166">
        <f>IF(G668="RES-SFU","RESIDENTIAL",IF(G668="RES-HOA","RESIDENTIAL",IF(G668="RES-MDU","RESIDENTIAL",IF(G668="COMM-SU","BUSINESS",IF(G668="COM-MTU","BUSINESS",IF(G668="ENT","BUSINESS",""))))))</f>
        <v/>
      </c>
      <c r="G668" s="1166">
        <f>'House Count'!F668</f>
        <v/>
      </c>
      <c r="H668" s="1166">
        <f>'House Count'!H668</f>
        <v/>
      </c>
    </row>
    <row r="669">
      <c r="A669" s="1165">
        <f>'House Count'!A669</f>
        <v/>
      </c>
      <c r="B669" s="1166">
        <f>'House Count'!E669</f>
        <v/>
      </c>
      <c r="C669" s="1166">
        <f>'House Count'!B669</f>
        <v/>
      </c>
      <c r="D669" s="1166">
        <f>'House Count'!C669</f>
        <v/>
      </c>
      <c r="E669" s="1166">
        <f>'House Count'!D669</f>
        <v/>
      </c>
      <c r="F669" s="1166">
        <f>IF(G669="RES-SFU","RESIDENTIAL",IF(G669="RES-HOA","RESIDENTIAL",IF(G669="RES-MDU","RESIDENTIAL",IF(G669="COMM-SU","BUSINESS",IF(G669="COM-MTU","BUSINESS",IF(G669="ENT","BUSINESS",""))))))</f>
        <v/>
      </c>
      <c r="G669" s="1166">
        <f>'House Count'!F669</f>
        <v/>
      </c>
      <c r="H669" s="1166">
        <f>'House Count'!H669</f>
        <v/>
      </c>
    </row>
    <row r="670">
      <c r="A670" s="1165">
        <f>'House Count'!A670</f>
        <v/>
      </c>
      <c r="B670" s="1166">
        <f>'House Count'!E670</f>
        <v/>
      </c>
      <c r="C670" s="1166">
        <f>'House Count'!B670</f>
        <v/>
      </c>
      <c r="D670" s="1166">
        <f>'House Count'!C670</f>
        <v/>
      </c>
      <c r="E670" s="1166">
        <f>'House Count'!D670</f>
        <v/>
      </c>
      <c r="F670" s="1166">
        <f>IF(G670="RES-SFU","RESIDENTIAL",IF(G670="RES-HOA","RESIDENTIAL",IF(G670="RES-MDU","RESIDENTIAL",IF(G670="COMM-SU","BUSINESS",IF(G670="COM-MTU","BUSINESS",IF(G670="ENT","BUSINESS",""))))))</f>
        <v/>
      </c>
      <c r="G670" s="1166">
        <f>'House Count'!F670</f>
        <v/>
      </c>
      <c r="H670" s="1166">
        <f>'House Count'!H670</f>
        <v/>
      </c>
    </row>
    <row r="671">
      <c r="A671" s="1165">
        <f>'House Count'!A671</f>
        <v/>
      </c>
      <c r="B671" s="1166">
        <f>'House Count'!E671</f>
        <v/>
      </c>
      <c r="C671" s="1166">
        <f>'House Count'!B671</f>
        <v/>
      </c>
      <c r="D671" s="1166">
        <f>'House Count'!C671</f>
        <v/>
      </c>
      <c r="E671" s="1166">
        <f>'House Count'!D671</f>
        <v/>
      </c>
      <c r="F671" s="1166">
        <f>IF(G671="RES-SFU","RESIDENTIAL",IF(G671="RES-HOA","RESIDENTIAL",IF(G671="RES-MDU","RESIDENTIAL",IF(G671="COMM-SU","BUSINESS",IF(G671="COM-MTU","BUSINESS",IF(G671="ENT","BUSINESS",""))))))</f>
        <v/>
      </c>
      <c r="G671" s="1166">
        <f>'House Count'!F671</f>
        <v/>
      </c>
      <c r="H671" s="1166">
        <f>'House Count'!H671</f>
        <v/>
      </c>
    </row>
    <row r="672">
      <c r="A672" s="1165">
        <f>'House Count'!A672</f>
        <v/>
      </c>
      <c r="B672" s="1166">
        <f>'House Count'!E672</f>
        <v/>
      </c>
      <c r="C672" s="1166">
        <f>'House Count'!B672</f>
        <v/>
      </c>
      <c r="D672" s="1166">
        <f>'House Count'!C672</f>
        <v/>
      </c>
      <c r="E672" s="1166">
        <f>'House Count'!D672</f>
        <v/>
      </c>
      <c r="F672" s="1166">
        <f>IF(G672="RES-SFU","RESIDENTIAL",IF(G672="RES-HOA","RESIDENTIAL",IF(G672="RES-MDU","RESIDENTIAL",IF(G672="COMM-SU","BUSINESS",IF(G672="COM-MTU","BUSINESS",IF(G672="ENT","BUSINESS",""))))))</f>
        <v/>
      </c>
      <c r="G672" s="1166">
        <f>'House Count'!F672</f>
        <v/>
      </c>
      <c r="H672" s="1166">
        <f>'House Count'!H672</f>
        <v/>
      </c>
    </row>
    <row r="673">
      <c r="A673" s="1165">
        <f>'House Count'!A673</f>
        <v/>
      </c>
      <c r="B673" s="1166">
        <f>'House Count'!E673</f>
        <v/>
      </c>
      <c r="C673" s="1166">
        <f>'House Count'!B673</f>
        <v/>
      </c>
      <c r="D673" s="1166">
        <f>'House Count'!C673</f>
        <v/>
      </c>
      <c r="E673" s="1166">
        <f>'House Count'!D673</f>
        <v/>
      </c>
      <c r="F673" s="1166">
        <f>IF(G673="RES-SFU","RESIDENTIAL",IF(G673="RES-HOA","RESIDENTIAL",IF(G673="RES-MDU","RESIDENTIAL",IF(G673="COMM-SU","BUSINESS",IF(G673="COM-MTU","BUSINESS",IF(G673="ENT","BUSINESS",""))))))</f>
        <v/>
      </c>
      <c r="G673" s="1166">
        <f>'House Count'!F673</f>
        <v/>
      </c>
      <c r="H673" s="1166">
        <f>'House Count'!H673</f>
        <v/>
      </c>
    </row>
    <row r="674">
      <c r="A674" s="1165">
        <f>'House Count'!A674</f>
        <v/>
      </c>
      <c r="B674" s="1166">
        <f>'House Count'!E674</f>
        <v/>
      </c>
      <c r="C674" s="1166">
        <f>'House Count'!B674</f>
        <v/>
      </c>
      <c r="D674" s="1166">
        <f>'House Count'!C674</f>
        <v/>
      </c>
      <c r="E674" s="1166">
        <f>'House Count'!D674</f>
        <v/>
      </c>
      <c r="F674" s="1166">
        <f>IF(G674="RES-SFU","RESIDENTIAL",IF(G674="RES-HOA","RESIDENTIAL",IF(G674="RES-MDU","RESIDENTIAL",IF(G674="COMM-SU","BUSINESS",IF(G674="COM-MTU","BUSINESS",IF(G674="ENT","BUSINESS",""))))))</f>
        <v/>
      </c>
      <c r="G674" s="1166">
        <f>'House Count'!F674</f>
        <v/>
      </c>
      <c r="H674" s="1166">
        <f>'House Count'!H674</f>
        <v/>
      </c>
    </row>
    <row r="675">
      <c r="A675" s="1165">
        <f>'House Count'!A675</f>
        <v/>
      </c>
      <c r="B675" s="1166">
        <f>'House Count'!E675</f>
        <v/>
      </c>
      <c r="C675" s="1166">
        <f>'House Count'!B675</f>
        <v/>
      </c>
      <c r="D675" s="1166">
        <f>'House Count'!C675</f>
        <v/>
      </c>
      <c r="E675" s="1166">
        <f>'House Count'!D675</f>
        <v/>
      </c>
      <c r="F675" s="1166">
        <f>IF(G675="RES-SFU","RESIDENTIAL",IF(G675="RES-HOA","RESIDENTIAL",IF(G675="RES-MDU","RESIDENTIAL",IF(G675="COMM-SU","BUSINESS",IF(G675="COM-MTU","BUSINESS",IF(G675="ENT","BUSINESS",""))))))</f>
        <v/>
      </c>
      <c r="G675" s="1166">
        <f>'House Count'!F675</f>
        <v/>
      </c>
      <c r="H675" s="1166">
        <f>'House Count'!H675</f>
        <v/>
      </c>
    </row>
    <row r="676">
      <c r="A676" s="1165">
        <f>'House Count'!A676</f>
        <v/>
      </c>
      <c r="B676" s="1166">
        <f>'House Count'!E676</f>
        <v/>
      </c>
      <c r="C676" s="1166">
        <f>'House Count'!B676</f>
        <v/>
      </c>
      <c r="D676" s="1166">
        <f>'House Count'!C676</f>
        <v/>
      </c>
      <c r="E676" s="1166">
        <f>'House Count'!D676</f>
        <v/>
      </c>
      <c r="F676" s="1166">
        <f>IF(G676="RES-SFU","RESIDENTIAL",IF(G676="RES-HOA","RESIDENTIAL",IF(G676="RES-MDU","RESIDENTIAL",IF(G676="COMM-SU","BUSINESS",IF(G676="COM-MTU","BUSINESS",IF(G676="ENT","BUSINESS",""))))))</f>
        <v/>
      </c>
      <c r="G676" s="1166">
        <f>'House Count'!F676</f>
        <v/>
      </c>
      <c r="H676" s="1166">
        <f>'House Count'!H676</f>
        <v/>
      </c>
    </row>
    <row r="677">
      <c r="A677" s="1165">
        <f>'House Count'!A677</f>
        <v/>
      </c>
      <c r="B677" s="1166">
        <f>'House Count'!E677</f>
        <v/>
      </c>
      <c r="C677" s="1166">
        <f>'House Count'!B677</f>
        <v/>
      </c>
      <c r="D677" s="1166">
        <f>'House Count'!C677</f>
        <v/>
      </c>
      <c r="E677" s="1166">
        <f>'House Count'!D677</f>
        <v/>
      </c>
      <c r="F677" s="1166">
        <f>IF(G677="RES-SFU","RESIDENTIAL",IF(G677="RES-HOA","RESIDENTIAL",IF(G677="RES-MDU","RESIDENTIAL",IF(G677="COMM-SU","BUSINESS",IF(G677="COM-MTU","BUSINESS",IF(G677="ENT","BUSINESS",""))))))</f>
        <v/>
      </c>
      <c r="G677" s="1166">
        <f>'House Count'!F677</f>
        <v/>
      </c>
      <c r="H677" s="1166">
        <f>'House Count'!H677</f>
        <v/>
      </c>
    </row>
    <row r="678">
      <c r="A678" s="1165">
        <f>'House Count'!A678</f>
        <v/>
      </c>
      <c r="B678" s="1166">
        <f>'House Count'!E678</f>
        <v/>
      </c>
      <c r="C678" s="1166">
        <f>'House Count'!B678</f>
        <v/>
      </c>
      <c r="D678" s="1166">
        <f>'House Count'!C678</f>
        <v/>
      </c>
      <c r="E678" s="1166">
        <f>'House Count'!D678</f>
        <v/>
      </c>
      <c r="F678" s="1166">
        <f>IF(G678="RES-SFU","RESIDENTIAL",IF(G678="RES-HOA","RESIDENTIAL",IF(G678="RES-MDU","RESIDENTIAL",IF(G678="COMM-SU","BUSINESS",IF(G678="COM-MTU","BUSINESS",IF(G678="ENT","BUSINESS",""))))))</f>
        <v/>
      </c>
      <c r="G678" s="1166">
        <f>'House Count'!F678</f>
        <v/>
      </c>
      <c r="H678" s="1166">
        <f>'House Count'!H678</f>
        <v/>
      </c>
    </row>
    <row r="679">
      <c r="A679" s="1165">
        <f>'House Count'!A679</f>
        <v/>
      </c>
      <c r="B679" s="1166">
        <f>'House Count'!E679</f>
        <v/>
      </c>
      <c r="C679" s="1166">
        <f>'House Count'!B679</f>
        <v/>
      </c>
      <c r="D679" s="1166">
        <f>'House Count'!C679</f>
        <v/>
      </c>
      <c r="E679" s="1166">
        <f>'House Count'!D679</f>
        <v/>
      </c>
      <c r="F679" s="1166">
        <f>IF(G679="RES-SFU","RESIDENTIAL",IF(G679="RES-HOA","RESIDENTIAL",IF(G679="RES-MDU","RESIDENTIAL",IF(G679="COMM-SU","BUSINESS",IF(G679="COM-MTU","BUSINESS",IF(G679="ENT","BUSINESS",""))))))</f>
        <v/>
      </c>
      <c r="G679" s="1166">
        <f>'House Count'!F679</f>
        <v/>
      </c>
      <c r="H679" s="1166">
        <f>'House Count'!H679</f>
        <v/>
      </c>
    </row>
    <row r="680">
      <c r="A680" s="1165">
        <f>'House Count'!A680</f>
        <v/>
      </c>
      <c r="B680" s="1166">
        <f>'House Count'!E680</f>
        <v/>
      </c>
      <c r="C680" s="1166">
        <f>'House Count'!B680</f>
        <v/>
      </c>
      <c r="D680" s="1166">
        <f>'House Count'!C680</f>
        <v/>
      </c>
      <c r="E680" s="1166">
        <f>'House Count'!D680</f>
        <v/>
      </c>
      <c r="F680" s="1166">
        <f>IF(G680="RES-SFU","RESIDENTIAL",IF(G680="RES-HOA","RESIDENTIAL",IF(G680="RES-MDU","RESIDENTIAL",IF(G680="COMM-SU","BUSINESS",IF(G680="COM-MTU","BUSINESS",IF(G680="ENT","BUSINESS",""))))))</f>
        <v/>
      </c>
      <c r="G680" s="1166">
        <f>'House Count'!F680</f>
        <v/>
      </c>
      <c r="H680" s="1166">
        <f>'House Count'!H680</f>
        <v/>
      </c>
    </row>
    <row r="681">
      <c r="A681" s="1165">
        <f>'House Count'!A681</f>
        <v/>
      </c>
      <c r="B681" s="1166">
        <f>'House Count'!E681</f>
        <v/>
      </c>
      <c r="C681" s="1166">
        <f>'House Count'!B681</f>
        <v/>
      </c>
      <c r="D681" s="1166">
        <f>'House Count'!C681</f>
        <v/>
      </c>
      <c r="E681" s="1166">
        <f>'House Count'!D681</f>
        <v/>
      </c>
      <c r="F681" s="1166">
        <f>IF(G681="RES-SFU","RESIDENTIAL",IF(G681="RES-HOA","RESIDENTIAL",IF(G681="RES-MDU","RESIDENTIAL",IF(G681="COMM-SU","BUSINESS",IF(G681="COM-MTU","BUSINESS",IF(G681="ENT","BUSINESS",""))))))</f>
        <v/>
      </c>
      <c r="G681" s="1166">
        <f>'House Count'!F681</f>
        <v/>
      </c>
      <c r="H681" s="1166">
        <f>'House Count'!H681</f>
        <v/>
      </c>
    </row>
    <row r="682">
      <c r="A682" s="1165">
        <f>'House Count'!A682</f>
        <v/>
      </c>
      <c r="B682" s="1166">
        <f>'House Count'!E682</f>
        <v/>
      </c>
      <c r="C682" s="1166">
        <f>'House Count'!B682</f>
        <v/>
      </c>
      <c r="D682" s="1166">
        <f>'House Count'!C682</f>
        <v/>
      </c>
      <c r="E682" s="1166">
        <f>'House Count'!D682</f>
        <v/>
      </c>
      <c r="F682" s="1166">
        <f>IF(G682="RES-SFU","RESIDENTIAL",IF(G682="RES-HOA","RESIDENTIAL",IF(G682="RES-MDU","RESIDENTIAL",IF(G682="COMM-SU","BUSINESS",IF(G682="COM-MTU","BUSINESS",IF(G682="ENT","BUSINESS",""))))))</f>
        <v/>
      </c>
      <c r="G682" s="1166">
        <f>'House Count'!F682</f>
        <v/>
      </c>
      <c r="H682" s="1166">
        <f>'House Count'!H682</f>
        <v/>
      </c>
    </row>
    <row r="683">
      <c r="A683" s="1165">
        <f>'House Count'!A683</f>
        <v/>
      </c>
      <c r="B683" s="1166">
        <f>'House Count'!E683</f>
        <v/>
      </c>
      <c r="C683" s="1166">
        <f>'House Count'!B683</f>
        <v/>
      </c>
      <c r="D683" s="1166">
        <f>'House Count'!C683</f>
        <v/>
      </c>
      <c r="E683" s="1166">
        <f>'House Count'!D683</f>
        <v/>
      </c>
      <c r="F683" s="1166">
        <f>IF(G683="RES-SFU","RESIDENTIAL",IF(G683="RES-HOA","RESIDENTIAL",IF(G683="RES-MDU","RESIDENTIAL",IF(G683="COMM-SU","BUSINESS",IF(G683="COM-MTU","BUSINESS",IF(G683="ENT","BUSINESS",""))))))</f>
        <v/>
      </c>
      <c r="G683" s="1166">
        <f>'House Count'!F683</f>
        <v/>
      </c>
      <c r="H683" s="1166">
        <f>'House Count'!H683</f>
        <v/>
      </c>
    </row>
    <row r="684">
      <c r="A684" s="1165">
        <f>'House Count'!A684</f>
        <v/>
      </c>
      <c r="B684" s="1166">
        <f>'House Count'!E684</f>
        <v/>
      </c>
      <c r="C684" s="1166">
        <f>'House Count'!B684</f>
        <v/>
      </c>
      <c r="D684" s="1166">
        <f>'House Count'!C684</f>
        <v/>
      </c>
      <c r="E684" s="1166">
        <f>'House Count'!D684</f>
        <v/>
      </c>
      <c r="F684" s="1166">
        <f>IF(G684="RES-SFU","RESIDENTIAL",IF(G684="RES-HOA","RESIDENTIAL",IF(G684="RES-MDU","RESIDENTIAL",IF(G684="COMM-SU","BUSINESS",IF(G684="COM-MTU","BUSINESS",IF(G684="ENT","BUSINESS",""))))))</f>
        <v/>
      </c>
      <c r="G684" s="1166">
        <f>'House Count'!F684</f>
        <v/>
      </c>
      <c r="H684" s="1166">
        <f>'House Count'!H684</f>
        <v/>
      </c>
    </row>
    <row r="685">
      <c r="A685" s="1165">
        <f>'House Count'!A685</f>
        <v/>
      </c>
      <c r="B685" s="1166">
        <f>'House Count'!E685</f>
        <v/>
      </c>
      <c r="C685" s="1166">
        <f>'House Count'!B685</f>
        <v/>
      </c>
      <c r="D685" s="1166">
        <f>'House Count'!C685</f>
        <v/>
      </c>
      <c r="E685" s="1166">
        <f>'House Count'!D685</f>
        <v/>
      </c>
      <c r="F685" s="1166">
        <f>IF(G685="RES-SFU","RESIDENTIAL",IF(G685="RES-HOA","RESIDENTIAL",IF(G685="RES-MDU","RESIDENTIAL",IF(G685="COMM-SU","BUSINESS",IF(G685="COM-MTU","BUSINESS",IF(G685="ENT","BUSINESS",""))))))</f>
        <v/>
      </c>
      <c r="G685" s="1166">
        <f>'House Count'!F685</f>
        <v/>
      </c>
      <c r="H685" s="1166">
        <f>'House Count'!H685</f>
        <v/>
      </c>
    </row>
    <row r="686">
      <c r="A686" s="1165">
        <f>'House Count'!A686</f>
        <v/>
      </c>
      <c r="B686" s="1166">
        <f>'House Count'!E686</f>
        <v/>
      </c>
      <c r="C686" s="1166">
        <f>'House Count'!B686</f>
        <v/>
      </c>
      <c r="D686" s="1166">
        <f>'House Count'!C686</f>
        <v/>
      </c>
      <c r="E686" s="1166">
        <f>'House Count'!D686</f>
        <v/>
      </c>
      <c r="F686" s="1166">
        <f>IF(G686="RES-SFU","RESIDENTIAL",IF(G686="RES-HOA","RESIDENTIAL",IF(G686="RES-MDU","RESIDENTIAL",IF(G686="COMM-SU","BUSINESS",IF(G686="COM-MTU","BUSINESS",IF(G686="ENT","BUSINESS",""))))))</f>
        <v/>
      </c>
      <c r="G686" s="1166">
        <f>'House Count'!F686</f>
        <v/>
      </c>
      <c r="H686" s="1166">
        <f>'House Count'!H686</f>
        <v/>
      </c>
    </row>
    <row r="687">
      <c r="A687" s="1165">
        <f>'House Count'!A687</f>
        <v/>
      </c>
      <c r="B687" s="1166">
        <f>'House Count'!E687</f>
        <v/>
      </c>
      <c r="C687" s="1166">
        <f>'House Count'!B687</f>
        <v/>
      </c>
      <c r="D687" s="1166">
        <f>'House Count'!C687</f>
        <v/>
      </c>
      <c r="E687" s="1166">
        <f>'House Count'!D687</f>
        <v/>
      </c>
      <c r="F687" s="1166">
        <f>IF(G687="RES-SFU","RESIDENTIAL",IF(G687="RES-HOA","RESIDENTIAL",IF(G687="RES-MDU","RESIDENTIAL",IF(G687="COMM-SU","BUSINESS",IF(G687="COM-MTU","BUSINESS",IF(G687="ENT","BUSINESS",""))))))</f>
        <v/>
      </c>
      <c r="G687" s="1166">
        <f>'House Count'!F687</f>
        <v/>
      </c>
      <c r="H687" s="1166">
        <f>'House Count'!H687</f>
        <v/>
      </c>
    </row>
    <row r="688">
      <c r="A688" s="1165">
        <f>'House Count'!A688</f>
        <v/>
      </c>
      <c r="B688" s="1166">
        <f>'House Count'!E688</f>
        <v/>
      </c>
      <c r="C688" s="1166">
        <f>'House Count'!B688</f>
        <v/>
      </c>
      <c r="D688" s="1166">
        <f>'House Count'!C688</f>
        <v/>
      </c>
      <c r="E688" s="1166">
        <f>'House Count'!D688</f>
        <v/>
      </c>
      <c r="F688" s="1166">
        <f>IF(G688="RES-SFU","RESIDENTIAL",IF(G688="RES-HOA","RESIDENTIAL",IF(G688="RES-MDU","RESIDENTIAL",IF(G688="COMM-SU","BUSINESS",IF(G688="COM-MTU","BUSINESS",IF(G688="ENT","BUSINESS",""))))))</f>
        <v/>
      </c>
      <c r="G688" s="1166">
        <f>'House Count'!F688</f>
        <v/>
      </c>
      <c r="H688" s="1166">
        <f>'House Count'!H688</f>
        <v/>
      </c>
    </row>
    <row r="689">
      <c r="A689" s="1165">
        <f>'House Count'!A689</f>
        <v/>
      </c>
      <c r="B689" s="1166">
        <f>'House Count'!E689</f>
        <v/>
      </c>
      <c r="C689" s="1166">
        <f>'House Count'!B689</f>
        <v/>
      </c>
      <c r="D689" s="1166">
        <f>'House Count'!C689</f>
        <v/>
      </c>
      <c r="E689" s="1166">
        <f>'House Count'!D689</f>
        <v/>
      </c>
      <c r="F689" s="1166">
        <f>IF(G689="RES-SFU","RESIDENTIAL",IF(G689="RES-HOA","RESIDENTIAL",IF(G689="RES-MDU","RESIDENTIAL",IF(G689="COMM-SU","BUSINESS",IF(G689="COM-MTU","BUSINESS",IF(G689="ENT","BUSINESS",""))))))</f>
        <v/>
      </c>
      <c r="G689" s="1166">
        <f>'House Count'!F689</f>
        <v/>
      </c>
      <c r="H689" s="1166">
        <f>'House Count'!H689</f>
        <v/>
      </c>
    </row>
    <row r="690">
      <c r="A690" s="1165">
        <f>'House Count'!A690</f>
        <v/>
      </c>
      <c r="B690" s="1166">
        <f>'House Count'!E690</f>
        <v/>
      </c>
      <c r="C690" s="1166">
        <f>'House Count'!B690</f>
        <v/>
      </c>
      <c r="D690" s="1166">
        <f>'House Count'!C690</f>
        <v/>
      </c>
      <c r="E690" s="1166">
        <f>'House Count'!D690</f>
        <v/>
      </c>
      <c r="F690" s="1166">
        <f>IF(G690="RES-SFU","RESIDENTIAL",IF(G690="RES-HOA","RESIDENTIAL",IF(G690="RES-MDU","RESIDENTIAL",IF(G690="COMM-SU","BUSINESS",IF(G690="COM-MTU","BUSINESS",IF(G690="ENT","BUSINESS",""))))))</f>
        <v/>
      </c>
      <c r="G690" s="1166">
        <f>'House Count'!F690</f>
        <v/>
      </c>
      <c r="H690" s="1166">
        <f>'House Count'!H690</f>
        <v/>
      </c>
    </row>
    <row r="691">
      <c r="A691" s="1165">
        <f>'House Count'!A691</f>
        <v/>
      </c>
      <c r="B691" s="1166">
        <f>'House Count'!E691</f>
        <v/>
      </c>
      <c r="C691" s="1166">
        <f>'House Count'!B691</f>
        <v/>
      </c>
      <c r="D691" s="1166">
        <f>'House Count'!C691</f>
        <v/>
      </c>
      <c r="E691" s="1166">
        <f>'House Count'!D691</f>
        <v/>
      </c>
      <c r="F691" s="1166">
        <f>IF(G691="RES-SFU","RESIDENTIAL",IF(G691="RES-HOA","RESIDENTIAL",IF(G691="RES-MDU","RESIDENTIAL",IF(G691="COMM-SU","BUSINESS",IF(G691="COM-MTU","BUSINESS",IF(G691="ENT","BUSINESS",""))))))</f>
        <v/>
      </c>
      <c r="G691" s="1166">
        <f>'House Count'!F691</f>
        <v/>
      </c>
      <c r="H691" s="1166">
        <f>'House Count'!H691</f>
        <v/>
      </c>
    </row>
    <row r="692">
      <c r="A692" s="1165">
        <f>'House Count'!A692</f>
        <v/>
      </c>
      <c r="B692" s="1166">
        <f>'House Count'!E692</f>
        <v/>
      </c>
      <c r="C692" s="1166">
        <f>'House Count'!B692</f>
        <v/>
      </c>
      <c r="D692" s="1166">
        <f>'House Count'!C692</f>
        <v/>
      </c>
      <c r="E692" s="1166">
        <f>'House Count'!D692</f>
        <v/>
      </c>
      <c r="F692" s="1166">
        <f>IF(G692="RES-SFU","RESIDENTIAL",IF(G692="RES-HOA","RESIDENTIAL",IF(G692="RES-MDU","RESIDENTIAL",IF(G692="COMM-SU","BUSINESS",IF(G692="COM-MTU","BUSINESS",IF(G692="ENT","BUSINESS",""))))))</f>
        <v/>
      </c>
      <c r="G692" s="1166">
        <f>'House Count'!F692</f>
        <v/>
      </c>
      <c r="H692" s="1166">
        <f>'House Count'!H692</f>
        <v/>
      </c>
    </row>
    <row r="693">
      <c r="A693" s="1165">
        <f>'House Count'!A693</f>
        <v/>
      </c>
      <c r="B693" s="1166">
        <f>'House Count'!E693</f>
        <v/>
      </c>
      <c r="C693" s="1166">
        <f>'House Count'!B693</f>
        <v/>
      </c>
      <c r="D693" s="1166">
        <f>'House Count'!C693</f>
        <v/>
      </c>
      <c r="E693" s="1166">
        <f>'House Count'!D693</f>
        <v/>
      </c>
      <c r="F693" s="1166">
        <f>IF(G693="RES-SFU","RESIDENTIAL",IF(G693="RES-HOA","RESIDENTIAL",IF(G693="RES-MDU","RESIDENTIAL",IF(G693="COMM-SU","BUSINESS",IF(G693="COM-MTU","BUSINESS",IF(G693="ENT","BUSINESS",""))))))</f>
        <v/>
      </c>
      <c r="G693" s="1166">
        <f>'House Count'!F693</f>
        <v/>
      </c>
      <c r="H693" s="1166">
        <f>'House Count'!H693</f>
        <v/>
      </c>
    </row>
    <row r="694">
      <c r="A694" s="1165">
        <f>'House Count'!A694</f>
        <v/>
      </c>
      <c r="B694" s="1166">
        <f>'House Count'!E694</f>
        <v/>
      </c>
      <c r="C694" s="1166">
        <f>'House Count'!B694</f>
        <v/>
      </c>
      <c r="D694" s="1166">
        <f>'House Count'!C694</f>
        <v/>
      </c>
      <c r="E694" s="1166">
        <f>'House Count'!D694</f>
        <v/>
      </c>
      <c r="F694" s="1166">
        <f>IF(G694="RES-SFU","RESIDENTIAL",IF(G694="RES-HOA","RESIDENTIAL",IF(G694="RES-MDU","RESIDENTIAL",IF(G694="COMM-SU","BUSINESS",IF(G694="COM-MTU","BUSINESS",IF(G694="ENT","BUSINESS",""))))))</f>
        <v/>
      </c>
      <c r="G694" s="1166">
        <f>'House Count'!F694</f>
        <v/>
      </c>
      <c r="H694" s="1166">
        <f>'House Count'!H694</f>
        <v/>
      </c>
    </row>
    <row r="695">
      <c r="A695" s="1165">
        <f>'House Count'!A695</f>
        <v/>
      </c>
      <c r="B695" s="1166">
        <f>'House Count'!E695</f>
        <v/>
      </c>
      <c r="C695" s="1166">
        <f>'House Count'!B695</f>
        <v/>
      </c>
      <c r="D695" s="1166">
        <f>'House Count'!C695</f>
        <v/>
      </c>
      <c r="E695" s="1166">
        <f>'House Count'!D695</f>
        <v/>
      </c>
      <c r="F695" s="1166">
        <f>IF(G695="RES-SFU","RESIDENTIAL",IF(G695="RES-HOA","RESIDENTIAL",IF(G695="RES-MDU","RESIDENTIAL",IF(G695="COMM-SU","BUSINESS",IF(G695="COM-MTU","BUSINESS",IF(G695="ENT","BUSINESS",""))))))</f>
        <v/>
      </c>
      <c r="G695" s="1166">
        <f>'House Count'!F695</f>
        <v/>
      </c>
      <c r="H695" s="1166">
        <f>'House Count'!H695</f>
        <v/>
      </c>
    </row>
    <row r="696">
      <c r="A696" s="1165">
        <f>'House Count'!A696</f>
        <v/>
      </c>
      <c r="B696" s="1166">
        <f>'House Count'!E696</f>
        <v/>
      </c>
      <c r="C696" s="1166">
        <f>'House Count'!B696</f>
        <v/>
      </c>
      <c r="D696" s="1166">
        <f>'House Count'!C696</f>
        <v/>
      </c>
      <c r="E696" s="1166">
        <f>'House Count'!D696</f>
        <v/>
      </c>
      <c r="F696" s="1166">
        <f>IF(G696="RES-SFU","RESIDENTIAL",IF(G696="RES-HOA","RESIDENTIAL",IF(G696="RES-MDU","RESIDENTIAL",IF(G696="COMM-SU","BUSINESS",IF(G696="COM-MTU","BUSINESS",IF(G696="ENT","BUSINESS",""))))))</f>
        <v/>
      </c>
      <c r="G696" s="1166">
        <f>'House Count'!F696</f>
        <v/>
      </c>
      <c r="H696" s="1166">
        <f>'House Count'!H696</f>
        <v/>
      </c>
    </row>
    <row r="697">
      <c r="A697" s="1165">
        <f>'House Count'!A697</f>
        <v/>
      </c>
      <c r="B697" s="1166">
        <f>'House Count'!E697</f>
        <v/>
      </c>
      <c r="C697" s="1166">
        <f>'House Count'!B697</f>
        <v/>
      </c>
      <c r="D697" s="1166">
        <f>'House Count'!C697</f>
        <v/>
      </c>
      <c r="E697" s="1166">
        <f>'House Count'!D697</f>
        <v/>
      </c>
      <c r="F697" s="1166">
        <f>IF(G697="RES-SFU","RESIDENTIAL",IF(G697="RES-HOA","RESIDENTIAL",IF(G697="RES-MDU","RESIDENTIAL",IF(G697="COMM-SU","BUSINESS",IF(G697="COM-MTU","BUSINESS",IF(G697="ENT","BUSINESS",""))))))</f>
        <v/>
      </c>
      <c r="G697" s="1166">
        <f>'House Count'!F697</f>
        <v/>
      </c>
      <c r="H697" s="1166">
        <f>'House Count'!H697</f>
        <v/>
      </c>
    </row>
    <row r="698">
      <c r="A698" s="1165">
        <f>'House Count'!A698</f>
        <v/>
      </c>
      <c r="B698" s="1166">
        <f>'House Count'!E698</f>
        <v/>
      </c>
      <c r="C698" s="1166">
        <f>'House Count'!B698</f>
        <v/>
      </c>
      <c r="D698" s="1166">
        <f>'House Count'!C698</f>
        <v/>
      </c>
      <c r="E698" s="1166">
        <f>'House Count'!D698</f>
        <v/>
      </c>
      <c r="F698" s="1166">
        <f>IF(G698="RES-SFU","RESIDENTIAL",IF(G698="RES-HOA","RESIDENTIAL",IF(G698="RES-MDU","RESIDENTIAL",IF(G698="COMM-SU","BUSINESS",IF(G698="COM-MTU","BUSINESS",IF(G698="ENT","BUSINESS",""))))))</f>
        <v/>
      </c>
      <c r="G698" s="1166">
        <f>'House Count'!F698</f>
        <v/>
      </c>
      <c r="H698" s="1166">
        <f>'House Count'!H698</f>
        <v/>
      </c>
    </row>
    <row r="699">
      <c r="A699" s="1165">
        <f>'House Count'!A699</f>
        <v/>
      </c>
      <c r="B699" s="1166">
        <f>'House Count'!E699</f>
        <v/>
      </c>
      <c r="C699" s="1166">
        <f>'House Count'!B699</f>
        <v/>
      </c>
      <c r="D699" s="1166">
        <f>'House Count'!C699</f>
        <v/>
      </c>
      <c r="E699" s="1166">
        <f>'House Count'!D699</f>
        <v/>
      </c>
      <c r="F699" s="1166">
        <f>IF(G699="RES-SFU","RESIDENTIAL",IF(G699="RES-HOA","RESIDENTIAL",IF(G699="RES-MDU","RESIDENTIAL",IF(G699="COMM-SU","BUSINESS",IF(G699="COM-MTU","BUSINESS",IF(G699="ENT","BUSINESS",""))))))</f>
        <v/>
      </c>
      <c r="G699" s="1166">
        <f>'House Count'!F699</f>
        <v/>
      </c>
      <c r="H699" s="1166">
        <f>'House Count'!H699</f>
        <v/>
      </c>
    </row>
    <row r="700">
      <c r="A700" s="1165">
        <f>'House Count'!A700</f>
        <v/>
      </c>
      <c r="B700" s="1166">
        <f>'House Count'!E700</f>
        <v/>
      </c>
      <c r="C700" s="1166">
        <f>'House Count'!B700</f>
        <v/>
      </c>
      <c r="D700" s="1166">
        <f>'House Count'!C700</f>
        <v/>
      </c>
      <c r="E700" s="1166">
        <f>'House Count'!D700</f>
        <v/>
      </c>
      <c r="F700" s="1166">
        <f>IF(G700="RES-SFU","RESIDENTIAL",IF(G700="RES-HOA","RESIDENTIAL",IF(G700="RES-MDU","RESIDENTIAL",IF(G700="COMM-SU","BUSINESS",IF(G700="COM-MTU","BUSINESS",IF(G700="ENT","BUSINESS",""))))))</f>
        <v/>
      </c>
      <c r="G700" s="1166">
        <f>'House Count'!F700</f>
        <v/>
      </c>
      <c r="H700" s="1166">
        <f>'House Count'!H700</f>
        <v/>
      </c>
    </row>
    <row r="701">
      <c r="A701" s="1165">
        <f>'House Count'!A701</f>
        <v/>
      </c>
      <c r="B701" s="1166">
        <f>'House Count'!E701</f>
        <v/>
      </c>
      <c r="C701" s="1166">
        <f>'House Count'!B701</f>
        <v/>
      </c>
      <c r="D701" s="1166">
        <f>'House Count'!C701</f>
        <v/>
      </c>
      <c r="E701" s="1166">
        <f>'House Count'!D701</f>
        <v/>
      </c>
      <c r="F701" s="1166">
        <f>IF(G701="RES-SFU","RESIDENTIAL",IF(G701="RES-HOA","RESIDENTIAL",IF(G701="RES-MDU","RESIDENTIAL",IF(G701="COMM-SU","BUSINESS",IF(G701="COM-MTU","BUSINESS",IF(G701="ENT","BUSINESS",""))))))</f>
        <v/>
      </c>
      <c r="G701" s="1166">
        <f>'House Count'!F701</f>
        <v/>
      </c>
      <c r="H701" s="1166">
        <f>'House Count'!H701</f>
        <v/>
      </c>
    </row>
    <row r="702">
      <c r="A702" s="1165">
        <f>'House Count'!A702</f>
        <v/>
      </c>
      <c r="B702" s="1166">
        <f>'House Count'!E702</f>
        <v/>
      </c>
      <c r="C702" s="1166">
        <f>'House Count'!B702</f>
        <v/>
      </c>
      <c r="D702" s="1166">
        <f>'House Count'!C702</f>
        <v/>
      </c>
      <c r="E702" s="1166">
        <f>'House Count'!D702</f>
        <v/>
      </c>
      <c r="F702" s="1166">
        <f>IF(G702="RES-SFU","RESIDENTIAL",IF(G702="RES-HOA","RESIDENTIAL",IF(G702="RES-MDU","RESIDENTIAL",IF(G702="COMM-SU","BUSINESS",IF(G702="COM-MTU","BUSINESS",IF(G702="ENT","BUSINESS",""))))))</f>
        <v/>
      </c>
      <c r="G702" s="1166">
        <f>'House Count'!F702</f>
        <v/>
      </c>
      <c r="H702" s="1166">
        <f>'House Count'!H702</f>
        <v/>
      </c>
    </row>
    <row r="703">
      <c r="A703" s="1165">
        <f>'House Count'!A703</f>
        <v/>
      </c>
      <c r="B703" s="1166">
        <f>'House Count'!E703</f>
        <v/>
      </c>
      <c r="C703" s="1166">
        <f>'House Count'!B703</f>
        <v/>
      </c>
      <c r="D703" s="1166">
        <f>'House Count'!C703</f>
        <v/>
      </c>
      <c r="E703" s="1166">
        <f>'House Count'!D703</f>
        <v/>
      </c>
      <c r="F703" s="1166">
        <f>IF(G703="RES-SFU","RESIDENTIAL",IF(G703="RES-HOA","RESIDENTIAL",IF(G703="RES-MDU","RESIDENTIAL",IF(G703="COMM-SU","BUSINESS",IF(G703="COM-MTU","BUSINESS",IF(G703="ENT","BUSINESS",""))))))</f>
        <v/>
      </c>
      <c r="G703" s="1166">
        <f>'House Count'!F703</f>
        <v/>
      </c>
      <c r="H703" s="1166">
        <f>'House Count'!H703</f>
        <v/>
      </c>
    </row>
    <row r="704">
      <c r="A704" s="1165">
        <f>'House Count'!A704</f>
        <v/>
      </c>
      <c r="B704" s="1166">
        <f>'House Count'!E704</f>
        <v/>
      </c>
      <c r="C704" s="1166">
        <f>'House Count'!B704</f>
        <v/>
      </c>
      <c r="D704" s="1166">
        <f>'House Count'!C704</f>
        <v/>
      </c>
      <c r="E704" s="1166">
        <f>'House Count'!D704</f>
        <v/>
      </c>
      <c r="F704" s="1166">
        <f>IF(G704="RES-SFU","RESIDENTIAL",IF(G704="RES-HOA","RESIDENTIAL",IF(G704="RES-MDU","RESIDENTIAL",IF(G704="COMM-SU","BUSINESS",IF(G704="COM-MTU","BUSINESS",IF(G704="ENT","BUSINESS",""))))))</f>
        <v/>
      </c>
      <c r="G704" s="1166">
        <f>'House Count'!F704</f>
        <v/>
      </c>
      <c r="H704" s="1166">
        <f>'House Count'!H704</f>
        <v/>
      </c>
    </row>
    <row r="705">
      <c r="A705" s="1165">
        <f>'House Count'!A705</f>
        <v/>
      </c>
      <c r="B705" s="1166">
        <f>'House Count'!E705</f>
        <v/>
      </c>
      <c r="C705" s="1166">
        <f>'House Count'!B705</f>
        <v/>
      </c>
      <c r="D705" s="1166">
        <f>'House Count'!C705</f>
        <v/>
      </c>
      <c r="E705" s="1166">
        <f>'House Count'!D705</f>
        <v/>
      </c>
      <c r="F705" s="1166">
        <f>IF(G705="RES-SFU","RESIDENTIAL",IF(G705="RES-HOA","RESIDENTIAL",IF(G705="RES-MDU","RESIDENTIAL",IF(G705="COMM-SU","BUSINESS",IF(G705="COM-MTU","BUSINESS",IF(G705="ENT","BUSINESS",""))))))</f>
        <v/>
      </c>
      <c r="G705" s="1166">
        <f>'House Count'!F705</f>
        <v/>
      </c>
      <c r="H705" s="1166">
        <f>'House Count'!H705</f>
        <v/>
      </c>
    </row>
    <row r="706">
      <c r="A706" s="1165">
        <f>'House Count'!A706</f>
        <v/>
      </c>
      <c r="B706" s="1166">
        <f>'House Count'!E706</f>
        <v/>
      </c>
      <c r="C706" s="1166">
        <f>'House Count'!B706</f>
        <v/>
      </c>
      <c r="D706" s="1166">
        <f>'House Count'!C706</f>
        <v/>
      </c>
      <c r="E706" s="1166">
        <f>'House Count'!D706</f>
        <v/>
      </c>
      <c r="F706" s="1166">
        <f>IF(G706="RES-SFU","RESIDENTIAL",IF(G706="RES-HOA","RESIDENTIAL",IF(G706="RES-MDU","RESIDENTIAL",IF(G706="COMM-SU","BUSINESS",IF(G706="COM-MTU","BUSINESS",IF(G706="ENT","BUSINESS",""))))))</f>
        <v/>
      </c>
      <c r="G706" s="1166">
        <f>'House Count'!F706</f>
        <v/>
      </c>
      <c r="H706" s="1166">
        <f>'House Count'!H706</f>
        <v/>
      </c>
    </row>
    <row r="707">
      <c r="A707" s="1165">
        <f>'House Count'!A707</f>
        <v/>
      </c>
      <c r="B707" s="1166">
        <f>'House Count'!E707</f>
        <v/>
      </c>
      <c r="C707" s="1166">
        <f>'House Count'!B707</f>
        <v/>
      </c>
      <c r="D707" s="1166">
        <f>'House Count'!C707</f>
        <v/>
      </c>
      <c r="E707" s="1166">
        <f>'House Count'!D707</f>
        <v/>
      </c>
      <c r="F707" s="1166">
        <f>IF(G707="RES-SFU","RESIDENTIAL",IF(G707="RES-HOA","RESIDENTIAL",IF(G707="RES-MDU","RESIDENTIAL",IF(G707="COMM-SU","BUSINESS",IF(G707="COM-MTU","BUSINESS",IF(G707="ENT","BUSINESS",""))))))</f>
        <v/>
      </c>
      <c r="G707" s="1166">
        <f>'House Count'!F707</f>
        <v/>
      </c>
      <c r="H707" s="1166">
        <f>'House Count'!H707</f>
        <v/>
      </c>
    </row>
    <row r="708">
      <c r="A708" s="1165">
        <f>'House Count'!A708</f>
        <v/>
      </c>
      <c r="B708" s="1166">
        <f>'House Count'!E708</f>
        <v/>
      </c>
      <c r="C708" s="1166">
        <f>'House Count'!B708</f>
        <v/>
      </c>
      <c r="D708" s="1166">
        <f>'House Count'!C708</f>
        <v/>
      </c>
      <c r="E708" s="1166">
        <f>'House Count'!D708</f>
        <v/>
      </c>
      <c r="F708" s="1166">
        <f>IF(G708="RES-SFU","RESIDENTIAL",IF(G708="RES-HOA","RESIDENTIAL",IF(G708="RES-MDU","RESIDENTIAL",IF(G708="COMM-SU","BUSINESS",IF(G708="COM-MTU","BUSINESS",IF(G708="ENT","BUSINESS",""))))))</f>
        <v/>
      </c>
      <c r="G708" s="1166">
        <f>'House Count'!F708</f>
        <v/>
      </c>
      <c r="H708" s="1166">
        <f>'House Count'!H708</f>
        <v/>
      </c>
    </row>
    <row r="709">
      <c r="A709" s="1165">
        <f>'House Count'!A709</f>
        <v/>
      </c>
      <c r="B709" s="1166">
        <f>'House Count'!E709</f>
        <v/>
      </c>
      <c r="C709" s="1166">
        <f>'House Count'!B709</f>
        <v/>
      </c>
      <c r="D709" s="1166">
        <f>'House Count'!C709</f>
        <v/>
      </c>
      <c r="E709" s="1166">
        <f>'House Count'!D709</f>
        <v/>
      </c>
      <c r="F709" s="1166">
        <f>IF(G709="RES-SFU","RESIDENTIAL",IF(G709="RES-HOA","RESIDENTIAL",IF(G709="RES-MDU","RESIDENTIAL",IF(G709="COMM-SU","BUSINESS",IF(G709="COM-MTU","BUSINESS",IF(G709="ENT","BUSINESS",""))))))</f>
        <v/>
      </c>
      <c r="G709" s="1166">
        <f>'House Count'!F709</f>
        <v/>
      </c>
      <c r="H709" s="1166">
        <f>'House Count'!H709</f>
        <v/>
      </c>
    </row>
    <row r="710">
      <c r="A710" s="1165">
        <f>'House Count'!A710</f>
        <v/>
      </c>
      <c r="B710" s="1166">
        <f>'House Count'!E710</f>
        <v/>
      </c>
      <c r="C710" s="1166">
        <f>'House Count'!B710</f>
        <v/>
      </c>
      <c r="D710" s="1166">
        <f>'House Count'!C710</f>
        <v/>
      </c>
      <c r="E710" s="1166">
        <f>'House Count'!D710</f>
        <v/>
      </c>
      <c r="F710" s="1166">
        <f>IF(G710="RES-SFU","RESIDENTIAL",IF(G710="RES-HOA","RESIDENTIAL",IF(G710="RES-MDU","RESIDENTIAL",IF(G710="COMM-SU","BUSINESS",IF(G710="COM-MTU","BUSINESS",IF(G710="ENT","BUSINESS",""))))))</f>
        <v/>
      </c>
      <c r="G710" s="1166">
        <f>'House Count'!F710</f>
        <v/>
      </c>
      <c r="H710" s="1166">
        <f>'House Count'!H710</f>
        <v/>
      </c>
    </row>
    <row r="711">
      <c r="A711" s="1165">
        <f>'House Count'!A711</f>
        <v/>
      </c>
      <c r="B711" s="1166">
        <f>'House Count'!E711</f>
        <v/>
      </c>
      <c r="C711" s="1166">
        <f>'House Count'!B711</f>
        <v/>
      </c>
      <c r="D711" s="1166">
        <f>'House Count'!C711</f>
        <v/>
      </c>
      <c r="E711" s="1166">
        <f>'House Count'!D711</f>
        <v/>
      </c>
      <c r="F711" s="1166">
        <f>IF(G711="RES-SFU","RESIDENTIAL",IF(G711="RES-HOA","RESIDENTIAL",IF(G711="RES-MDU","RESIDENTIAL",IF(G711="COMM-SU","BUSINESS",IF(G711="COM-MTU","BUSINESS",IF(G711="ENT","BUSINESS",""))))))</f>
        <v/>
      </c>
      <c r="G711" s="1166">
        <f>'House Count'!F711</f>
        <v/>
      </c>
      <c r="H711" s="1166">
        <f>'House Count'!H711</f>
        <v/>
      </c>
    </row>
    <row r="712">
      <c r="A712" s="1165">
        <f>'House Count'!A712</f>
        <v/>
      </c>
      <c r="B712" s="1166">
        <f>'House Count'!E712</f>
        <v/>
      </c>
      <c r="C712" s="1166">
        <f>'House Count'!B712</f>
        <v/>
      </c>
      <c r="D712" s="1166">
        <f>'House Count'!C712</f>
        <v/>
      </c>
      <c r="E712" s="1166">
        <f>'House Count'!D712</f>
        <v/>
      </c>
      <c r="F712" s="1166">
        <f>IF(G712="RES-SFU","RESIDENTIAL",IF(G712="RES-HOA","RESIDENTIAL",IF(G712="RES-MDU","RESIDENTIAL",IF(G712="COMM-SU","BUSINESS",IF(G712="COM-MTU","BUSINESS",IF(G712="ENT","BUSINESS",""))))))</f>
        <v/>
      </c>
      <c r="G712" s="1166">
        <f>'House Count'!F712</f>
        <v/>
      </c>
      <c r="H712" s="1166">
        <f>'House Count'!H712</f>
        <v/>
      </c>
    </row>
    <row r="713">
      <c r="A713" s="1165">
        <f>'House Count'!A713</f>
        <v/>
      </c>
      <c r="B713" s="1166">
        <f>'House Count'!E713</f>
        <v/>
      </c>
      <c r="C713" s="1166">
        <f>'House Count'!B713</f>
        <v/>
      </c>
      <c r="D713" s="1166">
        <f>'House Count'!C713</f>
        <v/>
      </c>
      <c r="E713" s="1166">
        <f>'House Count'!D713</f>
        <v/>
      </c>
      <c r="F713" s="1166">
        <f>IF(G713="RES-SFU","RESIDENTIAL",IF(G713="RES-HOA","RESIDENTIAL",IF(G713="RES-MDU","RESIDENTIAL",IF(G713="COMM-SU","BUSINESS",IF(G713="COM-MTU","BUSINESS",IF(G713="ENT","BUSINESS",""))))))</f>
        <v/>
      </c>
      <c r="G713" s="1166">
        <f>'House Count'!F713</f>
        <v/>
      </c>
      <c r="H713" s="1166">
        <f>'House Count'!H713</f>
        <v/>
      </c>
    </row>
    <row r="714">
      <c r="A714" s="1165">
        <f>'House Count'!A714</f>
        <v/>
      </c>
      <c r="B714" s="1166">
        <f>'House Count'!E714</f>
        <v/>
      </c>
      <c r="C714" s="1166">
        <f>'House Count'!B714</f>
        <v/>
      </c>
      <c r="D714" s="1166">
        <f>'House Count'!C714</f>
        <v/>
      </c>
      <c r="E714" s="1166">
        <f>'House Count'!D714</f>
        <v/>
      </c>
      <c r="F714" s="1166">
        <f>IF(G714="RES-SFU","RESIDENTIAL",IF(G714="RES-HOA","RESIDENTIAL",IF(G714="RES-MDU","RESIDENTIAL",IF(G714="COMM-SU","BUSINESS",IF(G714="COM-MTU","BUSINESS",IF(G714="ENT","BUSINESS",""))))))</f>
        <v/>
      </c>
      <c r="G714" s="1166">
        <f>'House Count'!F714</f>
        <v/>
      </c>
      <c r="H714" s="1166">
        <f>'House Count'!H714</f>
        <v/>
      </c>
    </row>
    <row r="715">
      <c r="A715" s="1165">
        <f>'House Count'!A715</f>
        <v/>
      </c>
      <c r="B715" s="1166">
        <f>'House Count'!E715</f>
        <v/>
      </c>
      <c r="C715" s="1166">
        <f>'House Count'!B715</f>
        <v/>
      </c>
      <c r="D715" s="1166">
        <f>'House Count'!C715</f>
        <v/>
      </c>
      <c r="E715" s="1166">
        <f>'House Count'!D715</f>
        <v/>
      </c>
      <c r="F715" s="1166">
        <f>IF(G715="RES-SFU","RESIDENTIAL",IF(G715="RES-HOA","RESIDENTIAL",IF(G715="RES-MDU","RESIDENTIAL",IF(G715="COMM-SU","BUSINESS",IF(G715="COM-MTU","BUSINESS",IF(G715="ENT","BUSINESS",""))))))</f>
        <v/>
      </c>
      <c r="G715" s="1166">
        <f>'House Count'!F715</f>
        <v/>
      </c>
      <c r="H715" s="1166">
        <f>'House Count'!H715</f>
        <v/>
      </c>
    </row>
    <row r="716">
      <c r="A716" s="1165">
        <f>'House Count'!A716</f>
        <v/>
      </c>
      <c r="B716" s="1166">
        <f>'House Count'!E716</f>
        <v/>
      </c>
      <c r="C716" s="1166">
        <f>'House Count'!B716</f>
        <v/>
      </c>
      <c r="D716" s="1166">
        <f>'House Count'!C716</f>
        <v/>
      </c>
      <c r="E716" s="1166">
        <f>'House Count'!D716</f>
        <v/>
      </c>
      <c r="F716" s="1166">
        <f>IF(G716="RES-SFU","RESIDENTIAL",IF(G716="RES-HOA","RESIDENTIAL",IF(G716="RES-MDU","RESIDENTIAL",IF(G716="COMM-SU","BUSINESS",IF(G716="COM-MTU","BUSINESS",IF(G716="ENT","BUSINESS",""))))))</f>
        <v/>
      </c>
      <c r="G716" s="1166">
        <f>'House Count'!F716</f>
        <v/>
      </c>
      <c r="H716" s="1166">
        <f>'House Count'!H716</f>
        <v/>
      </c>
    </row>
    <row r="717">
      <c r="A717" s="1165">
        <f>'House Count'!A717</f>
        <v/>
      </c>
      <c r="B717" s="1166">
        <f>'House Count'!E717</f>
        <v/>
      </c>
      <c r="C717" s="1166">
        <f>'House Count'!B717</f>
        <v/>
      </c>
      <c r="D717" s="1166">
        <f>'House Count'!C717</f>
        <v/>
      </c>
      <c r="E717" s="1166">
        <f>'House Count'!D717</f>
        <v/>
      </c>
      <c r="F717" s="1166">
        <f>IF(G717="RES-SFU","RESIDENTIAL",IF(G717="RES-HOA","RESIDENTIAL",IF(G717="RES-MDU","RESIDENTIAL",IF(G717="COMM-SU","BUSINESS",IF(G717="COM-MTU","BUSINESS",IF(G717="ENT","BUSINESS",""))))))</f>
        <v/>
      </c>
      <c r="G717" s="1166">
        <f>'House Count'!F717</f>
        <v/>
      </c>
      <c r="H717" s="1166">
        <f>'House Count'!H717</f>
        <v/>
      </c>
    </row>
    <row r="718">
      <c r="A718" s="1165">
        <f>'House Count'!A718</f>
        <v/>
      </c>
      <c r="B718" s="1166">
        <f>'House Count'!E718</f>
        <v/>
      </c>
      <c r="C718" s="1166">
        <f>'House Count'!B718</f>
        <v/>
      </c>
      <c r="D718" s="1166">
        <f>'House Count'!C718</f>
        <v/>
      </c>
      <c r="E718" s="1166">
        <f>'House Count'!D718</f>
        <v/>
      </c>
      <c r="F718" s="1166">
        <f>IF(G718="RES-SFU","RESIDENTIAL",IF(G718="RES-HOA","RESIDENTIAL",IF(G718="RES-MDU","RESIDENTIAL",IF(G718="COMM-SU","BUSINESS",IF(G718="COM-MTU","BUSINESS",IF(G718="ENT","BUSINESS",""))))))</f>
        <v/>
      </c>
      <c r="G718" s="1166">
        <f>'House Count'!F718</f>
        <v/>
      </c>
      <c r="H718" s="1166">
        <f>'House Count'!H718</f>
        <v/>
      </c>
    </row>
    <row r="719">
      <c r="A719" s="1165">
        <f>'House Count'!A719</f>
        <v/>
      </c>
      <c r="B719" s="1166">
        <f>'House Count'!E719</f>
        <v/>
      </c>
      <c r="C719" s="1166">
        <f>'House Count'!B719</f>
        <v/>
      </c>
      <c r="D719" s="1166">
        <f>'House Count'!C719</f>
        <v/>
      </c>
      <c r="E719" s="1166">
        <f>'House Count'!D719</f>
        <v/>
      </c>
      <c r="F719" s="1166">
        <f>IF(G719="RES-SFU","RESIDENTIAL",IF(G719="RES-HOA","RESIDENTIAL",IF(G719="RES-MDU","RESIDENTIAL",IF(G719="COMM-SU","BUSINESS",IF(G719="COM-MTU","BUSINESS",IF(G719="ENT","BUSINESS",""))))))</f>
        <v/>
      </c>
      <c r="G719" s="1166">
        <f>'House Count'!F719</f>
        <v/>
      </c>
      <c r="H719" s="1166">
        <f>'House Count'!H719</f>
        <v/>
      </c>
    </row>
    <row r="720">
      <c r="A720" s="1165">
        <f>'House Count'!A720</f>
        <v/>
      </c>
      <c r="B720" s="1166">
        <f>'House Count'!E720</f>
        <v/>
      </c>
      <c r="C720" s="1166">
        <f>'House Count'!B720</f>
        <v/>
      </c>
      <c r="D720" s="1166">
        <f>'House Count'!C720</f>
        <v/>
      </c>
      <c r="E720" s="1166">
        <f>'House Count'!D720</f>
        <v/>
      </c>
      <c r="F720" s="1166">
        <f>IF(G720="RES-SFU","RESIDENTIAL",IF(G720="RES-HOA","RESIDENTIAL",IF(G720="RES-MDU","RESIDENTIAL",IF(G720="COMM-SU","BUSINESS",IF(G720="COM-MTU","BUSINESS",IF(G720="ENT","BUSINESS",""))))))</f>
        <v/>
      </c>
      <c r="G720" s="1166">
        <f>'House Count'!F720</f>
        <v/>
      </c>
      <c r="H720" s="1166">
        <f>'House Count'!H720</f>
        <v/>
      </c>
    </row>
    <row r="721">
      <c r="A721" s="1165">
        <f>'House Count'!A721</f>
        <v/>
      </c>
      <c r="B721" s="1166">
        <f>'House Count'!E721</f>
        <v/>
      </c>
      <c r="C721" s="1166">
        <f>'House Count'!B721</f>
        <v/>
      </c>
      <c r="D721" s="1166">
        <f>'House Count'!C721</f>
        <v/>
      </c>
      <c r="E721" s="1166">
        <f>'House Count'!D721</f>
        <v/>
      </c>
      <c r="F721" s="1166">
        <f>IF(G721="RES-SFU","RESIDENTIAL",IF(G721="RES-HOA","RESIDENTIAL",IF(G721="RES-MDU","RESIDENTIAL",IF(G721="COMM-SU","BUSINESS",IF(G721="COM-MTU","BUSINESS",IF(G721="ENT","BUSINESS",""))))))</f>
        <v/>
      </c>
      <c r="G721" s="1166">
        <f>'House Count'!F721</f>
        <v/>
      </c>
      <c r="H721" s="1166">
        <f>'House Count'!H721</f>
        <v/>
      </c>
    </row>
    <row r="722">
      <c r="A722" s="1165">
        <f>'House Count'!A722</f>
        <v/>
      </c>
      <c r="B722" s="1166">
        <f>'House Count'!E722</f>
        <v/>
      </c>
      <c r="C722" s="1166">
        <f>'House Count'!B722</f>
        <v/>
      </c>
      <c r="D722" s="1166">
        <f>'House Count'!C722</f>
        <v/>
      </c>
      <c r="E722" s="1166">
        <f>'House Count'!D722</f>
        <v/>
      </c>
      <c r="F722" s="1166">
        <f>IF(G722="RES-SFU","RESIDENTIAL",IF(G722="RES-HOA","RESIDENTIAL",IF(G722="RES-MDU","RESIDENTIAL",IF(G722="COMM-SU","BUSINESS",IF(G722="COM-MTU","BUSINESS",IF(G722="ENT","BUSINESS",""))))))</f>
        <v/>
      </c>
      <c r="G722" s="1166">
        <f>'House Count'!F722</f>
        <v/>
      </c>
      <c r="H722" s="1166">
        <f>'House Count'!H722</f>
        <v/>
      </c>
    </row>
    <row r="723">
      <c r="A723" s="1165">
        <f>'House Count'!A723</f>
        <v/>
      </c>
      <c r="B723" s="1166">
        <f>'House Count'!E723</f>
        <v/>
      </c>
      <c r="C723" s="1166">
        <f>'House Count'!B723</f>
        <v/>
      </c>
      <c r="D723" s="1166">
        <f>'House Count'!C723</f>
        <v/>
      </c>
      <c r="E723" s="1166">
        <f>'House Count'!D723</f>
        <v/>
      </c>
      <c r="F723" s="1166">
        <f>IF(G723="RES-SFU","RESIDENTIAL",IF(G723="RES-HOA","RESIDENTIAL",IF(G723="RES-MDU","RESIDENTIAL",IF(G723="COMM-SU","BUSINESS",IF(G723="COM-MTU","BUSINESS",IF(G723="ENT","BUSINESS",""))))))</f>
        <v/>
      </c>
      <c r="G723" s="1166">
        <f>'House Count'!F723</f>
        <v/>
      </c>
      <c r="H723" s="1166">
        <f>'House Count'!H723</f>
        <v/>
      </c>
    </row>
    <row r="724">
      <c r="A724" s="1165">
        <f>'House Count'!A724</f>
        <v/>
      </c>
      <c r="B724" s="1166">
        <f>'House Count'!E724</f>
        <v/>
      </c>
      <c r="C724" s="1166">
        <f>'House Count'!B724</f>
        <v/>
      </c>
      <c r="D724" s="1166">
        <f>'House Count'!C724</f>
        <v/>
      </c>
      <c r="E724" s="1166">
        <f>'House Count'!D724</f>
        <v/>
      </c>
      <c r="F724" s="1166">
        <f>IF(G724="RES-SFU","RESIDENTIAL",IF(G724="RES-HOA","RESIDENTIAL",IF(G724="RES-MDU","RESIDENTIAL",IF(G724="COMM-SU","BUSINESS",IF(G724="COM-MTU","BUSINESS",IF(G724="ENT","BUSINESS",""))))))</f>
        <v/>
      </c>
      <c r="G724" s="1166">
        <f>'House Count'!F724</f>
        <v/>
      </c>
      <c r="H724" s="1166">
        <f>'House Count'!H724</f>
        <v/>
      </c>
    </row>
    <row r="725">
      <c r="A725" s="1165">
        <f>'House Count'!A725</f>
        <v/>
      </c>
      <c r="B725" s="1166">
        <f>'House Count'!E725</f>
        <v/>
      </c>
      <c r="C725" s="1166">
        <f>'House Count'!B725</f>
        <v/>
      </c>
      <c r="D725" s="1166">
        <f>'House Count'!C725</f>
        <v/>
      </c>
      <c r="E725" s="1166">
        <f>'House Count'!D725</f>
        <v/>
      </c>
      <c r="F725" s="1166">
        <f>IF(G725="RES-SFU","RESIDENTIAL",IF(G725="RES-HOA","RESIDENTIAL",IF(G725="RES-MDU","RESIDENTIAL",IF(G725="COMM-SU","BUSINESS",IF(G725="COM-MTU","BUSINESS",IF(G725="ENT","BUSINESS",""))))))</f>
        <v/>
      </c>
      <c r="G725" s="1166">
        <f>'House Count'!F725</f>
        <v/>
      </c>
      <c r="H725" s="1166">
        <f>'House Count'!H725</f>
        <v/>
      </c>
    </row>
    <row r="726">
      <c r="A726" s="1165">
        <f>'House Count'!A726</f>
        <v/>
      </c>
      <c r="B726" s="1166">
        <f>'House Count'!E726</f>
        <v/>
      </c>
      <c r="C726" s="1166">
        <f>'House Count'!B726</f>
        <v/>
      </c>
      <c r="D726" s="1166">
        <f>'House Count'!C726</f>
        <v/>
      </c>
      <c r="E726" s="1166">
        <f>'House Count'!D726</f>
        <v/>
      </c>
      <c r="F726" s="1166">
        <f>IF(G726="RES-SFU","RESIDENTIAL",IF(G726="RES-HOA","RESIDENTIAL",IF(G726="RES-MDU","RESIDENTIAL",IF(G726="COMM-SU","BUSINESS",IF(G726="COM-MTU","BUSINESS",IF(G726="ENT","BUSINESS",""))))))</f>
        <v/>
      </c>
      <c r="G726" s="1166">
        <f>'House Count'!F726</f>
        <v/>
      </c>
      <c r="H726" s="1166">
        <f>'House Count'!H726</f>
        <v/>
      </c>
    </row>
    <row r="727">
      <c r="A727" s="1165">
        <f>'House Count'!A727</f>
        <v/>
      </c>
      <c r="B727" s="1166">
        <f>'House Count'!E727</f>
        <v/>
      </c>
      <c r="C727" s="1166">
        <f>'House Count'!B727</f>
        <v/>
      </c>
      <c r="D727" s="1166">
        <f>'House Count'!C727</f>
        <v/>
      </c>
      <c r="E727" s="1166">
        <f>'House Count'!D727</f>
        <v/>
      </c>
      <c r="F727" s="1166">
        <f>IF(G727="RES-SFU","RESIDENTIAL",IF(G727="RES-HOA","RESIDENTIAL",IF(G727="RES-MDU","RESIDENTIAL",IF(G727="COMM-SU","BUSINESS",IF(G727="COM-MTU","BUSINESS",IF(G727="ENT","BUSINESS",""))))))</f>
        <v/>
      </c>
      <c r="G727" s="1166">
        <f>'House Count'!F727</f>
        <v/>
      </c>
      <c r="H727" s="1166">
        <f>'House Count'!H727</f>
        <v/>
      </c>
    </row>
    <row r="728">
      <c r="A728" s="1165">
        <f>'House Count'!A728</f>
        <v/>
      </c>
      <c r="B728" s="1166">
        <f>'House Count'!E728</f>
        <v/>
      </c>
      <c r="C728" s="1166">
        <f>'House Count'!B728</f>
        <v/>
      </c>
      <c r="D728" s="1166">
        <f>'House Count'!C728</f>
        <v/>
      </c>
      <c r="E728" s="1166">
        <f>'House Count'!D728</f>
        <v/>
      </c>
      <c r="F728" s="1166">
        <f>IF(G728="RES-SFU","RESIDENTIAL",IF(G728="RES-HOA","RESIDENTIAL",IF(G728="RES-MDU","RESIDENTIAL",IF(G728="COMM-SU","BUSINESS",IF(G728="COM-MTU","BUSINESS",IF(G728="ENT","BUSINESS",""))))))</f>
        <v/>
      </c>
      <c r="G728" s="1166">
        <f>'House Count'!F728</f>
        <v/>
      </c>
      <c r="H728" s="1166">
        <f>'House Count'!H728</f>
        <v/>
      </c>
    </row>
    <row r="729">
      <c r="A729" s="1165">
        <f>'House Count'!A729</f>
        <v/>
      </c>
      <c r="B729" s="1166">
        <f>'House Count'!E729</f>
        <v/>
      </c>
      <c r="C729" s="1166">
        <f>'House Count'!B729</f>
        <v/>
      </c>
      <c r="D729" s="1166">
        <f>'House Count'!C729</f>
        <v/>
      </c>
      <c r="E729" s="1166">
        <f>'House Count'!D729</f>
        <v/>
      </c>
      <c r="F729" s="1166">
        <f>IF(G729="RES-SFU","RESIDENTIAL",IF(G729="RES-HOA","RESIDENTIAL",IF(G729="RES-MDU","RESIDENTIAL",IF(G729="COMM-SU","BUSINESS",IF(G729="COM-MTU","BUSINESS",IF(G729="ENT","BUSINESS",""))))))</f>
        <v/>
      </c>
      <c r="G729" s="1166">
        <f>'House Count'!F729</f>
        <v/>
      </c>
      <c r="H729" s="1166">
        <f>'House Count'!H729</f>
        <v/>
      </c>
    </row>
    <row r="730">
      <c r="A730" s="1165">
        <f>'House Count'!A730</f>
        <v/>
      </c>
      <c r="B730" s="1166">
        <f>'House Count'!E730</f>
        <v/>
      </c>
      <c r="C730" s="1166">
        <f>'House Count'!B730</f>
        <v/>
      </c>
      <c r="D730" s="1166">
        <f>'House Count'!C730</f>
        <v/>
      </c>
      <c r="E730" s="1166">
        <f>'House Count'!D730</f>
        <v/>
      </c>
      <c r="F730" s="1166">
        <f>IF(G730="RES-SFU","RESIDENTIAL",IF(G730="RES-HOA","RESIDENTIAL",IF(G730="RES-MDU","RESIDENTIAL",IF(G730="COMM-SU","BUSINESS",IF(G730="COM-MTU","BUSINESS",IF(G730="ENT","BUSINESS",""))))))</f>
        <v/>
      </c>
      <c r="G730" s="1166">
        <f>'House Count'!F730</f>
        <v/>
      </c>
      <c r="H730" s="1166">
        <f>'House Count'!H730</f>
        <v/>
      </c>
    </row>
    <row r="731">
      <c r="A731" s="1165">
        <f>'House Count'!A731</f>
        <v/>
      </c>
      <c r="B731" s="1166">
        <f>'House Count'!E731</f>
        <v/>
      </c>
      <c r="C731" s="1166">
        <f>'House Count'!B731</f>
        <v/>
      </c>
      <c r="D731" s="1166">
        <f>'House Count'!C731</f>
        <v/>
      </c>
      <c r="E731" s="1166">
        <f>'House Count'!D731</f>
        <v/>
      </c>
      <c r="F731" s="1166">
        <f>IF(G731="RES-SFU","RESIDENTIAL",IF(G731="RES-HOA","RESIDENTIAL",IF(G731="RES-MDU","RESIDENTIAL",IF(G731="COMM-SU","BUSINESS",IF(G731="COM-MTU","BUSINESS",IF(G731="ENT","BUSINESS",""))))))</f>
        <v/>
      </c>
      <c r="G731" s="1166">
        <f>'House Count'!F731</f>
        <v/>
      </c>
      <c r="H731" s="1166">
        <f>'House Count'!H731</f>
        <v/>
      </c>
    </row>
    <row r="732">
      <c r="A732" s="1165">
        <f>'House Count'!A732</f>
        <v/>
      </c>
      <c r="B732" s="1166">
        <f>'House Count'!E732</f>
        <v/>
      </c>
      <c r="C732" s="1166">
        <f>'House Count'!B732</f>
        <v/>
      </c>
      <c r="D732" s="1166">
        <f>'House Count'!C732</f>
        <v/>
      </c>
      <c r="E732" s="1166">
        <f>'House Count'!D732</f>
        <v/>
      </c>
      <c r="F732" s="1166">
        <f>IF(G732="RES-SFU","RESIDENTIAL",IF(G732="RES-HOA","RESIDENTIAL",IF(G732="RES-MDU","RESIDENTIAL",IF(G732="COMM-SU","BUSINESS",IF(G732="COM-MTU","BUSINESS",IF(G732="ENT","BUSINESS",""))))))</f>
        <v/>
      </c>
      <c r="G732" s="1166">
        <f>'House Count'!F732</f>
        <v/>
      </c>
      <c r="H732" s="1166">
        <f>'House Count'!H732</f>
        <v/>
      </c>
    </row>
    <row r="733">
      <c r="A733" s="1165">
        <f>'House Count'!A733</f>
        <v/>
      </c>
      <c r="B733" s="1166">
        <f>'House Count'!E733</f>
        <v/>
      </c>
      <c r="C733" s="1166">
        <f>'House Count'!B733</f>
        <v/>
      </c>
      <c r="D733" s="1166">
        <f>'House Count'!C733</f>
        <v/>
      </c>
      <c r="E733" s="1166">
        <f>'House Count'!D733</f>
        <v/>
      </c>
      <c r="F733" s="1166">
        <f>IF(G733="RES-SFU","RESIDENTIAL",IF(G733="RES-HOA","RESIDENTIAL",IF(G733="RES-MDU","RESIDENTIAL",IF(G733="COMM-SU","BUSINESS",IF(G733="COM-MTU","BUSINESS",IF(G733="ENT","BUSINESS",""))))))</f>
        <v/>
      </c>
      <c r="G733" s="1166">
        <f>'House Count'!F733</f>
        <v/>
      </c>
      <c r="H733" s="1166">
        <f>'House Count'!H733</f>
        <v/>
      </c>
    </row>
    <row r="734">
      <c r="A734" s="1165">
        <f>'House Count'!A734</f>
        <v/>
      </c>
      <c r="B734" s="1166">
        <f>'House Count'!E734</f>
        <v/>
      </c>
      <c r="C734" s="1166">
        <f>'House Count'!B734</f>
        <v/>
      </c>
      <c r="D734" s="1166">
        <f>'House Count'!C734</f>
        <v/>
      </c>
      <c r="E734" s="1166">
        <f>'House Count'!D734</f>
        <v/>
      </c>
      <c r="F734" s="1166">
        <f>IF(G734="RES-SFU","RESIDENTIAL",IF(G734="RES-HOA","RESIDENTIAL",IF(G734="RES-MDU","RESIDENTIAL",IF(G734="COMM-SU","BUSINESS",IF(G734="COM-MTU","BUSINESS",IF(G734="ENT","BUSINESS",""))))))</f>
        <v/>
      </c>
      <c r="G734" s="1166">
        <f>'House Count'!F734</f>
        <v/>
      </c>
      <c r="H734" s="1166">
        <f>'House Count'!H734</f>
        <v/>
      </c>
    </row>
    <row r="735">
      <c r="A735" s="1165">
        <f>'House Count'!A735</f>
        <v/>
      </c>
      <c r="B735" s="1166">
        <f>'House Count'!E735</f>
        <v/>
      </c>
      <c r="C735" s="1166">
        <f>'House Count'!B735</f>
        <v/>
      </c>
      <c r="D735" s="1166">
        <f>'House Count'!C735</f>
        <v/>
      </c>
      <c r="E735" s="1166">
        <f>'House Count'!D735</f>
        <v/>
      </c>
      <c r="F735" s="1166">
        <f>IF(G735="RES-SFU","RESIDENTIAL",IF(G735="RES-HOA","RESIDENTIAL",IF(G735="RES-MDU","RESIDENTIAL",IF(G735="COMM-SU","BUSINESS",IF(G735="COM-MTU","BUSINESS",IF(G735="ENT","BUSINESS",""))))))</f>
        <v/>
      </c>
      <c r="G735" s="1166">
        <f>'House Count'!F735</f>
        <v/>
      </c>
      <c r="H735" s="1166">
        <f>'House Count'!H735</f>
        <v/>
      </c>
    </row>
    <row r="736">
      <c r="A736" s="1165">
        <f>'House Count'!A736</f>
        <v/>
      </c>
      <c r="B736" s="1166">
        <f>'House Count'!E736</f>
        <v/>
      </c>
      <c r="C736" s="1166">
        <f>'House Count'!B736</f>
        <v/>
      </c>
      <c r="D736" s="1166">
        <f>'House Count'!C736</f>
        <v/>
      </c>
      <c r="E736" s="1166">
        <f>'House Count'!D736</f>
        <v/>
      </c>
      <c r="F736" s="1166">
        <f>IF(G736="RES-SFU","RESIDENTIAL",IF(G736="RES-HOA","RESIDENTIAL",IF(G736="RES-MDU","RESIDENTIAL",IF(G736="COMM-SU","BUSINESS",IF(G736="COM-MTU","BUSINESS",IF(G736="ENT","BUSINESS",""))))))</f>
        <v/>
      </c>
      <c r="G736" s="1166">
        <f>'House Count'!F736</f>
        <v/>
      </c>
      <c r="H736" s="1166">
        <f>'House Count'!H736</f>
        <v/>
      </c>
    </row>
    <row r="737">
      <c r="A737" s="1165">
        <f>'House Count'!A737</f>
        <v/>
      </c>
      <c r="B737" s="1166">
        <f>'House Count'!E737</f>
        <v/>
      </c>
      <c r="C737" s="1166">
        <f>'House Count'!B737</f>
        <v/>
      </c>
      <c r="D737" s="1166">
        <f>'House Count'!C737</f>
        <v/>
      </c>
      <c r="E737" s="1166">
        <f>'House Count'!D737</f>
        <v/>
      </c>
      <c r="F737" s="1166">
        <f>IF(G737="RES-SFU","RESIDENTIAL",IF(G737="RES-HOA","RESIDENTIAL",IF(G737="RES-MDU","RESIDENTIAL",IF(G737="COMM-SU","BUSINESS",IF(G737="COM-MTU","BUSINESS",IF(G737="ENT","BUSINESS",""))))))</f>
        <v/>
      </c>
      <c r="G737" s="1166">
        <f>'House Count'!F737</f>
        <v/>
      </c>
      <c r="H737" s="1166">
        <f>'House Count'!H737</f>
        <v/>
      </c>
    </row>
    <row r="738">
      <c r="A738" s="1165">
        <f>'House Count'!A738</f>
        <v/>
      </c>
      <c r="B738" s="1166">
        <f>'House Count'!E738</f>
        <v/>
      </c>
      <c r="C738" s="1166">
        <f>'House Count'!B738</f>
        <v/>
      </c>
      <c r="D738" s="1166">
        <f>'House Count'!C738</f>
        <v/>
      </c>
      <c r="E738" s="1166">
        <f>'House Count'!D738</f>
        <v/>
      </c>
      <c r="F738" s="1166">
        <f>IF(G738="RES-SFU","RESIDENTIAL",IF(G738="RES-HOA","RESIDENTIAL",IF(G738="RES-MDU","RESIDENTIAL",IF(G738="COMM-SU","BUSINESS",IF(G738="COM-MTU","BUSINESS",IF(G738="ENT","BUSINESS",""))))))</f>
        <v/>
      </c>
      <c r="G738" s="1166">
        <f>'House Count'!F738</f>
        <v/>
      </c>
      <c r="H738" s="1166">
        <f>'House Count'!H738</f>
        <v/>
      </c>
    </row>
    <row r="739">
      <c r="A739" s="1165">
        <f>'House Count'!A739</f>
        <v/>
      </c>
      <c r="B739" s="1166">
        <f>'House Count'!E739</f>
        <v/>
      </c>
      <c r="C739" s="1166">
        <f>'House Count'!B739</f>
        <v/>
      </c>
      <c r="D739" s="1166">
        <f>'House Count'!C739</f>
        <v/>
      </c>
      <c r="E739" s="1166">
        <f>'House Count'!D739</f>
        <v/>
      </c>
      <c r="F739" s="1166">
        <f>IF(G739="RES-SFU","RESIDENTIAL",IF(G739="RES-HOA","RESIDENTIAL",IF(G739="RES-MDU","RESIDENTIAL",IF(G739="COMM-SU","BUSINESS",IF(G739="COM-MTU","BUSINESS",IF(G739="ENT","BUSINESS",""))))))</f>
        <v/>
      </c>
      <c r="G739" s="1166">
        <f>'House Count'!F739</f>
        <v/>
      </c>
      <c r="H739" s="1166">
        <f>'House Count'!H739</f>
        <v/>
      </c>
    </row>
    <row r="740">
      <c r="A740" s="1165">
        <f>'House Count'!A740</f>
        <v/>
      </c>
      <c r="B740" s="1166">
        <f>'House Count'!E740</f>
        <v/>
      </c>
      <c r="C740" s="1166">
        <f>'House Count'!B740</f>
        <v/>
      </c>
      <c r="D740" s="1166">
        <f>'House Count'!C740</f>
        <v/>
      </c>
      <c r="E740" s="1166">
        <f>'House Count'!D740</f>
        <v/>
      </c>
      <c r="F740" s="1166">
        <f>IF(G740="RES-SFU","RESIDENTIAL",IF(G740="RES-HOA","RESIDENTIAL",IF(G740="RES-MDU","RESIDENTIAL",IF(G740="COMM-SU","BUSINESS",IF(G740="COM-MTU","BUSINESS",IF(G740="ENT","BUSINESS",""))))))</f>
        <v/>
      </c>
      <c r="G740" s="1166">
        <f>'House Count'!F740</f>
        <v/>
      </c>
      <c r="H740" s="1166">
        <f>'House Count'!H740</f>
        <v/>
      </c>
    </row>
    <row r="741">
      <c r="A741" s="1165">
        <f>'House Count'!A741</f>
        <v/>
      </c>
      <c r="B741" s="1166">
        <f>'House Count'!E741</f>
        <v/>
      </c>
      <c r="C741" s="1166">
        <f>'House Count'!B741</f>
        <v/>
      </c>
      <c r="D741" s="1166">
        <f>'House Count'!C741</f>
        <v/>
      </c>
      <c r="E741" s="1166">
        <f>'House Count'!D741</f>
        <v/>
      </c>
      <c r="F741" s="1166">
        <f>IF(G741="RES-SFU","RESIDENTIAL",IF(G741="RES-HOA","RESIDENTIAL",IF(G741="RES-MDU","RESIDENTIAL",IF(G741="COMM-SU","BUSINESS",IF(G741="COM-MTU","BUSINESS",IF(G741="ENT","BUSINESS",""))))))</f>
        <v/>
      </c>
      <c r="G741" s="1166">
        <f>'House Count'!F741</f>
        <v/>
      </c>
      <c r="H741" s="1166">
        <f>'House Count'!H741</f>
        <v/>
      </c>
    </row>
    <row r="742">
      <c r="A742" s="1165">
        <f>'House Count'!A742</f>
        <v/>
      </c>
      <c r="B742" s="1166">
        <f>'House Count'!E742</f>
        <v/>
      </c>
      <c r="C742" s="1166">
        <f>'House Count'!B742</f>
        <v/>
      </c>
      <c r="D742" s="1166">
        <f>'House Count'!C742</f>
        <v/>
      </c>
      <c r="E742" s="1166">
        <f>'House Count'!D742</f>
        <v/>
      </c>
      <c r="F742" s="1166">
        <f>IF(G742="RES-SFU","RESIDENTIAL",IF(G742="RES-HOA","RESIDENTIAL",IF(G742="RES-MDU","RESIDENTIAL",IF(G742="COMM-SU","BUSINESS",IF(G742="COM-MTU","BUSINESS",IF(G742="ENT","BUSINESS",""))))))</f>
        <v/>
      </c>
      <c r="G742" s="1166">
        <f>'House Count'!F742</f>
        <v/>
      </c>
      <c r="H742" s="1166">
        <f>'House Count'!H742</f>
        <v/>
      </c>
    </row>
    <row r="743">
      <c r="A743" s="1165">
        <f>'House Count'!A743</f>
        <v/>
      </c>
      <c r="B743" s="1166">
        <f>'House Count'!E743</f>
        <v/>
      </c>
      <c r="C743" s="1166">
        <f>'House Count'!B743</f>
        <v/>
      </c>
      <c r="D743" s="1166">
        <f>'House Count'!C743</f>
        <v/>
      </c>
      <c r="E743" s="1166">
        <f>'House Count'!D743</f>
        <v/>
      </c>
      <c r="F743" s="1166">
        <f>IF(G743="RES-SFU","RESIDENTIAL",IF(G743="RES-HOA","RESIDENTIAL",IF(G743="RES-MDU","RESIDENTIAL",IF(G743="COMM-SU","BUSINESS",IF(G743="COM-MTU","BUSINESS",IF(G743="ENT","BUSINESS",""))))))</f>
        <v/>
      </c>
      <c r="G743" s="1166">
        <f>'House Count'!F743</f>
        <v/>
      </c>
      <c r="H743" s="1166">
        <f>'House Count'!H743</f>
        <v/>
      </c>
    </row>
    <row r="744">
      <c r="A744" s="1165">
        <f>'House Count'!A744</f>
        <v/>
      </c>
      <c r="B744" s="1166">
        <f>'House Count'!E744</f>
        <v/>
      </c>
      <c r="C744" s="1166">
        <f>'House Count'!B744</f>
        <v/>
      </c>
      <c r="D744" s="1166">
        <f>'House Count'!C744</f>
        <v/>
      </c>
      <c r="E744" s="1166">
        <f>'House Count'!D744</f>
        <v/>
      </c>
      <c r="F744" s="1166">
        <f>IF(G744="RES-SFU","RESIDENTIAL",IF(G744="RES-HOA","RESIDENTIAL",IF(G744="RES-MDU","RESIDENTIAL",IF(G744="COMM-SU","BUSINESS",IF(G744="COM-MTU","BUSINESS",IF(G744="ENT","BUSINESS",""))))))</f>
        <v/>
      </c>
      <c r="G744" s="1166">
        <f>'House Count'!F744</f>
        <v/>
      </c>
      <c r="H744" s="1166">
        <f>'House Count'!H744</f>
        <v/>
      </c>
    </row>
    <row r="745">
      <c r="A745" s="1165">
        <f>'House Count'!A745</f>
        <v/>
      </c>
      <c r="B745" s="1166">
        <f>'House Count'!E745</f>
        <v/>
      </c>
      <c r="C745" s="1166">
        <f>'House Count'!B745</f>
        <v/>
      </c>
      <c r="D745" s="1166">
        <f>'House Count'!C745</f>
        <v/>
      </c>
      <c r="E745" s="1166">
        <f>'House Count'!D745</f>
        <v/>
      </c>
      <c r="F745" s="1166">
        <f>IF(G745="RES-SFU","RESIDENTIAL",IF(G745="RES-HOA","RESIDENTIAL",IF(G745="RES-MDU","RESIDENTIAL",IF(G745="COMM-SU","BUSINESS",IF(G745="COM-MTU","BUSINESS",IF(G745="ENT","BUSINESS",""))))))</f>
        <v/>
      </c>
      <c r="G745" s="1166">
        <f>'House Count'!F745</f>
        <v/>
      </c>
      <c r="H745" s="1166">
        <f>'House Count'!H745</f>
        <v/>
      </c>
    </row>
    <row r="746">
      <c r="A746" s="1165">
        <f>'House Count'!A746</f>
        <v/>
      </c>
      <c r="B746" s="1166">
        <f>'House Count'!E746</f>
        <v/>
      </c>
      <c r="C746" s="1166">
        <f>'House Count'!B746</f>
        <v/>
      </c>
      <c r="D746" s="1166">
        <f>'House Count'!C746</f>
        <v/>
      </c>
      <c r="E746" s="1166">
        <f>'House Count'!D746</f>
        <v/>
      </c>
      <c r="F746" s="1166">
        <f>IF(G746="RES-SFU","RESIDENTIAL",IF(G746="RES-HOA","RESIDENTIAL",IF(G746="RES-MDU","RESIDENTIAL",IF(G746="COMM-SU","BUSINESS",IF(G746="COM-MTU","BUSINESS",IF(G746="ENT","BUSINESS",""))))))</f>
        <v/>
      </c>
      <c r="G746" s="1166">
        <f>'House Count'!F746</f>
        <v/>
      </c>
      <c r="H746" s="1166">
        <f>'House Count'!H746</f>
        <v/>
      </c>
    </row>
    <row r="747">
      <c r="A747" s="1165">
        <f>'House Count'!A747</f>
        <v/>
      </c>
      <c r="B747" s="1166">
        <f>'House Count'!E747</f>
        <v/>
      </c>
      <c r="C747" s="1166">
        <f>'House Count'!B747</f>
        <v/>
      </c>
      <c r="D747" s="1166">
        <f>'House Count'!C747</f>
        <v/>
      </c>
      <c r="E747" s="1166">
        <f>'House Count'!D747</f>
        <v/>
      </c>
      <c r="F747" s="1166">
        <f>IF(G747="RES-SFU","RESIDENTIAL",IF(G747="RES-HOA","RESIDENTIAL",IF(G747="RES-MDU","RESIDENTIAL",IF(G747="COMM-SU","BUSINESS",IF(G747="COM-MTU","BUSINESS",IF(G747="ENT","BUSINESS",""))))))</f>
        <v/>
      </c>
      <c r="G747" s="1166">
        <f>'House Count'!F747</f>
        <v/>
      </c>
      <c r="H747" s="1166">
        <f>'House Count'!H747</f>
        <v/>
      </c>
    </row>
    <row r="748">
      <c r="A748" s="1165">
        <f>'House Count'!A748</f>
        <v/>
      </c>
      <c r="B748" s="1166">
        <f>'House Count'!E748</f>
        <v/>
      </c>
      <c r="C748" s="1166">
        <f>'House Count'!B748</f>
        <v/>
      </c>
      <c r="D748" s="1166">
        <f>'House Count'!C748</f>
        <v/>
      </c>
      <c r="E748" s="1166">
        <f>'House Count'!D748</f>
        <v/>
      </c>
      <c r="F748" s="1166">
        <f>IF(G748="RES-SFU","RESIDENTIAL",IF(G748="RES-HOA","RESIDENTIAL",IF(G748="RES-MDU","RESIDENTIAL",IF(G748="COMM-SU","BUSINESS",IF(G748="COM-MTU","BUSINESS",IF(G748="ENT","BUSINESS",""))))))</f>
        <v/>
      </c>
      <c r="G748" s="1166">
        <f>'House Count'!F748</f>
        <v/>
      </c>
      <c r="H748" s="1166">
        <f>'House Count'!H748</f>
        <v/>
      </c>
    </row>
    <row r="749">
      <c r="A749" s="1165">
        <f>'House Count'!A749</f>
        <v/>
      </c>
      <c r="B749" s="1166">
        <f>'House Count'!E749</f>
        <v/>
      </c>
      <c r="C749" s="1166">
        <f>'House Count'!B749</f>
        <v/>
      </c>
      <c r="D749" s="1166">
        <f>'House Count'!C749</f>
        <v/>
      </c>
      <c r="E749" s="1166">
        <f>'House Count'!D749</f>
        <v/>
      </c>
      <c r="F749" s="1166">
        <f>IF(G749="RES-SFU","RESIDENTIAL",IF(G749="RES-HOA","RESIDENTIAL",IF(G749="RES-MDU","RESIDENTIAL",IF(G749="COMM-SU","BUSINESS",IF(G749="COM-MTU","BUSINESS",IF(G749="ENT","BUSINESS",""))))))</f>
        <v/>
      </c>
      <c r="G749" s="1166">
        <f>'House Count'!F749</f>
        <v/>
      </c>
      <c r="H749" s="1166">
        <f>'House Count'!H749</f>
        <v/>
      </c>
    </row>
    <row r="750">
      <c r="A750" s="1165">
        <f>'House Count'!A750</f>
        <v/>
      </c>
      <c r="B750" s="1166">
        <f>'House Count'!E750</f>
        <v/>
      </c>
      <c r="C750" s="1166">
        <f>'House Count'!B750</f>
        <v/>
      </c>
      <c r="D750" s="1166">
        <f>'House Count'!C750</f>
        <v/>
      </c>
      <c r="E750" s="1166">
        <f>'House Count'!D750</f>
        <v/>
      </c>
      <c r="F750" s="1166">
        <f>IF(G750="RES-SFU","RESIDENTIAL",IF(G750="RES-HOA","RESIDENTIAL",IF(G750="RES-MDU","RESIDENTIAL",IF(G750="COMM-SU","BUSINESS",IF(G750="COM-MTU","BUSINESS",IF(G750="ENT","BUSINESS",""))))))</f>
        <v/>
      </c>
      <c r="G750" s="1166">
        <f>'House Count'!F750</f>
        <v/>
      </c>
      <c r="H750" s="1166">
        <f>'House Count'!H750</f>
        <v/>
      </c>
    </row>
    <row r="751">
      <c r="A751" s="1165">
        <f>'House Count'!A751</f>
        <v/>
      </c>
      <c r="B751" s="1166">
        <f>'House Count'!E751</f>
        <v/>
      </c>
      <c r="C751" s="1166">
        <f>'House Count'!B751</f>
        <v/>
      </c>
      <c r="D751" s="1166">
        <f>'House Count'!C751</f>
        <v/>
      </c>
      <c r="E751" s="1166">
        <f>'House Count'!D751</f>
        <v/>
      </c>
      <c r="F751" s="1166">
        <f>IF(G751="RES-SFU","RESIDENTIAL",IF(G751="RES-HOA","RESIDENTIAL",IF(G751="RES-MDU","RESIDENTIAL",IF(G751="COMM-SU","BUSINESS",IF(G751="COM-MTU","BUSINESS",IF(G751="ENT","BUSINESS",""))))))</f>
        <v/>
      </c>
      <c r="G751" s="1166">
        <f>'House Count'!F751</f>
        <v/>
      </c>
      <c r="H751" s="1166">
        <f>'House Count'!H751</f>
        <v/>
      </c>
    </row>
    <row r="752">
      <c r="A752" s="1165">
        <f>'House Count'!A752</f>
        <v/>
      </c>
      <c r="B752" s="1166">
        <f>'House Count'!E752</f>
        <v/>
      </c>
      <c r="C752" s="1166">
        <f>'House Count'!B752</f>
        <v/>
      </c>
      <c r="D752" s="1166">
        <f>'House Count'!C752</f>
        <v/>
      </c>
      <c r="E752" s="1166">
        <f>'House Count'!D752</f>
        <v/>
      </c>
      <c r="F752" s="1166">
        <f>IF(G752="RES-SFU","RESIDENTIAL",IF(G752="RES-HOA","RESIDENTIAL",IF(G752="RES-MDU","RESIDENTIAL",IF(G752="COMM-SU","BUSINESS",IF(G752="COM-MTU","BUSINESS",IF(G752="ENT","BUSINESS",""))))))</f>
        <v/>
      </c>
      <c r="G752" s="1166">
        <f>'House Count'!F752</f>
        <v/>
      </c>
      <c r="H752" s="1166">
        <f>'House Count'!H752</f>
        <v/>
      </c>
    </row>
    <row r="753">
      <c r="A753" s="1165">
        <f>'House Count'!A753</f>
        <v/>
      </c>
      <c r="B753" s="1166">
        <f>'House Count'!E753</f>
        <v/>
      </c>
      <c r="C753" s="1166">
        <f>'House Count'!B753</f>
        <v/>
      </c>
      <c r="D753" s="1166">
        <f>'House Count'!C753</f>
        <v/>
      </c>
      <c r="E753" s="1166">
        <f>'House Count'!D753</f>
        <v/>
      </c>
      <c r="F753" s="1166">
        <f>IF(G753="RES-SFU","RESIDENTIAL",IF(G753="RES-HOA","RESIDENTIAL",IF(G753="RES-MDU","RESIDENTIAL",IF(G753="COMM-SU","BUSINESS",IF(G753="COM-MTU","BUSINESS",IF(G753="ENT","BUSINESS",""))))))</f>
        <v/>
      </c>
      <c r="G753" s="1166">
        <f>'House Count'!F753</f>
        <v/>
      </c>
      <c r="H753" s="1166">
        <f>'House Count'!H753</f>
        <v/>
      </c>
    </row>
    <row r="754">
      <c r="A754" s="1165">
        <f>'House Count'!A754</f>
        <v/>
      </c>
      <c r="B754" s="1166">
        <f>'House Count'!E754</f>
        <v/>
      </c>
      <c r="C754" s="1166">
        <f>'House Count'!B754</f>
        <v/>
      </c>
      <c r="D754" s="1166">
        <f>'House Count'!C754</f>
        <v/>
      </c>
      <c r="E754" s="1166">
        <f>'House Count'!D754</f>
        <v/>
      </c>
      <c r="F754" s="1166">
        <f>IF(G754="RES-SFU","RESIDENTIAL",IF(G754="RES-HOA","RESIDENTIAL",IF(G754="RES-MDU","RESIDENTIAL",IF(G754="COMM-SU","BUSINESS",IF(G754="COM-MTU","BUSINESS",IF(G754="ENT","BUSINESS",""))))))</f>
        <v/>
      </c>
      <c r="G754" s="1166">
        <f>'House Count'!F754</f>
        <v/>
      </c>
      <c r="H754" s="1166">
        <f>'House Count'!H754</f>
        <v/>
      </c>
    </row>
    <row r="755">
      <c r="A755" s="1165">
        <f>'House Count'!A755</f>
        <v/>
      </c>
      <c r="B755" s="1166">
        <f>'House Count'!E755</f>
        <v/>
      </c>
      <c r="C755" s="1166">
        <f>'House Count'!B755</f>
        <v/>
      </c>
      <c r="D755" s="1166">
        <f>'House Count'!C755</f>
        <v/>
      </c>
      <c r="E755" s="1166">
        <f>'House Count'!D755</f>
        <v/>
      </c>
      <c r="F755" s="1166">
        <f>IF(G755="RES-SFU","RESIDENTIAL",IF(G755="RES-HOA","RESIDENTIAL",IF(G755="RES-MDU","RESIDENTIAL",IF(G755="COMM-SU","BUSINESS",IF(G755="COM-MTU","BUSINESS",IF(G755="ENT","BUSINESS",""))))))</f>
        <v/>
      </c>
      <c r="G755" s="1166">
        <f>'House Count'!F755</f>
        <v/>
      </c>
      <c r="H755" s="1166">
        <f>'House Count'!H755</f>
        <v/>
      </c>
    </row>
    <row r="756">
      <c r="A756" s="1165">
        <f>'House Count'!A756</f>
        <v/>
      </c>
      <c r="B756" s="1166">
        <f>'House Count'!E756</f>
        <v/>
      </c>
      <c r="C756" s="1166">
        <f>'House Count'!B756</f>
        <v/>
      </c>
      <c r="D756" s="1166">
        <f>'House Count'!C756</f>
        <v/>
      </c>
      <c r="E756" s="1166">
        <f>'House Count'!D756</f>
        <v/>
      </c>
      <c r="F756" s="1166">
        <f>IF(G756="RES-SFU","RESIDENTIAL",IF(G756="RES-HOA","RESIDENTIAL",IF(G756="RES-MDU","RESIDENTIAL",IF(G756="COMM-SU","BUSINESS",IF(G756="COM-MTU","BUSINESS",IF(G756="ENT","BUSINESS",""))))))</f>
        <v/>
      </c>
      <c r="G756" s="1166">
        <f>'House Count'!F756</f>
        <v/>
      </c>
      <c r="H756" s="1166">
        <f>'House Count'!H756</f>
        <v/>
      </c>
    </row>
    <row r="757">
      <c r="A757" s="1165">
        <f>'House Count'!A757</f>
        <v/>
      </c>
      <c r="B757" s="1166">
        <f>'House Count'!E757</f>
        <v/>
      </c>
      <c r="C757" s="1166">
        <f>'House Count'!B757</f>
        <v/>
      </c>
      <c r="D757" s="1166">
        <f>'House Count'!C757</f>
        <v/>
      </c>
      <c r="E757" s="1166">
        <f>'House Count'!D757</f>
        <v/>
      </c>
      <c r="F757" s="1166">
        <f>IF(G757="RES-SFU","RESIDENTIAL",IF(G757="RES-HOA","RESIDENTIAL",IF(G757="RES-MDU","RESIDENTIAL",IF(G757="COMM-SU","BUSINESS",IF(G757="COM-MTU","BUSINESS",IF(G757="ENT","BUSINESS",""))))))</f>
        <v/>
      </c>
      <c r="G757" s="1166">
        <f>'House Count'!F757</f>
        <v/>
      </c>
      <c r="H757" s="1166">
        <f>'House Count'!H757</f>
        <v/>
      </c>
    </row>
    <row r="758">
      <c r="A758" s="1165">
        <f>'House Count'!A758</f>
        <v/>
      </c>
      <c r="B758" s="1166">
        <f>'House Count'!E758</f>
        <v/>
      </c>
      <c r="C758" s="1166">
        <f>'House Count'!B758</f>
        <v/>
      </c>
      <c r="D758" s="1166">
        <f>'House Count'!C758</f>
        <v/>
      </c>
      <c r="E758" s="1166">
        <f>'House Count'!D758</f>
        <v/>
      </c>
      <c r="F758" s="1166">
        <f>IF(G758="RES-SFU","RESIDENTIAL",IF(G758="RES-HOA","RESIDENTIAL",IF(G758="RES-MDU","RESIDENTIAL",IF(G758="COMM-SU","BUSINESS",IF(G758="COM-MTU","BUSINESS",IF(G758="ENT","BUSINESS",""))))))</f>
        <v/>
      </c>
      <c r="G758" s="1166">
        <f>'House Count'!F758</f>
        <v/>
      </c>
      <c r="H758" s="1166">
        <f>'House Count'!H758</f>
        <v/>
      </c>
    </row>
    <row r="759">
      <c r="A759" s="1165">
        <f>'House Count'!A759</f>
        <v/>
      </c>
      <c r="B759" s="1166">
        <f>'House Count'!E759</f>
        <v/>
      </c>
      <c r="C759" s="1166">
        <f>'House Count'!B759</f>
        <v/>
      </c>
      <c r="D759" s="1166">
        <f>'House Count'!C759</f>
        <v/>
      </c>
      <c r="E759" s="1166">
        <f>'House Count'!D759</f>
        <v/>
      </c>
      <c r="F759" s="1166">
        <f>IF(G759="RES-SFU","RESIDENTIAL",IF(G759="RES-HOA","RESIDENTIAL",IF(G759="RES-MDU","RESIDENTIAL",IF(G759="COMM-SU","BUSINESS",IF(G759="COM-MTU","BUSINESS",IF(G759="ENT","BUSINESS",""))))))</f>
        <v/>
      </c>
      <c r="G759" s="1166">
        <f>'House Count'!F759</f>
        <v/>
      </c>
      <c r="H759" s="1166">
        <f>'House Count'!H759</f>
        <v/>
      </c>
    </row>
    <row r="760">
      <c r="A760" s="1165">
        <f>'House Count'!A760</f>
        <v/>
      </c>
      <c r="B760" s="1166">
        <f>'House Count'!E760</f>
        <v/>
      </c>
      <c r="C760" s="1166">
        <f>'House Count'!B760</f>
        <v/>
      </c>
      <c r="D760" s="1166">
        <f>'House Count'!C760</f>
        <v/>
      </c>
      <c r="E760" s="1166">
        <f>'House Count'!D760</f>
        <v/>
      </c>
      <c r="F760" s="1166">
        <f>IF(G760="RES-SFU","RESIDENTIAL",IF(G760="RES-HOA","RESIDENTIAL",IF(G760="RES-MDU","RESIDENTIAL",IF(G760="COMM-SU","BUSINESS",IF(G760="COM-MTU","BUSINESS",IF(G760="ENT","BUSINESS",""))))))</f>
        <v/>
      </c>
      <c r="G760" s="1166">
        <f>'House Count'!F760</f>
        <v/>
      </c>
      <c r="H760" s="1166">
        <f>'House Count'!H760</f>
        <v/>
      </c>
    </row>
    <row r="761">
      <c r="A761" s="1165">
        <f>'House Count'!A761</f>
        <v/>
      </c>
      <c r="B761" s="1166">
        <f>'House Count'!E761</f>
        <v/>
      </c>
      <c r="C761" s="1166">
        <f>'House Count'!B761</f>
        <v/>
      </c>
      <c r="D761" s="1166">
        <f>'House Count'!C761</f>
        <v/>
      </c>
      <c r="E761" s="1166">
        <f>'House Count'!D761</f>
        <v/>
      </c>
      <c r="F761" s="1166">
        <f>IF(G761="RES-SFU","RESIDENTIAL",IF(G761="RES-HOA","RESIDENTIAL",IF(G761="RES-MDU","RESIDENTIAL",IF(G761="COMM-SU","BUSINESS",IF(G761="COM-MTU","BUSINESS",IF(G761="ENT","BUSINESS",""))))))</f>
        <v/>
      </c>
      <c r="G761" s="1166">
        <f>'House Count'!F761</f>
        <v/>
      </c>
      <c r="H761" s="1166">
        <f>'House Count'!H761</f>
        <v/>
      </c>
    </row>
    <row r="762">
      <c r="A762" s="1165">
        <f>'House Count'!A762</f>
        <v/>
      </c>
      <c r="B762" s="1166">
        <f>'House Count'!E762</f>
        <v/>
      </c>
      <c r="C762" s="1166">
        <f>'House Count'!B762</f>
        <v/>
      </c>
      <c r="D762" s="1166">
        <f>'House Count'!C762</f>
        <v/>
      </c>
      <c r="E762" s="1166">
        <f>'House Count'!D762</f>
        <v/>
      </c>
      <c r="F762" s="1166">
        <f>IF(G762="RES-SFU","RESIDENTIAL",IF(G762="RES-HOA","RESIDENTIAL",IF(G762="RES-MDU","RESIDENTIAL",IF(G762="COMM-SU","BUSINESS",IF(G762="COM-MTU","BUSINESS",IF(G762="ENT","BUSINESS",""))))))</f>
        <v/>
      </c>
      <c r="G762" s="1166">
        <f>'House Count'!F762</f>
        <v/>
      </c>
      <c r="H762" s="1166">
        <f>'House Count'!H762</f>
        <v/>
      </c>
    </row>
    <row r="763">
      <c r="A763" s="1165">
        <f>'House Count'!A763</f>
        <v/>
      </c>
      <c r="B763" s="1166">
        <f>'House Count'!E763</f>
        <v/>
      </c>
      <c r="C763" s="1166">
        <f>'House Count'!B763</f>
        <v/>
      </c>
      <c r="D763" s="1166">
        <f>'House Count'!C763</f>
        <v/>
      </c>
      <c r="E763" s="1166">
        <f>'House Count'!D763</f>
        <v/>
      </c>
      <c r="F763" s="1166">
        <f>IF(G763="RES-SFU","RESIDENTIAL",IF(G763="RES-HOA","RESIDENTIAL",IF(G763="RES-MDU","RESIDENTIAL",IF(G763="COMM-SU","BUSINESS",IF(G763="COM-MTU","BUSINESS",IF(G763="ENT","BUSINESS",""))))))</f>
        <v/>
      </c>
      <c r="G763" s="1166">
        <f>'House Count'!F763</f>
        <v/>
      </c>
      <c r="H763" s="1166">
        <f>'House Count'!H763</f>
        <v/>
      </c>
    </row>
    <row r="764">
      <c r="A764" s="1165">
        <f>'House Count'!A764</f>
        <v/>
      </c>
      <c r="B764" s="1166">
        <f>'House Count'!E764</f>
        <v/>
      </c>
      <c r="C764" s="1166">
        <f>'House Count'!B764</f>
        <v/>
      </c>
      <c r="D764" s="1166">
        <f>'House Count'!C764</f>
        <v/>
      </c>
      <c r="E764" s="1166">
        <f>'House Count'!D764</f>
        <v/>
      </c>
      <c r="F764" s="1166">
        <f>IF(G764="RES-SFU","RESIDENTIAL",IF(G764="RES-HOA","RESIDENTIAL",IF(G764="RES-MDU","RESIDENTIAL",IF(G764="COMM-SU","BUSINESS",IF(G764="COM-MTU","BUSINESS",IF(G764="ENT","BUSINESS",""))))))</f>
        <v/>
      </c>
      <c r="G764" s="1166">
        <f>'House Count'!F764</f>
        <v/>
      </c>
      <c r="H764" s="1166">
        <f>'House Count'!H764</f>
        <v/>
      </c>
    </row>
    <row r="765">
      <c r="A765" s="1165">
        <f>'House Count'!A765</f>
        <v/>
      </c>
      <c r="B765" s="1166">
        <f>'House Count'!E765</f>
        <v/>
      </c>
      <c r="C765" s="1166">
        <f>'House Count'!B765</f>
        <v/>
      </c>
      <c r="D765" s="1166">
        <f>'House Count'!C765</f>
        <v/>
      </c>
      <c r="E765" s="1166">
        <f>'House Count'!D765</f>
        <v/>
      </c>
      <c r="F765" s="1166">
        <f>IF(G765="RES-SFU","RESIDENTIAL",IF(G765="RES-HOA","RESIDENTIAL",IF(G765="RES-MDU","RESIDENTIAL",IF(G765="COMM-SU","BUSINESS",IF(G765="COM-MTU","BUSINESS",IF(G765="ENT","BUSINESS",""))))))</f>
        <v/>
      </c>
      <c r="G765" s="1166">
        <f>'House Count'!F765</f>
        <v/>
      </c>
      <c r="H765" s="1166">
        <f>'House Count'!H765</f>
        <v/>
      </c>
    </row>
    <row r="766">
      <c r="A766" s="1165">
        <f>'House Count'!A766</f>
        <v/>
      </c>
      <c r="B766" s="1166">
        <f>'House Count'!E766</f>
        <v/>
      </c>
      <c r="C766" s="1166">
        <f>'House Count'!B766</f>
        <v/>
      </c>
      <c r="D766" s="1166">
        <f>'House Count'!C766</f>
        <v/>
      </c>
      <c r="E766" s="1166">
        <f>'House Count'!D766</f>
        <v/>
      </c>
      <c r="F766" s="1166">
        <f>IF(G766="RES-SFU","RESIDENTIAL",IF(G766="RES-HOA","RESIDENTIAL",IF(G766="RES-MDU","RESIDENTIAL",IF(G766="COMM-SU","BUSINESS",IF(G766="COM-MTU","BUSINESS",IF(G766="ENT","BUSINESS",""))))))</f>
        <v/>
      </c>
      <c r="G766" s="1166">
        <f>'House Count'!F766</f>
        <v/>
      </c>
      <c r="H766" s="1166">
        <f>'House Count'!H766</f>
        <v/>
      </c>
    </row>
    <row r="767">
      <c r="A767" s="1165">
        <f>'House Count'!A767</f>
        <v/>
      </c>
      <c r="B767" s="1166">
        <f>'House Count'!E767</f>
        <v/>
      </c>
      <c r="C767" s="1166">
        <f>'House Count'!B767</f>
        <v/>
      </c>
      <c r="D767" s="1166">
        <f>'House Count'!C767</f>
        <v/>
      </c>
      <c r="E767" s="1166">
        <f>'House Count'!D767</f>
        <v/>
      </c>
      <c r="F767" s="1166">
        <f>IF(G767="RES-SFU","RESIDENTIAL",IF(G767="RES-HOA","RESIDENTIAL",IF(G767="RES-MDU","RESIDENTIAL",IF(G767="COMM-SU","BUSINESS",IF(G767="COM-MTU","BUSINESS",IF(G767="ENT","BUSINESS",""))))))</f>
        <v/>
      </c>
      <c r="G767" s="1166">
        <f>'House Count'!F767</f>
        <v/>
      </c>
      <c r="H767" s="1166">
        <f>'House Count'!H767</f>
        <v/>
      </c>
    </row>
    <row r="768">
      <c r="A768" s="1165">
        <f>'House Count'!A768</f>
        <v/>
      </c>
      <c r="B768" s="1166">
        <f>'House Count'!E768</f>
        <v/>
      </c>
      <c r="C768" s="1166">
        <f>'House Count'!B768</f>
        <v/>
      </c>
      <c r="D768" s="1166">
        <f>'House Count'!C768</f>
        <v/>
      </c>
      <c r="E768" s="1166">
        <f>'House Count'!D768</f>
        <v/>
      </c>
      <c r="F768" s="1166">
        <f>IF(G768="RES-SFU","RESIDENTIAL",IF(G768="RES-HOA","RESIDENTIAL",IF(G768="RES-MDU","RESIDENTIAL",IF(G768="COMM-SU","BUSINESS",IF(G768="COM-MTU","BUSINESS",IF(G768="ENT","BUSINESS",""))))))</f>
        <v/>
      </c>
      <c r="G768" s="1166">
        <f>'House Count'!F768</f>
        <v/>
      </c>
      <c r="H768" s="1166">
        <f>'House Count'!H768</f>
        <v/>
      </c>
    </row>
    <row r="769">
      <c r="A769" s="1165">
        <f>'House Count'!A769</f>
        <v/>
      </c>
      <c r="B769" s="1166">
        <f>'House Count'!E769</f>
        <v/>
      </c>
      <c r="C769" s="1166">
        <f>'House Count'!B769</f>
        <v/>
      </c>
      <c r="D769" s="1166">
        <f>'House Count'!C769</f>
        <v/>
      </c>
      <c r="E769" s="1166">
        <f>'House Count'!D769</f>
        <v/>
      </c>
      <c r="F769" s="1166">
        <f>IF(G769="RES-SFU","RESIDENTIAL",IF(G769="RES-HOA","RESIDENTIAL",IF(G769="RES-MDU","RESIDENTIAL",IF(G769="COMM-SU","BUSINESS",IF(G769="COM-MTU","BUSINESS",IF(G769="ENT","BUSINESS",""))))))</f>
        <v/>
      </c>
      <c r="G769" s="1166">
        <f>'House Count'!F769</f>
        <v/>
      </c>
      <c r="H769" s="1166">
        <f>'House Count'!H769</f>
        <v/>
      </c>
    </row>
    <row r="770">
      <c r="A770" s="1165">
        <f>'House Count'!A770</f>
        <v/>
      </c>
      <c r="B770" s="1166">
        <f>'House Count'!E770</f>
        <v/>
      </c>
      <c r="C770" s="1166">
        <f>'House Count'!B770</f>
        <v/>
      </c>
      <c r="D770" s="1166">
        <f>'House Count'!C770</f>
        <v/>
      </c>
      <c r="E770" s="1166">
        <f>'House Count'!D770</f>
        <v/>
      </c>
      <c r="F770" s="1166">
        <f>IF(G770="RES-SFU","RESIDENTIAL",IF(G770="RES-HOA","RESIDENTIAL",IF(G770="RES-MDU","RESIDENTIAL",IF(G770="COMM-SU","BUSINESS",IF(G770="COM-MTU","BUSINESS",IF(G770="ENT","BUSINESS",""))))))</f>
        <v/>
      </c>
      <c r="G770" s="1166">
        <f>'House Count'!F770</f>
        <v/>
      </c>
      <c r="H770" s="1166">
        <f>'House Count'!H770</f>
        <v/>
      </c>
    </row>
    <row r="771">
      <c r="A771" s="1165">
        <f>'House Count'!A771</f>
        <v/>
      </c>
      <c r="B771" s="1166">
        <f>'House Count'!E771</f>
        <v/>
      </c>
      <c r="C771" s="1166">
        <f>'House Count'!B771</f>
        <v/>
      </c>
      <c r="D771" s="1166">
        <f>'House Count'!C771</f>
        <v/>
      </c>
      <c r="E771" s="1166">
        <f>'House Count'!D771</f>
        <v/>
      </c>
      <c r="F771" s="1166">
        <f>IF(G771="RES-SFU","RESIDENTIAL",IF(G771="RES-HOA","RESIDENTIAL",IF(G771="RES-MDU","RESIDENTIAL",IF(G771="COMM-SU","BUSINESS",IF(G771="COM-MTU","BUSINESS",IF(G771="ENT","BUSINESS",""))))))</f>
        <v/>
      </c>
      <c r="G771" s="1166">
        <f>'House Count'!F771</f>
        <v/>
      </c>
      <c r="H771" s="1166">
        <f>'House Count'!H771</f>
        <v/>
      </c>
    </row>
    <row r="772">
      <c r="A772" s="1165">
        <f>'House Count'!A772</f>
        <v/>
      </c>
      <c r="B772" s="1166">
        <f>'House Count'!E772</f>
        <v/>
      </c>
      <c r="C772" s="1166">
        <f>'House Count'!B772</f>
        <v/>
      </c>
      <c r="D772" s="1166">
        <f>'House Count'!C772</f>
        <v/>
      </c>
      <c r="E772" s="1166">
        <f>'House Count'!D772</f>
        <v/>
      </c>
      <c r="F772" s="1166">
        <f>IF(G772="RES-SFU","RESIDENTIAL",IF(G772="RES-HOA","RESIDENTIAL",IF(G772="RES-MDU","RESIDENTIAL",IF(G772="COMM-SU","BUSINESS",IF(G772="COM-MTU","BUSINESS",IF(G772="ENT","BUSINESS",""))))))</f>
        <v/>
      </c>
      <c r="G772" s="1166">
        <f>'House Count'!F772</f>
        <v/>
      </c>
      <c r="H772" s="1166">
        <f>'House Count'!H772</f>
        <v/>
      </c>
    </row>
    <row r="773">
      <c r="A773" s="1165">
        <f>'House Count'!A773</f>
        <v/>
      </c>
      <c r="B773" s="1166">
        <f>'House Count'!E773</f>
        <v/>
      </c>
      <c r="C773" s="1166">
        <f>'House Count'!B773</f>
        <v/>
      </c>
      <c r="D773" s="1166">
        <f>'House Count'!C773</f>
        <v/>
      </c>
      <c r="E773" s="1166">
        <f>'House Count'!D773</f>
        <v/>
      </c>
      <c r="F773" s="1166">
        <f>IF(G773="RES-SFU","RESIDENTIAL",IF(G773="RES-HOA","RESIDENTIAL",IF(G773="RES-MDU","RESIDENTIAL",IF(G773="COMM-SU","BUSINESS",IF(G773="COM-MTU","BUSINESS",IF(G773="ENT","BUSINESS",""))))))</f>
        <v/>
      </c>
      <c r="G773" s="1166">
        <f>'House Count'!F773</f>
        <v/>
      </c>
      <c r="H773" s="1166">
        <f>'House Count'!H773</f>
        <v/>
      </c>
    </row>
    <row r="774">
      <c r="A774" s="1165">
        <f>'House Count'!A774</f>
        <v/>
      </c>
      <c r="B774" s="1166">
        <f>'House Count'!E774</f>
        <v/>
      </c>
      <c r="C774" s="1166">
        <f>'House Count'!B774</f>
        <v/>
      </c>
      <c r="D774" s="1166">
        <f>'House Count'!C774</f>
        <v/>
      </c>
      <c r="E774" s="1166">
        <f>'House Count'!D774</f>
        <v/>
      </c>
      <c r="F774" s="1166">
        <f>IF(G774="RES-SFU","RESIDENTIAL",IF(G774="RES-HOA","RESIDENTIAL",IF(G774="RES-MDU","RESIDENTIAL",IF(G774="COMM-SU","BUSINESS",IF(G774="COM-MTU","BUSINESS",IF(G774="ENT","BUSINESS",""))))))</f>
        <v/>
      </c>
      <c r="G774" s="1166">
        <f>'House Count'!F774</f>
        <v/>
      </c>
      <c r="H774" s="1166">
        <f>'House Count'!H774</f>
        <v/>
      </c>
    </row>
    <row r="775">
      <c r="A775" s="1165">
        <f>'House Count'!A775</f>
        <v/>
      </c>
      <c r="B775" s="1166">
        <f>'House Count'!E775</f>
        <v/>
      </c>
      <c r="C775" s="1166">
        <f>'House Count'!B775</f>
        <v/>
      </c>
      <c r="D775" s="1166">
        <f>'House Count'!C775</f>
        <v/>
      </c>
      <c r="E775" s="1166">
        <f>'House Count'!D775</f>
        <v/>
      </c>
      <c r="F775" s="1166">
        <f>IF(G775="RES-SFU","RESIDENTIAL",IF(G775="RES-HOA","RESIDENTIAL",IF(G775="RES-MDU","RESIDENTIAL",IF(G775="COMM-SU","BUSINESS",IF(G775="COM-MTU","BUSINESS",IF(G775="ENT","BUSINESS",""))))))</f>
        <v/>
      </c>
      <c r="G775" s="1166">
        <f>'House Count'!F775</f>
        <v/>
      </c>
      <c r="H775" s="1166">
        <f>'House Count'!H775</f>
        <v/>
      </c>
    </row>
    <row r="776">
      <c r="A776" s="1165">
        <f>'House Count'!A776</f>
        <v/>
      </c>
      <c r="B776" s="1166">
        <f>'House Count'!E776</f>
        <v/>
      </c>
      <c r="C776" s="1166">
        <f>'House Count'!B776</f>
        <v/>
      </c>
      <c r="D776" s="1166">
        <f>'House Count'!C776</f>
        <v/>
      </c>
      <c r="E776" s="1166">
        <f>'House Count'!D776</f>
        <v/>
      </c>
      <c r="F776" s="1166">
        <f>IF(G776="RES-SFU","RESIDENTIAL",IF(G776="RES-HOA","RESIDENTIAL",IF(G776="RES-MDU","RESIDENTIAL",IF(G776="COMM-SU","BUSINESS",IF(G776="COM-MTU","BUSINESS",IF(G776="ENT","BUSINESS",""))))))</f>
        <v/>
      </c>
      <c r="G776" s="1166">
        <f>'House Count'!F776</f>
        <v/>
      </c>
      <c r="H776" s="1166">
        <f>'House Count'!H776</f>
        <v/>
      </c>
    </row>
    <row r="777">
      <c r="A777" s="1165">
        <f>'House Count'!A777</f>
        <v/>
      </c>
      <c r="B777" s="1166">
        <f>'House Count'!E777</f>
        <v/>
      </c>
      <c r="C777" s="1166">
        <f>'House Count'!B777</f>
        <v/>
      </c>
      <c r="D777" s="1166">
        <f>'House Count'!C777</f>
        <v/>
      </c>
      <c r="E777" s="1166">
        <f>'House Count'!D777</f>
        <v/>
      </c>
      <c r="F777" s="1166">
        <f>IF(G777="RES-SFU","RESIDENTIAL",IF(G777="RES-HOA","RESIDENTIAL",IF(G777="RES-MDU","RESIDENTIAL",IF(G777="COMM-SU","BUSINESS",IF(G777="COM-MTU","BUSINESS",IF(G777="ENT","BUSINESS",""))))))</f>
        <v/>
      </c>
      <c r="G777" s="1166">
        <f>'House Count'!F777</f>
        <v/>
      </c>
      <c r="H777" s="1166">
        <f>'House Count'!H777</f>
        <v/>
      </c>
    </row>
    <row r="778">
      <c r="A778" s="1165">
        <f>'House Count'!A778</f>
        <v/>
      </c>
      <c r="B778" s="1166">
        <f>'House Count'!E778</f>
        <v/>
      </c>
      <c r="C778" s="1166">
        <f>'House Count'!B778</f>
        <v/>
      </c>
      <c r="D778" s="1166">
        <f>'House Count'!C778</f>
        <v/>
      </c>
      <c r="E778" s="1166">
        <f>'House Count'!D778</f>
        <v/>
      </c>
      <c r="F778" s="1166">
        <f>IF(G778="RES-SFU","RESIDENTIAL",IF(G778="RES-HOA","RESIDENTIAL",IF(G778="RES-MDU","RESIDENTIAL",IF(G778="COMM-SU","BUSINESS",IF(G778="COM-MTU","BUSINESS",IF(G778="ENT","BUSINESS",""))))))</f>
        <v/>
      </c>
      <c r="G778" s="1166">
        <f>'House Count'!F778</f>
        <v/>
      </c>
      <c r="H778" s="1166">
        <f>'House Count'!H778</f>
        <v/>
      </c>
    </row>
    <row r="779">
      <c r="A779" s="1165">
        <f>'House Count'!A779</f>
        <v/>
      </c>
      <c r="B779" s="1166">
        <f>'House Count'!E779</f>
        <v/>
      </c>
      <c r="C779" s="1166">
        <f>'House Count'!B779</f>
        <v/>
      </c>
      <c r="D779" s="1166">
        <f>'House Count'!C779</f>
        <v/>
      </c>
      <c r="E779" s="1166">
        <f>'House Count'!D779</f>
        <v/>
      </c>
      <c r="F779" s="1166">
        <f>IF(G779="RES-SFU","RESIDENTIAL",IF(G779="RES-HOA","RESIDENTIAL",IF(G779="RES-MDU","RESIDENTIAL",IF(G779="COMM-SU","BUSINESS",IF(G779="COM-MTU","BUSINESS",IF(G779="ENT","BUSINESS",""))))))</f>
        <v/>
      </c>
      <c r="G779" s="1166">
        <f>'House Count'!F779</f>
        <v/>
      </c>
      <c r="H779" s="1166">
        <f>'House Count'!H779</f>
        <v/>
      </c>
    </row>
    <row r="780">
      <c r="A780" s="1165">
        <f>'House Count'!A780</f>
        <v/>
      </c>
      <c r="B780" s="1166">
        <f>'House Count'!E780</f>
        <v/>
      </c>
      <c r="C780" s="1166">
        <f>'House Count'!B780</f>
        <v/>
      </c>
      <c r="D780" s="1166">
        <f>'House Count'!C780</f>
        <v/>
      </c>
      <c r="E780" s="1166">
        <f>'House Count'!D780</f>
        <v/>
      </c>
      <c r="F780" s="1166">
        <f>IF(G780="RES-SFU","RESIDENTIAL",IF(G780="RES-HOA","RESIDENTIAL",IF(G780="RES-MDU","RESIDENTIAL",IF(G780="COMM-SU","BUSINESS",IF(G780="COM-MTU","BUSINESS",IF(G780="ENT","BUSINESS",""))))))</f>
        <v/>
      </c>
      <c r="G780" s="1166">
        <f>'House Count'!F780</f>
        <v/>
      </c>
      <c r="H780" s="1166">
        <f>'House Count'!H780</f>
        <v/>
      </c>
    </row>
    <row r="781">
      <c r="A781" s="1165">
        <f>'House Count'!A781</f>
        <v/>
      </c>
      <c r="B781" s="1166">
        <f>'House Count'!E781</f>
        <v/>
      </c>
      <c r="C781" s="1166">
        <f>'House Count'!B781</f>
        <v/>
      </c>
      <c r="D781" s="1166">
        <f>'House Count'!C781</f>
        <v/>
      </c>
      <c r="E781" s="1166">
        <f>'House Count'!D781</f>
        <v/>
      </c>
      <c r="F781" s="1166">
        <f>IF(G781="RES-SFU","RESIDENTIAL",IF(G781="RES-HOA","RESIDENTIAL",IF(G781="RES-MDU","RESIDENTIAL",IF(G781="COMM-SU","BUSINESS",IF(G781="COM-MTU","BUSINESS",IF(G781="ENT","BUSINESS",""))))))</f>
        <v/>
      </c>
      <c r="G781" s="1166">
        <f>'House Count'!F781</f>
        <v/>
      </c>
      <c r="H781" s="1166">
        <f>'House Count'!H781</f>
        <v/>
      </c>
    </row>
    <row r="782">
      <c r="A782" s="1165">
        <f>'House Count'!A782</f>
        <v/>
      </c>
      <c r="B782" s="1166">
        <f>'House Count'!E782</f>
        <v/>
      </c>
      <c r="C782" s="1166">
        <f>'House Count'!B782</f>
        <v/>
      </c>
      <c r="D782" s="1166">
        <f>'House Count'!C782</f>
        <v/>
      </c>
      <c r="E782" s="1166">
        <f>'House Count'!D782</f>
        <v/>
      </c>
      <c r="F782" s="1166">
        <f>IF(G782="RES-SFU","RESIDENTIAL",IF(G782="RES-HOA","RESIDENTIAL",IF(G782="RES-MDU","RESIDENTIAL",IF(G782="COMM-SU","BUSINESS",IF(G782="COM-MTU","BUSINESS",IF(G782="ENT","BUSINESS",""))))))</f>
        <v/>
      </c>
      <c r="G782" s="1166">
        <f>'House Count'!F782</f>
        <v/>
      </c>
      <c r="H782" s="1166">
        <f>'House Count'!H782</f>
        <v/>
      </c>
    </row>
    <row r="783">
      <c r="A783" s="1165">
        <f>'House Count'!A783</f>
        <v/>
      </c>
      <c r="B783" s="1166">
        <f>'House Count'!E783</f>
        <v/>
      </c>
      <c r="C783" s="1166">
        <f>'House Count'!B783</f>
        <v/>
      </c>
      <c r="D783" s="1166">
        <f>'House Count'!C783</f>
        <v/>
      </c>
      <c r="E783" s="1166">
        <f>'House Count'!D783</f>
        <v/>
      </c>
      <c r="F783" s="1166">
        <f>IF(G783="RES-SFU","RESIDENTIAL",IF(G783="RES-HOA","RESIDENTIAL",IF(G783="RES-MDU","RESIDENTIAL",IF(G783="COMM-SU","BUSINESS",IF(G783="COM-MTU","BUSINESS",IF(G783="ENT","BUSINESS",""))))))</f>
        <v/>
      </c>
      <c r="G783" s="1166">
        <f>'House Count'!F783</f>
        <v/>
      </c>
      <c r="H783" s="1166">
        <f>'House Count'!H783</f>
        <v/>
      </c>
    </row>
    <row r="784">
      <c r="A784" s="1165">
        <f>'House Count'!A784</f>
        <v/>
      </c>
      <c r="B784" s="1166">
        <f>'House Count'!E784</f>
        <v/>
      </c>
      <c r="C784" s="1166">
        <f>'House Count'!B784</f>
        <v/>
      </c>
      <c r="D784" s="1166">
        <f>'House Count'!C784</f>
        <v/>
      </c>
      <c r="E784" s="1166">
        <f>'House Count'!D784</f>
        <v/>
      </c>
      <c r="F784" s="1166">
        <f>IF(G784="RES-SFU","RESIDENTIAL",IF(G784="RES-HOA","RESIDENTIAL",IF(G784="RES-MDU","RESIDENTIAL",IF(G784="COMM-SU","BUSINESS",IF(G784="COM-MTU","BUSINESS",IF(G784="ENT","BUSINESS",""))))))</f>
        <v/>
      </c>
      <c r="G784" s="1166">
        <f>'House Count'!F784</f>
        <v/>
      </c>
      <c r="H784" s="1166">
        <f>'House Count'!H784</f>
        <v/>
      </c>
    </row>
    <row r="785">
      <c r="A785" s="1165">
        <f>'House Count'!A785</f>
        <v/>
      </c>
      <c r="B785" s="1166">
        <f>'House Count'!E785</f>
        <v/>
      </c>
      <c r="C785" s="1166">
        <f>'House Count'!B785</f>
        <v/>
      </c>
      <c r="D785" s="1166">
        <f>'House Count'!C785</f>
        <v/>
      </c>
      <c r="E785" s="1166">
        <f>'House Count'!D785</f>
        <v/>
      </c>
      <c r="F785" s="1166">
        <f>IF(G785="RES-SFU","RESIDENTIAL",IF(G785="RES-HOA","RESIDENTIAL",IF(G785="RES-MDU","RESIDENTIAL",IF(G785="COMM-SU","BUSINESS",IF(G785="COM-MTU","BUSINESS",IF(G785="ENT","BUSINESS",""))))))</f>
        <v/>
      </c>
      <c r="G785" s="1166">
        <f>'House Count'!F785</f>
        <v/>
      </c>
      <c r="H785" s="1166">
        <f>'House Count'!H785</f>
        <v/>
      </c>
    </row>
    <row r="786">
      <c r="A786" s="1165">
        <f>'House Count'!A786</f>
        <v/>
      </c>
      <c r="B786" s="1166">
        <f>'House Count'!E786</f>
        <v/>
      </c>
      <c r="C786" s="1166">
        <f>'House Count'!B786</f>
        <v/>
      </c>
      <c r="D786" s="1166">
        <f>'House Count'!C786</f>
        <v/>
      </c>
      <c r="E786" s="1166">
        <f>'House Count'!D786</f>
        <v/>
      </c>
      <c r="F786" s="1166">
        <f>IF(G786="RES-SFU","RESIDENTIAL",IF(G786="RES-HOA","RESIDENTIAL",IF(G786="RES-MDU","RESIDENTIAL",IF(G786="COMM-SU","BUSINESS",IF(G786="COM-MTU","BUSINESS",IF(G786="ENT","BUSINESS",""))))))</f>
        <v/>
      </c>
      <c r="G786" s="1166">
        <f>'House Count'!F786</f>
        <v/>
      </c>
      <c r="H786" s="1166">
        <f>'House Count'!H786</f>
        <v/>
      </c>
    </row>
    <row r="787">
      <c r="A787" s="1165">
        <f>'House Count'!A787</f>
        <v/>
      </c>
      <c r="B787" s="1166">
        <f>'House Count'!E787</f>
        <v/>
      </c>
      <c r="C787" s="1166">
        <f>'House Count'!B787</f>
        <v/>
      </c>
      <c r="D787" s="1166">
        <f>'House Count'!C787</f>
        <v/>
      </c>
      <c r="E787" s="1166">
        <f>'House Count'!D787</f>
        <v/>
      </c>
      <c r="F787" s="1166">
        <f>IF(G787="RES-SFU","RESIDENTIAL",IF(G787="RES-HOA","RESIDENTIAL",IF(G787="RES-MDU","RESIDENTIAL",IF(G787="COMM-SU","BUSINESS",IF(G787="COM-MTU","BUSINESS",IF(G787="ENT","BUSINESS",""))))))</f>
        <v/>
      </c>
      <c r="G787" s="1166">
        <f>'House Count'!F787</f>
        <v/>
      </c>
      <c r="H787" s="1166">
        <f>'House Count'!H787</f>
        <v/>
      </c>
    </row>
    <row r="788">
      <c r="A788" s="1165">
        <f>'House Count'!A788</f>
        <v/>
      </c>
      <c r="B788" s="1166">
        <f>'House Count'!E788</f>
        <v/>
      </c>
      <c r="C788" s="1166">
        <f>'House Count'!B788</f>
        <v/>
      </c>
      <c r="D788" s="1166">
        <f>'House Count'!C788</f>
        <v/>
      </c>
      <c r="E788" s="1166">
        <f>'House Count'!D788</f>
        <v/>
      </c>
      <c r="F788" s="1166">
        <f>IF(G788="RES-SFU","RESIDENTIAL",IF(G788="RES-HOA","RESIDENTIAL",IF(G788="RES-MDU","RESIDENTIAL",IF(G788="COMM-SU","BUSINESS",IF(G788="COM-MTU","BUSINESS",IF(G788="ENT","BUSINESS",""))))))</f>
        <v/>
      </c>
      <c r="G788" s="1166">
        <f>'House Count'!F788</f>
        <v/>
      </c>
      <c r="H788" s="1166">
        <f>'House Count'!H788</f>
        <v/>
      </c>
    </row>
    <row r="789">
      <c r="A789" s="1165">
        <f>'House Count'!A789</f>
        <v/>
      </c>
      <c r="B789" s="1166">
        <f>'House Count'!E789</f>
        <v/>
      </c>
      <c r="C789" s="1166">
        <f>'House Count'!B789</f>
        <v/>
      </c>
      <c r="D789" s="1166">
        <f>'House Count'!C789</f>
        <v/>
      </c>
      <c r="E789" s="1166">
        <f>'House Count'!D789</f>
        <v/>
      </c>
      <c r="F789" s="1166">
        <f>IF(G789="RES-SFU","RESIDENTIAL",IF(G789="RES-HOA","RESIDENTIAL",IF(G789="RES-MDU","RESIDENTIAL",IF(G789="COMM-SU","BUSINESS",IF(G789="COM-MTU","BUSINESS",IF(G789="ENT","BUSINESS",""))))))</f>
        <v/>
      </c>
      <c r="G789" s="1166">
        <f>'House Count'!F789</f>
        <v/>
      </c>
      <c r="H789" s="1166">
        <f>'House Count'!H789</f>
        <v/>
      </c>
    </row>
    <row r="790">
      <c r="A790" s="1165">
        <f>'House Count'!A790</f>
        <v/>
      </c>
      <c r="B790" s="1166">
        <f>'House Count'!E790</f>
        <v/>
      </c>
      <c r="C790" s="1166">
        <f>'House Count'!B790</f>
        <v/>
      </c>
      <c r="D790" s="1166">
        <f>'House Count'!C790</f>
        <v/>
      </c>
      <c r="E790" s="1166">
        <f>'House Count'!D790</f>
        <v/>
      </c>
      <c r="F790" s="1166">
        <f>IF(G790="RES-SFU","RESIDENTIAL",IF(G790="RES-HOA","RESIDENTIAL",IF(G790="RES-MDU","RESIDENTIAL",IF(G790="COMM-SU","BUSINESS",IF(G790="COM-MTU","BUSINESS",IF(G790="ENT","BUSINESS",""))))))</f>
        <v/>
      </c>
      <c r="G790" s="1166">
        <f>'House Count'!F790</f>
        <v/>
      </c>
      <c r="H790" s="1166">
        <f>'House Count'!H790</f>
        <v/>
      </c>
    </row>
    <row r="791">
      <c r="A791" s="1165">
        <f>'House Count'!A791</f>
        <v/>
      </c>
      <c r="B791" s="1166">
        <f>'House Count'!E791</f>
        <v/>
      </c>
      <c r="C791" s="1166">
        <f>'House Count'!B791</f>
        <v/>
      </c>
      <c r="D791" s="1166">
        <f>'House Count'!C791</f>
        <v/>
      </c>
      <c r="E791" s="1166">
        <f>'House Count'!D791</f>
        <v/>
      </c>
      <c r="F791" s="1166">
        <f>IF(G791="RES-SFU","RESIDENTIAL",IF(G791="RES-HOA","RESIDENTIAL",IF(G791="RES-MDU","RESIDENTIAL",IF(G791="COMM-SU","BUSINESS",IF(G791="COM-MTU","BUSINESS",IF(G791="ENT","BUSINESS",""))))))</f>
        <v/>
      </c>
      <c r="G791" s="1166">
        <f>'House Count'!F791</f>
        <v/>
      </c>
      <c r="H791" s="1166">
        <f>'House Count'!H791</f>
        <v/>
      </c>
    </row>
    <row r="792">
      <c r="A792" s="1165">
        <f>'House Count'!A792</f>
        <v/>
      </c>
      <c r="B792" s="1166">
        <f>'House Count'!E792</f>
        <v/>
      </c>
      <c r="C792" s="1166">
        <f>'House Count'!B792</f>
        <v/>
      </c>
      <c r="D792" s="1166">
        <f>'House Count'!C792</f>
        <v/>
      </c>
      <c r="E792" s="1166">
        <f>'House Count'!D792</f>
        <v/>
      </c>
      <c r="F792" s="1166">
        <f>IF(G792="RES-SFU","RESIDENTIAL",IF(G792="RES-HOA","RESIDENTIAL",IF(G792="RES-MDU","RESIDENTIAL",IF(G792="COMM-SU","BUSINESS",IF(G792="COM-MTU","BUSINESS",IF(G792="ENT","BUSINESS",""))))))</f>
        <v/>
      </c>
      <c r="G792" s="1166">
        <f>'House Count'!F792</f>
        <v/>
      </c>
      <c r="H792" s="1166">
        <f>'House Count'!H792</f>
        <v/>
      </c>
    </row>
    <row r="793">
      <c r="A793" s="1165">
        <f>'House Count'!A793</f>
        <v/>
      </c>
      <c r="B793" s="1166">
        <f>'House Count'!E793</f>
        <v/>
      </c>
      <c r="C793" s="1166">
        <f>'House Count'!B793</f>
        <v/>
      </c>
      <c r="D793" s="1166">
        <f>'House Count'!C793</f>
        <v/>
      </c>
      <c r="E793" s="1166">
        <f>'House Count'!D793</f>
        <v/>
      </c>
      <c r="F793" s="1166">
        <f>IF(G793="RES-SFU","RESIDENTIAL",IF(G793="RES-HOA","RESIDENTIAL",IF(G793="RES-MDU","RESIDENTIAL",IF(G793="COMM-SU","BUSINESS",IF(G793="COM-MTU","BUSINESS",IF(G793="ENT","BUSINESS",""))))))</f>
        <v/>
      </c>
      <c r="G793" s="1166">
        <f>'House Count'!F793</f>
        <v/>
      </c>
      <c r="H793" s="1166">
        <f>'House Count'!H793</f>
        <v/>
      </c>
    </row>
    <row r="794">
      <c r="A794" s="1165">
        <f>'House Count'!A794</f>
        <v/>
      </c>
      <c r="B794" s="1166">
        <f>'House Count'!E794</f>
        <v/>
      </c>
      <c r="C794" s="1166">
        <f>'House Count'!B794</f>
        <v/>
      </c>
      <c r="D794" s="1166">
        <f>'House Count'!C794</f>
        <v/>
      </c>
      <c r="E794" s="1166">
        <f>'House Count'!D794</f>
        <v/>
      </c>
      <c r="F794" s="1166">
        <f>IF(G794="RES-SFU","RESIDENTIAL",IF(G794="RES-HOA","RESIDENTIAL",IF(G794="RES-MDU","RESIDENTIAL",IF(G794="COMM-SU","BUSINESS",IF(G794="COM-MTU","BUSINESS",IF(G794="ENT","BUSINESS",""))))))</f>
        <v/>
      </c>
      <c r="G794" s="1166">
        <f>'House Count'!F794</f>
        <v/>
      </c>
      <c r="H794" s="1166">
        <f>'House Count'!H794</f>
        <v/>
      </c>
    </row>
    <row r="795">
      <c r="A795" s="1165">
        <f>'House Count'!A795</f>
        <v/>
      </c>
      <c r="B795" s="1166">
        <f>'House Count'!E795</f>
        <v/>
      </c>
      <c r="C795" s="1166">
        <f>'House Count'!B795</f>
        <v/>
      </c>
      <c r="D795" s="1166">
        <f>'House Count'!C795</f>
        <v/>
      </c>
      <c r="E795" s="1166">
        <f>'House Count'!D795</f>
        <v/>
      </c>
      <c r="F795" s="1166">
        <f>IF(G795="RES-SFU","RESIDENTIAL",IF(G795="RES-HOA","RESIDENTIAL",IF(G795="RES-MDU","RESIDENTIAL",IF(G795="COMM-SU","BUSINESS",IF(G795="COM-MTU","BUSINESS",IF(G795="ENT","BUSINESS",""))))))</f>
        <v/>
      </c>
      <c r="G795" s="1166">
        <f>'House Count'!F795</f>
        <v/>
      </c>
      <c r="H795" s="1166">
        <f>'House Count'!H795</f>
        <v/>
      </c>
    </row>
    <row r="796">
      <c r="A796" s="1165">
        <f>'House Count'!A796</f>
        <v/>
      </c>
      <c r="B796" s="1166">
        <f>'House Count'!E796</f>
        <v/>
      </c>
      <c r="C796" s="1166">
        <f>'House Count'!B796</f>
        <v/>
      </c>
      <c r="D796" s="1166">
        <f>'House Count'!C796</f>
        <v/>
      </c>
      <c r="E796" s="1166">
        <f>'House Count'!D796</f>
        <v/>
      </c>
      <c r="F796" s="1166">
        <f>IF(G796="RES-SFU","RESIDENTIAL",IF(G796="RES-HOA","RESIDENTIAL",IF(G796="RES-MDU","RESIDENTIAL",IF(G796="COMM-SU","BUSINESS",IF(G796="COM-MTU","BUSINESS",IF(G796="ENT","BUSINESS",""))))))</f>
        <v/>
      </c>
      <c r="G796" s="1166">
        <f>'House Count'!F796</f>
        <v/>
      </c>
      <c r="H796" s="1166">
        <f>'House Count'!H796</f>
        <v/>
      </c>
    </row>
    <row r="797">
      <c r="A797" s="1165">
        <f>'House Count'!A797</f>
        <v/>
      </c>
      <c r="B797" s="1166">
        <f>'House Count'!E797</f>
        <v/>
      </c>
      <c r="C797" s="1166">
        <f>'House Count'!B797</f>
        <v/>
      </c>
      <c r="D797" s="1166">
        <f>'House Count'!C797</f>
        <v/>
      </c>
      <c r="E797" s="1166">
        <f>'House Count'!D797</f>
        <v/>
      </c>
      <c r="F797" s="1166">
        <f>IF(G797="RES-SFU","RESIDENTIAL",IF(G797="RES-HOA","RESIDENTIAL",IF(G797="RES-MDU","RESIDENTIAL",IF(G797="COMM-SU","BUSINESS",IF(G797="COM-MTU","BUSINESS",IF(G797="ENT","BUSINESS",""))))))</f>
        <v/>
      </c>
      <c r="G797" s="1166">
        <f>'House Count'!F797</f>
        <v/>
      </c>
      <c r="H797" s="1166">
        <f>'House Count'!H797</f>
        <v/>
      </c>
    </row>
    <row r="798">
      <c r="A798" s="1165">
        <f>'House Count'!A798</f>
        <v/>
      </c>
      <c r="B798" s="1166">
        <f>'House Count'!E798</f>
        <v/>
      </c>
      <c r="C798" s="1166">
        <f>'House Count'!B798</f>
        <v/>
      </c>
      <c r="D798" s="1166">
        <f>'House Count'!C798</f>
        <v/>
      </c>
      <c r="E798" s="1166">
        <f>'House Count'!D798</f>
        <v/>
      </c>
      <c r="F798" s="1166">
        <f>IF(G798="RES-SFU","RESIDENTIAL",IF(G798="RES-HOA","RESIDENTIAL",IF(G798="RES-MDU","RESIDENTIAL",IF(G798="COMM-SU","BUSINESS",IF(G798="COM-MTU","BUSINESS",IF(G798="ENT","BUSINESS",""))))))</f>
        <v/>
      </c>
      <c r="G798" s="1166">
        <f>'House Count'!F798</f>
        <v/>
      </c>
      <c r="H798" s="1166">
        <f>'House Count'!H798</f>
        <v/>
      </c>
    </row>
    <row r="799">
      <c r="A799" s="1165">
        <f>'House Count'!A799</f>
        <v/>
      </c>
      <c r="B799" s="1166">
        <f>'House Count'!E799</f>
        <v/>
      </c>
      <c r="C799" s="1166">
        <f>'House Count'!B799</f>
        <v/>
      </c>
      <c r="D799" s="1166">
        <f>'House Count'!C799</f>
        <v/>
      </c>
      <c r="E799" s="1166">
        <f>'House Count'!D799</f>
        <v/>
      </c>
      <c r="F799" s="1166">
        <f>IF(G799="RES-SFU","RESIDENTIAL",IF(G799="RES-HOA","RESIDENTIAL",IF(G799="RES-MDU","RESIDENTIAL",IF(G799="COMM-SU","BUSINESS",IF(G799="COM-MTU","BUSINESS",IF(G799="ENT","BUSINESS",""))))))</f>
        <v/>
      </c>
      <c r="G799" s="1166">
        <f>'House Count'!F799</f>
        <v/>
      </c>
      <c r="H799" s="1166">
        <f>'House Count'!H799</f>
        <v/>
      </c>
    </row>
    <row r="800">
      <c r="A800" s="1165">
        <f>'House Count'!A800</f>
        <v/>
      </c>
      <c r="B800" s="1166">
        <f>'House Count'!E800</f>
        <v/>
      </c>
      <c r="C800" s="1166">
        <f>'House Count'!B800</f>
        <v/>
      </c>
      <c r="D800" s="1166">
        <f>'House Count'!C800</f>
        <v/>
      </c>
      <c r="E800" s="1166">
        <f>'House Count'!D800</f>
        <v/>
      </c>
      <c r="F800" s="1166">
        <f>IF(G800="RES-SFU","RESIDENTIAL",IF(G800="RES-HOA","RESIDENTIAL",IF(G800="RES-MDU","RESIDENTIAL",IF(G800="COMM-SU","BUSINESS",IF(G800="COM-MTU","BUSINESS",IF(G800="ENT","BUSINESS",""))))))</f>
        <v/>
      </c>
      <c r="G800" s="1166">
        <f>'House Count'!F800</f>
        <v/>
      </c>
      <c r="H800" s="1166">
        <f>'House Count'!H800</f>
        <v/>
      </c>
    </row>
    <row r="801">
      <c r="A801" s="1165">
        <f>'House Count'!A801</f>
        <v/>
      </c>
      <c r="B801" s="1166">
        <f>'House Count'!E801</f>
        <v/>
      </c>
      <c r="C801" s="1166">
        <f>'House Count'!B801</f>
        <v/>
      </c>
      <c r="D801" s="1166">
        <f>'House Count'!C801</f>
        <v/>
      </c>
      <c r="E801" s="1166">
        <f>'House Count'!D801</f>
        <v/>
      </c>
      <c r="F801" s="1166">
        <f>IF(G801="RES-SFU","RESIDENTIAL",IF(G801="RES-HOA","RESIDENTIAL",IF(G801="RES-MDU","RESIDENTIAL",IF(G801="COMM-SU","BUSINESS",IF(G801="COM-MTU","BUSINESS",IF(G801="ENT","BUSINESS",""))))))</f>
        <v/>
      </c>
      <c r="G801" s="1166">
        <f>'House Count'!F801</f>
        <v/>
      </c>
      <c r="H801" s="1166">
        <f>'House Count'!H801</f>
        <v/>
      </c>
    </row>
    <row r="802">
      <c r="A802" s="1165">
        <f>'House Count'!A802</f>
        <v/>
      </c>
      <c r="B802" s="1166">
        <f>'House Count'!E802</f>
        <v/>
      </c>
      <c r="C802" s="1166">
        <f>'House Count'!B802</f>
        <v/>
      </c>
      <c r="D802" s="1166">
        <f>'House Count'!C802</f>
        <v/>
      </c>
      <c r="E802" s="1166">
        <f>'House Count'!D802</f>
        <v/>
      </c>
      <c r="F802" s="1166">
        <f>IF(G802="RES-SFU","RESIDENTIAL",IF(G802="RES-HOA","RESIDENTIAL",IF(G802="RES-MDU","RESIDENTIAL",IF(G802="COMM-SU","BUSINESS",IF(G802="COM-MTU","BUSINESS",IF(G802="ENT","BUSINESS",""))))))</f>
        <v/>
      </c>
      <c r="G802" s="1166">
        <f>'House Count'!F802</f>
        <v/>
      </c>
      <c r="H802" s="1166">
        <f>'House Count'!H802</f>
        <v/>
      </c>
    </row>
    <row r="803">
      <c r="A803" s="1165">
        <f>'House Count'!A803</f>
        <v/>
      </c>
      <c r="B803" s="1166">
        <f>'House Count'!E803</f>
        <v/>
      </c>
      <c r="C803" s="1166">
        <f>'House Count'!B803</f>
        <v/>
      </c>
      <c r="D803" s="1166">
        <f>'House Count'!C803</f>
        <v/>
      </c>
      <c r="E803" s="1166">
        <f>'House Count'!D803</f>
        <v/>
      </c>
      <c r="F803" s="1166">
        <f>IF(G803="RES-SFU","RESIDENTIAL",IF(G803="RES-HOA","RESIDENTIAL",IF(G803="RES-MDU","RESIDENTIAL",IF(G803="COMM-SU","BUSINESS",IF(G803="COM-MTU","BUSINESS",IF(G803="ENT","BUSINESS",""))))))</f>
        <v/>
      </c>
      <c r="G803" s="1166">
        <f>'House Count'!F803</f>
        <v/>
      </c>
      <c r="H803" s="1166">
        <f>'House Count'!H803</f>
        <v/>
      </c>
    </row>
    <row r="804">
      <c r="A804" s="1165">
        <f>'House Count'!A804</f>
        <v/>
      </c>
      <c r="B804" s="1166">
        <f>'House Count'!E804</f>
        <v/>
      </c>
      <c r="C804" s="1166">
        <f>'House Count'!B804</f>
        <v/>
      </c>
      <c r="D804" s="1166">
        <f>'House Count'!C804</f>
        <v/>
      </c>
      <c r="E804" s="1166">
        <f>'House Count'!D804</f>
        <v/>
      </c>
      <c r="F804" s="1166">
        <f>IF(G804="RES-SFU","RESIDENTIAL",IF(G804="RES-HOA","RESIDENTIAL",IF(G804="RES-MDU","RESIDENTIAL",IF(G804="COMM-SU","BUSINESS",IF(G804="COM-MTU","BUSINESS",IF(G804="ENT","BUSINESS",""))))))</f>
        <v/>
      </c>
      <c r="G804" s="1166">
        <f>'House Count'!F804</f>
        <v/>
      </c>
      <c r="H804" s="1166">
        <f>'House Count'!H804</f>
        <v/>
      </c>
    </row>
    <row r="805">
      <c r="A805" s="1165">
        <f>'House Count'!A805</f>
        <v/>
      </c>
      <c r="B805" s="1166">
        <f>'House Count'!E805</f>
        <v/>
      </c>
      <c r="C805" s="1166">
        <f>'House Count'!B805</f>
        <v/>
      </c>
      <c r="D805" s="1166">
        <f>'House Count'!C805</f>
        <v/>
      </c>
      <c r="E805" s="1166">
        <f>'House Count'!D805</f>
        <v/>
      </c>
      <c r="F805" s="1166">
        <f>IF(G805="RES-SFU","RESIDENTIAL",IF(G805="RES-HOA","RESIDENTIAL",IF(G805="RES-MDU","RESIDENTIAL",IF(G805="COMM-SU","BUSINESS",IF(G805="COM-MTU","BUSINESS",IF(G805="ENT","BUSINESS",""))))))</f>
        <v/>
      </c>
      <c r="G805" s="1166">
        <f>'House Count'!F805</f>
        <v/>
      </c>
      <c r="H805" s="1166">
        <f>'House Count'!H805</f>
        <v/>
      </c>
    </row>
    <row r="806">
      <c r="A806" s="1165">
        <f>'House Count'!A806</f>
        <v/>
      </c>
      <c r="B806" s="1166">
        <f>'House Count'!E806</f>
        <v/>
      </c>
      <c r="C806" s="1166">
        <f>'House Count'!B806</f>
        <v/>
      </c>
      <c r="D806" s="1166">
        <f>'House Count'!C806</f>
        <v/>
      </c>
      <c r="E806" s="1166">
        <f>'House Count'!D806</f>
        <v/>
      </c>
      <c r="F806" s="1166">
        <f>IF(G806="RES-SFU","RESIDENTIAL",IF(G806="RES-HOA","RESIDENTIAL",IF(G806="RES-MDU","RESIDENTIAL",IF(G806="COMM-SU","BUSINESS",IF(G806="COM-MTU","BUSINESS",IF(G806="ENT","BUSINESS",""))))))</f>
        <v/>
      </c>
      <c r="G806" s="1166">
        <f>'House Count'!F806</f>
        <v/>
      </c>
      <c r="H806" s="1166">
        <f>'House Count'!H806</f>
        <v/>
      </c>
    </row>
    <row r="807">
      <c r="A807" s="1165">
        <f>'House Count'!A807</f>
        <v/>
      </c>
      <c r="B807" s="1166">
        <f>'House Count'!E807</f>
        <v/>
      </c>
      <c r="C807" s="1166">
        <f>'House Count'!B807</f>
        <v/>
      </c>
      <c r="D807" s="1166">
        <f>'House Count'!C807</f>
        <v/>
      </c>
      <c r="E807" s="1166">
        <f>'House Count'!D807</f>
        <v/>
      </c>
      <c r="F807" s="1166">
        <f>IF(G807="RES-SFU","RESIDENTIAL",IF(G807="RES-HOA","RESIDENTIAL",IF(G807="RES-MDU","RESIDENTIAL",IF(G807="COMM-SU","BUSINESS",IF(G807="COM-MTU","BUSINESS",IF(G807="ENT","BUSINESS",""))))))</f>
        <v/>
      </c>
      <c r="G807" s="1166">
        <f>'House Count'!F807</f>
        <v/>
      </c>
      <c r="H807" s="1166">
        <f>'House Count'!H807</f>
        <v/>
      </c>
    </row>
    <row r="808">
      <c r="A808" s="1165">
        <f>'House Count'!A808</f>
        <v/>
      </c>
      <c r="B808" s="1166">
        <f>'House Count'!E808</f>
        <v/>
      </c>
      <c r="C808" s="1166">
        <f>'House Count'!B808</f>
        <v/>
      </c>
      <c r="D808" s="1166">
        <f>'House Count'!C808</f>
        <v/>
      </c>
      <c r="E808" s="1166">
        <f>'House Count'!D808</f>
        <v/>
      </c>
      <c r="F808" s="1166">
        <f>IF(G808="RES-SFU","RESIDENTIAL",IF(G808="RES-HOA","RESIDENTIAL",IF(G808="RES-MDU","RESIDENTIAL",IF(G808="COMM-SU","BUSINESS",IF(G808="COM-MTU","BUSINESS",IF(G808="ENT","BUSINESS",""))))))</f>
        <v/>
      </c>
      <c r="G808" s="1166">
        <f>'House Count'!F808</f>
        <v/>
      </c>
      <c r="H808" s="1166">
        <f>'House Count'!H808</f>
        <v/>
      </c>
    </row>
    <row r="809">
      <c r="A809" s="1165">
        <f>'House Count'!A809</f>
        <v/>
      </c>
      <c r="B809" s="1166">
        <f>'House Count'!E809</f>
        <v/>
      </c>
      <c r="C809" s="1166">
        <f>'House Count'!B809</f>
        <v/>
      </c>
      <c r="D809" s="1166">
        <f>'House Count'!C809</f>
        <v/>
      </c>
      <c r="E809" s="1166">
        <f>'House Count'!D809</f>
        <v/>
      </c>
      <c r="F809" s="1166">
        <f>IF(G809="RES-SFU","RESIDENTIAL",IF(G809="RES-HOA","RESIDENTIAL",IF(G809="RES-MDU","RESIDENTIAL",IF(G809="COMM-SU","BUSINESS",IF(G809="COM-MTU","BUSINESS",IF(G809="ENT","BUSINESS",""))))))</f>
        <v/>
      </c>
      <c r="G809" s="1166">
        <f>'House Count'!F809</f>
        <v/>
      </c>
      <c r="H809" s="1166">
        <f>'House Count'!H809</f>
        <v/>
      </c>
    </row>
    <row r="810">
      <c r="A810" s="1165">
        <f>'House Count'!A810</f>
        <v/>
      </c>
      <c r="B810" s="1166">
        <f>'House Count'!E810</f>
        <v/>
      </c>
      <c r="C810" s="1166">
        <f>'House Count'!B810</f>
        <v/>
      </c>
      <c r="D810" s="1166">
        <f>'House Count'!C810</f>
        <v/>
      </c>
      <c r="E810" s="1166">
        <f>'House Count'!D810</f>
        <v/>
      </c>
      <c r="F810" s="1166">
        <f>IF(G810="RES-SFU","RESIDENTIAL",IF(G810="RES-HOA","RESIDENTIAL",IF(G810="RES-MDU","RESIDENTIAL",IF(G810="COMM-SU","BUSINESS",IF(G810="COM-MTU","BUSINESS",IF(G810="ENT","BUSINESS",""))))))</f>
        <v/>
      </c>
      <c r="G810" s="1166">
        <f>'House Count'!F810</f>
        <v/>
      </c>
      <c r="H810" s="1166">
        <f>'House Count'!H810</f>
        <v/>
      </c>
    </row>
    <row r="811">
      <c r="A811" s="1165">
        <f>'House Count'!A811</f>
        <v/>
      </c>
      <c r="B811" s="1166">
        <f>'House Count'!E811</f>
        <v/>
      </c>
      <c r="C811" s="1166">
        <f>'House Count'!B811</f>
        <v/>
      </c>
      <c r="D811" s="1166">
        <f>'House Count'!C811</f>
        <v/>
      </c>
      <c r="E811" s="1166">
        <f>'House Count'!D811</f>
        <v/>
      </c>
      <c r="F811" s="1166">
        <f>IF(G811="RES-SFU","RESIDENTIAL",IF(G811="RES-HOA","RESIDENTIAL",IF(G811="RES-MDU","RESIDENTIAL",IF(G811="COMM-SU","BUSINESS",IF(G811="COM-MTU","BUSINESS",IF(G811="ENT","BUSINESS",""))))))</f>
        <v/>
      </c>
      <c r="G811" s="1166">
        <f>'House Count'!F811</f>
        <v/>
      </c>
      <c r="H811" s="1166">
        <f>'House Count'!H811</f>
        <v/>
      </c>
    </row>
    <row r="812">
      <c r="A812" s="1165">
        <f>'House Count'!A812</f>
        <v/>
      </c>
      <c r="B812" s="1166">
        <f>'House Count'!E812</f>
        <v/>
      </c>
      <c r="C812" s="1166">
        <f>'House Count'!B812</f>
        <v/>
      </c>
      <c r="D812" s="1166">
        <f>'House Count'!C812</f>
        <v/>
      </c>
      <c r="E812" s="1166">
        <f>'House Count'!D812</f>
        <v/>
      </c>
      <c r="F812" s="1166">
        <f>IF(G812="RES-SFU","RESIDENTIAL",IF(G812="RES-HOA","RESIDENTIAL",IF(G812="RES-MDU","RESIDENTIAL",IF(G812="COMM-SU","BUSINESS",IF(G812="COM-MTU","BUSINESS",IF(G812="ENT","BUSINESS",""))))))</f>
        <v/>
      </c>
      <c r="G812" s="1166">
        <f>'House Count'!F812</f>
        <v/>
      </c>
      <c r="H812" s="1166">
        <f>'House Count'!H812</f>
        <v/>
      </c>
    </row>
    <row r="813">
      <c r="A813" s="1165">
        <f>'House Count'!A813</f>
        <v/>
      </c>
      <c r="B813" s="1166">
        <f>'House Count'!E813</f>
        <v/>
      </c>
      <c r="C813" s="1166">
        <f>'House Count'!B813</f>
        <v/>
      </c>
      <c r="D813" s="1166">
        <f>'House Count'!C813</f>
        <v/>
      </c>
      <c r="E813" s="1166">
        <f>'House Count'!D813</f>
        <v/>
      </c>
      <c r="F813" s="1166">
        <f>IF(G813="RES-SFU","RESIDENTIAL",IF(G813="RES-HOA","RESIDENTIAL",IF(G813="RES-MDU","RESIDENTIAL",IF(G813="COMM-SU","BUSINESS",IF(G813="COM-MTU","BUSINESS",IF(G813="ENT","BUSINESS",""))))))</f>
        <v/>
      </c>
      <c r="G813" s="1166">
        <f>'House Count'!F813</f>
        <v/>
      </c>
      <c r="H813" s="1166">
        <f>'House Count'!H813</f>
        <v/>
      </c>
    </row>
    <row r="814">
      <c r="A814" s="1165">
        <f>'House Count'!A814</f>
        <v/>
      </c>
      <c r="B814" s="1166">
        <f>'House Count'!E814</f>
        <v/>
      </c>
      <c r="C814" s="1166">
        <f>'House Count'!B814</f>
        <v/>
      </c>
      <c r="D814" s="1166">
        <f>'House Count'!C814</f>
        <v/>
      </c>
      <c r="E814" s="1166">
        <f>'House Count'!D814</f>
        <v/>
      </c>
      <c r="F814" s="1166">
        <f>IF(G814="RES-SFU","RESIDENTIAL",IF(G814="RES-HOA","RESIDENTIAL",IF(G814="RES-MDU","RESIDENTIAL",IF(G814="COMM-SU","BUSINESS",IF(G814="COM-MTU","BUSINESS",IF(G814="ENT","BUSINESS",""))))))</f>
        <v/>
      </c>
      <c r="G814" s="1166">
        <f>'House Count'!F814</f>
        <v/>
      </c>
      <c r="H814" s="1166">
        <f>'House Count'!H814</f>
        <v/>
      </c>
    </row>
    <row r="815">
      <c r="A815" s="1165">
        <f>'House Count'!A815</f>
        <v/>
      </c>
      <c r="B815" s="1166">
        <f>'House Count'!E815</f>
        <v/>
      </c>
      <c r="C815" s="1166">
        <f>'House Count'!B815</f>
        <v/>
      </c>
      <c r="D815" s="1166">
        <f>'House Count'!C815</f>
        <v/>
      </c>
      <c r="E815" s="1166">
        <f>'House Count'!D815</f>
        <v/>
      </c>
      <c r="F815" s="1166">
        <f>IF(G815="RES-SFU","RESIDENTIAL",IF(G815="RES-HOA","RESIDENTIAL",IF(G815="RES-MDU","RESIDENTIAL",IF(G815="COMM-SU","BUSINESS",IF(G815="COM-MTU","BUSINESS",IF(G815="ENT","BUSINESS",""))))))</f>
        <v/>
      </c>
      <c r="G815" s="1166">
        <f>'House Count'!F815</f>
        <v/>
      </c>
      <c r="H815" s="1166">
        <f>'House Count'!H815</f>
        <v/>
      </c>
    </row>
    <row r="816">
      <c r="A816" s="1165">
        <f>'House Count'!A816</f>
        <v/>
      </c>
      <c r="B816" s="1166">
        <f>'House Count'!E816</f>
        <v/>
      </c>
      <c r="C816" s="1166">
        <f>'House Count'!B816</f>
        <v/>
      </c>
      <c r="D816" s="1166">
        <f>'House Count'!C816</f>
        <v/>
      </c>
      <c r="E816" s="1166">
        <f>'House Count'!D816</f>
        <v/>
      </c>
      <c r="F816" s="1166">
        <f>IF(G816="RES-SFU","RESIDENTIAL",IF(G816="RES-HOA","RESIDENTIAL",IF(G816="RES-MDU","RESIDENTIAL",IF(G816="COMM-SU","BUSINESS",IF(G816="COM-MTU","BUSINESS",IF(G816="ENT","BUSINESS",""))))))</f>
        <v/>
      </c>
      <c r="G816" s="1166">
        <f>'House Count'!F816</f>
        <v/>
      </c>
      <c r="H816" s="1166">
        <f>'House Count'!H816</f>
        <v/>
      </c>
    </row>
    <row r="817">
      <c r="A817" s="1165">
        <f>'House Count'!A817</f>
        <v/>
      </c>
      <c r="B817" s="1166">
        <f>'House Count'!E817</f>
        <v/>
      </c>
      <c r="C817" s="1166">
        <f>'House Count'!B817</f>
        <v/>
      </c>
      <c r="D817" s="1166">
        <f>'House Count'!C817</f>
        <v/>
      </c>
      <c r="E817" s="1166">
        <f>'House Count'!D817</f>
        <v/>
      </c>
      <c r="F817" s="1166">
        <f>IF(G817="RES-SFU","RESIDENTIAL",IF(G817="RES-HOA","RESIDENTIAL",IF(G817="RES-MDU","RESIDENTIAL",IF(G817="COMM-SU","BUSINESS",IF(G817="COM-MTU","BUSINESS",IF(G817="ENT","BUSINESS",""))))))</f>
        <v/>
      </c>
      <c r="G817" s="1166">
        <f>'House Count'!F817</f>
        <v/>
      </c>
      <c r="H817" s="1166">
        <f>'House Count'!H817</f>
        <v/>
      </c>
    </row>
    <row r="818">
      <c r="A818" s="1165">
        <f>'House Count'!A818</f>
        <v/>
      </c>
      <c r="B818" s="1166">
        <f>'House Count'!E818</f>
        <v/>
      </c>
      <c r="C818" s="1166">
        <f>'House Count'!B818</f>
        <v/>
      </c>
      <c r="D818" s="1166">
        <f>'House Count'!C818</f>
        <v/>
      </c>
      <c r="E818" s="1166">
        <f>'House Count'!D818</f>
        <v/>
      </c>
      <c r="F818" s="1166">
        <f>IF(G818="RES-SFU","RESIDENTIAL",IF(G818="RES-HOA","RESIDENTIAL",IF(G818="RES-MDU","RESIDENTIAL",IF(G818="COMM-SU","BUSINESS",IF(G818="COM-MTU","BUSINESS",IF(G818="ENT","BUSINESS",""))))))</f>
        <v/>
      </c>
      <c r="G818" s="1166">
        <f>'House Count'!F818</f>
        <v/>
      </c>
      <c r="H818" s="1166">
        <f>'House Count'!H818</f>
        <v/>
      </c>
    </row>
    <row r="819">
      <c r="A819" s="1165">
        <f>'House Count'!A819</f>
        <v/>
      </c>
      <c r="B819" s="1166">
        <f>'House Count'!E819</f>
        <v/>
      </c>
      <c r="C819" s="1166">
        <f>'House Count'!B819</f>
        <v/>
      </c>
      <c r="D819" s="1166">
        <f>'House Count'!C819</f>
        <v/>
      </c>
      <c r="E819" s="1166">
        <f>'House Count'!D819</f>
        <v/>
      </c>
      <c r="F819" s="1166">
        <f>IF(G819="RES-SFU","RESIDENTIAL",IF(G819="RES-HOA","RESIDENTIAL",IF(G819="RES-MDU","RESIDENTIAL",IF(G819="COMM-SU","BUSINESS",IF(G819="COM-MTU","BUSINESS",IF(G819="ENT","BUSINESS",""))))))</f>
        <v/>
      </c>
      <c r="G819" s="1166">
        <f>'House Count'!F819</f>
        <v/>
      </c>
      <c r="H819" s="1166">
        <f>'House Count'!H819</f>
        <v/>
      </c>
    </row>
    <row r="820">
      <c r="A820" s="1165">
        <f>'House Count'!A820</f>
        <v/>
      </c>
      <c r="B820" s="1166">
        <f>'House Count'!E820</f>
        <v/>
      </c>
      <c r="C820" s="1166">
        <f>'House Count'!B820</f>
        <v/>
      </c>
      <c r="D820" s="1166">
        <f>'House Count'!C820</f>
        <v/>
      </c>
      <c r="E820" s="1166">
        <f>'House Count'!D820</f>
        <v/>
      </c>
      <c r="F820" s="1166">
        <f>IF(G820="RES-SFU","RESIDENTIAL",IF(G820="RES-HOA","RESIDENTIAL",IF(G820="RES-MDU","RESIDENTIAL",IF(G820="COMM-SU","BUSINESS",IF(G820="COM-MTU","BUSINESS",IF(G820="ENT","BUSINESS",""))))))</f>
        <v/>
      </c>
      <c r="G820" s="1166">
        <f>'House Count'!F820</f>
        <v/>
      </c>
      <c r="H820" s="1166">
        <f>'House Count'!H820</f>
        <v/>
      </c>
    </row>
    <row r="821">
      <c r="A821" s="1165">
        <f>'House Count'!A821</f>
        <v/>
      </c>
      <c r="B821" s="1166">
        <f>'House Count'!E821</f>
        <v/>
      </c>
      <c r="C821" s="1166">
        <f>'House Count'!B821</f>
        <v/>
      </c>
      <c r="D821" s="1166">
        <f>'House Count'!C821</f>
        <v/>
      </c>
      <c r="E821" s="1166">
        <f>'House Count'!D821</f>
        <v/>
      </c>
      <c r="F821" s="1166">
        <f>IF(G821="RES-SFU","RESIDENTIAL",IF(G821="RES-HOA","RESIDENTIAL",IF(G821="RES-MDU","RESIDENTIAL",IF(G821="COMM-SU","BUSINESS",IF(G821="COM-MTU","BUSINESS",IF(G821="ENT","BUSINESS",""))))))</f>
        <v/>
      </c>
      <c r="G821" s="1166">
        <f>'House Count'!F821</f>
        <v/>
      </c>
      <c r="H821" s="1166">
        <f>'House Count'!H821</f>
        <v/>
      </c>
    </row>
    <row r="822">
      <c r="A822" s="1165">
        <f>'House Count'!A822</f>
        <v/>
      </c>
      <c r="B822" s="1166">
        <f>'House Count'!E822</f>
        <v/>
      </c>
      <c r="C822" s="1166">
        <f>'House Count'!B822</f>
        <v/>
      </c>
      <c r="D822" s="1166">
        <f>'House Count'!C822</f>
        <v/>
      </c>
      <c r="E822" s="1166">
        <f>'House Count'!D822</f>
        <v/>
      </c>
      <c r="F822" s="1166">
        <f>IF(G822="RES-SFU","RESIDENTIAL",IF(G822="RES-HOA","RESIDENTIAL",IF(G822="RES-MDU","RESIDENTIAL",IF(G822="COMM-SU","BUSINESS",IF(G822="COM-MTU","BUSINESS",IF(G822="ENT","BUSINESS",""))))))</f>
        <v/>
      </c>
      <c r="G822" s="1166">
        <f>'House Count'!F822</f>
        <v/>
      </c>
      <c r="H822" s="1166">
        <f>'House Count'!H822</f>
        <v/>
      </c>
    </row>
    <row r="823">
      <c r="A823" s="1165">
        <f>'House Count'!A823</f>
        <v/>
      </c>
      <c r="B823" s="1166">
        <f>'House Count'!E823</f>
        <v/>
      </c>
      <c r="C823" s="1166">
        <f>'House Count'!B823</f>
        <v/>
      </c>
      <c r="D823" s="1166">
        <f>'House Count'!C823</f>
        <v/>
      </c>
      <c r="E823" s="1166">
        <f>'House Count'!D823</f>
        <v/>
      </c>
      <c r="F823" s="1166">
        <f>IF(G823="RES-SFU","RESIDENTIAL",IF(G823="RES-HOA","RESIDENTIAL",IF(G823="RES-MDU","RESIDENTIAL",IF(G823="COMM-SU","BUSINESS",IF(G823="COM-MTU","BUSINESS",IF(G823="ENT","BUSINESS",""))))))</f>
        <v/>
      </c>
      <c r="G823" s="1166">
        <f>'House Count'!F823</f>
        <v/>
      </c>
      <c r="H823" s="1166">
        <f>'House Count'!H823</f>
        <v/>
      </c>
    </row>
    <row r="824">
      <c r="A824" s="1165">
        <f>'House Count'!A824</f>
        <v/>
      </c>
      <c r="B824" s="1166">
        <f>'House Count'!E824</f>
        <v/>
      </c>
      <c r="C824" s="1166">
        <f>'House Count'!B824</f>
        <v/>
      </c>
      <c r="D824" s="1166">
        <f>'House Count'!C824</f>
        <v/>
      </c>
      <c r="E824" s="1166">
        <f>'House Count'!D824</f>
        <v/>
      </c>
      <c r="F824" s="1166">
        <f>IF(G824="RES-SFU","RESIDENTIAL",IF(G824="RES-HOA","RESIDENTIAL",IF(G824="RES-MDU","RESIDENTIAL",IF(G824="COMM-SU","BUSINESS",IF(G824="COM-MTU","BUSINESS",IF(G824="ENT","BUSINESS",""))))))</f>
        <v/>
      </c>
      <c r="G824" s="1166">
        <f>'House Count'!F824</f>
        <v/>
      </c>
      <c r="H824" s="1166">
        <f>'House Count'!H824</f>
        <v/>
      </c>
    </row>
    <row r="825">
      <c r="A825" s="1165">
        <f>'House Count'!A825</f>
        <v/>
      </c>
      <c r="B825" s="1166">
        <f>'House Count'!E825</f>
        <v/>
      </c>
      <c r="C825" s="1166">
        <f>'House Count'!B825</f>
        <v/>
      </c>
      <c r="D825" s="1166">
        <f>'House Count'!C825</f>
        <v/>
      </c>
      <c r="E825" s="1166">
        <f>'House Count'!D825</f>
        <v/>
      </c>
      <c r="F825" s="1166">
        <f>IF(G825="RES-SFU","RESIDENTIAL",IF(G825="RES-HOA","RESIDENTIAL",IF(G825="RES-MDU","RESIDENTIAL",IF(G825="COMM-SU","BUSINESS",IF(G825="COM-MTU","BUSINESS",IF(G825="ENT","BUSINESS",""))))))</f>
        <v/>
      </c>
      <c r="G825" s="1166">
        <f>'House Count'!F825</f>
        <v/>
      </c>
      <c r="H825" s="1166">
        <f>'House Count'!H825</f>
        <v/>
      </c>
    </row>
    <row r="826">
      <c r="A826" s="1165">
        <f>'House Count'!A826</f>
        <v/>
      </c>
      <c r="B826" s="1166">
        <f>'House Count'!E826</f>
        <v/>
      </c>
      <c r="C826" s="1166">
        <f>'House Count'!B826</f>
        <v/>
      </c>
      <c r="D826" s="1166">
        <f>'House Count'!C826</f>
        <v/>
      </c>
      <c r="E826" s="1166">
        <f>'House Count'!D826</f>
        <v/>
      </c>
      <c r="F826" s="1166">
        <f>IF(G826="RES-SFU","RESIDENTIAL",IF(G826="RES-HOA","RESIDENTIAL",IF(G826="RES-MDU","RESIDENTIAL",IF(G826="COMM-SU","BUSINESS",IF(G826="COM-MTU","BUSINESS",IF(G826="ENT","BUSINESS",""))))))</f>
        <v/>
      </c>
      <c r="G826" s="1166">
        <f>'House Count'!F826</f>
        <v/>
      </c>
      <c r="H826" s="1166">
        <f>'House Count'!H826</f>
        <v/>
      </c>
    </row>
    <row r="827">
      <c r="A827" s="1165">
        <f>'House Count'!A827</f>
        <v/>
      </c>
      <c r="B827" s="1166">
        <f>'House Count'!E827</f>
        <v/>
      </c>
      <c r="C827" s="1166">
        <f>'House Count'!B827</f>
        <v/>
      </c>
      <c r="D827" s="1166">
        <f>'House Count'!C827</f>
        <v/>
      </c>
      <c r="E827" s="1166">
        <f>'House Count'!D827</f>
        <v/>
      </c>
      <c r="F827" s="1166">
        <f>IF(G827="RES-SFU","RESIDENTIAL",IF(G827="RES-HOA","RESIDENTIAL",IF(G827="RES-MDU","RESIDENTIAL",IF(G827="COMM-SU","BUSINESS",IF(G827="COM-MTU","BUSINESS",IF(G827="ENT","BUSINESS",""))))))</f>
        <v/>
      </c>
      <c r="G827" s="1166">
        <f>'House Count'!F827</f>
        <v/>
      </c>
      <c r="H827" s="1166">
        <f>'House Count'!H827</f>
        <v/>
      </c>
    </row>
    <row r="828">
      <c r="A828" s="1165">
        <f>'House Count'!A828</f>
        <v/>
      </c>
      <c r="B828" s="1166">
        <f>'House Count'!E828</f>
        <v/>
      </c>
      <c r="C828" s="1166">
        <f>'House Count'!B828</f>
        <v/>
      </c>
      <c r="D828" s="1166">
        <f>'House Count'!C828</f>
        <v/>
      </c>
      <c r="E828" s="1166">
        <f>'House Count'!D828</f>
        <v/>
      </c>
      <c r="F828" s="1166">
        <f>IF(G828="RES-SFU","RESIDENTIAL",IF(G828="RES-HOA","RESIDENTIAL",IF(G828="RES-MDU","RESIDENTIAL",IF(G828="COMM-SU","BUSINESS",IF(G828="COM-MTU","BUSINESS",IF(G828="ENT","BUSINESS",""))))))</f>
        <v/>
      </c>
      <c r="G828" s="1166">
        <f>'House Count'!F828</f>
        <v/>
      </c>
      <c r="H828" s="1166">
        <f>'House Count'!H828</f>
        <v/>
      </c>
    </row>
    <row r="829">
      <c r="A829" s="1165">
        <f>'House Count'!A829</f>
        <v/>
      </c>
      <c r="B829" s="1166">
        <f>'House Count'!E829</f>
        <v/>
      </c>
      <c r="C829" s="1166">
        <f>'House Count'!B829</f>
        <v/>
      </c>
      <c r="D829" s="1166">
        <f>'House Count'!C829</f>
        <v/>
      </c>
      <c r="E829" s="1166">
        <f>'House Count'!D829</f>
        <v/>
      </c>
      <c r="F829" s="1166">
        <f>IF(G829="RES-SFU","RESIDENTIAL",IF(G829="RES-HOA","RESIDENTIAL",IF(G829="RES-MDU","RESIDENTIAL",IF(G829="COMM-SU","BUSINESS",IF(G829="COM-MTU","BUSINESS",IF(G829="ENT","BUSINESS",""))))))</f>
        <v/>
      </c>
      <c r="G829" s="1166">
        <f>'House Count'!F829</f>
        <v/>
      </c>
      <c r="H829" s="1166">
        <f>'House Count'!H829</f>
        <v/>
      </c>
    </row>
    <row r="830">
      <c r="A830" s="1165">
        <f>'House Count'!A830</f>
        <v/>
      </c>
      <c r="B830" s="1166">
        <f>'House Count'!E830</f>
        <v/>
      </c>
      <c r="C830" s="1166">
        <f>'House Count'!B830</f>
        <v/>
      </c>
      <c r="D830" s="1166">
        <f>'House Count'!C830</f>
        <v/>
      </c>
      <c r="E830" s="1166">
        <f>'House Count'!D830</f>
        <v/>
      </c>
      <c r="F830" s="1166">
        <f>IF(G830="RES-SFU","RESIDENTIAL",IF(G830="RES-HOA","RESIDENTIAL",IF(G830="RES-MDU","RESIDENTIAL",IF(G830="COMM-SU","BUSINESS",IF(G830="COM-MTU","BUSINESS",IF(G830="ENT","BUSINESS",""))))))</f>
        <v/>
      </c>
      <c r="G830" s="1166">
        <f>'House Count'!F830</f>
        <v/>
      </c>
      <c r="H830" s="1166">
        <f>'House Count'!H830</f>
        <v/>
      </c>
    </row>
    <row r="831">
      <c r="A831" s="1165">
        <f>'House Count'!A831</f>
        <v/>
      </c>
      <c r="B831" s="1166">
        <f>'House Count'!E831</f>
        <v/>
      </c>
      <c r="C831" s="1166">
        <f>'House Count'!B831</f>
        <v/>
      </c>
      <c r="D831" s="1166">
        <f>'House Count'!C831</f>
        <v/>
      </c>
      <c r="E831" s="1166">
        <f>'House Count'!D831</f>
        <v/>
      </c>
      <c r="F831" s="1166">
        <f>IF(G831="RES-SFU","RESIDENTIAL",IF(G831="RES-HOA","RESIDENTIAL",IF(G831="RES-MDU","RESIDENTIAL",IF(G831="COMM-SU","BUSINESS",IF(G831="COM-MTU","BUSINESS",IF(G831="ENT","BUSINESS",""))))))</f>
        <v/>
      </c>
      <c r="G831" s="1166">
        <f>'House Count'!F831</f>
        <v/>
      </c>
      <c r="H831" s="1166">
        <f>'House Count'!H831</f>
        <v/>
      </c>
    </row>
    <row r="832">
      <c r="A832" s="1165">
        <f>'House Count'!A832</f>
        <v/>
      </c>
      <c r="B832" s="1166">
        <f>'House Count'!E832</f>
        <v/>
      </c>
      <c r="C832" s="1166">
        <f>'House Count'!B832</f>
        <v/>
      </c>
      <c r="D832" s="1166">
        <f>'House Count'!C832</f>
        <v/>
      </c>
      <c r="E832" s="1166">
        <f>'House Count'!D832</f>
        <v/>
      </c>
      <c r="F832" s="1166">
        <f>IF(G832="RES-SFU","RESIDENTIAL",IF(G832="RES-HOA","RESIDENTIAL",IF(G832="RES-MDU","RESIDENTIAL",IF(G832="COMM-SU","BUSINESS",IF(G832="COM-MTU","BUSINESS",IF(G832="ENT","BUSINESS",""))))))</f>
        <v/>
      </c>
      <c r="G832" s="1166">
        <f>'House Count'!F832</f>
        <v/>
      </c>
      <c r="H832" s="1166">
        <f>'House Count'!H832</f>
        <v/>
      </c>
    </row>
    <row r="833">
      <c r="A833" s="1165">
        <f>'House Count'!A833</f>
        <v/>
      </c>
      <c r="B833" s="1166">
        <f>'House Count'!E833</f>
        <v/>
      </c>
      <c r="C833" s="1166">
        <f>'House Count'!B833</f>
        <v/>
      </c>
      <c r="D833" s="1166">
        <f>'House Count'!C833</f>
        <v/>
      </c>
      <c r="E833" s="1166">
        <f>'House Count'!D833</f>
        <v/>
      </c>
      <c r="F833" s="1166">
        <f>IF(G833="RES-SFU","RESIDENTIAL",IF(G833="RES-HOA","RESIDENTIAL",IF(G833="RES-MDU","RESIDENTIAL",IF(G833="COMM-SU","BUSINESS",IF(G833="COM-MTU","BUSINESS",IF(G833="ENT","BUSINESS",""))))))</f>
        <v/>
      </c>
      <c r="G833" s="1166">
        <f>'House Count'!F833</f>
        <v/>
      </c>
      <c r="H833" s="1166">
        <f>'House Count'!H833</f>
        <v/>
      </c>
    </row>
    <row r="834">
      <c r="A834" s="1165">
        <f>'House Count'!A834</f>
        <v/>
      </c>
      <c r="B834" s="1166">
        <f>'House Count'!E834</f>
        <v/>
      </c>
      <c r="C834" s="1166">
        <f>'House Count'!B834</f>
        <v/>
      </c>
      <c r="D834" s="1166">
        <f>'House Count'!C834</f>
        <v/>
      </c>
      <c r="E834" s="1166">
        <f>'House Count'!D834</f>
        <v/>
      </c>
      <c r="F834" s="1166">
        <f>IF(G834="RES-SFU","RESIDENTIAL",IF(G834="RES-HOA","RESIDENTIAL",IF(G834="RES-MDU","RESIDENTIAL",IF(G834="COMM-SU","BUSINESS",IF(G834="COM-MTU","BUSINESS",IF(G834="ENT","BUSINESS",""))))))</f>
        <v/>
      </c>
      <c r="G834" s="1166">
        <f>'House Count'!F834</f>
        <v/>
      </c>
      <c r="H834" s="1166">
        <f>'House Count'!H834</f>
        <v/>
      </c>
    </row>
    <row r="835">
      <c r="A835" s="1165">
        <f>'House Count'!A835</f>
        <v/>
      </c>
      <c r="B835" s="1166">
        <f>'House Count'!E835</f>
        <v/>
      </c>
      <c r="C835" s="1166">
        <f>'House Count'!B835</f>
        <v/>
      </c>
      <c r="D835" s="1166">
        <f>'House Count'!C835</f>
        <v/>
      </c>
      <c r="E835" s="1166">
        <f>'House Count'!D835</f>
        <v/>
      </c>
      <c r="F835" s="1166">
        <f>IF(G835="RES-SFU","RESIDENTIAL",IF(G835="RES-HOA","RESIDENTIAL",IF(G835="RES-MDU","RESIDENTIAL",IF(G835="COMM-SU","BUSINESS",IF(G835="COM-MTU","BUSINESS",IF(G835="ENT","BUSINESS",""))))))</f>
        <v/>
      </c>
      <c r="G835" s="1166">
        <f>'House Count'!F835</f>
        <v/>
      </c>
      <c r="H835" s="1166">
        <f>'House Count'!H835</f>
        <v/>
      </c>
    </row>
    <row r="836">
      <c r="A836" s="1165">
        <f>'House Count'!A836</f>
        <v/>
      </c>
      <c r="B836" s="1166">
        <f>'House Count'!E836</f>
        <v/>
      </c>
      <c r="C836" s="1166">
        <f>'House Count'!B836</f>
        <v/>
      </c>
      <c r="D836" s="1166">
        <f>'House Count'!C836</f>
        <v/>
      </c>
      <c r="E836" s="1166">
        <f>'House Count'!D836</f>
        <v/>
      </c>
      <c r="F836" s="1166">
        <f>IF(G836="RES-SFU","RESIDENTIAL",IF(G836="RES-HOA","RESIDENTIAL",IF(G836="RES-MDU","RESIDENTIAL",IF(G836="COMM-SU","BUSINESS",IF(G836="COM-MTU","BUSINESS",IF(G836="ENT","BUSINESS",""))))))</f>
        <v/>
      </c>
      <c r="G836" s="1166">
        <f>'House Count'!F836</f>
        <v/>
      </c>
      <c r="H836" s="1166">
        <f>'House Count'!H836</f>
        <v/>
      </c>
    </row>
    <row r="837">
      <c r="A837" s="1165">
        <f>'House Count'!A837</f>
        <v/>
      </c>
      <c r="B837" s="1166">
        <f>'House Count'!E837</f>
        <v/>
      </c>
      <c r="C837" s="1166">
        <f>'House Count'!B837</f>
        <v/>
      </c>
      <c r="D837" s="1166">
        <f>'House Count'!C837</f>
        <v/>
      </c>
      <c r="E837" s="1166">
        <f>'House Count'!D837</f>
        <v/>
      </c>
      <c r="F837" s="1166">
        <f>IF(G837="RES-SFU","RESIDENTIAL",IF(G837="RES-HOA","RESIDENTIAL",IF(G837="RES-MDU","RESIDENTIAL",IF(G837="COMM-SU","BUSINESS",IF(G837="COM-MTU","BUSINESS",IF(G837="ENT","BUSINESS",""))))))</f>
        <v/>
      </c>
      <c r="G837" s="1166">
        <f>'House Count'!F837</f>
        <v/>
      </c>
      <c r="H837" s="1166">
        <f>'House Count'!H837</f>
        <v/>
      </c>
    </row>
    <row r="838">
      <c r="A838" s="1165">
        <f>'House Count'!A838</f>
        <v/>
      </c>
      <c r="B838" s="1166">
        <f>'House Count'!E838</f>
        <v/>
      </c>
      <c r="C838" s="1166">
        <f>'House Count'!B838</f>
        <v/>
      </c>
      <c r="D838" s="1166">
        <f>'House Count'!C838</f>
        <v/>
      </c>
      <c r="E838" s="1166">
        <f>'House Count'!D838</f>
        <v/>
      </c>
      <c r="F838" s="1166">
        <f>IF(G838="RES-SFU","RESIDENTIAL",IF(G838="RES-HOA","RESIDENTIAL",IF(G838="RES-MDU","RESIDENTIAL",IF(G838="COMM-SU","BUSINESS",IF(G838="COM-MTU","BUSINESS",IF(G838="ENT","BUSINESS",""))))))</f>
        <v/>
      </c>
      <c r="G838" s="1166">
        <f>'House Count'!F838</f>
        <v/>
      </c>
      <c r="H838" s="1166">
        <f>'House Count'!H838</f>
        <v/>
      </c>
    </row>
    <row r="839">
      <c r="A839" s="1165">
        <f>'House Count'!A839</f>
        <v/>
      </c>
      <c r="B839" s="1166">
        <f>'House Count'!E839</f>
        <v/>
      </c>
      <c r="C839" s="1166">
        <f>'House Count'!B839</f>
        <v/>
      </c>
      <c r="D839" s="1166">
        <f>'House Count'!C839</f>
        <v/>
      </c>
      <c r="E839" s="1166">
        <f>'House Count'!D839</f>
        <v/>
      </c>
      <c r="F839" s="1166">
        <f>IF(G839="RES-SFU","RESIDENTIAL",IF(G839="RES-HOA","RESIDENTIAL",IF(G839="RES-MDU","RESIDENTIAL",IF(G839="COMM-SU","BUSINESS",IF(G839="COM-MTU","BUSINESS",IF(G839="ENT","BUSINESS",""))))))</f>
        <v/>
      </c>
      <c r="G839" s="1166">
        <f>'House Count'!F839</f>
        <v/>
      </c>
      <c r="H839" s="1166">
        <f>'House Count'!H839</f>
        <v/>
      </c>
    </row>
    <row r="840">
      <c r="A840" s="1165">
        <f>'House Count'!A840</f>
        <v/>
      </c>
      <c r="B840" s="1166">
        <f>'House Count'!E840</f>
        <v/>
      </c>
      <c r="C840" s="1166">
        <f>'House Count'!B840</f>
        <v/>
      </c>
      <c r="D840" s="1166">
        <f>'House Count'!C840</f>
        <v/>
      </c>
      <c r="E840" s="1166">
        <f>'House Count'!D840</f>
        <v/>
      </c>
      <c r="F840" s="1166">
        <f>IF(G840="RES-SFU","RESIDENTIAL",IF(G840="RES-HOA","RESIDENTIAL",IF(G840="RES-MDU","RESIDENTIAL",IF(G840="COMM-SU","BUSINESS",IF(G840="COM-MTU","BUSINESS",IF(G840="ENT","BUSINESS",""))))))</f>
        <v/>
      </c>
      <c r="G840" s="1166">
        <f>'House Count'!F840</f>
        <v/>
      </c>
      <c r="H840" s="1166">
        <f>'House Count'!H840</f>
        <v/>
      </c>
    </row>
    <row r="841">
      <c r="A841" s="1165">
        <f>'House Count'!A841</f>
        <v/>
      </c>
      <c r="B841" s="1166">
        <f>'House Count'!E841</f>
        <v/>
      </c>
      <c r="C841" s="1166">
        <f>'House Count'!B841</f>
        <v/>
      </c>
      <c r="D841" s="1166">
        <f>'House Count'!C841</f>
        <v/>
      </c>
      <c r="E841" s="1166">
        <f>'House Count'!D841</f>
        <v/>
      </c>
      <c r="F841" s="1166">
        <f>IF(G841="RES-SFU","RESIDENTIAL",IF(G841="RES-HOA","RESIDENTIAL",IF(G841="RES-MDU","RESIDENTIAL",IF(G841="COMM-SU","BUSINESS",IF(G841="COM-MTU","BUSINESS",IF(G841="ENT","BUSINESS",""))))))</f>
        <v/>
      </c>
      <c r="G841" s="1166">
        <f>'House Count'!F841</f>
        <v/>
      </c>
      <c r="H841" s="1166">
        <f>'House Count'!H841</f>
        <v/>
      </c>
    </row>
    <row r="842">
      <c r="A842" s="1165">
        <f>'House Count'!A842</f>
        <v/>
      </c>
      <c r="B842" s="1166">
        <f>'House Count'!E842</f>
        <v/>
      </c>
      <c r="C842" s="1166">
        <f>'House Count'!B842</f>
        <v/>
      </c>
      <c r="D842" s="1166">
        <f>'House Count'!C842</f>
        <v/>
      </c>
      <c r="E842" s="1166">
        <f>'House Count'!D842</f>
        <v/>
      </c>
      <c r="F842" s="1166">
        <f>IF(G842="RES-SFU","RESIDENTIAL",IF(G842="RES-HOA","RESIDENTIAL",IF(G842="RES-MDU","RESIDENTIAL",IF(G842="COMM-SU","BUSINESS",IF(G842="COM-MTU","BUSINESS",IF(G842="ENT","BUSINESS",""))))))</f>
        <v/>
      </c>
      <c r="G842" s="1166">
        <f>'House Count'!F842</f>
        <v/>
      </c>
      <c r="H842" s="1166">
        <f>'House Count'!H842</f>
        <v/>
      </c>
    </row>
    <row r="843">
      <c r="A843" s="1165">
        <f>'House Count'!A843</f>
        <v/>
      </c>
      <c r="B843" s="1166">
        <f>'House Count'!E843</f>
        <v/>
      </c>
      <c r="C843" s="1166">
        <f>'House Count'!B843</f>
        <v/>
      </c>
      <c r="D843" s="1166">
        <f>'House Count'!C843</f>
        <v/>
      </c>
      <c r="E843" s="1166">
        <f>'House Count'!D843</f>
        <v/>
      </c>
      <c r="F843" s="1166">
        <f>IF(G843="RES-SFU","RESIDENTIAL",IF(G843="RES-HOA","RESIDENTIAL",IF(G843="RES-MDU","RESIDENTIAL",IF(G843="COMM-SU","BUSINESS",IF(G843="COM-MTU","BUSINESS",IF(G843="ENT","BUSINESS",""))))))</f>
        <v/>
      </c>
      <c r="G843" s="1166">
        <f>'House Count'!F843</f>
        <v/>
      </c>
      <c r="H843" s="1166">
        <f>'House Count'!H843</f>
        <v/>
      </c>
    </row>
    <row r="844">
      <c r="A844" s="1165">
        <f>'House Count'!A844</f>
        <v/>
      </c>
      <c r="B844" s="1166">
        <f>'House Count'!E844</f>
        <v/>
      </c>
      <c r="C844" s="1166">
        <f>'House Count'!B844</f>
        <v/>
      </c>
      <c r="D844" s="1166">
        <f>'House Count'!C844</f>
        <v/>
      </c>
      <c r="E844" s="1166">
        <f>'House Count'!D844</f>
        <v/>
      </c>
      <c r="F844" s="1166">
        <f>IF(G844="RES-SFU","RESIDENTIAL",IF(G844="RES-HOA","RESIDENTIAL",IF(G844="RES-MDU","RESIDENTIAL",IF(G844="COMM-SU","BUSINESS",IF(G844="COM-MTU","BUSINESS",IF(G844="ENT","BUSINESS",""))))))</f>
        <v/>
      </c>
      <c r="G844" s="1166">
        <f>'House Count'!F844</f>
        <v/>
      </c>
      <c r="H844" s="1166">
        <f>'House Count'!H844</f>
        <v/>
      </c>
    </row>
    <row r="845">
      <c r="A845" s="1165">
        <f>'House Count'!A845</f>
        <v/>
      </c>
      <c r="B845" s="1166">
        <f>'House Count'!E845</f>
        <v/>
      </c>
      <c r="C845" s="1166">
        <f>'House Count'!B845</f>
        <v/>
      </c>
      <c r="D845" s="1166">
        <f>'House Count'!C845</f>
        <v/>
      </c>
      <c r="E845" s="1166">
        <f>'House Count'!D845</f>
        <v/>
      </c>
      <c r="F845" s="1166">
        <f>IF(G845="RES-SFU","RESIDENTIAL",IF(G845="RES-HOA","RESIDENTIAL",IF(G845="RES-MDU","RESIDENTIAL",IF(G845="COMM-SU","BUSINESS",IF(G845="COM-MTU","BUSINESS",IF(G845="ENT","BUSINESS",""))))))</f>
        <v/>
      </c>
      <c r="G845" s="1166">
        <f>'House Count'!F845</f>
        <v/>
      </c>
      <c r="H845" s="1166">
        <f>'House Count'!H845</f>
        <v/>
      </c>
    </row>
    <row r="846">
      <c r="A846" s="1165">
        <f>'House Count'!A846</f>
        <v/>
      </c>
      <c r="B846" s="1166">
        <f>'House Count'!E846</f>
        <v/>
      </c>
      <c r="C846" s="1166">
        <f>'House Count'!B846</f>
        <v/>
      </c>
      <c r="D846" s="1166">
        <f>'House Count'!C846</f>
        <v/>
      </c>
      <c r="E846" s="1166">
        <f>'House Count'!D846</f>
        <v/>
      </c>
      <c r="F846" s="1166">
        <f>IF(G846="RES-SFU","RESIDENTIAL",IF(G846="RES-HOA","RESIDENTIAL",IF(G846="RES-MDU","RESIDENTIAL",IF(G846="COMM-SU","BUSINESS",IF(G846="COM-MTU","BUSINESS",IF(G846="ENT","BUSINESS",""))))))</f>
        <v/>
      </c>
      <c r="G846" s="1166">
        <f>'House Count'!F846</f>
        <v/>
      </c>
      <c r="H846" s="1166">
        <f>'House Count'!H846</f>
        <v/>
      </c>
    </row>
    <row r="847">
      <c r="A847" s="1165">
        <f>'House Count'!A847</f>
        <v/>
      </c>
      <c r="B847" s="1166">
        <f>'House Count'!E847</f>
        <v/>
      </c>
      <c r="C847" s="1166">
        <f>'House Count'!B847</f>
        <v/>
      </c>
      <c r="D847" s="1166">
        <f>'House Count'!C847</f>
        <v/>
      </c>
      <c r="E847" s="1166">
        <f>'House Count'!D847</f>
        <v/>
      </c>
      <c r="F847" s="1166">
        <f>IF(G847="RES-SFU","RESIDENTIAL",IF(G847="RES-HOA","RESIDENTIAL",IF(G847="RES-MDU","RESIDENTIAL",IF(G847="COMM-SU","BUSINESS",IF(G847="COM-MTU","BUSINESS",IF(G847="ENT","BUSINESS",""))))))</f>
        <v/>
      </c>
      <c r="G847" s="1166">
        <f>'House Count'!F847</f>
        <v/>
      </c>
      <c r="H847" s="1166">
        <f>'House Count'!H847</f>
        <v/>
      </c>
    </row>
    <row r="848">
      <c r="A848" s="1165">
        <f>'House Count'!A848</f>
        <v/>
      </c>
      <c r="B848" s="1166">
        <f>'House Count'!E848</f>
        <v/>
      </c>
      <c r="C848" s="1166">
        <f>'House Count'!B848</f>
        <v/>
      </c>
      <c r="D848" s="1166">
        <f>'House Count'!C848</f>
        <v/>
      </c>
      <c r="E848" s="1166">
        <f>'House Count'!D848</f>
        <v/>
      </c>
      <c r="F848" s="1166">
        <f>IF(G848="RES-SFU","RESIDENTIAL",IF(G848="RES-HOA","RESIDENTIAL",IF(G848="RES-MDU","RESIDENTIAL",IF(G848="COMM-SU","BUSINESS",IF(G848="COM-MTU","BUSINESS",IF(G848="ENT","BUSINESS",""))))))</f>
        <v/>
      </c>
      <c r="G848" s="1166">
        <f>'House Count'!F848</f>
        <v/>
      </c>
      <c r="H848" s="1166">
        <f>'House Count'!H848</f>
        <v/>
      </c>
    </row>
    <row r="849">
      <c r="A849" s="1165">
        <f>'House Count'!A849</f>
        <v/>
      </c>
      <c r="B849" s="1166">
        <f>'House Count'!E849</f>
        <v/>
      </c>
      <c r="C849" s="1166">
        <f>'House Count'!B849</f>
        <v/>
      </c>
      <c r="D849" s="1166">
        <f>'House Count'!C849</f>
        <v/>
      </c>
      <c r="E849" s="1166">
        <f>'House Count'!D849</f>
        <v/>
      </c>
      <c r="F849" s="1166">
        <f>IF(G849="RES-SFU","RESIDENTIAL",IF(G849="RES-HOA","RESIDENTIAL",IF(G849="RES-MDU","RESIDENTIAL",IF(G849="COMM-SU","BUSINESS",IF(G849="COM-MTU","BUSINESS",IF(G849="ENT","BUSINESS",""))))))</f>
        <v/>
      </c>
      <c r="G849" s="1166">
        <f>'House Count'!F849</f>
        <v/>
      </c>
      <c r="H849" s="1166">
        <f>'House Count'!H849</f>
        <v/>
      </c>
    </row>
    <row r="850">
      <c r="A850" s="1165">
        <f>'House Count'!A850</f>
        <v/>
      </c>
      <c r="B850" s="1166">
        <f>'House Count'!E850</f>
        <v/>
      </c>
      <c r="C850" s="1166">
        <f>'House Count'!B850</f>
        <v/>
      </c>
      <c r="D850" s="1166">
        <f>'House Count'!C850</f>
        <v/>
      </c>
      <c r="E850" s="1166">
        <f>'House Count'!D850</f>
        <v/>
      </c>
      <c r="F850" s="1166">
        <f>IF(G850="RES-SFU","RESIDENTIAL",IF(G850="RES-HOA","RESIDENTIAL",IF(G850="RES-MDU","RESIDENTIAL",IF(G850="COMM-SU","BUSINESS",IF(G850="COM-MTU","BUSINESS",IF(G850="ENT","BUSINESS",""))))))</f>
        <v/>
      </c>
      <c r="G850" s="1166">
        <f>'House Count'!F850</f>
        <v/>
      </c>
      <c r="H850" s="1166">
        <f>'House Count'!H850</f>
        <v/>
      </c>
    </row>
    <row r="851">
      <c r="A851" s="1165">
        <f>'House Count'!A851</f>
        <v/>
      </c>
      <c r="B851" s="1166">
        <f>'House Count'!E851</f>
        <v/>
      </c>
      <c r="C851" s="1166">
        <f>'House Count'!B851</f>
        <v/>
      </c>
      <c r="D851" s="1166">
        <f>'House Count'!C851</f>
        <v/>
      </c>
      <c r="E851" s="1166">
        <f>'House Count'!D851</f>
        <v/>
      </c>
      <c r="F851" s="1166">
        <f>IF(G851="RES-SFU","RESIDENTIAL",IF(G851="RES-HOA","RESIDENTIAL",IF(G851="RES-MDU","RESIDENTIAL",IF(G851="COMM-SU","BUSINESS",IF(G851="COM-MTU","BUSINESS",IF(G851="ENT","BUSINESS",""))))))</f>
        <v/>
      </c>
      <c r="G851" s="1166">
        <f>'House Count'!F851</f>
        <v/>
      </c>
      <c r="H851" s="1166">
        <f>'House Count'!H851</f>
        <v/>
      </c>
    </row>
    <row r="852">
      <c r="A852" s="1165">
        <f>'House Count'!A852</f>
        <v/>
      </c>
      <c r="B852" s="1166">
        <f>'House Count'!E852</f>
        <v/>
      </c>
      <c r="C852" s="1166">
        <f>'House Count'!B852</f>
        <v/>
      </c>
      <c r="D852" s="1166">
        <f>'House Count'!C852</f>
        <v/>
      </c>
      <c r="E852" s="1166">
        <f>'House Count'!D852</f>
        <v/>
      </c>
      <c r="F852" s="1166">
        <f>IF(G852="RES-SFU","RESIDENTIAL",IF(G852="RES-HOA","RESIDENTIAL",IF(G852="RES-MDU","RESIDENTIAL",IF(G852="COMM-SU","BUSINESS",IF(G852="COM-MTU","BUSINESS",IF(G852="ENT","BUSINESS",""))))))</f>
        <v/>
      </c>
      <c r="G852" s="1166">
        <f>'House Count'!F852</f>
        <v/>
      </c>
      <c r="H852" s="1166">
        <f>'House Count'!H852</f>
        <v/>
      </c>
    </row>
    <row r="853">
      <c r="A853" s="1165">
        <f>'House Count'!A853</f>
        <v/>
      </c>
      <c r="B853" s="1166">
        <f>'House Count'!E853</f>
        <v/>
      </c>
      <c r="C853" s="1166">
        <f>'House Count'!B853</f>
        <v/>
      </c>
      <c r="D853" s="1166">
        <f>'House Count'!C853</f>
        <v/>
      </c>
      <c r="E853" s="1166">
        <f>'House Count'!D853</f>
        <v/>
      </c>
      <c r="F853" s="1166">
        <f>IF(G853="RES-SFU","RESIDENTIAL",IF(G853="RES-HOA","RESIDENTIAL",IF(G853="RES-MDU","RESIDENTIAL",IF(G853="COMM-SU","BUSINESS",IF(G853="COM-MTU","BUSINESS",IF(G853="ENT","BUSINESS",""))))))</f>
        <v/>
      </c>
      <c r="G853" s="1166">
        <f>'House Count'!F853</f>
        <v/>
      </c>
      <c r="H853" s="1166">
        <f>'House Count'!H853</f>
        <v/>
      </c>
    </row>
    <row r="854">
      <c r="A854" s="1165">
        <f>'House Count'!A854</f>
        <v/>
      </c>
      <c r="B854" s="1166">
        <f>'House Count'!E854</f>
        <v/>
      </c>
      <c r="C854" s="1166">
        <f>'House Count'!B854</f>
        <v/>
      </c>
      <c r="D854" s="1166">
        <f>'House Count'!C854</f>
        <v/>
      </c>
      <c r="E854" s="1166">
        <f>'House Count'!D854</f>
        <v/>
      </c>
      <c r="F854" s="1166">
        <f>IF(G854="RES-SFU","RESIDENTIAL",IF(G854="RES-HOA","RESIDENTIAL",IF(G854="RES-MDU","RESIDENTIAL",IF(G854="COMM-SU","BUSINESS",IF(G854="COM-MTU","BUSINESS",IF(G854="ENT","BUSINESS",""))))))</f>
        <v/>
      </c>
      <c r="G854" s="1166">
        <f>'House Count'!F854</f>
        <v/>
      </c>
      <c r="H854" s="1166">
        <f>'House Count'!H854</f>
        <v/>
      </c>
    </row>
    <row r="855">
      <c r="A855" s="1165">
        <f>'House Count'!A855</f>
        <v/>
      </c>
      <c r="B855" s="1166">
        <f>'House Count'!E855</f>
        <v/>
      </c>
      <c r="C855" s="1166">
        <f>'House Count'!B855</f>
        <v/>
      </c>
      <c r="D855" s="1166">
        <f>'House Count'!C855</f>
        <v/>
      </c>
      <c r="E855" s="1166">
        <f>'House Count'!D855</f>
        <v/>
      </c>
      <c r="F855" s="1166">
        <f>IF(G855="RES-SFU","RESIDENTIAL",IF(G855="RES-HOA","RESIDENTIAL",IF(G855="RES-MDU","RESIDENTIAL",IF(G855="COMM-SU","BUSINESS",IF(G855="COM-MTU","BUSINESS",IF(G855="ENT","BUSINESS",""))))))</f>
        <v/>
      </c>
      <c r="G855" s="1166">
        <f>'House Count'!F855</f>
        <v/>
      </c>
      <c r="H855" s="1166">
        <f>'House Count'!H855</f>
        <v/>
      </c>
    </row>
    <row r="856">
      <c r="A856" s="1165">
        <f>'House Count'!A856</f>
        <v/>
      </c>
      <c r="B856" s="1166">
        <f>'House Count'!E856</f>
        <v/>
      </c>
      <c r="C856" s="1166">
        <f>'House Count'!B856</f>
        <v/>
      </c>
      <c r="D856" s="1166">
        <f>'House Count'!C856</f>
        <v/>
      </c>
      <c r="E856" s="1166">
        <f>'House Count'!D856</f>
        <v/>
      </c>
      <c r="F856" s="1166">
        <f>IF(G856="RES-SFU","RESIDENTIAL",IF(G856="RES-HOA","RESIDENTIAL",IF(G856="RES-MDU","RESIDENTIAL",IF(G856="COMM-SU","BUSINESS",IF(G856="COM-MTU","BUSINESS",IF(G856="ENT","BUSINESS",""))))))</f>
        <v/>
      </c>
      <c r="G856" s="1166">
        <f>'House Count'!F856</f>
        <v/>
      </c>
      <c r="H856" s="1166">
        <f>'House Count'!H856</f>
        <v/>
      </c>
    </row>
    <row r="857">
      <c r="A857" s="1165">
        <f>'House Count'!A857</f>
        <v/>
      </c>
      <c r="B857" s="1166">
        <f>'House Count'!E857</f>
        <v/>
      </c>
      <c r="C857" s="1166">
        <f>'House Count'!B857</f>
        <v/>
      </c>
      <c r="D857" s="1166">
        <f>'House Count'!C857</f>
        <v/>
      </c>
      <c r="E857" s="1166">
        <f>'House Count'!D857</f>
        <v/>
      </c>
      <c r="F857" s="1166">
        <f>IF(G857="RES-SFU","RESIDENTIAL",IF(G857="RES-HOA","RESIDENTIAL",IF(G857="RES-MDU","RESIDENTIAL",IF(G857="COMM-SU","BUSINESS",IF(G857="COM-MTU","BUSINESS",IF(G857="ENT","BUSINESS",""))))))</f>
        <v/>
      </c>
      <c r="G857" s="1166">
        <f>'House Count'!F857</f>
        <v/>
      </c>
      <c r="H857" s="1166">
        <f>'House Count'!H857</f>
        <v/>
      </c>
    </row>
    <row r="858">
      <c r="A858" s="1165">
        <f>'House Count'!A858</f>
        <v/>
      </c>
      <c r="B858" s="1166">
        <f>'House Count'!E858</f>
        <v/>
      </c>
      <c r="C858" s="1166">
        <f>'House Count'!B858</f>
        <v/>
      </c>
      <c r="D858" s="1166">
        <f>'House Count'!C858</f>
        <v/>
      </c>
      <c r="E858" s="1166">
        <f>'House Count'!D858</f>
        <v/>
      </c>
      <c r="F858" s="1166">
        <f>IF(G858="RES-SFU","RESIDENTIAL",IF(G858="RES-HOA","RESIDENTIAL",IF(G858="RES-MDU","RESIDENTIAL",IF(G858="COMM-SU","BUSINESS",IF(G858="COM-MTU","BUSINESS",IF(G858="ENT","BUSINESS",""))))))</f>
        <v/>
      </c>
      <c r="G858" s="1166">
        <f>'House Count'!F858</f>
        <v/>
      </c>
      <c r="H858" s="1166">
        <f>'House Count'!H858</f>
        <v/>
      </c>
    </row>
    <row r="859">
      <c r="A859" s="1165">
        <f>'House Count'!A859</f>
        <v/>
      </c>
      <c r="B859" s="1166">
        <f>'House Count'!E859</f>
        <v/>
      </c>
      <c r="C859" s="1166">
        <f>'House Count'!B859</f>
        <v/>
      </c>
      <c r="D859" s="1166">
        <f>'House Count'!C859</f>
        <v/>
      </c>
      <c r="E859" s="1166">
        <f>'House Count'!D859</f>
        <v/>
      </c>
      <c r="F859" s="1166">
        <f>IF(G859="RES-SFU","RESIDENTIAL",IF(G859="RES-HOA","RESIDENTIAL",IF(G859="RES-MDU","RESIDENTIAL",IF(G859="COMM-SU","BUSINESS",IF(G859="COM-MTU","BUSINESS",IF(G859="ENT","BUSINESS",""))))))</f>
        <v/>
      </c>
      <c r="G859" s="1166">
        <f>'House Count'!F859</f>
        <v/>
      </c>
      <c r="H859" s="1166">
        <f>'House Count'!H859</f>
        <v/>
      </c>
    </row>
    <row r="860">
      <c r="A860" s="1165">
        <f>'House Count'!A860</f>
        <v/>
      </c>
      <c r="B860" s="1166">
        <f>'House Count'!E860</f>
        <v/>
      </c>
      <c r="C860" s="1166">
        <f>'House Count'!B860</f>
        <v/>
      </c>
      <c r="D860" s="1166">
        <f>'House Count'!C860</f>
        <v/>
      </c>
      <c r="E860" s="1166">
        <f>'House Count'!D860</f>
        <v/>
      </c>
      <c r="F860" s="1166">
        <f>IF(G860="RES-SFU","RESIDENTIAL",IF(G860="RES-HOA","RESIDENTIAL",IF(G860="RES-MDU","RESIDENTIAL",IF(G860="COMM-SU","BUSINESS",IF(G860="COM-MTU","BUSINESS",IF(G860="ENT","BUSINESS",""))))))</f>
        <v/>
      </c>
      <c r="G860" s="1166">
        <f>'House Count'!F860</f>
        <v/>
      </c>
      <c r="H860" s="1166">
        <f>'House Count'!H860</f>
        <v/>
      </c>
    </row>
    <row r="861">
      <c r="A861" s="1165">
        <f>'House Count'!A861</f>
        <v/>
      </c>
      <c r="B861" s="1166">
        <f>'House Count'!E861</f>
        <v/>
      </c>
      <c r="C861" s="1166">
        <f>'House Count'!B861</f>
        <v/>
      </c>
      <c r="D861" s="1166">
        <f>'House Count'!C861</f>
        <v/>
      </c>
      <c r="E861" s="1166">
        <f>'House Count'!D861</f>
        <v/>
      </c>
      <c r="F861" s="1166">
        <f>IF(G861="RES-SFU","RESIDENTIAL",IF(G861="RES-HOA","RESIDENTIAL",IF(G861="RES-MDU","RESIDENTIAL",IF(G861="COMM-SU","BUSINESS",IF(G861="COM-MTU","BUSINESS",IF(G861="ENT","BUSINESS",""))))))</f>
        <v/>
      </c>
      <c r="G861" s="1166">
        <f>'House Count'!F861</f>
        <v/>
      </c>
      <c r="H861" s="1166">
        <f>'House Count'!H861</f>
        <v/>
      </c>
    </row>
    <row r="862">
      <c r="A862" s="1165">
        <f>'House Count'!A862</f>
        <v/>
      </c>
      <c r="B862" s="1166">
        <f>'House Count'!E862</f>
        <v/>
      </c>
      <c r="C862" s="1166">
        <f>'House Count'!B862</f>
        <v/>
      </c>
      <c r="D862" s="1166">
        <f>'House Count'!C862</f>
        <v/>
      </c>
      <c r="E862" s="1166">
        <f>'House Count'!D862</f>
        <v/>
      </c>
      <c r="F862" s="1166">
        <f>IF(G862="RES-SFU","RESIDENTIAL",IF(G862="RES-HOA","RESIDENTIAL",IF(G862="RES-MDU","RESIDENTIAL",IF(G862="COMM-SU","BUSINESS",IF(G862="COM-MTU","BUSINESS",IF(G862="ENT","BUSINESS",""))))))</f>
        <v/>
      </c>
      <c r="G862" s="1166">
        <f>'House Count'!F862</f>
        <v/>
      </c>
      <c r="H862" s="1166">
        <f>'House Count'!H862</f>
        <v/>
      </c>
    </row>
    <row r="863">
      <c r="A863" s="1165">
        <f>'House Count'!A863</f>
        <v/>
      </c>
      <c r="B863" s="1166">
        <f>'House Count'!E863</f>
        <v/>
      </c>
      <c r="C863" s="1166">
        <f>'House Count'!B863</f>
        <v/>
      </c>
      <c r="D863" s="1166">
        <f>'House Count'!C863</f>
        <v/>
      </c>
      <c r="E863" s="1166">
        <f>'House Count'!D863</f>
        <v/>
      </c>
      <c r="F863" s="1166">
        <f>IF(G863="RES-SFU","RESIDENTIAL",IF(G863="RES-HOA","RESIDENTIAL",IF(G863="RES-MDU","RESIDENTIAL",IF(G863="COMM-SU","BUSINESS",IF(G863="COM-MTU","BUSINESS",IF(G863="ENT","BUSINESS",""))))))</f>
        <v/>
      </c>
      <c r="G863" s="1166">
        <f>'House Count'!F863</f>
        <v/>
      </c>
      <c r="H863" s="1166">
        <f>'House Count'!H863</f>
        <v/>
      </c>
    </row>
    <row r="864">
      <c r="A864" s="1165">
        <f>'House Count'!A864</f>
        <v/>
      </c>
      <c r="B864" s="1166">
        <f>'House Count'!E864</f>
        <v/>
      </c>
      <c r="C864" s="1166">
        <f>'House Count'!B864</f>
        <v/>
      </c>
      <c r="D864" s="1166">
        <f>'House Count'!C864</f>
        <v/>
      </c>
      <c r="E864" s="1166">
        <f>'House Count'!D864</f>
        <v/>
      </c>
      <c r="F864" s="1166">
        <f>IF(G864="RES-SFU","RESIDENTIAL",IF(G864="RES-HOA","RESIDENTIAL",IF(G864="RES-MDU","RESIDENTIAL",IF(G864="COMM-SU","BUSINESS",IF(G864="COM-MTU","BUSINESS",IF(G864="ENT","BUSINESS",""))))))</f>
        <v/>
      </c>
      <c r="G864" s="1166">
        <f>'House Count'!F864</f>
        <v/>
      </c>
      <c r="H864" s="1166">
        <f>'House Count'!H864</f>
        <v/>
      </c>
    </row>
    <row r="865">
      <c r="A865" s="1165">
        <f>'House Count'!A865</f>
        <v/>
      </c>
      <c r="B865" s="1166">
        <f>'House Count'!E865</f>
        <v/>
      </c>
      <c r="C865" s="1166">
        <f>'House Count'!B865</f>
        <v/>
      </c>
      <c r="D865" s="1166">
        <f>'House Count'!C865</f>
        <v/>
      </c>
      <c r="E865" s="1166">
        <f>'House Count'!D865</f>
        <v/>
      </c>
      <c r="F865" s="1166">
        <f>IF(G865="RES-SFU","RESIDENTIAL",IF(G865="RES-HOA","RESIDENTIAL",IF(G865="RES-MDU","RESIDENTIAL",IF(G865="COMM-SU","BUSINESS",IF(G865="COM-MTU","BUSINESS",IF(G865="ENT","BUSINESS",""))))))</f>
        <v/>
      </c>
      <c r="G865" s="1166">
        <f>'House Count'!F865</f>
        <v/>
      </c>
      <c r="H865" s="1166">
        <f>'House Count'!H865</f>
        <v/>
      </c>
    </row>
    <row r="866">
      <c r="A866" s="1165">
        <f>'House Count'!A866</f>
        <v/>
      </c>
      <c r="B866" s="1166">
        <f>'House Count'!E866</f>
        <v/>
      </c>
      <c r="C866" s="1166">
        <f>'House Count'!B866</f>
        <v/>
      </c>
      <c r="D866" s="1166">
        <f>'House Count'!C866</f>
        <v/>
      </c>
      <c r="E866" s="1166">
        <f>'House Count'!D866</f>
        <v/>
      </c>
      <c r="F866" s="1166">
        <f>IF(G866="RES-SFU","RESIDENTIAL",IF(G866="RES-HOA","RESIDENTIAL",IF(G866="RES-MDU","RESIDENTIAL",IF(G866="COMM-SU","BUSINESS",IF(G866="COM-MTU","BUSINESS",IF(G866="ENT","BUSINESS",""))))))</f>
        <v/>
      </c>
      <c r="G866" s="1166">
        <f>'House Count'!F866</f>
        <v/>
      </c>
      <c r="H866" s="1166">
        <f>'House Count'!H866</f>
        <v/>
      </c>
    </row>
    <row r="867">
      <c r="A867" s="1165">
        <f>'House Count'!A867</f>
        <v/>
      </c>
      <c r="B867" s="1166">
        <f>'House Count'!E867</f>
        <v/>
      </c>
      <c r="C867" s="1166">
        <f>'House Count'!B867</f>
        <v/>
      </c>
      <c r="D867" s="1166">
        <f>'House Count'!C867</f>
        <v/>
      </c>
      <c r="E867" s="1166">
        <f>'House Count'!D867</f>
        <v/>
      </c>
      <c r="F867" s="1166">
        <f>IF(G867="RES-SFU","RESIDENTIAL",IF(G867="RES-HOA","RESIDENTIAL",IF(G867="RES-MDU","RESIDENTIAL",IF(G867="COMM-SU","BUSINESS",IF(G867="COM-MTU","BUSINESS",IF(G867="ENT","BUSINESS",""))))))</f>
        <v/>
      </c>
      <c r="G867" s="1166">
        <f>'House Count'!F867</f>
        <v/>
      </c>
      <c r="H867" s="1166">
        <f>'House Count'!H867</f>
        <v/>
      </c>
    </row>
    <row r="868">
      <c r="A868" s="1165">
        <f>'House Count'!A868</f>
        <v/>
      </c>
      <c r="B868" s="1166">
        <f>'House Count'!E868</f>
        <v/>
      </c>
      <c r="C868" s="1166">
        <f>'House Count'!B868</f>
        <v/>
      </c>
      <c r="D868" s="1166">
        <f>'House Count'!C868</f>
        <v/>
      </c>
      <c r="E868" s="1166">
        <f>'House Count'!D868</f>
        <v/>
      </c>
      <c r="F868" s="1166">
        <f>IF(G868="RES-SFU","RESIDENTIAL",IF(G868="RES-HOA","RESIDENTIAL",IF(G868="RES-MDU","RESIDENTIAL",IF(G868="COMM-SU","BUSINESS",IF(G868="COM-MTU","BUSINESS",IF(G868="ENT","BUSINESS",""))))))</f>
        <v/>
      </c>
      <c r="G868" s="1166">
        <f>'House Count'!F868</f>
        <v/>
      </c>
      <c r="H868" s="1166">
        <f>'House Count'!H868</f>
        <v/>
      </c>
    </row>
    <row r="869">
      <c r="A869" s="1165">
        <f>'House Count'!A869</f>
        <v/>
      </c>
      <c r="B869" s="1166">
        <f>'House Count'!E869</f>
        <v/>
      </c>
      <c r="C869" s="1166">
        <f>'House Count'!B869</f>
        <v/>
      </c>
      <c r="D869" s="1166">
        <f>'House Count'!C869</f>
        <v/>
      </c>
      <c r="E869" s="1166">
        <f>'House Count'!D869</f>
        <v/>
      </c>
      <c r="F869" s="1166">
        <f>IF(G869="RES-SFU","RESIDENTIAL",IF(G869="RES-HOA","RESIDENTIAL",IF(G869="RES-MDU","RESIDENTIAL",IF(G869="COMM-SU","BUSINESS",IF(G869="COM-MTU","BUSINESS",IF(G869="ENT","BUSINESS",""))))))</f>
        <v/>
      </c>
      <c r="G869" s="1166">
        <f>'House Count'!F869</f>
        <v/>
      </c>
      <c r="H869" s="1166">
        <f>'House Count'!H869</f>
        <v/>
      </c>
    </row>
    <row r="870">
      <c r="A870" s="1165">
        <f>'House Count'!A870</f>
        <v/>
      </c>
      <c r="B870" s="1166">
        <f>'House Count'!E870</f>
        <v/>
      </c>
      <c r="C870" s="1166">
        <f>'House Count'!B870</f>
        <v/>
      </c>
      <c r="D870" s="1166">
        <f>'House Count'!C870</f>
        <v/>
      </c>
      <c r="E870" s="1166">
        <f>'House Count'!D870</f>
        <v/>
      </c>
      <c r="F870" s="1166">
        <f>IF(G870="RES-SFU","RESIDENTIAL",IF(G870="RES-HOA","RESIDENTIAL",IF(G870="RES-MDU","RESIDENTIAL",IF(G870="COMM-SU","BUSINESS",IF(G870="COM-MTU","BUSINESS",IF(G870="ENT","BUSINESS",""))))))</f>
        <v/>
      </c>
      <c r="G870" s="1166">
        <f>'House Count'!F870</f>
        <v/>
      </c>
      <c r="H870" s="1166">
        <f>'House Count'!H870</f>
        <v/>
      </c>
    </row>
    <row r="871">
      <c r="A871" s="1165">
        <f>'House Count'!A871</f>
        <v/>
      </c>
      <c r="B871" s="1166">
        <f>'House Count'!E871</f>
        <v/>
      </c>
      <c r="C871" s="1166">
        <f>'House Count'!B871</f>
        <v/>
      </c>
      <c r="D871" s="1166">
        <f>'House Count'!C871</f>
        <v/>
      </c>
      <c r="E871" s="1166">
        <f>'House Count'!D871</f>
        <v/>
      </c>
      <c r="F871" s="1166">
        <f>IF(G871="RES-SFU","RESIDENTIAL",IF(G871="RES-HOA","RESIDENTIAL",IF(G871="RES-MDU","RESIDENTIAL",IF(G871="COMM-SU","BUSINESS",IF(G871="COM-MTU","BUSINESS",IF(G871="ENT","BUSINESS",""))))))</f>
        <v/>
      </c>
      <c r="G871" s="1166">
        <f>'House Count'!F871</f>
        <v/>
      </c>
      <c r="H871" s="1166">
        <f>'House Count'!H871</f>
        <v/>
      </c>
    </row>
    <row r="872">
      <c r="A872" s="1165">
        <f>'House Count'!A872</f>
        <v/>
      </c>
      <c r="B872" s="1166">
        <f>'House Count'!E872</f>
        <v/>
      </c>
      <c r="C872" s="1166">
        <f>'House Count'!B872</f>
        <v/>
      </c>
      <c r="D872" s="1166">
        <f>'House Count'!C872</f>
        <v/>
      </c>
      <c r="E872" s="1166">
        <f>'House Count'!D872</f>
        <v/>
      </c>
      <c r="F872" s="1166">
        <f>IF(G872="RES-SFU","RESIDENTIAL",IF(G872="RES-HOA","RESIDENTIAL",IF(G872="RES-MDU","RESIDENTIAL",IF(G872="COMM-SU","BUSINESS",IF(G872="COM-MTU","BUSINESS",IF(G872="ENT","BUSINESS",""))))))</f>
        <v/>
      </c>
      <c r="G872" s="1166">
        <f>'House Count'!F872</f>
        <v/>
      </c>
      <c r="H872" s="1166">
        <f>'House Count'!H872</f>
        <v/>
      </c>
    </row>
    <row r="873">
      <c r="A873" s="1165">
        <f>'House Count'!A873</f>
        <v/>
      </c>
      <c r="B873" s="1166">
        <f>'House Count'!E873</f>
        <v/>
      </c>
      <c r="C873" s="1166">
        <f>'House Count'!B873</f>
        <v/>
      </c>
      <c r="D873" s="1166">
        <f>'House Count'!C873</f>
        <v/>
      </c>
      <c r="E873" s="1166">
        <f>'House Count'!D873</f>
        <v/>
      </c>
      <c r="F873" s="1166">
        <f>IF(G873="RES-SFU","RESIDENTIAL",IF(G873="RES-HOA","RESIDENTIAL",IF(G873="RES-MDU","RESIDENTIAL",IF(G873="COMM-SU","BUSINESS",IF(G873="COM-MTU","BUSINESS",IF(G873="ENT","BUSINESS",""))))))</f>
        <v/>
      </c>
      <c r="G873" s="1166">
        <f>'House Count'!F873</f>
        <v/>
      </c>
      <c r="H873" s="1166">
        <f>'House Count'!H873</f>
        <v/>
      </c>
    </row>
    <row r="874">
      <c r="A874" s="1165">
        <f>'House Count'!A874</f>
        <v/>
      </c>
      <c r="B874" s="1166">
        <f>'House Count'!E874</f>
        <v/>
      </c>
      <c r="C874" s="1166">
        <f>'House Count'!B874</f>
        <v/>
      </c>
      <c r="D874" s="1166">
        <f>'House Count'!C874</f>
        <v/>
      </c>
      <c r="E874" s="1166">
        <f>'House Count'!D874</f>
        <v/>
      </c>
      <c r="F874" s="1166">
        <f>IF(G874="RES-SFU","RESIDENTIAL",IF(G874="RES-HOA","RESIDENTIAL",IF(G874="RES-MDU","RESIDENTIAL",IF(G874="COMM-SU","BUSINESS",IF(G874="COM-MTU","BUSINESS",IF(G874="ENT","BUSINESS",""))))))</f>
        <v/>
      </c>
      <c r="G874" s="1166">
        <f>'House Count'!F874</f>
        <v/>
      </c>
      <c r="H874" s="1166">
        <f>'House Count'!H874</f>
        <v/>
      </c>
    </row>
    <row r="875">
      <c r="A875" s="1165">
        <f>'House Count'!A875</f>
        <v/>
      </c>
      <c r="B875" s="1166">
        <f>'House Count'!E875</f>
        <v/>
      </c>
      <c r="C875" s="1166">
        <f>'House Count'!B875</f>
        <v/>
      </c>
      <c r="D875" s="1166">
        <f>'House Count'!C875</f>
        <v/>
      </c>
      <c r="E875" s="1166">
        <f>'House Count'!D875</f>
        <v/>
      </c>
      <c r="F875" s="1166">
        <f>IF(G875="RES-SFU","RESIDENTIAL",IF(G875="RES-HOA","RESIDENTIAL",IF(G875="RES-MDU","RESIDENTIAL",IF(G875="COMM-SU","BUSINESS",IF(G875="COM-MTU","BUSINESS",IF(G875="ENT","BUSINESS",""))))))</f>
        <v/>
      </c>
      <c r="G875" s="1166">
        <f>'House Count'!F875</f>
        <v/>
      </c>
      <c r="H875" s="1166">
        <f>'House Count'!H875</f>
        <v/>
      </c>
    </row>
    <row r="876">
      <c r="A876" s="1165">
        <f>'House Count'!A876</f>
        <v/>
      </c>
      <c r="B876" s="1166">
        <f>'House Count'!E876</f>
        <v/>
      </c>
      <c r="C876" s="1166">
        <f>'House Count'!B876</f>
        <v/>
      </c>
      <c r="D876" s="1166">
        <f>'House Count'!C876</f>
        <v/>
      </c>
      <c r="E876" s="1166">
        <f>'House Count'!D876</f>
        <v/>
      </c>
      <c r="F876" s="1166">
        <f>IF(G876="RES-SFU","RESIDENTIAL",IF(G876="RES-HOA","RESIDENTIAL",IF(G876="RES-MDU","RESIDENTIAL",IF(G876="COMM-SU","BUSINESS",IF(G876="COM-MTU","BUSINESS",IF(G876="ENT","BUSINESS",""))))))</f>
        <v/>
      </c>
      <c r="G876" s="1166">
        <f>'House Count'!F876</f>
        <v/>
      </c>
      <c r="H876" s="1166">
        <f>'House Count'!H876</f>
        <v/>
      </c>
    </row>
    <row r="877">
      <c r="A877" s="1165">
        <f>'House Count'!A877</f>
        <v/>
      </c>
      <c r="B877" s="1166">
        <f>'House Count'!E877</f>
        <v/>
      </c>
      <c r="C877" s="1166">
        <f>'House Count'!B877</f>
        <v/>
      </c>
      <c r="D877" s="1166">
        <f>'House Count'!C877</f>
        <v/>
      </c>
      <c r="E877" s="1166">
        <f>'House Count'!D877</f>
        <v/>
      </c>
      <c r="F877" s="1166">
        <f>IF(G877="RES-SFU","RESIDENTIAL",IF(G877="RES-HOA","RESIDENTIAL",IF(G877="RES-MDU","RESIDENTIAL",IF(G877="COMM-SU","BUSINESS",IF(G877="COM-MTU","BUSINESS",IF(G877="ENT","BUSINESS",""))))))</f>
        <v/>
      </c>
      <c r="G877" s="1166">
        <f>'House Count'!F877</f>
        <v/>
      </c>
      <c r="H877" s="1166">
        <f>'House Count'!H877</f>
        <v/>
      </c>
    </row>
    <row r="878">
      <c r="A878" s="1165">
        <f>'House Count'!A878</f>
        <v/>
      </c>
      <c r="B878" s="1166">
        <f>'House Count'!E878</f>
        <v/>
      </c>
      <c r="C878" s="1166">
        <f>'House Count'!B878</f>
        <v/>
      </c>
      <c r="D878" s="1166">
        <f>'House Count'!C878</f>
        <v/>
      </c>
      <c r="E878" s="1166">
        <f>'House Count'!D878</f>
        <v/>
      </c>
      <c r="F878" s="1166">
        <f>IF(G878="RES-SFU","RESIDENTIAL",IF(G878="RES-HOA","RESIDENTIAL",IF(G878="RES-MDU","RESIDENTIAL",IF(G878="COMM-SU","BUSINESS",IF(G878="COM-MTU","BUSINESS",IF(G878="ENT","BUSINESS",""))))))</f>
        <v/>
      </c>
      <c r="G878" s="1166">
        <f>'House Count'!F878</f>
        <v/>
      </c>
      <c r="H878" s="1166">
        <f>'House Count'!H878</f>
        <v/>
      </c>
    </row>
    <row r="879">
      <c r="A879" s="1165">
        <f>'House Count'!A879</f>
        <v/>
      </c>
      <c r="B879" s="1166">
        <f>'House Count'!E879</f>
        <v/>
      </c>
      <c r="C879" s="1166">
        <f>'House Count'!B879</f>
        <v/>
      </c>
      <c r="D879" s="1166">
        <f>'House Count'!C879</f>
        <v/>
      </c>
      <c r="E879" s="1166">
        <f>'House Count'!D879</f>
        <v/>
      </c>
      <c r="F879" s="1166">
        <f>IF(G879="RES-SFU","RESIDENTIAL",IF(G879="RES-HOA","RESIDENTIAL",IF(G879="RES-MDU","RESIDENTIAL",IF(G879="COMM-SU","BUSINESS",IF(G879="COM-MTU","BUSINESS",IF(G879="ENT","BUSINESS",""))))))</f>
        <v/>
      </c>
      <c r="G879" s="1166">
        <f>'House Count'!F879</f>
        <v/>
      </c>
      <c r="H879" s="1166">
        <f>'House Count'!H879</f>
        <v/>
      </c>
    </row>
    <row r="880">
      <c r="A880" s="1165">
        <f>'House Count'!A880</f>
        <v/>
      </c>
      <c r="B880" s="1166">
        <f>'House Count'!E880</f>
        <v/>
      </c>
      <c r="C880" s="1166">
        <f>'House Count'!B880</f>
        <v/>
      </c>
      <c r="D880" s="1166">
        <f>'House Count'!C880</f>
        <v/>
      </c>
      <c r="E880" s="1166">
        <f>'House Count'!D880</f>
        <v/>
      </c>
      <c r="F880" s="1166">
        <f>IF(G880="RES-SFU","RESIDENTIAL",IF(G880="RES-HOA","RESIDENTIAL",IF(G880="RES-MDU","RESIDENTIAL",IF(G880="COMM-SU","BUSINESS",IF(G880="COM-MTU","BUSINESS",IF(G880="ENT","BUSINESS",""))))))</f>
        <v/>
      </c>
      <c r="G880" s="1166">
        <f>'House Count'!F880</f>
        <v/>
      </c>
      <c r="H880" s="1166">
        <f>'House Count'!H880</f>
        <v/>
      </c>
    </row>
    <row r="881">
      <c r="A881" s="1165">
        <f>'House Count'!A881</f>
        <v/>
      </c>
      <c r="B881" s="1166">
        <f>'House Count'!E881</f>
        <v/>
      </c>
      <c r="C881" s="1166">
        <f>'House Count'!B881</f>
        <v/>
      </c>
      <c r="D881" s="1166">
        <f>'House Count'!C881</f>
        <v/>
      </c>
      <c r="E881" s="1166">
        <f>'House Count'!D881</f>
        <v/>
      </c>
      <c r="F881" s="1166">
        <f>IF(G881="RES-SFU","RESIDENTIAL",IF(G881="RES-HOA","RESIDENTIAL",IF(G881="RES-MDU","RESIDENTIAL",IF(G881="COMM-SU","BUSINESS",IF(G881="COM-MTU","BUSINESS",IF(G881="ENT","BUSINESS",""))))))</f>
        <v/>
      </c>
      <c r="G881" s="1166">
        <f>'House Count'!F881</f>
        <v/>
      </c>
      <c r="H881" s="1166">
        <f>'House Count'!H881</f>
        <v/>
      </c>
    </row>
    <row r="882">
      <c r="A882" s="1165">
        <f>'House Count'!A882</f>
        <v/>
      </c>
      <c r="B882" s="1166">
        <f>'House Count'!E882</f>
        <v/>
      </c>
      <c r="C882" s="1166">
        <f>'House Count'!B882</f>
        <v/>
      </c>
      <c r="D882" s="1166">
        <f>'House Count'!C882</f>
        <v/>
      </c>
      <c r="E882" s="1166">
        <f>'House Count'!D882</f>
        <v/>
      </c>
      <c r="F882" s="1166">
        <f>IF(G882="RES-SFU","RESIDENTIAL",IF(G882="RES-HOA","RESIDENTIAL",IF(G882="RES-MDU","RESIDENTIAL",IF(G882="COMM-SU","BUSINESS",IF(G882="COM-MTU","BUSINESS",IF(G882="ENT","BUSINESS",""))))))</f>
        <v/>
      </c>
      <c r="G882" s="1166">
        <f>'House Count'!F882</f>
        <v/>
      </c>
      <c r="H882" s="1166">
        <f>'House Count'!H882</f>
        <v/>
      </c>
    </row>
    <row r="883">
      <c r="A883" s="1165">
        <f>'House Count'!A883</f>
        <v/>
      </c>
      <c r="B883" s="1166">
        <f>'House Count'!E883</f>
        <v/>
      </c>
      <c r="C883" s="1166">
        <f>'House Count'!B883</f>
        <v/>
      </c>
      <c r="D883" s="1166">
        <f>'House Count'!C883</f>
        <v/>
      </c>
      <c r="E883" s="1166">
        <f>'House Count'!D883</f>
        <v/>
      </c>
      <c r="F883" s="1166">
        <f>IF(G883="RES-SFU","RESIDENTIAL",IF(G883="RES-HOA","RESIDENTIAL",IF(G883="RES-MDU","RESIDENTIAL",IF(G883="COMM-SU","BUSINESS",IF(G883="COM-MTU","BUSINESS",IF(G883="ENT","BUSINESS",""))))))</f>
        <v/>
      </c>
      <c r="G883" s="1166">
        <f>'House Count'!F883</f>
        <v/>
      </c>
      <c r="H883" s="1166">
        <f>'House Count'!H883</f>
        <v/>
      </c>
    </row>
    <row r="884">
      <c r="A884" s="1165">
        <f>'House Count'!A884</f>
        <v/>
      </c>
      <c r="B884" s="1166">
        <f>'House Count'!E884</f>
        <v/>
      </c>
      <c r="C884" s="1166">
        <f>'House Count'!B884</f>
        <v/>
      </c>
      <c r="D884" s="1166">
        <f>'House Count'!C884</f>
        <v/>
      </c>
      <c r="E884" s="1166">
        <f>'House Count'!D884</f>
        <v/>
      </c>
      <c r="F884" s="1166">
        <f>IF(G884="RES-SFU","RESIDENTIAL",IF(G884="RES-HOA","RESIDENTIAL",IF(G884="RES-MDU","RESIDENTIAL",IF(G884="COMM-SU","BUSINESS",IF(G884="COM-MTU","BUSINESS",IF(G884="ENT","BUSINESS",""))))))</f>
        <v/>
      </c>
      <c r="G884" s="1166">
        <f>'House Count'!F884</f>
        <v/>
      </c>
      <c r="H884" s="1166">
        <f>'House Count'!H884</f>
        <v/>
      </c>
    </row>
    <row r="885">
      <c r="A885" s="1165">
        <f>'House Count'!A885</f>
        <v/>
      </c>
      <c r="B885" s="1166">
        <f>'House Count'!E885</f>
        <v/>
      </c>
      <c r="C885" s="1166">
        <f>'House Count'!B885</f>
        <v/>
      </c>
      <c r="D885" s="1166">
        <f>'House Count'!C885</f>
        <v/>
      </c>
      <c r="E885" s="1166">
        <f>'House Count'!D885</f>
        <v/>
      </c>
      <c r="F885" s="1166">
        <f>IF(G885="RES-SFU","RESIDENTIAL",IF(G885="RES-HOA","RESIDENTIAL",IF(G885="RES-MDU","RESIDENTIAL",IF(G885="COMM-SU","BUSINESS",IF(G885="COM-MTU","BUSINESS",IF(G885="ENT","BUSINESS",""))))))</f>
        <v/>
      </c>
      <c r="G885" s="1166">
        <f>'House Count'!F885</f>
        <v/>
      </c>
      <c r="H885" s="1166">
        <f>'House Count'!H885</f>
        <v/>
      </c>
    </row>
    <row r="886">
      <c r="A886" s="1165">
        <f>'House Count'!A886</f>
        <v/>
      </c>
      <c r="B886" s="1166">
        <f>'House Count'!E886</f>
        <v/>
      </c>
      <c r="C886" s="1166">
        <f>'House Count'!B886</f>
        <v/>
      </c>
      <c r="D886" s="1166">
        <f>'House Count'!C886</f>
        <v/>
      </c>
      <c r="E886" s="1166">
        <f>'House Count'!D886</f>
        <v/>
      </c>
      <c r="F886" s="1166">
        <f>IF(G886="RES-SFU","RESIDENTIAL",IF(G886="RES-HOA","RESIDENTIAL",IF(G886="RES-MDU","RESIDENTIAL",IF(G886="COMM-SU","BUSINESS",IF(G886="COM-MTU","BUSINESS",IF(G886="ENT","BUSINESS",""))))))</f>
        <v/>
      </c>
      <c r="G886" s="1166">
        <f>'House Count'!F886</f>
        <v/>
      </c>
      <c r="H886" s="1166">
        <f>'House Count'!H886</f>
        <v/>
      </c>
    </row>
    <row r="887">
      <c r="A887" s="1165">
        <f>'House Count'!A887</f>
        <v/>
      </c>
      <c r="B887" s="1166">
        <f>'House Count'!E887</f>
        <v/>
      </c>
      <c r="C887" s="1166">
        <f>'House Count'!B887</f>
        <v/>
      </c>
      <c r="D887" s="1166">
        <f>'House Count'!C887</f>
        <v/>
      </c>
      <c r="E887" s="1166">
        <f>'House Count'!D887</f>
        <v/>
      </c>
      <c r="F887" s="1166">
        <f>IF(G887="RES-SFU","RESIDENTIAL",IF(G887="RES-HOA","RESIDENTIAL",IF(G887="RES-MDU","RESIDENTIAL",IF(G887="COMM-SU","BUSINESS",IF(G887="COM-MTU","BUSINESS",IF(G887="ENT","BUSINESS",""))))))</f>
        <v/>
      </c>
      <c r="G887" s="1166">
        <f>'House Count'!F887</f>
        <v/>
      </c>
      <c r="H887" s="1166">
        <f>'House Count'!H887</f>
        <v/>
      </c>
    </row>
    <row r="888">
      <c r="A888" s="1165">
        <f>'House Count'!A888</f>
        <v/>
      </c>
      <c r="B888" s="1166">
        <f>'House Count'!E888</f>
        <v/>
      </c>
      <c r="C888" s="1166">
        <f>'House Count'!B888</f>
        <v/>
      </c>
      <c r="D888" s="1166">
        <f>'House Count'!C888</f>
        <v/>
      </c>
      <c r="E888" s="1166">
        <f>'House Count'!D888</f>
        <v/>
      </c>
      <c r="F888" s="1166">
        <f>IF(G888="RES-SFU","RESIDENTIAL",IF(G888="RES-HOA","RESIDENTIAL",IF(G888="RES-MDU","RESIDENTIAL",IF(G888="COMM-SU","BUSINESS",IF(G888="COM-MTU","BUSINESS",IF(G888="ENT","BUSINESS",""))))))</f>
        <v/>
      </c>
      <c r="G888" s="1166">
        <f>'House Count'!F888</f>
        <v/>
      </c>
      <c r="H888" s="1166">
        <f>'House Count'!H888</f>
        <v/>
      </c>
    </row>
    <row r="889">
      <c r="A889" s="1165">
        <f>'House Count'!A889</f>
        <v/>
      </c>
      <c r="B889" s="1166">
        <f>'House Count'!E889</f>
        <v/>
      </c>
      <c r="C889" s="1166">
        <f>'House Count'!B889</f>
        <v/>
      </c>
      <c r="D889" s="1166">
        <f>'House Count'!C889</f>
        <v/>
      </c>
      <c r="E889" s="1166">
        <f>'House Count'!D889</f>
        <v/>
      </c>
      <c r="F889" s="1166">
        <f>IF(G889="RES-SFU","RESIDENTIAL",IF(G889="RES-HOA","RESIDENTIAL",IF(G889="RES-MDU","RESIDENTIAL",IF(G889="COMM-SU","BUSINESS",IF(G889="COM-MTU","BUSINESS",IF(G889="ENT","BUSINESS",""))))))</f>
        <v/>
      </c>
      <c r="G889" s="1166">
        <f>'House Count'!F889</f>
        <v/>
      </c>
      <c r="H889" s="1166">
        <f>'House Count'!H889</f>
        <v/>
      </c>
    </row>
    <row r="890">
      <c r="A890" s="1165">
        <f>'House Count'!A890</f>
        <v/>
      </c>
      <c r="B890" s="1166">
        <f>'House Count'!E890</f>
        <v/>
      </c>
      <c r="C890" s="1166">
        <f>'House Count'!B890</f>
        <v/>
      </c>
      <c r="D890" s="1166">
        <f>'House Count'!C890</f>
        <v/>
      </c>
      <c r="E890" s="1166">
        <f>'House Count'!D890</f>
        <v/>
      </c>
      <c r="F890" s="1166">
        <f>IF(G890="RES-SFU","RESIDENTIAL",IF(G890="RES-HOA","RESIDENTIAL",IF(G890="RES-MDU","RESIDENTIAL",IF(G890="COMM-SU","BUSINESS",IF(G890="COM-MTU","BUSINESS",IF(G890="ENT","BUSINESS",""))))))</f>
        <v/>
      </c>
      <c r="G890" s="1166">
        <f>'House Count'!F890</f>
        <v/>
      </c>
      <c r="H890" s="1166">
        <f>'House Count'!H890</f>
        <v/>
      </c>
    </row>
    <row r="891">
      <c r="A891" s="1165">
        <f>'House Count'!A891</f>
        <v/>
      </c>
      <c r="B891" s="1166">
        <f>'House Count'!E891</f>
        <v/>
      </c>
      <c r="C891" s="1166">
        <f>'House Count'!B891</f>
        <v/>
      </c>
      <c r="D891" s="1166">
        <f>'House Count'!C891</f>
        <v/>
      </c>
      <c r="E891" s="1166">
        <f>'House Count'!D891</f>
        <v/>
      </c>
      <c r="F891" s="1166">
        <f>IF(G891="RES-SFU","RESIDENTIAL",IF(G891="RES-HOA","RESIDENTIAL",IF(G891="RES-MDU","RESIDENTIAL",IF(G891="COMM-SU","BUSINESS",IF(G891="COM-MTU","BUSINESS",IF(G891="ENT","BUSINESS",""))))))</f>
        <v/>
      </c>
      <c r="G891" s="1166">
        <f>'House Count'!F891</f>
        <v/>
      </c>
      <c r="H891" s="1166">
        <f>'House Count'!H891</f>
        <v/>
      </c>
    </row>
    <row r="892">
      <c r="A892" s="1165">
        <f>'House Count'!A892</f>
        <v/>
      </c>
      <c r="B892" s="1166">
        <f>'House Count'!E892</f>
        <v/>
      </c>
      <c r="C892" s="1166">
        <f>'House Count'!B892</f>
        <v/>
      </c>
      <c r="D892" s="1166">
        <f>'House Count'!C892</f>
        <v/>
      </c>
      <c r="E892" s="1166">
        <f>'House Count'!D892</f>
        <v/>
      </c>
      <c r="F892" s="1166">
        <f>IF(G892="RES-SFU","RESIDENTIAL",IF(G892="RES-HOA","RESIDENTIAL",IF(G892="RES-MDU","RESIDENTIAL",IF(G892="COMM-SU","BUSINESS",IF(G892="COM-MTU","BUSINESS",IF(G892="ENT","BUSINESS",""))))))</f>
        <v/>
      </c>
      <c r="G892" s="1166">
        <f>'House Count'!F892</f>
        <v/>
      </c>
      <c r="H892" s="1166">
        <f>'House Count'!H892</f>
        <v/>
      </c>
    </row>
    <row r="893">
      <c r="A893" s="1165">
        <f>'House Count'!A893</f>
        <v/>
      </c>
      <c r="B893" s="1166">
        <f>'House Count'!E893</f>
        <v/>
      </c>
      <c r="C893" s="1166">
        <f>'House Count'!B893</f>
        <v/>
      </c>
      <c r="D893" s="1166">
        <f>'House Count'!C893</f>
        <v/>
      </c>
      <c r="E893" s="1166">
        <f>'House Count'!D893</f>
        <v/>
      </c>
      <c r="F893" s="1166">
        <f>IF(G893="RES-SFU","RESIDENTIAL",IF(G893="RES-HOA","RESIDENTIAL",IF(G893="RES-MDU","RESIDENTIAL",IF(G893="COMM-SU","BUSINESS",IF(G893="COM-MTU","BUSINESS",IF(G893="ENT","BUSINESS",""))))))</f>
        <v/>
      </c>
      <c r="G893" s="1166">
        <f>'House Count'!F893</f>
        <v/>
      </c>
      <c r="H893" s="1166">
        <f>'House Count'!H893</f>
        <v/>
      </c>
    </row>
    <row r="894">
      <c r="A894" s="1165">
        <f>'House Count'!A894</f>
        <v/>
      </c>
      <c r="B894" s="1166">
        <f>'House Count'!E894</f>
        <v/>
      </c>
      <c r="C894" s="1166">
        <f>'House Count'!B894</f>
        <v/>
      </c>
      <c r="D894" s="1166">
        <f>'House Count'!C894</f>
        <v/>
      </c>
      <c r="E894" s="1166">
        <f>'House Count'!D894</f>
        <v/>
      </c>
      <c r="F894" s="1166">
        <f>IF(G894="RES-SFU","RESIDENTIAL",IF(G894="RES-HOA","RESIDENTIAL",IF(G894="RES-MDU","RESIDENTIAL",IF(G894="COMM-SU","BUSINESS",IF(G894="COM-MTU","BUSINESS",IF(G894="ENT","BUSINESS",""))))))</f>
        <v/>
      </c>
      <c r="G894" s="1166">
        <f>'House Count'!F894</f>
        <v/>
      </c>
      <c r="H894" s="1166">
        <f>'House Count'!H894</f>
        <v/>
      </c>
    </row>
    <row r="895">
      <c r="A895" s="1165">
        <f>'House Count'!A895</f>
        <v/>
      </c>
      <c r="B895" s="1166">
        <f>'House Count'!E895</f>
        <v/>
      </c>
      <c r="C895" s="1166">
        <f>'House Count'!B895</f>
        <v/>
      </c>
      <c r="D895" s="1166">
        <f>'House Count'!C895</f>
        <v/>
      </c>
      <c r="E895" s="1166">
        <f>'House Count'!D895</f>
        <v/>
      </c>
      <c r="F895" s="1166">
        <f>IF(G895="RES-SFU","RESIDENTIAL",IF(G895="RES-HOA","RESIDENTIAL",IF(G895="RES-MDU","RESIDENTIAL",IF(G895="COMM-SU","BUSINESS",IF(G895="COM-MTU","BUSINESS",IF(G895="ENT","BUSINESS",""))))))</f>
        <v/>
      </c>
      <c r="G895" s="1166">
        <f>'House Count'!F895</f>
        <v/>
      </c>
      <c r="H895" s="1166">
        <f>'House Count'!H895</f>
        <v/>
      </c>
    </row>
    <row r="896">
      <c r="A896" s="1165">
        <f>'House Count'!A896</f>
        <v/>
      </c>
      <c r="B896" s="1166">
        <f>'House Count'!E896</f>
        <v/>
      </c>
      <c r="C896" s="1166">
        <f>'House Count'!B896</f>
        <v/>
      </c>
      <c r="D896" s="1166">
        <f>'House Count'!C896</f>
        <v/>
      </c>
      <c r="E896" s="1166">
        <f>'House Count'!D896</f>
        <v/>
      </c>
      <c r="F896" s="1166">
        <f>IF(G896="RES-SFU","RESIDENTIAL",IF(G896="RES-HOA","RESIDENTIAL",IF(G896="RES-MDU","RESIDENTIAL",IF(G896="COMM-SU","BUSINESS",IF(G896="COM-MTU","BUSINESS",IF(G896="ENT","BUSINESS",""))))))</f>
        <v/>
      </c>
      <c r="G896" s="1166">
        <f>'House Count'!F896</f>
        <v/>
      </c>
      <c r="H896" s="1166">
        <f>'House Count'!H896</f>
        <v/>
      </c>
    </row>
    <row r="897">
      <c r="A897" s="1165">
        <f>'House Count'!A897</f>
        <v/>
      </c>
      <c r="B897" s="1166">
        <f>'House Count'!E897</f>
        <v/>
      </c>
      <c r="C897" s="1166">
        <f>'House Count'!B897</f>
        <v/>
      </c>
      <c r="D897" s="1166">
        <f>'House Count'!C897</f>
        <v/>
      </c>
      <c r="E897" s="1166">
        <f>'House Count'!D897</f>
        <v/>
      </c>
      <c r="F897" s="1166">
        <f>IF(G897="RES-SFU","RESIDENTIAL",IF(G897="RES-HOA","RESIDENTIAL",IF(G897="RES-MDU","RESIDENTIAL",IF(G897="COMM-SU","BUSINESS",IF(G897="COM-MTU","BUSINESS",IF(G897="ENT","BUSINESS",""))))))</f>
        <v/>
      </c>
      <c r="G897" s="1166">
        <f>'House Count'!F897</f>
        <v/>
      </c>
      <c r="H897" s="1166">
        <f>'House Count'!H897</f>
        <v/>
      </c>
    </row>
    <row r="898">
      <c r="A898" s="1165">
        <f>'House Count'!A898</f>
        <v/>
      </c>
      <c r="B898" s="1166">
        <f>'House Count'!E898</f>
        <v/>
      </c>
      <c r="C898" s="1166">
        <f>'House Count'!B898</f>
        <v/>
      </c>
      <c r="D898" s="1166">
        <f>'House Count'!C898</f>
        <v/>
      </c>
      <c r="E898" s="1166">
        <f>'House Count'!D898</f>
        <v/>
      </c>
      <c r="F898" s="1166">
        <f>IF(G898="RES-SFU","RESIDENTIAL",IF(G898="RES-HOA","RESIDENTIAL",IF(G898="RES-MDU","RESIDENTIAL",IF(G898="COMM-SU","BUSINESS",IF(G898="COM-MTU","BUSINESS",IF(G898="ENT","BUSINESS",""))))))</f>
        <v/>
      </c>
      <c r="G898" s="1166">
        <f>'House Count'!F898</f>
        <v/>
      </c>
      <c r="H898" s="1166">
        <f>'House Count'!H898</f>
        <v/>
      </c>
    </row>
    <row r="899">
      <c r="A899" s="1165">
        <f>'House Count'!A899</f>
        <v/>
      </c>
      <c r="B899" s="1166">
        <f>'House Count'!E899</f>
        <v/>
      </c>
      <c r="C899" s="1166">
        <f>'House Count'!B899</f>
        <v/>
      </c>
      <c r="D899" s="1166">
        <f>'House Count'!C899</f>
        <v/>
      </c>
      <c r="E899" s="1166">
        <f>'House Count'!D899</f>
        <v/>
      </c>
      <c r="F899" s="1166">
        <f>IF(G899="RES-SFU","RESIDENTIAL",IF(G899="RES-HOA","RESIDENTIAL",IF(G899="RES-MDU","RESIDENTIAL",IF(G899="COMM-SU","BUSINESS",IF(G899="COM-MTU","BUSINESS",IF(G899="ENT","BUSINESS",""))))))</f>
        <v/>
      </c>
      <c r="G899" s="1166">
        <f>'House Count'!F899</f>
        <v/>
      </c>
      <c r="H899" s="1166">
        <f>'House Count'!H899</f>
        <v/>
      </c>
    </row>
    <row r="900">
      <c r="A900" s="1165">
        <f>'House Count'!A900</f>
        <v/>
      </c>
      <c r="B900" s="1166">
        <f>'House Count'!E900</f>
        <v/>
      </c>
      <c r="C900" s="1166">
        <f>'House Count'!B900</f>
        <v/>
      </c>
      <c r="D900" s="1166">
        <f>'House Count'!C900</f>
        <v/>
      </c>
      <c r="E900" s="1166">
        <f>'House Count'!D900</f>
        <v/>
      </c>
      <c r="F900" s="1166">
        <f>IF(G900="RES-SFU","RESIDENTIAL",IF(G900="RES-HOA","RESIDENTIAL",IF(G900="RES-MDU","RESIDENTIAL",IF(G900="COMM-SU","BUSINESS",IF(G900="COM-MTU","BUSINESS",IF(G900="ENT","BUSINESS",""))))))</f>
        <v/>
      </c>
      <c r="G900" s="1166">
        <f>'House Count'!F900</f>
        <v/>
      </c>
      <c r="H900" s="1166">
        <f>'House Count'!H900</f>
        <v/>
      </c>
    </row>
    <row r="901">
      <c r="A901" s="1165">
        <f>'House Count'!A901</f>
        <v/>
      </c>
      <c r="B901" s="1166">
        <f>'House Count'!E901</f>
        <v/>
      </c>
      <c r="C901" s="1166">
        <f>'House Count'!B901</f>
        <v/>
      </c>
      <c r="D901" s="1166">
        <f>'House Count'!C901</f>
        <v/>
      </c>
      <c r="E901" s="1166">
        <f>'House Count'!D901</f>
        <v/>
      </c>
      <c r="F901" s="1166">
        <f>IF(G901="RES-SFU","RESIDENTIAL",IF(G901="RES-HOA","RESIDENTIAL",IF(G901="RES-MDU","RESIDENTIAL",IF(G901="COMM-SU","BUSINESS",IF(G901="COM-MTU","BUSINESS",IF(G901="ENT","BUSINESS",""))))))</f>
        <v/>
      </c>
      <c r="G901" s="1166">
        <f>'House Count'!F901</f>
        <v/>
      </c>
      <c r="H901" s="1166">
        <f>'House Count'!H901</f>
        <v/>
      </c>
    </row>
    <row r="902">
      <c r="A902" s="1165">
        <f>'House Count'!A902</f>
        <v/>
      </c>
      <c r="B902" s="1166">
        <f>'House Count'!E902</f>
        <v/>
      </c>
      <c r="C902" s="1166">
        <f>'House Count'!B902</f>
        <v/>
      </c>
      <c r="D902" s="1166">
        <f>'House Count'!C902</f>
        <v/>
      </c>
      <c r="E902" s="1166">
        <f>'House Count'!D902</f>
        <v/>
      </c>
      <c r="F902" s="1166">
        <f>IF(G902="RES-SFU","RESIDENTIAL",IF(G902="RES-HOA","RESIDENTIAL",IF(G902="RES-MDU","RESIDENTIAL",IF(G902="COMM-SU","BUSINESS",IF(G902="COM-MTU","BUSINESS",IF(G902="ENT","BUSINESS",""))))))</f>
        <v/>
      </c>
      <c r="G902" s="1166">
        <f>'House Count'!F902</f>
        <v/>
      </c>
      <c r="H902" s="1166">
        <f>'House Count'!H902</f>
        <v/>
      </c>
    </row>
    <row r="903">
      <c r="A903" s="1165">
        <f>'House Count'!A903</f>
        <v/>
      </c>
      <c r="B903" s="1166">
        <f>'House Count'!E903</f>
        <v/>
      </c>
      <c r="C903" s="1166">
        <f>'House Count'!B903</f>
        <v/>
      </c>
      <c r="D903" s="1166">
        <f>'House Count'!C903</f>
        <v/>
      </c>
      <c r="E903" s="1166">
        <f>'House Count'!D903</f>
        <v/>
      </c>
      <c r="F903" s="1166">
        <f>IF(G903="RES-SFU","RESIDENTIAL",IF(G903="RES-HOA","RESIDENTIAL",IF(G903="RES-MDU","RESIDENTIAL",IF(G903="COMM-SU","BUSINESS",IF(G903="COM-MTU","BUSINESS",IF(G903="ENT","BUSINESS",""))))))</f>
        <v/>
      </c>
      <c r="G903" s="1166">
        <f>'House Count'!F903</f>
        <v/>
      </c>
      <c r="H903" s="1166">
        <f>'House Count'!H903</f>
        <v/>
      </c>
    </row>
    <row r="904">
      <c r="A904" s="1165">
        <f>'House Count'!A904</f>
        <v/>
      </c>
      <c r="B904" s="1166">
        <f>'House Count'!E904</f>
        <v/>
      </c>
      <c r="C904" s="1166">
        <f>'House Count'!B904</f>
        <v/>
      </c>
      <c r="D904" s="1166">
        <f>'House Count'!C904</f>
        <v/>
      </c>
      <c r="E904" s="1166">
        <f>'House Count'!D904</f>
        <v/>
      </c>
      <c r="F904" s="1166">
        <f>IF(G904="RES-SFU","RESIDENTIAL",IF(G904="RES-HOA","RESIDENTIAL",IF(G904="RES-MDU","RESIDENTIAL",IF(G904="COMM-SU","BUSINESS",IF(G904="COM-MTU","BUSINESS",IF(G904="ENT","BUSINESS",""))))))</f>
        <v/>
      </c>
      <c r="G904" s="1166">
        <f>'House Count'!F904</f>
        <v/>
      </c>
      <c r="H904" s="1166">
        <f>'House Count'!H904</f>
        <v/>
      </c>
    </row>
    <row r="905">
      <c r="A905" s="1165">
        <f>'House Count'!A905</f>
        <v/>
      </c>
      <c r="B905" s="1166">
        <f>'House Count'!E905</f>
        <v/>
      </c>
      <c r="C905" s="1166">
        <f>'House Count'!B905</f>
        <v/>
      </c>
      <c r="D905" s="1166">
        <f>'House Count'!C905</f>
        <v/>
      </c>
      <c r="E905" s="1166">
        <f>'House Count'!D905</f>
        <v/>
      </c>
      <c r="F905" s="1166">
        <f>IF(G905="RES-SFU","RESIDENTIAL",IF(G905="RES-HOA","RESIDENTIAL",IF(G905="RES-MDU","RESIDENTIAL",IF(G905="COMM-SU","BUSINESS",IF(G905="COM-MTU","BUSINESS",IF(G905="ENT","BUSINESS",""))))))</f>
        <v/>
      </c>
      <c r="G905" s="1166">
        <f>'House Count'!F905</f>
        <v/>
      </c>
      <c r="H905" s="1166">
        <f>'House Count'!H905</f>
        <v/>
      </c>
    </row>
    <row r="906">
      <c r="A906" s="1165">
        <f>'House Count'!A906</f>
        <v/>
      </c>
      <c r="B906" s="1166">
        <f>'House Count'!E906</f>
        <v/>
      </c>
      <c r="C906" s="1166">
        <f>'House Count'!B906</f>
        <v/>
      </c>
      <c r="D906" s="1166">
        <f>'House Count'!C906</f>
        <v/>
      </c>
      <c r="E906" s="1166">
        <f>'House Count'!D906</f>
        <v/>
      </c>
      <c r="F906" s="1166">
        <f>IF(G906="RES-SFU","RESIDENTIAL",IF(G906="RES-HOA","RESIDENTIAL",IF(G906="RES-MDU","RESIDENTIAL",IF(G906="COMM-SU","BUSINESS",IF(G906="COM-MTU","BUSINESS",IF(G906="ENT","BUSINESS",""))))))</f>
        <v/>
      </c>
      <c r="G906" s="1166">
        <f>'House Count'!F906</f>
        <v/>
      </c>
      <c r="H906" s="1166">
        <f>'House Count'!H906</f>
        <v/>
      </c>
    </row>
    <row r="907">
      <c r="A907" s="1165">
        <f>'House Count'!A907</f>
        <v/>
      </c>
      <c r="B907" s="1166">
        <f>'House Count'!E907</f>
        <v/>
      </c>
      <c r="C907" s="1166">
        <f>'House Count'!B907</f>
        <v/>
      </c>
      <c r="D907" s="1166">
        <f>'House Count'!C907</f>
        <v/>
      </c>
      <c r="E907" s="1166">
        <f>'House Count'!D907</f>
        <v/>
      </c>
      <c r="F907" s="1166">
        <f>IF(G907="RES-SFU","RESIDENTIAL",IF(G907="RES-HOA","RESIDENTIAL",IF(G907="RES-MDU","RESIDENTIAL",IF(G907="COMM-SU","BUSINESS",IF(G907="COM-MTU","BUSINESS",IF(G907="ENT","BUSINESS",""))))))</f>
        <v/>
      </c>
      <c r="G907" s="1166">
        <f>'House Count'!F907</f>
        <v/>
      </c>
      <c r="H907" s="1166">
        <f>'House Count'!H907</f>
        <v/>
      </c>
    </row>
    <row r="908">
      <c r="A908" s="1165">
        <f>'House Count'!A908</f>
        <v/>
      </c>
      <c r="B908" s="1166">
        <f>'House Count'!E908</f>
        <v/>
      </c>
      <c r="C908" s="1166">
        <f>'House Count'!B908</f>
        <v/>
      </c>
      <c r="D908" s="1166">
        <f>'House Count'!C908</f>
        <v/>
      </c>
      <c r="E908" s="1166">
        <f>'House Count'!D908</f>
        <v/>
      </c>
      <c r="F908" s="1166">
        <f>IF(G908="RES-SFU","RESIDENTIAL",IF(G908="RES-HOA","RESIDENTIAL",IF(G908="RES-MDU","RESIDENTIAL",IF(G908="COMM-SU","BUSINESS",IF(G908="COM-MTU","BUSINESS",IF(G908="ENT","BUSINESS",""))))))</f>
        <v/>
      </c>
      <c r="G908" s="1166">
        <f>'House Count'!F908</f>
        <v/>
      </c>
      <c r="H908" s="1166">
        <f>'House Count'!H908</f>
        <v/>
      </c>
    </row>
    <row r="909">
      <c r="A909" s="1165">
        <f>'House Count'!A909</f>
        <v/>
      </c>
      <c r="B909" s="1166">
        <f>'House Count'!E909</f>
        <v/>
      </c>
      <c r="C909" s="1166">
        <f>'House Count'!B909</f>
        <v/>
      </c>
      <c r="D909" s="1166">
        <f>'House Count'!C909</f>
        <v/>
      </c>
      <c r="E909" s="1166">
        <f>'House Count'!D909</f>
        <v/>
      </c>
      <c r="F909" s="1166">
        <f>IF(G909="RES-SFU","RESIDENTIAL",IF(G909="RES-HOA","RESIDENTIAL",IF(G909="RES-MDU","RESIDENTIAL",IF(G909="COMM-SU","BUSINESS",IF(G909="COM-MTU","BUSINESS",IF(G909="ENT","BUSINESS",""))))))</f>
        <v/>
      </c>
      <c r="G909" s="1166">
        <f>'House Count'!F909</f>
        <v/>
      </c>
      <c r="H909" s="1166">
        <f>'House Count'!H909</f>
        <v/>
      </c>
    </row>
    <row r="910">
      <c r="A910" s="1165">
        <f>'House Count'!A910</f>
        <v/>
      </c>
      <c r="B910" s="1166">
        <f>'House Count'!E910</f>
        <v/>
      </c>
      <c r="C910" s="1166">
        <f>'House Count'!B910</f>
        <v/>
      </c>
      <c r="D910" s="1166">
        <f>'House Count'!C910</f>
        <v/>
      </c>
      <c r="E910" s="1166">
        <f>'House Count'!D910</f>
        <v/>
      </c>
      <c r="F910" s="1166">
        <f>IF(G910="RES-SFU","RESIDENTIAL",IF(G910="RES-HOA","RESIDENTIAL",IF(G910="RES-MDU","RESIDENTIAL",IF(G910="COMM-SU","BUSINESS",IF(G910="COM-MTU","BUSINESS",IF(G910="ENT","BUSINESS",""))))))</f>
        <v/>
      </c>
      <c r="G910" s="1166">
        <f>'House Count'!F910</f>
        <v/>
      </c>
      <c r="H910" s="1166">
        <f>'House Count'!H910</f>
        <v/>
      </c>
    </row>
    <row r="911">
      <c r="A911" s="1165">
        <f>'House Count'!A911</f>
        <v/>
      </c>
      <c r="B911" s="1166">
        <f>'House Count'!E911</f>
        <v/>
      </c>
      <c r="C911" s="1166">
        <f>'House Count'!B911</f>
        <v/>
      </c>
      <c r="D911" s="1166">
        <f>'House Count'!C911</f>
        <v/>
      </c>
      <c r="E911" s="1166">
        <f>'House Count'!D911</f>
        <v/>
      </c>
      <c r="F911" s="1166">
        <f>IF(G911="RES-SFU","RESIDENTIAL",IF(G911="RES-HOA","RESIDENTIAL",IF(G911="RES-MDU","RESIDENTIAL",IF(G911="COMM-SU","BUSINESS",IF(G911="COM-MTU","BUSINESS",IF(G911="ENT","BUSINESS",""))))))</f>
        <v/>
      </c>
      <c r="G911" s="1166">
        <f>'House Count'!F911</f>
        <v/>
      </c>
      <c r="H911" s="1166">
        <f>'House Count'!H911</f>
        <v/>
      </c>
    </row>
    <row r="912">
      <c r="A912" s="1165">
        <f>'House Count'!A912</f>
        <v/>
      </c>
      <c r="B912" s="1166">
        <f>'House Count'!E912</f>
        <v/>
      </c>
      <c r="C912" s="1166">
        <f>'House Count'!B912</f>
        <v/>
      </c>
      <c r="D912" s="1166">
        <f>'House Count'!C912</f>
        <v/>
      </c>
      <c r="E912" s="1166">
        <f>'House Count'!D912</f>
        <v/>
      </c>
      <c r="F912" s="1166">
        <f>IF(G912="RES-SFU","RESIDENTIAL",IF(G912="RES-HOA","RESIDENTIAL",IF(G912="RES-MDU","RESIDENTIAL",IF(G912="COMM-SU","BUSINESS",IF(G912="COM-MTU","BUSINESS",IF(G912="ENT","BUSINESS",""))))))</f>
        <v/>
      </c>
      <c r="G912" s="1166">
        <f>'House Count'!F912</f>
        <v/>
      </c>
      <c r="H912" s="1166">
        <f>'House Count'!H912</f>
        <v/>
      </c>
    </row>
    <row r="913">
      <c r="A913" s="1165">
        <f>'House Count'!A913</f>
        <v/>
      </c>
      <c r="B913" s="1166">
        <f>'House Count'!E913</f>
        <v/>
      </c>
      <c r="C913" s="1166">
        <f>'House Count'!B913</f>
        <v/>
      </c>
      <c r="D913" s="1166">
        <f>'House Count'!C913</f>
        <v/>
      </c>
      <c r="E913" s="1166">
        <f>'House Count'!D913</f>
        <v/>
      </c>
      <c r="F913" s="1166">
        <f>IF(G913="RES-SFU","RESIDENTIAL",IF(G913="RES-HOA","RESIDENTIAL",IF(G913="RES-MDU","RESIDENTIAL",IF(G913="COMM-SU","BUSINESS",IF(G913="COM-MTU","BUSINESS",IF(G913="ENT","BUSINESS",""))))))</f>
        <v/>
      </c>
      <c r="G913" s="1166">
        <f>'House Count'!F913</f>
        <v/>
      </c>
      <c r="H913" s="1166">
        <f>'House Count'!H913</f>
        <v/>
      </c>
    </row>
    <row r="914">
      <c r="A914" s="1165">
        <f>'House Count'!A914</f>
        <v/>
      </c>
      <c r="B914" s="1166">
        <f>'House Count'!E914</f>
        <v/>
      </c>
      <c r="C914" s="1166">
        <f>'House Count'!B914</f>
        <v/>
      </c>
      <c r="D914" s="1166">
        <f>'House Count'!C914</f>
        <v/>
      </c>
      <c r="E914" s="1166">
        <f>'House Count'!D914</f>
        <v/>
      </c>
      <c r="F914" s="1166">
        <f>IF(G914="RES-SFU","RESIDENTIAL",IF(G914="RES-HOA","RESIDENTIAL",IF(G914="RES-MDU","RESIDENTIAL",IF(G914="COMM-SU","BUSINESS",IF(G914="COM-MTU","BUSINESS",IF(G914="ENT","BUSINESS",""))))))</f>
        <v/>
      </c>
      <c r="G914" s="1166">
        <f>'House Count'!F914</f>
        <v/>
      </c>
      <c r="H914" s="1166">
        <f>'House Count'!H914</f>
        <v/>
      </c>
    </row>
    <row r="915">
      <c r="A915" s="1165">
        <f>'House Count'!A915</f>
        <v/>
      </c>
      <c r="B915" s="1166">
        <f>'House Count'!E915</f>
        <v/>
      </c>
      <c r="C915" s="1166">
        <f>'House Count'!B915</f>
        <v/>
      </c>
      <c r="D915" s="1166">
        <f>'House Count'!C915</f>
        <v/>
      </c>
      <c r="E915" s="1166">
        <f>'House Count'!D915</f>
        <v/>
      </c>
      <c r="F915" s="1166">
        <f>IF(G915="RES-SFU","RESIDENTIAL",IF(G915="RES-HOA","RESIDENTIAL",IF(G915="RES-MDU","RESIDENTIAL",IF(G915="COMM-SU","BUSINESS",IF(G915="COM-MTU","BUSINESS",IF(G915="ENT","BUSINESS",""))))))</f>
        <v/>
      </c>
      <c r="G915" s="1166">
        <f>'House Count'!F915</f>
        <v/>
      </c>
      <c r="H915" s="1166">
        <f>'House Count'!H915</f>
        <v/>
      </c>
    </row>
    <row r="916">
      <c r="A916" s="1165">
        <f>'House Count'!A916</f>
        <v/>
      </c>
      <c r="B916" s="1166">
        <f>'House Count'!E916</f>
        <v/>
      </c>
      <c r="C916" s="1166">
        <f>'House Count'!B916</f>
        <v/>
      </c>
      <c r="D916" s="1166">
        <f>'House Count'!C916</f>
        <v/>
      </c>
      <c r="E916" s="1166">
        <f>'House Count'!D916</f>
        <v/>
      </c>
      <c r="F916" s="1166">
        <f>IF(G916="RES-SFU","RESIDENTIAL",IF(G916="RES-HOA","RESIDENTIAL",IF(G916="RES-MDU","RESIDENTIAL",IF(G916="COMM-SU","BUSINESS",IF(G916="COM-MTU","BUSINESS",IF(G916="ENT","BUSINESS",""))))))</f>
        <v/>
      </c>
      <c r="G916" s="1166">
        <f>'House Count'!F916</f>
        <v/>
      </c>
      <c r="H916" s="1166">
        <f>'House Count'!H916</f>
        <v/>
      </c>
    </row>
    <row r="917">
      <c r="A917" s="1165">
        <f>'House Count'!A917</f>
        <v/>
      </c>
      <c r="B917" s="1166">
        <f>'House Count'!E917</f>
        <v/>
      </c>
      <c r="C917" s="1166">
        <f>'House Count'!B917</f>
        <v/>
      </c>
      <c r="D917" s="1166">
        <f>'House Count'!C917</f>
        <v/>
      </c>
      <c r="E917" s="1166">
        <f>'House Count'!D917</f>
        <v/>
      </c>
      <c r="F917" s="1166">
        <f>IF(G917="RES-SFU","RESIDENTIAL",IF(G917="RES-HOA","RESIDENTIAL",IF(G917="RES-MDU","RESIDENTIAL",IF(G917="COMM-SU","BUSINESS",IF(G917="COM-MTU","BUSINESS",IF(G917="ENT","BUSINESS",""))))))</f>
        <v/>
      </c>
      <c r="G917" s="1166">
        <f>'House Count'!F917</f>
        <v/>
      </c>
      <c r="H917" s="1166">
        <f>'House Count'!H917</f>
        <v/>
      </c>
    </row>
    <row r="918">
      <c r="A918" s="1165">
        <f>'House Count'!A918</f>
        <v/>
      </c>
      <c r="B918" s="1166">
        <f>'House Count'!E918</f>
        <v/>
      </c>
      <c r="C918" s="1166">
        <f>'House Count'!B918</f>
        <v/>
      </c>
      <c r="D918" s="1166">
        <f>'House Count'!C918</f>
        <v/>
      </c>
      <c r="E918" s="1166">
        <f>'House Count'!D918</f>
        <v/>
      </c>
      <c r="F918" s="1166">
        <f>IF(G918="RES-SFU","RESIDENTIAL",IF(G918="RES-HOA","RESIDENTIAL",IF(G918="RES-MDU","RESIDENTIAL",IF(G918="COMM-SU","BUSINESS",IF(G918="COM-MTU","BUSINESS",IF(G918="ENT","BUSINESS",""))))))</f>
        <v/>
      </c>
      <c r="G918" s="1166">
        <f>'House Count'!F918</f>
        <v/>
      </c>
      <c r="H918" s="1166">
        <f>'House Count'!H918</f>
        <v/>
      </c>
    </row>
    <row r="919">
      <c r="A919" s="1165">
        <f>'House Count'!A919</f>
        <v/>
      </c>
      <c r="B919" s="1166">
        <f>'House Count'!E919</f>
        <v/>
      </c>
      <c r="C919" s="1166">
        <f>'House Count'!B919</f>
        <v/>
      </c>
      <c r="D919" s="1166">
        <f>'House Count'!C919</f>
        <v/>
      </c>
      <c r="E919" s="1166">
        <f>'House Count'!D919</f>
        <v/>
      </c>
      <c r="F919" s="1166">
        <f>IF(G919="RES-SFU","RESIDENTIAL",IF(G919="RES-HOA","RESIDENTIAL",IF(G919="RES-MDU","RESIDENTIAL",IF(G919="COMM-SU","BUSINESS",IF(G919="COM-MTU","BUSINESS",IF(G919="ENT","BUSINESS",""))))))</f>
        <v/>
      </c>
      <c r="G919" s="1166">
        <f>'House Count'!F919</f>
        <v/>
      </c>
      <c r="H919" s="1166">
        <f>'House Count'!H919</f>
        <v/>
      </c>
    </row>
    <row r="920">
      <c r="A920" s="1165">
        <f>'House Count'!A920</f>
        <v/>
      </c>
      <c r="B920" s="1166">
        <f>'House Count'!E920</f>
        <v/>
      </c>
      <c r="C920" s="1166">
        <f>'House Count'!B920</f>
        <v/>
      </c>
      <c r="D920" s="1166">
        <f>'House Count'!C920</f>
        <v/>
      </c>
      <c r="E920" s="1166">
        <f>'House Count'!D920</f>
        <v/>
      </c>
      <c r="F920" s="1166">
        <f>IF(G920="RES-SFU","RESIDENTIAL",IF(G920="RES-HOA","RESIDENTIAL",IF(G920="RES-MDU","RESIDENTIAL",IF(G920="COMM-SU","BUSINESS",IF(G920="COM-MTU","BUSINESS",IF(G920="ENT","BUSINESS",""))))))</f>
        <v/>
      </c>
      <c r="G920" s="1166">
        <f>'House Count'!F920</f>
        <v/>
      </c>
      <c r="H920" s="1166">
        <f>'House Count'!H920</f>
        <v/>
      </c>
    </row>
    <row r="921">
      <c r="A921" s="1165">
        <f>'House Count'!A921</f>
        <v/>
      </c>
      <c r="B921" s="1166">
        <f>'House Count'!E921</f>
        <v/>
      </c>
      <c r="C921" s="1166">
        <f>'House Count'!B921</f>
        <v/>
      </c>
      <c r="D921" s="1166">
        <f>'House Count'!C921</f>
        <v/>
      </c>
      <c r="E921" s="1166">
        <f>'House Count'!D921</f>
        <v/>
      </c>
      <c r="F921" s="1166">
        <f>IF(G921="RES-SFU","RESIDENTIAL",IF(G921="RES-HOA","RESIDENTIAL",IF(G921="RES-MDU","RESIDENTIAL",IF(G921="COMM-SU","BUSINESS",IF(G921="COM-MTU","BUSINESS",IF(G921="ENT","BUSINESS",""))))))</f>
        <v/>
      </c>
      <c r="G921" s="1166">
        <f>'House Count'!F921</f>
        <v/>
      </c>
      <c r="H921" s="1166">
        <f>'House Count'!H921</f>
        <v/>
      </c>
    </row>
    <row r="922">
      <c r="A922" s="1165">
        <f>'House Count'!A922</f>
        <v/>
      </c>
      <c r="B922" s="1166">
        <f>'House Count'!E922</f>
        <v/>
      </c>
      <c r="C922" s="1166">
        <f>'House Count'!B922</f>
        <v/>
      </c>
      <c r="D922" s="1166">
        <f>'House Count'!C922</f>
        <v/>
      </c>
      <c r="E922" s="1166">
        <f>'House Count'!D922</f>
        <v/>
      </c>
      <c r="F922" s="1166">
        <f>IF(G922="RES-SFU","RESIDENTIAL",IF(G922="RES-HOA","RESIDENTIAL",IF(G922="RES-MDU","RESIDENTIAL",IF(G922="COMM-SU","BUSINESS",IF(G922="COM-MTU","BUSINESS",IF(G922="ENT","BUSINESS",""))))))</f>
        <v/>
      </c>
      <c r="G922" s="1166">
        <f>'House Count'!F922</f>
        <v/>
      </c>
      <c r="H922" s="1166">
        <f>'House Count'!H922</f>
        <v/>
      </c>
    </row>
    <row r="923">
      <c r="A923" s="1165">
        <f>'House Count'!A923</f>
        <v/>
      </c>
      <c r="B923" s="1166">
        <f>'House Count'!E923</f>
        <v/>
      </c>
      <c r="C923" s="1166">
        <f>'House Count'!B923</f>
        <v/>
      </c>
      <c r="D923" s="1166">
        <f>'House Count'!C923</f>
        <v/>
      </c>
      <c r="E923" s="1166">
        <f>'House Count'!D923</f>
        <v/>
      </c>
      <c r="F923" s="1166">
        <f>IF(G923="RES-SFU","RESIDENTIAL",IF(G923="RES-HOA","RESIDENTIAL",IF(G923="RES-MDU","RESIDENTIAL",IF(G923="COMM-SU","BUSINESS",IF(G923="COM-MTU","BUSINESS",IF(G923="ENT","BUSINESS",""))))))</f>
        <v/>
      </c>
      <c r="G923" s="1166">
        <f>'House Count'!F923</f>
        <v/>
      </c>
      <c r="H923" s="1166">
        <f>'House Count'!H923</f>
        <v/>
      </c>
    </row>
    <row r="924">
      <c r="A924" s="1165">
        <f>'House Count'!A924</f>
        <v/>
      </c>
      <c r="B924" s="1166">
        <f>'House Count'!E924</f>
        <v/>
      </c>
      <c r="C924" s="1166">
        <f>'House Count'!B924</f>
        <v/>
      </c>
      <c r="D924" s="1166">
        <f>'House Count'!C924</f>
        <v/>
      </c>
      <c r="E924" s="1166">
        <f>'House Count'!D924</f>
        <v/>
      </c>
      <c r="F924" s="1166">
        <f>IF(G924="RES-SFU","RESIDENTIAL",IF(G924="RES-HOA","RESIDENTIAL",IF(G924="RES-MDU","RESIDENTIAL",IF(G924="COMM-SU","BUSINESS",IF(G924="COM-MTU","BUSINESS",IF(G924="ENT","BUSINESS",""))))))</f>
        <v/>
      </c>
      <c r="G924" s="1166">
        <f>'House Count'!F924</f>
        <v/>
      </c>
      <c r="H924" s="1166">
        <f>'House Count'!H924</f>
        <v/>
      </c>
    </row>
    <row r="925">
      <c r="A925" s="1165">
        <f>'House Count'!A925</f>
        <v/>
      </c>
      <c r="B925" s="1166">
        <f>'House Count'!E925</f>
        <v/>
      </c>
      <c r="C925" s="1166">
        <f>'House Count'!B925</f>
        <v/>
      </c>
      <c r="D925" s="1166">
        <f>'House Count'!C925</f>
        <v/>
      </c>
      <c r="E925" s="1166">
        <f>'House Count'!D925</f>
        <v/>
      </c>
      <c r="F925" s="1166">
        <f>IF(G925="RES-SFU","RESIDENTIAL",IF(G925="RES-HOA","RESIDENTIAL",IF(G925="RES-MDU","RESIDENTIAL",IF(G925="COMM-SU","BUSINESS",IF(G925="COM-MTU","BUSINESS",IF(G925="ENT","BUSINESS",""))))))</f>
        <v/>
      </c>
      <c r="G925" s="1166">
        <f>'House Count'!F925</f>
        <v/>
      </c>
      <c r="H925" s="1166">
        <f>'House Count'!H925</f>
        <v/>
      </c>
    </row>
    <row r="926">
      <c r="A926" s="1165">
        <f>'House Count'!A926</f>
        <v/>
      </c>
      <c r="B926" s="1166">
        <f>'House Count'!E926</f>
        <v/>
      </c>
      <c r="C926" s="1166">
        <f>'House Count'!B926</f>
        <v/>
      </c>
      <c r="D926" s="1166">
        <f>'House Count'!C926</f>
        <v/>
      </c>
      <c r="E926" s="1166">
        <f>'House Count'!D926</f>
        <v/>
      </c>
      <c r="F926" s="1166">
        <f>IF(G926="RES-SFU","RESIDENTIAL",IF(G926="RES-HOA","RESIDENTIAL",IF(G926="RES-MDU","RESIDENTIAL",IF(G926="COMM-SU","BUSINESS",IF(G926="COM-MTU","BUSINESS",IF(G926="ENT","BUSINESS",""))))))</f>
        <v/>
      </c>
      <c r="G926" s="1166">
        <f>'House Count'!F926</f>
        <v/>
      </c>
      <c r="H926" s="1166">
        <f>'House Count'!H926</f>
        <v/>
      </c>
    </row>
    <row r="927">
      <c r="A927" s="1165">
        <f>'House Count'!A927</f>
        <v/>
      </c>
      <c r="B927" s="1166">
        <f>'House Count'!E927</f>
        <v/>
      </c>
      <c r="C927" s="1166">
        <f>'House Count'!B927</f>
        <v/>
      </c>
      <c r="D927" s="1166">
        <f>'House Count'!C927</f>
        <v/>
      </c>
      <c r="E927" s="1166">
        <f>'House Count'!D927</f>
        <v/>
      </c>
      <c r="F927" s="1166">
        <f>IF(G927="RES-SFU","RESIDENTIAL",IF(G927="RES-HOA","RESIDENTIAL",IF(G927="RES-MDU","RESIDENTIAL",IF(G927="COMM-SU","BUSINESS",IF(G927="COM-MTU","BUSINESS",IF(G927="ENT","BUSINESS",""))))))</f>
        <v/>
      </c>
      <c r="G927" s="1166">
        <f>'House Count'!F927</f>
        <v/>
      </c>
      <c r="H927" s="1166">
        <f>'House Count'!H927</f>
        <v/>
      </c>
    </row>
    <row r="928">
      <c r="A928" s="1165">
        <f>'House Count'!A928</f>
        <v/>
      </c>
      <c r="B928" s="1166">
        <f>'House Count'!E928</f>
        <v/>
      </c>
      <c r="C928" s="1166">
        <f>'House Count'!B928</f>
        <v/>
      </c>
      <c r="D928" s="1166">
        <f>'House Count'!C928</f>
        <v/>
      </c>
      <c r="E928" s="1166">
        <f>'House Count'!D928</f>
        <v/>
      </c>
      <c r="F928" s="1166">
        <f>IF(G928="RES-SFU","RESIDENTIAL",IF(G928="RES-HOA","RESIDENTIAL",IF(G928="RES-MDU","RESIDENTIAL",IF(G928="COMM-SU","BUSINESS",IF(G928="COM-MTU","BUSINESS",IF(G928="ENT","BUSINESS",""))))))</f>
        <v/>
      </c>
      <c r="G928" s="1166">
        <f>'House Count'!F928</f>
        <v/>
      </c>
      <c r="H928" s="1166">
        <f>'House Count'!H928</f>
        <v/>
      </c>
    </row>
    <row r="929">
      <c r="A929" s="1165">
        <f>'House Count'!A929</f>
        <v/>
      </c>
      <c r="B929" s="1166">
        <f>'House Count'!E929</f>
        <v/>
      </c>
      <c r="C929" s="1166">
        <f>'House Count'!B929</f>
        <v/>
      </c>
      <c r="D929" s="1166">
        <f>'House Count'!C929</f>
        <v/>
      </c>
      <c r="E929" s="1166">
        <f>'House Count'!D929</f>
        <v/>
      </c>
      <c r="F929" s="1166">
        <f>IF(G929="RES-SFU","RESIDENTIAL",IF(G929="RES-HOA","RESIDENTIAL",IF(G929="RES-MDU","RESIDENTIAL",IF(G929="COMM-SU","BUSINESS",IF(G929="COM-MTU","BUSINESS",IF(G929="ENT","BUSINESS",""))))))</f>
        <v/>
      </c>
      <c r="G929" s="1166">
        <f>'House Count'!F929</f>
        <v/>
      </c>
      <c r="H929" s="1166">
        <f>'House Count'!H929</f>
        <v/>
      </c>
    </row>
    <row r="930">
      <c r="A930" s="1165">
        <f>'House Count'!A930</f>
        <v/>
      </c>
      <c r="B930" s="1166">
        <f>'House Count'!E930</f>
        <v/>
      </c>
      <c r="C930" s="1166">
        <f>'House Count'!B930</f>
        <v/>
      </c>
      <c r="D930" s="1166">
        <f>'House Count'!C930</f>
        <v/>
      </c>
      <c r="E930" s="1166">
        <f>'House Count'!D930</f>
        <v/>
      </c>
      <c r="F930" s="1166">
        <f>IF(G930="RES-SFU","RESIDENTIAL",IF(G930="RES-HOA","RESIDENTIAL",IF(G930="RES-MDU","RESIDENTIAL",IF(G930="COMM-SU","BUSINESS",IF(G930="COM-MTU","BUSINESS",IF(G930="ENT","BUSINESS",""))))))</f>
        <v/>
      </c>
      <c r="G930" s="1166">
        <f>'House Count'!F930</f>
        <v/>
      </c>
      <c r="H930" s="1166">
        <f>'House Count'!H930</f>
        <v/>
      </c>
    </row>
    <row r="931">
      <c r="A931" s="1165">
        <f>'House Count'!A931</f>
        <v/>
      </c>
      <c r="B931" s="1166">
        <f>'House Count'!E931</f>
        <v/>
      </c>
      <c r="C931" s="1166">
        <f>'House Count'!B931</f>
        <v/>
      </c>
      <c r="D931" s="1166">
        <f>'House Count'!C931</f>
        <v/>
      </c>
      <c r="E931" s="1166">
        <f>'House Count'!D931</f>
        <v/>
      </c>
      <c r="F931" s="1166">
        <f>IF(G931="RES-SFU","RESIDENTIAL",IF(G931="RES-HOA","RESIDENTIAL",IF(G931="RES-MDU","RESIDENTIAL",IF(G931="COMM-SU","BUSINESS",IF(G931="COM-MTU","BUSINESS",IF(G931="ENT","BUSINESS",""))))))</f>
        <v/>
      </c>
      <c r="G931" s="1166">
        <f>'House Count'!F931</f>
        <v/>
      </c>
      <c r="H931" s="1166">
        <f>'House Count'!H931</f>
        <v/>
      </c>
    </row>
    <row r="932">
      <c r="A932" s="1165">
        <f>'House Count'!A932</f>
        <v/>
      </c>
      <c r="B932" s="1166">
        <f>'House Count'!E932</f>
        <v/>
      </c>
      <c r="C932" s="1166">
        <f>'House Count'!B932</f>
        <v/>
      </c>
      <c r="D932" s="1166">
        <f>'House Count'!C932</f>
        <v/>
      </c>
      <c r="E932" s="1166">
        <f>'House Count'!D932</f>
        <v/>
      </c>
      <c r="F932" s="1166">
        <f>IF(G932="RES-SFU","RESIDENTIAL",IF(G932="RES-HOA","RESIDENTIAL",IF(G932="RES-MDU","RESIDENTIAL",IF(G932="COMM-SU","BUSINESS",IF(G932="COM-MTU","BUSINESS",IF(G932="ENT","BUSINESS",""))))))</f>
        <v/>
      </c>
      <c r="G932" s="1166">
        <f>'House Count'!F932</f>
        <v/>
      </c>
      <c r="H932" s="1166">
        <f>'House Count'!H932</f>
        <v/>
      </c>
    </row>
    <row r="933">
      <c r="A933" s="1165">
        <f>'House Count'!A933</f>
        <v/>
      </c>
      <c r="B933" s="1166">
        <f>'House Count'!E933</f>
        <v/>
      </c>
      <c r="C933" s="1166">
        <f>'House Count'!B933</f>
        <v/>
      </c>
      <c r="D933" s="1166">
        <f>'House Count'!C933</f>
        <v/>
      </c>
      <c r="E933" s="1166">
        <f>'House Count'!D933</f>
        <v/>
      </c>
      <c r="F933" s="1166">
        <f>IF(G933="RES-SFU","RESIDENTIAL",IF(G933="RES-HOA","RESIDENTIAL",IF(G933="RES-MDU","RESIDENTIAL",IF(G933="COMM-SU","BUSINESS",IF(G933="COM-MTU","BUSINESS",IF(G933="ENT","BUSINESS",""))))))</f>
        <v/>
      </c>
      <c r="G933" s="1166">
        <f>'House Count'!F933</f>
        <v/>
      </c>
      <c r="H933" s="1166">
        <f>'House Count'!H933</f>
        <v/>
      </c>
    </row>
    <row r="934">
      <c r="A934" s="1165">
        <f>'House Count'!A934</f>
        <v/>
      </c>
      <c r="B934" s="1166">
        <f>'House Count'!E934</f>
        <v/>
      </c>
      <c r="C934" s="1166">
        <f>'House Count'!B934</f>
        <v/>
      </c>
      <c r="D934" s="1166">
        <f>'House Count'!C934</f>
        <v/>
      </c>
      <c r="E934" s="1166">
        <f>'House Count'!D934</f>
        <v/>
      </c>
      <c r="F934" s="1166">
        <f>IF(G934="RES-SFU","RESIDENTIAL",IF(G934="RES-HOA","RESIDENTIAL",IF(G934="RES-MDU","RESIDENTIAL",IF(G934="COMM-SU","BUSINESS",IF(G934="COM-MTU","BUSINESS",IF(G934="ENT","BUSINESS",""))))))</f>
        <v/>
      </c>
      <c r="G934" s="1166">
        <f>'House Count'!F934</f>
        <v/>
      </c>
      <c r="H934" s="1166">
        <f>'House Count'!H934</f>
        <v/>
      </c>
    </row>
    <row r="935">
      <c r="A935" s="1165">
        <f>'House Count'!A935</f>
        <v/>
      </c>
      <c r="B935" s="1166">
        <f>'House Count'!E935</f>
        <v/>
      </c>
      <c r="C935" s="1166">
        <f>'House Count'!B935</f>
        <v/>
      </c>
      <c r="D935" s="1166">
        <f>'House Count'!C935</f>
        <v/>
      </c>
      <c r="E935" s="1166">
        <f>'House Count'!D935</f>
        <v/>
      </c>
      <c r="F935" s="1166">
        <f>IF(G935="RES-SFU","RESIDENTIAL",IF(G935="RES-HOA","RESIDENTIAL",IF(G935="RES-MDU","RESIDENTIAL",IF(G935="COMM-SU","BUSINESS",IF(G935="COM-MTU","BUSINESS",IF(G935="ENT","BUSINESS",""))))))</f>
        <v/>
      </c>
      <c r="G935" s="1166">
        <f>'House Count'!F935</f>
        <v/>
      </c>
      <c r="H935" s="1166">
        <f>'House Count'!H935</f>
        <v/>
      </c>
    </row>
    <row r="936">
      <c r="A936" s="1165">
        <f>'House Count'!A936</f>
        <v/>
      </c>
      <c r="B936" s="1166">
        <f>'House Count'!E936</f>
        <v/>
      </c>
      <c r="C936" s="1166">
        <f>'House Count'!B936</f>
        <v/>
      </c>
      <c r="D936" s="1166">
        <f>'House Count'!C936</f>
        <v/>
      </c>
      <c r="E936" s="1166">
        <f>'House Count'!D936</f>
        <v/>
      </c>
      <c r="F936" s="1166">
        <f>IF(G936="RES-SFU","RESIDENTIAL",IF(G936="RES-HOA","RESIDENTIAL",IF(G936="RES-MDU","RESIDENTIAL",IF(G936="COMM-SU","BUSINESS",IF(G936="COM-MTU","BUSINESS",IF(G936="ENT","BUSINESS",""))))))</f>
        <v/>
      </c>
      <c r="G936" s="1166">
        <f>'House Count'!F936</f>
        <v/>
      </c>
      <c r="H936" s="1166">
        <f>'House Count'!H936</f>
        <v/>
      </c>
    </row>
    <row r="937">
      <c r="A937" s="1165">
        <f>'House Count'!A937</f>
        <v/>
      </c>
      <c r="B937" s="1166">
        <f>'House Count'!E937</f>
        <v/>
      </c>
      <c r="C937" s="1166">
        <f>'House Count'!B937</f>
        <v/>
      </c>
      <c r="D937" s="1166">
        <f>'House Count'!C937</f>
        <v/>
      </c>
      <c r="E937" s="1166">
        <f>'House Count'!D937</f>
        <v/>
      </c>
      <c r="F937" s="1166">
        <f>IF(G937="RES-SFU","RESIDENTIAL",IF(G937="RES-HOA","RESIDENTIAL",IF(G937="RES-MDU","RESIDENTIAL",IF(G937="COMM-SU","BUSINESS",IF(G937="COM-MTU","BUSINESS",IF(G937="ENT","BUSINESS",""))))))</f>
        <v/>
      </c>
      <c r="G937" s="1166">
        <f>'House Count'!F937</f>
        <v/>
      </c>
      <c r="H937" s="1166">
        <f>'House Count'!H937</f>
        <v/>
      </c>
    </row>
    <row r="938">
      <c r="A938" s="1165">
        <f>'House Count'!A938</f>
        <v/>
      </c>
      <c r="B938" s="1166">
        <f>'House Count'!E938</f>
        <v/>
      </c>
      <c r="C938" s="1166">
        <f>'House Count'!B938</f>
        <v/>
      </c>
      <c r="D938" s="1166">
        <f>'House Count'!C938</f>
        <v/>
      </c>
      <c r="E938" s="1166">
        <f>'House Count'!D938</f>
        <v/>
      </c>
      <c r="F938" s="1166">
        <f>IF(G938="RES-SFU","RESIDENTIAL",IF(G938="RES-HOA","RESIDENTIAL",IF(G938="RES-MDU","RESIDENTIAL",IF(G938="COMM-SU","BUSINESS",IF(G938="COM-MTU","BUSINESS",IF(G938="ENT","BUSINESS",""))))))</f>
        <v/>
      </c>
      <c r="G938" s="1166">
        <f>'House Count'!F938</f>
        <v/>
      </c>
      <c r="H938" s="1166">
        <f>'House Count'!H938</f>
        <v/>
      </c>
    </row>
    <row r="939">
      <c r="A939" s="1165">
        <f>'House Count'!A939</f>
        <v/>
      </c>
      <c r="B939" s="1166">
        <f>'House Count'!E939</f>
        <v/>
      </c>
      <c r="C939" s="1166">
        <f>'House Count'!B939</f>
        <v/>
      </c>
      <c r="D939" s="1166">
        <f>'House Count'!C939</f>
        <v/>
      </c>
      <c r="E939" s="1166">
        <f>'House Count'!D939</f>
        <v/>
      </c>
      <c r="F939" s="1166">
        <f>IF(G939="RES-SFU","RESIDENTIAL",IF(G939="RES-HOA","RESIDENTIAL",IF(G939="RES-MDU","RESIDENTIAL",IF(G939="COMM-SU","BUSINESS",IF(G939="COM-MTU","BUSINESS",IF(G939="ENT","BUSINESS",""))))))</f>
        <v/>
      </c>
      <c r="G939" s="1166">
        <f>'House Count'!F939</f>
        <v/>
      </c>
      <c r="H939" s="1166">
        <f>'House Count'!H939</f>
        <v/>
      </c>
    </row>
    <row r="940">
      <c r="A940" s="1165">
        <f>'House Count'!A940</f>
        <v/>
      </c>
      <c r="B940" s="1166">
        <f>'House Count'!E940</f>
        <v/>
      </c>
      <c r="C940" s="1166">
        <f>'House Count'!B940</f>
        <v/>
      </c>
      <c r="D940" s="1166">
        <f>'House Count'!C940</f>
        <v/>
      </c>
      <c r="E940" s="1166">
        <f>'House Count'!D940</f>
        <v/>
      </c>
      <c r="F940" s="1166">
        <f>IF(G940="RES-SFU","RESIDENTIAL",IF(G940="RES-HOA","RESIDENTIAL",IF(G940="RES-MDU","RESIDENTIAL",IF(G940="COMM-SU","BUSINESS",IF(G940="COM-MTU","BUSINESS",IF(G940="ENT","BUSINESS",""))))))</f>
        <v/>
      </c>
      <c r="G940" s="1166">
        <f>'House Count'!F940</f>
        <v/>
      </c>
      <c r="H940" s="1166">
        <f>'House Count'!H940</f>
        <v/>
      </c>
    </row>
    <row r="941">
      <c r="A941" s="1165">
        <f>'House Count'!A941</f>
        <v/>
      </c>
      <c r="B941" s="1166">
        <f>'House Count'!E941</f>
        <v/>
      </c>
      <c r="C941" s="1166">
        <f>'House Count'!B941</f>
        <v/>
      </c>
      <c r="D941" s="1166">
        <f>'House Count'!C941</f>
        <v/>
      </c>
      <c r="E941" s="1166">
        <f>'House Count'!D941</f>
        <v/>
      </c>
      <c r="F941" s="1166">
        <f>IF(G941="RES-SFU","RESIDENTIAL",IF(G941="RES-HOA","RESIDENTIAL",IF(G941="RES-MDU","RESIDENTIAL",IF(G941="COMM-SU","BUSINESS",IF(G941="COM-MTU","BUSINESS",IF(G941="ENT","BUSINESS",""))))))</f>
        <v/>
      </c>
      <c r="G941" s="1166">
        <f>'House Count'!F941</f>
        <v/>
      </c>
      <c r="H941" s="1166">
        <f>'House Count'!H941</f>
        <v/>
      </c>
    </row>
    <row r="942">
      <c r="A942" s="1165">
        <f>'House Count'!A942</f>
        <v/>
      </c>
      <c r="B942" s="1166">
        <f>'House Count'!E942</f>
        <v/>
      </c>
      <c r="C942" s="1166">
        <f>'House Count'!B942</f>
        <v/>
      </c>
      <c r="D942" s="1166">
        <f>'House Count'!C942</f>
        <v/>
      </c>
      <c r="E942" s="1166">
        <f>'House Count'!D942</f>
        <v/>
      </c>
      <c r="F942" s="1166">
        <f>IF(G942="RES-SFU","RESIDENTIAL",IF(G942="RES-HOA","RESIDENTIAL",IF(G942="RES-MDU","RESIDENTIAL",IF(G942="COMM-SU","BUSINESS",IF(G942="COM-MTU","BUSINESS",IF(G942="ENT","BUSINESS",""))))))</f>
        <v/>
      </c>
      <c r="G942" s="1166">
        <f>'House Count'!F942</f>
        <v/>
      </c>
      <c r="H942" s="1166">
        <f>'House Count'!H942</f>
        <v/>
      </c>
    </row>
    <row r="943">
      <c r="A943" s="1165">
        <f>'House Count'!A943</f>
        <v/>
      </c>
      <c r="B943" s="1166">
        <f>'House Count'!E943</f>
        <v/>
      </c>
      <c r="C943" s="1166">
        <f>'House Count'!B943</f>
        <v/>
      </c>
      <c r="D943" s="1166">
        <f>'House Count'!C943</f>
        <v/>
      </c>
      <c r="E943" s="1166">
        <f>'House Count'!D943</f>
        <v/>
      </c>
      <c r="F943" s="1166">
        <f>IF(G943="RES-SFU","RESIDENTIAL",IF(G943="RES-HOA","RESIDENTIAL",IF(G943="RES-MDU","RESIDENTIAL",IF(G943="COMM-SU","BUSINESS",IF(G943="COM-MTU","BUSINESS",IF(G943="ENT","BUSINESS",""))))))</f>
        <v/>
      </c>
      <c r="G943" s="1166">
        <f>'House Count'!F943</f>
        <v/>
      </c>
      <c r="H943" s="1166">
        <f>'House Count'!H943</f>
        <v/>
      </c>
    </row>
    <row r="944">
      <c r="A944" s="1165">
        <f>'House Count'!A944</f>
        <v/>
      </c>
      <c r="B944" s="1166">
        <f>'House Count'!E944</f>
        <v/>
      </c>
      <c r="C944" s="1166">
        <f>'House Count'!B944</f>
        <v/>
      </c>
      <c r="D944" s="1166">
        <f>'House Count'!C944</f>
        <v/>
      </c>
      <c r="E944" s="1166">
        <f>'House Count'!D944</f>
        <v/>
      </c>
      <c r="F944" s="1166">
        <f>IF(G944="RES-SFU","RESIDENTIAL",IF(G944="RES-HOA","RESIDENTIAL",IF(G944="RES-MDU","RESIDENTIAL",IF(G944="COMM-SU","BUSINESS",IF(G944="COM-MTU","BUSINESS",IF(G944="ENT","BUSINESS",""))))))</f>
        <v/>
      </c>
      <c r="G944" s="1166">
        <f>'House Count'!F944</f>
        <v/>
      </c>
      <c r="H944" s="1166">
        <f>'House Count'!H944</f>
        <v/>
      </c>
    </row>
    <row r="945">
      <c r="A945" s="1165">
        <f>'House Count'!A945</f>
        <v/>
      </c>
      <c r="B945" s="1166">
        <f>'House Count'!E945</f>
        <v/>
      </c>
      <c r="C945" s="1166">
        <f>'House Count'!B945</f>
        <v/>
      </c>
      <c r="D945" s="1166">
        <f>'House Count'!C945</f>
        <v/>
      </c>
      <c r="E945" s="1166">
        <f>'House Count'!D945</f>
        <v/>
      </c>
      <c r="F945" s="1166">
        <f>IF(G945="RES-SFU","RESIDENTIAL",IF(G945="RES-HOA","RESIDENTIAL",IF(G945="RES-MDU","RESIDENTIAL",IF(G945="COMM-SU","BUSINESS",IF(G945="COM-MTU","BUSINESS",IF(G945="ENT","BUSINESS",""))))))</f>
        <v/>
      </c>
      <c r="G945" s="1166">
        <f>'House Count'!F945</f>
        <v/>
      </c>
      <c r="H945" s="1166">
        <f>'House Count'!H945</f>
        <v/>
      </c>
    </row>
    <row r="946">
      <c r="A946" s="1165">
        <f>'House Count'!A946</f>
        <v/>
      </c>
      <c r="B946" s="1166">
        <f>'House Count'!E946</f>
        <v/>
      </c>
      <c r="C946" s="1166">
        <f>'House Count'!B946</f>
        <v/>
      </c>
      <c r="D946" s="1166">
        <f>'House Count'!C946</f>
        <v/>
      </c>
      <c r="E946" s="1166">
        <f>'House Count'!D946</f>
        <v/>
      </c>
      <c r="F946" s="1166">
        <f>IF(G946="RES-SFU","RESIDENTIAL",IF(G946="RES-HOA","RESIDENTIAL",IF(G946="RES-MDU","RESIDENTIAL",IF(G946="COMM-SU","BUSINESS",IF(G946="COM-MTU","BUSINESS",IF(G946="ENT","BUSINESS",""))))))</f>
        <v/>
      </c>
      <c r="G946" s="1166">
        <f>'House Count'!F946</f>
        <v/>
      </c>
      <c r="H946" s="1166">
        <f>'House Count'!H946</f>
        <v/>
      </c>
    </row>
    <row r="947">
      <c r="A947" s="1165">
        <f>'House Count'!A947</f>
        <v/>
      </c>
      <c r="B947" s="1166">
        <f>'House Count'!E947</f>
        <v/>
      </c>
      <c r="C947" s="1166">
        <f>'House Count'!B947</f>
        <v/>
      </c>
      <c r="D947" s="1166">
        <f>'House Count'!C947</f>
        <v/>
      </c>
      <c r="E947" s="1166">
        <f>'House Count'!D947</f>
        <v/>
      </c>
      <c r="F947" s="1166">
        <f>IF(G947="RES-SFU","RESIDENTIAL",IF(G947="RES-HOA","RESIDENTIAL",IF(G947="RES-MDU","RESIDENTIAL",IF(G947="COMM-SU","BUSINESS",IF(G947="COM-MTU","BUSINESS",IF(G947="ENT","BUSINESS",""))))))</f>
        <v/>
      </c>
      <c r="G947" s="1166">
        <f>'House Count'!F947</f>
        <v/>
      </c>
      <c r="H947" s="1166">
        <f>'House Count'!H947</f>
        <v/>
      </c>
    </row>
    <row r="948">
      <c r="A948" s="1165">
        <f>'House Count'!A948</f>
        <v/>
      </c>
      <c r="B948" s="1166">
        <f>'House Count'!E948</f>
        <v/>
      </c>
      <c r="C948" s="1166">
        <f>'House Count'!B948</f>
        <v/>
      </c>
      <c r="D948" s="1166">
        <f>'House Count'!C948</f>
        <v/>
      </c>
      <c r="E948" s="1166">
        <f>'House Count'!D948</f>
        <v/>
      </c>
      <c r="F948" s="1166">
        <f>IF(G948="RES-SFU","RESIDENTIAL",IF(G948="RES-HOA","RESIDENTIAL",IF(G948="RES-MDU","RESIDENTIAL",IF(G948="COMM-SU","BUSINESS",IF(G948="COM-MTU","BUSINESS",IF(G948="ENT","BUSINESS",""))))))</f>
        <v/>
      </c>
      <c r="G948" s="1166">
        <f>'House Count'!F948</f>
        <v/>
      </c>
      <c r="H948" s="1166">
        <f>'House Count'!H948</f>
        <v/>
      </c>
    </row>
    <row r="949">
      <c r="A949" s="1165">
        <f>'House Count'!A949</f>
        <v/>
      </c>
      <c r="B949" s="1166">
        <f>'House Count'!E949</f>
        <v/>
      </c>
      <c r="C949" s="1166">
        <f>'House Count'!B949</f>
        <v/>
      </c>
      <c r="D949" s="1166">
        <f>'House Count'!C949</f>
        <v/>
      </c>
      <c r="E949" s="1166">
        <f>'House Count'!D949</f>
        <v/>
      </c>
      <c r="F949" s="1166">
        <f>IF(G949="RES-SFU","RESIDENTIAL",IF(G949="RES-HOA","RESIDENTIAL",IF(G949="RES-MDU","RESIDENTIAL",IF(G949="COMM-SU","BUSINESS",IF(G949="COM-MTU","BUSINESS",IF(G949="ENT","BUSINESS",""))))))</f>
        <v/>
      </c>
      <c r="G949" s="1166">
        <f>'House Count'!F949</f>
        <v/>
      </c>
      <c r="H949" s="1166">
        <f>'House Count'!H949</f>
        <v/>
      </c>
    </row>
    <row r="950">
      <c r="A950" s="1165">
        <f>'House Count'!A950</f>
        <v/>
      </c>
      <c r="B950" s="1166">
        <f>'House Count'!E950</f>
        <v/>
      </c>
      <c r="C950" s="1166">
        <f>'House Count'!B950</f>
        <v/>
      </c>
      <c r="D950" s="1166">
        <f>'House Count'!C950</f>
        <v/>
      </c>
      <c r="E950" s="1166">
        <f>'House Count'!D950</f>
        <v/>
      </c>
      <c r="F950" s="1166">
        <f>IF(G950="RES-SFU","RESIDENTIAL",IF(G950="RES-HOA","RESIDENTIAL",IF(G950="RES-MDU","RESIDENTIAL",IF(G950="COMM-SU","BUSINESS",IF(G950="COM-MTU","BUSINESS",IF(G950="ENT","BUSINESS",""))))))</f>
        <v/>
      </c>
      <c r="G950" s="1166">
        <f>'House Count'!F950</f>
        <v/>
      </c>
      <c r="H950" s="1166">
        <f>'House Count'!H950</f>
        <v/>
      </c>
    </row>
    <row r="951">
      <c r="A951" s="1165">
        <f>'House Count'!A951</f>
        <v/>
      </c>
      <c r="B951" s="1166">
        <f>'House Count'!E951</f>
        <v/>
      </c>
      <c r="C951" s="1166">
        <f>'House Count'!B951</f>
        <v/>
      </c>
      <c r="D951" s="1166">
        <f>'House Count'!C951</f>
        <v/>
      </c>
      <c r="E951" s="1166">
        <f>'House Count'!D951</f>
        <v/>
      </c>
      <c r="F951" s="1166">
        <f>IF(G951="RES-SFU","RESIDENTIAL",IF(G951="RES-HOA","RESIDENTIAL",IF(G951="RES-MDU","RESIDENTIAL",IF(G951="COMM-SU","BUSINESS",IF(G951="COM-MTU","BUSINESS",IF(G951="ENT","BUSINESS",""))))))</f>
        <v/>
      </c>
      <c r="G951" s="1166">
        <f>'House Count'!F951</f>
        <v/>
      </c>
      <c r="H951" s="1166">
        <f>'House Count'!H951</f>
        <v/>
      </c>
    </row>
    <row r="952">
      <c r="A952" s="1165">
        <f>'House Count'!A952</f>
        <v/>
      </c>
      <c r="B952" s="1166">
        <f>'House Count'!E952</f>
        <v/>
      </c>
      <c r="C952" s="1166">
        <f>'House Count'!B952</f>
        <v/>
      </c>
      <c r="D952" s="1166">
        <f>'House Count'!C952</f>
        <v/>
      </c>
      <c r="E952" s="1166">
        <f>'House Count'!D952</f>
        <v/>
      </c>
      <c r="F952" s="1166">
        <f>IF(G952="RES-SFU","RESIDENTIAL",IF(G952="RES-HOA","RESIDENTIAL",IF(G952="RES-MDU","RESIDENTIAL",IF(G952="COMM-SU","BUSINESS",IF(G952="COM-MTU","BUSINESS",IF(G952="ENT","BUSINESS",""))))))</f>
        <v/>
      </c>
      <c r="G952" s="1166">
        <f>'House Count'!F952</f>
        <v/>
      </c>
      <c r="H952" s="1166">
        <f>'House Count'!H952</f>
        <v/>
      </c>
    </row>
    <row r="953">
      <c r="A953" s="1165">
        <f>'House Count'!A953</f>
        <v/>
      </c>
      <c r="B953" s="1166">
        <f>'House Count'!E953</f>
        <v/>
      </c>
      <c r="C953" s="1166">
        <f>'House Count'!B953</f>
        <v/>
      </c>
      <c r="D953" s="1166">
        <f>'House Count'!C953</f>
        <v/>
      </c>
      <c r="E953" s="1166">
        <f>'House Count'!D953</f>
        <v/>
      </c>
      <c r="F953" s="1166">
        <f>IF(G953="RES-SFU","RESIDENTIAL",IF(G953="RES-HOA","RESIDENTIAL",IF(G953="RES-MDU","RESIDENTIAL",IF(G953="COMM-SU","BUSINESS",IF(G953="COM-MTU","BUSINESS",IF(G953="ENT","BUSINESS",""))))))</f>
        <v/>
      </c>
      <c r="G953" s="1166">
        <f>'House Count'!F953</f>
        <v/>
      </c>
      <c r="H953" s="1166">
        <f>'House Count'!H953</f>
        <v/>
      </c>
    </row>
    <row r="954">
      <c r="A954" s="1165">
        <f>'House Count'!A954</f>
        <v/>
      </c>
      <c r="B954" s="1166">
        <f>'House Count'!E954</f>
        <v/>
      </c>
      <c r="C954" s="1166">
        <f>'House Count'!B954</f>
        <v/>
      </c>
      <c r="D954" s="1166">
        <f>'House Count'!C954</f>
        <v/>
      </c>
      <c r="E954" s="1166">
        <f>'House Count'!D954</f>
        <v/>
      </c>
      <c r="F954" s="1166">
        <f>IF(G954="RES-SFU","RESIDENTIAL",IF(G954="RES-HOA","RESIDENTIAL",IF(G954="RES-MDU","RESIDENTIAL",IF(G954="COMM-SU","BUSINESS",IF(G954="COM-MTU","BUSINESS",IF(G954="ENT","BUSINESS",""))))))</f>
        <v/>
      </c>
      <c r="G954" s="1166">
        <f>'House Count'!F954</f>
        <v/>
      </c>
      <c r="H954" s="1166">
        <f>'House Count'!H954</f>
        <v/>
      </c>
    </row>
    <row r="955">
      <c r="A955" s="1165">
        <f>'House Count'!A955</f>
        <v/>
      </c>
      <c r="B955" s="1166">
        <f>'House Count'!E955</f>
        <v/>
      </c>
      <c r="C955" s="1166">
        <f>'House Count'!B955</f>
        <v/>
      </c>
      <c r="D955" s="1166">
        <f>'House Count'!C955</f>
        <v/>
      </c>
      <c r="E955" s="1166">
        <f>'House Count'!D955</f>
        <v/>
      </c>
      <c r="F955" s="1166">
        <f>IF(G955="RES-SFU","RESIDENTIAL",IF(G955="RES-HOA","RESIDENTIAL",IF(G955="RES-MDU","RESIDENTIAL",IF(G955="COMM-SU","BUSINESS",IF(G955="COM-MTU","BUSINESS",IF(G955="ENT","BUSINESS",""))))))</f>
        <v/>
      </c>
      <c r="G955" s="1166">
        <f>'House Count'!F955</f>
        <v/>
      </c>
      <c r="H955" s="1166">
        <f>'House Count'!H955</f>
        <v/>
      </c>
    </row>
    <row r="956">
      <c r="A956" s="1165">
        <f>'House Count'!A956</f>
        <v/>
      </c>
      <c r="B956" s="1166">
        <f>'House Count'!E956</f>
        <v/>
      </c>
      <c r="C956" s="1166">
        <f>'House Count'!B956</f>
        <v/>
      </c>
      <c r="D956" s="1166">
        <f>'House Count'!C956</f>
        <v/>
      </c>
      <c r="E956" s="1166">
        <f>'House Count'!D956</f>
        <v/>
      </c>
      <c r="F956" s="1166">
        <f>IF(G956="RES-SFU","RESIDENTIAL",IF(G956="RES-HOA","RESIDENTIAL",IF(G956="RES-MDU","RESIDENTIAL",IF(G956="COMM-SU","BUSINESS",IF(G956="COM-MTU","BUSINESS",IF(G956="ENT","BUSINESS",""))))))</f>
        <v/>
      </c>
      <c r="G956" s="1166">
        <f>'House Count'!F956</f>
        <v/>
      </c>
      <c r="H956" s="1166">
        <f>'House Count'!H956</f>
        <v/>
      </c>
    </row>
    <row r="957">
      <c r="A957" s="1165">
        <f>'House Count'!A957</f>
        <v/>
      </c>
      <c r="B957" s="1166">
        <f>'House Count'!E957</f>
        <v/>
      </c>
      <c r="C957" s="1166">
        <f>'House Count'!B957</f>
        <v/>
      </c>
      <c r="D957" s="1166">
        <f>'House Count'!C957</f>
        <v/>
      </c>
      <c r="E957" s="1166">
        <f>'House Count'!D957</f>
        <v/>
      </c>
      <c r="F957" s="1166">
        <f>IF(G957="RES-SFU","RESIDENTIAL",IF(G957="RES-HOA","RESIDENTIAL",IF(G957="RES-MDU","RESIDENTIAL",IF(G957="COMM-SU","BUSINESS",IF(G957="COM-MTU","BUSINESS",IF(G957="ENT","BUSINESS",""))))))</f>
        <v/>
      </c>
      <c r="G957" s="1166">
        <f>'House Count'!F957</f>
        <v/>
      </c>
      <c r="H957" s="1166">
        <f>'House Count'!H957</f>
        <v/>
      </c>
    </row>
    <row r="958">
      <c r="A958" s="1165">
        <f>'House Count'!A958</f>
        <v/>
      </c>
      <c r="B958" s="1166">
        <f>'House Count'!E958</f>
        <v/>
      </c>
      <c r="C958" s="1166">
        <f>'House Count'!B958</f>
        <v/>
      </c>
      <c r="D958" s="1166">
        <f>'House Count'!C958</f>
        <v/>
      </c>
      <c r="E958" s="1166">
        <f>'House Count'!D958</f>
        <v/>
      </c>
      <c r="F958" s="1166">
        <f>IF(G958="RES-SFU","RESIDENTIAL",IF(G958="RES-HOA","RESIDENTIAL",IF(G958="RES-MDU","RESIDENTIAL",IF(G958="COMM-SU","BUSINESS",IF(G958="COM-MTU","BUSINESS",IF(G958="ENT","BUSINESS",""))))))</f>
        <v/>
      </c>
      <c r="G958" s="1166">
        <f>'House Count'!F958</f>
        <v/>
      </c>
      <c r="H958" s="1166">
        <f>'House Count'!H958</f>
        <v/>
      </c>
    </row>
    <row r="959">
      <c r="A959" s="1165">
        <f>'House Count'!A959</f>
        <v/>
      </c>
      <c r="B959" s="1166">
        <f>'House Count'!E959</f>
        <v/>
      </c>
      <c r="C959" s="1166">
        <f>'House Count'!B959</f>
        <v/>
      </c>
      <c r="D959" s="1166">
        <f>'House Count'!C959</f>
        <v/>
      </c>
      <c r="E959" s="1166">
        <f>'House Count'!D959</f>
        <v/>
      </c>
      <c r="F959" s="1166">
        <f>IF(G959="RES-SFU","RESIDENTIAL",IF(G959="RES-HOA","RESIDENTIAL",IF(G959="RES-MDU","RESIDENTIAL",IF(G959="COMM-SU","BUSINESS",IF(G959="COM-MTU","BUSINESS",IF(G959="ENT","BUSINESS",""))))))</f>
        <v/>
      </c>
      <c r="G959" s="1166">
        <f>'House Count'!F959</f>
        <v/>
      </c>
      <c r="H959" s="1166">
        <f>'House Count'!H959</f>
        <v/>
      </c>
    </row>
    <row r="960">
      <c r="A960" s="1165">
        <f>'House Count'!A960</f>
        <v/>
      </c>
      <c r="B960" s="1166">
        <f>'House Count'!E960</f>
        <v/>
      </c>
      <c r="C960" s="1166">
        <f>'House Count'!B960</f>
        <v/>
      </c>
      <c r="D960" s="1166">
        <f>'House Count'!C960</f>
        <v/>
      </c>
      <c r="E960" s="1166">
        <f>'House Count'!D960</f>
        <v/>
      </c>
      <c r="F960" s="1166">
        <f>IF(G960="RES-SFU","RESIDENTIAL",IF(G960="RES-HOA","RESIDENTIAL",IF(G960="RES-MDU","RESIDENTIAL",IF(G960="COMM-SU","BUSINESS",IF(G960="COM-MTU","BUSINESS",IF(G960="ENT","BUSINESS",""))))))</f>
        <v/>
      </c>
      <c r="G960" s="1166">
        <f>'House Count'!F960</f>
        <v/>
      </c>
      <c r="H960" s="1166">
        <f>'House Count'!H960</f>
        <v/>
      </c>
    </row>
    <row r="961">
      <c r="A961" s="1165">
        <f>'House Count'!A961</f>
        <v/>
      </c>
      <c r="B961" s="1166">
        <f>'House Count'!E961</f>
        <v/>
      </c>
      <c r="C961" s="1166">
        <f>'House Count'!B961</f>
        <v/>
      </c>
      <c r="D961" s="1166">
        <f>'House Count'!C961</f>
        <v/>
      </c>
      <c r="E961" s="1166">
        <f>'House Count'!D961</f>
        <v/>
      </c>
      <c r="F961" s="1166">
        <f>IF(G961="RES-SFU","RESIDENTIAL",IF(G961="RES-HOA","RESIDENTIAL",IF(G961="RES-MDU","RESIDENTIAL",IF(G961="COMM-SU","BUSINESS",IF(G961="COM-MTU","BUSINESS",IF(G961="ENT","BUSINESS",""))))))</f>
        <v/>
      </c>
      <c r="G961" s="1166">
        <f>'House Count'!F961</f>
        <v/>
      </c>
      <c r="H961" s="1166">
        <f>'House Count'!H961</f>
        <v/>
      </c>
    </row>
    <row r="962">
      <c r="A962" s="1165">
        <f>'House Count'!A962</f>
        <v/>
      </c>
      <c r="B962" s="1166">
        <f>'House Count'!E962</f>
        <v/>
      </c>
      <c r="C962" s="1166">
        <f>'House Count'!B962</f>
        <v/>
      </c>
      <c r="D962" s="1166">
        <f>'House Count'!C962</f>
        <v/>
      </c>
      <c r="E962" s="1166">
        <f>'House Count'!D962</f>
        <v/>
      </c>
      <c r="F962" s="1166">
        <f>IF(G962="RES-SFU","RESIDENTIAL",IF(G962="RES-HOA","RESIDENTIAL",IF(G962="RES-MDU","RESIDENTIAL",IF(G962="COMM-SU","BUSINESS",IF(G962="COM-MTU","BUSINESS",IF(G962="ENT","BUSINESS",""))))))</f>
        <v/>
      </c>
      <c r="G962" s="1166">
        <f>'House Count'!F962</f>
        <v/>
      </c>
      <c r="H962" s="1166">
        <f>'House Count'!H962</f>
        <v/>
      </c>
    </row>
    <row r="963">
      <c r="A963" s="1165">
        <f>'House Count'!A963</f>
        <v/>
      </c>
      <c r="B963" s="1166">
        <f>'House Count'!E963</f>
        <v/>
      </c>
      <c r="C963" s="1166">
        <f>'House Count'!B963</f>
        <v/>
      </c>
      <c r="D963" s="1166">
        <f>'House Count'!C963</f>
        <v/>
      </c>
      <c r="E963" s="1166">
        <f>'House Count'!D963</f>
        <v/>
      </c>
      <c r="F963" s="1166">
        <f>IF(G963="RES-SFU","RESIDENTIAL",IF(G963="RES-HOA","RESIDENTIAL",IF(G963="RES-MDU","RESIDENTIAL",IF(G963="COMM-SU","BUSINESS",IF(G963="COM-MTU","BUSINESS",IF(G963="ENT","BUSINESS",""))))))</f>
        <v/>
      </c>
      <c r="G963" s="1166">
        <f>'House Count'!F963</f>
        <v/>
      </c>
      <c r="H963" s="1166">
        <f>'House Count'!H963</f>
        <v/>
      </c>
    </row>
    <row r="964">
      <c r="A964" s="1165">
        <f>'House Count'!A964</f>
        <v/>
      </c>
      <c r="B964" s="1166">
        <f>'House Count'!E964</f>
        <v/>
      </c>
      <c r="C964" s="1166">
        <f>'House Count'!B964</f>
        <v/>
      </c>
      <c r="D964" s="1166">
        <f>'House Count'!C964</f>
        <v/>
      </c>
      <c r="E964" s="1166">
        <f>'House Count'!D964</f>
        <v/>
      </c>
      <c r="F964" s="1166">
        <f>IF(G964="RES-SFU","RESIDENTIAL",IF(G964="RES-HOA","RESIDENTIAL",IF(G964="RES-MDU","RESIDENTIAL",IF(G964="COMM-SU","BUSINESS",IF(G964="COM-MTU","BUSINESS",IF(G964="ENT","BUSINESS",""))))))</f>
        <v/>
      </c>
      <c r="G964" s="1166">
        <f>'House Count'!F964</f>
        <v/>
      </c>
      <c r="H964" s="1166">
        <f>'House Count'!H964</f>
        <v/>
      </c>
    </row>
    <row r="965">
      <c r="A965" s="1165">
        <f>'House Count'!A965</f>
        <v/>
      </c>
      <c r="B965" s="1166">
        <f>'House Count'!E965</f>
        <v/>
      </c>
      <c r="C965" s="1166">
        <f>'House Count'!B965</f>
        <v/>
      </c>
      <c r="D965" s="1166">
        <f>'House Count'!C965</f>
        <v/>
      </c>
      <c r="E965" s="1166">
        <f>'House Count'!D965</f>
        <v/>
      </c>
      <c r="F965" s="1166">
        <f>IF(G965="RES-SFU","RESIDENTIAL",IF(G965="RES-HOA","RESIDENTIAL",IF(G965="RES-MDU","RESIDENTIAL",IF(G965="COMM-SU","BUSINESS",IF(G965="COM-MTU","BUSINESS",IF(G965="ENT","BUSINESS",""))))))</f>
        <v/>
      </c>
      <c r="G965" s="1166">
        <f>'House Count'!F965</f>
        <v/>
      </c>
      <c r="H965" s="1166">
        <f>'House Count'!H965</f>
        <v/>
      </c>
    </row>
    <row r="966">
      <c r="A966" s="1165">
        <f>'House Count'!A966</f>
        <v/>
      </c>
      <c r="B966" s="1166">
        <f>'House Count'!E966</f>
        <v/>
      </c>
      <c r="C966" s="1166">
        <f>'House Count'!B966</f>
        <v/>
      </c>
      <c r="D966" s="1166">
        <f>'House Count'!C966</f>
        <v/>
      </c>
      <c r="E966" s="1166">
        <f>'House Count'!D966</f>
        <v/>
      </c>
      <c r="F966" s="1166">
        <f>IF(G966="RES-SFU","RESIDENTIAL",IF(G966="RES-HOA","RESIDENTIAL",IF(G966="RES-MDU","RESIDENTIAL",IF(G966="COMM-SU","BUSINESS",IF(G966="COM-MTU","BUSINESS",IF(G966="ENT","BUSINESS",""))))))</f>
        <v/>
      </c>
      <c r="G966" s="1166">
        <f>'House Count'!F966</f>
        <v/>
      </c>
      <c r="H966" s="1166">
        <f>'House Count'!H966</f>
        <v/>
      </c>
    </row>
    <row r="967">
      <c r="A967" s="1165">
        <f>'House Count'!A967</f>
        <v/>
      </c>
      <c r="B967" s="1166">
        <f>'House Count'!E967</f>
        <v/>
      </c>
      <c r="C967" s="1166">
        <f>'House Count'!B967</f>
        <v/>
      </c>
      <c r="D967" s="1166">
        <f>'House Count'!C967</f>
        <v/>
      </c>
      <c r="E967" s="1166">
        <f>'House Count'!D967</f>
        <v/>
      </c>
      <c r="F967" s="1166">
        <f>IF(G967="RES-SFU","RESIDENTIAL",IF(G967="RES-HOA","RESIDENTIAL",IF(G967="RES-MDU","RESIDENTIAL",IF(G967="COMM-SU","BUSINESS",IF(G967="COM-MTU","BUSINESS",IF(G967="ENT","BUSINESS",""))))))</f>
        <v/>
      </c>
      <c r="G967" s="1166">
        <f>'House Count'!F967</f>
        <v/>
      </c>
      <c r="H967" s="1166">
        <f>'House Count'!H967</f>
        <v/>
      </c>
    </row>
    <row r="968">
      <c r="A968" s="1165">
        <f>'House Count'!A968</f>
        <v/>
      </c>
      <c r="B968" s="1166">
        <f>'House Count'!E968</f>
        <v/>
      </c>
      <c r="C968" s="1166">
        <f>'House Count'!B968</f>
        <v/>
      </c>
      <c r="D968" s="1166">
        <f>'House Count'!C968</f>
        <v/>
      </c>
      <c r="E968" s="1166">
        <f>'House Count'!D968</f>
        <v/>
      </c>
      <c r="F968" s="1166">
        <f>IF(G968="RES-SFU","RESIDENTIAL",IF(G968="RES-HOA","RESIDENTIAL",IF(G968="RES-MDU","RESIDENTIAL",IF(G968="COMM-SU","BUSINESS",IF(G968="COM-MTU","BUSINESS",IF(G968="ENT","BUSINESS",""))))))</f>
        <v/>
      </c>
      <c r="G968" s="1166">
        <f>'House Count'!F968</f>
        <v/>
      </c>
      <c r="H968" s="1166">
        <f>'House Count'!H968</f>
        <v/>
      </c>
    </row>
    <row r="969">
      <c r="A969" s="1165">
        <f>'House Count'!A969</f>
        <v/>
      </c>
      <c r="B969" s="1166">
        <f>'House Count'!E969</f>
        <v/>
      </c>
      <c r="C969" s="1166">
        <f>'House Count'!B969</f>
        <v/>
      </c>
      <c r="D969" s="1166">
        <f>'House Count'!C969</f>
        <v/>
      </c>
      <c r="E969" s="1166">
        <f>'House Count'!D969</f>
        <v/>
      </c>
      <c r="F969" s="1166">
        <f>IF(G969="RES-SFU","RESIDENTIAL",IF(G969="RES-HOA","RESIDENTIAL",IF(G969="RES-MDU","RESIDENTIAL",IF(G969="COMM-SU","BUSINESS",IF(G969="COM-MTU","BUSINESS",IF(G969="ENT","BUSINESS",""))))))</f>
        <v/>
      </c>
      <c r="G969" s="1166">
        <f>'House Count'!F969</f>
        <v/>
      </c>
      <c r="H969" s="1166">
        <f>'House Count'!H969</f>
        <v/>
      </c>
    </row>
    <row r="970">
      <c r="A970" s="1165">
        <f>'House Count'!A970</f>
        <v/>
      </c>
      <c r="B970" s="1166">
        <f>'House Count'!E970</f>
        <v/>
      </c>
      <c r="C970" s="1166">
        <f>'House Count'!B970</f>
        <v/>
      </c>
      <c r="D970" s="1166">
        <f>'House Count'!C970</f>
        <v/>
      </c>
      <c r="E970" s="1166">
        <f>'House Count'!D970</f>
        <v/>
      </c>
      <c r="F970" s="1166">
        <f>IF(G970="RES-SFU","RESIDENTIAL",IF(G970="RES-HOA","RESIDENTIAL",IF(G970="RES-MDU","RESIDENTIAL",IF(G970="COMM-SU","BUSINESS",IF(G970="COM-MTU","BUSINESS",IF(G970="ENT","BUSINESS",""))))))</f>
        <v/>
      </c>
      <c r="G970" s="1166">
        <f>'House Count'!F970</f>
        <v/>
      </c>
      <c r="H970" s="1166">
        <f>'House Count'!H970</f>
        <v/>
      </c>
    </row>
    <row r="971">
      <c r="A971" s="1165">
        <f>'House Count'!A971</f>
        <v/>
      </c>
      <c r="B971" s="1166">
        <f>'House Count'!E971</f>
        <v/>
      </c>
      <c r="C971" s="1166">
        <f>'House Count'!B971</f>
        <v/>
      </c>
      <c r="D971" s="1166">
        <f>'House Count'!C971</f>
        <v/>
      </c>
      <c r="E971" s="1166">
        <f>'House Count'!D971</f>
        <v/>
      </c>
      <c r="F971" s="1166">
        <f>IF(G971="RES-SFU","RESIDENTIAL",IF(G971="RES-HOA","RESIDENTIAL",IF(G971="RES-MDU","RESIDENTIAL",IF(G971="COMM-SU","BUSINESS",IF(G971="COM-MTU","BUSINESS",IF(G971="ENT","BUSINESS",""))))))</f>
        <v/>
      </c>
      <c r="G971" s="1166">
        <f>'House Count'!F971</f>
        <v/>
      </c>
      <c r="H971" s="1166">
        <f>'House Count'!H971</f>
        <v/>
      </c>
    </row>
    <row r="972">
      <c r="A972" s="1165">
        <f>'House Count'!A972</f>
        <v/>
      </c>
      <c r="B972" s="1166">
        <f>'House Count'!E972</f>
        <v/>
      </c>
      <c r="C972" s="1166">
        <f>'House Count'!B972</f>
        <v/>
      </c>
      <c r="D972" s="1166">
        <f>'House Count'!C972</f>
        <v/>
      </c>
      <c r="E972" s="1166">
        <f>'House Count'!D972</f>
        <v/>
      </c>
      <c r="F972" s="1166">
        <f>IF(G972="RES-SFU","RESIDENTIAL",IF(G972="RES-HOA","RESIDENTIAL",IF(G972="RES-MDU","RESIDENTIAL",IF(G972="COMM-SU","BUSINESS",IF(G972="COM-MTU","BUSINESS",IF(G972="ENT","BUSINESS",""))))))</f>
        <v/>
      </c>
      <c r="G972" s="1166">
        <f>'House Count'!F972</f>
        <v/>
      </c>
      <c r="H972" s="1166">
        <f>'House Count'!H972</f>
        <v/>
      </c>
    </row>
    <row r="973">
      <c r="A973" s="1165">
        <f>'House Count'!A973</f>
        <v/>
      </c>
      <c r="B973" s="1166">
        <f>'House Count'!E973</f>
        <v/>
      </c>
      <c r="C973" s="1166">
        <f>'House Count'!B973</f>
        <v/>
      </c>
      <c r="D973" s="1166">
        <f>'House Count'!C973</f>
        <v/>
      </c>
      <c r="E973" s="1166">
        <f>'House Count'!D973</f>
        <v/>
      </c>
      <c r="F973" s="1166">
        <f>IF(G973="RES-SFU","RESIDENTIAL",IF(G973="RES-HOA","RESIDENTIAL",IF(G973="RES-MDU","RESIDENTIAL",IF(G973="COMM-SU","BUSINESS",IF(G973="COM-MTU","BUSINESS",IF(G973="ENT","BUSINESS",""))))))</f>
        <v/>
      </c>
      <c r="G973" s="1166">
        <f>'House Count'!F973</f>
        <v/>
      </c>
      <c r="H973" s="1166">
        <f>'House Count'!H973</f>
        <v/>
      </c>
    </row>
    <row r="974">
      <c r="A974" s="1165">
        <f>'House Count'!A974</f>
        <v/>
      </c>
      <c r="B974" s="1166">
        <f>'House Count'!E974</f>
        <v/>
      </c>
      <c r="C974" s="1166">
        <f>'House Count'!B974</f>
        <v/>
      </c>
      <c r="D974" s="1166">
        <f>'House Count'!C974</f>
        <v/>
      </c>
      <c r="E974" s="1166">
        <f>'House Count'!D974</f>
        <v/>
      </c>
      <c r="F974" s="1166">
        <f>IF(G974="RES-SFU","RESIDENTIAL",IF(G974="RES-HOA","RESIDENTIAL",IF(G974="RES-MDU","RESIDENTIAL",IF(G974="COMM-SU","BUSINESS",IF(G974="COM-MTU","BUSINESS",IF(G974="ENT","BUSINESS",""))))))</f>
        <v/>
      </c>
      <c r="G974" s="1166">
        <f>'House Count'!F974</f>
        <v/>
      </c>
      <c r="H974" s="1166">
        <f>'House Count'!H974</f>
        <v/>
      </c>
    </row>
    <row r="975">
      <c r="A975" s="1165">
        <f>'House Count'!A975</f>
        <v/>
      </c>
      <c r="B975" s="1166">
        <f>'House Count'!E975</f>
        <v/>
      </c>
      <c r="C975" s="1166">
        <f>'House Count'!B975</f>
        <v/>
      </c>
      <c r="D975" s="1166">
        <f>'House Count'!C975</f>
        <v/>
      </c>
      <c r="E975" s="1166">
        <f>'House Count'!D975</f>
        <v/>
      </c>
      <c r="F975" s="1166">
        <f>IF(G975="RES-SFU","RESIDENTIAL",IF(G975="RES-HOA","RESIDENTIAL",IF(G975="RES-MDU","RESIDENTIAL",IF(G975="COMM-SU","BUSINESS",IF(G975="COM-MTU","BUSINESS",IF(G975="ENT","BUSINESS",""))))))</f>
        <v/>
      </c>
      <c r="G975" s="1166">
        <f>'House Count'!F975</f>
        <v/>
      </c>
      <c r="H975" s="1166">
        <f>'House Count'!H975</f>
        <v/>
      </c>
    </row>
    <row r="976">
      <c r="A976" s="1165">
        <f>'House Count'!A976</f>
        <v/>
      </c>
      <c r="B976" s="1166">
        <f>'House Count'!E976</f>
        <v/>
      </c>
      <c r="C976" s="1166">
        <f>'House Count'!B976</f>
        <v/>
      </c>
      <c r="D976" s="1166">
        <f>'House Count'!C976</f>
        <v/>
      </c>
      <c r="E976" s="1166">
        <f>'House Count'!D976</f>
        <v/>
      </c>
      <c r="F976" s="1166">
        <f>IF(G976="RES-SFU","RESIDENTIAL",IF(G976="RES-HOA","RESIDENTIAL",IF(G976="RES-MDU","RESIDENTIAL",IF(G976="COMM-SU","BUSINESS",IF(G976="COM-MTU","BUSINESS",IF(G976="ENT","BUSINESS",""))))))</f>
        <v/>
      </c>
      <c r="G976" s="1166">
        <f>'House Count'!F976</f>
        <v/>
      </c>
      <c r="H976" s="1166">
        <f>'House Count'!H976</f>
        <v/>
      </c>
    </row>
    <row r="977">
      <c r="A977" s="1165">
        <f>'House Count'!A977</f>
        <v/>
      </c>
      <c r="B977" s="1166">
        <f>'House Count'!E977</f>
        <v/>
      </c>
      <c r="C977" s="1166">
        <f>'House Count'!B977</f>
        <v/>
      </c>
      <c r="D977" s="1166">
        <f>'House Count'!C977</f>
        <v/>
      </c>
      <c r="E977" s="1166">
        <f>'House Count'!D977</f>
        <v/>
      </c>
      <c r="F977" s="1166">
        <f>IF(G977="RES-SFU","RESIDENTIAL",IF(G977="RES-HOA","RESIDENTIAL",IF(G977="RES-MDU","RESIDENTIAL",IF(G977="COMM-SU","BUSINESS",IF(G977="COM-MTU","BUSINESS",IF(G977="ENT","BUSINESS",""))))))</f>
        <v/>
      </c>
      <c r="G977" s="1166">
        <f>'House Count'!F977</f>
        <v/>
      </c>
      <c r="H977" s="1166">
        <f>'House Count'!H977</f>
        <v/>
      </c>
    </row>
    <row r="978">
      <c r="A978" s="1165">
        <f>'House Count'!A978</f>
        <v/>
      </c>
      <c r="B978" s="1166">
        <f>'House Count'!E978</f>
        <v/>
      </c>
      <c r="C978" s="1166">
        <f>'House Count'!B978</f>
        <v/>
      </c>
      <c r="D978" s="1166">
        <f>'House Count'!C978</f>
        <v/>
      </c>
      <c r="E978" s="1166">
        <f>'House Count'!D978</f>
        <v/>
      </c>
      <c r="F978" s="1166">
        <f>IF(G978="RES-SFU","RESIDENTIAL",IF(G978="RES-HOA","RESIDENTIAL",IF(G978="RES-MDU","RESIDENTIAL",IF(G978="COMM-SU","BUSINESS",IF(G978="COM-MTU","BUSINESS",IF(G978="ENT","BUSINESS",""))))))</f>
        <v/>
      </c>
      <c r="G978" s="1166">
        <f>'House Count'!F978</f>
        <v/>
      </c>
      <c r="H978" s="1166">
        <f>'House Count'!H978</f>
        <v/>
      </c>
    </row>
    <row r="979">
      <c r="A979" s="1165">
        <f>'House Count'!A979</f>
        <v/>
      </c>
      <c r="B979" s="1166">
        <f>'House Count'!E979</f>
        <v/>
      </c>
      <c r="C979" s="1166">
        <f>'House Count'!B979</f>
        <v/>
      </c>
      <c r="D979" s="1166">
        <f>'House Count'!C979</f>
        <v/>
      </c>
      <c r="E979" s="1166">
        <f>'House Count'!D979</f>
        <v/>
      </c>
      <c r="F979" s="1166">
        <f>IF(G979="RES-SFU","RESIDENTIAL",IF(G979="RES-HOA","RESIDENTIAL",IF(G979="RES-MDU","RESIDENTIAL",IF(G979="COMM-SU","BUSINESS",IF(G979="COM-MTU","BUSINESS",IF(G979="ENT","BUSINESS",""))))))</f>
        <v/>
      </c>
      <c r="G979" s="1166">
        <f>'House Count'!F979</f>
        <v/>
      </c>
      <c r="H979" s="1166">
        <f>'House Count'!H979</f>
        <v/>
      </c>
    </row>
    <row r="980">
      <c r="A980" s="1165">
        <f>'House Count'!A980</f>
        <v/>
      </c>
      <c r="B980" s="1166">
        <f>'House Count'!E980</f>
        <v/>
      </c>
      <c r="C980" s="1166">
        <f>'House Count'!B980</f>
        <v/>
      </c>
      <c r="D980" s="1166">
        <f>'House Count'!C980</f>
        <v/>
      </c>
      <c r="E980" s="1166">
        <f>'House Count'!D980</f>
        <v/>
      </c>
      <c r="F980" s="1166">
        <f>IF(G980="RES-SFU","RESIDENTIAL",IF(G980="RES-HOA","RESIDENTIAL",IF(G980="RES-MDU","RESIDENTIAL",IF(G980="COMM-SU","BUSINESS",IF(G980="COM-MTU","BUSINESS",IF(G980="ENT","BUSINESS",""))))))</f>
        <v/>
      </c>
      <c r="G980" s="1166">
        <f>'House Count'!F980</f>
        <v/>
      </c>
      <c r="H980" s="1166">
        <f>'House Count'!H980</f>
        <v/>
      </c>
    </row>
    <row r="981">
      <c r="A981" s="1165">
        <f>'House Count'!A981</f>
        <v/>
      </c>
      <c r="B981" s="1166">
        <f>'House Count'!E981</f>
        <v/>
      </c>
      <c r="C981" s="1166">
        <f>'House Count'!B981</f>
        <v/>
      </c>
      <c r="D981" s="1166">
        <f>'House Count'!C981</f>
        <v/>
      </c>
      <c r="E981" s="1166">
        <f>'House Count'!D981</f>
        <v/>
      </c>
      <c r="F981" s="1166">
        <f>IF(G981="RES-SFU","RESIDENTIAL",IF(G981="RES-HOA","RESIDENTIAL",IF(G981="RES-MDU","RESIDENTIAL",IF(G981="COMM-SU","BUSINESS",IF(G981="COM-MTU","BUSINESS",IF(G981="ENT","BUSINESS",""))))))</f>
        <v/>
      </c>
      <c r="G981" s="1166">
        <f>'House Count'!F981</f>
        <v/>
      </c>
      <c r="H981" s="1166">
        <f>'House Count'!H981</f>
        <v/>
      </c>
    </row>
    <row r="982">
      <c r="A982" s="1165">
        <f>'House Count'!A982</f>
        <v/>
      </c>
      <c r="B982" s="1166">
        <f>'House Count'!E982</f>
        <v/>
      </c>
      <c r="C982" s="1166">
        <f>'House Count'!B982</f>
        <v/>
      </c>
      <c r="D982" s="1166">
        <f>'House Count'!C982</f>
        <v/>
      </c>
      <c r="E982" s="1166">
        <f>'House Count'!D982</f>
        <v/>
      </c>
      <c r="F982" s="1166">
        <f>IF(G982="RES-SFU","RESIDENTIAL",IF(G982="RES-HOA","RESIDENTIAL",IF(G982="RES-MDU","RESIDENTIAL",IF(G982="COMM-SU","BUSINESS",IF(G982="COM-MTU","BUSINESS",IF(G982="ENT","BUSINESS",""))))))</f>
        <v/>
      </c>
      <c r="G982" s="1166">
        <f>'House Count'!F982</f>
        <v/>
      </c>
      <c r="H982" s="1166">
        <f>'House Count'!H982</f>
        <v/>
      </c>
    </row>
    <row r="983">
      <c r="A983" s="1165">
        <f>'House Count'!A983</f>
        <v/>
      </c>
      <c r="B983" s="1166">
        <f>'House Count'!E983</f>
        <v/>
      </c>
      <c r="C983" s="1166">
        <f>'House Count'!B983</f>
        <v/>
      </c>
      <c r="D983" s="1166">
        <f>'House Count'!C983</f>
        <v/>
      </c>
      <c r="E983" s="1166">
        <f>'House Count'!D983</f>
        <v/>
      </c>
      <c r="F983" s="1166">
        <f>IF(G983="RES-SFU","RESIDENTIAL",IF(G983="RES-HOA","RESIDENTIAL",IF(G983="RES-MDU","RESIDENTIAL",IF(G983="COMM-SU","BUSINESS",IF(G983="COM-MTU","BUSINESS",IF(G983="ENT","BUSINESS",""))))))</f>
        <v/>
      </c>
      <c r="G983" s="1166">
        <f>'House Count'!F983</f>
        <v/>
      </c>
      <c r="H983" s="1166">
        <f>'House Count'!H983</f>
        <v/>
      </c>
    </row>
    <row r="984">
      <c r="A984" s="1165">
        <f>'House Count'!A984</f>
        <v/>
      </c>
      <c r="B984" s="1166">
        <f>'House Count'!E984</f>
        <v/>
      </c>
      <c r="C984" s="1166">
        <f>'House Count'!B984</f>
        <v/>
      </c>
      <c r="D984" s="1166">
        <f>'House Count'!C984</f>
        <v/>
      </c>
      <c r="E984" s="1166">
        <f>'House Count'!D984</f>
        <v/>
      </c>
      <c r="F984" s="1166">
        <f>IF(G984="RES-SFU","RESIDENTIAL",IF(G984="RES-HOA","RESIDENTIAL",IF(G984="RES-MDU","RESIDENTIAL",IF(G984="COMM-SU","BUSINESS",IF(G984="COM-MTU","BUSINESS",IF(G984="ENT","BUSINESS",""))))))</f>
        <v/>
      </c>
      <c r="G984" s="1166">
        <f>'House Count'!F984</f>
        <v/>
      </c>
      <c r="H984" s="1166">
        <f>'House Count'!H984</f>
        <v/>
      </c>
    </row>
    <row r="985">
      <c r="A985" s="1165">
        <f>'House Count'!A985</f>
        <v/>
      </c>
      <c r="B985" s="1166">
        <f>'House Count'!E985</f>
        <v/>
      </c>
      <c r="C985" s="1166">
        <f>'House Count'!B985</f>
        <v/>
      </c>
      <c r="D985" s="1166">
        <f>'House Count'!C985</f>
        <v/>
      </c>
      <c r="E985" s="1166">
        <f>'House Count'!D985</f>
        <v/>
      </c>
      <c r="F985" s="1166">
        <f>IF(G985="RES-SFU","RESIDENTIAL",IF(G985="RES-HOA","RESIDENTIAL",IF(G985="RES-MDU","RESIDENTIAL",IF(G985="COMM-SU","BUSINESS",IF(G985="COM-MTU","BUSINESS",IF(G985="ENT","BUSINESS",""))))))</f>
        <v/>
      </c>
      <c r="G985" s="1166">
        <f>'House Count'!F985</f>
        <v/>
      </c>
      <c r="H985" s="1166">
        <f>'House Count'!H985</f>
        <v/>
      </c>
    </row>
    <row r="986">
      <c r="A986" s="1165">
        <f>'House Count'!A986</f>
        <v/>
      </c>
      <c r="B986" s="1166">
        <f>'House Count'!E986</f>
        <v/>
      </c>
      <c r="C986" s="1166">
        <f>'House Count'!B986</f>
        <v/>
      </c>
      <c r="D986" s="1166">
        <f>'House Count'!C986</f>
        <v/>
      </c>
      <c r="E986" s="1166">
        <f>'House Count'!D986</f>
        <v/>
      </c>
      <c r="F986" s="1166">
        <f>IF(G986="RES-SFU","RESIDENTIAL",IF(G986="RES-HOA","RESIDENTIAL",IF(G986="RES-MDU","RESIDENTIAL",IF(G986="COMM-SU","BUSINESS",IF(G986="COM-MTU","BUSINESS",IF(G986="ENT","BUSINESS",""))))))</f>
        <v/>
      </c>
      <c r="G986" s="1166">
        <f>'House Count'!F986</f>
        <v/>
      </c>
      <c r="H986" s="1166">
        <f>'House Count'!H986</f>
        <v/>
      </c>
    </row>
    <row r="987">
      <c r="A987" s="1165">
        <f>'House Count'!A987</f>
        <v/>
      </c>
      <c r="B987" s="1166">
        <f>'House Count'!E987</f>
        <v/>
      </c>
      <c r="C987" s="1166">
        <f>'House Count'!B987</f>
        <v/>
      </c>
      <c r="D987" s="1166">
        <f>'House Count'!C987</f>
        <v/>
      </c>
      <c r="E987" s="1166">
        <f>'House Count'!D987</f>
        <v/>
      </c>
      <c r="F987" s="1166">
        <f>IF(G987="RES-SFU","RESIDENTIAL",IF(G987="RES-HOA","RESIDENTIAL",IF(G987="RES-MDU","RESIDENTIAL",IF(G987="COMM-SU","BUSINESS",IF(G987="COM-MTU","BUSINESS",IF(G987="ENT","BUSINESS",""))))))</f>
        <v/>
      </c>
      <c r="G987" s="1166">
        <f>'House Count'!F987</f>
        <v/>
      </c>
      <c r="H987" s="1166">
        <f>'House Count'!H987</f>
        <v/>
      </c>
    </row>
    <row r="988">
      <c r="A988" s="1165">
        <f>'House Count'!A988</f>
        <v/>
      </c>
      <c r="B988" s="1166">
        <f>'House Count'!E988</f>
        <v/>
      </c>
      <c r="C988" s="1166">
        <f>'House Count'!B988</f>
        <v/>
      </c>
      <c r="D988" s="1166">
        <f>'House Count'!C988</f>
        <v/>
      </c>
      <c r="E988" s="1166">
        <f>'House Count'!D988</f>
        <v/>
      </c>
      <c r="F988" s="1166">
        <f>IF(G988="RES-SFU","RESIDENTIAL",IF(G988="RES-HOA","RESIDENTIAL",IF(G988="RES-MDU","RESIDENTIAL",IF(G988="COMM-SU","BUSINESS",IF(G988="COM-MTU","BUSINESS",IF(G988="ENT","BUSINESS",""))))))</f>
        <v/>
      </c>
      <c r="G988" s="1166">
        <f>'House Count'!F988</f>
        <v/>
      </c>
      <c r="H988" s="1166">
        <f>'House Count'!H988</f>
        <v/>
      </c>
    </row>
    <row r="989">
      <c r="A989" s="1165">
        <f>'House Count'!A989</f>
        <v/>
      </c>
      <c r="B989" s="1166">
        <f>'House Count'!E989</f>
        <v/>
      </c>
      <c r="C989" s="1166">
        <f>'House Count'!B989</f>
        <v/>
      </c>
      <c r="D989" s="1166">
        <f>'House Count'!C989</f>
        <v/>
      </c>
      <c r="E989" s="1166">
        <f>'House Count'!D989</f>
        <v/>
      </c>
      <c r="F989" s="1166">
        <f>IF(G989="RES-SFU","RESIDENTIAL",IF(G989="RES-HOA","RESIDENTIAL",IF(G989="RES-MDU","RESIDENTIAL",IF(G989="COMM-SU","BUSINESS",IF(G989="COM-MTU","BUSINESS",IF(G989="ENT","BUSINESS",""))))))</f>
        <v/>
      </c>
      <c r="G989" s="1166">
        <f>'House Count'!F989</f>
        <v/>
      </c>
      <c r="H989" s="1166">
        <f>'House Count'!H989</f>
        <v/>
      </c>
    </row>
    <row r="990">
      <c r="A990" s="1165">
        <f>'House Count'!A990</f>
        <v/>
      </c>
      <c r="B990" s="1166">
        <f>'House Count'!E990</f>
        <v/>
      </c>
      <c r="C990" s="1166">
        <f>'House Count'!B990</f>
        <v/>
      </c>
      <c r="D990" s="1166">
        <f>'House Count'!C990</f>
        <v/>
      </c>
      <c r="E990" s="1166">
        <f>'House Count'!D990</f>
        <v/>
      </c>
      <c r="F990" s="1166">
        <f>IF(G990="RES-SFU","RESIDENTIAL",IF(G990="RES-HOA","RESIDENTIAL",IF(G990="RES-MDU","RESIDENTIAL",IF(G990="COMM-SU","BUSINESS",IF(G990="COM-MTU","BUSINESS",IF(G990="ENT","BUSINESS",""))))))</f>
        <v/>
      </c>
      <c r="G990" s="1166">
        <f>'House Count'!F990</f>
        <v/>
      </c>
      <c r="H990" s="1166">
        <f>'House Count'!H990</f>
        <v/>
      </c>
    </row>
    <row r="991">
      <c r="A991" s="1165">
        <f>'House Count'!A991</f>
        <v/>
      </c>
      <c r="B991" s="1166">
        <f>'House Count'!E991</f>
        <v/>
      </c>
      <c r="C991" s="1166">
        <f>'House Count'!B991</f>
        <v/>
      </c>
      <c r="D991" s="1166">
        <f>'House Count'!C991</f>
        <v/>
      </c>
      <c r="E991" s="1166">
        <f>'House Count'!D991</f>
        <v/>
      </c>
      <c r="F991" s="1166">
        <f>IF(G991="RES-SFU","RESIDENTIAL",IF(G991="RES-HOA","RESIDENTIAL",IF(G991="RES-MDU","RESIDENTIAL",IF(G991="COMM-SU","BUSINESS",IF(G991="COM-MTU","BUSINESS",IF(G991="ENT","BUSINESS",""))))))</f>
        <v/>
      </c>
      <c r="G991" s="1166">
        <f>'House Count'!F991</f>
        <v/>
      </c>
      <c r="H991" s="1166">
        <f>'House Count'!H991</f>
        <v/>
      </c>
    </row>
    <row r="992">
      <c r="A992" s="1165">
        <f>'House Count'!A992</f>
        <v/>
      </c>
      <c r="B992" s="1166">
        <f>'House Count'!E992</f>
        <v/>
      </c>
      <c r="C992" s="1166">
        <f>'House Count'!B992</f>
        <v/>
      </c>
      <c r="D992" s="1166">
        <f>'House Count'!C992</f>
        <v/>
      </c>
      <c r="E992" s="1166">
        <f>'House Count'!D992</f>
        <v/>
      </c>
      <c r="F992" s="1166">
        <f>IF(G992="RES-SFU","RESIDENTIAL",IF(G992="RES-HOA","RESIDENTIAL",IF(G992="RES-MDU","RESIDENTIAL",IF(G992="COMM-SU","BUSINESS",IF(G992="COM-MTU","BUSINESS",IF(G992="ENT","BUSINESS",""))))))</f>
        <v/>
      </c>
      <c r="G992" s="1166">
        <f>'House Count'!F992</f>
        <v/>
      </c>
      <c r="H992" s="1166">
        <f>'House Count'!H992</f>
        <v/>
      </c>
    </row>
    <row r="993">
      <c r="A993" s="1165">
        <f>'House Count'!A993</f>
        <v/>
      </c>
      <c r="B993" s="1166">
        <f>'House Count'!E993</f>
        <v/>
      </c>
      <c r="C993" s="1166">
        <f>'House Count'!B993</f>
        <v/>
      </c>
      <c r="D993" s="1166">
        <f>'House Count'!C993</f>
        <v/>
      </c>
      <c r="E993" s="1166">
        <f>'House Count'!D993</f>
        <v/>
      </c>
      <c r="F993" s="1166">
        <f>IF(G993="RES-SFU","RESIDENTIAL",IF(G993="RES-HOA","RESIDENTIAL",IF(G993="RES-MDU","RESIDENTIAL",IF(G993="COMM-SU","BUSINESS",IF(G993="COM-MTU","BUSINESS",IF(G993="ENT","BUSINESS",""))))))</f>
        <v/>
      </c>
      <c r="G993" s="1166">
        <f>'House Count'!F993</f>
        <v/>
      </c>
      <c r="H993" s="1166">
        <f>'House Count'!H993</f>
        <v/>
      </c>
    </row>
    <row r="994">
      <c r="A994" s="1165">
        <f>'House Count'!A994</f>
        <v/>
      </c>
      <c r="B994" s="1166">
        <f>'House Count'!E994</f>
        <v/>
      </c>
      <c r="C994" s="1166">
        <f>'House Count'!B994</f>
        <v/>
      </c>
      <c r="D994" s="1166">
        <f>'House Count'!C994</f>
        <v/>
      </c>
      <c r="E994" s="1166">
        <f>'House Count'!D994</f>
        <v/>
      </c>
      <c r="F994" s="1166">
        <f>IF(G994="RES-SFU","RESIDENTIAL",IF(G994="RES-HOA","RESIDENTIAL",IF(G994="RES-MDU","RESIDENTIAL",IF(G994="COMM-SU","BUSINESS",IF(G994="COM-MTU","BUSINESS",IF(G994="ENT","BUSINESS",""))))))</f>
        <v/>
      </c>
      <c r="G994" s="1166">
        <f>'House Count'!F994</f>
        <v/>
      </c>
      <c r="H994" s="1166">
        <f>'House Count'!H994</f>
        <v/>
      </c>
    </row>
    <row r="995">
      <c r="A995" s="1165">
        <f>'House Count'!A995</f>
        <v/>
      </c>
      <c r="B995" s="1166">
        <f>'House Count'!E995</f>
        <v/>
      </c>
      <c r="C995" s="1166">
        <f>'House Count'!B995</f>
        <v/>
      </c>
      <c r="D995" s="1166">
        <f>'House Count'!C995</f>
        <v/>
      </c>
      <c r="E995" s="1166">
        <f>'House Count'!D995</f>
        <v/>
      </c>
      <c r="F995" s="1166">
        <f>IF(G995="RES-SFU","RESIDENTIAL",IF(G995="RES-HOA","RESIDENTIAL",IF(G995="RES-MDU","RESIDENTIAL",IF(G995="COMM-SU","BUSINESS",IF(G995="COM-MTU","BUSINESS",IF(G995="ENT","BUSINESS",""))))))</f>
        <v/>
      </c>
      <c r="G995" s="1166">
        <f>'House Count'!F995</f>
        <v/>
      </c>
      <c r="H995" s="1166">
        <f>'House Count'!H995</f>
        <v/>
      </c>
    </row>
    <row r="996">
      <c r="A996" s="1165">
        <f>'House Count'!A996</f>
        <v/>
      </c>
      <c r="B996" s="1166">
        <f>'House Count'!E996</f>
        <v/>
      </c>
      <c r="C996" s="1166">
        <f>'House Count'!B996</f>
        <v/>
      </c>
      <c r="D996" s="1166">
        <f>'House Count'!C996</f>
        <v/>
      </c>
      <c r="E996" s="1166">
        <f>'House Count'!D996</f>
        <v/>
      </c>
      <c r="F996" s="1166">
        <f>IF(G996="RES-SFU","RESIDENTIAL",IF(G996="RES-HOA","RESIDENTIAL",IF(G996="RES-MDU","RESIDENTIAL",IF(G996="COMM-SU","BUSINESS",IF(G996="COM-MTU","BUSINESS",IF(G996="ENT","BUSINESS",""))))))</f>
        <v/>
      </c>
      <c r="G996" s="1166">
        <f>'House Count'!F996</f>
        <v/>
      </c>
      <c r="H996" s="1166">
        <f>'House Count'!H996</f>
        <v/>
      </c>
    </row>
    <row r="997">
      <c r="A997" s="1165">
        <f>'House Count'!A997</f>
        <v/>
      </c>
      <c r="B997" s="1166">
        <f>'House Count'!E997</f>
        <v/>
      </c>
      <c r="C997" s="1166">
        <f>'House Count'!B997</f>
        <v/>
      </c>
      <c r="D997" s="1166">
        <f>'House Count'!C997</f>
        <v/>
      </c>
      <c r="E997" s="1166">
        <f>'House Count'!D997</f>
        <v/>
      </c>
      <c r="F997" s="1166">
        <f>IF(G997="RES-SFU","RESIDENTIAL",IF(G997="RES-HOA","RESIDENTIAL",IF(G997="RES-MDU","RESIDENTIAL",IF(G997="COMM-SU","BUSINESS",IF(G997="COM-MTU","BUSINESS",IF(G997="ENT","BUSINESS",""))))))</f>
        <v/>
      </c>
      <c r="G997" s="1166">
        <f>'House Count'!F997</f>
        <v/>
      </c>
      <c r="H997" s="1166">
        <f>'House Count'!H997</f>
        <v/>
      </c>
    </row>
    <row r="998">
      <c r="A998" s="1165">
        <f>'House Count'!A998</f>
        <v/>
      </c>
      <c r="B998" s="1166">
        <f>'House Count'!E998</f>
        <v/>
      </c>
      <c r="C998" s="1166">
        <f>'House Count'!B998</f>
        <v/>
      </c>
      <c r="D998" s="1166">
        <f>'House Count'!C998</f>
        <v/>
      </c>
      <c r="E998" s="1166">
        <f>'House Count'!D998</f>
        <v/>
      </c>
      <c r="F998" s="1166">
        <f>IF(G998="RES-SFU","RESIDENTIAL",IF(G998="RES-HOA","RESIDENTIAL",IF(G998="RES-MDU","RESIDENTIAL",IF(G998="COMM-SU","BUSINESS",IF(G998="COM-MTU","BUSINESS",IF(G998="ENT","BUSINESS",""))))))</f>
        <v/>
      </c>
      <c r="G998" s="1166">
        <f>'House Count'!F998</f>
        <v/>
      </c>
      <c r="H998" s="1166">
        <f>'House Count'!H998</f>
        <v/>
      </c>
    </row>
    <row r="999">
      <c r="A999" s="1165">
        <f>'House Count'!A999</f>
        <v/>
      </c>
      <c r="B999" s="1166">
        <f>'House Count'!E999</f>
        <v/>
      </c>
      <c r="C999" s="1166">
        <f>'House Count'!B999</f>
        <v/>
      </c>
      <c r="D999" s="1166">
        <f>'House Count'!C999</f>
        <v/>
      </c>
      <c r="E999" s="1166">
        <f>'House Count'!D999</f>
        <v/>
      </c>
      <c r="F999" s="1166">
        <f>IF(G999="RES-SFU","RESIDENTIAL",IF(G999="RES-HOA","RESIDENTIAL",IF(G999="RES-MDU","RESIDENTIAL",IF(G999="COMM-SU","BUSINESS",IF(G999="COM-MTU","BUSINESS",IF(G999="ENT","BUSINESS",""))))))</f>
        <v/>
      </c>
      <c r="G999" s="1166">
        <f>'House Count'!F999</f>
        <v/>
      </c>
      <c r="H999" s="1166">
        <f>'House Count'!H999</f>
        <v/>
      </c>
    </row>
    <row r="1000">
      <c r="A1000" s="1165">
        <f>'House Count'!A1000</f>
        <v/>
      </c>
      <c r="B1000" s="1166">
        <f>'House Count'!E1000</f>
        <v/>
      </c>
      <c r="C1000" s="1166">
        <f>'House Count'!B1000</f>
        <v/>
      </c>
      <c r="D1000" s="1166">
        <f>'House Count'!C1000</f>
        <v/>
      </c>
      <c r="E1000" s="1166">
        <f>'House Count'!D1000</f>
        <v/>
      </c>
      <c r="F1000" s="1166">
        <f>IF(G1000="RES-SFU","RESIDENTIAL",IF(G1000="RES-HOA","RESIDENTIAL",IF(G1000="RES-MDU","RESIDENTIAL",IF(G1000="COMM-SU","BUSINESS",IF(G1000="COM-MTU","BUSINESS",IF(G1000="ENT","BUSINESS",""))))))</f>
        <v/>
      </c>
      <c r="G1000" s="1166">
        <f>'House Count'!F1000</f>
        <v/>
      </c>
      <c r="H1000" s="1166">
        <f>'House Count'!H1000</f>
        <v/>
      </c>
    </row>
    <row r="1001">
      <c r="A1001" s="1165">
        <f>'House Count'!A1001</f>
        <v/>
      </c>
      <c r="B1001" s="1166">
        <f>'House Count'!E1001</f>
        <v/>
      </c>
      <c r="C1001" s="1166">
        <f>'House Count'!B1001</f>
        <v/>
      </c>
      <c r="D1001" s="1166">
        <f>'House Count'!C1001</f>
        <v/>
      </c>
      <c r="E1001" s="1166">
        <f>'House Count'!D1001</f>
        <v/>
      </c>
      <c r="F1001" s="1166">
        <f>IF(G1001="RES-SFU","RESIDENTIAL",IF(G1001="RES-HOA","RESIDENTIAL",IF(G1001="RES-MDU","RESIDENTIAL",IF(G1001="COMM-SU","BUSINESS",IF(G1001="COM-MTU","BUSINESS",IF(G1001="ENT","BUSINESS",""))))))</f>
        <v/>
      </c>
      <c r="G1001" s="1166">
        <f>'House Count'!F1001</f>
        <v/>
      </c>
      <c r="H1001" s="1166">
        <f>'House Count'!H1001</f>
        <v/>
      </c>
    </row>
    <row r="1002">
      <c r="A1002" s="1165">
        <f>'House Count'!A1002</f>
        <v/>
      </c>
      <c r="B1002" s="1166">
        <f>'House Count'!E1002</f>
        <v/>
      </c>
      <c r="C1002" s="1166">
        <f>'House Count'!B1002</f>
        <v/>
      </c>
      <c r="D1002" s="1166">
        <f>'House Count'!C1002</f>
        <v/>
      </c>
      <c r="E1002" s="1166">
        <f>'House Count'!D1002</f>
        <v/>
      </c>
      <c r="F1002" s="1166">
        <f>IF(G1002="RES-SFU","RESIDENTIAL",IF(G1002="RES-HOA","RESIDENTIAL",IF(G1002="RES-MDU","RESIDENTIAL",IF(G1002="COMM-SU","BUSINESS",IF(G1002="COM-MTU","BUSINESS",IF(G1002="ENT","BUSINESS",""))))))</f>
        <v/>
      </c>
      <c r="G1002" s="1166">
        <f>'House Count'!F1002</f>
        <v/>
      </c>
      <c r="H1002" s="1166">
        <f>'House Count'!H1002</f>
        <v/>
      </c>
    </row>
    <row r="1003">
      <c r="A1003" s="1165">
        <f>'House Count'!A1003</f>
        <v/>
      </c>
      <c r="B1003" s="1166">
        <f>'House Count'!E1003</f>
        <v/>
      </c>
      <c r="C1003" s="1166">
        <f>'House Count'!B1003</f>
        <v/>
      </c>
      <c r="D1003" s="1166">
        <f>'House Count'!C1003</f>
        <v/>
      </c>
      <c r="E1003" s="1166">
        <f>'House Count'!D1003</f>
        <v/>
      </c>
      <c r="F1003" s="1166">
        <f>IF(G1003="RES-SFU","RESIDENTIAL",IF(G1003="RES-HOA","RESIDENTIAL",IF(G1003="RES-MDU","RESIDENTIAL",IF(G1003="COMM-SU","BUSINESS",IF(G1003="COM-MTU","BUSINESS",IF(G1003="ENT","BUSINESS",""))))))</f>
        <v/>
      </c>
      <c r="G1003" s="1166">
        <f>'House Count'!F1003</f>
        <v/>
      </c>
      <c r="H1003" s="1166">
        <f>'House Count'!H1003</f>
        <v/>
      </c>
    </row>
    <row r="1004">
      <c r="A1004" s="1165">
        <f>'House Count'!A1004</f>
        <v/>
      </c>
      <c r="B1004" s="1166">
        <f>'House Count'!E1004</f>
        <v/>
      </c>
      <c r="C1004" s="1166">
        <f>'House Count'!B1004</f>
        <v/>
      </c>
      <c r="D1004" s="1166">
        <f>'House Count'!C1004</f>
        <v/>
      </c>
      <c r="E1004" s="1166">
        <f>'House Count'!D1004</f>
        <v/>
      </c>
      <c r="F1004" s="1166">
        <f>IF(G1004="RES-SFU","RESIDENTIAL",IF(G1004="RES-HOA","RESIDENTIAL",IF(G1004="RES-MDU","RESIDENTIAL",IF(G1004="COMM-SU","BUSINESS",IF(G1004="COM-MTU","BUSINESS",IF(G1004="ENT","BUSINESS",""))))))</f>
        <v/>
      </c>
      <c r="G1004" s="1166">
        <f>'House Count'!F1004</f>
        <v/>
      </c>
      <c r="H1004" s="1166">
        <f>'House Count'!H1004</f>
        <v/>
      </c>
    </row>
    <row r="1005">
      <c r="A1005" s="1165">
        <f>'House Count'!A1005</f>
        <v/>
      </c>
      <c r="B1005" s="1166">
        <f>'House Count'!E1005</f>
        <v/>
      </c>
      <c r="C1005" s="1166">
        <f>'House Count'!B1005</f>
        <v/>
      </c>
      <c r="D1005" s="1166">
        <f>'House Count'!C1005</f>
        <v/>
      </c>
      <c r="E1005" s="1166">
        <f>'House Count'!D1005</f>
        <v/>
      </c>
      <c r="F1005" s="1166">
        <f>IF(G1005="RES-SFU","RESIDENTIAL",IF(G1005="RES-HOA","RESIDENTIAL",IF(G1005="RES-MDU","RESIDENTIAL",IF(G1005="COMM-SU","BUSINESS",IF(G1005="COM-MTU","BUSINESS",IF(G1005="ENT","BUSINESS",""))))))</f>
        <v/>
      </c>
      <c r="G1005" s="1166">
        <f>'House Count'!F1005</f>
        <v/>
      </c>
      <c r="H1005" s="1166">
        <f>'House Count'!H1005</f>
        <v/>
      </c>
    </row>
    <row r="1006">
      <c r="A1006" s="1165">
        <f>'House Count'!A1006</f>
        <v/>
      </c>
      <c r="B1006" s="1166">
        <f>'House Count'!E1006</f>
        <v/>
      </c>
      <c r="C1006" s="1166">
        <f>'House Count'!B1006</f>
        <v/>
      </c>
      <c r="D1006" s="1166">
        <f>'House Count'!C1006</f>
        <v/>
      </c>
      <c r="E1006" s="1166">
        <f>'House Count'!D1006</f>
        <v/>
      </c>
      <c r="F1006" s="1166">
        <f>IF(G1006="RES-SFU","RESIDENTIAL",IF(G1006="RES-HOA","RESIDENTIAL",IF(G1006="RES-MDU","RESIDENTIAL",IF(G1006="COMM-SU","BUSINESS",IF(G1006="COM-MTU","BUSINESS",IF(G1006="ENT","BUSINESS",""))))))</f>
        <v/>
      </c>
      <c r="G1006" s="1166">
        <f>'House Count'!F1006</f>
        <v/>
      </c>
      <c r="H1006" s="1166">
        <f>'House Count'!H1006</f>
        <v/>
      </c>
    </row>
    <row r="1007">
      <c r="A1007" s="1165">
        <f>'House Count'!A1007</f>
        <v/>
      </c>
      <c r="B1007" s="1166">
        <f>'House Count'!E1007</f>
        <v/>
      </c>
      <c r="C1007" s="1166">
        <f>'House Count'!B1007</f>
        <v/>
      </c>
      <c r="D1007" s="1166">
        <f>'House Count'!C1007</f>
        <v/>
      </c>
      <c r="E1007" s="1166">
        <f>'House Count'!D1007</f>
        <v/>
      </c>
      <c r="F1007" s="1166">
        <f>IF(G1007="RES-SFU","RESIDENTIAL",IF(G1007="RES-HOA","RESIDENTIAL",IF(G1007="RES-MDU","RESIDENTIAL",IF(G1007="COMM-SU","BUSINESS",IF(G1007="COM-MTU","BUSINESS",IF(G1007="ENT","BUSINESS",""))))))</f>
        <v/>
      </c>
      <c r="G1007" s="1166">
        <f>'House Count'!F1007</f>
        <v/>
      </c>
      <c r="H1007" s="1166">
        <f>'House Count'!H1007</f>
        <v/>
      </c>
    </row>
    <row r="1008">
      <c r="A1008" s="1165">
        <f>'House Count'!A1008</f>
        <v/>
      </c>
      <c r="B1008" s="1166">
        <f>'House Count'!E1008</f>
        <v/>
      </c>
      <c r="C1008" s="1166">
        <f>'House Count'!B1008</f>
        <v/>
      </c>
      <c r="D1008" s="1166">
        <f>'House Count'!C1008</f>
        <v/>
      </c>
      <c r="E1008" s="1166">
        <f>'House Count'!D1008</f>
        <v/>
      </c>
      <c r="F1008" s="1166">
        <f>IF(G1008="RES-SFU","RESIDENTIAL",IF(G1008="RES-HOA","RESIDENTIAL",IF(G1008="RES-MDU","RESIDENTIAL",IF(G1008="COMM-SU","BUSINESS",IF(G1008="COM-MTU","BUSINESS",IF(G1008="ENT","BUSINESS",""))))))</f>
        <v/>
      </c>
      <c r="G1008" s="1166">
        <f>'House Count'!F1008</f>
        <v/>
      </c>
      <c r="H1008" s="1166">
        <f>'House Count'!H1008</f>
        <v/>
      </c>
    </row>
    <row r="1009">
      <c r="A1009" s="1165">
        <f>'House Count'!A1009</f>
        <v/>
      </c>
      <c r="B1009" s="1166">
        <f>'House Count'!E1009</f>
        <v/>
      </c>
      <c r="C1009" s="1166">
        <f>'House Count'!B1009</f>
        <v/>
      </c>
      <c r="D1009" s="1166">
        <f>'House Count'!C1009</f>
        <v/>
      </c>
      <c r="E1009" s="1166">
        <f>'House Count'!D1009</f>
        <v/>
      </c>
      <c r="F1009" s="1166">
        <f>IF(G1009="RES-SFU","RESIDENTIAL",IF(G1009="RES-HOA","RESIDENTIAL",IF(G1009="RES-MDU","RESIDENTIAL",IF(G1009="COMM-SU","BUSINESS",IF(G1009="COM-MTU","BUSINESS",IF(G1009="ENT","BUSINESS",""))))))</f>
        <v/>
      </c>
      <c r="G1009" s="1166">
        <f>'House Count'!F1009</f>
        <v/>
      </c>
      <c r="H1009" s="1166">
        <f>'House Count'!H1009</f>
        <v/>
      </c>
    </row>
    <row r="1010">
      <c r="A1010" s="1165">
        <f>'House Count'!A1010</f>
        <v/>
      </c>
      <c r="B1010" s="1166">
        <f>'House Count'!E1010</f>
        <v/>
      </c>
      <c r="C1010" s="1166">
        <f>'House Count'!B1010</f>
        <v/>
      </c>
      <c r="D1010" s="1166">
        <f>'House Count'!C1010</f>
        <v/>
      </c>
      <c r="E1010" s="1166">
        <f>'House Count'!D1010</f>
        <v/>
      </c>
      <c r="F1010" s="1166">
        <f>IF(G1010="RES-SFU","RESIDENTIAL",IF(G1010="RES-HOA","RESIDENTIAL",IF(G1010="RES-MDU","RESIDENTIAL",IF(G1010="COMM-SU","BUSINESS",IF(G1010="COM-MTU","BUSINESS",IF(G1010="ENT","BUSINESS",""))))))</f>
        <v/>
      </c>
      <c r="G1010" s="1166">
        <f>'House Count'!F1010</f>
        <v/>
      </c>
      <c r="H1010" s="1166">
        <f>'House Count'!H1010</f>
        <v/>
      </c>
    </row>
    <row r="1011">
      <c r="A1011" s="1165">
        <f>'House Count'!A1011</f>
        <v/>
      </c>
      <c r="B1011" s="1166">
        <f>'House Count'!E1011</f>
        <v/>
      </c>
      <c r="C1011" s="1166">
        <f>'House Count'!B1011</f>
        <v/>
      </c>
      <c r="D1011" s="1166">
        <f>'House Count'!C1011</f>
        <v/>
      </c>
      <c r="E1011" s="1166">
        <f>'House Count'!D1011</f>
        <v/>
      </c>
      <c r="F1011" s="1166">
        <f>IF(G1011="RES-SFU","RESIDENTIAL",IF(G1011="RES-HOA","RESIDENTIAL",IF(G1011="RES-MDU","RESIDENTIAL",IF(G1011="COMM-SU","BUSINESS",IF(G1011="COM-MTU","BUSINESS",IF(G1011="ENT","BUSINESS",""))))))</f>
        <v/>
      </c>
      <c r="G1011" s="1166">
        <f>'House Count'!F1011</f>
        <v/>
      </c>
      <c r="H1011" s="1166">
        <f>'House Count'!H1011</f>
        <v/>
      </c>
    </row>
    <row r="1012">
      <c r="A1012" s="1165">
        <f>'House Count'!A1012</f>
        <v/>
      </c>
      <c r="B1012" s="1166">
        <f>'House Count'!E1012</f>
        <v/>
      </c>
      <c r="C1012" s="1166">
        <f>'House Count'!B1012</f>
        <v/>
      </c>
      <c r="D1012" s="1166">
        <f>'House Count'!C1012</f>
        <v/>
      </c>
      <c r="E1012" s="1166">
        <f>'House Count'!D1012</f>
        <v/>
      </c>
      <c r="F1012" s="1166">
        <f>IF(G1012="RES-SFU","RESIDENTIAL",IF(G1012="RES-HOA","RESIDENTIAL",IF(G1012="RES-MDU","RESIDENTIAL",IF(G1012="COMM-SU","BUSINESS",IF(G1012="COM-MTU","BUSINESS",IF(G1012="ENT","BUSINESS",""))))))</f>
        <v/>
      </c>
      <c r="G1012" s="1166">
        <f>'House Count'!F1012</f>
        <v/>
      </c>
      <c r="H1012" s="1166">
        <f>'House Count'!H1012</f>
        <v/>
      </c>
    </row>
    <row r="1013">
      <c r="A1013" s="1165">
        <f>'House Count'!A1013</f>
        <v/>
      </c>
      <c r="B1013" s="1166">
        <f>'House Count'!E1013</f>
        <v/>
      </c>
      <c r="C1013" s="1166">
        <f>'House Count'!B1013</f>
        <v/>
      </c>
      <c r="D1013" s="1166">
        <f>'House Count'!C1013</f>
        <v/>
      </c>
      <c r="E1013" s="1166">
        <f>'House Count'!D1013</f>
        <v/>
      </c>
      <c r="F1013" s="1166">
        <f>IF(G1013="RES-SFU","RESIDENTIAL",IF(G1013="RES-HOA","RESIDENTIAL",IF(G1013="RES-MDU","RESIDENTIAL",IF(G1013="COMM-SU","BUSINESS",IF(G1013="COM-MTU","BUSINESS",IF(G1013="ENT","BUSINESS",""))))))</f>
        <v/>
      </c>
      <c r="G1013" s="1166">
        <f>'House Count'!F1013</f>
        <v/>
      </c>
      <c r="H1013" s="1166">
        <f>'House Count'!H1013</f>
        <v/>
      </c>
    </row>
    <row r="1014">
      <c r="A1014" s="1165">
        <f>'House Count'!A1014</f>
        <v/>
      </c>
      <c r="B1014" s="1166">
        <f>'House Count'!E1014</f>
        <v/>
      </c>
      <c r="C1014" s="1166">
        <f>'House Count'!B1014</f>
        <v/>
      </c>
      <c r="D1014" s="1166">
        <f>'House Count'!C1014</f>
        <v/>
      </c>
      <c r="E1014" s="1166">
        <f>'House Count'!D1014</f>
        <v/>
      </c>
      <c r="F1014" s="1166">
        <f>IF(G1014="RES-SFU","RESIDENTIAL",IF(G1014="RES-HOA","RESIDENTIAL",IF(G1014="RES-MDU","RESIDENTIAL",IF(G1014="COMM-SU","BUSINESS",IF(G1014="COM-MTU","BUSINESS",IF(G1014="ENT","BUSINESS",""))))))</f>
        <v/>
      </c>
      <c r="G1014" s="1166">
        <f>'House Count'!F1014</f>
        <v/>
      </c>
      <c r="H1014" s="1166">
        <f>'House Count'!H1014</f>
        <v/>
      </c>
    </row>
    <row r="1015">
      <c r="A1015" s="1165">
        <f>'House Count'!A1015</f>
        <v/>
      </c>
      <c r="B1015" s="1166">
        <f>'House Count'!E1015</f>
        <v/>
      </c>
      <c r="C1015" s="1166">
        <f>'House Count'!B1015</f>
        <v/>
      </c>
      <c r="D1015" s="1166">
        <f>'House Count'!C1015</f>
        <v/>
      </c>
      <c r="E1015" s="1166">
        <f>'House Count'!D1015</f>
        <v/>
      </c>
      <c r="F1015" s="1166">
        <f>IF(G1015="RES-SFU","RESIDENTIAL",IF(G1015="RES-HOA","RESIDENTIAL",IF(G1015="RES-MDU","RESIDENTIAL",IF(G1015="COMM-SU","BUSINESS",IF(G1015="COM-MTU","BUSINESS",IF(G1015="ENT","BUSINESS",""))))))</f>
        <v/>
      </c>
      <c r="G1015" s="1166">
        <f>'House Count'!F1015</f>
        <v/>
      </c>
      <c r="H1015" s="1166">
        <f>'House Count'!H1015</f>
        <v/>
      </c>
    </row>
    <row r="1016">
      <c r="A1016" s="1165">
        <f>'House Count'!A1016</f>
        <v/>
      </c>
      <c r="B1016" s="1166">
        <f>'House Count'!E1016</f>
        <v/>
      </c>
      <c r="C1016" s="1166">
        <f>'House Count'!B1016</f>
        <v/>
      </c>
      <c r="D1016" s="1166">
        <f>'House Count'!C1016</f>
        <v/>
      </c>
      <c r="E1016" s="1166">
        <f>'House Count'!D1016</f>
        <v/>
      </c>
      <c r="F1016" s="1166">
        <f>IF(G1016="RES-SFU","RESIDENTIAL",IF(G1016="RES-HOA","RESIDENTIAL",IF(G1016="RES-MDU","RESIDENTIAL",IF(G1016="COMM-SU","BUSINESS",IF(G1016="COM-MTU","BUSINESS",IF(G1016="ENT","BUSINESS",""))))))</f>
        <v/>
      </c>
      <c r="G1016" s="1166">
        <f>'House Count'!F1016</f>
        <v/>
      </c>
      <c r="H1016" s="1166">
        <f>'House Count'!H1016</f>
        <v/>
      </c>
    </row>
    <row r="1017">
      <c r="A1017" s="1165">
        <f>'House Count'!A1017</f>
        <v/>
      </c>
      <c r="B1017" s="1166">
        <f>'House Count'!E1017</f>
        <v/>
      </c>
      <c r="C1017" s="1166">
        <f>'House Count'!B1017</f>
        <v/>
      </c>
      <c r="D1017" s="1166">
        <f>'House Count'!C1017</f>
        <v/>
      </c>
      <c r="E1017" s="1166">
        <f>'House Count'!D1017</f>
        <v/>
      </c>
      <c r="F1017" s="1166">
        <f>IF(G1017="RES-SFU","RESIDENTIAL",IF(G1017="RES-HOA","RESIDENTIAL",IF(G1017="RES-MDU","RESIDENTIAL",IF(G1017="COMM-SU","BUSINESS",IF(G1017="COM-MTU","BUSINESS",IF(G1017="ENT","BUSINESS",""))))))</f>
        <v/>
      </c>
      <c r="G1017" s="1166">
        <f>'House Count'!F1017</f>
        <v/>
      </c>
      <c r="H1017" s="1166">
        <f>'House Count'!H1017</f>
        <v/>
      </c>
    </row>
    <row r="1018">
      <c r="A1018" s="1165">
        <f>'House Count'!A1018</f>
        <v/>
      </c>
      <c r="B1018" s="1166">
        <f>'House Count'!E1018</f>
        <v/>
      </c>
      <c r="C1018" s="1166">
        <f>'House Count'!B1018</f>
        <v/>
      </c>
      <c r="D1018" s="1166">
        <f>'House Count'!C1018</f>
        <v/>
      </c>
      <c r="E1018" s="1166">
        <f>'House Count'!D1018</f>
        <v/>
      </c>
      <c r="F1018" s="1166">
        <f>IF(G1018="RES-SFU","RESIDENTIAL",IF(G1018="RES-HOA","RESIDENTIAL",IF(G1018="RES-MDU","RESIDENTIAL",IF(G1018="COMM-SU","BUSINESS",IF(G1018="COM-MTU","BUSINESS",IF(G1018="ENT","BUSINESS",""))))))</f>
        <v/>
      </c>
      <c r="G1018" s="1166">
        <f>'House Count'!F1018</f>
        <v/>
      </c>
      <c r="H1018" s="1166">
        <f>'House Count'!H1018</f>
        <v/>
      </c>
    </row>
    <row r="1019">
      <c r="A1019" s="1165">
        <f>'House Count'!A1019</f>
        <v/>
      </c>
      <c r="B1019" s="1166">
        <f>'House Count'!E1019</f>
        <v/>
      </c>
      <c r="C1019" s="1166">
        <f>'House Count'!B1019</f>
        <v/>
      </c>
      <c r="D1019" s="1166">
        <f>'House Count'!C1019</f>
        <v/>
      </c>
      <c r="E1019" s="1166">
        <f>'House Count'!D1019</f>
        <v/>
      </c>
      <c r="F1019" s="1166">
        <f>IF(G1019="RES-SFU","RESIDENTIAL",IF(G1019="RES-HOA","RESIDENTIAL",IF(G1019="RES-MDU","RESIDENTIAL",IF(G1019="COMM-SU","BUSINESS",IF(G1019="COM-MTU","BUSINESS",IF(G1019="ENT","BUSINESS",""))))))</f>
        <v/>
      </c>
      <c r="G1019" s="1166">
        <f>'House Count'!F1019</f>
        <v/>
      </c>
      <c r="H1019" s="1166">
        <f>'House Count'!H1019</f>
        <v/>
      </c>
    </row>
    <row r="1020">
      <c r="A1020" s="1165">
        <f>'House Count'!A1020</f>
        <v/>
      </c>
      <c r="B1020" s="1166">
        <f>'House Count'!E1020</f>
        <v/>
      </c>
      <c r="C1020" s="1166">
        <f>'House Count'!B1020</f>
        <v/>
      </c>
      <c r="D1020" s="1166">
        <f>'House Count'!C1020</f>
        <v/>
      </c>
      <c r="E1020" s="1166">
        <f>'House Count'!D1020</f>
        <v/>
      </c>
      <c r="F1020" s="1166">
        <f>IF(G1020="RES-SFU","RESIDENTIAL",IF(G1020="RES-HOA","RESIDENTIAL",IF(G1020="RES-MDU","RESIDENTIAL",IF(G1020="COMM-SU","BUSINESS",IF(G1020="COM-MTU","BUSINESS",IF(G1020="ENT","BUSINESS",""))))))</f>
        <v/>
      </c>
      <c r="G1020" s="1166">
        <f>'House Count'!F1020</f>
        <v/>
      </c>
      <c r="H1020" s="1166">
        <f>'House Count'!H1020</f>
        <v/>
      </c>
    </row>
    <row r="1021">
      <c r="A1021" s="1165">
        <f>'House Count'!A1021</f>
        <v/>
      </c>
      <c r="B1021" s="1166">
        <f>'House Count'!E1021</f>
        <v/>
      </c>
      <c r="C1021" s="1166">
        <f>'House Count'!B1021</f>
        <v/>
      </c>
      <c r="D1021" s="1166">
        <f>'House Count'!C1021</f>
        <v/>
      </c>
      <c r="E1021" s="1166">
        <f>'House Count'!D1021</f>
        <v/>
      </c>
      <c r="F1021" s="1166">
        <f>IF(G1021="RES-SFU","RESIDENTIAL",IF(G1021="RES-HOA","RESIDENTIAL",IF(G1021="RES-MDU","RESIDENTIAL",IF(G1021="COMM-SU","BUSINESS",IF(G1021="COM-MTU","BUSINESS",IF(G1021="ENT","BUSINESS",""))))))</f>
        <v/>
      </c>
      <c r="G1021" s="1166">
        <f>'House Count'!F1021</f>
        <v/>
      </c>
      <c r="H1021" s="1166">
        <f>'House Count'!H1021</f>
        <v/>
      </c>
    </row>
    <row r="1022">
      <c r="A1022" s="1165">
        <f>'House Count'!A1022</f>
        <v/>
      </c>
      <c r="B1022" s="1166">
        <f>'House Count'!E1022</f>
        <v/>
      </c>
      <c r="C1022" s="1166">
        <f>'House Count'!B1022</f>
        <v/>
      </c>
      <c r="D1022" s="1166">
        <f>'House Count'!C1022</f>
        <v/>
      </c>
      <c r="E1022" s="1166">
        <f>'House Count'!D1022</f>
        <v/>
      </c>
      <c r="F1022" s="1166">
        <f>IF(G1022="RES-SFU","RESIDENTIAL",IF(G1022="RES-HOA","RESIDENTIAL",IF(G1022="RES-MDU","RESIDENTIAL",IF(G1022="COMM-SU","BUSINESS",IF(G1022="COM-MTU","BUSINESS",IF(G1022="ENT","BUSINESS",""))))))</f>
        <v/>
      </c>
      <c r="G1022" s="1166">
        <f>'House Count'!F1022</f>
        <v/>
      </c>
      <c r="H1022" s="1166">
        <f>'House Count'!H1022</f>
        <v/>
      </c>
    </row>
    <row r="1023">
      <c r="A1023" s="1165">
        <f>'House Count'!A1023</f>
        <v/>
      </c>
      <c r="B1023" s="1166">
        <f>'House Count'!E1023</f>
        <v/>
      </c>
      <c r="C1023" s="1166">
        <f>'House Count'!B1023</f>
        <v/>
      </c>
      <c r="D1023" s="1166">
        <f>'House Count'!C1023</f>
        <v/>
      </c>
      <c r="E1023" s="1166">
        <f>'House Count'!D1023</f>
        <v/>
      </c>
      <c r="F1023" s="1166">
        <f>IF(G1023="RES-SFU","RESIDENTIAL",IF(G1023="RES-HOA","RESIDENTIAL",IF(G1023="RES-MDU","RESIDENTIAL",IF(G1023="COMM-SU","BUSINESS",IF(G1023="COM-MTU","BUSINESS",IF(G1023="ENT","BUSINESS",""))))))</f>
        <v/>
      </c>
      <c r="G1023" s="1166">
        <f>'House Count'!F1023</f>
        <v/>
      </c>
      <c r="H1023" s="1166">
        <f>'House Count'!H1023</f>
        <v/>
      </c>
    </row>
    <row r="1024">
      <c r="A1024" s="1165">
        <f>'House Count'!A1024</f>
        <v/>
      </c>
      <c r="B1024" s="1166">
        <f>'House Count'!E1024</f>
        <v/>
      </c>
      <c r="C1024" s="1166">
        <f>'House Count'!B1024</f>
        <v/>
      </c>
      <c r="D1024" s="1166">
        <f>'House Count'!C1024</f>
        <v/>
      </c>
      <c r="E1024" s="1166">
        <f>'House Count'!D1024</f>
        <v/>
      </c>
      <c r="F1024" s="1166">
        <f>IF(G1024="RES-SFU","RESIDENTIAL",IF(G1024="RES-HOA","RESIDENTIAL",IF(G1024="RES-MDU","RESIDENTIAL",IF(G1024="COMM-SU","BUSINESS",IF(G1024="COM-MTU","BUSINESS",IF(G1024="ENT","BUSINESS",""))))))</f>
        <v/>
      </c>
      <c r="G1024" s="1166">
        <f>'House Count'!F1024</f>
        <v/>
      </c>
      <c r="H1024" s="1166">
        <f>'House Count'!H1024</f>
        <v/>
      </c>
    </row>
    <row r="1025">
      <c r="A1025" s="1165">
        <f>'House Count'!A1025</f>
        <v/>
      </c>
      <c r="B1025" s="1166">
        <f>'House Count'!E1025</f>
        <v/>
      </c>
      <c r="C1025" s="1166">
        <f>'House Count'!B1025</f>
        <v/>
      </c>
      <c r="D1025" s="1166">
        <f>'House Count'!C1025</f>
        <v/>
      </c>
      <c r="E1025" s="1166">
        <f>'House Count'!D1025</f>
        <v/>
      </c>
      <c r="F1025" s="1166">
        <f>IF(G1025="RES-SFU","RESIDENTIAL",IF(G1025="RES-HOA","RESIDENTIAL",IF(G1025="RES-MDU","RESIDENTIAL",IF(G1025="COMM-SU","BUSINESS",IF(G1025="COM-MTU","BUSINESS",IF(G1025="ENT","BUSINESS",""))))))</f>
        <v/>
      </c>
      <c r="G1025" s="1166">
        <f>'House Count'!F1025</f>
        <v/>
      </c>
      <c r="H1025" s="1166">
        <f>'House Count'!H1025</f>
        <v/>
      </c>
    </row>
    <row r="1026">
      <c r="A1026" s="1165">
        <f>'House Count'!A1026</f>
        <v/>
      </c>
      <c r="B1026" s="1166">
        <f>'House Count'!E1026</f>
        <v/>
      </c>
      <c r="C1026" s="1166">
        <f>'House Count'!B1026</f>
        <v/>
      </c>
      <c r="D1026" s="1166">
        <f>'House Count'!C1026</f>
        <v/>
      </c>
      <c r="E1026" s="1166">
        <f>'House Count'!D1026</f>
        <v/>
      </c>
      <c r="F1026" s="1166">
        <f>IF(G1026="RES-SFU","RESIDENTIAL",IF(G1026="RES-HOA","RESIDENTIAL",IF(G1026="RES-MDU","RESIDENTIAL",IF(G1026="COMM-SU","BUSINESS",IF(G1026="COM-MTU","BUSINESS",IF(G1026="ENT","BUSINESS",""))))))</f>
        <v/>
      </c>
      <c r="G1026" s="1166">
        <f>'House Count'!F1026</f>
        <v/>
      </c>
      <c r="H1026" s="1166">
        <f>'House Count'!H1026</f>
        <v/>
      </c>
    </row>
    <row r="1027">
      <c r="A1027" s="1165">
        <f>'House Count'!A1027</f>
        <v/>
      </c>
      <c r="B1027" s="1166">
        <f>'House Count'!E1027</f>
        <v/>
      </c>
      <c r="C1027" s="1166">
        <f>'House Count'!B1027</f>
        <v/>
      </c>
      <c r="D1027" s="1166">
        <f>'House Count'!C1027</f>
        <v/>
      </c>
      <c r="E1027" s="1166">
        <f>'House Count'!D1027</f>
        <v/>
      </c>
      <c r="F1027" s="1166">
        <f>IF(G1027="RES-SFU","RESIDENTIAL",IF(G1027="RES-HOA","RESIDENTIAL",IF(G1027="RES-MDU","RESIDENTIAL",IF(G1027="COMM-SU","BUSINESS",IF(G1027="COM-MTU","BUSINESS",IF(G1027="ENT","BUSINESS",""))))))</f>
        <v/>
      </c>
      <c r="G1027" s="1166">
        <f>'House Count'!F1027</f>
        <v/>
      </c>
      <c r="H1027" s="1166">
        <f>'House Count'!H1027</f>
        <v/>
      </c>
    </row>
    <row r="1028">
      <c r="A1028" s="1165">
        <f>'House Count'!A1028</f>
        <v/>
      </c>
      <c r="B1028" s="1166">
        <f>'House Count'!E1028</f>
        <v/>
      </c>
      <c r="C1028" s="1166">
        <f>'House Count'!B1028</f>
        <v/>
      </c>
      <c r="D1028" s="1166">
        <f>'House Count'!C1028</f>
        <v/>
      </c>
      <c r="E1028" s="1166">
        <f>'House Count'!D1028</f>
        <v/>
      </c>
      <c r="F1028" s="1166">
        <f>IF(G1028="RES-SFU","RESIDENTIAL",IF(G1028="RES-HOA","RESIDENTIAL",IF(G1028="RES-MDU","RESIDENTIAL",IF(G1028="COMM-SU","BUSINESS",IF(G1028="COM-MTU","BUSINESS",IF(G1028="ENT","BUSINESS",""))))))</f>
        <v/>
      </c>
      <c r="G1028" s="1166">
        <f>'House Count'!F1028</f>
        <v/>
      </c>
      <c r="H1028" s="1166">
        <f>'House Count'!H1028</f>
        <v/>
      </c>
    </row>
    <row r="1029">
      <c r="A1029" s="1165">
        <f>'House Count'!A1029</f>
        <v/>
      </c>
      <c r="B1029" s="1166">
        <f>'House Count'!E1029</f>
        <v/>
      </c>
      <c r="C1029" s="1166">
        <f>'House Count'!B1029</f>
        <v/>
      </c>
      <c r="D1029" s="1166">
        <f>'House Count'!C1029</f>
        <v/>
      </c>
      <c r="E1029" s="1166">
        <f>'House Count'!D1029</f>
        <v/>
      </c>
      <c r="F1029" s="1166">
        <f>IF(G1029="RES-SFU","RESIDENTIAL",IF(G1029="RES-HOA","RESIDENTIAL",IF(G1029="RES-MDU","RESIDENTIAL",IF(G1029="COMM-SU","BUSINESS",IF(G1029="COM-MTU","BUSINESS",IF(G1029="ENT","BUSINESS",""))))))</f>
        <v/>
      </c>
      <c r="G1029" s="1166">
        <f>'House Count'!F1029</f>
        <v/>
      </c>
      <c r="H1029" s="1166">
        <f>'House Count'!H1029</f>
        <v/>
      </c>
    </row>
    <row r="1030">
      <c r="A1030" s="1165">
        <f>'House Count'!A1030</f>
        <v/>
      </c>
      <c r="B1030" s="1166">
        <f>'House Count'!E1030</f>
        <v/>
      </c>
      <c r="C1030" s="1166">
        <f>'House Count'!B1030</f>
        <v/>
      </c>
      <c r="D1030" s="1166">
        <f>'House Count'!C1030</f>
        <v/>
      </c>
      <c r="E1030" s="1166">
        <f>'House Count'!D1030</f>
        <v/>
      </c>
      <c r="F1030" s="1166">
        <f>IF(G1030="RES-SFU","RESIDENTIAL",IF(G1030="RES-HOA","RESIDENTIAL",IF(G1030="RES-MDU","RESIDENTIAL",IF(G1030="COMM-SU","BUSINESS",IF(G1030="COM-MTU","BUSINESS",IF(G1030="ENT","BUSINESS",""))))))</f>
        <v/>
      </c>
      <c r="G1030" s="1166">
        <f>'House Count'!F1030</f>
        <v/>
      </c>
      <c r="H1030" s="1166">
        <f>'House Count'!H1030</f>
        <v/>
      </c>
    </row>
    <row r="1031">
      <c r="A1031" s="1165">
        <f>'House Count'!A1031</f>
        <v/>
      </c>
      <c r="B1031" s="1166">
        <f>'House Count'!E1031</f>
        <v/>
      </c>
      <c r="C1031" s="1166">
        <f>'House Count'!B1031</f>
        <v/>
      </c>
      <c r="D1031" s="1166">
        <f>'House Count'!C1031</f>
        <v/>
      </c>
      <c r="E1031" s="1166">
        <f>'House Count'!D1031</f>
        <v/>
      </c>
      <c r="F1031" s="1166">
        <f>IF(G1031="RES-SFU","RESIDENTIAL",IF(G1031="RES-HOA","RESIDENTIAL",IF(G1031="RES-MDU","RESIDENTIAL",IF(G1031="COMM-SU","BUSINESS",IF(G1031="COM-MTU","BUSINESS",IF(G1031="ENT","BUSINESS",""))))))</f>
        <v/>
      </c>
      <c r="G1031" s="1166">
        <f>'House Count'!F1031</f>
        <v/>
      </c>
      <c r="H1031" s="1166">
        <f>'House Count'!H1031</f>
        <v/>
      </c>
    </row>
    <row r="1032">
      <c r="A1032" s="1165">
        <f>'House Count'!A1032</f>
        <v/>
      </c>
      <c r="B1032" s="1166">
        <f>'House Count'!E1032</f>
        <v/>
      </c>
      <c r="C1032" s="1166">
        <f>'House Count'!B1032</f>
        <v/>
      </c>
      <c r="D1032" s="1166">
        <f>'House Count'!C1032</f>
        <v/>
      </c>
      <c r="E1032" s="1166">
        <f>'House Count'!D1032</f>
        <v/>
      </c>
      <c r="F1032" s="1166">
        <f>IF(G1032="RES-SFU","RESIDENTIAL",IF(G1032="RES-HOA","RESIDENTIAL",IF(G1032="RES-MDU","RESIDENTIAL",IF(G1032="COMM-SU","BUSINESS",IF(G1032="COM-MTU","BUSINESS",IF(G1032="ENT","BUSINESS",""))))))</f>
        <v/>
      </c>
      <c r="G1032" s="1166">
        <f>'House Count'!F1032</f>
        <v/>
      </c>
      <c r="H1032" s="1166">
        <f>'House Count'!H1032</f>
        <v/>
      </c>
    </row>
    <row r="1033">
      <c r="A1033" s="1165">
        <f>'House Count'!A1033</f>
        <v/>
      </c>
      <c r="B1033" s="1166">
        <f>'House Count'!E1033</f>
        <v/>
      </c>
      <c r="C1033" s="1166">
        <f>'House Count'!B1033</f>
        <v/>
      </c>
      <c r="D1033" s="1166">
        <f>'House Count'!C1033</f>
        <v/>
      </c>
      <c r="E1033" s="1166">
        <f>'House Count'!D1033</f>
        <v/>
      </c>
      <c r="F1033" s="1166">
        <f>IF(G1033="RES-SFU","RESIDENTIAL",IF(G1033="RES-HOA","RESIDENTIAL",IF(G1033="RES-MDU","RESIDENTIAL",IF(G1033="COMM-SU","BUSINESS",IF(G1033="COM-MTU","BUSINESS",IF(G1033="ENT","BUSINESS",""))))))</f>
        <v/>
      </c>
      <c r="G1033" s="1166">
        <f>'House Count'!F1033</f>
        <v/>
      </c>
      <c r="H1033" s="1166">
        <f>'House Count'!H1033</f>
        <v/>
      </c>
    </row>
    <row r="1034">
      <c r="A1034" s="1165">
        <f>'House Count'!A1034</f>
        <v/>
      </c>
      <c r="B1034" s="1166">
        <f>'House Count'!E1034</f>
        <v/>
      </c>
      <c r="C1034" s="1166">
        <f>'House Count'!B1034</f>
        <v/>
      </c>
      <c r="D1034" s="1166">
        <f>'House Count'!C1034</f>
        <v/>
      </c>
      <c r="E1034" s="1166">
        <f>'House Count'!D1034</f>
        <v/>
      </c>
      <c r="F1034" s="1166">
        <f>IF(G1034="RES-SFU","RESIDENTIAL",IF(G1034="RES-HOA","RESIDENTIAL",IF(G1034="RES-MDU","RESIDENTIAL",IF(G1034="COMM-SU","BUSINESS",IF(G1034="COM-MTU","BUSINESS",IF(G1034="ENT","BUSINESS",""))))))</f>
        <v/>
      </c>
      <c r="G1034" s="1166">
        <f>'House Count'!F1034</f>
        <v/>
      </c>
      <c r="H1034" s="1166">
        <f>'House Count'!H1034</f>
        <v/>
      </c>
    </row>
    <row r="1035">
      <c r="A1035" s="1165">
        <f>'House Count'!A1035</f>
        <v/>
      </c>
      <c r="B1035" s="1166">
        <f>'House Count'!E1035</f>
        <v/>
      </c>
      <c r="C1035" s="1166">
        <f>'House Count'!B1035</f>
        <v/>
      </c>
      <c r="D1035" s="1166">
        <f>'House Count'!C1035</f>
        <v/>
      </c>
      <c r="E1035" s="1166">
        <f>'House Count'!D1035</f>
        <v/>
      </c>
      <c r="F1035" s="1166">
        <f>IF(G1035="RES-SFU","RESIDENTIAL",IF(G1035="RES-HOA","RESIDENTIAL",IF(G1035="RES-MDU","RESIDENTIAL",IF(G1035="COMM-SU","BUSINESS",IF(G1035="COM-MTU","BUSINESS",IF(G1035="ENT","BUSINESS",""))))))</f>
        <v/>
      </c>
      <c r="G1035" s="1166">
        <f>'House Count'!F1035</f>
        <v/>
      </c>
      <c r="H1035" s="1166">
        <f>'House Count'!H1035</f>
        <v/>
      </c>
    </row>
    <row r="1036">
      <c r="A1036" s="1165">
        <f>'House Count'!A1036</f>
        <v/>
      </c>
      <c r="B1036" s="1166">
        <f>'House Count'!E1036</f>
        <v/>
      </c>
      <c r="C1036" s="1166">
        <f>'House Count'!B1036</f>
        <v/>
      </c>
      <c r="D1036" s="1166">
        <f>'House Count'!C1036</f>
        <v/>
      </c>
      <c r="E1036" s="1166">
        <f>'House Count'!D1036</f>
        <v/>
      </c>
      <c r="F1036" s="1166">
        <f>IF(G1036="RES-SFU","RESIDENTIAL",IF(G1036="RES-HOA","RESIDENTIAL",IF(G1036="RES-MDU","RESIDENTIAL",IF(G1036="COMM-SU","BUSINESS",IF(G1036="COM-MTU","BUSINESS",IF(G1036="ENT","BUSINESS",""))))))</f>
        <v/>
      </c>
      <c r="G1036" s="1166">
        <f>'House Count'!F1036</f>
        <v/>
      </c>
      <c r="H1036" s="1166">
        <f>'House Count'!H1036</f>
        <v/>
      </c>
    </row>
    <row r="1037">
      <c r="A1037" s="1165">
        <f>'House Count'!A1037</f>
        <v/>
      </c>
      <c r="B1037" s="1166">
        <f>'House Count'!E1037</f>
        <v/>
      </c>
      <c r="C1037" s="1166">
        <f>'House Count'!B1037</f>
        <v/>
      </c>
      <c r="D1037" s="1166">
        <f>'House Count'!C1037</f>
        <v/>
      </c>
      <c r="E1037" s="1166">
        <f>'House Count'!D1037</f>
        <v/>
      </c>
      <c r="F1037" s="1166">
        <f>IF(G1037="RES-SFU","RESIDENTIAL",IF(G1037="RES-HOA","RESIDENTIAL",IF(G1037="RES-MDU","RESIDENTIAL",IF(G1037="COMM-SU","BUSINESS",IF(G1037="COM-MTU","BUSINESS",IF(G1037="ENT","BUSINESS",""))))))</f>
        <v/>
      </c>
      <c r="G1037" s="1166">
        <f>'House Count'!F1037</f>
        <v/>
      </c>
      <c r="H1037" s="1166">
        <f>'House Count'!H1037</f>
        <v/>
      </c>
    </row>
    <row r="1038">
      <c r="A1038" s="1165">
        <f>'House Count'!A1038</f>
        <v/>
      </c>
      <c r="B1038" s="1166">
        <f>'House Count'!E1038</f>
        <v/>
      </c>
      <c r="C1038" s="1166">
        <f>'House Count'!B1038</f>
        <v/>
      </c>
      <c r="D1038" s="1166">
        <f>'House Count'!C1038</f>
        <v/>
      </c>
      <c r="E1038" s="1166">
        <f>'House Count'!D1038</f>
        <v/>
      </c>
      <c r="F1038" s="1166">
        <f>IF(G1038="RES-SFU","RESIDENTIAL",IF(G1038="RES-HOA","RESIDENTIAL",IF(G1038="RES-MDU","RESIDENTIAL",IF(G1038="COMM-SU","BUSINESS",IF(G1038="COM-MTU","BUSINESS",IF(G1038="ENT","BUSINESS",""))))))</f>
        <v/>
      </c>
      <c r="G1038" s="1166">
        <f>'House Count'!F1038</f>
        <v/>
      </c>
      <c r="H1038" s="1166">
        <f>'House Count'!H1038</f>
        <v/>
      </c>
    </row>
    <row r="1039">
      <c r="A1039" s="1165">
        <f>'House Count'!A1039</f>
        <v/>
      </c>
      <c r="B1039" s="1166">
        <f>'House Count'!E1039</f>
        <v/>
      </c>
      <c r="C1039" s="1166">
        <f>'House Count'!B1039</f>
        <v/>
      </c>
      <c r="D1039" s="1166">
        <f>'House Count'!C1039</f>
        <v/>
      </c>
      <c r="E1039" s="1166">
        <f>'House Count'!D1039</f>
        <v/>
      </c>
      <c r="F1039" s="1166">
        <f>IF(G1039="RES-SFU","RESIDENTIAL",IF(G1039="RES-HOA","RESIDENTIAL",IF(G1039="RES-MDU","RESIDENTIAL",IF(G1039="COMM-SU","BUSINESS",IF(G1039="COM-MTU","BUSINESS",IF(G1039="ENT","BUSINESS",""))))))</f>
        <v/>
      </c>
      <c r="G1039" s="1166">
        <f>'House Count'!F1039</f>
        <v/>
      </c>
      <c r="H1039" s="1166">
        <f>'House Count'!H1039</f>
        <v/>
      </c>
    </row>
    <row r="1040">
      <c r="A1040" s="1165">
        <f>'House Count'!A1040</f>
        <v/>
      </c>
      <c r="B1040" s="1166">
        <f>'House Count'!E1040</f>
        <v/>
      </c>
      <c r="C1040" s="1166">
        <f>'House Count'!B1040</f>
        <v/>
      </c>
      <c r="D1040" s="1166">
        <f>'House Count'!C1040</f>
        <v/>
      </c>
      <c r="E1040" s="1166">
        <f>'House Count'!D1040</f>
        <v/>
      </c>
      <c r="F1040" s="1166">
        <f>IF(G1040="RES-SFU","RESIDENTIAL",IF(G1040="RES-HOA","RESIDENTIAL",IF(G1040="RES-MDU","RESIDENTIAL",IF(G1040="COMM-SU","BUSINESS",IF(G1040="COM-MTU","BUSINESS",IF(G1040="ENT","BUSINESS",""))))))</f>
        <v/>
      </c>
      <c r="G1040" s="1166">
        <f>'House Count'!F1040</f>
        <v/>
      </c>
      <c r="H1040" s="1166">
        <f>'House Count'!H1040</f>
        <v/>
      </c>
    </row>
    <row r="1041">
      <c r="A1041" s="1165">
        <f>'House Count'!A1041</f>
        <v/>
      </c>
      <c r="B1041" s="1166">
        <f>'House Count'!E1041</f>
        <v/>
      </c>
      <c r="C1041" s="1166">
        <f>'House Count'!B1041</f>
        <v/>
      </c>
      <c r="D1041" s="1166">
        <f>'House Count'!C1041</f>
        <v/>
      </c>
      <c r="E1041" s="1166">
        <f>'House Count'!D1041</f>
        <v/>
      </c>
      <c r="F1041" s="1166">
        <f>IF(G1041="RES-SFU","RESIDENTIAL",IF(G1041="RES-HOA","RESIDENTIAL",IF(G1041="RES-MDU","RESIDENTIAL",IF(G1041="COMM-SU","BUSINESS",IF(G1041="COM-MTU","BUSINESS",IF(G1041="ENT","BUSINESS",""))))))</f>
        <v/>
      </c>
      <c r="G1041" s="1166">
        <f>'House Count'!F1041</f>
        <v/>
      </c>
      <c r="H1041" s="1166">
        <f>'House Count'!H1041</f>
        <v/>
      </c>
    </row>
    <row r="1042">
      <c r="A1042" s="1165">
        <f>'House Count'!A1042</f>
        <v/>
      </c>
      <c r="B1042" s="1166">
        <f>'House Count'!E1042</f>
        <v/>
      </c>
      <c r="C1042" s="1166">
        <f>'House Count'!B1042</f>
        <v/>
      </c>
      <c r="D1042" s="1166">
        <f>'House Count'!C1042</f>
        <v/>
      </c>
      <c r="E1042" s="1166">
        <f>'House Count'!D1042</f>
        <v/>
      </c>
      <c r="F1042" s="1166">
        <f>IF(G1042="RES-SFU","RESIDENTIAL",IF(G1042="RES-HOA","RESIDENTIAL",IF(G1042="RES-MDU","RESIDENTIAL",IF(G1042="COMM-SU","BUSINESS",IF(G1042="COM-MTU","BUSINESS",IF(G1042="ENT","BUSINESS",""))))))</f>
        <v/>
      </c>
      <c r="G1042" s="1166">
        <f>'House Count'!F1042</f>
        <v/>
      </c>
      <c r="H1042" s="1166">
        <f>'House Count'!H1042</f>
        <v/>
      </c>
    </row>
    <row r="1043">
      <c r="A1043" s="1165">
        <f>'House Count'!A1043</f>
        <v/>
      </c>
      <c r="B1043" s="1166">
        <f>'House Count'!E1043</f>
        <v/>
      </c>
      <c r="C1043" s="1166">
        <f>'House Count'!B1043</f>
        <v/>
      </c>
      <c r="D1043" s="1166">
        <f>'House Count'!C1043</f>
        <v/>
      </c>
      <c r="E1043" s="1166">
        <f>'House Count'!D1043</f>
        <v/>
      </c>
      <c r="F1043" s="1166">
        <f>IF(G1043="RES-SFU","RESIDENTIAL",IF(G1043="RES-HOA","RESIDENTIAL",IF(G1043="RES-MDU","RESIDENTIAL",IF(G1043="COMM-SU","BUSINESS",IF(G1043="COM-MTU","BUSINESS",IF(G1043="ENT","BUSINESS",""))))))</f>
        <v/>
      </c>
      <c r="G1043" s="1166">
        <f>'House Count'!F1043</f>
        <v/>
      </c>
      <c r="H1043" s="1166">
        <f>'House Count'!H1043</f>
        <v/>
      </c>
    </row>
    <row r="1044">
      <c r="A1044" s="1165">
        <f>'House Count'!A1044</f>
        <v/>
      </c>
      <c r="B1044" s="1166">
        <f>'House Count'!E1044</f>
        <v/>
      </c>
      <c r="C1044" s="1166">
        <f>'House Count'!B1044</f>
        <v/>
      </c>
      <c r="D1044" s="1166">
        <f>'House Count'!C1044</f>
        <v/>
      </c>
      <c r="E1044" s="1166">
        <f>'House Count'!D1044</f>
        <v/>
      </c>
      <c r="F1044" s="1166">
        <f>IF(G1044="RES-SFU","RESIDENTIAL",IF(G1044="RES-HOA","RESIDENTIAL",IF(G1044="RES-MDU","RESIDENTIAL",IF(G1044="COMM-SU","BUSINESS",IF(G1044="COM-MTU","BUSINESS",IF(G1044="ENT","BUSINESS",""))))))</f>
        <v/>
      </c>
      <c r="G1044" s="1166">
        <f>'House Count'!F1044</f>
        <v/>
      </c>
      <c r="H1044" s="1166">
        <f>'House Count'!H1044</f>
        <v/>
      </c>
    </row>
    <row r="1045">
      <c r="A1045" s="1165">
        <f>'House Count'!A1045</f>
        <v/>
      </c>
      <c r="B1045" s="1166">
        <f>'House Count'!E1045</f>
        <v/>
      </c>
      <c r="C1045" s="1166">
        <f>'House Count'!B1045</f>
        <v/>
      </c>
      <c r="D1045" s="1166">
        <f>'House Count'!C1045</f>
        <v/>
      </c>
      <c r="E1045" s="1166">
        <f>'House Count'!D1045</f>
        <v/>
      </c>
      <c r="F1045" s="1166">
        <f>IF(G1045="RES-SFU","RESIDENTIAL",IF(G1045="RES-HOA","RESIDENTIAL",IF(G1045="RES-MDU","RESIDENTIAL",IF(G1045="COMM-SU","BUSINESS",IF(G1045="COM-MTU","BUSINESS",IF(G1045="ENT","BUSINESS",""))))))</f>
        <v/>
      </c>
      <c r="G1045" s="1166">
        <f>'House Count'!F1045</f>
        <v/>
      </c>
      <c r="H1045" s="1166">
        <f>'House Count'!H1045</f>
        <v/>
      </c>
    </row>
    <row r="1046">
      <c r="A1046" s="1165">
        <f>'House Count'!A1046</f>
        <v/>
      </c>
      <c r="B1046" s="1166">
        <f>'House Count'!E1046</f>
        <v/>
      </c>
      <c r="C1046" s="1166">
        <f>'House Count'!B1046</f>
        <v/>
      </c>
      <c r="D1046" s="1166">
        <f>'House Count'!C1046</f>
        <v/>
      </c>
      <c r="E1046" s="1166">
        <f>'House Count'!D1046</f>
        <v/>
      </c>
      <c r="F1046" s="1166">
        <f>IF(G1046="RES-SFU","RESIDENTIAL",IF(G1046="RES-HOA","RESIDENTIAL",IF(G1046="RES-MDU","RESIDENTIAL",IF(G1046="COMM-SU","BUSINESS",IF(G1046="COM-MTU","BUSINESS",IF(G1046="ENT","BUSINESS",""))))))</f>
        <v/>
      </c>
      <c r="G1046" s="1166">
        <f>'House Count'!F1046</f>
        <v/>
      </c>
      <c r="H1046" s="1166">
        <f>'House Count'!H1046</f>
        <v/>
      </c>
    </row>
    <row r="1047">
      <c r="A1047" s="1165">
        <f>'House Count'!A1047</f>
        <v/>
      </c>
      <c r="B1047" s="1166">
        <f>'House Count'!E1047</f>
        <v/>
      </c>
      <c r="C1047" s="1166">
        <f>'House Count'!B1047</f>
        <v/>
      </c>
      <c r="D1047" s="1166">
        <f>'House Count'!C1047</f>
        <v/>
      </c>
      <c r="E1047" s="1166">
        <f>'House Count'!D1047</f>
        <v/>
      </c>
      <c r="F1047" s="1166">
        <f>IF(G1047="RES-SFU","RESIDENTIAL",IF(G1047="RES-HOA","RESIDENTIAL",IF(G1047="RES-MDU","RESIDENTIAL",IF(G1047="COMM-SU","BUSINESS",IF(G1047="COM-MTU","BUSINESS",IF(G1047="ENT","BUSINESS",""))))))</f>
        <v/>
      </c>
      <c r="G1047" s="1166">
        <f>'House Count'!F1047</f>
        <v/>
      </c>
      <c r="H1047" s="1166">
        <f>'House Count'!H1047</f>
        <v/>
      </c>
    </row>
    <row r="1048">
      <c r="A1048" s="1165">
        <f>'House Count'!A1048</f>
        <v/>
      </c>
      <c r="B1048" s="1166">
        <f>'House Count'!E1048</f>
        <v/>
      </c>
      <c r="C1048" s="1166">
        <f>'House Count'!B1048</f>
        <v/>
      </c>
      <c r="D1048" s="1166">
        <f>'House Count'!C1048</f>
        <v/>
      </c>
      <c r="E1048" s="1166">
        <f>'House Count'!D1048</f>
        <v/>
      </c>
      <c r="F1048" s="1166">
        <f>IF(G1048="RES-SFU","RESIDENTIAL",IF(G1048="RES-HOA","RESIDENTIAL",IF(G1048="RES-MDU","RESIDENTIAL",IF(G1048="COMM-SU","BUSINESS",IF(G1048="COM-MTU","BUSINESS",IF(G1048="ENT","BUSINESS",""))))))</f>
        <v/>
      </c>
      <c r="G1048" s="1166">
        <f>'House Count'!F1048</f>
        <v/>
      </c>
      <c r="H1048" s="1166">
        <f>'House Count'!H1048</f>
        <v/>
      </c>
    </row>
    <row r="1049">
      <c r="A1049" s="1165">
        <f>'House Count'!A1049</f>
        <v/>
      </c>
      <c r="B1049" s="1166">
        <f>'House Count'!E1049</f>
        <v/>
      </c>
      <c r="C1049" s="1166">
        <f>'House Count'!B1049</f>
        <v/>
      </c>
      <c r="D1049" s="1166">
        <f>'House Count'!C1049</f>
        <v/>
      </c>
      <c r="E1049" s="1166">
        <f>'House Count'!D1049</f>
        <v/>
      </c>
      <c r="F1049" s="1166">
        <f>IF(G1049="RES-SFU","RESIDENTIAL",IF(G1049="RES-HOA","RESIDENTIAL",IF(G1049="RES-MDU","RESIDENTIAL",IF(G1049="COMM-SU","BUSINESS",IF(G1049="COM-MTU","BUSINESS",IF(G1049="ENT","BUSINESS",""))))))</f>
        <v/>
      </c>
      <c r="G1049" s="1166">
        <f>'House Count'!F1049</f>
        <v/>
      </c>
      <c r="H1049" s="1166">
        <f>'House Count'!H1049</f>
        <v/>
      </c>
    </row>
    <row r="1050">
      <c r="A1050" s="1165">
        <f>'House Count'!A1050</f>
        <v/>
      </c>
      <c r="B1050" s="1166">
        <f>'House Count'!E1050</f>
        <v/>
      </c>
      <c r="C1050" s="1166">
        <f>'House Count'!B1050</f>
        <v/>
      </c>
      <c r="D1050" s="1166">
        <f>'House Count'!C1050</f>
        <v/>
      </c>
      <c r="E1050" s="1166">
        <f>'House Count'!D1050</f>
        <v/>
      </c>
      <c r="F1050" s="1166">
        <f>IF(G1050="RES-SFU","RESIDENTIAL",IF(G1050="RES-HOA","RESIDENTIAL",IF(G1050="RES-MDU","RESIDENTIAL",IF(G1050="COMM-SU","BUSINESS",IF(G1050="COM-MTU","BUSINESS",IF(G1050="ENT","BUSINESS",""))))))</f>
        <v/>
      </c>
      <c r="G1050" s="1166">
        <f>'House Count'!F1050</f>
        <v/>
      </c>
      <c r="H1050" s="1166">
        <f>'House Count'!H1050</f>
        <v/>
      </c>
    </row>
    <row r="1051">
      <c r="A1051" s="1165">
        <f>'House Count'!A1051</f>
        <v/>
      </c>
      <c r="B1051" s="1166">
        <f>'House Count'!E1051</f>
        <v/>
      </c>
      <c r="C1051" s="1166">
        <f>'House Count'!B1051</f>
        <v/>
      </c>
      <c r="D1051" s="1166">
        <f>'House Count'!C1051</f>
        <v/>
      </c>
      <c r="E1051" s="1166">
        <f>'House Count'!D1051</f>
        <v/>
      </c>
      <c r="F1051" s="1166">
        <f>IF(G1051="RES-SFU","RESIDENTIAL",IF(G1051="RES-HOA","RESIDENTIAL",IF(G1051="RES-MDU","RESIDENTIAL",IF(G1051="COMM-SU","BUSINESS",IF(G1051="COM-MTU","BUSINESS",IF(G1051="ENT","BUSINESS",""))))))</f>
        <v/>
      </c>
      <c r="G1051" s="1166">
        <f>'House Count'!F1051</f>
        <v/>
      </c>
      <c r="H1051" s="1166">
        <f>'House Count'!H1051</f>
        <v/>
      </c>
    </row>
    <row r="1052">
      <c r="A1052" s="1165">
        <f>'House Count'!A1052</f>
        <v/>
      </c>
      <c r="B1052" s="1166">
        <f>'House Count'!E1052</f>
        <v/>
      </c>
      <c r="C1052" s="1166">
        <f>'House Count'!B1052</f>
        <v/>
      </c>
      <c r="D1052" s="1166">
        <f>'House Count'!C1052</f>
        <v/>
      </c>
      <c r="E1052" s="1166">
        <f>'House Count'!D1052</f>
        <v/>
      </c>
      <c r="F1052" s="1166">
        <f>IF(G1052="RES-SFU","RESIDENTIAL",IF(G1052="RES-HOA","RESIDENTIAL",IF(G1052="RES-MDU","RESIDENTIAL",IF(G1052="COMM-SU","BUSINESS",IF(G1052="COM-MTU","BUSINESS",IF(G1052="ENT","BUSINESS",""))))))</f>
        <v/>
      </c>
      <c r="G1052" s="1166">
        <f>'House Count'!F1052</f>
        <v/>
      </c>
      <c r="H1052" s="1166">
        <f>'House Count'!H1052</f>
        <v/>
      </c>
    </row>
    <row r="1053">
      <c r="A1053" s="1165">
        <f>'House Count'!A1053</f>
        <v/>
      </c>
      <c r="B1053" s="1166">
        <f>'House Count'!E1053</f>
        <v/>
      </c>
      <c r="C1053" s="1166">
        <f>'House Count'!B1053</f>
        <v/>
      </c>
      <c r="D1053" s="1166">
        <f>'House Count'!C1053</f>
        <v/>
      </c>
      <c r="E1053" s="1166">
        <f>'House Count'!D1053</f>
        <v/>
      </c>
      <c r="F1053" s="1166">
        <f>IF(G1053="RES-SFU","RESIDENTIAL",IF(G1053="RES-HOA","RESIDENTIAL",IF(G1053="RES-MDU","RESIDENTIAL",IF(G1053="COMM-SU","BUSINESS",IF(G1053="COM-MTU","BUSINESS",IF(G1053="ENT","BUSINESS",""))))))</f>
        <v/>
      </c>
      <c r="G1053" s="1166">
        <f>'House Count'!F1053</f>
        <v/>
      </c>
      <c r="H1053" s="1166">
        <f>'House Count'!H1053</f>
        <v/>
      </c>
    </row>
    <row r="1054">
      <c r="A1054" s="1165">
        <f>'House Count'!A1054</f>
        <v/>
      </c>
      <c r="B1054" s="1166">
        <f>'House Count'!E1054</f>
        <v/>
      </c>
      <c r="C1054" s="1166">
        <f>'House Count'!B1054</f>
        <v/>
      </c>
      <c r="D1054" s="1166">
        <f>'House Count'!C1054</f>
        <v/>
      </c>
      <c r="E1054" s="1166">
        <f>'House Count'!D1054</f>
        <v/>
      </c>
      <c r="F1054" s="1166">
        <f>IF(G1054="RES-SFU","RESIDENTIAL",IF(G1054="RES-HOA","RESIDENTIAL",IF(G1054="RES-MDU","RESIDENTIAL",IF(G1054="COMM-SU","BUSINESS",IF(G1054="COM-MTU","BUSINESS",IF(G1054="ENT","BUSINESS",""))))))</f>
        <v/>
      </c>
      <c r="G1054" s="1166">
        <f>'House Count'!F1054</f>
        <v/>
      </c>
      <c r="H1054" s="1166">
        <f>'House Count'!H1054</f>
        <v/>
      </c>
    </row>
    <row r="1055">
      <c r="A1055" s="1165">
        <f>'House Count'!A1055</f>
        <v/>
      </c>
      <c r="B1055" s="1166">
        <f>'House Count'!E1055</f>
        <v/>
      </c>
      <c r="C1055" s="1166">
        <f>'House Count'!B1055</f>
        <v/>
      </c>
      <c r="D1055" s="1166">
        <f>'House Count'!C1055</f>
        <v/>
      </c>
      <c r="E1055" s="1166">
        <f>'House Count'!D1055</f>
        <v/>
      </c>
      <c r="F1055" s="1166">
        <f>IF(G1055="RES-SFU","RESIDENTIAL",IF(G1055="RES-HOA","RESIDENTIAL",IF(G1055="RES-MDU","RESIDENTIAL",IF(G1055="COMM-SU","BUSINESS",IF(G1055="COM-MTU","BUSINESS",IF(G1055="ENT","BUSINESS",""))))))</f>
        <v/>
      </c>
      <c r="G1055" s="1166">
        <f>'House Count'!F1055</f>
        <v/>
      </c>
      <c r="H1055" s="1166">
        <f>'House Count'!H1055</f>
        <v/>
      </c>
    </row>
    <row r="1056">
      <c r="A1056" s="1165">
        <f>'House Count'!A1056</f>
        <v/>
      </c>
      <c r="B1056" s="1166">
        <f>'House Count'!E1056</f>
        <v/>
      </c>
      <c r="C1056" s="1166">
        <f>'House Count'!B1056</f>
        <v/>
      </c>
      <c r="D1056" s="1166">
        <f>'House Count'!C1056</f>
        <v/>
      </c>
      <c r="E1056" s="1166">
        <f>'House Count'!D1056</f>
        <v/>
      </c>
      <c r="F1056" s="1166">
        <f>IF(G1056="RES-SFU","RESIDENTIAL",IF(G1056="RES-HOA","RESIDENTIAL",IF(G1056="RES-MDU","RESIDENTIAL",IF(G1056="COMM-SU","BUSINESS",IF(G1056="COM-MTU","BUSINESS",IF(G1056="ENT","BUSINESS",""))))))</f>
        <v/>
      </c>
      <c r="G1056" s="1166">
        <f>'House Count'!F1056</f>
        <v/>
      </c>
      <c r="H1056" s="1166">
        <f>'House Count'!H1056</f>
        <v/>
      </c>
    </row>
    <row r="1057">
      <c r="A1057" s="1165">
        <f>'House Count'!A1057</f>
        <v/>
      </c>
      <c r="B1057" s="1166">
        <f>'House Count'!E1057</f>
        <v/>
      </c>
      <c r="C1057" s="1166">
        <f>'House Count'!B1057</f>
        <v/>
      </c>
      <c r="D1057" s="1166">
        <f>'House Count'!C1057</f>
        <v/>
      </c>
      <c r="E1057" s="1166">
        <f>'House Count'!D1057</f>
        <v/>
      </c>
      <c r="F1057" s="1166">
        <f>IF(G1057="RES-SFU","RESIDENTIAL",IF(G1057="RES-HOA","RESIDENTIAL",IF(G1057="RES-MDU","RESIDENTIAL",IF(G1057="COMM-SU","BUSINESS",IF(G1057="COM-MTU","BUSINESS",IF(G1057="ENT","BUSINESS",""))))))</f>
        <v/>
      </c>
      <c r="G1057" s="1166">
        <f>'House Count'!F1057</f>
        <v/>
      </c>
      <c r="H1057" s="1166">
        <f>'House Count'!H1057</f>
        <v/>
      </c>
    </row>
    <row r="1058">
      <c r="A1058" s="1165">
        <f>'House Count'!A1058</f>
        <v/>
      </c>
      <c r="B1058" s="1166">
        <f>'House Count'!E1058</f>
        <v/>
      </c>
      <c r="C1058" s="1166">
        <f>'House Count'!B1058</f>
        <v/>
      </c>
      <c r="D1058" s="1166">
        <f>'House Count'!C1058</f>
        <v/>
      </c>
      <c r="E1058" s="1166">
        <f>'House Count'!D1058</f>
        <v/>
      </c>
      <c r="F1058" s="1166">
        <f>IF(G1058="RES-SFU","RESIDENTIAL",IF(G1058="RES-HOA","RESIDENTIAL",IF(G1058="RES-MDU","RESIDENTIAL",IF(G1058="COMM-SU","BUSINESS",IF(G1058="COM-MTU","BUSINESS",IF(G1058="ENT","BUSINESS",""))))))</f>
        <v/>
      </c>
      <c r="G1058" s="1166">
        <f>'House Count'!F1058</f>
        <v/>
      </c>
      <c r="H1058" s="1166">
        <f>'House Count'!H1058</f>
        <v/>
      </c>
    </row>
    <row r="1059">
      <c r="A1059" s="1165">
        <f>'House Count'!A1059</f>
        <v/>
      </c>
      <c r="B1059" s="1166">
        <f>'House Count'!E1059</f>
        <v/>
      </c>
      <c r="C1059" s="1166">
        <f>'House Count'!B1059</f>
        <v/>
      </c>
      <c r="D1059" s="1166">
        <f>'House Count'!C1059</f>
        <v/>
      </c>
      <c r="E1059" s="1166">
        <f>'House Count'!D1059</f>
        <v/>
      </c>
      <c r="F1059" s="1166">
        <f>IF(G1059="RES-SFU","RESIDENTIAL",IF(G1059="RES-HOA","RESIDENTIAL",IF(G1059="RES-MDU","RESIDENTIAL",IF(G1059="COMM-SU","BUSINESS",IF(G1059="COM-MTU","BUSINESS",IF(G1059="ENT","BUSINESS",""))))))</f>
        <v/>
      </c>
      <c r="G1059" s="1166">
        <f>'House Count'!F1059</f>
        <v/>
      </c>
      <c r="H1059" s="1166">
        <f>'House Count'!H1059</f>
        <v/>
      </c>
    </row>
    <row r="1060">
      <c r="A1060" s="1165">
        <f>'House Count'!A1060</f>
        <v/>
      </c>
      <c r="B1060" s="1166">
        <f>'House Count'!E1060</f>
        <v/>
      </c>
      <c r="C1060" s="1166">
        <f>'House Count'!B1060</f>
        <v/>
      </c>
      <c r="D1060" s="1166">
        <f>'House Count'!C1060</f>
        <v/>
      </c>
      <c r="E1060" s="1166">
        <f>'House Count'!D1060</f>
        <v/>
      </c>
      <c r="F1060" s="1166">
        <f>IF(G1060="RES-SFU","RESIDENTIAL",IF(G1060="RES-HOA","RESIDENTIAL",IF(G1060="RES-MDU","RESIDENTIAL",IF(G1060="COMM-SU","BUSINESS",IF(G1060="COM-MTU","BUSINESS",IF(G1060="ENT","BUSINESS",""))))))</f>
        <v/>
      </c>
      <c r="G1060" s="1166">
        <f>'House Count'!F1060</f>
        <v/>
      </c>
      <c r="H1060" s="1166">
        <f>'House Count'!H1060</f>
        <v/>
      </c>
    </row>
    <row r="1061">
      <c r="A1061" s="1165">
        <f>'House Count'!A1061</f>
        <v/>
      </c>
      <c r="B1061" s="1166">
        <f>'House Count'!E1061</f>
        <v/>
      </c>
      <c r="C1061" s="1166">
        <f>'House Count'!B1061</f>
        <v/>
      </c>
      <c r="D1061" s="1166">
        <f>'House Count'!C1061</f>
        <v/>
      </c>
      <c r="E1061" s="1166">
        <f>'House Count'!D1061</f>
        <v/>
      </c>
      <c r="F1061" s="1166">
        <f>IF(G1061="RES-SFU","RESIDENTIAL",IF(G1061="RES-HOA","RESIDENTIAL",IF(G1061="RES-MDU","RESIDENTIAL",IF(G1061="COMM-SU","BUSINESS",IF(G1061="COM-MTU","BUSINESS",IF(G1061="ENT","BUSINESS",""))))))</f>
        <v/>
      </c>
      <c r="G1061" s="1166">
        <f>'House Count'!F1061</f>
        <v/>
      </c>
      <c r="H1061" s="1166">
        <f>'House Count'!H1061</f>
        <v/>
      </c>
    </row>
    <row r="1062">
      <c r="A1062" s="1165">
        <f>'House Count'!A1062</f>
        <v/>
      </c>
      <c r="B1062" s="1166">
        <f>'House Count'!E1062</f>
        <v/>
      </c>
      <c r="C1062" s="1166">
        <f>'House Count'!B1062</f>
        <v/>
      </c>
      <c r="D1062" s="1166">
        <f>'House Count'!C1062</f>
        <v/>
      </c>
      <c r="E1062" s="1166">
        <f>'House Count'!D1062</f>
        <v/>
      </c>
      <c r="F1062" s="1166">
        <f>IF(G1062="RES-SFU","RESIDENTIAL",IF(G1062="RES-HOA","RESIDENTIAL",IF(G1062="RES-MDU","RESIDENTIAL",IF(G1062="COMM-SU","BUSINESS",IF(G1062="COM-MTU","BUSINESS",IF(G1062="ENT","BUSINESS",""))))))</f>
        <v/>
      </c>
      <c r="G1062" s="1166">
        <f>'House Count'!F1062</f>
        <v/>
      </c>
      <c r="H1062" s="1166">
        <f>'House Count'!H1062</f>
        <v/>
      </c>
    </row>
    <row r="1063">
      <c r="A1063" s="1165">
        <f>'House Count'!A1063</f>
        <v/>
      </c>
      <c r="B1063" s="1166">
        <f>'House Count'!E1063</f>
        <v/>
      </c>
      <c r="C1063" s="1166">
        <f>'House Count'!B1063</f>
        <v/>
      </c>
      <c r="D1063" s="1166">
        <f>'House Count'!C1063</f>
        <v/>
      </c>
      <c r="E1063" s="1166">
        <f>'House Count'!D1063</f>
        <v/>
      </c>
      <c r="F1063" s="1166">
        <f>IF(G1063="RES-SFU","RESIDENTIAL",IF(G1063="RES-HOA","RESIDENTIAL",IF(G1063="RES-MDU","RESIDENTIAL",IF(G1063="COMM-SU","BUSINESS",IF(G1063="COM-MTU","BUSINESS",IF(G1063="ENT","BUSINESS",""))))))</f>
        <v/>
      </c>
      <c r="G1063" s="1166">
        <f>'House Count'!F1063</f>
        <v/>
      </c>
      <c r="H1063" s="1166">
        <f>'House Count'!H1063</f>
        <v/>
      </c>
    </row>
    <row r="1064">
      <c r="A1064" s="1165">
        <f>'House Count'!A1064</f>
        <v/>
      </c>
      <c r="B1064" s="1166">
        <f>'House Count'!E1064</f>
        <v/>
      </c>
      <c r="C1064" s="1166">
        <f>'House Count'!B1064</f>
        <v/>
      </c>
      <c r="D1064" s="1166">
        <f>'House Count'!C1064</f>
        <v/>
      </c>
      <c r="E1064" s="1166">
        <f>'House Count'!D1064</f>
        <v/>
      </c>
      <c r="F1064" s="1166">
        <f>IF(G1064="RES-SFU","RESIDENTIAL",IF(G1064="RES-HOA","RESIDENTIAL",IF(G1064="RES-MDU","RESIDENTIAL",IF(G1064="COMM-SU","BUSINESS",IF(G1064="COM-MTU","BUSINESS",IF(G1064="ENT","BUSINESS",""))))))</f>
        <v/>
      </c>
      <c r="G1064" s="1166">
        <f>'House Count'!F1064</f>
        <v/>
      </c>
      <c r="H1064" s="1166">
        <f>'House Count'!H1064</f>
        <v/>
      </c>
    </row>
    <row r="1065">
      <c r="A1065" s="1165">
        <f>'House Count'!A1065</f>
        <v/>
      </c>
      <c r="B1065" s="1166">
        <f>'House Count'!E1065</f>
        <v/>
      </c>
      <c r="C1065" s="1166">
        <f>'House Count'!B1065</f>
        <v/>
      </c>
      <c r="D1065" s="1166">
        <f>'House Count'!C1065</f>
        <v/>
      </c>
      <c r="E1065" s="1166">
        <f>'House Count'!D1065</f>
        <v/>
      </c>
      <c r="F1065" s="1166">
        <f>IF(G1065="RES-SFU","RESIDENTIAL",IF(G1065="RES-HOA","RESIDENTIAL",IF(G1065="RES-MDU","RESIDENTIAL",IF(G1065="COMM-SU","BUSINESS",IF(G1065="COM-MTU","BUSINESS",IF(G1065="ENT","BUSINESS",""))))))</f>
        <v/>
      </c>
      <c r="G1065" s="1166">
        <f>'House Count'!F1065</f>
        <v/>
      </c>
      <c r="H1065" s="1166">
        <f>'House Count'!H1065</f>
        <v/>
      </c>
    </row>
    <row r="1066">
      <c r="A1066" s="1165">
        <f>'House Count'!A1066</f>
        <v/>
      </c>
      <c r="B1066" s="1166">
        <f>'House Count'!E1066</f>
        <v/>
      </c>
      <c r="C1066" s="1166">
        <f>'House Count'!B1066</f>
        <v/>
      </c>
      <c r="D1066" s="1166">
        <f>'House Count'!C1066</f>
        <v/>
      </c>
      <c r="E1066" s="1166">
        <f>'House Count'!D1066</f>
        <v/>
      </c>
      <c r="F1066" s="1166">
        <f>IF(G1066="RES-SFU","RESIDENTIAL",IF(G1066="RES-HOA","RESIDENTIAL",IF(G1066="RES-MDU","RESIDENTIAL",IF(G1066="COMM-SU","BUSINESS",IF(G1066="COM-MTU","BUSINESS",IF(G1066="ENT","BUSINESS",""))))))</f>
        <v/>
      </c>
      <c r="G1066" s="1166">
        <f>'House Count'!F1066</f>
        <v/>
      </c>
      <c r="H1066" s="1166">
        <f>'House Count'!H1066</f>
        <v/>
      </c>
    </row>
    <row r="1067">
      <c r="A1067" s="1165">
        <f>'House Count'!A1067</f>
        <v/>
      </c>
      <c r="B1067" s="1166">
        <f>'House Count'!E1067</f>
        <v/>
      </c>
      <c r="C1067" s="1166">
        <f>'House Count'!B1067</f>
        <v/>
      </c>
      <c r="D1067" s="1166">
        <f>'House Count'!C1067</f>
        <v/>
      </c>
      <c r="E1067" s="1166">
        <f>'House Count'!D1067</f>
        <v/>
      </c>
      <c r="F1067" s="1166">
        <f>IF(G1067="RES-SFU","RESIDENTIAL",IF(G1067="RES-HOA","RESIDENTIAL",IF(G1067="RES-MDU","RESIDENTIAL",IF(G1067="COMM-SU","BUSINESS",IF(G1067="COM-MTU","BUSINESS",IF(G1067="ENT","BUSINESS",""))))))</f>
        <v/>
      </c>
      <c r="G1067" s="1166">
        <f>'House Count'!F1067</f>
        <v/>
      </c>
      <c r="H1067" s="1166">
        <f>'House Count'!H1067</f>
        <v/>
      </c>
    </row>
    <row r="1068">
      <c r="A1068" s="1165">
        <f>'House Count'!A1068</f>
        <v/>
      </c>
      <c r="B1068" s="1166">
        <f>'House Count'!E1068</f>
        <v/>
      </c>
      <c r="C1068" s="1166">
        <f>'House Count'!B1068</f>
        <v/>
      </c>
      <c r="D1068" s="1166">
        <f>'House Count'!C1068</f>
        <v/>
      </c>
      <c r="E1068" s="1166">
        <f>'House Count'!D1068</f>
        <v/>
      </c>
      <c r="F1068" s="1166">
        <f>IF(G1068="RES-SFU","RESIDENTIAL",IF(G1068="RES-HOA","RESIDENTIAL",IF(G1068="RES-MDU","RESIDENTIAL",IF(G1068="COMM-SU","BUSINESS",IF(G1068="COM-MTU","BUSINESS",IF(G1068="ENT","BUSINESS",""))))))</f>
        <v/>
      </c>
      <c r="G1068" s="1166">
        <f>'House Count'!F1068</f>
        <v/>
      </c>
      <c r="H1068" s="1166">
        <f>'House Count'!H1068</f>
        <v/>
      </c>
    </row>
    <row r="1069">
      <c r="A1069" s="1165">
        <f>'House Count'!A1069</f>
        <v/>
      </c>
      <c r="B1069" s="1166">
        <f>'House Count'!E1069</f>
        <v/>
      </c>
      <c r="C1069" s="1166">
        <f>'House Count'!B1069</f>
        <v/>
      </c>
      <c r="D1069" s="1166">
        <f>'House Count'!C1069</f>
        <v/>
      </c>
      <c r="E1069" s="1166">
        <f>'House Count'!D1069</f>
        <v/>
      </c>
      <c r="F1069" s="1166">
        <f>IF(G1069="RES-SFU","RESIDENTIAL",IF(G1069="RES-HOA","RESIDENTIAL",IF(G1069="RES-MDU","RESIDENTIAL",IF(G1069="COMM-SU","BUSINESS",IF(G1069="COM-MTU","BUSINESS",IF(G1069="ENT","BUSINESS",""))))))</f>
        <v/>
      </c>
      <c r="G1069" s="1166">
        <f>'House Count'!F1069</f>
        <v/>
      </c>
      <c r="H1069" s="1166">
        <f>'House Count'!H1069</f>
        <v/>
      </c>
    </row>
    <row r="1070">
      <c r="A1070" s="1165">
        <f>'House Count'!A1070</f>
        <v/>
      </c>
      <c r="B1070" s="1166">
        <f>'House Count'!E1070</f>
        <v/>
      </c>
      <c r="C1070" s="1166">
        <f>'House Count'!B1070</f>
        <v/>
      </c>
      <c r="D1070" s="1166">
        <f>'House Count'!C1070</f>
        <v/>
      </c>
      <c r="E1070" s="1166">
        <f>'House Count'!D1070</f>
        <v/>
      </c>
      <c r="F1070" s="1166">
        <f>IF(G1070="RES-SFU","RESIDENTIAL",IF(G1070="RES-HOA","RESIDENTIAL",IF(G1070="RES-MDU","RESIDENTIAL",IF(G1070="COMM-SU","BUSINESS",IF(G1070="COM-MTU","BUSINESS",IF(G1070="ENT","BUSINESS",""))))))</f>
        <v/>
      </c>
      <c r="G1070" s="1166">
        <f>'House Count'!F1070</f>
        <v/>
      </c>
      <c r="H1070" s="1166">
        <f>'House Count'!H1070</f>
        <v/>
      </c>
    </row>
    <row r="1071">
      <c r="A1071" s="1165">
        <f>'House Count'!A1071</f>
        <v/>
      </c>
      <c r="B1071" s="1166">
        <f>'House Count'!E1071</f>
        <v/>
      </c>
      <c r="C1071" s="1166">
        <f>'House Count'!B1071</f>
        <v/>
      </c>
      <c r="D1071" s="1166">
        <f>'House Count'!C1071</f>
        <v/>
      </c>
      <c r="E1071" s="1166">
        <f>'House Count'!D1071</f>
        <v/>
      </c>
      <c r="F1071" s="1166">
        <f>IF(G1071="RES-SFU","RESIDENTIAL",IF(G1071="RES-HOA","RESIDENTIAL",IF(G1071="RES-MDU","RESIDENTIAL",IF(G1071="COMM-SU","BUSINESS",IF(G1071="COM-MTU","BUSINESS",IF(G1071="ENT","BUSINESS",""))))))</f>
        <v/>
      </c>
      <c r="G1071" s="1166">
        <f>'House Count'!F1071</f>
        <v/>
      </c>
      <c r="H1071" s="1166">
        <f>'House Count'!H1071</f>
        <v/>
      </c>
    </row>
    <row r="1072">
      <c r="A1072" s="1165">
        <f>'House Count'!A1072</f>
        <v/>
      </c>
      <c r="B1072" s="1166">
        <f>'House Count'!E1072</f>
        <v/>
      </c>
      <c r="C1072" s="1166">
        <f>'House Count'!B1072</f>
        <v/>
      </c>
      <c r="D1072" s="1166">
        <f>'House Count'!C1072</f>
        <v/>
      </c>
      <c r="E1072" s="1166">
        <f>'House Count'!D1072</f>
        <v/>
      </c>
      <c r="F1072" s="1166">
        <f>IF(G1072="RES-SFU","RESIDENTIAL",IF(G1072="RES-HOA","RESIDENTIAL",IF(G1072="RES-MDU","RESIDENTIAL",IF(G1072="COMM-SU","BUSINESS",IF(G1072="COM-MTU","BUSINESS",IF(G1072="ENT","BUSINESS",""))))))</f>
        <v/>
      </c>
      <c r="G1072" s="1166">
        <f>'House Count'!F1072</f>
        <v/>
      </c>
      <c r="H1072" s="1166">
        <f>'House Count'!H1072</f>
        <v/>
      </c>
    </row>
    <row r="1073">
      <c r="A1073" s="1165">
        <f>'House Count'!A1073</f>
        <v/>
      </c>
      <c r="B1073" s="1166">
        <f>'House Count'!E1073</f>
        <v/>
      </c>
      <c r="C1073" s="1166">
        <f>'House Count'!B1073</f>
        <v/>
      </c>
      <c r="D1073" s="1166">
        <f>'House Count'!C1073</f>
        <v/>
      </c>
      <c r="E1073" s="1166">
        <f>'House Count'!D1073</f>
        <v/>
      </c>
      <c r="F1073" s="1166">
        <f>IF(G1073="RES-SFU","RESIDENTIAL",IF(G1073="RES-HOA","RESIDENTIAL",IF(G1073="RES-MDU","RESIDENTIAL",IF(G1073="COMM-SU","BUSINESS",IF(G1073="COM-MTU","BUSINESS",IF(G1073="ENT","BUSINESS",""))))))</f>
        <v/>
      </c>
      <c r="G1073" s="1166">
        <f>'House Count'!F1073</f>
        <v/>
      </c>
      <c r="H1073" s="1166">
        <f>'House Count'!H1073</f>
        <v/>
      </c>
    </row>
    <row r="1074">
      <c r="A1074" s="1165">
        <f>'House Count'!A1074</f>
        <v/>
      </c>
      <c r="B1074" s="1166">
        <f>'House Count'!E1074</f>
        <v/>
      </c>
      <c r="C1074" s="1166">
        <f>'House Count'!B1074</f>
        <v/>
      </c>
      <c r="D1074" s="1166">
        <f>'House Count'!C1074</f>
        <v/>
      </c>
      <c r="E1074" s="1166">
        <f>'House Count'!D1074</f>
        <v/>
      </c>
      <c r="F1074" s="1166">
        <f>IF(G1074="RES-SFU","RESIDENTIAL",IF(G1074="RES-HOA","RESIDENTIAL",IF(G1074="RES-MDU","RESIDENTIAL",IF(G1074="COMM-SU","BUSINESS",IF(G1074="COM-MTU","BUSINESS",IF(G1074="ENT","BUSINESS",""))))))</f>
        <v/>
      </c>
      <c r="G1074" s="1166">
        <f>'House Count'!F1074</f>
        <v/>
      </c>
      <c r="H1074" s="1166">
        <f>'House Count'!H1074</f>
        <v/>
      </c>
    </row>
    <row r="1075">
      <c r="A1075" s="1165">
        <f>'House Count'!A1075</f>
        <v/>
      </c>
      <c r="B1075" s="1166">
        <f>'House Count'!E1075</f>
        <v/>
      </c>
      <c r="C1075" s="1166">
        <f>'House Count'!B1075</f>
        <v/>
      </c>
      <c r="D1075" s="1166">
        <f>'House Count'!C1075</f>
        <v/>
      </c>
      <c r="E1075" s="1166">
        <f>'House Count'!D1075</f>
        <v/>
      </c>
      <c r="F1075" s="1166">
        <f>IF(G1075="RES-SFU","RESIDENTIAL",IF(G1075="RES-HOA","RESIDENTIAL",IF(G1075="RES-MDU","RESIDENTIAL",IF(G1075="COMM-SU","BUSINESS",IF(G1075="COM-MTU","BUSINESS",IF(G1075="ENT","BUSINESS",""))))))</f>
        <v/>
      </c>
      <c r="G1075" s="1166">
        <f>'House Count'!F1075</f>
        <v/>
      </c>
      <c r="H1075" s="1166">
        <f>'House Count'!H1075</f>
        <v/>
      </c>
    </row>
    <row r="1076">
      <c r="A1076" s="1165">
        <f>'House Count'!A1076</f>
        <v/>
      </c>
      <c r="B1076" s="1166">
        <f>'House Count'!E1076</f>
        <v/>
      </c>
      <c r="C1076" s="1166">
        <f>'House Count'!B1076</f>
        <v/>
      </c>
      <c r="D1076" s="1166">
        <f>'House Count'!C1076</f>
        <v/>
      </c>
      <c r="E1076" s="1166">
        <f>'House Count'!D1076</f>
        <v/>
      </c>
      <c r="F1076" s="1166">
        <f>IF(G1076="RES-SFU","RESIDENTIAL",IF(G1076="RES-HOA","RESIDENTIAL",IF(G1076="RES-MDU","RESIDENTIAL",IF(G1076="COMM-SU","BUSINESS",IF(G1076="COM-MTU","BUSINESS",IF(G1076="ENT","BUSINESS",""))))))</f>
        <v/>
      </c>
      <c r="G1076" s="1166">
        <f>'House Count'!F1076</f>
        <v/>
      </c>
      <c r="H1076" s="1166">
        <f>'House Count'!H1076</f>
        <v/>
      </c>
    </row>
    <row r="1077">
      <c r="A1077" s="1165">
        <f>'House Count'!A1077</f>
        <v/>
      </c>
      <c r="B1077" s="1166">
        <f>'House Count'!E1077</f>
        <v/>
      </c>
      <c r="C1077" s="1166">
        <f>'House Count'!B1077</f>
        <v/>
      </c>
      <c r="D1077" s="1166">
        <f>'House Count'!C1077</f>
        <v/>
      </c>
      <c r="E1077" s="1166">
        <f>'House Count'!D1077</f>
        <v/>
      </c>
      <c r="F1077" s="1166">
        <f>IF(G1077="RES-SFU","RESIDENTIAL",IF(G1077="RES-HOA","RESIDENTIAL",IF(G1077="RES-MDU","RESIDENTIAL",IF(G1077="COMM-SU","BUSINESS",IF(G1077="COM-MTU","BUSINESS",IF(G1077="ENT","BUSINESS",""))))))</f>
        <v/>
      </c>
      <c r="G1077" s="1166">
        <f>'House Count'!F1077</f>
        <v/>
      </c>
      <c r="H1077" s="1166">
        <f>'House Count'!H1077</f>
        <v/>
      </c>
    </row>
    <row r="1078">
      <c r="A1078" s="1165">
        <f>'House Count'!A1078</f>
        <v/>
      </c>
      <c r="B1078" s="1166">
        <f>'House Count'!E1078</f>
        <v/>
      </c>
      <c r="C1078" s="1166">
        <f>'House Count'!B1078</f>
        <v/>
      </c>
      <c r="D1078" s="1166">
        <f>'House Count'!C1078</f>
        <v/>
      </c>
      <c r="E1078" s="1166">
        <f>'House Count'!D1078</f>
        <v/>
      </c>
      <c r="F1078" s="1166">
        <f>IF(G1078="RES-SFU","RESIDENTIAL",IF(G1078="RES-HOA","RESIDENTIAL",IF(G1078="RES-MDU","RESIDENTIAL",IF(G1078="COMM-SU","BUSINESS",IF(G1078="COM-MTU","BUSINESS",IF(G1078="ENT","BUSINESS",""))))))</f>
        <v/>
      </c>
      <c r="G1078" s="1166">
        <f>'House Count'!F1078</f>
        <v/>
      </c>
      <c r="H1078" s="1166">
        <f>'House Count'!H1078</f>
        <v/>
      </c>
    </row>
    <row r="1079">
      <c r="A1079" s="1165">
        <f>'House Count'!A1079</f>
        <v/>
      </c>
      <c r="B1079" s="1166">
        <f>'House Count'!E1079</f>
        <v/>
      </c>
      <c r="C1079" s="1166">
        <f>'House Count'!B1079</f>
        <v/>
      </c>
      <c r="D1079" s="1166">
        <f>'House Count'!C1079</f>
        <v/>
      </c>
      <c r="E1079" s="1166">
        <f>'House Count'!D1079</f>
        <v/>
      </c>
      <c r="F1079" s="1166">
        <f>IF(G1079="RES-SFU","RESIDENTIAL",IF(G1079="RES-HOA","RESIDENTIAL",IF(G1079="RES-MDU","RESIDENTIAL",IF(G1079="COMM-SU","BUSINESS",IF(G1079="COM-MTU","BUSINESS",IF(G1079="ENT","BUSINESS",""))))))</f>
        <v/>
      </c>
      <c r="G1079" s="1166">
        <f>'House Count'!F1079</f>
        <v/>
      </c>
      <c r="H1079" s="1166">
        <f>'House Count'!H1079</f>
        <v/>
      </c>
    </row>
    <row r="1080">
      <c r="A1080" s="1165">
        <f>'House Count'!A1080</f>
        <v/>
      </c>
      <c r="B1080" s="1166">
        <f>'House Count'!E1080</f>
        <v/>
      </c>
      <c r="C1080" s="1166">
        <f>'House Count'!B1080</f>
        <v/>
      </c>
      <c r="D1080" s="1166">
        <f>'House Count'!C1080</f>
        <v/>
      </c>
      <c r="E1080" s="1166">
        <f>'House Count'!D1080</f>
        <v/>
      </c>
      <c r="F1080" s="1166">
        <f>IF(G1080="RES-SFU","RESIDENTIAL",IF(G1080="RES-HOA","RESIDENTIAL",IF(G1080="RES-MDU","RESIDENTIAL",IF(G1080="COMM-SU","BUSINESS",IF(G1080="COM-MTU","BUSINESS",IF(G1080="ENT","BUSINESS",""))))))</f>
        <v/>
      </c>
      <c r="G1080" s="1166">
        <f>'House Count'!F1080</f>
        <v/>
      </c>
      <c r="H1080" s="1166">
        <f>'House Count'!H1080</f>
        <v/>
      </c>
    </row>
    <row r="1081">
      <c r="A1081" s="1165">
        <f>'House Count'!A1081</f>
        <v/>
      </c>
      <c r="B1081" s="1166">
        <f>'House Count'!E1081</f>
        <v/>
      </c>
      <c r="C1081" s="1166">
        <f>'House Count'!B1081</f>
        <v/>
      </c>
      <c r="D1081" s="1166">
        <f>'House Count'!C1081</f>
        <v/>
      </c>
      <c r="E1081" s="1166">
        <f>'House Count'!D1081</f>
        <v/>
      </c>
      <c r="F1081" s="1166">
        <f>IF(G1081="RES-SFU","RESIDENTIAL",IF(G1081="RES-HOA","RESIDENTIAL",IF(G1081="RES-MDU","RESIDENTIAL",IF(G1081="COMM-SU","BUSINESS",IF(G1081="COM-MTU","BUSINESS",IF(G1081="ENT","BUSINESS",""))))))</f>
        <v/>
      </c>
      <c r="G1081" s="1166">
        <f>'House Count'!F1081</f>
        <v/>
      </c>
      <c r="H1081" s="1166">
        <f>'House Count'!H1081</f>
        <v/>
      </c>
    </row>
    <row r="1082">
      <c r="A1082" s="1165">
        <f>'House Count'!A1082</f>
        <v/>
      </c>
      <c r="B1082" s="1166">
        <f>'House Count'!E1082</f>
        <v/>
      </c>
      <c r="C1082" s="1166">
        <f>'House Count'!B1082</f>
        <v/>
      </c>
      <c r="D1082" s="1166">
        <f>'House Count'!C1082</f>
        <v/>
      </c>
      <c r="E1082" s="1166">
        <f>'House Count'!D1082</f>
        <v/>
      </c>
      <c r="F1082" s="1166">
        <f>IF(G1082="RES-SFU","RESIDENTIAL",IF(G1082="RES-HOA","RESIDENTIAL",IF(G1082="RES-MDU","RESIDENTIAL",IF(G1082="COMM-SU","BUSINESS",IF(G1082="COM-MTU","BUSINESS",IF(G1082="ENT","BUSINESS",""))))))</f>
        <v/>
      </c>
      <c r="G1082" s="1166">
        <f>'House Count'!F1082</f>
        <v/>
      </c>
      <c r="H1082" s="1166">
        <f>'House Count'!H1082</f>
        <v/>
      </c>
    </row>
    <row r="1083">
      <c r="A1083" s="1165">
        <f>'House Count'!A1083</f>
        <v/>
      </c>
      <c r="B1083" s="1166">
        <f>'House Count'!E1083</f>
        <v/>
      </c>
      <c r="C1083" s="1166">
        <f>'House Count'!B1083</f>
        <v/>
      </c>
      <c r="D1083" s="1166">
        <f>'House Count'!C1083</f>
        <v/>
      </c>
      <c r="E1083" s="1166">
        <f>'House Count'!D1083</f>
        <v/>
      </c>
      <c r="F1083" s="1166">
        <f>IF(G1083="RES-SFU","RESIDENTIAL",IF(G1083="RES-HOA","RESIDENTIAL",IF(G1083="RES-MDU","RESIDENTIAL",IF(G1083="COMM-SU","BUSINESS",IF(G1083="COM-MTU","BUSINESS",IF(G1083="ENT","BUSINESS",""))))))</f>
        <v/>
      </c>
      <c r="G1083" s="1166">
        <f>'House Count'!F1083</f>
        <v/>
      </c>
      <c r="H1083" s="1166">
        <f>'House Count'!H1083</f>
        <v/>
      </c>
    </row>
    <row r="1084">
      <c r="A1084" s="1165">
        <f>'House Count'!A1084</f>
        <v/>
      </c>
      <c r="B1084" s="1166">
        <f>'House Count'!E1084</f>
        <v/>
      </c>
      <c r="C1084" s="1166">
        <f>'House Count'!B1084</f>
        <v/>
      </c>
      <c r="D1084" s="1166">
        <f>'House Count'!C1084</f>
        <v/>
      </c>
      <c r="E1084" s="1166">
        <f>'House Count'!D1084</f>
        <v/>
      </c>
      <c r="F1084" s="1166">
        <f>IF(G1084="RES-SFU","RESIDENTIAL",IF(G1084="RES-HOA","RESIDENTIAL",IF(G1084="RES-MDU","RESIDENTIAL",IF(G1084="COMM-SU","BUSINESS",IF(G1084="COM-MTU","BUSINESS",IF(G1084="ENT","BUSINESS",""))))))</f>
        <v/>
      </c>
      <c r="G1084" s="1166">
        <f>'House Count'!F1084</f>
        <v/>
      </c>
      <c r="H1084" s="1166">
        <f>'House Count'!H1084</f>
        <v/>
      </c>
    </row>
    <row r="1085">
      <c r="A1085" s="1165">
        <f>'House Count'!A1085</f>
        <v/>
      </c>
      <c r="B1085" s="1166">
        <f>'House Count'!E1085</f>
        <v/>
      </c>
      <c r="C1085" s="1166">
        <f>'House Count'!B1085</f>
        <v/>
      </c>
      <c r="D1085" s="1166">
        <f>'House Count'!C1085</f>
        <v/>
      </c>
      <c r="E1085" s="1166">
        <f>'House Count'!D1085</f>
        <v/>
      </c>
      <c r="F1085" s="1166">
        <f>IF(G1085="RES-SFU","RESIDENTIAL",IF(G1085="RES-HOA","RESIDENTIAL",IF(G1085="RES-MDU","RESIDENTIAL",IF(G1085="COMM-SU","BUSINESS",IF(G1085="COM-MTU","BUSINESS",IF(G1085="ENT","BUSINESS",""))))))</f>
        <v/>
      </c>
      <c r="G1085" s="1166">
        <f>'House Count'!F1085</f>
        <v/>
      </c>
      <c r="H1085" s="1166">
        <f>'House Count'!H1085</f>
        <v/>
      </c>
    </row>
    <row r="1086">
      <c r="A1086" s="1165">
        <f>'House Count'!A1086</f>
        <v/>
      </c>
      <c r="B1086" s="1166">
        <f>'House Count'!E1086</f>
        <v/>
      </c>
      <c r="C1086" s="1166">
        <f>'House Count'!B1086</f>
        <v/>
      </c>
      <c r="D1086" s="1166">
        <f>'House Count'!C1086</f>
        <v/>
      </c>
      <c r="E1086" s="1166">
        <f>'House Count'!D1086</f>
        <v/>
      </c>
      <c r="F1086" s="1166">
        <f>IF(G1086="RES-SFU","RESIDENTIAL",IF(G1086="RES-HOA","RESIDENTIAL",IF(G1086="RES-MDU","RESIDENTIAL",IF(G1086="COMM-SU","BUSINESS",IF(G1086="COM-MTU","BUSINESS",IF(G1086="ENT","BUSINESS",""))))))</f>
        <v/>
      </c>
      <c r="G1086" s="1166">
        <f>'House Count'!F1086</f>
        <v/>
      </c>
      <c r="H1086" s="1166">
        <f>'House Count'!H1086</f>
        <v/>
      </c>
    </row>
    <row r="1087">
      <c r="A1087" s="1165">
        <f>'House Count'!A1087</f>
        <v/>
      </c>
      <c r="B1087" s="1166">
        <f>'House Count'!E1087</f>
        <v/>
      </c>
      <c r="C1087" s="1166">
        <f>'House Count'!B1087</f>
        <v/>
      </c>
      <c r="D1087" s="1166">
        <f>'House Count'!C1087</f>
        <v/>
      </c>
      <c r="E1087" s="1166">
        <f>'House Count'!D1087</f>
        <v/>
      </c>
      <c r="F1087" s="1166">
        <f>IF(G1087="RES-SFU","RESIDENTIAL",IF(G1087="RES-HOA","RESIDENTIAL",IF(G1087="RES-MDU","RESIDENTIAL",IF(G1087="COMM-SU","BUSINESS",IF(G1087="COM-MTU","BUSINESS",IF(G1087="ENT","BUSINESS",""))))))</f>
        <v/>
      </c>
      <c r="G1087" s="1166">
        <f>'House Count'!F1087</f>
        <v/>
      </c>
      <c r="H1087" s="1166">
        <f>'House Count'!H1087</f>
        <v/>
      </c>
    </row>
    <row r="1088">
      <c r="A1088" s="1165">
        <f>'House Count'!A1088</f>
        <v/>
      </c>
      <c r="B1088" s="1166">
        <f>'House Count'!E1088</f>
        <v/>
      </c>
      <c r="C1088" s="1166">
        <f>'House Count'!B1088</f>
        <v/>
      </c>
      <c r="D1088" s="1166">
        <f>'House Count'!C1088</f>
        <v/>
      </c>
      <c r="E1088" s="1166">
        <f>'House Count'!D1088</f>
        <v/>
      </c>
      <c r="F1088" s="1166">
        <f>IF(G1088="RES-SFU","RESIDENTIAL",IF(G1088="RES-HOA","RESIDENTIAL",IF(G1088="RES-MDU","RESIDENTIAL",IF(G1088="COMM-SU","BUSINESS",IF(G1088="COM-MTU","BUSINESS",IF(G1088="ENT","BUSINESS",""))))))</f>
        <v/>
      </c>
      <c r="G1088" s="1166">
        <f>'House Count'!F1088</f>
        <v/>
      </c>
      <c r="H1088" s="1166">
        <f>'House Count'!H1088</f>
        <v/>
      </c>
    </row>
    <row r="1089">
      <c r="A1089" s="1165">
        <f>'House Count'!A1089</f>
        <v/>
      </c>
      <c r="B1089" s="1166">
        <f>'House Count'!E1089</f>
        <v/>
      </c>
      <c r="C1089" s="1166">
        <f>'House Count'!B1089</f>
        <v/>
      </c>
      <c r="D1089" s="1166">
        <f>'House Count'!C1089</f>
        <v/>
      </c>
      <c r="E1089" s="1166">
        <f>'House Count'!D1089</f>
        <v/>
      </c>
      <c r="F1089" s="1166">
        <f>IF(G1089="RES-SFU","RESIDENTIAL",IF(G1089="RES-HOA","RESIDENTIAL",IF(G1089="RES-MDU","RESIDENTIAL",IF(G1089="COMM-SU","BUSINESS",IF(G1089="COM-MTU","BUSINESS",IF(G1089="ENT","BUSINESS",""))))))</f>
        <v/>
      </c>
      <c r="G1089" s="1166">
        <f>'House Count'!F1089</f>
        <v/>
      </c>
      <c r="H1089" s="1166">
        <f>'House Count'!H1089</f>
        <v/>
      </c>
    </row>
    <row r="1090">
      <c r="A1090" s="1165">
        <f>'House Count'!A1090</f>
        <v/>
      </c>
      <c r="B1090" s="1166">
        <f>'House Count'!E1090</f>
        <v/>
      </c>
      <c r="C1090" s="1166">
        <f>'House Count'!B1090</f>
        <v/>
      </c>
      <c r="D1090" s="1166">
        <f>'House Count'!C1090</f>
        <v/>
      </c>
      <c r="E1090" s="1166">
        <f>'House Count'!D1090</f>
        <v/>
      </c>
      <c r="F1090" s="1166">
        <f>IF(G1090="RES-SFU","RESIDENTIAL",IF(G1090="RES-HOA","RESIDENTIAL",IF(G1090="RES-MDU","RESIDENTIAL",IF(G1090="COMM-SU","BUSINESS",IF(G1090="COM-MTU","BUSINESS",IF(G1090="ENT","BUSINESS",""))))))</f>
        <v/>
      </c>
      <c r="G1090" s="1166">
        <f>'House Count'!F1090</f>
        <v/>
      </c>
      <c r="H1090" s="1166">
        <f>'House Count'!H1090</f>
        <v/>
      </c>
    </row>
    <row r="1091">
      <c r="A1091" s="1165">
        <f>'House Count'!A1091</f>
        <v/>
      </c>
      <c r="B1091" s="1166">
        <f>'House Count'!E1091</f>
        <v/>
      </c>
      <c r="C1091" s="1166">
        <f>'House Count'!B1091</f>
        <v/>
      </c>
      <c r="D1091" s="1166">
        <f>'House Count'!C1091</f>
        <v/>
      </c>
      <c r="E1091" s="1166">
        <f>'House Count'!D1091</f>
        <v/>
      </c>
      <c r="F1091" s="1166">
        <f>IF(G1091="RES-SFU","RESIDENTIAL",IF(G1091="RES-HOA","RESIDENTIAL",IF(G1091="RES-MDU","RESIDENTIAL",IF(G1091="COMM-SU","BUSINESS",IF(G1091="COM-MTU","BUSINESS",IF(G1091="ENT","BUSINESS",""))))))</f>
        <v/>
      </c>
      <c r="G1091" s="1166">
        <f>'House Count'!F1091</f>
        <v/>
      </c>
      <c r="H1091" s="1166">
        <f>'House Count'!H1091</f>
        <v/>
      </c>
    </row>
    <row r="1092">
      <c r="A1092" s="1165">
        <f>'House Count'!A1092</f>
        <v/>
      </c>
      <c r="B1092" s="1166">
        <f>'House Count'!E1092</f>
        <v/>
      </c>
      <c r="C1092" s="1166">
        <f>'House Count'!B1092</f>
        <v/>
      </c>
      <c r="D1092" s="1166">
        <f>'House Count'!C1092</f>
        <v/>
      </c>
      <c r="E1092" s="1166">
        <f>'House Count'!D1092</f>
        <v/>
      </c>
      <c r="F1092" s="1166">
        <f>IF(G1092="RES-SFU","RESIDENTIAL",IF(G1092="RES-HOA","RESIDENTIAL",IF(G1092="RES-MDU","RESIDENTIAL",IF(G1092="COMM-SU","BUSINESS",IF(G1092="COM-MTU","BUSINESS",IF(G1092="ENT","BUSINESS",""))))))</f>
        <v/>
      </c>
      <c r="G1092" s="1166">
        <f>'House Count'!F1092</f>
        <v/>
      </c>
      <c r="H1092" s="1166">
        <f>'House Count'!H1092</f>
        <v/>
      </c>
    </row>
    <row r="1093">
      <c r="A1093" s="1165">
        <f>'House Count'!A1093</f>
        <v/>
      </c>
      <c r="B1093" s="1166">
        <f>'House Count'!E1093</f>
        <v/>
      </c>
      <c r="C1093" s="1166">
        <f>'House Count'!B1093</f>
        <v/>
      </c>
      <c r="D1093" s="1166">
        <f>'House Count'!C1093</f>
        <v/>
      </c>
      <c r="E1093" s="1166">
        <f>'House Count'!D1093</f>
        <v/>
      </c>
      <c r="F1093" s="1166">
        <f>IF(G1093="RES-SFU","RESIDENTIAL",IF(G1093="RES-HOA","RESIDENTIAL",IF(G1093="RES-MDU","RESIDENTIAL",IF(G1093="COMM-SU","BUSINESS",IF(G1093="COM-MTU","BUSINESS",IF(G1093="ENT","BUSINESS",""))))))</f>
        <v/>
      </c>
      <c r="G1093" s="1166">
        <f>'House Count'!F1093</f>
        <v/>
      </c>
      <c r="H1093" s="1166">
        <f>'House Count'!H1093</f>
        <v/>
      </c>
    </row>
    <row r="1094">
      <c r="A1094" s="1165">
        <f>'House Count'!A1094</f>
        <v/>
      </c>
      <c r="B1094" s="1166">
        <f>'House Count'!E1094</f>
        <v/>
      </c>
      <c r="C1094" s="1166">
        <f>'House Count'!B1094</f>
        <v/>
      </c>
      <c r="D1094" s="1166">
        <f>'House Count'!C1094</f>
        <v/>
      </c>
      <c r="E1094" s="1166">
        <f>'House Count'!D1094</f>
        <v/>
      </c>
      <c r="F1094" s="1166">
        <f>IF(G1094="RES-SFU","RESIDENTIAL",IF(G1094="RES-HOA","RESIDENTIAL",IF(G1094="RES-MDU","RESIDENTIAL",IF(G1094="COMM-SU","BUSINESS",IF(G1094="COM-MTU","BUSINESS",IF(G1094="ENT","BUSINESS",""))))))</f>
        <v/>
      </c>
      <c r="G1094" s="1166">
        <f>'House Count'!F1094</f>
        <v/>
      </c>
      <c r="H1094" s="1166">
        <f>'House Count'!H1094</f>
        <v/>
      </c>
    </row>
    <row r="1095">
      <c r="A1095" s="1165">
        <f>'House Count'!A1095</f>
        <v/>
      </c>
      <c r="B1095" s="1166">
        <f>'House Count'!E1095</f>
        <v/>
      </c>
      <c r="C1095" s="1166">
        <f>'House Count'!B1095</f>
        <v/>
      </c>
      <c r="D1095" s="1166">
        <f>'House Count'!C1095</f>
        <v/>
      </c>
      <c r="E1095" s="1166">
        <f>'House Count'!D1095</f>
        <v/>
      </c>
      <c r="F1095" s="1166">
        <f>IF(G1095="RES-SFU","RESIDENTIAL",IF(G1095="RES-HOA","RESIDENTIAL",IF(G1095="RES-MDU","RESIDENTIAL",IF(G1095="COMM-SU","BUSINESS",IF(G1095="COM-MTU","BUSINESS",IF(G1095="ENT","BUSINESS",""))))))</f>
        <v/>
      </c>
      <c r="G1095" s="1166">
        <f>'House Count'!F1095</f>
        <v/>
      </c>
      <c r="H1095" s="1166">
        <f>'House Count'!H1095</f>
        <v/>
      </c>
    </row>
    <row r="1096">
      <c r="A1096" s="1165">
        <f>'House Count'!A1096</f>
        <v/>
      </c>
      <c r="B1096" s="1166">
        <f>'House Count'!E1096</f>
        <v/>
      </c>
      <c r="C1096" s="1166">
        <f>'House Count'!B1096</f>
        <v/>
      </c>
      <c r="D1096" s="1166">
        <f>'House Count'!C1096</f>
        <v/>
      </c>
      <c r="E1096" s="1166">
        <f>'House Count'!D1096</f>
        <v/>
      </c>
      <c r="F1096" s="1166">
        <f>IF(G1096="RES-SFU","RESIDENTIAL",IF(G1096="RES-HOA","RESIDENTIAL",IF(G1096="RES-MDU","RESIDENTIAL",IF(G1096="COMM-SU","BUSINESS",IF(G1096="COM-MTU","BUSINESS",IF(G1096="ENT","BUSINESS",""))))))</f>
        <v/>
      </c>
      <c r="G1096" s="1166">
        <f>'House Count'!F1096</f>
        <v/>
      </c>
      <c r="H1096" s="1166">
        <f>'House Count'!H1096</f>
        <v/>
      </c>
    </row>
    <row r="1097">
      <c r="A1097" s="1165">
        <f>'House Count'!A1097</f>
        <v/>
      </c>
      <c r="B1097" s="1166">
        <f>'House Count'!E1097</f>
        <v/>
      </c>
      <c r="C1097" s="1166">
        <f>'House Count'!B1097</f>
        <v/>
      </c>
      <c r="D1097" s="1166">
        <f>'House Count'!C1097</f>
        <v/>
      </c>
      <c r="E1097" s="1166">
        <f>'House Count'!D1097</f>
        <v/>
      </c>
      <c r="F1097" s="1166">
        <f>IF(G1097="RES-SFU","RESIDENTIAL",IF(G1097="RES-HOA","RESIDENTIAL",IF(G1097="RES-MDU","RESIDENTIAL",IF(G1097="COMM-SU","BUSINESS",IF(G1097="COM-MTU","BUSINESS",IF(G1097="ENT","BUSINESS",""))))))</f>
        <v/>
      </c>
      <c r="G1097" s="1166">
        <f>'House Count'!F1097</f>
        <v/>
      </c>
      <c r="H1097" s="1166">
        <f>'House Count'!H1097</f>
        <v/>
      </c>
    </row>
    <row r="1098">
      <c r="A1098" s="1165">
        <f>'House Count'!A1098</f>
        <v/>
      </c>
      <c r="B1098" s="1166">
        <f>'House Count'!E1098</f>
        <v/>
      </c>
      <c r="C1098" s="1166">
        <f>'House Count'!B1098</f>
        <v/>
      </c>
      <c r="D1098" s="1166">
        <f>'House Count'!C1098</f>
        <v/>
      </c>
      <c r="E1098" s="1166">
        <f>'House Count'!D1098</f>
        <v/>
      </c>
      <c r="F1098" s="1166">
        <f>IF(G1098="RES-SFU","RESIDENTIAL",IF(G1098="RES-HOA","RESIDENTIAL",IF(G1098="RES-MDU","RESIDENTIAL",IF(G1098="COMM-SU","BUSINESS",IF(G1098="COM-MTU","BUSINESS",IF(G1098="ENT","BUSINESS",""))))))</f>
        <v/>
      </c>
      <c r="G1098" s="1166">
        <f>'House Count'!F1098</f>
        <v/>
      </c>
      <c r="H1098" s="1166">
        <f>'House Count'!H1098</f>
        <v/>
      </c>
    </row>
    <row r="1099">
      <c r="A1099" s="1165">
        <f>'House Count'!A1099</f>
        <v/>
      </c>
      <c r="B1099" s="1166">
        <f>'House Count'!E1099</f>
        <v/>
      </c>
      <c r="C1099" s="1166">
        <f>'House Count'!B1099</f>
        <v/>
      </c>
      <c r="D1099" s="1166">
        <f>'House Count'!C1099</f>
        <v/>
      </c>
      <c r="E1099" s="1166">
        <f>'House Count'!D1099</f>
        <v/>
      </c>
      <c r="F1099" s="1166">
        <f>IF(G1099="RES-SFU","RESIDENTIAL",IF(G1099="RES-HOA","RESIDENTIAL",IF(G1099="RES-MDU","RESIDENTIAL",IF(G1099="COMM-SU","BUSINESS",IF(G1099="COM-MTU","BUSINESS",IF(G1099="ENT","BUSINESS",""))))))</f>
        <v/>
      </c>
      <c r="G1099" s="1166">
        <f>'House Count'!F1099</f>
        <v/>
      </c>
      <c r="H1099" s="1166">
        <f>'House Count'!H1099</f>
        <v/>
      </c>
    </row>
    <row r="1100">
      <c r="A1100" s="1165">
        <f>'House Count'!A1100</f>
        <v/>
      </c>
      <c r="B1100" s="1166">
        <f>'House Count'!E1100</f>
        <v/>
      </c>
      <c r="C1100" s="1166">
        <f>'House Count'!B1100</f>
        <v/>
      </c>
      <c r="D1100" s="1166">
        <f>'House Count'!C1100</f>
        <v/>
      </c>
      <c r="E1100" s="1166">
        <f>'House Count'!D1100</f>
        <v/>
      </c>
      <c r="F1100" s="1166">
        <f>IF(G1100="RES-SFU","RESIDENTIAL",IF(G1100="RES-HOA","RESIDENTIAL",IF(G1100="RES-MDU","RESIDENTIAL",IF(G1100="COMM-SU","BUSINESS",IF(G1100="COM-MTU","BUSINESS",IF(G1100="ENT","BUSINESS",""))))))</f>
        <v/>
      </c>
      <c r="G1100" s="1166">
        <f>'House Count'!F1100</f>
        <v/>
      </c>
      <c r="H1100" s="1166">
        <f>'House Count'!H1100</f>
        <v/>
      </c>
    </row>
    <row r="1101">
      <c r="A1101" s="1165">
        <f>'House Count'!A1101</f>
        <v/>
      </c>
      <c r="B1101" s="1166">
        <f>'House Count'!E1101</f>
        <v/>
      </c>
      <c r="C1101" s="1166">
        <f>'House Count'!B1101</f>
        <v/>
      </c>
      <c r="D1101" s="1166">
        <f>'House Count'!C1101</f>
        <v/>
      </c>
      <c r="E1101" s="1166">
        <f>'House Count'!D1101</f>
        <v/>
      </c>
      <c r="F1101" s="1166">
        <f>IF(G1101="RES-SFU","RESIDENTIAL",IF(G1101="RES-HOA","RESIDENTIAL",IF(G1101="RES-MDU","RESIDENTIAL",IF(G1101="COMM-SU","BUSINESS",IF(G1101="COM-MTU","BUSINESS",IF(G1101="ENT","BUSINESS",""))))))</f>
        <v/>
      </c>
      <c r="G1101" s="1166">
        <f>'House Count'!F1101</f>
        <v/>
      </c>
      <c r="H1101" s="1166">
        <f>'House Count'!H1101</f>
        <v/>
      </c>
    </row>
    <row r="1102">
      <c r="A1102" s="1165">
        <f>'House Count'!A1102</f>
        <v/>
      </c>
      <c r="B1102" s="1166">
        <f>'House Count'!E1102</f>
        <v/>
      </c>
      <c r="C1102" s="1166">
        <f>'House Count'!B1102</f>
        <v/>
      </c>
      <c r="D1102" s="1166">
        <f>'House Count'!C1102</f>
        <v/>
      </c>
      <c r="E1102" s="1166">
        <f>'House Count'!D1102</f>
        <v/>
      </c>
      <c r="F1102" s="1166">
        <f>IF(G1102="RES-SFU","RESIDENTIAL",IF(G1102="RES-HOA","RESIDENTIAL",IF(G1102="RES-MDU","RESIDENTIAL",IF(G1102="COMM-SU","BUSINESS",IF(G1102="COM-MTU","BUSINESS",IF(G1102="ENT","BUSINESS",""))))))</f>
        <v/>
      </c>
      <c r="G1102" s="1166">
        <f>'House Count'!F1102</f>
        <v/>
      </c>
      <c r="H1102" s="1166">
        <f>'House Count'!H1102</f>
        <v/>
      </c>
    </row>
    <row r="1103">
      <c r="A1103" s="1165">
        <f>'House Count'!A1103</f>
        <v/>
      </c>
      <c r="B1103" s="1166">
        <f>'House Count'!E1103</f>
        <v/>
      </c>
      <c r="C1103" s="1166">
        <f>'House Count'!B1103</f>
        <v/>
      </c>
      <c r="D1103" s="1166">
        <f>'House Count'!C1103</f>
        <v/>
      </c>
      <c r="E1103" s="1166">
        <f>'House Count'!D1103</f>
        <v/>
      </c>
      <c r="F1103" s="1166">
        <f>IF(G1103="RES-SFU","RESIDENTIAL",IF(G1103="RES-HOA","RESIDENTIAL",IF(G1103="RES-MDU","RESIDENTIAL",IF(G1103="COMM-SU","BUSINESS",IF(G1103="COM-MTU","BUSINESS",IF(G1103="ENT","BUSINESS",""))))))</f>
        <v/>
      </c>
      <c r="G1103" s="1166">
        <f>'House Count'!F1103</f>
        <v/>
      </c>
      <c r="H1103" s="1166">
        <f>'House Count'!H1103</f>
        <v/>
      </c>
    </row>
    <row r="1104">
      <c r="A1104" s="1165">
        <f>'House Count'!A1104</f>
        <v/>
      </c>
      <c r="B1104" s="1166">
        <f>'House Count'!E1104</f>
        <v/>
      </c>
      <c r="C1104" s="1166">
        <f>'House Count'!B1104</f>
        <v/>
      </c>
      <c r="D1104" s="1166">
        <f>'House Count'!C1104</f>
        <v/>
      </c>
      <c r="E1104" s="1166">
        <f>'House Count'!D1104</f>
        <v/>
      </c>
      <c r="F1104" s="1166">
        <f>IF(G1104="RES-SFU","RESIDENTIAL",IF(G1104="RES-HOA","RESIDENTIAL",IF(G1104="RES-MDU","RESIDENTIAL",IF(G1104="COMM-SU","BUSINESS",IF(G1104="COM-MTU","BUSINESS",IF(G1104="ENT","BUSINESS",""))))))</f>
        <v/>
      </c>
      <c r="G1104" s="1166">
        <f>'House Count'!F1104</f>
        <v/>
      </c>
      <c r="H1104" s="1166">
        <f>'House Count'!H1104</f>
        <v/>
      </c>
    </row>
    <row r="1105">
      <c r="A1105" s="1165">
        <f>'House Count'!A1105</f>
        <v/>
      </c>
      <c r="B1105" s="1166">
        <f>'House Count'!E1105</f>
        <v/>
      </c>
      <c r="C1105" s="1166">
        <f>'House Count'!B1105</f>
        <v/>
      </c>
      <c r="D1105" s="1166">
        <f>'House Count'!C1105</f>
        <v/>
      </c>
      <c r="E1105" s="1166">
        <f>'House Count'!D1105</f>
        <v/>
      </c>
      <c r="F1105" s="1166">
        <f>IF(G1105="RES-SFU","RESIDENTIAL",IF(G1105="RES-HOA","RESIDENTIAL",IF(G1105="RES-MDU","RESIDENTIAL",IF(G1105="COMM-SU","BUSINESS",IF(G1105="COM-MTU","BUSINESS",IF(G1105="ENT","BUSINESS",""))))))</f>
        <v/>
      </c>
      <c r="G1105" s="1166">
        <f>'House Count'!F1105</f>
        <v/>
      </c>
      <c r="H1105" s="1166">
        <f>'House Count'!H1105</f>
        <v/>
      </c>
    </row>
    <row r="1106">
      <c r="A1106" s="1165">
        <f>'House Count'!A1106</f>
        <v/>
      </c>
      <c r="B1106" s="1166">
        <f>'House Count'!E1106</f>
        <v/>
      </c>
      <c r="C1106" s="1166">
        <f>'House Count'!B1106</f>
        <v/>
      </c>
      <c r="D1106" s="1166">
        <f>'House Count'!C1106</f>
        <v/>
      </c>
      <c r="E1106" s="1166">
        <f>'House Count'!D1106</f>
        <v/>
      </c>
      <c r="F1106" s="1166">
        <f>IF(G1106="RES-SFU","RESIDENTIAL",IF(G1106="RES-HOA","RESIDENTIAL",IF(G1106="RES-MDU","RESIDENTIAL",IF(G1106="COMM-SU","BUSINESS",IF(G1106="COM-MTU","BUSINESS",IF(G1106="ENT","BUSINESS",""))))))</f>
        <v/>
      </c>
      <c r="G1106" s="1166">
        <f>'House Count'!F1106</f>
        <v/>
      </c>
      <c r="H1106" s="1166">
        <f>'House Count'!H1106</f>
        <v/>
      </c>
    </row>
    <row r="1107">
      <c r="A1107" s="1165">
        <f>'House Count'!A1107</f>
        <v/>
      </c>
      <c r="B1107" s="1166">
        <f>'House Count'!E1107</f>
        <v/>
      </c>
      <c r="C1107" s="1166">
        <f>'House Count'!B1107</f>
        <v/>
      </c>
      <c r="D1107" s="1166">
        <f>'House Count'!C1107</f>
        <v/>
      </c>
      <c r="E1107" s="1166">
        <f>'House Count'!D1107</f>
        <v/>
      </c>
      <c r="F1107" s="1166">
        <f>IF(G1107="RES-SFU","RESIDENTIAL",IF(G1107="RES-HOA","RESIDENTIAL",IF(G1107="RES-MDU","RESIDENTIAL",IF(G1107="COMM-SU","BUSINESS",IF(G1107="COM-MTU","BUSINESS",IF(G1107="ENT","BUSINESS",""))))))</f>
        <v/>
      </c>
      <c r="G1107" s="1166">
        <f>'House Count'!F1107</f>
        <v/>
      </c>
      <c r="H1107" s="1166">
        <f>'House Count'!H1107</f>
        <v/>
      </c>
    </row>
    <row r="1108">
      <c r="A1108" s="1165">
        <f>'House Count'!A1108</f>
        <v/>
      </c>
      <c r="B1108" s="1166">
        <f>'House Count'!E1108</f>
        <v/>
      </c>
      <c r="C1108" s="1166">
        <f>'House Count'!B1108</f>
        <v/>
      </c>
      <c r="D1108" s="1166">
        <f>'House Count'!C1108</f>
        <v/>
      </c>
      <c r="E1108" s="1166">
        <f>'House Count'!D1108</f>
        <v/>
      </c>
      <c r="F1108" s="1166">
        <f>IF(G1108="RES-SFU","RESIDENTIAL",IF(G1108="RES-HOA","RESIDENTIAL",IF(G1108="RES-MDU","RESIDENTIAL",IF(G1108="COMM-SU","BUSINESS",IF(G1108="COM-MTU","BUSINESS",IF(G1108="ENT","BUSINESS",""))))))</f>
        <v/>
      </c>
      <c r="G1108" s="1166">
        <f>'House Count'!F1108</f>
        <v/>
      </c>
      <c r="H1108" s="1166">
        <f>'House Count'!H1108</f>
        <v/>
      </c>
    </row>
    <row r="1109">
      <c r="A1109" s="1165">
        <f>'House Count'!A1109</f>
        <v/>
      </c>
      <c r="B1109" s="1166">
        <f>'House Count'!E1109</f>
        <v/>
      </c>
      <c r="C1109" s="1166">
        <f>'House Count'!B1109</f>
        <v/>
      </c>
      <c r="D1109" s="1166">
        <f>'House Count'!C1109</f>
        <v/>
      </c>
      <c r="E1109" s="1166">
        <f>'House Count'!D1109</f>
        <v/>
      </c>
      <c r="F1109" s="1166">
        <f>IF(G1109="RES-SFU","RESIDENTIAL",IF(G1109="RES-HOA","RESIDENTIAL",IF(G1109="RES-MDU","RESIDENTIAL",IF(G1109="COMM-SU","BUSINESS",IF(G1109="COM-MTU","BUSINESS",IF(G1109="ENT","BUSINESS",""))))))</f>
        <v/>
      </c>
      <c r="G1109" s="1166">
        <f>'House Count'!F1109</f>
        <v/>
      </c>
      <c r="H1109" s="1166">
        <f>'House Count'!H1109</f>
        <v/>
      </c>
    </row>
    <row r="1110">
      <c r="A1110" s="1165">
        <f>'House Count'!A1110</f>
        <v/>
      </c>
      <c r="B1110" s="1166">
        <f>'House Count'!E1110</f>
        <v/>
      </c>
      <c r="C1110" s="1166">
        <f>'House Count'!B1110</f>
        <v/>
      </c>
      <c r="D1110" s="1166">
        <f>'House Count'!C1110</f>
        <v/>
      </c>
      <c r="E1110" s="1166">
        <f>'House Count'!D1110</f>
        <v/>
      </c>
      <c r="F1110" s="1166">
        <f>IF(G1110="RES-SFU","RESIDENTIAL",IF(G1110="RES-HOA","RESIDENTIAL",IF(G1110="RES-MDU","RESIDENTIAL",IF(G1110="COMM-SU","BUSINESS",IF(G1110="COM-MTU","BUSINESS",IF(G1110="ENT","BUSINESS",""))))))</f>
        <v/>
      </c>
      <c r="G1110" s="1166">
        <f>'House Count'!F1110</f>
        <v/>
      </c>
      <c r="H1110" s="1166">
        <f>'House Count'!H1110</f>
        <v/>
      </c>
    </row>
    <row r="1111">
      <c r="A1111" s="1165">
        <f>'House Count'!A1111</f>
        <v/>
      </c>
      <c r="B1111" s="1166">
        <f>'House Count'!E1111</f>
        <v/>
      </c>
      <c r="C1111" s="1166">
        <f>'House Count'!B1111</f>
        <v/>
      </c>
      <c r="D1111" s="1166">
        <f>'House Count'!C1111</f>
        <v/>
      </c>
      <c r="E1111" s="1166">
        <f>'House Count'!D1111</f>
        <v/>
      </c>
      <c r="F1111" s="1166">
        <f>IF(G1111="RES-SFU","RESIDENTIAL",IF(G1111="RES-HOA","RESIDENTIAL",IF(G1111="RES-MDU","RESIDENTIAL",IF(G1111="COMM-SU","BUSINESS",IF(G1111="COM-MTU","BUSINESS",IF(G1111="ENT","BUSINESS",""))))))</f>
        <v/>
      </c>
      <c r="G1111" s="1166">
        <f>'House Count'!F1111</f>
        <v/>
      </c>
      <c r="H1111" s="1166">
        <f>'House Count'!H1111</f>
        <v/>
      </c>
    </row>
    <row r="1112">
      <c r="A1112" s="1165">
        <f>'House Count'!A1112</f>
        <v/>
      </c>
      <c r="B1112" s="1166">
        <f>'House Count'!E1112</f>
        <v/>
      </c>
      <c r="C1112" s="1166">
        <f>'House Count'!B1112</f>
        <v/>
      </c>
      <c r="D1112" s="1166">
        <f>'House Count'!C1112</f>
        <v/>
      </c>
      <c r="E1112" s="1166">
        <f>'House Count'!D1112</f>
        <v/>
      </c>
      <c r="F1112" s="1166">
        <f>IF(G1112="RES-SFU","RESIDENTIAL",IF(G1112="RES-HOA","RESIDENTIAL",IF(G1112="RES-MDU","RESIDENTIAL",IF(G1112="COMM-SU","BUSINESS",IF(G1112="COM-MTU","BUSINESS",IF(G1112="ENT","BUSINESS",""))))))</f>
        <v/>
      </c>
      <c r="G1112" s="1166">
        <f>'House Count'!F1112</f>
        <v/>
      </c>
      <c r="H1112" s="1166">
        <f>'House Count'!H1112</f>
        <v/>
      </c>
    </row>
    <row r="1113">
      <c r="A1113" s="1165">
        <f>'House Count'!A1113</f>
        <v/>
      </c>
      <c r="B1113" s="1166">
        <f>'House Count'!E1113</f>
        <v/>
      </c>
      <c r="C1113" s="1166">
        <f>'House Count'!B1113</f>
        <v/>
      </c>
      <c r="D1113" s="1166">
        <f>'House Count'!C1113</f>
        <v/>
      </c>
      <c r="E1113" s="1166">
        <f>'House Count'!D1113</f>
        <v/>
      </c>
      <c r="F1113" s="1166">
        <f>IF(G1113="RES-SFU","RESIDENTIAL",IF(G1113="RES-HOA","RESIDENTIAL",IF(G1113="RES-MDU","RESIDENTIAL",IF(G1113="COMM-SU","BUSINESS",IF(G1113="COM-MTU","BUSINESS",IF(G1113="ENT","BUSINESS",""))))))</f>
        <v/>
      </c>
      <c r="G1113" s="1166">
        <f>'House Count'!F1113</f>
        <v/>
      </c>
      <c r="H1113" s="1166">
        <f>'House Count'!H1113</f>
        <v/>
      </c>
    </row>
    <row r="1114">
      <c r="A1114" s="1165">
        <f>'House Count'!A1114</f>
        <v/>
      </c>
      <c r="B1114" s="1166">
        <f>'House Count'!E1114</f>
        <v/>
      </c>
      <c r="C1114" s="1166">
        <f>'House Count'!B1114</f>
        <v/>
      </c>
      <c r="D1114" s="1166">
        <f>'House Count'!C1114</f>
        <v/>
      </c>
      <c r="E1114" s="1166">
        <f>'House Count'!D1114</f>
        <v/>
      </c>
      <c r="F1114" s="1166">
        <f>IF(G1114="RES-SFU","RESIDENTIAL",IF(G1114="RES-HOA","RESIDENTIAL",IF(G1114="RES-MDU","RESIDENTIAL",IF(G1114="COMM-SU","BUSINESS",IF(G1114="COM-MTU","BUSINESS",IF(G1114="ENT","BUSINESS",""))))))</f>
        <v/>
      </c>
      <c r="G1114" s="1166">
        <f>'House Count'!F1114</f>
        <v/>
      </c>
      <c r="H1114" s="1166">
        <f>'House Count'!H1114</f>
        <v/>
      </c>
    </row>
    <row r="1115">
      <c r="A1115" s="1165">
        <f>'House Count'!A1115</f>
        <v/>
      </c>
      <c r="B1115" s="1166">
        <f>'House Count'!E1115</f>
        <v/>
      </c>
      <c r="C1115" s="1166">
        <f>'House Count'!B1115</f>
        <v/>
      </c>
      <c r="D1115" s="1166">
        <f>'House Count'!C1115</f>
        <v/>
      </c>
      <c r="E1115" s="1166">
        <f>'House Count'!D1115</f>
        <v/>
      </c>
      <c r="F1115" s="1166">
        <f>IF(G1115="RES-SFU","RESIDENTIAL",IF(G1115="RES-HOA","RESIDENTIAL",IF(G1115="RES-MDU","RESIDENTIAL",IF(G1115="COMM-SU","BUSINESS",IF(G1115="COM-MTU","BUSINESS",IF(G1115="ENT","BUSINESS",""))))))</f>
        <v/>
      </c>
      <c r="G1115" s="1166">
        <f>'House Count'!F1115</f>
        <v/>
      </c>
      <c r="H1115" s="1166">
        <f>'House Count'!H1115</f>
        <v/>
      </c>
    </row>
    <row r="1116">
      <c r="A1116" s="1165">
        <f>'House Count'!A1116</f>
        <v/>
      </c>
      <c r="B1116" s="1166">
        <f>'House Count'!E1116</f>
        <v/>
      </c>
      <c r="C1116" s="1166">
        <f>'House Count'!B1116</f>
        <v/>
      </c>
      <c r="D1116" s="1166">
        <f>'House Count'!C1116</f>
        <v/>
      </c>
      <c r="E1116" s="1166">
        <f>'House Count'!D1116</f>
        <v/>
      </c>
      <c r="F1116" s="1166">
        <f>IF(G1116="RES-SFU","RESIDENTIAL",IF(G1116="RES-HOA","RESIDENTIAL",IF(G1116="RES-MDU","RESIDENTIAL",IF(G1116="COMM-SU","BUSINESS",IF(G1116="COM-MTU","BUSINESS",IF(G1116="ENT","BUSINESS",""))))))</f>
        <v/>
      </c>
      <c r="G1116" s="1166">
        <f>'House Count'!F1116</f>
        <v/>
      </c>
      <c r="H1116" s="1166">
        <f>'House Count'!H1116</f>
        <v/>
      </c>
    </row>
    <row r="1117">
      <c r="A1117" s="1165">
        <f>'House Count'!A1117</f>
        <v/>
      </c>
      <c r="B1117" s="1166">
        <f>'House Count'!E1117</f>
        <v/>
      </c>
      <c r="C1117" s="1166">
        <f>'House Count'!B1117</f>
        <v/>
      </c>
      <c r="D1117" s="1166">
        <f>'House Count'!C1117</f>
        <v/>
      </c>
      <c r="E1117" s="1166">
        <f>'House Count'!D1117</f>
        <v/>
      </c>
      <c r="F1117" s="1166">
        <f>IF(G1117="RES-SFU","RESIDENTIAL",IF(G1117="RES-HOA","RESIDENTIAL",IF(G1117="RES-MDU","RESIDENTIAL",IF(G1117="COMM-SU","BUSINESS",IF(G1117="COM-MTU","BUSINESS",IF(G1117="ENT","BUSINESS",""))))))</f>
        <v/>
      </c>
      <c r="G1117" s="1166">
        <f>'House Count'!F1117</f>
        <v/>
      </c>
      <c r="H1117" s="1166">
        <f>'House Count'!H1117</f>
        <v/>
      </c>
    </row>
    <row r="1118">
      <c r="A1118" s="1165">
        <f>'House Count'!A1118</f>
        <v/>
      </c>
      <c r="B1118" s="1166">
        <f>'House Count'!E1118</f>
        <v/>
      </c>
      <c r="C1118" s="1166">
        <f>'House Count'!B1118</f>
        <v/>
      </c>
      <c r="D1118" s="1166">
        <f>'House Count'!C1118</f>
        <v/>
      </c>
      <c r="E1118" s="1166">
        <f>'House Count'!D1118</f>
        <v/>
      </c>
      <c r="F1118" s="1166">
        <f>IF(G1118="RES-SFU","RESIDENTIAL",IF(G1118="RES-HOA","RESIDENTIAL",IF(G1118="RES-MDU","RESIDENTIAL",IF(G1118="COMM-SU","BUSINESS",IF(G1118="COM-MTU","BUSINESS",IF(G1118="ENT","BUSINESS",""))))))</f>
        <v/>
      </c>
      <c r="G1118" s="1166">
        <f>'House Count'!F1118</f>
        <v/>
      </c>
      <c r="H1118" s="1166">
        <f>'House Count'!H1118</f>
        <v/>
      </c>
    </row>
    <row r="1119">
      <c r="A1119" s="1165">
        <f>'House Count'!A1119</f>
        <v/>
      </c>
      <c r="B1119" s="1166">
        <f>'House Count'!E1119</f>
        <v/>
      </c>
      <c r="C1119" s="1166">
        <f>'House Count'!B1119</f>
        <v/>
      </c>
      <c r="D1119" s="1166">
        <f>'House Count'!C1119</f>
        <v/>
      </c>
      <c r="E1119" s="1166">
        <f>'House Count'!D1119</f>
        <v/>
      </c>
      <c r="F1119" s="1166">
        <f>IF(G1119="RES-SFU","RESIDENTIAL",IF(G1119="RES-HOA","RESIDENTIAL",IF(G1119="RES-MDU","RESIDENTIAL",IF(G1119="COMM-SU","BUSINESS",IF(G1119="COM-MTU","BUSINESS",IF(G1119="ENT","BUSINESS",""))))))</f>
        <v/>
      </c>
      <c r="G1119" s="1166">
        <f>'House Count'!F1119</f>
        <v/>
      </c>
      <c r="H1119" s="1166">
        <f>'House Count'!H1119</f>
        <v/>
      </c>
    </row>
    <row r="1120">
      <c r="A1120" s="1165">
        <f>'House Count'!A1120</f>
        <v/>
      </c>
      <c r="B1120" s="1166">
        <f>'House Count'!E1120</f>
        <v/>
      </c>
      <c r="C1120" s="1166">
        <f>'House Count'!B1120</f>
        <v/>
      </c>
      <c r="D1120" s="1166">
        <f>'House Count'!C1120</f>
        <v/>
      </c>
      <c r="E1120" s="1166">
        <f>'House Count'!D1120</f>
        <v/>
      </c>
      <c r="F1120" s="1166">
        <f>IF(G1120="RES-SFU","RESIDENTIAL",IF(G1120="RES-HOA","RESIDENTIAL",IF(G1120="RES-MDU","RESIDENTIAL",IF(G1120="COMM-SU","BUSINESS",IF(G1120="COM-MTU","BUSINESS",IF(G1120="ENT","BUSINESS",""))))))</f>
        <v/>
      </c>
      <c r="G1120" s="1166">
        <f>'House Count'!F1120</f>
        <v/>
      </c>
      <c r="H1120" s="1166">
        <f>'House Count'!H1120</f>
        <v/>
      </c>
    </row>
    <row r="1121">
      <c r="A1121" s="1165">
        <f>'House Count'!A1121</f>
        <v/>
      </c>
      <c r="B1121" s="1166">
        <f>'House Count'!E1121</f>
        <v/>
      </c>
      <c r="C1121" s="1166">
        <f>'House Count'!B1121</f>
        <v/>
      </c>
      <c r="D1121" s="1166">
        <f>'House Count'!C1121</f>
        <v/>
      </c>
      <c r="E1121" s="1166">
        <f>'House Count'!D1121</f>
        <v/>
      </c>
      <c r="F1121" s="1166">
        <f>IF(G1121="RES-SFU","RESIDENTIAL",IF(G1121="RES-HOA","RESIDENTIAL",IF(G1121="RES-MDU","RESIDENTIAL",IF(G1121="COMM-SU","BUSINESS",IF(G1121="COM-MTU","BUSINESS",IF(G1121="ENT","BUSINESS",""))))))</f>
        <v/>
      </c>
      <c r="G1121" s="1166">
        <f>'House Count'!F1121</f>
        <v/>
      </c>
      <c r="H1121" s="1166">
        <f>'House Count'!H1121</f>
        <v/>
      </c>
    </row>
    <row r="1122">
      <c r="A1122" s="1165">
        <f>'House Count'!A1122</f>
        <v/>
      </c>
      <c r="B1122" s="1166">
        <f>'House Count'!E1122</f>
        <v/>
      </c>
      <c r="C1122" s="1166">
        <f>'House Count'!B1122</f>
        <v/>
      </c>
      <c r="D1122" s="1166">
        <f>'House Count'!C1122</f>
        <v/>
      </c>
      <c r="E1122" s="1166">
        <f>'House Count'!D1122</f>
        <v/>
      </c>
      <c r="F1122" s="1166">
        <f>IF(G1122="RES-SFU","RESIDENTIAL",IF(G1122="RES-HOA","RESIDENTIAL",IF(G1122="RES-MDU","RESIDENTIAL",IF(G1122="COMM-SU","BUSINESS",IF(G1122="COM-MTU","BUSINESS",IF(G1122="ENT","BUSINESS",""))))))</f>
        <v/>
      </c>
      <c r="G1122" s="1166">
        <f>'House Count'!F1122</f>
        <v/>
      </c>
      <c r="H1122" s="1166">
        <f>'House Count'!H1122</f>
        <v/>
      </c>
    </row>
    <row r="1123">
      <c r="A1123" s="1165">
        <f>'House Count'!A1123</f>
        <v/>
      </c>
      <c r="B1123" s="1166">
        <f>'House Count'!E1123</f>
        <v/>
      </c>
      <c r="C1123" s="1166">
        <f>'House Count'!B1123</f>
        <v/>
      </c>
      <c r="D1123" s="1166">
        <f>'House Count'!C1123</f>
        <v/>
      </c>
      <c r="E1123" s="1166">
        <f>'House Count'!D1123</f>
        <v/>
      </c>
      <c r="F1123" s="1166">
        <f>IF(G1123="RES-SFU","RESIDENTIAL",IF(G1123="RES-HOA","RESIDENTIAL",IF(G1123="RES-MDU","RESIDENTIAL",IF(G1123="COMM-SU","BUSINESS",IF(G1123="COM-MTU","BUSINESS",IF(G1123="ENT","BUSINESS",""))))))</f>
        <v/>
      </c>
      <c r="G1123" s="1166">
        <f>'House Count'!F1123</f>
        <v/>
      </c>
      <c r="H1123" s="1166">
        <f>'House Count'!H1123</f>
        <v/>
      </c>
    </row>
    <row r="1124">
      <c r="A1124" s="1165">
        <f>'House Count'!A1124</f>
        <v/>
      </c>
      <c r="B1124" s="1166">
        <f>'House Count'!E1124</f>
        <v/>
      </c>
      <c r="C1124" s="1166">
        <f>'House Count'!B1124</f>
        <v/>
      </c>
      <c r="D1124" s="1166">
        <f>'House Count'!C1124</f>
        <v/>
      </c>
      <c r="E1124" s="1166">
        <f>'House Count'!D1124</f>
        <v/>
      </c>
      <c r="F1124" s="1166">
        <f>IF(G1124="RES-SFU","RESIDENTIAL",IF(G1124="RES-HOA","RESIDENTIAL",IF(G1124="RES-MDU","RESIDENTIAL",IF(G1124="COMM-SU","BUSINESS",IF(G1124="COM-MTU","BUSINESS",IF(G1124="ENT","BUSINESS",""))))))</f>
        <v/>
      </c>
      <c r="G1124" s="1166">
        <f>'House Count'!F1124</f>
        <v/>
      </c>
      <c r="H1124" s="1166">
        <f>'House Count'!H1124</f>
        <v/>
      </c>
    </row>
    <row r="1125">
      <c r="A1125" s="1165">
        <f>'House Count'!A1125</f>
        <v/>
      </c>
      <c r="B1125" s="1166">
        <f>'House Count'!E1125</f>
        <v/>
      </c>
      <c r="C1125" s="1166">
        <f>'House Count'!B1125</f>
        <v/>
      </c>
      <c r="D1125" s="1166">
        <f>'House Count'!C1125</f>
        <v/>
      </c>
      <c r="E1125" s="1166">
        <f>'House Count'!D1125</f>
        <v/>
      </c>
      <c r="F1125" s="1166">
        <f>IF(G1125="RES-SFU","RESIDENTIAL",IF(G1125="RES-HOA","RESIDENTIAL",IF(G1125="RES-MDU","RESIDENTIAL",IF(G1125="COMM-SU","BUSINESS",IF(G1125="COM-MTU","BUSINESS",IF(G1125="ENT","BUSINESS",""))))))</f>
        <v/>
      </c>
      <c r="G1125" s="1166">
        <f>'House Count'!F1125</f>
        <v/>
      </c>
      <c r="H1125" s="1166">
        <f>'House Count'!H1125</f>
        <v/>
      </c>
    </row>
    <row r="1126">
      <c r="A1126" s="1165">
        <f>'House Count'!A1126</f>
        <v/>
      </c>
      <c r="B1126" s="1166">
        <f>'House Count'!E1126</f>
        <v/>
      </c>
      <c r="C1126" s="1166">
        <f>'House Count'!B1126</f>
        <v/>
      </c>
      <c r="D1126" s="1166">
        <f>'House Count'!C1126</f>
        <v/>
      </c>
      <c r="E1126" s="1166">
        <f>'House Count'!D1126</f>
        <v/>
      </c>
      <c r="F1126" s="1166">
        <f>IF(G1126="RES-SFU","RESIDENTIAL",IF(G1126="RES-HOA","RESIDENTIAL",IF(G1126="RES-MDU","RESIDENTIAL",IF(G1126="COMM-SU","BUSINESS",IF(G1126="COM-MTU","BUSINESS",IF(G1126="ENT","BUSINESS",""))))))</f>
        <v/>
      </c>
      <c r="G1126" s="1166">
        <f>'House Count'!F1126</f>
        <v/>
      </c>
      <c r="H1126" s="1166">
        <f>'House Count'!H1126</f>
        <v/>
      </c>
    </row>
    <row r="1127">
      <c r="A1127" s="1165">
        <f>'House Count'!A1127</f>
        <v/>
      </c>
      <c r="B1127" s="1166">
        <f>'House Count'!E1127</f>
        <v/>
      </c>
      <c r="C1127" s="1166">
        <f>'House Count'!B1127</f>
        <v/>
      </c>
      <c r="D1127" s="1166">
        <f>'House Count'!C1127</f>
        <v/>
      </c>
      <c r="E1127" s="1166">
        <f>'House Count'!D1127</f>
        <v/>
      </c>
      <c r="F1127" s="1166">
        <f>IF(G1127="RES-SFU","RESIDENTIAL",IF(G1127="RES-HOA","RESIDENTIAL",IF(G1127="RES-MDU","RESIDENTIAL",IF(G1127="COMM-SU","BUSINESS",IF(G1127="COM-MTU","BUSINESS",IF(G1127="ENT","BUSINESS",""))))))</f>
        <v/>
      </c>
      <c r="G1127" s="1166">
        <f>'House Count'!F1127</f>
        <v/>
      </c>
      <c r="H1127" s="1166">
        <f>'House Count'!H1127</f>
        <v/>
      </c>
    </row>
    <row r="1128">
      <c r="A1128" s="1165">
        <f>'House Count'!A1128</f>
        <v/>
      </c>
      <c r="B1128" s="1166">
        <f>'House Count'!E1128</f>
        <v/>
      </c>
      <c r="C1128" s="1166">
        <f>'House Count'!B1128</f>
        <v/>
      </c>
      <c r="D1128" s="1166">
        <f>'House Count'!C1128</f>
        <v/>
      </c>
      <c r="E1128" s="1166">
        <f>'House Count'!D1128</f>
        <v/>
      </c>
      <c r="F1128" s="1166">
        <f>IF(G1128="RES-SFU","RESIDENTIAL",IF(G1128="RES-HOA","RESIDENTIAL",IF(G1128="RES-MDU","RESIDENTIAL",IF(G1128="COMM-SU","BUSINESS",IF(G1128="COM-MTU","BUSINESS",IF(G1128="ENT","BUSINESS",""))))))</f>
        <v/>
      </c>
      <c r="G1128" s="1166">
        <f>'House Count'!F1128</f>
        <v/>
      </c>
      <c r="H1128" s="1166">
        <f>'House Count'!H1128</f>
        <v/>
      </c>
    </row>
    <row r="1129">
      <c r="A1129" s="1165">
        <f>'House Count'!A1129</f>
        <v/>
      </c>
      <c r="B1129" s="1166">
        <f>'House Count'!E1129</f>
        <v/>
      </c>
      <c r="C1129" s="1166">
        <f>'House Count'!B1129</f>
        <v/>
      </c>
      <c r="D1129" s="1166">
        <f>'House Count'!C1129</f>
        <v/>
      </c>
      <c r="E1129" s="1166">
        <f>'House Count'!D1129</f>
        <v/>
      </c>
      <c r="F1129" s="1166">
        <f>IF(G1129="RES-SFU","RESIDENTIAL",IF(G1129="RES-HOA","RESIDENTIAL",IF(G1129="RES-MDU","RESIDENTIAL",IF(G1129="COMM-SU","BUSINESS",IF(G1129="COM-MTU","BUSINESS",IF(G1129="ENT","BUSINESS",""))))))</f>
        <v/>
      </c>
      <c r="G1129" s="1166">
        <f>'House Count'!F1129</f>
        <v/>
      </c>
      <c r="H1129" s="1166">
        <f>'House Count'!H1129</f>
        <v/>
      </c>
    </row>
    <row r="1130">
      <c r="A1130" s="1165">
        <f>'House Count'!A1130</f>
        <v/>
      </c>
      <c r="B1130" s="1166">
        <f>'House Count'!E1130</f>
        <v/>
      </c>
      <c r="C1130" s="1166">
        <f>'House Count'!B1130</f>
        <v/>
      </c>
      <c r="D1130" s="1166">
        <f>'House Count'!C1130</f>
        <v/>
      </c>
      <c r="E1130" s="1166">
        <f>'House Count'!D1130</f>
        <v/>
      </c>
      <c r="F1130" s="1166">
        <f>IF(G1130="RES-SFU","RESIDENTIAL",IF(G1130="RES-HOA","RESIDENTIAL",IF(G1130="RES-MDU","RESIDENTIAL",IF(G1130="COMM-SU","BUSINESS",IF(G1130="COM-MTU","BUSINESS",IF(G1130="ENT","BUSINESS",""))))))</f>
        <v/>
      </c>
      <c r="G1130" s="1166">
        <f>'House Count'!F1130</f>
        <v/>
      </c>
      <c r="H1130" s="1166">
        <f>'House Count'!H1130</f>
        <v/>
      </c>
    </row>
    <row r="1131">
      <c r="A1131" s="1165">
        <f>'House Count'!A1131</f>
        <v/>
      </c>
      <c r="B1131" s="1166">
        <f>'House Count'!E1131</f>
        <v/>
      </c>
      <c r="C1131" s="1166">
        <f>'House Count'!B1131</f>
        <v/>
      </c>
      <c r="D1131" s="1166">
        <f>'House Count'!C1131</f>
        <v/>
      </c>
      <c r="E1131" s="1166">
        <f>'House Count'!D1131</f>
        <v/>
      </c>
      <c r="F1131" s="1166">
        <f>IF(G1131="RES-SFU","RESIDENTIAL",IF(G1131="RES-HOA","RESIDENTIAL",IF(G1131="RES-MDU","RESIDENTIAL",IF(G1131="COMM-SU","BUSINESS",IF(G1131="COM-MTU","BUSINESS",IF(G1131="ENT","BUSINESS",""))))))</f>
        <v/>
      </c>
      <c r="G1131" s="1166">
        <f>'House Count'!F1131</f>
        <v/>
      </c>
      <c r="H1131" s="1166">
        <f>'House Count'!H1131</f>
        <v/>
      </c>
    </row>
    <row r="1132">
      <c r="A1132" s="1165">
        <f>'House Count'!A1132</f>
        <v/>
      </c>
      <c r="B1132" s="1166">
        <f>'House Count'!E1132</f>
        <v/>
      </c>
      <c r="C1132" s="1166">
        <f>'House Count'!B1132</f>
        <v/>
      </c>
      <c r="D1132" s="1166">
        <f>'House Count'!C1132</f>
        <v/>
      </c>
      <c r="E1132" s="1166">
        <f>'House Count'!D1132</f>
        <v/>
      </c>
      <c r="F1132" s="1166">
        <f>IF(G1132="RES-SFU","RESIDENTIAL",IF(G1132="RES-HOA","RESIDENTIAL",IF(G1132="RES-MDU","RESIDENTIAL",IF(G1132="COMM-SU","BUSINESS",IF(G1132="COM-MTU","BUSINESS",IF(G1132="ENT","BUSINESS",""))))))</f>
        <v/>
      </c>
      <c r="G1132" s="1166">
        <f>'House Count'!F1132</f>
        <v/>
      </c>
      <c r="H1132" s="1166">
        <f>'House Count'!H1132</f>
        <v/>
      </c>
    </row>
    <row r="1133">
      <c r="A1133" s="1165">
        <f>'House Count'!A1133</f>
        <v/>
      </c>
      <c r="B1133" s="1166">
        <f>'House Count'!E1133</f>
        <v/>
      </c>
      <c r="C1133" s="1166">
        <f>'House Count'!B1133</f>
        <v/>
      </c>
      <c r="D1133" s="1166">
        <f>'House Count'!C1133</f>
        <v/>
      </c>
      <c r="E1133" s="1166">
        <f>'House Count'!D1133</f>
        <v/>
      </c>
      <c r="F1133" s="1166">
        <f>IF(G1133="RES-SFU","RESIDENTIAL",IF(G1133="RES-HOA","RESIDENTIAL",IF(G1133="RES-MDU","RESIDENTIAL",IF(G1133="COMM-SU","BUSINESS",IF(G1133="COM-MTU","BUSINESS",IF(G1133="ENT","BUSINESS",""))))))</f>
        <v/>
      </c>
      <c r="G1133" s="1166">
        <f>'House Count'!F1133</f>
        <v/>
      </c>
      <c r="H1133" s="1166">
        <f>'House Count'!H1133</f>
        <v/>
      </c>
    </row>
    <row r="1134">
      <c r="A1134" s="1165">
        <f>'House Count'!A1134</f>
        <v/>
      </c>
      <c r="B1134" s="1166">
        <f>'House Count'!E1134</f>
        <v/>
      </c>
      <c r="C1134" s="1166">
        <f>'House Count'!B1134</f>
        <v/>
      </c>
      <c r="D1134" s="1166">
        <f>'House Count'!C1134</f>
        <v/>
      </c>
      <c r="E1134" s="1166">
        <f>'House Count'!D1134</f>
        <v/>
      </c>
      <c r="F1134" s="1166">
        <f>IF(G1134="RES-SFU","RESIDENTIAL",IF(G1134="RES-HOA","RESIDENTIAL",IF(G1134="RES-MDU","RESIDENTIAL",IF(G1134="COMM-SU","BUSINESS",IF(G1134="COM-MTU","BUSINESS",IF(G1134="ENT","BUSINESS",""))))))</f>
        <v/>
      </c>
      <c r="G1134" s="1166">
        <f>'House Count'!F1134</f>
        <v/>
      </c>
      <c r="H1134" s="1166">
        <f>'House Count'!H1134</f>
        <v/>
      </c>
    </row>
    <row r="1135">
      <c r="A1135" s="1165">
        <f>'House Count'!A1135</f>
        <v/>
      </c>
      <c r="B1135" s="1166">
        <f>'House Count'!E1135</f>
        <v/>
      </c>
      <c r="C1135" s="1166">
        <f>'House Count'!B1135</f>
        <v/>
      </c>
      <c r="D1135" s="1166">
        <f>'House Count'!C1135</f>
        <v/>
      </c>
      <c r="E1135" s="1166">
        <f>'House Count'!D1135</f>
        <v/>
      </c>
      <c r="F1135" s="1166">
        <f>IF(G1135="RES-SFU","RESIDENTIAL",IF(G1135="RES-HOA","RESIDENTIAL",IF(G1135="RES-MDU","RESIDENTIAL",IF(G1135="COMM-SU","BUSINESS",IF(G1135="COM-MTU","BUSINESS",IF(G1135="ENT","BUSINESS",""))))))</f>
        <v/>
      </c>
      <c r="G1135" s="1166">
        <f>'House Count'!F1135</f>
        <v/>
      </c>
      <c r="H1135" s="1166">
        <f>'House Count'!H1135</f>
        <v/>
      </c>
    </row>
    <row r="1136">
      <c r="A1136" s="1165">
        <f>'House Count'!A1136</f>
        <v/>
      </c>
      <c r="B1136" s="1166">
        <f>'House Count'!E1136</f>
        <v/>
      </c>
      <c r="C1136" s="1166">
        <f>'House Count'!B1136</f>
        <v/>
      </c>
      <c r="D1136" s="1166">
        <f>'House Count'!C1136</f>
        <v/>
      </c>
      <c r="E1136" s="1166">
        <f>'House Count'!D1136</f>
        <v/>
      </c>
      <c r="F1136" s="1166">
        <f>IF(G1136="RES-SFU","RESIDENTIAL",IF(G1136="RES-HOA","RESIDENTIAL",IF(G1136="RES-MDU","RESIDENTIAL",IF(G1136="COMM-SU","BUSINESS",IF(G1136="COM-MTU","BUSINESS",IF(G1136="ENT","BUSINESS",""))))))</f>
        <v/>
      </c>
      <c r="G1136" s="1166">
        <f>'House Count'!F1136</f>
        <v/>
      </c>
      <c r="H1136" s="1166">
        <f>'House Count'!H1136</f>
        <v/>
      </c>
    </row>
    <row r="1137">
      <c r="A1137" s="1165">
        <f>'House Count'!A1137</f>
        <v/>
      </c>
      <c r="B1137" s="1166">
        <f>'House Count'!E1137</f>
        <v/>
      </c>
      <c r="C1137" s="1166">
        <f>'House Count'!B1137</f>
        <v/>
      </c>
      <c r="D1137" s="1166">
        <f>'House Count'!C1137</f>
        <v/>
      </c>
      <c r="E1137" s="1166">
        <f>'House Count'!D1137</f>
        <v/>
      </c>
      <c r="F1137" s="1166">
        <f>IF(G1137="RES-SFU","RESIDENTIAL",IF(G1137="RES-HOA","RESIDENTIAL",IF(G1137="RES-MDU","RESIDENTIAL",IF(G1137="COMM-SU","BUSINESS",IF(G1137="COM-MTU","BUSINESS",IF(G1137="ENT","BUSINESS",""))))))</f>
        <v/>
      </c>
      <c r="G1137" s="1166">
        <f>'House Count'!F1137</f>
        <v/>
      </c>
      <c r="H1137" s="1166">
        <f>'House Count'!H1137</f>
        <v/>
      </c>
    </row>
    <row r="1138">
      <c r="A1138" s="1165">
        <f>'House Count'!A1138</f>
        <v/>
      </c>
      <c r="B1138" s="1166">
        <f>'House Count'!E1138</f>
        <v/>
      </c>
      <c r="C1138" s="1166">
        <f>'House Count'!B1138</f>
        <v/>
      </c>
      <c r="D1138" s="1166">
        <f>'House Count'!C1138</f>
        <v/>
      </c>
      <c r="E1138" s="1166">
        <f>'House Count'!D1138</f>
        <v/>
      </c>
      <c r="F1138" s="1166">
        <f>IF(G1138="RES-SFU","RESIDENTIAL",IF(G1138="RES-HOA","RESIDENTIAL",IF(G1138="RES-MDU","RESIDENTIAL",IF(G1138="COMM-SU","BUSINESS",IF(G1138="COM-MTU","BUSINESS",IF(G1138="ENT","BUSINESS",""))))))</f>
        <v/>
      </c>
      <c r="G1138" s="1166">
        <f>'House Count'!F1138</f>
        <v/>
      </c>
      <c r="H1138" s="1166">
        <f>'House Count'!H1138</f>
        <v/>
      </c>
    </row>
    <row r="1139">
      <c r="A1139" s="1165">
        <f>'House Count'!A1139</f>
        <v/>
      </c>
      <c r="B1139" s="1166">
        <f>'House Count'!E1139</f>
        <v/>
      </c>
      <c r="C1139" s="1166">
        <f>'House Count'!B1139</f>
        <v/>
      </c>
      <c r="D1139" s="1166">
        <f>'House Count'!C1139</f>
        <v/>
      </c>
      <c r="E1139" s="1166">
        <f>'House Count'!D1139</f>
        <v/>
      </c>
      <c r="F1139" s="1166">
        <f>IF(G1139="RES-SFU","RESIDENTIAL",IF(G1139="RES-HOA","RESIDENTIAL",IF(G1139="RES-MDU","RESIDENTIAL",IF(G1139="COMM-SU","BUSINESS",IF(G1139="COM-MTU","BUSINESS",IF(G1139="ENT","BUSINESS",""))))))</f>
        <v/>
      </c>
      <c r="G1139" s="1166">
        <f>'House Count'!F1139</f>
        <v/>
      </c>
      <c r="H1139" s="1166">
        <f>'House Count'!H1139</f>
        <v/>
      </c>
    </row>
    <row r="1140">
      <c r="A1140" s="1165">
        <f>'House Count'!A1140</f>
        <v/>
      </c>
      <c r="B1140" s="1166">
        <f>'House Count'!E1140</f>
        <v/>
      </c>
      <c r="C1140" s="1166">
        <f>'House Count'!B1140</f>
        <v/>
      </c>
      <c r="D1140" s="1166">
        <f>'House Count'!C1140</f>
        <v/>
      </c>
      <c r="E1140" s="1166">
        <f>'House Count'!D1140</f>
        <v/>
      </c>
      <c r="F1140" s="1166">
        <f>IF(G1140="RES-SFU","RESIDENTIAL",IF(G1140="RES-HOA","RESIDENTIAL",IF(G1140="RES-MDU","RESIDENTIAL",IF(G1140="COMM-SU","BUSINESS",IF(G1140="COM-MTU","BUSINESS",IF(G1140="ENT","BUSINESS",""))))))</f>
        <v/>
      </c>
      <c r="G1140" s="1166">
        <f>'House Count'!F1140</f>
        <v/>
      </c>
      <c r="H1140" s="1166">
        <f>'House Count'!H1140</f>
        <v/>
      </c>
    </row>
    <row r="1141">
      <c r="A1141" s="1165">
        <f>'House Count'!A1141</f>
        <v/>
      </c>
      <c r="B1141" s="1166">
        <f>'House Count'!E1141</f>
        <v/>
      </c>
      <c r="C1141" s="1166">
        <f>'House Count'!B1141</f>
        <v/>
      </c>
      <c r="D1141" s="1166">
        <f>'House Count'!C1141</f>
        <v/>
      </c>
      <c r="E1141" s="1166">
        <f>'House Count'!D1141</f>
        <v/>
      </c>
      <c r="F1141" s="1166">
        <f>IF(G1141="RES-SFU","RESIDENTIAL",IF(G1141="RES-HOA","RESIDENTIAL",IF(G1141="RES-MDU","RESIDENTIAL",IF(G1141="COMM-SU","BUSINESS",IF(G1141="COM-MTU","BUSINESS",IF(G1141="ENT","BUSINESS",""))))))</f>
        <v/>
      </c>
      <c r="G1141" s="1166">
        <f>'House Count'!F1141</f>
        <v/>
      </c>
      <c r="H1141" s="1166">
        <f>'House Count'!H1141</f>
        <v/>
      </c>
    </row>
    <row r="1142">
      <c r="A1142" s="1165">
        <f>'House Count'!A1142</f>
        <v/>
      </c>
      <c r="B1142" s="1166">
        <f>'House Count'!E1142</f>
        <v/>
      </c>
      <c r="C1142" s="1166">
        <f>'House Count'!B1142</f>
        <v/>
      </c>
      <c r="D1142" s="1166">
        <f>'House Count'!C1142</f>
        <v/>
      </c>
      <c r="E1142" s="1166">
        <f>'House Count'!D1142</f>
        <v/>
      </c>
      <c r="F1142" s="1166">
        <f>IF(G1142="RES-SFU","RESIDENTIAL",IF(G1142="RES-HOA","RESIDENTIAL",IF(G1142="RES-MDU","RESIDENTIAL",IF(G1142="COMM-SU","BUSINESS",IF(G1142="COM-MTU","BUSINESS",IF(G1142="ENT","BUSINESS",""))))))</f>
        <v/>
      </c>
      <c r="G1142" s="1166">
        <f>'House Count'!F1142</f>
        <v/>
      </c>
      <c r="H1142" s="1166">
        <f>'House Count'!H1142</f>
        <v/>
      </c>
    </row>
    <row r="1143">
      <c r="A1143" s="1165">
        <f>'House Count'!A1143</f>
        <v/>
      </c>
      <c r="B1143" s="1166">
        <f>'House Count'!E1143</f>
        <v/>
      </c>
      <c r="C1143" s="1166">
        <f>'House Count'!B1143</f>
        <v/>
      </c>
      <c r="D1143" s="1166">
        <f>'House Count'!C1143</f>
        <v/>
      </c>
      <c r="E1143" s="1166">
        <f>'House Count'!D1143</f>
        <v/>
      </c>
      <c r="F1143" s="1166">
        <f>IF(G1143="RES-SFU","RESIDENTIAL",IF(G1143="RES-HOA","RESIDENTIAL",IF(G1143="RES-MDU","RESIDENTIAL",IF(G1143="COMM-SU","BUSINESS",IF(G1143="COM-MTU","BUSINESS",IF(G1143="ENT","BUSINESS",""))))))</f>
        <v/>
      </c>
      <c r="G1143" s="1166">
        <f>'House Count'!F1143</f>
        <v/>
      </c>
      <c r="H1143" s="1166">
        <f>'House Count'!H1143</f>
        <v/>
      </c>
    </row>
    <row r="1144">
      <c r="A1144" s="1165">
        <f>'House Count'!A1144</f>
        <v/>
      </c>
      <c r="B1144" s="1166">
        <f>'House Count'!E1144</f>
        <v/>
      </c>
      <c r="C1144" s="1166">
        <f>'House Count'!B1144</f>
        <v/>
      </c>
      <c r="D1144" s="1166">
        <f>'House Count'!C1144</f>
        <v/>
      </c>
      <c r="E1144" s="1166">
        <f>'House Count'!D1144</f>
        <v/>
      </c>
      <c r="F1144" s="1166">
        <f>IF(G1144="RES-SFU","RESIDENTIAL",IF(G1144="RES-HOA","RESIDENTIAL",IF(G1144="RES-MDU","RESIDENTIAL",IF(G1144="COMM-SU","BUSINESS",IF(G1144="COM-MTU","BUSINESS",IF(G1144="ENT","BUSINESS",""))))))</f>
        <v/>
      </c>
      <c r="G1144" s="1166">
        <f>'House Count'!F1144</f>
        <v/>
      </c>
      <c r="H1144" s="1166">
        <f>'House Count'!H1144</f>
        <v/>
      </c>
    </row>
    <row r="1145">
      <c r="A1145" s="1165">
        <f>'House Count'!A1145</f>
        <v/>
      </c>
      <c r="B1145" s="1166">
        <f>'House Count'!E1145</f>
        <v/>
      </c>
      <c r="C1145" s="1166">
        <f>'House Count'!B1145</f>
        <v/>
      </c>
      <c r="D1145" s="1166">
        <f>'House Count'!C1145</f>
        <v/>
      </c>
      <c r="E1145" s="1166">
        <f>'House Count'!D1145</f>
        <v/>
      </c>
      <c r="F1145" s="1166">
        <f>IF(G1145="RES-SFU","RESIDENTIAL",IF(G1145="RES-HOA","RESIDENTIAL",IF(G1145="RES-MDU","RESIDENTIAL",IF(G1145="COMM-SU","BUSINESS",IF(G1145="COM-MTU","BUSINESS",IF(G1145="ENT","BUSINESS",""))))))</f>
        <v/>
      </c>
      <c r="G1145" s="1166">
        <f>'House Count'!F1145</f>
        <v/>
      </c>
      <c r="H1145" s="1166">
        <f>'House Count'!H1145</f>
        <v/>
      </c>
    </row>
    <row r="1146">
      <c r="A1146" s="1165">
        <f>'House Count'!A1146</f>
        <v/>
      </c>
      <c r="B1146" s="1166">
        <f>'House Count'!E1146</f>
        <v/>
      </c>
      <c r="C1146" s="1166">
        <f>'House Count'!B1146</f>
        <v/>
      </c>
      <c r="D1146" s="1166">
        <f>'House Count'!C1146</f>
        <v/>
      </c>
      <c r="E1146" s="1166">
        <f>'House Count'!D1146</f>
        <v/>
      </c>
      <c r="F1146" s="1166">
        <f>IF(G1146="RES-SFU","RESIDENTIAL",IF(G1146="RES-HOA","RESIDENTIAL",IF(G1146="RES-MDU","RESIDENTIAL",IF(G1146="COMM-SU","BUSINESS",IF(G1146="COM-MTU","BUSINESS",IF(G1146="ENT","BUSINESS",""))))))</f>
        <v/>
      </c>
      <c r="G1146" s="1166">
        <f>'House Count'!F1146</f>
        <v/>
      </c>
      <c r="H1146" s="1166">
        <f>'House Count'!H1146</f>
        <v/>
      </c>
    </row>
    <row r="1147">
      <c r="A1147" s="1165">
        <f>'House Count'!A1147</f>
        <v/>
      </c>
      <c r="B1147" s="1166">
        <f>'House Count'!E1147</f>
        <v/>
      </c>
      <c r="C1147" s="1166">
        <f>'House Count'!B1147</f>
        <v/>
      </c>
      <c r="D1147" s="1166">
        <f>'House Count'!C1147</f>
        <v/>
      </c>
      <c r="E1147" s="1166">
        <f>'House Count'!D1147</f>
        <v/>
      </c>
      <c r="F1147" s="1166">
        <f>IF(G1147="RES-SFU","RESIDENTIAL",IF(G1147="RES-HOA","RESIDENTIAL",IF(G1147="RES-MDU","RESIDENTIAL",IF(G1147="COMM-SU","BUSINESS",IF(G1147="COM-MTU","BUSINESS",IF(G1147="ENT","BUSINESS",""))))))</f>
        <v/>
      </c>
      <c r="G1147" s="1166">
        <f>'House Count'!F1147</f>
        <v/>
      </c>
      <c r="H1147" s="1166">
        <f>'House Count'!H1147</f>
        <v/>
      </c>
    </row>
    <row r="1148">
      <c r="A1148" s="1165">
        <f>'House Count'!A1148</f>
        <v/>
      </c>
      <c r="B1148" s="1166">
        <f>'House Count'!E1148</f>
        <v/>
      </c>
      <c r="C1148" s="1166">
        <f>'House Count'!B1148</f>
        <v/>
      </c>
      <c r="D1148" s="1166">
        <f>'House Count'!C1148</f>
        <v/>
      </c>
      <c r="E1148" s="1166">
        <f>'House Count'!D1148</f>
        <v/>
      </c>
      <c r="F1148" s="1166">
        <f>IF(G1148="RES-SFU","RESIDENTIAL",IF(G1148="RES-HOA","RESIDENTIAL",IF(G1148="RES-MDU","RESIDENTIAL",IF(G1148="COMM-SU","BUSINESS",IF(G1148="COM-MTU","BUSINESS",IF(G1148="ENT","BUSINESS",""))))))</f>
        <v/>
      </c>
      <c r="G1148" s="1166">
        <f>'House Count'!F1148</f>
        <v/>
      </c>
      <c r="H1148" s="1166">
        <f>'House Count'!H1148</f>
        <v/>
      </c>
    </row>
    <row r="1149">
      <c r="A1149" s="1165">
        <f>'House Count'!A1149</f>
        <v/>
      </c>
      <c r="B1149" s="1166">
        <f>'House Count'!E1149</f>
        <v/>
      </c>
      <c r="C1149" s="1166">
        <f>'House Count'!B1149</f>
        <v/>
      </c>
      <c r="D1149" s="1166">
        <f>'House Count'!C1149</f>
        <v/>
      </c>
      <c r="E1149" s="1166">
        <f>'House Count'!D1149</f>
        <v/>
      </c>
      <c r="F1149" s="1166">
        <f>IF(G1149="RES-SFU","RESIDENTIAL",IF(G1149="RES-HOA","RESIDENTIAL",IF(G1149="RES-MDU","RESIDENTIAL",IF(G1149="COMM-SU","BUSINESS",IF(G1149="COM-MTU","BUSINESS",IF(G1149="ENT","BUSINESS",""))))))</f>
        <v/>
      </c>
      <c r="G1149" s="1166">
        <f>'House Count'!F1149</f>
        <v/>
      </c>
      <c r="H1149" s="1166">
        <f>'House Count'!H1149</f>
        <v/>
      </c>
    </row>
    <row r="1150">
      <c r="A1150" s="1165">
        <f>'House Count'!A1150</f>
        <v/>
      </c>
      <c r="B1150" s="1166">
        <f>'House Count'!E1150</f>
        <v/>
      </c>
      <c r="C1150" s="1166">
        <f>'House Count'!B1150</f>
        <v/>
      </c>
      <c r="D1150" s="1166">
        <f>'House Count'!C1150</f>
        <v/>
      </c>
      <c r="E1150" s="1166">
        <f>'House Count'!D1150</f>
        <v/>
      </c>
      <c r="F1150" s="1166">
        <f>IF(G1150="RES-SFU","RESIDENTIAL",IF(G1150="RES-HOA","RESIDENTIAL",IF(G1150="RES-MDU","RESIDENTIAL",IF(G1150="COMM-SU","BUSINESS",IF(G1150="COM-MTU","BUSINESS",IF(G1150="ENT","BUSINESS",""))))))</f>
        <v/>
      </c>
      <c r="G1150" s="1166">
        <f>'House Count'!F1150</f>
        <v/>
      </c>
      <c r="H1150" s="1166">
        <f>'House Count'!H1150</f>
        <v/>
      </c>
    </row>
    <row r="1151">
      <c r="A1151" s="1165">
        <f>'House Count'!A1151</f>
        <v/>
      </c>
      <c r="B1151" s="1166">
        <f>'House Count'!E1151</f>
        <v/>
      </c>
      <c r="C1151" s="1166">
        <f>'House Count'!B1151</f>
        <v/>
      </c>
      <c r="D1151" s="1166">
        <f>'House Count'!C1151</f>
        <v/>
      </c>
      <c r="E1151" s="1166">
        <f>'House Count'!D1151</f>
        <v/>
      </c>
      <c r="F1151" s="1166">
        <f>IF(G1151="RES-SFU","RESIDENTIAL",IF(G1151="RES-HOA","RESIDENTIAL",IF(G1151="RES-MDU","RESIDENTIAL",IF(G1151="COMM-SU","BUSINESS",IF(G1151="COM-MTU","BUSINESS",IF(G1151="ENT","BUSINESS",""))))))</f>
        <v/>
      </c>
      <c r="G1151" s="1166">
        <f>'House Count'!F1151</f>
        <v/>
      </c>
      <c r="H1151" s="1166">
        <f>'House Count'!H1151</f>
        <v/>
      </c>
    </row>
    <row r="1152">
      <c r="A1152" s="1165">
        <f>'House Count'!A1152</f>
        <v/>
      </c>
      <c r="B1152" s="1166">
        <f>'House Count'!E1152</f>
        <v/>
      </c>
      <c r="C1152" s="1166">
        <f>'House Count'!B1152</f>
        <v/>
      </c>
      <c r="D1152" s="1166">
        <f>'House Count'!C1152</f>
        <v/>
      </c>
      <c r="E1152" s="1166">
        <f>'House Count'!D1152</f>
        <v/>
      </c>
      <c r="F1152" s="1166">
        <f>IF(G1152="RES-SFU","RESIDENTIAL",IF(G1152="RES-HOA","RESIDENTIAL",IF(G1152="RES-MDU","RESIDENTIAL",IF(G1152="COMM-SU","BUSINESS",IF(G1152="COM-MTU","BUSINESS",IF(G1152="ENT","BUSINESS",""))))))</f>
        <v/>
      </c>
      <c r="G1152" s="1166">
        <f>'House Count'!F1152</f>
        <v/>
      </c>
      <c r="H1152" s="1166">
        <f>'House Count'!H1152</f>
        <v/>
      </c>
    </row>
    <row r="1153">
      <c r="A1153" s="1165">
        <f>'House Count'!A1153</f>
        <v/>
      </c>
      <c r="B1153" s="1166">
        <f>'House Count'!E1153</f>
        <v/>
      </c>
      <c r="C1153" s="1166">
        <f>'House Count'!B1153</f>
        <v/>
      </c>
      <c r="D1153" s="1166">
        <f>'House Count'!C1153</f>
        <v/>
      </c>
      <c r="E1153" s="1166">
        <f>'House Count'!D1153</f>
        <v/>
      </c>
      <c r="F1153" s="1166">
        <f>IF(G1153="RES-SFU","RESIDENTIAL",IF(G1153="RES-HOA","RESIDENTIAL",IF(G1153="RES-MDU","RESIDENTIAL",IF(G1153="COMM-SU","BUSINESS",IF(G1153="COM-MTU","BUSINESS",IF(G1153="ENT","BUSINESS",""))))))</f>
        <v/>
      </c>
      <c r="G1153" s="1166">
        <f>'House Count'!F1153</f>
        <v/>
      </c>
      <c r="H1153" s="1166">
        <f>'House Count'!H1153</f>
        <v/>
      </c>
    </row>
    <row r="1154">
      <c r="A1154" s="1165">
        <f>'House Count'!A1154</f>
        <v/>
      </c>
      <c r="B1154" s="1166">
        <f>'House Count'!E1154</f>
        <v/>
      </c>
      <c r="C1154" s="1166">
        <f>'House Count'!B1154</f>
        <v/>
      </c>
      <c r="D1154" s="1166">
        <f>'House Count'!C1154</f>
        <v/>
      </c>
      <c r="E1154" s="1166">
        <f>'House Count'!D1154</f>
        <v/>
      </c>
      <c r="F1154" s="1166">
        <f>IF(G1154="RES-SFU","RESIDENTIAL",IF(G1154="RES-HOA","RESIDENTIAL",IF(G1154="RES-MDU","RESIDENTIAL",IF(G1154="COMM-SU","BUSINESS",IF(G1154="COM-MTU","BUSINESS",IF(G1154="ENT","BUSINESS",""))))))</f>
        <v/>
      </c>
      <c r="G1154" s="1166">
        <f>'House Count'!F1154</f>
        <v/>
      </c>
      <c r="H1154" s="1166">
        <f>'House Count'!H1154</f>
        <v/>
      </c>
    </row>
    <row r="1155">
      <c r="A1155" s="1165">
        <f>'House Count'!A1155</f>
        <v/>
      </c>
      <c r="B1155" s="1166">
        <f>'House Count'!E1155</f>
        <v/>
      </c>
      <c r="C1155" s="1166">
        <f>'House Count'!B1155</f>
        <v/>
      </c>
      <c r="D1155" s="1166">
        <f>'House Count'!C1155</f>
        <v/>
      </c>
      <c r="E1155" s="1166">
        <f>'House Count'!D1155</f>
        <v/>
      </c>
      <c r="F1155" s="1166">
        <f>IF(G1155="RES-SFU","RESIDENTIAL",IF(G1155="RES-HOA","RESIDENTIAL",IF(G1155="RES-MDU","RESIDENTIAL",IF(G1155="COMM-SU","BUSINESS",IF(G1155="COM-MTU","BUSINESS",IF(G1155="ENT","BUSINESS",""))))))</f>
        <v/>
      </c>
      <c r="G1155" s="1166">
        <f>'House Count'!F1155</f>
        <v/>
      </c>
      <c r="H1155" s="1166">
        <f>'House Count'!H1155</f>
        <v/>
      </c>
    </row>
    <row r="1156">
      <c r="A1156" s="1165">
        <f>'House Count'!A1156</f>
        <v/>
      </c>
      <c r="B1156" s="1166">
        <f>'House Count'!E1156</f>
        <v/>
      </c>
      <c r="C1156" s="1166">
        <f>'House Count'!B1156</f>
        <v/>
      </c>
      <c r="D1156" s="1166">
        <f>'House Count'!C1156</f>
        <v/>
      </c>
      <c r="E1156" s="1166">
        <f>'House Count'!D1156</f>
        <v/>
      </c>
      <c r="F1156" s="1166">
        <f>IF(G1156="RES-SFU","RESIDENTIAL",IF(G1156="RES-HOA","RESIDENTIAL",IF(G1156="RES-MDU","RESIDENTIAL",IF(G1156="COMM-SU","BUSINESS",IF(G1156="COM-MTU","BUSINESS",IF(G1156="ENT","BUSINESS",""))))))</f>
        <v/>
      </c>
      <c r="G1156" s="1166">
        <f>'House Count'!F1156</f>
        <v/>
      </c>
      <c r="H1156" s="1166">
        <f>'House Count'!H1156</f>
        <v/>
      </c>
    </row>
    <row r="1157">
      <c r="A1157" s="1165">
        <f>'House Count'!A1157</f>
        <v/>
      </c>
      <c r="B1157" s="1166">
        <f>'House Count'!E1157</f>
        <v/>
      </c>
      <c r="C1157" s="1166">
        <f>'House Count'!B1157</f>
        <v/>
      </c>
      <c r="D1157" s="1166">
        <f>'House Count'!C1157</f>
        <v/>
      </c>
      <c r="E1157" s="1166">
        <f>'House Count'!D1157</f>
        <v/>
      </c>
      <c r="F1157" s="1166">
        <f>IF(G1157="RES-SFU","RESIDENTIAL",IF(G1157="RES-HOA","RESIDENTIAL",IF(G1157="RES-MDU","RESIDENTIAL",IF(G1157="COMM-SU","BUSINESS",IF(G1157="COM-MTU","BUSINESS",IF(G1157="ENT","BUSINESS",""))))))</f>
        <v/>
      </c>
      <c r="G1157" s="1166">
        <f>'House Count'!F1157</f>
        <v/>
      </c>
      <c r="H1157" s="1166">
        <f>'House Count'!H1157</f>
        <v/>
      </c>
    </row>
    <row r="1158">
      <c r="A1158" s="1165">
        <f>'House Count'!A1158</f>
        <v/>
      </c>
      <c r="B1158" s="1166">
        <f>'House Count'!E1158</f>
        <v/>
      </c>
      <c r="C1158" s="1166">
        <f>'House Count'!B1158</f>
        <v/>
      </c>
      <c r="D1158" s="1166">
        <f>'House Count'!C1158</f>
        <v/>
      </c>
      <c r="E1158" s="1166">
        <f>'House Count'!D1158</f>
        <v/>
      </c>
      <c r="F1158" s="1166">
        <f>IF(G1158="RES-SFU","RESIDENTIAL",IF(G1158="RES-HOA","RESIDENTIAL",IF(G1158="RES-MDU","RESIDENTIAL",IF(G1158="COMM-SU","BUSINESS",IF(G1158="COM-MTU","BUSINESS",IF(G1158="ENT","BUSINESS",""))))))</f>
        <v/>
      </c>
      <c r="G1158" s="1166">
        <f>'House Count'!F1158</f>
        <v/>
      </c>
      <c r="H1158" s="1166">
        <f>'House Count'!H1158</f>
        <v/>
      </c>
    </row>
    <row r="1159">
      <c r="A1159" s="1165">
        <f>'House Count'!A1159</f>
        <v/>
      </c>
      <c r="B1159" s="1166">
        <f>'House Count'!E1159</f>
        <v/>
      </c>
      <c r="C1159" s="1166">
        <f>'House Count'!B1159</f>
        <v/>
      </c>
      <c r="D1159" s="1166">
        <f>'House Count'!C1159</f>
        <v/>
      </c>
      <c r="E1159" s="1166">
        <f>'House Count'!D1159</f>
        <v/>
      </c>
      <c r="F1159" s="1166">
        <f>IF(G1159="RES-SFU","RESIDENTIAL",IF(G1159="RES-HOA","RESIDENTIAL",IF(G1159="RES-MDU","RESIDENTIAL",IF(G1159="COMM-SU","BUSINESS",IF(G1159="COM-MTU","BUSINESS",IF(G1159="ENT","BUSINESS",""))))))</f>
        <v/>
      </c>
      <c r="G1159" s="1166">
        <f>'House Count'!F1159</f>
        <v/>
      </c>
      <c r="H1159" s="1166">
        <f>'House Count'!H1159</f>
        <v/>
      </c>
    </row>
    <row r="1160">
      <c r="A1160" s="1165">
        <f>'House Count'!A1160</f>
        <v/>
      </c>
      <c r="B1160" s="1166">
        <f>'House Count'!E1160</f>
        <v/>
      </c>
      <c r="C1160" s="1166">
        <f>'House Count'!B1160</f>
        <v/>
      </c>
      <c r="D1160" s="1166">
        <f>'House Count'!C1160</f>
        <v/>
      </c>
      <c r="E1160" s="1166">
        <f>'House Count'!D1160</f>
        <v/>
      </c>
      <c r="F1160" s="1166">
        <f>IF(G1160="RES-SFU","RESIDENTIAL",IF(G1160="RES-HOA","RESIDENTIAL",IF(G1160="RES-MDU","RESIDENTIAL",IF(G1160="COMM-SU","BUSINESS",IF(G1160="COM-MTU","BUSINESS",IF(G1160="ENT","BUSINESS",""))))))</f>
        <v/>
      </c>
      <c r="G1160" s="1166">
        <f>'House Count'!F1160</f>
        <v/>
      </c>
      <c r="H1160" s="1166">
        <f>'House Count'!H1160</f>
        <v/>
      </c>
    </row>
    <row r="1161">
      <c r="A1161" s="1165">
        <f>'House Count'!A1161</f>
        <v/>
      </c>
      <c r="B1161" s="1166">
        <f>'House Count'!E1161</f>
        <v/>
      </c>
      <c r="C1161" s="1166">
        <f>'House Count'!B1161</f>
        <v/>
      </c>
      <c r="D1161" s="1166">
        <f>'House Count'!C1161</f>
        <v/>
      </c>
      <c r="E1161" s="1166">
        <f>'House Count'!D1161</f>
        <v/>
      </c>
      <c r="F1161" s="1166">
        <f>IF(G1161="RES-SFU","RESIDENTIAL",IF(G1161="RES-HOA","RESIDENTIAL",IF(G1161="RES-MDU","RESIDENTIAL",IF(G1161="COMM-SU","BUSINESS",IF(G1161="COM-MTU","BUSINESS",IF(G1161="ENT","BUSINESS",""))))))</f>
        <v/>
      </c>
      <c r="G1161" s="1166">
        <f>'House Count'!F1161</f>
        <v/>
      </c>
      <c r="H1161" s="1166">
        <f>'House Count'!H1161</f>
        <v/>
      </c>
    </row>
    <row r="1162">
      <c r="A1162" s="1165">
        <f>'House Count'!A1162</f>
        <v/>
      </c>
      <c r="B1162" s="1166">
        <f>'House Count'!E1162</f>
        <v/>
      </c>
      <c r="C1162" s="1166">
        <f>'House Count'!B1162</f>
        <v/>
      </c>
      <c r="D1162" s="1166">
        <f>'House Count'!C1162</f>
        <v/>
      </c>
      <c r="E1162" s="1166">
        <f>'House Count'!D1162</f>
        <v/>
      </c>
      <c r="F1162" s="1166">
        <f>IF(G1162="RES-SFU","RESIDENTIAL",IF(G1162="RES-HOA","RESIDENTIAL",IF(G1162="RES-MDU","RESIDENTIAL",IF(G1162="COMM-SU","BUSINESS",IF(G1162="COM-MTU","BUSINESS",IF(G1162="ENT","BUSINESS",""))))))</f>
        <v/>
      </c>
      <c r="G1162" s="1166">
        <f>'House Count'!F1162</f>
        <v/>
      </c>
      <c r="H1162" s="1166">
        <f>'House Count'!H1162</f>
        <v/>
      </c>
    </row>
    <row r="1163">
      <c r="A1163" s="1165">
        <f>'House Count'!A1163</f>
        <v/>
      </c>
      <c r="B1163" s="1166">
        <f>'House Count'!E1163</f>
        <v/>
      </c>
      <c r="C1163" s="1166">
        <f>'House Count'!B1163</f>
        <v/>
      </c>
      <c r="D1163" s="1166">
        <f>'House Count'!C1163</f>
        <v/>
      </c>
      <c r="E1163" s="1166">
        <f>'House Count'!D1163</f>
        <v/>
      </c>
      <c r="F1163" s="1166">
        <f>IF(G1163="RES-SFU","RESIDENTIAL",IF(G1163="RES-HOA","RESIDENTIAL",IF(G1163="RES-MDU","RESIDENTIAL",IF(G1163="COMM-SU","BUSINESS",IF(G1163="COM-MTU","BUSINESS",IF(G1163="ENT","BUSINESS",""))))))</f>
        <v/>
      </c>
      <c r="G1163" s="1166">
        <f>'House Count'!F1163</f>
        <v/>
      </c>
      <c r="H1163" s="1166">
        <f>'House Count'!H1163</f>
        <v/>
      </c>
    </row>
    <row r="1164">
      <c r="A1164" s="1165">
        <f>'House Count'!A1164</f>
        <v/>
      </c>
      <c r="B1164" s="1166">
        <f>'House Count'!E1164</f>
        <v/>
      </c>
      <c r="C1164" s="1166">
        <f>'House Count'!B1164</f>
        <v/>
      </c>
      <c r="D1164" s="1166">
        <f>'House Count'!C1164</f>
        <v/>
      </c>
      <c r="E1164" s="1166">
        <f>'House Count'!D1164</f>
        <v/>
      </c>
      <c r="F1164" s="1166">
        <f>IF(G1164="RES-SFU","RESIDENTIAL",IF(G1164="RES-HOA","RESIDENTIAL",IF(G1164="RES-MDU","RESIDENTIAL",IF(G1164="COMM-SU","BUSINESS",IF(G1164="COM-MTU","BUSINESS",IF(G1164="ENT","BUSINESS",""))))))</f>
        <v/>
      </c>
      <c r="G1164" s="1166">
        <f>'House Count'!F1164</f>
        <v/>
      </c>
      <c r="H1164" s="1166">
        <f>'House Count'!H1164</f>
        <v/>
      </c>
    </row>
    <row r="1165">
      <c r="A1165" s="1165">
        <f>'House Count'!A1165</f>
        <v/>
      </c>
      <c r="B1165" s="1166">
        <f>'House Count'!E1165</f>
        <v/>
      </c>
      <c r="C1165" s="1166">
        <f>'House Count'!B1165</f>
        <v/>
      </c>
      <c r="D1165" s="1166">
        <f>'House Count'!C1165</f>
        <v/>
      </c>
      <c r="E1165" s="1166">
        <f>'House Count'!D1165</f>
        <v/>
      </c>
      <c r="F1165" s="1166">
        <f>IF(G1165="RES-SFU","RESIDENTIAL",IF(G1165="RES-HOA","RESIDENTIAL",IF(G1165="RES-MDU","RESIDENTIAL",IF(G1165="COMM-SU","BUSINESS",IF(G1165="COM-MTU","BUSINESS",IF(G1165="ENT","BUSINESS",""))))))</f>
        <v/>
      </c>
      <c r="G1165" s="1166">
        <f>'House Count'!F1165</f>
        <v/>
      </c>
      <c r="H1165" s="1166">
        <f>'House Count'!H1165</f>
        <v/>
      </c>
    </row>
    <row r="1166">
      <c r="A1166" s="1165">
        <f>'House Count'!A1166</f>
        <v/>
      </c>
      <c r="B1166" s="1166">
        <f>'House Count'!E1166</f>
        <v/>
      </c>
      <c r="C1166" s="1166">
        <f>'House Count'!B1166</f>
        <v/>
      </c>
      <c r="D1166" s="1166">
        <f>'House Count'!C1166</f>
        <v/>
      </c>
      <c r="E1166" s="1166">
        <f>'House Count'!D1166</f>
        <v/>
      </c>
      <c r="F1166" s="1166">
        <f>IF(G1166="RES-SFU","RESIDENTIAL",IF(G1166="RES-HOA","RESIDENTIAL",IF(G1166="RES-MDU","RESIDENTIAL",IF(G1166="COMM-SU","BUSINESS",IF(G1166="COM-MTU","BUSINESS",IF(G1166="ENT","BUSINESS",""))))))</f>
        <v/>
      </c>
      <c r="G1166" s="1166">
        <f>'House Count'!F1166</f>
        <v/>
      </c>
      <c r="H1166" s="1166">
        <f>'House Count'!H1166</f>
        <v/>
      </c>
    </row>
    <row r="1167">
      <c r="A1167" s="1165">
        <f>'House Count'!A1167</f>
        <v/>
      </c>
      <c r="B1167" s="1166">
        <f>'House Count'!E1167</f>
        <v/>
      </c>
      <c r="C1167" s="1166">
        <f>'House Count'!B1167</f>
        <v/>
      </c>
      <c r="D1167" s="1166">
        <f>'House Count'!C1167</f>
        <v/>
      </c>
      <c r="E1167" s="1166">
        <f>'House Count'!D1167</f>
        <v/>
      </c>
      <c r="F1167" s="1166">
        <f>IF(G1167="RES-SFU","RESIDENTIAL",IF(G1167="RES-HOA","RESIDENTIAL",IF(G1167="RES-MDU","RESIDENTIAL",IF(G1167="COMM-SU","BUSINESS",IF(G1167="COM-MTU","BUSINESS",IF(G1167="ENT","BUSINESS",""))))))</f>
        <v/>
      </c>
      <c r="G1167" s="1166">
        <f>'House Count'!F1167</f>
        <v/>
      </c>
      <c r="H1167" s="1166">
        <f>'House Count'!H1167</f>
        <v/>
      </c>
    </row>
    <row r="1168">
      <c r="A1168" s="1165">
        <f>'House Count'!A1168</f>
        <v/>
      </c>
      <c r="B1168" s="1166">
        <f>'House Count'!E1168</f>
        <v/>
      </c>
      <c r="C1168" s="1166">
        <f>'House Count'!B1168</f>
        <v/>
      </c>
      <c r="D1168" s="1166">
        <f>'House Count'!C1168</f>
        <v/>
      </c>
      <c r="E1168" s="1166">
        <f>'House Count'!D1168</f>
        <v/>
      </c>
      <c r="F1168" s="1166">
        <f>IF(G1168="RES-SFU","RESIDENTIAL",IF(G1168="RES-HOA","RESIDENTIAL",IF(G1168="RES-MDU","RESIDENTIAL",IF(G1168="COMM-SU","BUSINESS",IF(G1168="COM-MTU","BUSINESS",IF(G1168="ENT","BUSINESS",""))))))</f>
        <v/>
      </c>
      <c r="G1168" s="1166">
        <f>'House Count'!F1168</f>
        <v/>
      </c>
      <c r="H1168" s="1166">
        <f>'House Count'!H1168</f>
        <v/>
      </c>
    </row>
    <row r="1169">
      <c r="A1169" s="1165">
        <f>'House Count'!A1169</f>
        <v/>
      </c>
      <c r="B1169" s="1166">
        <f>'House Count'!E1169</f>
        <v/>
      </c>
      <c r="C1169" s="1166">
        <f>'House Count'!B1169</f>
        <v/>
      </c>
      <c r="D1169" s="1166">
        <f>'House Count'!C1169</f>
        <v/>
      </c>
      <c r="E1169" s="1166">
        <f>'House Count'!D1169</f>
        <v/>
      </c>
      <c r="F1169" s="1166">
        <f>IF(G1169="RES-SFU","RESIDENTIAL",IF(G1169="RES-HOA","RESIDENTIAL",IF(G1169="RES-MDU","RESIDENTIAL",IF(G1169="COMM-SU","BUSINESS",IF(G1169="COM-MTU","BUSINESS",IF(G1169="ENT","BUSINESS",""))))))</f>
        <v/>
      </c>
      <c r="G1169" s="1166">
        <f>'House Count'!F1169</f>
        <v/>
      </c>
      <c r="H1169" s="1166">
        <f>'House Count'!H1169</f>
        <v/>
      </c>
    </row>
    <row r="1170">
      <c r="A1170" s="1165">
        <f>'House Count'!A1170</f>
        <v/>
      </c>
      <c r="B1170" s="1166">
        <f>'House Count'!E1170</f>
        <v/>
      </c>
      <c r="C1170" s="1166">
        <f>'House Count'!B1170</f>
        <v/>
      </c>
      <c r="D1170" s="1166">
        <f>'House Count'!C1170</f>
        <v/>
      </c>
      <c r="E1170" s="1166">
        <f>'House Count'!D1170</f>
        <v/>
      </c>
      <c r="F1170" s="1166">
        <f>IF(G1170="RES-SFU","RESIDENTIAL",IF(G1170="RES-HOA","RESIDENTIAL",IF(G1170="RES-MDU","RESIDENTIAL",IF(G1170="COMM-SU","BUSINESS",IF(G1170="COM-MTU","BUSINESS",IF(G1170="ENT","BUSINESS",""))))))</f>
        <v/>
      </c>
      <c r="G1170" s="1166">
        <f>'House Count'!F1170</f>
        <v/>
      </c>
      <c r="H1170" s="1166">
        <f>'House Count'!H1170</f>
        <v/>
      </c>
    </row>
    <row r="1171">
      <c r="A1171" s="1165">
        <f>'House Count'!A1171</f>
        <v/>
      </c>
      <c r="B1171" s="1166">
        <f>'House Count'!E1171</f>
        <v/>
      </c>
      <c r="C1171" s="1166">
        <f>'House Count'!B1171</f>
        <v/>
      </c>
      <c r="D1171" s="1166">
        <f>'House Count'!C1171</f>
        <v/>
      </c>
      <c r="E1171" s="1166">
        <f>'House Count'!D1171</f>
        <v/>
      </c>
      <c r="F1171" s="1166">
        <f>IF(G1171="RES-SFU","RESIDENTIAL",IF(G1171="RES-HOA","RESIDENTIAL",IF(G1171="RES-MDU","RESIDENTIAL",IF(G1171="COMM-SU","BUSINESS",IF(G1171="COM-MTU","BUSINESS",IF(G1171="ENT","BUSINESS",""))))))</f>
        <v/>
      </c>
      <c r="G1171" s="1166">
        <f>'House Count'!F1171</f>
        <v/>
      </c>
      <c r="H1171" s="1166">
        <f>'House Count'!H1171</f>
        <v/>
      </c>
    </row>
    <row r="1172">
      <c r="A1172" s="1165">
        <f>'House Count'!A1172</f>
        <v/>
      </c>
      <c r="B1172" s="1166">
        <f>'House Count'!E1172</f>
        <v/>
      </c>
      <c r="C1172" s="1166">
        <f>'House Count'!B1172</f>
        <v/>
      </c>
      <c r="D1172" s="1166">
        <f>'House Count'!C1172</f>
        <v/>
      </c>
      <c r="E1172" s="1166">
        <f>'House Count'!D1172</f>
        <v/>
      </c>
      <c r="F1172" s="1166">
        <f>IF(G1172="RES-SFU","RESIDENTIAL",IF(G1172="RES-HOA","RESIDENTIAL",IF(G1172="RES-MDU","RESIDENTIAL",IF(G1172="COMM-SU","BUSINESS",IF(G1172="COM-MTU","BUSINESS",IF(G1172="ENT","BUSINESS",""))))))</f>
        <v/>
      </c>
      <c r="G1172" s="1166">
        <f>'House Count'!F1172</f>
        <v/>
      </c>
      <c r="H1172" s="1166">
        <f>'House Count'!H1172</f>
        <v/>
      </c>
    </row>
    <row r="1173">
      <c r="A1173" s="1165">
        <f>'House Count'!A1173</f>
        <v/>
      </c>
      <c r="B1173" s="1166">
        <f>'House Count'!E1173</f>
        <v/>
      </c>
      <c r="C1173" s="1166">
        <f>'House Count'!B1173</f>
        <v/>
      </c>
      <c r="D1173" s="1166">
        <f>'House Count'!C1173</f>
        <v/>
      </c>
      <c r="E1173" s="1166">
        <f>'House Count'!D1173</f>
        <v/>
      </c>
      <c r="F1173" s="1166">
        <f>IF(G1173="RES-SFU","RESIDENTIAL",IF(G1173="RES-HOA","RESIDENTIAL",IF(G1173="RES-MDU","RESIDENTIAL",IF(G1173="COMM-SU","BUSINESS",IF(G1173="COM-MTU","BUSINESS",IF(G1173="ENT","BUSINESS",""))))))</f>
        <v/>
      </c>
      <c r="G1173" s="1166">
        <f>'House Count'!F1173</f>
        <v/>
      </c>
      <c r="H1173" s="1166">
        <f>'House Count'!H1173</f>
        <v/>
      </c>
    </row>
    <row r="1174">
      <c r="A1174" s="1165">
        <f>'House Count'!A1174</f>
        <v/>
      </c>
      <c r="B1174" s="1166">
        <f>'House Count'!E1174</f>
        <v/>
      </c>
      <c r="C1174" s="1166">
        <f>'House Count'!B1174</f>
        <v/>
      </c>
      <c r="D1174" s="1166">
        <f>'House Count'!C1174</f>
        <v/>
      </c>
      <c r="E1174" s="1166">
        <f>'House Count'!D1174</f>
        <v/>
      </c>
      <c r="F1174" s="1166">
        <f>IF(G1174="RES-SFU","RESIDENTIAL",IF(G1174="RES-HOA","RESIDENTIAL",IF(G1174="RES-MDU","RESIDENTIAL",IF(G1174="COMM-SU","BUSINESS",IF(G1174="COM-MTU","BUSINESS",IF(G1174="ENT","BUSINESS",""))))))</f>
        <v/>
      </c>
      <c r="G1174" s="1166">
        <f>'House Count'!F1174</f>
        <v/>
      </c>
      <c r="H1174" s="1166">
        <f>'House Count'!H1174</f>
        <v/>
      </c>
    </row>
    <row r="1175">
      <c r="A1175" s="1165">
        <f>'House Count'!A1175</f>
        <v/>
      </c>
      <c r="B1175" s="1166">
        <f>'House Count'!E1175</f>
        <v/>
      </c>
      <c r="C1175" s="1166">
        <f>'House Count'!B1175</f>
        <v/>
      </c>
      <c r="D1175" s="1166">
        <f>'House Count'!C1175</f>
        <v/>
      </c>
      <c r="E1175" s="1166">
        <f>'House Count'!D1175</f>
        <v/>
      </c>
      <c r="F1175" s="1166">
        <f>IF(G1175="RES-SFU","RESIDENTIAL",IF(G1175="RES-HOA","RESIDENTIAL",IF(G1175="RES-MDU","RESIDENTIAL",IF(G1175="COMM-SU","BUSINESS",IF(G1175="COM-MTU","BUSINESS",IF(G1175="ENT","BUSINESS",""))))))</f>
        <v/>
      </c>
      <c r="G1175" s="1166">
        <f>'House Count'!F1175</f>
        <v/>
      </c>
      <c r="H1175" s="1166">
        <f>'House Count'!H1175</f>
        <v/>
      </c>
    </row>
    <row r="1176">
      <c r="A1176" s="1165">
        <f>'House Count'!A1176</f>
        <v/>
      </c>
      <c r="B1176" s="1166">
        <f>'House Count'!E1176</f>
        <v/>
      </c>
      <c r="C1176" s="1166">
        <f>'House Count'!B1176</f>
        <v/>
      </c>
      <c r="D1176" s="1166">
        <f>'House Count'!C1176</f>
        <v/>
      </c>
      <c r="E1176" s="1166">
        <f>'House Count'!D1176</f>
        <v/>
      </c>
      <c r="F1176" s="1166">
        <f>IF(G1176="RES-SFU","RESIDENTIAL",IF(G1176="RES-HOA","RESIDENTIAL",IF(G1176="RES-MDU","RESIDENTIAL",IF(G1176="COMM-SU","BUSINESS",IF(G1176="COM-MTU","BUSINESS",IF(G1176="ENT","BUSINESS",""))))))</f>
        <v/>
      </c>
      <c r="G1176" s="1166">
        <f>'House Count'!F1176</f>
        <v/>
      </c>
      <c r="H1176" s="1166">
        <f>'House Count'!H1176</f>
        <v/>
      </c>
    </row>
    <row r="1177">
      <c r="A1177" s="1165">
        <f>'House Count'!A1177</f>
        <v/>
      </c>
      <c r="B1177" s="1166">
        <f>'House Count'!E1177</f>
        <v/>
      </c>
      <c r="C1177" s="1166">
        <f>'House Count'!B1177</f>
        <v/>
      </c>
      <c r="D1177" s="1166">
        <f>'House Count'!C1177</f>
        <v/>
      </c>
      <c r="E1177" s="1166">
        <f>'House Count'!D1177</f>
        <v/>
      </c>
      <c r="F1177" s="1166">
        <f>IF(G1177="RES-SFU","RESIDENTIAL",IF(G1177="RES-HOA","RESIDENTIAL",IF(G1177="RES-MDU","RESIDENTIAL",IF(G1177="COMM-SU","BUSINESS",IF(G1177="COM-MTU","BUSINESS",IF(G1177="ENT","BUSINESS",""))))))</f>
        <v/>
      </c>
      <c r="G1177" s="1166">
        <f>'House Count'!F1177</f>
        <v/>
      </c>
      <c r="H1177" s="1166">
        <f>'House Count'!H1177</f>
        <v/>
      </c>
    </row>
    <row r="1178">
      <c r="A1178" s="1165">
        <f>'House Count'!A1178</f>
        <v/>
      </c>
      <c r="B1178" s="1166">
        <f>'House Count'!E1178</f>
        <v/>
      </c>
      <c r="C1178" s="1166">
        <f>'House Count'!B1178</f>
        <v/>
      </c>
      <c r="D1178" s="1166">
        <f>'House Count'!C1178</f>
        <v/>
      </c>
      <c r="E1178" s="1166">
        <f>'House Count'!D1178</f>
        <v/>
      </c>
      <c r="F1178" s="1166">
        <f>IF(G1178="RES-SFU","RESIDENTIAL",IF(G1178="RES-HOA","RESIDENTIAL",IF(G1178="RES-MDU","RESIDENTIAL",IF(G1178="COMM-SU","BUSINESS",IF(G1178="COM-MTU","BUSINESS",IF(G1178="ENT","BUSINESS",""))))))</f>
        <v/>
      </c>
      <c r="G1178" s="1166">
        <f>'House Count'!F1178</f>
        <v/>
      </c>
      <c r="H1178" s="1166">
        <f>'House Count'!H1178</f>
        <v/>
      </c>
    </row>
    <row r="1179">
      <c r="A1179" s="1165">
        <f>'House Count'!A1179</f>
        <v/>
      </c>
      <c r="B1179" s="1166">
        <f>'House Count'!E1179</f>
        <v/>
      </c>
      <c r="C1179" s="1166">
        <f>'House Count'!B1179</f>
        <v/>
      </c>
      <c r="D1179" s="1166">
        <f>'House Count'!C1179</f>
        <v/>
      </c>
      <c r="E1179" s="1166">
        <f>'House Count'!D1179</f>
        <v/>
      </c>
      <c r="F1179" s="1166">
        <f>IF(G1179="RES-SFU","RESIDENTIAL",IF(G1179="RES-HOA","RESIDENTIAL",IF(G1179="RES-MDU","RESIDENTIAL",IF(G1179="COMM-SU","BUSINESS",IF(G1179="COM-MTU","BUSINESS",IF(G1179="ENT","BUSINESS",""))))))</f>
        <v/>
      </c>
      <c r="G1179" s="1166">
        <f>'House Count'!F1179</f>
        <v/>
      </c>
      <c r="H1179" s="1166">
        <f>'House Count'!H1179</f>
        <v/>
      </c>
    </row>
    <row r="1180">
      <c r="A1180" s="1165">
        <f>'House Count'!A1180</f>
        <v/>
      </c>
      <c r="B1180" s="1166">
        <f>'House Count'!E1180</f>
        <v/>
      </c>
      <c r="C1180" s="1166">
        <f>'House Count'!B1180</f>
        <v/>
      </c>
      <c r="D1180" s="1166">
        <f>'House Count'!C1180</f>
        <v/>
      </c>
      <c r="E1180" s="1166">
        <f>'House Count'!D1180</f>
        <v/>
      </c>
      <c r="F1180" s="1166">
        <f>IF(G1180="RES-SFU","RESIDENTIAL",IF(G1180="RES-HOA","RESIDENTIAL",IF(G1180="RES-MDU","RESIDENTIAL",IF(G1180="COMM-SU","BUSINESS",IF(G1180="COM-MTU","BUSINESS",IF(G1180="ENT","BUSINESS",""))))))</f>
        <v/>
      </c>
      <c r="G1180" s="1166">
        <f>'House Count'!F1180</f>
        <v/>
      </c>
      <c r="H1180" s="1166">
        <f>'House Count'!H1180</f>
        <v/>
      </c>
    </row>
    <row r="1181">
      <c r="A1181" s="1165">
        <f>'House Count'!A1181</f>
        <v/>
      </c>
      <c r="B1181" s="1166">
        <f>'House Count'!E1181</f>
        <v/>
      </c>
      <c r="C1181" s="1166">
        <f>'House Count'!B1181</f>
        <v/>
      </c>
      <c r="D1181" s="1166">
        <f>'House Count'!C1181</f>
        <v/>
      </c>
      <c r="E1181" s="1166">
        <f>'House Count'!D1181</f>
        <v/>
      </c>
      <c r="F1181" s="1166">
        <f>IF(G1181="RES-SFU","RESIDENTIAL",IF(G1181="RES-HOA","RESIDENTIAL",IF(G1181="RES-MDU","RESIDENTIAL",IF(G1181="COMM-SU","BUSINESS",IF(G1181="COM-MTU","BUSINESS",IF(G1181="ENT","BUSINESS",""))))))</f>
        <v/>
      </c>
      <c r="G1181" s="1166">
        <f>'House Count'!F1181</f>
        <v/>
      </c>
      <c r="H1181" s="1166">
        <f>'House Count'!H1181</f>
        <v/>
      </c>
    </row>
    <row r="1182">
      <c r="A1182" s="1165">
        <f>'House Count'!A1182</f>
        <v/>
      </c>
      <c r="B1182" s="1166">
        <f>'House Count'!E1182</f>
        <v/>
      </c>
      <c r="C1182" s="1166">
        <f>'House Count'!B1182</f>
        <v/>
      </c>
      <c r="D1182" s="1166">
        <f>'House Count'!C1182</f>
        <v/>
      </c>
      <c r="E1182" s="1166">
        <f>'House Count'!D1182</f>
        <v/>
      </c>
      <c r="F1182" s="1166">
        <f>IF(G1182="RES-SFU","RESIDENTIAL",IF(G1182="RES-HOA","RESIDENTIAL",IF(G1182="RES-MDU","RESIDENTIAL",IF(G1182="COMM-SU","BUSINESS",IF(G1182="COM-MTU","BUSINESS",IF(G1182="ENT","BUSINESS",""))))))</f>
        <v/>
      </c>
      <c r="G1182" s="1166">
        <f>'House Count'!F1182</f>
        <v/>
      </c>
      <c r="H1182" s="1166">
        <f>'House Count'!H1182</f>
        <v/>
      </c>
    </row>
    <row r="1183">
      <c r="A1183" s="1165">
        <f>'House Count'!A1183</f>
        <v/>
      </c>
      <c r="B1183" s="1166">
        <f>'House Count'!E1183</f>
        <v/>
      </c>
      <c r="C1183" s="1166">
        <f>'House Count'!B1183</f>
        <v/>
      </c>
      <c r="D1183" s="1166">
        <f>'House Count'!C1183</f>
        <v/>
      </c>
      <c r="E1183" s="1166">
        <f>'House Count'!D1183</f>
        <v/>
      </c>
      <c r="F1183" s="1166">
        <f>IF(G1183="RES-SFU","RESIDENTIAL",IF(G1183="RES-HOA","RESIDENTIAL",IF(G1183="RES-MDU","RESIDENTIAL",IF(G1183="COMM-SU","BUSINESS",IF(G1183="COM-MTU","BUSINESS",IF(G1183="ENT","BUSINESS",""))))))</f>
        <v/>
      </c>
      <c r="G1183" s="1166">
        <f>'House Count'!F1183</f>
        <v/>
      </c>
      <c r="H1183" s="1166">
        <f>'House Count'!H1183</f>
        <v/>
      </c>
    </row>
    <row r="1184">
      <c r="A1184" s="1165">
        <f>'House Count'!A1184</f>
        <v/>
      </c>
      <c r="B1184" s="1166">
        <f>'House Count'!E1184</f>
        <v/>
      </c>
      <c r="C1184" s="1166">
        <f>'House Count'!B1184</f>
        <v/>
      </c>
      <c r="D1184" s="1166">
        <f>'House Count'!C1184</f>
        <v/>
      </c>
      <c r="E1184" s="1166">
        <f>'House Count'!D1184</f>
        <v/>
      </c>
      <c r="F1184" s="1166">
        <f>IF(G1184="RES-SFU","RESIDENTIAL",IF(G1184="RES-HOA","RESIDENTIAL",IF(G1184="RES-MDU","RESIDENTIAL",IF(G1184="COMM-SU","BUSINESS",IF(G1184="COM-MTU","BUSINESS",IF(G1184="ENT","BUSINESS",""))))))</f>
        <v/>
      </c>
      <c r="G1184" s="1166">
        <f>'House Count'!F1184</f>
        <v/>
      </c>
      <c r="H1184" s="1166">
        <f>'House Count'!H1184</f>
        <v/>
      </c>
    </row>
    <row r="1185">
      <c r="A1185" s="1165">
        <f>'House Count'!A1185</f>
        <v/>
      </c>
      <c r="B1185" s="1166">
        <f>'House Count'!E1185</f>
        <v/>
      </c>
      <c r="C1185" s="1166">
        <f>'House Count'!B1185</f>
        <v/>
      </c>
      <c r="D1185" s="1166">
        <f>'House Count'!C1185</f>
        <v/>
      </c>
      <c r="E1185" s="1166">
        <f>'House Count'!D1185</f>
        <v/>
      </c>
      <c r="F1185" s="1166">
        <f>IF(G1185="RES-SFU","RESIDENTIAL",IF(G1185="RES-HOA","RESIDENTIAL",IF(G1185="RES-MDU","RESIDENTIAL",IF(G1185="COMM-SU","BUSINESS",IF(G1185="COM-MTU","BUSINESS",IF(G1185="ENT","BUSINESS",""))))))</f>
        <v/>
      </c>
      <c r="G1185" s="1166">
        <f>'House Count'!F1185</f>
        <v/>
      </c>
      <c r="H1185" s="1166">
        <f>'House Count'!H1185</f>
        <v/>
      </c>
    </row>
    <row r="1186">
      <c r="A1186" s="1165">
        <f>'House Count'!A1186</f>
        <v/>
      </c>
      <c r="B1186" s="1166">
        <f>'House Count'!E1186</f>
        <v/>
      </c>
      <c r="C1186" s="1166">
        <f>'House Count'!B1186</f>
        <v/>
      </c>
      <c r="D1186" s="1166">
        <f>'House Count'!C1186</f>
        <v/>
      </c>
      <c r="E1186" s="1166">
        <f>'House Count'!D1186</f>
        <v/>
      </c>
      <c r="F1186" s="1166">
        <f>IF(G1186="RES-SFU","RESIDENTIAL",IF(G1186="RES-HOA","RESIDENTIAL",IF(G1186="RES-MDU","RESIDENTIAL",IF(G1186="COMM-SU","BUSINESS",IF(G1186="COM-MTU","BUSINESS",IF(G1186="ENT","BUSINESS",""))))))</f>
        <v/>
      </c>
      <c r="G1186" s="1166">
        <f>'House Count'!F1186</f>
        <v/>
      </c>
      <c r="H1186" s="1166">
        <f>'House Count'!H1186</f>
        <v/>
      </c>
    </row>
    <row r="1187">
      <c r="A1187" s="1165">
        <f>'House Count'!A1187</f>
        <v/>
      </c>
      <c r="B1187" s="1166">
        <f>'House Count'!E1187</f>
        <v/>
      </c>
      <c r="C1187" s="1166">
        <f>'House Count'!B1187</f>
        <v/>
      </c>
      <c r="D1187" s="1166">
        <f>'House Count'!C1187</f>
        <v/>
      </c>
      <c r="E1187" s="1166">
        <f>'House Count'!D1187</f>
        <v/>
      </c>
      <c r="F1187" s="1166">
        <f>IF(G1187="RES-SFU","RESIDENTIAL",IF(G1187="RES-HOA","RESIDENTIAL",IF(G1187="RES-MDU","RESIDENTIAL",IF(G1187="COMM-SU","BUSINESS",IF(G1187="COM-MTU","BUSINESS",IF(G1187="ENT","BUSINESS",""))))))</f>
        <v/>
      </c>
      <c r="G1187" s="1166">
        <f>'House Count'!F1187</f>
        <v/>
      </c>
      <c r="H1187" s="1166">
        <f>'House Count'!H1187</f>
        <v/>
      </c>
    </row>
    <row r="1188">
      <c r="A1188" s="1165">
        <f>'House Count'!A1188</f>
        <v/>
      </c>
      <c r="B1188" s="1166">
        <f>'House Count'!E1188</f>
        <v/>
      </c>
      <c r="C1188" s="1166">
        <f>'House Count'!B1188</f>
        <v/>
      </c>
      <c r="D1188" s="1166">
        <f>'House Count'!C1188</f>
        <v/>
      </c>
      <c r="E1188" s="1166">
        <f>'House Count'!D1188</f>
        <v/>
      </c>
      <c r="F1188" s="1166">
        <f>IF(G1188="RES-SFU","RESIDENTIAL",IF(G1188="RES-HOA","RESIDENTIAL",IF(G1188="RES-MDU","RESIDENTIAL",IF(G1188="COMM-SU","BUSINESS",IF(G1188="COM-MTU","BUSINESS",IF(G1188="ENT","BUSINESS",""))))))</f>
        <v/>
      </c>
      <c r="G1188" s="1166">
        <f>'House Count'!F1188</f>
        <v/>
      </c>
      <c r="H1188" s="1166">
        <f>'House Count'!H1188</f>
        <v/>
      </c>
    </row>
    <row r="1189">
      <c r="A1189" s="1165">
        <f>'House Count'!A1189</f>
        <v/>
      </c>
      <c r="B1189" s="1166">
        <f>'House Count'!E1189</f>
        <v/>
      </c>
      <c r="C1189" s="1166">
        <f>'House Count'!B1189</f>
        <v/>
      </c>
      <c r="D1189" s="1166">
        <f>'House Count'!C1189</f>
        <v/>
      </c>
      <c r="E1189" s="1166">
        <f>'House Count'!D1189</f>
        <v/>
      </c>
      <c r="F1189" s="1166">
        <f>IF(G1189="RES-SFU","RESIDENTIAL",IF(G1189="RES-HOA","RESIDENTIAL",IF(G1189="RES-MDU","RESIDENTIAL",IF(G1189="COMM-SU","BUSINESS",IF(G1189="COM-MTU","BUSINESS",IF(G1189="ENT","BUSINESS",""))))))</f>
        <v/>
      </c>
      <c r="G1189" s="1166">
        <f>'House Count'!F1189</f>
        <v/>
      </c>
      <c r="H1189" s="1166">
        <f>'House Count'!H1189</f>
        <v/>
      </c>
    </row>
    <row r="1190">
      <c r="A1190" s="1165">
        <f>'House Count'!A1190</f>
        <v/>
      </c>
      <c r="B1190" s="1166">
        <f>'House Count'!E1190</f>
        <v/>
      </c>
      <c r="C1190" s="1166">
        <f>'House Count'!B1190</f>
        <v/>
      </c>
      <c r="D1190" s="1166">
        <f>'House Count'!C1190</f>
        <v/>
      </c>
      <c r="E1190" s="1166">
        <f>'House Count'!D1190</f>
        <v/>
      </c>
      <c r="F1190" s="1166">
        <f>IF(G1190="RES-SFU","RESIDENTIAL",IF(G1190="RES-HOA","RESIDENTIAL",IF(G1190="RES-MDU","RESIDENTIAL",IF(G1190="COMM-SU","BUSINESS",IF(G1190="COM-MTU","BUSINESS",IF(G1190="ENT","BUSINESS",""))))))</f>
        <v/>
      </c>
      <c r="G1190" s="1166">
        <f>'House Count'!F1190</f>
        <v/>
      </c>
      <c r="H1190" s="1166">
        <f>'House Count'!H1190</f>
        <v/>
      </c>
    </row>
    <row r="1191">
      <c r="A1191" s="1165">
        <f>'House Count'!A1191</f>
        <v/>
      </c>
      <c r="B1191" s="1166">
        <f>'House Count'!E1191</f>
        <v/>
      </c>
      <c r="C1191" s="1166">
        <f>'House Count'!B1191</f>
        <v/>
      </c>
      <c r="D1191" s="1166">
        <f>'House Count'!C1191</f>
        <v/>
      </c>
      <c r="E1191" s="1166">
        <f>'House Count'!D1191</f>
        <v/>
      </c>
      <c r="F1191" s="1166">
        <f>IF(G1191="RES-SFU","RESIDENTIAL",IF(G1191="RES-HOA","RESIDENTIAL",IF(G1191="RES-MDU","RESIDENTIAL",IF(G1191="COMM-SU","BUSINESS",IF(G1191="COM-MTU","BUSINESS",IF(G1191="ENT","BUSINESS",""))))))</f>
        <v/>
      </c>
      <c r="G1191" s="1166">
        <f>'House Count'!F1191</f>
        <v/>
      </c>
      <c r="H1191" s="1166">
        <f>'House Count'!H1191</f>
        <v/>
      </c>
    </row>
    <row r="1192">
      <c r="A1192" s="1165">
        <f>'House Count'!A1192</f>
        <v/>
      </c>
      <c r="B1192" s="1166">
        <f>'House Count'!E1192</f>
        <v/>
      </c>
      <c r="C1192" s="1166">
        <f>'House Count'!B1192</f>
        <v/>
      </c>
      <c r="D1192" s="1166">
        <f>'House Count'!C1192</f>
        <v/>
      </c>
      <c r="E1192" s="1166">
        <f>'House Count'!D1192</f>
        <v/>
      </c>
      <c r="F1192" s="1166">
        <f>IF(G1192="RES-SFU","RESIDENTIAL",IF(G1192="RES-HOA","RESIDENTIAL",IF(G1192="RES-MDU","RESIDENTIAL",IF(G1192="COMM-SU","BUSINESS",IF(G1192="COM-MTU","BUSINESS",IF(G1192="ENT","BUSINESS",""))))))</f>
        <v/>
      </c>
      <c r="G1192" s="1166">
        <f>'House Count'!F1192</f>
        <v/>
      </c>
      <c r="H1192" s="1166">
        <f>'House Count'!H1192</f>
        <v/>
      </c>
    </row>
    <row r="1193">
      <c r="A1193" s="1165">
        <f>'House Count'!A1193</f>
        <v/>
      </c>
      <c r="B1193" s="1166">
        <f>'House Count'!E1193</f>
        <v/>
      </c>
      <c r="C1193" s="1166">
        <f>'House Count'!B1193</f>
        <v/>
      </c>
      <c r="D1193" s="1166">
        <f>'House Count'!C1193</f>
        <v/>
      </c>
      <c r="E1193" s="1166">
        <f>'House Count'!D1193</f>
        <v/>
      </c>
      <c r="F1193" s="1166">
        <f>IF(G1193="RES-SFU","RESIDENTIAL",IF(G1193="RES-HOA","RESIDENTIAL",IF(G1193="RES-MDU","RESIDENTIAL",IF(G1193="COMM-SU","BUSINESS",IF(G1193="COM-MTU","BUSINESS",IF(G1193="ENT","BUSINESS",""))))))</f>
        <v/>
      </c>
      <c r="G1193" s="1166">
        <f>'House Count'!F1193</f>
        <v/>
      </c>
      <c r="H1193" s="1166">
        <f>'House Count'!H1193</f>
        <v/>
      </c>
    </row>
    <row r="1194">
      <c r="A1194" s="1165">
        <f>'House Count'!A1194</f>
        <v/>
      </c>
      <c r="B1194" s="1166">
        <f>'House Count'!E1194</f>
        <v/>
      </c>
      <c r="C1194" s="1166">
        <f>'House Count'!B1194</f>
        <v/>
      </c>
      <c r="D1194" s="1166">
        <f>'House Count'!C1194</f>
        <v/>
      </c>
      <c r="E1194" s="1166">
        <f>'House Count'!D1194</f>
        <v/>
      </c>
      <c r="F1194" s="1166">
        <f>IF(G1194="RES-SFU","RESIDENTIAL",IF(G1194="RES-HOA","RESIDENTIAL",IF(G1194="RES-MDU","RESIDENTIAL",IF(G1194="COMM-SU","BUSINESS",IF(G1194="COM-MTU","BUSINESS",IF(G1194="ENT","BUSINESS",""))))))</f>
        <v/>
      </c>
      <c r="G1194" s="1166">
        <f>'House Count'!F1194</f>
        <v/>
      </c>
      <c r="H1194" s="1166">
        <f>'House Count'!H1194</f>
        <v/>
      </c>
    </row>
    <row r="1195">
      <c r="A1195" s="1165">
        <f>'House Count'!A1195</f>
        <v/>
      </c>
      <c r="B1195" s="1166">
        <f>'House Count'!E1195</f>
        <v/>
      </c>
      <c r="C1195" s="1166">
        <f>'House Count'!B1195</f>
        <v/>
      </c>
      <c r="D1195" s="1166">
        <f>'House Count'!C1195</f>
        <v/>
      </c>
      <c r="E1195" s="1166">
        <f>'House Count'!D1195</f>
        <v/>
      </c>
      <c r="F1195" s="1166">
        <f>IF(G1195="RES-SFU","RESIDENTIAL",IF(G1195="RES-HOA","RESIDENTIAL",IF(G1195="RES-MDU","RESIDENTIAL",IF(G1195="COMM-SU","BUSINESS",IF(G1195="COM-MTU","BUSINESS",IF(G1195="ENT","BUSINESS",""))))))</f>
        <v/>
      </c>
      <c r="G1195" s="1166">
        <f>'House Count'!F1195</f>
        <v/>
      </c>
      <c r="H1195" s="1166">
        <f>'House Count'!H1195</f>
        <v/>
      </c>
    </row>
    <row r="1196">
      <c r="A1196" s="1165">
        <f>'House Count'!A1196</f>
        <v/>
      </c>
      <c r="B1196" s="1166">
        <f>'House Count'!E1196</f>
        <v/>
      </c>
      <c r="C1196" s="1166">
        <f>'House Count'!B1196</f>
        <v/>
      </c>
      <c r="D1196" s="1166">
        <f>'House Count'!C1196</f>
        <v/>
      </c>
      <c r="E1196" s="1166">
        <f>'House Count'!D1196</f>
        <v/>
      </c>
      <c r="F1196" s="1166">
        <f>IF(G1196="RES-SFU","RESIDENTIAL",IF(G1196="RES-HOA","RESIDENTIAL",IF(G1196="RES-MDU","RESIDENTIAL",IF(G1196="COMM-SU","BUSINESS",IF(G1196="COM-MTU","BUSINESS",IF(G1196="ENT","BUSINESS",""))))))</f>
        <v/>
      </c>
      <c r="G1196" s="1166">
        <f>'House Count'!F1196</f>
        <v/>
      </c>
      <c r="H1196" s="1166">
        <f>'House Count'!H1196</f>
        <v/>
      </c>
    </row>
    <row r="1197">
      <c r="A1197" s="1165">
        <f>'House Count'!A1197</f>
        <v/>
      </c>
      <c r="B1197" s="1166">
        <f>'House Count'!E1197</f>
        <v/>
      </c>
      <c r="C1197" s="1166">
        <f>'House Count'!B1197</f>
        <v/>
      </c>
      <c r="D1197" s="1166">
        <f>'House Count'!C1197</f>
        <v/>
      </c>
      <c r="E1197" s="1166">
        <f>'House Count'!D1197</f>
        <v/>
      </c>
      <c r="F1197" s="1166">
        <f>IF(G1197="RES-SFU","RESIDENTIAL",IF(G1197="RES-HOA","RESIDENTIAL",IF(G1197="RES-MDU","RESIDENTIAL",IF(G1197="COMM-SU","BUSINESS",IF(G1197="COM-MTU","BUSINESS",IF(G1197="ENT","BUSINESS",""))))))</f>
        <v/>
      </c>
      <c r="G1197" s="1166">
        <f>'House Count'!F1197</f>
        <v/>
      </c>
      <c r="H1197" s="1166">
        <f>'House Count'!H1197</f>
        <v/>
      </c>
    </row>
    <row r="1198">
      <c r="A1198" s="1165">
        <f>'House Count'!A1198</f>
        <v/>
      </c>
      <c r="B1198" s="1166">
        <f>'House Count'!E1198</f>
        <v/>
      </c>
      <c r="C1198" s="1166">
        <f>'House Count'!B1198</f>
        <v/>
      </c>
      <c r="D1198" s="1166">
        <f>'House Count'!C1198</f>
        <v/>
      </c>
      <c r="E1198" s="1166">
        <f>'House Count'!D1198</f>
        <v/>
      </c>
      <c r="F1198" s="1166">
        <f>IF(G1198="RES-SFU","RESIDENTIAL",IF(G1198="RES-HOA","RESIDENTIAL",IF(G1198="RES-MDU","RESIDENTIAL",IF(G1198="COMM-SU","BUSINESS",IF(G1198="COM-MTU","BUSINESS",IF(G1198="ENT","BUSINESS",""))))))</f>
        <v/>
      </c>
      <c r="G1198" s="1166">
        <f>'House Count'!F1198</f>
        <v/>
      </c>
      <c r="H1198" s="1166">
        <f>'House Count'!H1198</f>
        <v/>
      </c>
    </row>
    <row r="1199">
      <c r="A1199" s="1165">
        <f>'House Count'!A1199</f>
        <v/>
      </c>
      <c r="B1199" s="1166">
        <f>'House Count'!E1199</f>
        <v/>
      </c>
      <c r="C1199" s="1166">
        <f>'House Count'!B1199</f>
        <v/>
      </c>
      <c r="D1199" s="1166">
        <f>'House Count'!C1199</f>
        <v/>
      </c>
      <c r="E1199" s="1166">
        <f>'House Count'!D1199</f>
        <v/>
      </c>
      <c r="F1199" s="1166">
        <f>IF(G1199="RES-SFU","RESIDENTIAL",IF(G1199="RES-HOA","RESIDENTIAL",IF(G1199="RES-MDU","RESIDENTIAL",IF(G1199="COMM-SU","BUSINESS",IF(G1199="COM-MTU","BUSINESS",IF(G1199="ENT","BUSINESS",""))))))</f>
        <v/>
      </c>
      <c r="G1199" s="1166">
        <f>'House Count'!F1199</f>
        <v/>
      </c>
      <c r="H1199" s="1166">
        <f>'House Count'!H1199</f>
        <v/>
      </c>
    </row>
    <row r="1200">
      <c r="A1200" s="1165">
        <f>'House Count'!A1200</f>
        <v/>
      </c>
      <c r="B1200" s="1166">
        <f>'House Count'!E1200</f>
        <v/>
      </c>
      <c r="C1200" s="1166">
        <f>'House Count'!B1200</f>
        <v/>
      </c>
      <c r="D1200" s="1166">
        <f>'House Count'!C1200</f>
        <v/>
      </c>
      <c r="E1200" s="1166">
        <f>'House Count'!D1200</f>
        <v/>
      </c>
      <c r="F1200" s="1166">
        <f>IF(G1200="RES-SFU","RESIDENTIAL",IF(G1200="RES-HOA","RESIDENTIAL",IF(G1200="RES-MDU","RESIDENTIAL",IF(G1200="COMM-SU","BUSINESS",IF(G1200="COM-MTU","BUSINESS",IF(G1200="ENT","BUSINESS",""))))))</f>
        <v/>
      </c>
      <c r="G1200" s="1166">
        <f>'House Count'!F1200</f>
        <v/>
      </c>
      <c r="H1200" s="1166">
        <f>'House Count'!H1200</f>
        <v/>
      </c>
    </row>
    <row r="1201">
      <c r="A1201" s="1165">
        <f>'House Count'!A1201</f>
        <v/>
      </c>
      <c r="B1201" s="1166">
        <f>'House Count'!E1201</f>
        <v/>
      </c>
      <c r="C1201" s="1166">
        <f>'House Count'!B1201</f>
        <v/>
      </c>
      <c r="D1201" s="1166">
        <f>'House Count'!C1201</f>
        <v/>
      </c>
      <c r="E1201" s="1166">
        <f>'House Count'!D1201</f>
        <v/>
      </c>
      <c r="F1201" s="1166">
        <f>IF(G1201="RES-SFU","RESIDENTIAL",IF(G1201="RES-HOA","RESIDENTIAL",IF(G1201="RES-MDU","RESIDENTIAL",IF(G1201="COMM-SU","BUSINESS",IF(G1201="COM-MTU","BUSINESS",IF(G1201="ENT","BUSINESS",""))))))</f>
        <v/>
      </c>
      <c r="G1201" s="1166">
        <f>'House Count'!F1201</f>
        <v/>
      </c>
      <c r="H1201" s="1166">
        <f>'House Count'!H1201</f>
        <v/>
      </c>
    </row>
    <row r="1202">
      <c r="A1202" s="1165">
        <f>'House Count'!A1202</f>
        <v/>
      </c>
      <c r="B1202" s="1166">
        <f>'House Count'!E1202</f>
        <v/>
      </c>
      <c r="C1202" s="1166">
        <f>'House Count'!B1202</f>
        <v/>
      </c>
      <c r="D1202" s="1166">
        <f>'House Count'!C1202</f>
        <v/>
      </c>
      <c r="E1202" s="1166">
        <f>'House Count'!D1202</f>
        <v/>
      </c>
      <c r="F1202" s="1166">
        <f>IF(G1202="RES-SFU","RESIDENTIAL",IF(G1202="RES-HOA","RESIDENTIAL",IF(G1202="RES-MDU","RESIDENTIAL",IF(G1202="COMM-SU","BUSINESS",IF(G1202="COM-MTU","BUSINESS",IF(G1202="ENT","BUSINESS",""))))))</f>
        <v/>
      </c>
      <c r="G1202" s="1166">
        <f>'House Count'!F1202</f>
        <v/>
      </c>
      <c r="H1202" s="1166">
        <f>'House Count'!H1202</f>
        <v/>
      </c>
    </row>
    <row r="1203">
      <c r="A1203" s="1165">
        <f>'House Count'!A1203</f>
        <v/>
      </c>
      <c r="B1203" s="1166">
        <f>'House Count'!E1203</f>
        <v/>
      </c>
      <c r="C1203" s="1166">
        <f>'House Count'!B1203</f>
        <v/>
      </c>
      <c r="D1203" s="1166">
        <f>'House Count'!C1203</f>
        <v/>
      </c>
      <c r="E1203" s="1166">
        <f>'House Count'!D1203</f>
        <v/>
      </c>
      <c r="F1203" s="1166">
        <f>IF(G1203="RES-SFU","RESIDENTIAL",IF(G1203="RES-HOA","RESIDENTIAL",IF(G1203="RES-MDU","RESIDENTIAL",IF(G1203="COMM-SU","BUSINESS",IF(G1203="COM-MTU","BUSINESS",IF(G1203="ENT","BUSINESS",""))))))</f>
        <v/>
      </c>
      <c r="G1203" s="1166">
        <f>'House Count'!F1203</f>
        <v/>
      </c>
      <c r="H1203" s="1166">
        <f>'House Count'!H1203</f>
        <v/>
      </c>
    </row>
    <row r="1204">
      <c r="A1204" s="1165">
        <f>'House Count'!A1204</f>
        <v/>
      </c>
      <c r="B1204" s="1166">
        <f>'House Count'!E1204</f>
        <v/>
      </c>
      <c r="C1204" s="1166">
        <f>'House Count'!B1204</f>
        <v/>
      </c>
      <c r="D1204" s="1166">
        <f>'House Count'!C1204</f>
        <v/>
      </c>
      <c r="E1204" s="1166">
        <f>'House Count'!D1204</f>
        <v/>
      </c>
      <c r="F1204" s="1166">
        <f>IF(G1204="RES-SFU","RESIDENTIAL",IF(G1204="RES-HOA","RESIDENTIAL",IF(G1204="RES-MDU","RESIDENTIAL",IF(G1204="COMM-SU","BUSINESS",IF(G1204="COM-MTU","BUSINESS",IF(G1204="ENT","BUSINESS",""))))))</f>
        <v/>
      </c>
      <c r="G1204" s="1166">
        <f>'House Count'!F1204</f>
        <v/>
      </c>
      <c r="H1204" s="1166">
        <f>'House Count'!H1204</f>
        <v/>
      </c>
    </row>
    <row r="1205">
      <c r="A1205" s="1165">
        <f>'House Count'!A1205</f>
        <v/>
      </c>
      <c r="B1205" s="1166">
        <f>'House Count'!E1205</f>
        <v/>
      </c>
      <c r="C1205" s="1166">
        <f>'House Count'!B1205</f>
        <v/>
      </c>
      <c r="D1205" s="1166">
        <f>'House Count'!C1205</f>
        <v/>
      </c>
      <c r="E1205" s="1166">
        <f>'House Count'!D1205</f>
        <v/>
      </c>
      <c r="F1205" s="1166">
        <f>IF(G1205="RES-SFU","RESIDENTIAL",IF(G1205="RES-HOA","RESIDENTIAL",IF(G1205="RES-MDU","RESIDENTIAL",IF(G1205="COMM-SU","BUSINESS",IF(G1205="COM-MTU","BUSINESS",IF(G1205="ENT","BUSINESS",""))))))</f>
        <v/>
      </c>
      <c r="G1205" s="1166">
        <f>'House Count'!F1205</f>
        <v/>
      </c>
      <c r="H1205" s="1166">
        <f>'House Count'!H1205</f>
        <v/>
      </c>
    </row>
    <row r="1206">
      <c r="A1206" s="1165">
        <f>'House Count'!A1206</f>
        <v/>
      </c>
      <c r="B1206" s="1166">
        <f>'House Count'!E1206</f>
        <v/>
      </c>
      <c r="C1206" s="1166">
        <f>'House Count'!B1206</f>
        <v/>
      </c>
      <c r="D1206" s="1166">
        <f>'House Count'!C1206</f>
        <v/>
      </c>
      <c r="E1206" s="1166">
        <f>'House Count'!D1206</f>
        <v/>
      </c>
      <c r="F1206" s="1166">
        <f>IF(G1206="RES-SFU","RESIDENTIAL",IF(G1206="RES-HOA","RESIDENTIAL",IF(G1206="RES-MDU","RESIDENTIAL",IF(G1206="COMM-SU","BUSINESS",IF(G1206="COM-MTU","BUSINESS",IF(G1206="ENT","BUSINESS",""))))))</f>
        <v/>
      </c>
      <c r="G1206" s="1166">
        <f>'House Count'!F1206</f>
        <v/>
      </c>
      <c r="H1206" s="1166">
        <f>'House Count'!H1206</f>
        <v/>
      </c>
    </row>
    <row r="1207">
      <c r="A1207" s="1165">
        <f>'House Count'!A1207</f>
        <v/>
      </c>
      <c r="B1207" s="1166">
        <f>'House Count'!E1207</f>
        <v/>
      </c>
      <c r="C1207" s="1166">
        <f>'House Count'!B1207</f>
        <v/>
      </c>
      <c r="D1207" s="1166">
        <f>'House Count'!C1207</f>
        <v/>
      </c>
      <c r="E1207" s="1166">
        <f>'House Count'!D1207</f>
        <v/>
      </c>
      <c r="F1207" s="1166">
        <f>IF(G1207="RES-SFU","RESIDENTIAL",IF(G1207="RES-HOA","RESIDENTIAL",IF(G1207="RES-MDU","RESIDENTIAL",IF(G1207="COMM-SU","BUSINESS",IF(G1207="COM-MTU","BUSINESS",IF(G1207="ENT","BUSINESS",""))))))</f>
        <v/>
      </c>
      <c r="G1207" s="1166">
        <f>'House Count'!F1207</f>
        <v/>
      </c>
      <c r="H1207" s="1166">
        <f>'House Count'!H1207</f>
        <v/>
      </c>
    </row>
    <row r="1208">
      <c r="A1208" s="1165">
        <f>'House Count'!A1208</f>
        <v/>
      </c>
      <c r="B1208" s="1166">
        <f>'House Count'!E1208</f>
        <v/>
      </c>
      <c r="C1208" s="1166">
        <f>'House Count'!B1208</f>
        <v/>
      </c>
      <c r="D1208" s="1166">
        <f>'House Count'!C1208</f>
        <v/>
      </c>
      <c r="E1208" s="1166">
        <f>'House Count'!D1208</f>
        <v/>
      </c>
      <c r="F1208" s="1166">
        <f>IF(G1208="RES-SFU","RESIDENTIAL",IF(G1208="RES-HOA","RESIDENTIAL",IF(G1208="RES-MDU","RESIDENTIAL",IF(G1208="COMM-SU","BUSINESS",IF(G1208="COM-MTU","BUSINESS",IF(G1208="ENT","BUSINESS",""))))))</f>
        <v/>
      </c>
      <c r="G1208" s="1166">
        <f>'House Count'!F1208</f>
        <v/>
      </c>
      <c r="H1208" s="1166">
        <f>'House Count'!H1208</f>
        <v/>
      </c>
    </row>
    <row r="1209">
      <c r="A1209" s="1165">
        <f>'House Count'!A1209</f>
        <v/>
      </c>
      <c r="B1209" s="1166">
        <f>'House Count'!E1209</f>
        <v/>
      </c>
      <c r="C1209" s="1166">
        <f>'House Count'!B1209</f>
        <v/>
      </c>
      <c r="D1209" s="1166">
        <f>'House Count'!C1209</f>
        <v/>
      </c>
      <c r="E1209" s="1166">
        <f>'House Count'!D1209</f>
        <v/>
      </c>
      <c r="F1209" s="1166">
        <f>IF(G1209="RES-SFU","RESIDENTIAL",IF(G1209="RES-HOA","RESIDENTIAL",IF(G1209="RES-MDU","RESIDENTIAL",IF(G1209="COMM-SU","BUSINESS",IF(G1209="COM-MTU","BUSINESS",IF(G1209="ENT","BUSINESS",""))))))</f>
        <v/>
      </c>
      <c r="G1209" s="1166">
        <f>'House Count'!F1209</f>
        <v/>
      </c>
      <c r="H1209" s="1166">
        <f>'House Count'!H1209</f>
        <v/>
      </c>
    </row>
    <row r="1210">
      <c r="A1210" s="1165">
        <f>'House Count'!A1210</f>
        <v/>
      </c>
      <c r="B1210" s="1166">
        <f>'House Count'!E1210</f>
        <v/>
      </c>
      <c r="C1210" s="1166">
        <f>'House Count'!B1210</f>
        <v/>
      </c>
      <c r="D1210" s="1166">
        <f>'House Count'!C1210</f>
        <v/>
      </c>
      <c r="E1210" s="1166">
        <f>'House Count'!D1210</f>
        <v/>
      </c>
      <c r="F1210" s="1166">
        <f>IF(G1210="RES-SFU","RESIDENTIAL",IF(G1210="RES-HOA","RESIDENTIAL",IF(G1210="RES-MDU","RESIDENTIAL",IF(G1210="COMM-SU","BUSINESS",IF(G1210="COM-MTU","BUSINESS",IF(G1210="ENT","BUSINESS",""))))))</f>
        <v/>
      </c>
      <c r="G1210" s="1166">
        <f>'House Count'!F1210</f>
        <v/>
      </c>
      <c r="H1210" s="1166">
        <f>'House Count'!H1210</f>
        <v/>
      </c>
    </row>
    <row r="1211">
      <c r="A1211" s="1165">
        <f>'House Count'!A1211</f>
        <v/>
      </c>
      <c r="B1211" s="1166">
        <f>'House Count'!E1211</f>
        <v/>
      </c>
      <c r="C1211" s="1166">
        <f>'House Count'!B1211</f>
        <v/>
      </c>
      <c r="D1211" s="1166">
        <f>'House Count'!C1211</f>
        <v/>
      </c>
      <c r="E1211" s="1166">
        <f>'House Count'!D1211</f>
        <v/>
      </c>
      <c r="F1211" s="1166">
        <f>IF(G1211="RES-SFU","RESIDENTIAL",IF(G1211="RES-HOA","RESIDENTIAL",IF(G1211="RES-MDU","RESIDENTIAL",IF(G1211="COMM-SU","BUSINESS",IF(G1211="COM-MTU","BUSINESS",IF(G1211="ENT","BUSINESS",""))))))</f>
        <v/>
      </c>
      <c r="G1211" s="1166">
        <f>'House Count'!F1211</f>
        <v/>
      </c>
      <c r="H1211" s="1166">
        <f>'House Count'!H1211</f>
        <v/>
      </c>
    </row>
    <row r="1212">
      <c r="A1212" s="1165">
        <f>'House Count'!A1212</f>
        <v/>
      </c>
      <c r="B1212" s="1166">
        <f>'House Count'!E1212</f>
        <v/>
      </c>
      <c r="C1212" s="1166">
        <f>'House Count'!B1212</f>
        <v/>
      </c>
      <c r="D1212" s="1166">
        <f>'House Count'!C1212</f>
        <v/>
      </c>
      <c r="E1212" s="1166">
        <f>'House Count'!D1212</f>
        <v/>
      </c>
      <c r="F1212" s="1166">
        <f>IF(G1212="RES-SFU","RESIDENTIAL",IF(G1212="RES-HOA","RESIDENTIAL",IF(G1212="RES-MDU","RESIDENTIAL",IF(G1212="COMM-SU","BUSINESS",IF(G1212="COM-MTU","BUSINESS",IF(G1212="ENT","BUSINESS",""))))))</f>
        <v/>
      </c>
      <c r="G1212" s="1166">
        <f>'House Count'!F1212</f>
        <v/>
      </c>
      <c r="H1212" s="1166">
        <f>'House Count'!H1212</f>
        <v/>
      </c>
    </row>
    <row r="1213">
      <c r="A1213" s="1165">
        <f>'House Count'!A1213</f>
        <v/>
      </c>
      <c r="B1213" s="1166">
        <f>'House Count'!E1213</f>
        <v/>
      </c>
      <c r="C1213" s="1166">
        <f>'House Count'!B1213</f>
        <v/>
      </c>
      <c r="D1213" s="1166">
        <f>'House Count'!C1213</f>
        <v/>
      </c>
      <c r="E1213" s="1166">
        <f>'House Count'!D1213</f>
        <v/>
      </c>
      <c r="F1213" s="1166">
        <f>IF(G1213="RES-SFU","RESIDENTIAL",IF(G1213="RES-HOA","RESIDENTIAL",IF(G1213="RES-MDU","RESIDENTIAL",IF(G1213="COMM-SU","BUSINESS",IF(G1213="COM-MTU","BUSINESS",IF(G1213="ENT","BUSINESS",""))))))</f>
        <v/>
      </c>
      <c r="G1213" s="1166">
        <f>'House Count'!F1213</f>
        <v/>
      </c>
      <c r="H1213" s="1166">
        <f>'House Count'!H1213</f>
        <v/>
      </c>
    </row>
    <row r="1214">
      <c r="A1214" s="1165">
        <f>'House Count'!A1214</f>
        <v/>
      </c>
      <c r="B1214" s="1166">
        <f>'House Count'!E1214</f>
        <v/>
      </c>
      <c r="C1214" s="1166">
        <f>'House Count'!B1214</f>
        <v/>
      </c>
      <c r="D1214" s="1166">
        <f>'House Count'!C1214</f>
        <v/>
      </c>
      <c r="E1214" s="1166">
        <f>'House Count'!D1214</f>
        <v/>
      </c>
      <c r="F1214" s="1166">
        <f>IF(G1214="RES-SFU","RESIDENTIAL",IF(G1214="RES-HOA","RESIDENTIAL",IF(G1214="RES-MDU","RESIDENTIAL",IF(G1214="COMM-SU","BUSINESS",IF(G1214="COM-MTU","BUSINESS",IF(G1214="ENT","BUSINESS",""))))))</f>
        <v/>
      </c>
      <c r="G1214" s="1166">
        <f>'House Count'!F1214</f>
        <v/>
      </c>
      <c r="H1214" s="1166">
        <f>'House Count'!H1214</f>
        <v/>
      </c>
    </row>
    <row r="1215">
      <c r="A1215" s="1165">
        <f>'House Count'!A1215</f>
        <v/>
      </c>
      <c r="B1215" s="1166">
        <f>'House Count'!E1215</f>
        <v/>
      </c>
      <c r="C1215" s="1166">
        <f>'House Count'!B1215</f>
        <v/>
      </c>
      <c r="D1215" s="1166">
        <f>'House Count'!C1215</f>
        <v/>
      </c>
      <c r="E1215" s="1166">
        <f>'House Count'!D1215</f>
        <v/>
      </c>
      <c r="F1215" s="1166">
        <f>IF(G1215="RES-SFU","RESIDENTIAL",IF(G1215="RES-HOA","RESIDENTIAL",IF(G1215="RES-MDU","RESIDENTIAL",IF(G1215="COMM-SU","BUSINESS",IF(G1215="COM-MTU","BUSINESS",IF(G1215="ENT","BUSINESS",""))))))</f>
        <v/>
      </c>
      <c r="G1215" s="1166">
        <f>'House Count'!F1215</f>
        <v/>
      </c>
      <c r="H1215" s="1166">
        <f>'House Count'!H1215</f>
        <v/>
      </c>
    </row>
    <row r="1216">
      <c r="A1216" s="1165">
        <f>'House Count'!A1216</f>
        <v/>
      </c>
      <c r="B1216" s="1166">
        <f>'House Count'!E1216</f>
        <v/>
      </c>
      <c r="C1216" s="1166">
        <f>'House Count'!B1216</f>
        <v/>
      </c>
      <c r="D1216" s="1166">
        <f>'House Count'!C1216</f>
        <v/>
      </c>
      <c r="E1216" s="1166">
        <f>'House Count'!D1216</f>
        <v/>
      </c>
      <c r="F1216" s="1166">
        <f>IF(G1216="RES-SFU","RESIDENTIAL",IF(G1216="RES-HOA","RESIDENTIAL",IF(G1216="RES-MDU","RESIDENTIAL",IF(G1216="COMM-SU","BUSINESS",IF(G1216="COM-MTU","BUSINESS",IF(G1216="ENT","BUSINESS",""))))))</f>
        <v/>
      </c>
      <c r="G1216" s="1166">
        <f>'House Count'!F1216</f>
        <v/>
      </c>
      <c r="H1216" s="1166">
        <f>'House Count'!H1216</f>
        <v/>
      </c>
    </row>
    <row r="1217">
      <c r="A1217" s="1165">
        <f>'House Count'!A1217</f>
        <v/>
      </c>
      <c r="B1217" s="1166">
        <f>'House Count'!E1217</f>
        <v/>
      </c>
      <c r="C1217" s="1166">
        <f>'House Count'!B1217</f>
        <v/>
      </c>
      <c r="D1217" s="1166">
        <f>'House Count'!C1217</f>
        <v/>
      </c>
      <c r="E1217" s="1166">
        <f>'House Count'!D1217</f>
        <v/>
      </c>
      <c r="F1217" s="1166">
        <f>IF(G1217="RES-SFU","RESIDENTIAL",IF(G1217="RES-HOA","RESIDENTIAL",IF(G1217="RES-MDU","RESIDENTIAL",IF(G1217="COMM-SU","BUSINESS",IF(G1217="COM-MTU","BUSINESS",IF(G1217="ENT","BUSINESS",""))))))</f>
        <v/>
      </c>
      <c r="G1217" s="1166">
        <f>'House Count'!F1217</f>
        <v/>
      </c>
      <c r="H1217" s="1166">
        <f>'House Count'!H1217</f>
        <v/>
      </c>
    </row>
    <row r="1218">
      <c r="A1218" s="1165">
        <f>'House Count'!A1218</f>
        <v/>
      </c>
      <c r="B1218" s="1166">
        <f>'House Count'!E1218</f>
        <v/>
      </c>
      <c r="C1218" s="1166">
        <f>'House Count'!B1218</f>
        <v/>
      </c>
      <c r="D1218" s="1166">
        <f>'House Count'!C1218</f>
        <v/>
      </c>
      <c r="E1218" s="1166">
        <f>'House Count'!D1218</f>
        <v/>
      </c>
      <c r="F1218" s="1166">
        <f>IF(G1218="RES-SFU","RESIDENTIAL",IF(G1218="RES-HOA","RESIDENTIAL",IF(G1218="RES-MDU","RESIDENTIAL",IF(G1218="COMM-SU","BUSINESS",IF(G1218="COM-MTU","BUSINESS",IF(G1218="ENT","BUSINESS",""))))))</f>
        <v/>
      </c>
      <c r="G1218" s="1166">
        <f>'House Count'!F1218</f>
        <v/>
      </c>
      <c r="H1218" s="1166">
        <f>'House Count'!H1218</f>
        <v/>
      </c>
    </row>
    <row r="1219">
      <c r="A1219" s="1165">
        <f>'House Count'!A1219</f>
        <v/>
      </c>
      <c r="B1219" s="1166">
        <f>'House Count'!E1219</f>
        <v/>
      </c>
      <c r="C1219" s="1166">
        <f>'House Count'!B1219</f>
        <v/>
      </c>
      <c r="D1219" s="1166">
        <f>'House Count'!C1219</f>
        <v/>
      </c>
      <c r="E1219" s="1166">
        <f>'House Count'!D1219</f>
        <v/>
      </c>
      <c r="F1219" s="1166">
        <f>IF(G1219="RES-SFU","RESIDENTIAL",IF(G1219="RES-HOA","RESIDENTIAL",IF(G1219="RES-MDU","RESIDENTIAL",IF(G1219="COMM-SU","BUSINESS",IF(G1219="COM-MTU","BUSINESS",IF(G1219="ENT","BUSINESS",""))))))</f>
        <v/>
      </c>
      <c r="G1219" s="1166">
        <f>'House Count'!F1219</f>
        <v/>
      </c>
      <c r="H1219" s="1166">
        <f>'House Count'!H1219</f>
        <v/>
      </c>
    </row>
    <row r="1220">
      <c r="A1220" s="1165">
        <f>'House Count'!A1220</f>
        <v/>
      </c>
      <c r="B1220" s="1166">
        <f>'House Count'!E1220</f>
        <v/>
      </c>
      <c r="C1220" s="1166">
        <f>'House Count'!B1220</f>
        <v/>
      </c>
      <c r="D1220" s="1166">
        <f>'House Count'!C1220</f>
        <v/>
      </c>
      <c r="E1220" s="1166">
        <f>'House Count'!D1220</f>
        <v/>
      </c>
      <c r="F1220" s="1166">
        <f>IF(G1220="RES-SFU","RESIDENTIAL",IF(G1220="RES-HOA","RESIDENTIAL",IF(G1220="RES-MDU","RESIDENTIAL",IF(G1220="COMM-SU","BUSINESS",IF(G1220="COM-MTU","BUSINESS",IF(G1220="ENT","BUSINESS",""))))))</f>
        <v/>
      </c>
      <c r="G1220" s="1166">
        <f>'House Count'!F1220</f>
        <v/>
      </c>
      <c r="H1220" s="1166">
        <f>'House Count'!H1220</f>
        <v/>
      </c>
    </row>
    <row r="1221">
      <c r="A1221" s="1165">
        <f>'House Count'!A1221</f>
        <v/>
      </c>
      <c r="B1221" s="1166">
        <f>'House Count'!E1221</f>
        <v/>
      </c>
      <c r="C1221" s="1166">
        <f>'House Count'!B1221</f>
        <v/>
      </c>
      <c r="D1221" s="1166">
        <f>'House Count'!C1221</f>
        <v/>
      </c>
      <c r="E1221" s="1166">
        <f>'House Count'!D1221</f>
        <v/>
      </c>
      <c r="F1221" s="1166">
        <f>IF(G1221="RES-SFU","RESIDENTIAL",IF(G1221="RES-HOA","RESIDENTIAL",IF(G1221="RES-MDU","RESIDENTIAL",IF(G1221="COMM-SU","BUSINESS",IF(G1221="COM-MTU","BUSINESS",IF(G1221="ENT","BUSINESS",""))))))</f>
        <v/>
      </c>
      <c r="G1221" s="1166">
        <f>'House Count'!F1221</f>
        <v/>
      </c>
      <c r="H1221" s="1166">
        <f>'House Count'!H1221</f>
        <v/>
      </c>
    </row>
    <row r="1222">
      <c r="A1222" s="1165">
        <f>'House Count'!A1222</f>
        <v/>
      </c>
      <c r="B1222" s="1166">
        <f>'House Count'!E1222</f>
        <v/>
      </c>
      <c r="C1222" s="1166">
        <f>'House Count'!B1222</f>
        <v/>
      </c>
      <c r="D1222" s="1166">
        <f>'House Count'!C1222</f>
        <v/>
      </c>
      <c r="E1222" s="1166">
        <f>'House Count'!D1222</f>
        <v/>
      </c>
      <c r="F1222" s="1166">
        <f>IF(G1222="RES-SFU","RESIDENTIAL",IF(G1222="RES-HOA","RESIDENTIAL",IF(G1222="RES-MDU","RESIDENTIAL",IF(G1222="COMM-SU","BUSINESS",IF(G1222="COM-MTU","BUSINESS",IF(G1222="ENT","BUSINESS",""))))))</f>
        <v/>
      </c>
      <c r="G1222" s="1166">
        <f>'House Count'!F1222</f>
        <v/>
      </c>
      <c r="H1222" s="1166">
        <f>'House Count'!H1222</f>
        <v/>
      </c>
    </row>
    <row r="1223">
      <c r="A1223" s="1165">
        <f>'House Count'!A1223</f>
        <v/>
      </c>
      <c r="B1223" s="1166">
        <f>'House Count'!E1223</f>
        <v/>
      </c>
      <c r="C1223" s="1166">
        <f>'House Count'!B1223</f>
        <v/>
      </c>
      <c r="D1223" s="1166">
        <f>'House Count'!C1223</f>
        <v/>
      </c>
      <c r="E1223" s="1166">
        <f>'House Count'!D1223</f>
        <v/>
      </c>
      <c r="F1223" s="1166">
        <f>IF(G1223="RES-SFU","RESIDENTIAL",IF(G1223="RES-HOA","RESIDENTIAL",IF(G1223="RES-MDU","RESIDENTIAL",IF(G1223="COMM-SU","BUSINESS",IF(G1223="COM-MTU","BUSINESS",IF(G1223="ENT","BUSINESS",""))))))</f>
        <v/>
      </c>
      <c r="G1223" s="1166">
        <f>'House Count'!F1223</f>
        <v/>
      </c>
      <c r="H1223" s="1166">
        <f>'House Count'!H1223</f>
        <v/>
      </c>
    </row>
    <row r="1224">
      <c r="A1224" s="1165">
        <f>'House Count'!A1224</f>
        <v/>
      </c>
      <c r="B1224" s="1166">
        <f>'House Count'!E1224</f>
        <v/>
      </c>
      <c r="C1224" s="1166">
        <f>'House Count'!B1224</f>
        <v/>
      </c>
      <c r="D1224" s="1166">
        <f>'House Count'!C1224</f>
        <v/>
      </c>
      <c r="E1224" s="1166">
        <f>'House Count'!D1224</f>
        <v/>
      </c>
      <c r="F1224" s="1166">
        <f>IF(G1224="RES-SFU","RESIDENTIAL",IF(G1224="RES-HOA","RESIDENTIAL",IF(G1224="RES-MDU","RESIDENTIAL",IF(G1224="COMM-SU","BUSINESS",IF(G1224="COM-MTU","BUSINESS",IF(G1224="ENT","BUSINESS",""))))))</f>
        <v/>
      </c>
      <c r="G1224" s="1166">
        <f>'House Count'!F1224</f>
        <v/>
      </c>
      <c r="H1224" s="1166">
        <f>'House Count'!H1224</f>
        <v/>
      </c>
    </row>
    <row r="1225">
      <c r="A1225" s="1165">
        <f>'House Count'!A1225</f>
        <v/>
      </c>
      <c r="B1225" s="1166">
        <f>'House Count'!E1225</f>
        <v/>
      </c>
      <c r="C1225" s="1166">
        <f>'House Count'!B1225</f>
        <v/>
      </c>
      <c r="D1225" s="1166">
        <f>'House Count'!C1225</f>
        <v/>
      </c>
      <c r="E1225" s="1166">
        <f>'House Count'!D1225</f>
        <v/>
      </c>
      <c r="F1225" s="1166">
        <f>IF(G1225="RES-SFU","RESIDENTIAL",IF(G1225="RES-HOA","RESIDENTIAL",IF(G1225="RES-MDU","RESIDENTIAL",IF(G1225="COMM-SU","BUSINESS",IF(G1225="COM-MTU","BUSINESS",IF(G1225="ENT","BUSINESS",""))))))</f>
        <v/>
      </c>
      <c r="G1225" s="1166">
        <f>'House Count'!F1225</f>
        <v/>
      </c>
      <c r="H1225" s="1166">
        <f>'House Count'!H1225</f>
        <v/>
      </c>
    </row>
    <row r="1226">
      <c r="A1226" s="1165">
        <f>'House Count'!A1226</f>
        <v/>
      </c>
      <c r="B1226" s="1166">
        <f>'House Count'!E1226</f>
        <v/>
      </c>
      <c r="C1226" s="1166">
        <f>'House Count'!B1226</f>
        <v/>
      </c>
      <c r="D1226" s="1166">
        <f>'House Count'!C1226</f>
        <v/>
      </c>
      <c r="E1226" s="1166">
        <f>'House Count'!D1226</f>
        <v/>
      </c>
      <c r="F1226" s="1166">
        <f>IF(G1226="RES-SFU","RESIDENTIAL",IF(G1226="RES-HOA","RESIDENTIAL",IF(G1226="RES-MDU","RESIDENTIAL",IF(G1226="COMM-SU","BUSINESS",IF(G1226="COM-MTU","BUSINESS",IF(G1226="ENT","BUSINESS",""))))))</f>
        <v/>
      </c>
      <c r="G1226" s="1166">
        <f>'House Count'!F1226</f>
        <v/>
      </c>
      <c r="H1226" s="1166">
        <f>'House Count'!H1226</f>
        <v/>
      </c>
    </row>
    <row r="1227">
      <c r="A1227" s="1165">
        <f>'House Count'!A1227</f>
        <v/>
      </c>
      <c r="B1227" s="1166">
        <f>'House Count'!E1227</f>
        <v/>
      </c>
      <c r="C1227" s="1166">
        <f>'House Count'!B1227</f>
        <v/>
      </c>
      <c r="D1227" s="1166">
        <f>'House Count'!C1227</f>
        <v/>
      </c>
      <c r="E1227" s="1166">
        <f>'House Count'!D1227</f>
        <v/>
      </c>
      <c r="F1227" s="1166">
        <f>IF(G1227="RES-SFU","RESIDENTIAL",IF(G1227="RES-HOA","RESIDENTIAL",IF(G1227="RES-MDU","RESIDENTIAL",IF(G1227="COMM-SU","BUSINESS",IF(G1227="COM-MTU","BUSINESS",IF(G1227="ENT","BUSINESS",""))))))</f>
        <v/>
      </c>
      <c r="G1227" s="1166">
        <f>'House Count'!F1227</f>
        <v/>
      </c>
      <c r="H1227" s="1166">
        <f>'House Count'!H1227</f>
        <v/>
      </c>
    </row>
    <row r="1228">
      <c r="A1228" s="1165">
        <f>'House Count'!A1228</f>
        <v/>
      </c>
      <c r="B1228" s="1166">
        <f>'House Count'!E1228</f>
        <v/>
      </c>
      <c r="C1228" s="1166">
        <f>'House Count'!B1228</f>
        <v/>
      </c>
      <c r="D1228" s="1166">
        <f>'House Count'!C1228</f>
        <v/>
      </c>
      <c r="E1228" s="1166">
        <f>'House Count'!D1228</f>
        <v/>
      </c>
      <c r="F1228" s="1166">
        <f>IF(G1228="RES-SFU","RESIDENTIAL",IF(G1228="RES-HOA","RESIDENTIAL",IF(G1228="RES-MDU","RESIDENTIAL",IF(G1228="COMM-SU","BUSINESS",IF(G1228="COM-MTU","BUSINESS",IF(G1228="ENT","BUSINESS",""))))))</f>
        <v/>
      </c>
      <c r="G1228" s="1166">
        <f>'House Count'!F1228</f>
        <v/>
      </c>
      <c r="H1228" s="1166">
        <f>'House Count'!H1228</f>
        <v/>
      </c>
    </row>
    <row r="1229">
      <c r="A1229" s="1165">
        <f>'House Count'!A1229</f>
        <v/>
      </c>
      <c r="B1229" s="1166">
        <f>'House Count'!E1229</f>
        <v/>
      </c>
      <c r="C1229" s="1166">
        <f>'House Count'!B1229</f>
        <v/>
      </c>
      <c r="D1229" s="1166">
        <f>'House Count'!C1229</f>
        <v/>
      </c>
      <c r="E1229" s="1166">
        <f>'House Count'!D1229</f>
        <v/>
      </c>
      <c r="F1229" s="1166">
        <f>IF(G1229="RES-SFU","RESIDENTIAL",IF(G1229="RES-HOA","RESIDENTIAL",IF(G1229="RES-MDU","RESIDENTIAL",IF(G1229="COMM-SU","BUSINESS",IF(G1229="COM-MTU","BUSINESS",IF(G1229="ENT","BUSINESS",""))))))</f>
        <v/>
      </c>
      <c r="G1229" s="1166">
        <f>'House Count'!F1229</f>
        <v/>
      </c>
      <c r="H1229" s="1166">
        <f>'House Count'!H1229</f>
        <v/>
      </c>
    </row>
    <row r="1230">
      <c r="A1230" s="1165">
        <f>'House Count'!A1230</f>
        <v/>
      </c>
      <c r="B1230" s="1166">
        <f>'House Count'!E1230</f>
        <v/>
      </c>
      <c r="C1230" s="1166">
        <f>'House Count'!B1230</f>
        <v/>
      </c>
      <c r="D1230" s="1166">
        <f>'House Count'!C1230</f>
        <v/>
      </c>
      <c r="E1230" s="1166">
        <f>'House Count'!D1230</f>
        <v/>
      </c>
      <c r="F1230" s="1166">
        <f>IF(G1230="RES-SFU","RESIDENTIAL",IF(G1230="RES-HOA","RESIDENTIAL",IF(G1230="RES-MDU","RESIDENTIAL",IF(G1230="COMM-SU","BUSINESS",IF(G1230="COM-MTU","BUSINESS",IF(G1230="ENT","BUSINESS",""))))))</f>
        <v/>
      </c>
      <c r="G1230" s="1166">
        <f>'House Count'!F1230</f>
        <v/>
      </c>
      <c r="H1230" s="1166">
        <f>'House Count'!H1230</f>
        <v/>
      </c>
    </row>
    <row r="1231">
      <c r="A1231" s="1165">
        <f>'House Count'!A1231</f>
        <v/>
      </c>
      <c r="B1231" s="1166">
        <f>'House Count'!E1231</f>
        <v/>
      </c>
      <c r="C1231" s="1166">
        <f>'House Count'!B1231</f>
        <v/>
      </c>
      <c r="D1231" s="1166">
        <f>'House Count'!C1231</f>
        <v/>
      </c>
      <c r="E1231" s="1166">
        <f>'House Count'!D1231</f>
        <v/>
      </c>
      <c r="F1231" s="1166">
        <f>IF(G1231="RES-SFU","RESIDENTIAL",IF(G1231="RES-HOA","RESIDENTIAL",IF(G1231="RES-MDU","RESIDENTIAL",IF(G1231="COMM-SU","BUSINESS",IF(G1231="COM-MTU","BUSINESS",IF(G1231="ENT","BUSINESS",""))))))</f>
        <v/>
      </c>
      <c r="G1231" s="1166">
        <f>'House Count'!F1231</f>
        <v/>
      </c>
      <c r="H1231" s="1166">
        <f>'House Count'!H1231</f>
        <v/>
      </c>
    </row>
    <row r="1232">
      <c r="A1232" s="1165">
        <f>'House Count'!A1232</f>
        <v/>
      </c>
      <c r="B1232" s="1166">
        <f>'House Count'!E1232</f>
        <v/>
      </c>
      <c r="C1232" s="1166">
        <f>'House Count'!B1232</f>
        <v/>
      </c>
      <c r="D1232" s="1166">
        <f>'House Count'!C1232</f>
        <v/>
      </c>
      <c r="E1232" s="1166">
        <f>'House Count'!D1232</f>
        <v/>
      </c>
      <c r="F1232" s="1166">
        <f>IF(G1232="RES-SFU","RESIDENTIAL",IF(G1232="RES-HOA","RESIDENTIAL",IF(G1232="RES-MDU","RESIDENTIAL",IF(G1232="COMM-SU","BUSINESS",IF(G1232="COM-MTU","BUSINESS",IF(G1232="ENT","BUSINESS",""))))))</f>
        <v/>
      </c>
      <c r="G1232" s="1166">
        <f>'House Count'!F1232</f>
        <v/>
      </c>
      <c r="H1232" s="1166">
        <f>'House Count'!H1232</f>
        <v/>
      </c>
    </row>
    <row r="1233">
      <c r="A1233" s="1165">
        <f>'House Count'!A1233</f>
        <v/>
      </c>
      <c r="B1233" s="1166">
        <f>'House Count'!E1233</f>
        <v/>
      </c>
      <c r="C1233" s="1166">
        <f>'House Count'!B1233</f>
        <v/>
      </c>
      <c r="D1233" s="1166">
        <f>'House Count'!C1233</f>
        <v/>
      </c>
      <c r="E1233" s="1166">
        <f>'House Count'!D1233</f>
        <v/>
      </c>
      <c r="F1233" s="1166">
        <f>IF(G1233="RES-SFU","RESIDENTIAL",IF(G1233="RES-HOA","RESIDENTIAL",IF(G1233="RES-MDU","RESIDENTIAL",IF(G1233="COMM-SU","BUSINESS",IF(G1233="COM-MTU","BUSINESS",IF(G1233="ENT","BUSINESS",""))))))</f>
        <v/>
      </c>
      <c r="G1233" s="1166">
        <f>'House Count'!F1233</f>
        <v/>
      </c>
      <c r="H1233" s="1166">
        <f>'House Count'!H1233</f>
        <v/>
      </c>
    </row>
    <row r="1234">
      <c r="A1234" s="1165">
        <f>'House Count'!A1234</f>
        <v/>
      </c>
      <c r="B1234" s="1166">
        <f>'House Count'!E1234</f>
        <v/>
      </c>
      <c r="C1234" s="1166">
        <f>'House Count'!B1234</f>
        <v/>
      </c>
      <c r="D1234" s="1166">
        <f>'House Count'!C1234</f>
        <v/>
      </c>
      <c r="E1234" s="1166">
        <f>'House Count'!D1234</f>
        <v/>
      </c>
      <c r="F1234" s="1166">
        <f>IF(G1234="RES-SFU","RESIDENTIAL",IF(G1234="RES-HOA","RESIDENTIAL",IF(G1234="RES-MDU","RESIDENTIAL",IF(G1234="COMM-SU","BUSINESS",IF(G1234="COM-MTU","BUSINESS",IF(G1234="ENT","BUSINESS",""))))))</f>
        <v/>
      </c>
      <c r="G1234" s="1166">
        <f>'House Count'!F1234</f>
        <v/>
      </c>
      <c r="H1234" s="1166">
        <f>'House Count'!H1234</f>
        <v/>
      </c>
    </row>
    <row r="1235">
      <c r="A1235" s="1165">
        <f>'House Count'!A1235</f>
        <v/>
      </c>
      <c r="B1235" s="1166">
        <f>'House Count'!E1235</f>
        <v/>
      </c>
      <c r="C1235" s="1166">
        <f>'House Count'!B1235</f>
        <v/>
      </c>
      <c r="D1235" s="1166">
        <f>'House Count'!C1235</f>
        <v/>
      </c>
      <c r="E1235" s="1166">
        <f>'House Count'!D1235</f>
        <v/>
      </c>
      <c r="F1235" s="1166">
        <f>IF(G1235="RES-SFU","RESIDENTIAL",IF(G1235="RES-HOA","RESIDENTIAL",IF(G1235="RES-MDU","RESIDENTIAL",IF(G1235="COMM-SU","BUSINESS",IF(G1235="COM-MTU","BUSINESS",IF(G1235="ENT","BUSINESS",""))))))</f>
        <v/>
      </c>
      <c r="G1235" s="1166">
        <f>'House Count'!F1235</f>
        <v/>
      </c>
      <c r="H1235" s="1166">
        <f>'House Count'!H1235</f>
        <v/>
      </c>
    </row>
    <row r="1236">
      <c r="A1236" s="1165">
        <f>'House Count'!A1236</f>
        <v/>
      </c>
      <c r="B1236" s="1166">
        <f>'House Count'!E1236</f>
        <v/>
      </c>
      <c r="C1236" s="1166">
        <f>'House Count'!B1236</f>
        <v/>
      </c>
      <c r="D1236" s="1166">
        <f>'House Count'!C1236</f>
        <v/>
      </c>
      <c r="E1236" s="1166">
        <f>'House Count'!D1236</f>
        <v/>
      </c>
      <c r="F1236" s="1166">
        <f>IF(G1236="RES-SFU","RESIDENTIAL",IF(G1236="RES-HOA","RESIDENTIAL",IF(G1236="RES-MDU","RESIDENTIAL",IF(G1236="COMM-SU","BUSINESS",IF(G1236="COM-MTU","BUSINESS",IF(G1236="ENT","BUSINESS",""))))))</f>
        <v/>
      </c>
      <c r="G1236" s="1166">
        <f>'House Count'!F1236</f>
        <v/>
      </c>
      <c r="H1236" s="1166">
        <f>'House Count'!H1236</f>
        <v/>
      </c>
    </row>
    <row r="1237">
      <c r="A1237" s="1165">
        <f>'House Count'!A1237</f>
        <v/>
      </c>
      <c r="B1237" s="1166">
        <f>'House Count'!E1237</f>
        <v/>
      </c>
      <c r="C1237" s="1166">
        <f>'House Count'!B1237</f>
        <v/>
      </c>
      <c r="D1237" s="1166">
        <f>'House Count'!C1237</f>
        <v/>
      </c>
      <c r="E1237" s="1166">
        <f>'House Count'!D1237</f>
        <v/>
      </c>
      <c r="F1237" s="1166">
        <f>IF(G1237="RES-SFU","RESIDENTIAL",IF(G1237="RES-HOA","RESIDENTIAL",IF(G1237="RES-MDU","RESIDENTIAL",IF(G1237="COMM-SU","BUSINESS",IF(G1237="COM-MTU","BUSINESS",IF(G1237="ENT","BUSINESS",""))))))</f>
        <v/>
      </c>
      <c r="G1237" s="1166">
        <f>'House Count'!F1237</f>
        <v/>
      </c>
      <c r="H1237" s="1166">
        <f>'House Count'!H1237</f>
        <v/>
      </c>
    </row>
    <row r="1238">
      <c r="A1238" s="1165">
        <f>'House Count'!A1238</f>
        <v/>
      </c>
      <c r="B1238" s="1166">
        <f>'House Count'!E1238</f>
        <v/>
      </c>
      <c r="C1238" s="1166">
        <f>'House Count'!B1238</f>
        <v/>
      </c>
      <c r="D1238" s="1166">
        <f>'House Count'!C1238</f>
        <v/>
      </c>
      <c r="E1238" s="1166">
        <f>'House Count'!D1238</f>
        <v/>
      </c>
      <c r="F1238" s="1166">
        <f>IF(G1238="RES-SFU","RESIDENTIAL",IF(G1238="RES-HOA","RESIDENTIAL",IF(G1238="RES-MDU","RESIDENTIAL",IF(G1238="COMM-SU","BUSINESS",IF(G1238="COM-MTU","BUSINESS",IF(G1238="ENT","BUSINESS",""))))))</f>
        <v/>
      </c>
      <c r="G1238" s="1166">
        <f>'House Count'!F1238</f>
        <v/>
      </c>
      <c r="H1238" s="1166">
        <f>'House Count'!H1238</f>
        <v/>
      </c>
    </row>
    <row r="1239">
      <c r="A1239" s="1165">
        <f>'House Count'!A1239</f>
        <v/>
      </c>
      <c r="B1239" s="1166">
        <f>'House Count'!E1239</f>
        <v/>
      </c>
      <c r="C1239" s="1166">
        <f>'House Count'!B1239</f>
        <v/>
      </c>
      <c r="D1239" s="1166">
        <f>'House Count'!C1239</f>
        <v/>
      </c>
      <c r="E1239" s="1166">
        <f>'House Count'!D1239</f>
        <v/>
      </c>
      <c r="F1239" s="1166">
        <f>IF(G1239="RES-SFU","RESIDENTIAL",IF(G1239="RES-HOA","RESIDENTIAL",IF(G1239="RES-MDU","RESIDENTIAL",IF(G1239="COMM-SU","BUSINESS",IF(G1239="COM-MTU","BUSINESS",IF(G1239="ENT","BUSINESS",""))))))</f>
        <v/>
      </c>
      <c r="G1239" s="1166">
        <f>'House Count'!F1239</f>
        <v/>
      </c>
      <c r="H1239" s="1166">
        <f>'House Count'!H1239</f>
        <v/>
      </c>
    </row>
    <row r="1240">
      <c r="A1240" s="1165">
        <f>'House Count'!A1240</f>
        <v/>
      </c>
      <c r="B1240" s="1166">
        <f>'House Count'!E1240</f>
        <v/>
      </c>
      <c r="C1240" s="1166">
        <f>'House Count'!B1240</f>
        <v/>
      </c>
      <c r="D1240" s="1166">
        <f>'House Count'!C1240</f>
        <v/>
      </c>
      <c r="E1240" s="1166">
        <f>'House Count'!D1240</f>
        <v/>
      </c>
      <c r="F1240" s="1166">
        <f>IF(G1240="RES-SFU","RESIDENTIAL",IF(G1240="RES-HOA","RESIDENTIAL",IF(G1240="RES-MDU","RESIDENTIAL",IF(G1240="COMM-SU","BUSINESS",IF(G1240="COM-MTU","BUSINESS",IF(G1240="ENT","BUSINESS",""))))))</f>
        <v/>
      </c>
      <c r="G1240" s="1166">
        <f>'House Count'!F1240</f>
        <v/>
      </c>
      <c r="H1240" s="1166">
        <f>'House Count'!H1240</f>
        <v/>
      </c>
    </row>
    <row r="1241">
      <c r="A1241" s="1165">
        <f>'House Count'!A1241</f>
        <v/>
      </c>
      <c r="B1241" s="1166">
        <f>'House Count'!E1241</f>
        <v/>
      </c>
      <c r="C1241" s="1166">
        <f>'House Count'!B1241</f>
        <v/>
      </c>
      <c r="D1241" s="1166">
        <f>'House Count'!C1241</f>
        <v/>
      </c>
      <c r="E1241" s="1166">
        <f>'House Count'!D1241</f>
        <v/>
      </c>
      <c r="F1241" s="1166">
        <f>IF(G1241="RES-SFU","RESIDENTIAL",IF(G1241="RES-HOA","RESIDENTIAL",IF(G1241="RES-MDU","RESIDENTIAL",IF(G1241="COMM-SU","BUSINESS",IF(G1241="COM-MTU","BUSINESS",IF(G1241="ENT","BUSINESS",""))))))</f>
        <v/>
      </c>
      <c r="G1241" s="1166">
        <f>'House Count'!F1241</f>
        <v/>
      </c>
      <c r="H1241" s="1166">
        <f>'House Count'!H1241</f>
        <v/>
      </c>
    </row>
    <row r="1242">
      <c r="A1242" s="1165">
        <f>'House Count'!A1242</f>
        <v/>
      </c>
      <c r="B1242" s="1166">
        <f>'House Count'!E1242</f>
        <v/>
      </c>
      <c r="C1242" s="1166">
        <f>'House Count'!B1242</f>
        <v/>
      </c>
      <c r="D1242" s="1166">
        <f>'House Count'!C1242</f>
        <v/>
      </c>
      <c r="E1242" s="1166">
        <f>'House Count'!D1242</f>
        <v/>
      </c>
      <c r="F1242" s="1166">
        <f>IF(G1242="RES-SFU","RESIDENTIAL",IF(G1242="RES-HOA","RESIDENTIAL",IF(G1242="RES-MDU","RESIDENTIAL",IF(G1242="COMM-SU","BUSINESS",IF(G1242="COM-MTU","BUSINESS",IF(G1242="ENT","BUSINESS",""))))))</f>
        <v/>
      </c>
      <c r="G1242" s="1166">
        <f>'House Count'!F1242</f>
        <v/>
      </c>
      <c r="H1242" s="1166">
        <f>'House Count'!H1242</f>
        <v/>
      </c>
    </row>
    <row r="1243">
      <c r="A1243" s="1165">
        <f>'House Count'!A1243</f>
        <v/>
      </c>
      <c r="B1243" s="1166">
        <f>'House Count'!E1243</f>
        <v/>
      </c>
      <c r="C1243" s="1166">
        <f>'House Count'!B1243</f>
        <v/>
      </c>
      <c r="D1243" s="1166">
        <f>'House Count'!C1243</f>
        <v/>
      </c>
      <c r="E1243" s="1166">
        <f>'House Count'!D1243</f>
        <v/>
      </c>
      <c r="F1243" s="1166">
        <f>IF(G1243="RES-SFU","RESIDENTIAL",IF(G1243="RES-HOA","RESIDENTIAL",IF(G1243="RES-MDU","RESIDENTIAL",IF(G1243="COMM-SU","BUSINESS",IF(G1243="COM-MTU","BUSINESS",IF(G1243="ENT","BUSINESS",""))))))</f>
        <v/>
      </c>
      <c r="G1243" s="1166">
        <f>'House Count'!F1243</f>
        <v/>
      </c>
      <c r="H1243" s="1166">
        <f>'House Count'!H1243</f>
        <v/>
      </c>
    </row>
    <row r="1244">
      <c r="A1244" s="1165">
        <f>'House Count'!A1244</f>
        <v/>
      </c>
      <c r="B1244" s="1166">
        <f>'House Count'!E1244</f>
        <v/>
      </c>
      <c r="C1244" s="1166">
        <f>'House Count'!B1244</f>
        <v/>
      </c>
      <c r="D1244" s="1166">
        <f>'House Count'!C1244</f>
        <v/>
      </c>
      <c r="E1244" s="1166">
        <f>'House Count'!D1244</f>
        <v/>
      </c>
      <c r="F1244" s="1166">
        <f>IF(G1244="RES-SFU","RESIDENTIAL",IF(G1244="RES-HOA","RESIDENTIAL",IF(G1244="RES-MDU","RESIDENTIAL",IF(G1244="COMM-SU","BUSINESS",IF(G1244="COM-MTU","BUSINESS",IF(G1244="ENT","BUSINESS",""))))))</f>
        <v/>
      </c>
      <c r="G1244" s="1166">
        <f>'House Count'!F1244</f>
        <v/>
      </c>
      <c r="H1244" s="1166">
        <f>'House Count'!H1244</f>
        <v/>
      </c>
    </row>
    <row r="1245">
      <c r="A1245" s="1165">
        <f>'House Count'!A1245</f>
        <v/>
      </c>
      <c r="B1245" s="1166">
        <f>'House Count'!E1245</f>
        <v/>
      </c>
      <c r="C1245" s="1166">
        <f>'House Count'!B1245</f>
        <v/>
      </c>
      <c r="D1245" s="1166">
        <f>'House Count'!C1245</f>
        <v/>
      </c>
      <c r="E1245" s="1166">
        <f>'House Count'!D1245</f>
        <v/>
      </c>
      <c r="F1245" s="1166">
        <f>IF(G1245="RES-SFU","RESIDENTIAL",IF(G1245="RES-HOA","RESIDENTIAL",IF(G1245="RES-MDU","RESIDENTIAL",IF(G1245="COMM-SU","BUSINESS",IF(G1245="COM-MTU","BUSINESS",IF(G1245="ENT","BUSINESS",""))))))</f>
        <v/>
      </c>
      <c r="G1245" s="1166">
        <f>'House Count'!F1245</f>
        <v/>
      </c>
      <c r="H1245" s="1166">
        <f>'House Count'!H1245</f>
        <v/>
      </c>
    </row>
    <row r="1246">
      <c r="A1246" s="1165">
        <f>'House Count'!A1246</f>
        <v/>
      </c>
      <c r="B1246" s="1166">
        <f>'House Count'!E1246</f>
        <v/>
      </c>
      <c r="C1246" s="1166">
        <f>'House Count'!B1246</f>
        <v/>
      </c>
      <c r="D1246" s="1166">
        <f>'House Count'!C1246</f>
        <v/>
      </c>
      <c r="E1246" s="1166">
        <f>'House Count'!D1246</f>
        <v/>
      </c>
      <c r="F1246" s="1166">
        <f>IF(G1246="RES-SFU","RESIDENTIAL",IF(G1246="RES-HOA","RESIDENTIAL",IF(G1246="RES-MDU","RESIDENTIAL",IF(G1246="COMM-SU","BUSINESS",IF(G1246="COM-MTU","BUSINESS",IF(G1246="ENT","BUSINESS",""))))))</f>
        <v/>
      </c>
      <c r="G1246" s="1166">
        <f>'House Count'!F1246</f>
        <v/>
      </c>
      <c r="H1246" s="1166">
        <f>'House Count'!H1246</f>
        <v/>
      </c>
    </row>
    <row r="1247">
      <c r="A1247" s="1165">
        <f>'House Count'!A1247</f>
        <v/>
      </c>
      <c r="B1247" s="1166">
        <f>'House Count'!E1247</f>
        <v/>
      </c>
      <c r="C1247" s="1166">
        <f>'House Count'!B1247</f>
        <v/>
      </c>
      <c r="D1247" s="1166">
        <f>'House Count'!C1247</f>
        <v/>
      </c>
      <c r="E1247" s="1166">
        <f>'House Count'!D1247</f>
        <v/>
      </c>
      <c r="F1247" s="1166">
        <f>IF(G1247="RES-SFU","RESIDENTIAL",IF(G1247="RES-HOA","RESIDENTIAL",IF(G1247="RES-MDU","RESIDENTIAL",IF(G1247="COMM-SU","BUSINESS",IF(G1247="COM-MTU","BUSINESS",IF(G1247="ENT","BUSINESS",""))))))</f>
        <v/>
      </c>
      <c r="G1247" s="1166">
        <f>'House Count'!F1247</f>
        <v/>
      </c>
      <c r="H1247" s="1166">
        <f>'House Count'!H1247</f>
        <v/>
      </c>
    </row>
    <row r="1248">
      <c r="A1248" s="1165">
        <f>'House Count'!A1248</f>
        <v/>
      </c>
      <c r="B1248" s="1166">
        <f>'House Count'!E1248</f>
        <v/>
      </c>
      <c r="C1248" s="1166">
        <f>'House Count'!B1248</f>
        <v/>
      </c>
      <c r="D1248" s="1166">
        <f>'House Count'!C1248</f>
        <v/>
      </c>
      <c r="E1248" s="1166">
        <f>'House Count'!D1248</f>
        <v/>
      </c>
      <c r="F1248" s="1166">
        <f>IF(G1248="RES-SFU","RESIDENTIAL",IF(G1248="RES-HOA","RESIDENTIAL",IF(G1248="RES-MDU","RESIDENTIAL",IF(G1248="COMM-SU","BUSINESS",IF(G1248="COM-MTU","BUSINESS",IF(G1248="ENT","BUSINESS",""))))))</f>
        <v/>
      </c>
      <c r="G1248" s="1166">
        <f>'House Count'!F1248</f>
        <v/>
      </c>
      <c r="H1248" s="1166">
        <f>'House Count'!H1248</f>
        <v/>
      </c>
    </row>
    <row r="1249">
      <c r="A1249" s="1165">
        <f>'House Count'!A1249</f>
        <v/>
      </c>
      <c r="B1249" s="1166">
        <f>'House Count'!E1249</f>
        <v/>
      </c>
      <c r="C1249" s="1166">
        <f>'House Count'!B1249</f>
        <v/>
      </c>
      <c r="D1249" s="1166">
        <f>'House Count'!C1249</f>
        <v/>
      </c>
      <c r="E1249" s="1166">
        <f>'House Count'!D1249</f>
        <v/>
      </c>
      <c r="F1249" s="1166">
        <f>IF(G1249="RES-SFU","RESIDENTIAL",IF(G1249="RES-HOA","RESIDENTIAL",IF(G1249="RES-MDU","RESIDENTIAL",IF(G1249="COMM-SU","BUSINESS",IF(G1249="COM-MTU","BUSINESS",IF(G1249="ENT","BUSINESS",""))))))</f>
        <v/>
      </c>
      <c r="G1249" s="1166">
        <f>'House Count'!F1249</f>
        <v/>
      </c>
      <c r="H1249" s="1166">
        <f>'House Count'!H1249</f>
        <v/>
      </c>
    </row>
    <row r="1250">
      <c r="A1250" s="1165">
        <f>'House Count'!A1250</f>
        <v/>
      </c>
      <c r="B1250" s="1166">
        <f>'House Count'!E1250</f>
        <v/>
      </c>
      <c r="C1250" s="1166">
        <f>'House Count'!B1250</f>
        <v/>
      </c>
      <c r="D1250" s="1166">
        <f>'House Count'!C1250</f>
        <v/>
      </c>
      <c r="E1250" s="1166">
        <f>'House Count'!D1250</f>
        <v/>
      </c>
      <c r="F1250" s="1166">
        <f>IF(G1250="RES-SFU","RESIDENTIAL",IF(G1250="RES-HOA","RESIDENTIAL",IF(G1250="RES-MDU","RESIDENTIAL",IF(G1250="COMM-SU","BUSINESS",IF(G1250="COM-MTU","BUSINESS",IF(G1250="ENT","BUSINESS",""))))))</f>
        <v/>
      </c>
      <c r="G1250" s="1166">
        <f>'House Count'!F1250</f>
        <v/>
      </c>
      <c r="H1250" s="1166">
        <f>'House Count'!H1250</f>
        <v/>
      </c>
    </row>
    <row r="1251">
      <c r="A1251" s="1165">
        <f>'House Count'!A1251</f>
        <v/>
      </c>
      <c r="B1251" s="1166">
        <f>'House Count'!E1251</f>
        <v/>
      </c>
      <c r="C1251" s="1166">
        <f>'House Count'!B1251</f>
        <v/>
      </c>
      <c r="D1251" s="1166">
        <f>'House Count'!C1251</f>
        <v/>
      </c>
      <c r="E1251" s="1166">
        <f>'House Count'!D1251</f>
        <v/>
      </c>
      <c r="F1251" s="1166">
        <f>IF(G1251="RES-SFU","RESIDENTIAL",IF(G1251="RES-HOA","RESIDENTIAL",IF(G1251="RES-MDU","RESIDENTIAL",IF(G1251="COMM-SU","BUSINESS",IF(G1251="COM-MTU","BUSINESS",IF(G1251="ENT","BUSINESS",""))))))</f>
        <v/>
      </c>
      <c r="G1251" s="1166">
        <f>'House Count'!F1251</f>
        <v/>
      </c>
      <c r="H1251" s="1166">
        <f>'House Count'!H1251</f>
        <v/>
      </c>
    </row>
    <row r="1252">
      <c r="A1252" s="1165">
        <f>'House Count'!A1252</f>
        <v/>
      </c>
      <c r="B1252" s="1166">
        <f>'House Count'!E1252</f>
        <v/>
      </c>
      <c r="C1252" s="1166">
        <f>'House Count'!B1252</f>
        <v/>
      </c>
      <c r="D1252" s="1166">
        <f>'House Count'!C1252</f>
        <v/>
      </c>
      <c r="E1252" s="1166">
        <f>'House Count'!D1252</f>
        <v/>
      </c>
      <c r="F1252" s="1166">
        <f>IF(G1252="RES-SFU","RESIDENTIAL",IF(G1252="RES-HOA","RESIDENTIAL",IF(G1252="RES-MDU","RESIDENTIAL",IF(G1252="COMM-SU","BUSINESS",IF(G1252="COM-MTU","BUSINESS",IF(G1252="ENT","BUSINESS",""))))))</f>
        <v/>
      </c>
      <c r="G1252" s="1166">
        <f>'House Count'!F1252</f>
        <v/>
      </c>
      <c r="H1252" s="1166">
        <f>'House Count'!H1252</f>
        <v/>
      </c>
    </row>
    <row r="1253">
      <c r="A1253" s="1165">
        <f>'House Count'!A1253</f>
        <v/>
      </c>
      <c r="B1253" s="1166">
        <f>'House Count'!E1253</f>
        <v/>
      </c>
      <c r="C1253" s="1166">
        <f>'House Count'!B1253</f>
        <v/>
      </c>
      <c r="D1253" s="1166">
        <f>'House Count'!C1253</f>
        <v/>
      </c>
      <c r="E1253" s="1166">
        <f>'House Count'!D1253</f>
        <v/>
      </c>
      <c r="F1253" s="1166">
        <f>IF(G1253="RES-SFU","RESIDENTIAL",IF(G1253="RES-HOA","RESIDENTIAL",IF(G1253="RES-MDU","RESIDENTIAL",IF(G1253="COMM-SU","BUSINESS",IF(G1253="COM-MTU","BUSINESS",IF(G1253="ENT","BUSINESS",""))))))</f>
        <v/>
      </c>
      <c r="G1253" s="1166">
        <f>'House Count'!F1253</f>
        <v/>
      </c>
      <c r="H1253" s="1166">
        <f>'House Count'!H1253</f>
        <v/>
      </c>
    </row>
    <row r="1254">
      <c r="A1254" s="1165">
        <f>'House Count'!A1254</f>
        <v/>
      </c>
      <c r="B1254" s="1166">
        <f>'House Count'!E1254</f>
        <v/>
      </c>
      <c r="C1254" s="1166">
        <f>'House Count'!B1254</f>
        <v/>
      </c>
      <c r="D1254" s="1166">
        <f>'House Count'!C1254</f>
        <v/>
      </c>
      <c r="E1254" s="1166">
        <f>'House Count'!D1254</f>
        <v/>
      </c>
      <c r="F1254" s="1166">
        <f>IF(G1254="RES-SFU","RESIDENTIAL",IF(G1254="RES-HOA","RESIDENTIAL",IF(G1254="RES-MDU","RESIDENTIAL",IF(G1254="COMM-SU","BUSINESS",IF(G1254="COM-MTU","BUSINESS",IF(G1254="ENT","BUSINESS",""))))))</f>
        <v/>
      </c>
      <c r="G1254" s="1166">
        <f>'House Count'!F1254</f>
        <v/>
      </c>
      <c r="H1254" s="1166">
        <f>'House Count'!H1254</f>
        <v/>
      </c>
    </row>
    <row r="1255">
      <c r="A1255" s="1165">
        <f>'House Count'!A1255</f>
        <v/>
      </c>
      <c r="B1255" s="1166">
        <f>'House Count'!E1255</f>
        <v/>
      </c>
      <c r="C1255" s="1166">
        <f>'House Count'!B1255</f>
        <v/>
      </c>
      <c r="D1255" s="1166">
        <f>'House Count'!C1255</f>
        <v/>
      </c>
      <c r="E1255" s="1166">
        <f>'House Count'!D1255</f>
        <v/>
      </c>
      <c r="F1255" s="1166">
        <f>IF(G1255="RES-SFU","RESIDENTIAL",IF(G1255="RES-HOA","RESIDENTIAL",IF(G1255="RES-MDU","RESIDENTIAL",IF(G1255="COMM-SU","BUSINESS",IF(G1255="COM-MTU","BUSINESS",IF(G1255="ENT","BUSINESS",""))))))</f>
        <v/>
      </c>
      <c r="G1255" s="1166">
        <f>'House Count'!F1255</f>
        <v/>
      </c>
      <c r="H1255" s="1166">
        <f>'House Count'!H1255</f>
        <v/>
      </c>
    </row>
    <row r="1256">
      <c r="A1256" s="1165">
        <f>'House Count'!A1256</f>
        <v/>
      </c>
      <c r="B1256" s="1166">
        <f>'House Count'!E1256</f>
        <v/>
      </c>
      <c r="C1256" s="1166">
        <f>'House Count'!B1256</f>
        <v/>
      </c>
      <c r="D1256" s="1166">
        <f>'House Count'!C1256</f>
        <v/>
      </c>
      <c r="E1256" s="1166">
        <f>'House Count'!D1256</f>
        <v/>
      </c>
      <c r="F1256" s="1166">
        <f>IF(G1256="RES-SFU","RESIDENTIAL",IF(G1256="RES-HOA","RESIDENTIAL",IF(G1256="RES-MDU","RESIDENTIAL",IF(G1256="COMM-SU","BUSINESS",IF(G1256="COM-MTU","BUSINESS",IF(G1256="ENT","BUSINESS",""))))))</f>
        <v/>
      </c>
      <c r="G1256" s="1166">
        <f>'House Count'!F1256</f>
        <v/>
      </c>
      <c r="H1256" s="1166">
        <f>'House Count'!H1256</f>
        <v/>
      </c>
    </row>
    <row r="1257">
      <c r="A1257" s="1165">
        <f>'House Count'!A1257</f>
        <v/>
      </c>
      <c r="B1257" s="1166">
        <f>'House Count'!E1257</f>
        <v/>
      </c>
      <c r="C1257" s="1166">
        <f>'House Count'!B1257</f>
        <v/>
      </c>
      <c r="D1257" s="1166">
        <f>'House Count'!C1257</f>
        <v/>
      </c>
      <c r="E1257" s="1166">
        <f>'House Count'!D1257</f>
        <v/>
      </c>
      <c r="F1257" s="1166">
        <f>IF(G1257="RES-SFU","RESIDENTIAL",IF(G1257="RES-HOA","RESIDENTIAL",IF(G1257="RES-MDU","RESIDENTIAL",IF(G1257="COMM-SU","BUSINESS",IF(G1257="COM-MTU","BUSINESS",IF(G1257="ENT","BUSINESS",""))))))</f>
        <v/>
      </c>
      <c r="G1257" s="1166">
        <f>'House Count'!F1257</f>
        <v/>
      </c>
      <c r="H1257" s="1166">
        <f>'House Count'!H1257</f>
        <v/>
      </c>
    </row>
    <row r="1258">
      <c r="A1258" s="1165">
        <f>'House Count'!A1258</f>
        <v/>
      </c>
      <c r="B1258" s="1166">
        <f>'House Count'!E1258</f>
        <v/>
      </c>
      <c r="C1258" s="1166">
        <f>'House Count'!B1258</f>
        <v/>
      </c>
      <c r="D1258" s="1166">
        <f>'House Count'!C1258</f>
        <v/>
      </c>
      <c r="E1258" s="1166">
        <f>'House Count'!D1258</f>
        <v/>
      </c>
      <c r="F1258" s="1166">
        <f>IF(G1258="RES-SFU","RESIDENTIAL",IF(G1258="RES-HOA","RESIDENTIAL",IF(G1258="RES-MDU","RESIDENTIAL",IF(G1258="COMM-SU","BUSINESS",IF(G1258="COM-MTU","BUSINESS",IF(G1258="ENT","BUSINESS",""))))))</f>
        <v/>
      </c>
      <c r="G1258" s="1166">
        <f>'House Count'!F1258</f>
        <v/>
      </c>
      <c r="H1258" s="1166">
        <f>'House Count'!H1258</f>
        <v/>
      </c>
    </row>
    <row r="1259">
      <c r="A1259" s="1165">
        <f>'House Count'!A1259</f>
        <v/>
      </c>
      <c r="B1259" s="1166">
        <f>'House Count'!E1259</f>
        <v/>
      </c>
      <c r="C1259" s="1166">
        <f>'House Count'!B1259</f>
        <v/>
      </c>
      <c r="D1259" s="1166">
        <f>'House Count'!C1259</f>
        <v/>
      </c>
      <c r="E1259" s="1166">
        <f>'House Count'!D1259</f>
        <v/>
      </c>
      <c r="F1259" s="1166">
        <f>IF(G1259="RES-SFU","RESIDENTIAL",IF(G1259="RES-HOA","RESIDENTIAL",IF(G1259="RES-MDU","RESIDENTIAL",IF(G1259="COMM-SU","BUSINESS",IF(G1259="COM-MTU","BUSINESS",IF(G1259="ENT","BUSINESS",""))))))</f>
        <v/>
      </c>
      <c r="G1259" s="1166">
        <f>'House Count'!F1259</f>
        <v/>
      </c>
      <c r="H1259" s="1166">
        <f>'House Count'!H1259</f>
        <v/>
      </c>
    </row>
    <row r="1260">
      <c r="A1260" s="1165">
        <f>'House Count'!A1260</f>
        <v/>
      </c>
      <c r="B1260" s="1166">
        <f>'House Count'!E1260</f>
        <v/>
      </c>
      <c r="C1260" s="1166">
        <f>'House Count'!B1260</f>
        <v/>
      </c>
      <c r="D1260" s="1166">
        <f>'House Count'!C1260</f>
        <v/>
      </c>
      <c r="E1260" s="1166">
        <f>'House Count'!D1260</f>
        <v/>
      </c>
      <c r="F1260" s="1166">
        <f>IF(G1260="RES-SFU","RESIDENTIAL",IF(G1260="RES-HOA","RESIDENTIAL",IF(G1260="RES-MDU","RESIDENTIAL",IF(G1260="COMM-SU","BUSINESS",IF(G1260="COM-MTU","BUSINESS",IF(G1260="ENT","BUSINESS",""))))))</f>
        <v/>
      </c>
      <c r="G1260" s="1166">
        <f>'House Count'!F1260</f>
        <v/>
      </c>
      <c r="H1260" s="1166">
        <f>'House Count'!H1260</f>
        <v/>
      </c>
    </row>
    <row r="1261">
      <c r="A1261" s="1165">
        <f>'House Count'!A1261</f>
        <v/>
      </c>
      <c r="B1261" s="1166">
        <f>'House Count'!E1261</f>
        <v/>
      </c>
      <c r="C1261" s="1166">
        <f>'House Count'!B1261</f>
        <v/>
      </c>
      <c r="D1261" s="1166">
        <f>'House Count'!C1261</f>
        <v/>
      </c>
      <c r="E1261" s="1166">
        <f>'House Count'!D1261</f>
        <v/>
      </c>
      <c r="F1261" s="1166">
        <f>IF(G1261="RES-SFU","RESIDENTIAL",IF(G1261="RES-HOA","RESIDENTIAL",IF(G1261="RES-MDU","RESIDENTIAL",IF(G1261="COMM-SU","BUSINESS",IF(G1261="COM-MTU","BUSINESS",IF(G1261="ENT","BUSINESS",""))))))</f>
        <v/>
      </c>
      <c r="G1261" s="1166">
        <f>'House Count'!F1261</f>
        <v/>
      </c>
      <c r="H1261" s="1166">
        <f>'House Count'!H1261</f>
        <v/>
      </c>
    </row>
    <row r="1262">
      <c r="A1262" s="1165">
        <f>'House Count'!A1262</f>
        <v/>
      </c>
      <c r="B1262" s="1166">
        <f>'House Count'!E1262</f>
        <v/>
      </c>
      <c r="C1262" s="1166">
        <f>'House Count'!B1262</f>
        <v/>
      </c>
      <c r="D1262" s="1166">
        <f>'House Count'!C1262</f>
        <v/>
      </c>
      <c r="E1262" s="1166">
        <f>'House Count'!D1262</f>
        <v/>
      </c>
      <c r="F1262" s="1166">
        <f>IF(G1262="RES-SFU","RESIDENTIAL",IF(G1262="RES-HOA","RESIDENTIAL",IF(G1262="RES-MDU","RESIDENTIAL",IF(G1262="COMM-SU","BUSINESS",IF(G1262="COM-MTU","BUSINESS",IF(G1262="ENT","BUSINESS",""))))))</f>
        <v/>
      </c>
      <c r="G1262" s="1166">
        <f>'House Count'!F1262</f>
        <v/>
      </c>
      <c r="H1262" s="1166">
        <f>'House Count'!H1262</f>
        <v/>
      </c>
    </row>
    <row r="1263">
      <c r="A1263" s="1165">
        <f>'House Count'!A1263</f>
        <v/>
      </c>
      <c r="B1263" s="1166">
        <f>'House Count'!E1263</f>
        <v/>
      </c>
      <c r="C1263" s="1166">
        <f>'House Count'!B1263</f>
        <v/>
      </c>
      <c r="D1263" s="1166">
        <f>'House Count'!C1263</f>
        <v/>
      </c>
      <c r="E1263" s="1166">
        <f>'House Count'!D1263</f>
        <v/>
      </c>
      <c r="F1263" s="1166">
        <f>IF(G1263="RES-SFU","RESIDENTIAL",IF(G1263="RES-HOA","RESIDENTIAL",IF(G1263="RES-MDU","RESIDENTIAL",IF(G1263="COMM-SU","BUSINESS",IF(G1263="COM-MTU","BUSINESS",IF(G1263="ENT","BUSINESS",""))))))</f>
        <v/>
      </c>
      <c r="G1263" s="1166">
        <f>'House Count'!F1263</f>
        <v/>
      </c>
      <c r="H1263" s="1166">
        <f>'House Count'!H1263</f>
        <v/>
      </c>
    </row>
    <row r="1264">
      <c r="A1264" s="1165">
        <f>'House Count'!A1264</f>
        <v/>
      </c>
      <c r="B1264" s="1166">
        <f>'House Count'!E1264</f>
        <v/>
      </c>
      <c r="C1264" s="1166">
        <f>'House Count'!B1264</f>
        <v/>
      </c>
      <c r="D1264" s="1166">
        <f>'House Count'!C1264</f>
        <v/>
      </c>
      <c r="E1264" s="1166">
        <f>'House Count'!D1264</f>
        <v/>
      </c>
      <c r="F1264" s="1166">
        <f>IF(G1264="RES-SFU","RESIDENTIAL",IF(G1264="RES-HOA","RESIDENTIAL",IF(G1264="RES-MDU","RESIDENTIAL",IF(G1264="COMM-SU","BUSINESS",IF(G1264="COM-MTU","BUSINESS",IF(G1264="ENT","BUSINESS",""))))))</f>
        <v/>
      </c>
      <c r="G1264" s="1166">
        <f>'House Count'!F1264</f>
        <v/>
      </c>
      <c r="H1264" s="1166">
        <f>'House Count'!H1264</f>
        <v/>
      </c>
    </row>
    <row r="1265">
      <c r="A1265" s="1165">
        <f>'House Count'!A1265</f>
        <v/>
      </c>
      <c r="B1265" s="1166">
        <f>'House Count'!E1265</f>
        <v/>
      </c>
      <c r="C1265" s="1166">
        <f>'House Count'!B1265</f>
        <v/>
      </c>
      <c r="D1265" s="1166">
        <f>'House Count'!C1265</f>
        <v/>
      </c>
      <c r="E1265" s="1166">
        <f>'House Count'!D1265</f>
        <v/>
      </c>
      <c r="F1265" s="1166">
        <f>IF(G1265="RES-SFU","RESIDENTIAL",IF(G1265="RES-HOA","RESIDENTIAL",IF(G1265="RES-MDU","RESIDENTIAL",IF(G1265="COMM-SU","BUSINESS",IF(G1265="COM-MTU","BUSINESS",IF(G1265="ENT","BUSINESS",""))))))</f>
        <v/>
      </c>
      <c r="G1265" s="1166">
        <f>'House Count'!F1265</f>
        <v/>
      </c>
      <c r="H1265" s="1166">
        <f>'House Count'!H1265</f>
        <v/>
      </c>
    </row>
    <row r="1266">
      <c r="A1266" s="1165">
        <f>'House Count'!A1266</f>
        <v/>
      </c>
      <c r="B1266" s="1166">
        <f>'House Count'!E1266</f>
        <v/>
      </c>
      <c r="C1266" s="1166">
        <f>'House Count'!B1266</f>
        <v/>
      </c>
      <c r="D1266" s="1166">
        <f>'House Count'!C1266</f>
        <v/>
      </c>
      <c r="E1266" s="1166">
        <f>'House Count'!D1266</f>
        <v/>
      </c>
      <c r="F1266" s="1166">
        <f>IF(G1266="RES-SFU","RESIDENTIAL",IF(G1266="RES-HOA","RESIDENTIAL",IF(G1266="RES-MDU","RESIDENTIAL",IF(G1266="COMM-SU","BUSINESS",IF(G1266="COM-MTU","BUSINESS",IF(G1266="ENT","BUSINESS",""))))))</f>
        <v/>
      </c>
      <c r="G1266" s="1166">
        <f>'House Count'!F1266</f>
        <v/>
      </c>
      <c r="H1266" s="1166">
        <f>'House Count'!H1266</f>
        <v/>
      </c>
    </row>
    <row r="1267">
      <c r="A1267" s="1165">
        <f>'House Count'!A1267</f>
        <v/>
      </c>
      <c r="B1267" s="1166">
        <f>'House Count'!E1267</f>
        <v/>
      </c>
      <c r="C1267" s="1166">
        <f>'House Count'!B1267</f>
        <v/>
      </c>
      <c r="D1267" s="1166">
        <f>'House Count'!C1267</f>
        <v/>
      </c>
      <c r="E1267" s="1166">
        <f>'House Count'!D1267</f>
        <v/>
      </c>
      <c r="F1267" s="1166">
        <f>IF(G1267="RES-SFU","RESIDENTIAL",IF(G1267="RES-HOA","RESIDENTIAL",IF(G1267="RES-MDU","RESIDENTIAL",IF(G1267="COMM-SU","BUSINESS",IF(G1267="COM-MTU","BUSINESS",IF(G1267="ENT","BUSINESS",""))))))</f>
        <v/>
      </c>
      <c r="G1267" s="1166">
        <f>'House Count'!F1267</f>
        <v/>
      </c>
      <c r="H1267" s="1166">
        <f>'House Count'!H1267</f>
        <v/>
      </c>
    </row>
    <row r="1268">
      <c r="A1268" s="1165">
        <f>'House Count'!A1268</f>
        <v/>
      </c>
      <c r="B1268" s="1166">
        <f>'House Count'!E1268</f>
        <v/>
      </c>
      <c r="C1268" s="1166">
        <f>'House Count'!B1268</f>
        <v/>
      </c>
      <c r="D1268" s="1166">
        <f>'House Count'!C1268</f>
        <v/>
      </c>
      <c r="E1268" s="1166">
        <f>'House Count'!D1268</f>
        <v/>
      </c>
      <c r="F1268" s="1166">
        <f>IF(G1268="RES-SFU","RESIDENTIAL",IF(G1268="RES-HOA","RESIDENTIAL",IF(G1268="RES-MDU","RESIDENTIAL",IF(G1268="COMM-SU","BUSINESS",IF(G1268="COM-MTU","BUSINESS",IF(G1268="ENT","BUSINESS",""))))))</f>
        <v/>
      </c>
      <c r="G1268" s="1166">
        <f>'House Count'!F1268</f>
        <v/>
      </c>
      <c r="H1268" s="1166">
        <f>'House Count'!H1268</f>
        <v/>
      </c>
    </row>
    <row r="1269">
      <c r="A1269" s="1165">
        <f>'House Count'!A1269</f>
        <v/>
      </c>
      <c r="B1269" s="1166">
        <f>'House Count'!E1269</f>
        <v/>
      </c>
      <c r="C1269" s="1166">
        <f>'House Count'!B1269</f>
        <v/>
      </c>
      <c r="D1269" s="1166">
        <f>'House Count'!C1269</f>
        <v/>
      </c>
      <c r="E1269" s="1166">
        <f>'House Count'!D1269</f>
        <v/>
      </c>
      <c r="F1269" s="1166">
        <f>IF(G1269="RES-SFU","RESIDENTIAL",IF(G1269="RES-HOA","RESIDENTIAL",IF(G1269="RES-MDU","RESIDENTIAL",IF(G1269="COMM-SU","BUSINESS",IF(G1269="COM-MTU","BUSINESS",IF(G1269="ENT","BUSINESS",""))))))</f>
        <v/>
      </c>
      <c r="G1269" s="1166">
        <f>'House Count'!F1269</f>
        <v/>
      </c>
      <c r="H1269" s="1166">
        <f>'House Count'!H1269</f>
        <v/>
      </c>
    </row>
    <row r="1270">
      <c r="A1270" s="1165">
        <f>'House Count'!A1270</f>
        <v/>
      </c>
      <c r="B1270" s="1166">
        <f>'House Count'!E1270</f>
        <v/>
      </c>
      <c r="C1270" s="1166">
        <f>'House Count'!B1270</f>
        <v/>
      </c>
      <c r="D1270" s="1166">
        <f>'House Count'!C1270</f>
        <v/>
      </c>
      <c r="E1270" s="1166">
        <f>'House Count'!D1270</f>
        <v/>
      </c>
      <c r="F1270" s="1166">
        <f>IF(G1270="RES-SFU","RESIDENTIAL",IF(G1270="RES-HOA","RESIDENTIAL",IF(G1270="RES-MDU","RESIDENTIAL",IF(G1270="COMM-SU","BUSINESS",IF(G1270="COM-MTU","BUSINESS",IF(G1270="ENT","BUSINESS",""))))))</f>
        <v/>
      </c>
      <c r="G1270" s="1166">
        <f>'House Count'!F1270</f>
        <v/>
      </c>
      <c r="H1270" s="1166">
        <f>'House Count'!H1270</f>
        <v/>
      </c>
    </row>
    <row r="1271">
      <c r="A1271" s="1165">
        <f>'House Count'!A1271</f>
        <v/>
      </c>
      <c r="B1271" s="1166">
        <f>'House Count'!E1271</f>
        <v/>
      </c>
      <c r="C1271" s="1166">
        <f>'House Count'!B1271</f>
        <v/>
      </c>
      <c r="D1271" s="1166">
        <f>'House Count'!C1271</f>
        <v/>
      </c>
      <c r="E1271" s="1166">
        <f>'House Count'!D1271</f>
        <v/>
      </c>
      <c r="F1271" s="1166">
        <f>IF(G1271="RES-SFU","RESIDENTIAL",IF(G1271="RES-HOA","RESIDENTIAL",IF(G1271="RES-MDU","RESIDENTIAL",IF(G1271="COMM-SU","BUSINESS",IF(G1271="COM-MTU","BUSINESS",IF(G1271="ENT","BUSINESS",""))))))</f>
        <v/>
      </c>
      <c r="G1271" s="1166">
        <f>'House Count'!F1271</f>
        <v/>
      </c>
      <c r="H1271" s="1166">
        <f>'House Count'!H1271</f>
        <v/>
      </c>
    </row>
    <row r="1272">
      <c r="A1272" s="1165">
        <f>'House Count'!A1272</f>
        <v/>
      </c>
      <c r="B1272" s="1166">
        <f>'House Count'!E1272</f>
        <v/>
      </c>
      <c r="C1272" s="1166">
        <f>'House Count'!B1272</f>
        <v/>
      </c>
      <c r="D1272" s="1166">
        <f>'House Count'!C1272</f>
        <v/>
      </c>
      <c r="E1272" s="1166">
        <f>'House Count'!D1272</f>
        <v/>
      </c>
      <c r="F1272" s="1166">
        <f>IF(G1272="RES-SFU","RESIDENTIAL",IF(G1272="RES-HOA","RESIDENTIAL",IF(G1272="RES-MDU","RESIDENTIAL",IF(G1272="COMM-SU","BUSINESS",IF(G1272="COM-MTU","BUSINESS",IF(G1272="ENT","BUSINESS",""))))))</f>
        <v/>
      </c>
      <c r="G1272" s="1166">
        <f>'House Count'!F1272</f>
        <v/>
      </c>
      <c r="H1272" s="1166">
        <f>'House Count'!H1272</f>
        <v/>
      </c>
    </row>
    <row r="1273">
      <c r="A1273" s="1165">
        <f>'House Count'!A1273</f>
        <v/>
      </c>
      <c r="B1273" s="1166">
        <f>'House Count'!E1273</f>
        <v/>
      </c>
      <c r="C1273" s="1166">
        <f>'House Count'!B1273</f>
        <v/>
      </c>
      <c r="D1273" s="1166">
        <f>'House Count'!C1273</f>
        <v/>
      </c>
      <c r="E1273" s="1166">
        <f>'House Count'!D1273</f>
        <v/>
      </c>
      <c r="F1273" s="1166">
        <f>IF(G1273="RES-SFU","RESIDENTIAL",IF(G1273="RES-HOA","RESIDENTIAL",IF(G1273="RES-MDU","RESIDENTIAL",IF(G1273="COMM-SU","BUSINESS",IF(G1273="COM-MTU","BUSINESS",IF(G1273="ENT","BUSINESS",""))))))</f>
        <v/>
      </c>
      <c r="G1273" s="1166">
        <f>'House Count'!F1273</f>
        <v/>
      </c>
      <c r="H1273" s="1166">
        <f>'House Count'!H1273</f>
        <v/>
      </c>
    </row>
    <row r="1274">
      <c r="A1274" s="1165">
        <f>'House Count'!A1274</f>
        <v/>
      </c>
      <c r="B1274" s="1166">
        <f>'House Count'!E1274</f>
        <v/>
      </c>
      <c r="C1274" s="1166">
        <f>'House Count'!B1274</f>
        <v/>
      </c>
      <c r="D1274" s="1166">
        <f>'House Count'!C1274</f>
        <v/>
      </c>
      <c r="E1274" s="1166">
        <f>'House Count'!D1274</f>
        <v/>
      </c>
      <c r="F1274" s="1166">
        <f>IF(G1274="RES-SFU","RESIDENTIAL",IF(G1274="RES-HOA","RESIDENTIAL",IF(G1274="RES-MDU","RESIDENTIAL",IF(G1274="COMM-SU","BUSINESS",IF(G1274="COM-MTU","BUSINESS",IF(G1274="ENT","BUSINESS",""))))))</f>
        <v/>
      </c>
      <c r="G1274" s="1166">
        <f>'House Count'!F1274</f>
        <v/>
      </c>
      <c r="H1274" s="1166">
        <f>'House Count'!H1274</f>
        <v/>
      </c>
    </row>
    <row r="1275">
      <c r="A1275" s="1165">
        <f>'House Count'!A1275</f>
        <v/>
      </c>
      <c r="B1275" s="1166">
        <f>'House Count'!E1275</f>
        <v/>
      </c>
      <c r="C1275" s="1166">
        <f>'House Count'!B1275</f>
        <v/>
      </c>
      <c r="D1275" s="1166">
        <f>'House Count'!C1275</f>
        <v/>
      </c>
      <c r="E1275" s="1166">
        <f>'House Count'!D1275</f>
        <v/>
      </c>
      <c r="F1275" s="1166">
        <f>IF(G1275="RES-SFU","RESIDENTIAL",IF(G1275="RES-HOA","RESIDENTIAL",IF(G1275="RES-MDU","RESIDENTIAL",IF(G1275="COMM-SU","BUSINESS",IF(G1275="COM-MTU","BUSINESS",IF(G1275="ENT","BUSINESS",""))))))</f>
        <v/>
      </c>
      <c r="G1275" s="1166">
        <f>'House Count'!F1275</f>
        <v/>
      </c>
      <c r="H1275" s="1166">
        <f>'House Count'!H1275</f>
        <v/>
      </c>
    </row>
    <row r="1276">
      <c r="A1276" s="1165">
        <f>'House Count'!A1276</f>
        <v/>
      </c>
      <c r="B1276" s="1166">
        <f>'House Count'!E1276</f>
        <v/>
      </c>
      <c r="C1276" s="1166">
        <f>'House Count'!B1276</f>
        <v/>
      </c>
      <c r="D1276" s="1166">
        <f>'House Count'!C1276</f>
        <v/>
      </c>
      <c r="E1276" s="1166">
        <f>'House Count'!D1276</f>
        <v/>
      </c>
      <c r="F1276" s="1166">
        <f>IF(G1276="RES-SFU","RESIDENTIAL",IF(G1276="RES-HOA","RESIDENTIAL",IF(G1276="RES-MDU","RESIDENTIAL",IF(G1276="COMM-SU","BUSINESS",IF(G1276="COM-MTU","BUSINESS",IF(G1276="ENT","BUSINESS",""))))))</f>
        <v/>
      </c>
      <c r="G1276" s="1166">
        <f>'House Count'!F1276</f>
        <v/>
      </c>
      <c r="H1276" s="1166">
        <f>'House Count'!H1276</f>
        <v/>
      </c>
    </row>
    <row r="1277">
      <c r="A1277" s="1165">
        <f>'House Count'!A1277</f>
        <v/>
      </c>
      <c r="B1277" s="1166">
        <f>'House Count'!E1277</f>
        <v/>
      </c>
      <c r="C1277" s="1166">
        <f>'House Count'!B1277</f>
        <v/>
      </c>
      <c r="D1277" s="1166">
        <f>'House Count'!C1277</f>
        <v/>
      </c>
      <c r="E1277" s="1166">
        <f>'House Count'!D1277</f>
        <v/>
      </c>
      <c r="F1277" s="1166">
        <f>IF(G1277="RES-SFU","RESIDENTIAL",IF(G1277="RES-HOA","RESIDENTIAL",IF(G1277="RES-MDU","RESIDENTIAL",IF(G1277="COMM-SU","BUSINESS",IF(G1277="COM-MTU","BUSINESS",IF(G1277="ENT","BUSINESS",""))))))</f>
        <v/>
      </c>
      <c r="G1277" s="1166">
        <f>'House Count'!F1277</f>
        <v/>
      </c>
      <c r="H1277" s="1166">
        <f>'House Count'!H1277</f>
        <v/>
      </c>
    </row>
    <row r="1278">
      <c r="A1278" s="1165">
        <f>'House Count'!A1278</f>
        <v/>
      </c>
      <c r="B1278" s="1166">
        <f>'House Count'!E1278</f>
        <v/>
      </c>
      <c r="C1278" s="1166">
        <f>'House Count'!B1278</f>
        <v/>
      </c>
      <c r="D1278" s="1166">
        <f>'House Count'!C1278</f>
        <v/>
      </c>
      <c r="E1278" s="1166">
        <f>'House Count'!D1278</f>
        <v/>
      </c>
      <c r="F1278" s="1166">
        <f>IF(G1278="RES-SFU","RESIDENTIAL",IF(G1278="RES-HOA","RESIDENTIAL",IF(G1278="RES-MDU","RESIDENTIAL",IF(G1278="COMM-SU","BUSINESS",IF(G1278="COM-MTU","BUSINESS",IF(G1278="ENT","BUSINESS",""))))))</f>
        <v/>
      </c>
      <c r="G1278" s="1166">
        <f>'House Count'!F1278</f>
        <v/>
      </c>
      <c r="H1278" s="1166">
        <f>'House Count'!H1278</f>
        <v/>
      </c>
    </row>
    <row r="1279">
      <c r="A1279" s="1165">
        <f>'House Count'!A1279</f>
        <v/>
      </c>
      <c r="B1279" s="1166">
        <f>'House Count'!E1279</f>
        <v/>
      </c>
      <c r="C1279" s="1166">
        <f>'House Count'!B1279</f>
        <v/>
      </c>
      <c r="D1279" s="1166">
        <f>'House Count'!C1279</f>
        <v/>
      </c>
      <c r="E1279" s="1166">
        <f>'House Count'!D1279</f>
        <v/>
      </c>
      <c r="F1279" s="1166">
        <f>IF(G1279="RES-SFU","RESIDENTIAL",IF(G1279="RES-HOA","RESIDENTIAL",IF(G1279="RES-MDU","RESIDENTIAL",IF(G1279="COMM-SU","BUSINESS",IF(G1279="COM-MTU","BUSINESS",IF(G1279="ENT","BUSINESS",""))))))</f>
        <v/>
      </c>
      <c r="G1279" s="1166">
        <f>'House Count'!F1279</f>
        <v/>
      </c>
      <c r="H1279" s="1166">
        <f>'House Count'!H1279</f>
        <v/>
      </c>
    </row>
    <row r="1280">
      <c r="A1280" s="1165">
        <f>'House Count'!A1280</f>
        <v/>
      </c>
      <c r="B1280" s="1166">
        <f>'House Count'!E1280</f>
        <v/>
      </c>
      <c r="C1280" s="1166">
        <f>'House Count'!B1280</f>
        <v/>
      </c>
      <c r="D1280" s="1166">
        <f>'House Count'!C1280</f>
        <v/>
      </c>
      <c r="E1280" s="1166">
        <f>'House Count'!D1280</f>
        <v/>
      </c>
      <c r="F1280" s="1166">
        <f>IF(G1280="RES-SFU","RESIDENTIAL",IF(G1280="RES-HOA","RESIDENTIAL",IF(G1280="RES-MDU","RESIDENTIAL",IF(G1280="COMM-SU","BUSINESS",IF(G1280="COM-MTU","BUSINESS",IF(G1280="ENT","BUSINESS",""))))))</f>
        <v/>
      </c>
      <c r="G1280" s="1166">
        <f>'House Count'!F1280</f>
        <v/>
      </c>
      <c r="H1280" s="1166">
        <f>'House Count'!H1280</f>
        <v/>
      </c>
    </row>
    <row r="1281">
      <c r="A1281" s="1165">
        <f>'House Count'!A1281</f>
        <v/>
      </c>
      <c r="B1281" s="1166">
        <f>'House Count'!E1281</f>
        <v/>
      </c>
      <c r="C1281" s="1166">
        <f>'House Count'!B1281</f>
        <v/>
      </c>
      <c r="D1281" s="1166">
        <f>'House Count'!C1281</f>
        <v/>
      </c>
      <c r="E1281" s="1166">
        <f>'House Count'!D1281</f>
        <v/>
      </c>
      <c r="F1281" s="1166">
        <f>IF(G1281="RES-SFU","RESIDENTIAL",IF(G1281="RES-HOA","RESIDENTIAL",IF(G1281="RES-MDU","RESIDENTIAL",IF(G1281="COMM-SU","BUSINESS",IF(G1281="COM-MTU","BUSINESS",IF(G1281="ENT","BUSINESS",""))))))</f>
        <v/>
      </c>
      <c r="G1281" s="1166">
        <f>'House Count'!F1281</f>
        <v/>
      </c>
      <c r="H1281" s="1166">
        <f>'House Count'!H1281</f>
        <v/>
      </c>
    </row>
    <row r="1282">
      <c r="A1282" s="1165">
        <f>'House Count'!A1282</f>
        <v/>
      </c>
      <c r="B1282" s="1166">
        <f>'House Count'!E1282</f>
        <v/>
      </c>
      <c r="C1282" s="1166">
        <f>'House Count'!B1282</f>
        <v/>
      </c>
      <c r="D1282" s="1166">
        <f>'House Count'!C1282</f>
        <v/>
      </c>
      <c r="E1282" s="1166">
        <f>'House Count'!D1282</f>
        <v/>
      </c>
      <c r="F1282" s="1166">
        <f>IF(G1282="RES-SFU","RESIDENTIAL",IF(G1282="RES-HOA","RESIDENTIAL",IF(G1282="RES-MDU","RESIDENTIAL",IF(G1282="COMM-SU","BUSINESS",IF(G1282="COM-MTU","BUSINESS",IF(G1282="ENT","BUSINESS",""))))))</f>
        <v/>
      </c>
      <c r="G1282" s="1166">
        <f>'House Count'!F1282</f>
        <v/>
      </c>
      <c r="H1282" s="1166">
        <f>'House Count'!H1282</f>
        <v/>
      </c>
    </row>
    <row r="1283">
      <c r="A1283" s="1165">
        <f>'House Count'!A1283</f>
        <v/>
      </c>
      <c r="B1283" s="1166">
        <f>'House Count'!E1283</f>
        <v/>
      </c>
      <c r="C1283" s="1166">
        <f>'House Count'!B1283</f>
        <v/>
      </c>
      <c r="D1283" s="1166">
        <f>'House Count'!C1283</f>
        <v/>
      </c>
      <c r="E1283" s="1166">
        <f>'House Count'!D1283</f>
        <v/>
      </c>
      <c r="F1283" s="1166">
        <f>IF(G1283="RES-SFU","RESIDENTIAL",IF(G1283="RES-HOA","RESIDENTIAL",IF(G1283="RES-MDU","RESIDENTIAL",IF(G1283="COMM-SU","BUSINESS",IF(G1283="COM-MTU","BUSINESS",IF(G1283="ENT","BUSINESS",""))))))</f>
        <v/>
      </c>
      <c r="G1283" s="1166">
        <f>'House Count'!F1283</f>
        <v/>
      </c>
      <c r="H1283" s="1166">
        <f>'House Count'!H1283</f>
        <v/>
      </c>
    </row>
    <row r="1284">
      <c r="A1284" s="1165">
        <f>'House Count'!A1284</f>
        <v/>
      </c>
      <c r="B1284" s="1166">
        <f>'House Count'!E1284</f>
        <v/>
      </c>
      <c r="C1284" s="1166">
        <f>'House Count'!B1284</f>
        <v/>
      </c>
      <c r="D1284" s="1166">
        <f>'House Count'!C1284</f>
        <v/>
      </c>
      <c r="E1284" s="1166">
        <f>'House Count'!D1284</f>
        <v/>
      </c>
      <c r="F1284" s="1166">
        <f>IF(G1284="RES-SFU","RESIDENTIAL",IF(G1284="RES-HOA","RESIDENTIAL",IF(G1284="RES-MDU","RESIDENTIAL",IF(G1284="COMM-SU","BUSINESS",IF(G1284="COM-MTU","BUSINESS",IF(G1284="ENT","BUSINESS",""))))))</f>
        <v/>
      </c>
      <c r="G1284" s="1166">
        <f>'House Count'!F1284</f>
        <v/>
      </c>
      <c r="H1284" s="1166">
        <f>'House Count'!H1284</f>
        <v/>
      </c>
    </row>
    <row r="1285">
      <c r="A1285" s="1165">
        <f>'House Count'!A1285</f>
        <v/>
      </c>
      <c r="B1285" s="1166">
        <f>'House Count'!E1285</f>
        <v/>
      </c>
      <c r="C1285" s="1166">
        <f>'House Count'!B1285</f>
        <v/>
      </c>
      <c r="D1285" s="1166">
        <f>'House Count'!C1285</f>
        <v/>
      </c>
      <c r="E1285" s="1166">
        <f>'House Count'!D1285</f>
        <v/>
      </c>
      <c r="F1285" s="1166">
        <f>IF(G1285="RES-SFU","RESIDENTIAL",IF(G1285="RES-HOA","RESIDENTIAL",IF(G1285="RES-MDU","RESIDENTIAL",IF(G1285="COMM-SU","BUSINESS",IF(G1285="COM-MTU","BUSINESS",IF(G1285="ENT","BUSINESS",""))))))</f>
        <v/>
      </c>
      <c r="G1285" s="1166">
        <f>'House Count'!F1285</f>
        <v/>
      </c>
      <c r="H1285" s="1166">
        <f>'House Count'!H1285</f>
        <v/>
      </c>
    </row>
    <row r="1286">
      <c r="A1286" s="1165">
        <f>'House Count'!A1286</f>
        <v/>
      </c>
      <c r="B1286" s="1166">
        <f>'House Count'!E1286</f>
        <v/>
      </c>
      <c r="C1286" s="1166">
        <f>'House Count'!B1286</f>
        <v/>
      </c>
      <c r="D1286" s="1166">
        <f>'House Count'!C1286</f>
        <v/>
      </c>
      <c r="E1286" s="1166">
        <f>'House Count'!D1286</f>
        <v/>
      </c>
      <c r="F1286" s="1166">
        <f>IF(G1286="RES-SFU","RESIDENTIAL",IF(G1286="RES-HOA","RESIDENTIAL",IF(G1286="RES-MDU","RESIDENTIAL",IF(G1286="COMM-SU","BUSINESS",IF(G1286="COM-MTU","BUSINESS",IF(G1286="ENT","BUSINESS",""))))))</f>
        <v/>
      </c>
      <c r="G1286" s="1166">
        <f>'House Count'!F1286</f>
        <v/>
      </c>
      <c r="H1286" s="1166">
        <f>'House Count'!H1286</f>
        <v/>
      </c>
    </row>
    <row r="1287">
      <c r="A1287" s="1165">
        <f>'House Count'!A1287</f>
        <v/>
      </c>
      <c r="B1287" s="1166">
        <f>'House Count'!E1287</f>
        <v/>
      </c>
      <c r="C1287" s="1166">
        <f>'House Count'!B1287</f>
        <v/>
      </c>
      <c r="D1287" s="1166">
        <f>'House Count'!C1287</f>
        <v/>
      </c>
      <c r="E1287" s="1166">
        <f>'House Count'!D1287</f>
        <v/>
      </c>
      <c r="F1287" s="1166">
        <f>IF(G1287="RES-SFU","RESIDENTIAL",IF(G1287="RES-HOA","RESIDENTIAL",IF(G1287="RES-MDU","RESIDENTIAL",IF(G1287="COMM-SU","BUSINESS",IF(G1287="COM-MTU","BUSINESS",IF(G1287="ENT","BUSINESS",""))))))</f>
        <v/>
      </c>
      <c r="G1287" s="1166">
        <f>'House Count'!F1287</f>
        <v/>
      </c>
      <c r="H1287" s="1166">
        <f>'House Count'!H1287</f>
        <v/>
      </c>
    </row>
    <row r="1288">
      <c r="A1288" s="1165">
        <f>'House Count'!A1288</f>
        <v/>
      </c>
      <c r="B1288" s="1166">
        <f>'House Count'!E1288</f>
        <v/>
      </c>
      <c r="C1288" s="1166">
        <f>'House Count'!B1288</f>
        <v/>
      </c>
      <c r="D1288" s="1166">
        <f>'House Count'!C1288</f>
        <v/>
      </c>
      <c r="E1288" s="1166">
        <f>'House Count'!D1288</f>
        <v/>
      </c>
      <c r="F1288" s="1166">
        <f>IF(G1288="RES-SFU","RESIDENTIAL",IF(G1288="RES-HOA","RESIDENTIAL",IF(G1288="RES-MDU","RESIDENTIAL",IF(G1288="COMM-SU","BUSINESS",IF(G1288="COM-MTU","BUSINESS",IF(G1288="ENT","BUSINESS",""))))))</f>
        <v/>
      </c>
      <c r="G1288" s="1166">
        <f>'House Count'!F1288</f>
        <v/>
      </c>
      <c r="H1288" s="1166">
        <f>'House Count'!H1288</f>
        <v/>
      </c>
    </row>
    <row r="1289">
      <c r="A1289" s="1165">
        <f>'House Count'!A1289</f>
        <v/>
      </c>
      <c r="B1289" s="1166">
        <f>'House Count'!E1289</f>
        <v/>
      </c>
      <c r="C1289" s="1166">
        <f>'House Count'!B1289</f>
        <v/>
      </c>
      <c r="D1289" s="1166">
        <f>'House Count'!C1289</f>
        <v/>
      </c>
      <c r="E1289" s="1166">
        <f>'House Count'!D1289</f>
        <v/>
      </c>
      <c r="F1289" s="1166">
        <f>IF(G1289="RES-SFU","RESIDENTIAL",IF(G1289="RES-HOA","RESIDENTIAL",IF(G1289="RES-MDU","RESIDENTIAL",IF(G1289="COMM-SU","BUSINESS",IF(G1289="COM-MTU","BUSINESS",IF(G1289="ENT","BUSINESS",""))))))</f>
        <v/>
      </c>
      <c r="G1289" s="1166">
        <f>'House Count'!F1289</f>
        <v/>
      </c>
      <c r="H1289" s="1166">
        <f>'House Count'!H1289</f>
        <v/>
      </c>
    </row>
    <row r="1290">
      <c r="A1290" s="1165">
        <f>'House Count'!A1290</f>
        <v/>
      </c>
      <c r="B1290" s="1166">
        <f>'House Count'!E1290</f>
        <v/>
      </c>
      <c r="C1290" s="1166">
        <f>'House Count'!B1290</f>
        <v/>
      </c>
      <c r="D1290" s="1166">
        <f>'House Count'!C1290</f>
        <v/>
      </c>
      <c r="E1290" s="1166">
        <f>'House Count'!D1290</f>
        <v/>
      </c>
      <c r="F1290" s="1166">
        <f>IF(G1290="RES-SFU","RESIDENTIAL",IF(G1290="RES-HOA","RESIDENTIAL",IF(G1290="RES-MDU","RESIDENTIAL",IF(G1290="COMM-SU","BUSINESS",IF(G1290="COM-MTU","BUSINESS",IF(G1290="ENT","BUSINESS",""))))))</f>
        <v/>
      </c>
      <c r="G1290" s="1166">
        <f>'House Count'!F1290</f>
        <v/>
      </c>
      <c r="H1290" s="1166">
        <f>'House Count'!H1290</f>
        <v/>
      </c>
    </row>
    <row r="1291">
      <c r="A1291" s="1165">
        <f>'House Count'!A1291</f>
        <v/>
      </c>
      <c r="B1291" s="1166">
        <f>'House Count'!E1291</f>
        <v/>
      </c>
      <c r="C1291" s="1166">
        <f>'House Count'!B1291</f>
        <v/>
      </c>
      <c r="D1291" s="1166">
        <f>'House Count'!C1291</f>
        <v/>
      </c>
      <c r="E1291" s="1166">
        <f>'House Count'!D1291</f>
        <v/>
      </c>
      <c r="F1291" s="1166">
        <f>IF(G1291="RES-SFU","RESIDENTIAL",IF(G1291="RES-HOA","RESIDENTIAL",IF(G1291="RES-MDU","RESIDENTIAL",IF(G1291="COMM-SU","BUSINESS",IF(G1291="COM-MTU","BUSINESS",IF(G1291="ENT","BUSINESS",""))))))</f>
        <v/>
      </c>
      <c r="G1291" s="1166">
        <f>'House Count'!F1291</f>
        <v/>
      </c>
      <c r="H1291" s="1166">
        <f>'House Count'!H1291</f>
        <v/>
      </c>
    </row>
    <row r="1292">
      <c r="A1292" s="1165">
        <f>'House Count'!A1292</f>
        <v/>
      </c>
      <c r="B1292" s="1166">
        <f>'House Count'!E1292</f>
        <v/>
      </c>
      <c r="C1292" s="1166">
        <f>'House Count'!B1292</f>
        <v/>
      </c>
      <c r="D1292" s="1166">
        <f>'House Count'!C1292</f>
        <v/>
      </c>
      <c r="E1292" s="1166">
        <f>'House Count'!D1292</f>
        <v/>
      </c>
      <c r="F1292" s="1166">
        <f>IF(G1292="RES-SFU","RESIDENTIAL",IF(G1292="RES-HOA","RESIDENTIAL",IF(G1292="RES-MDU","RESIDENTIAL",IF(G1292="COMM-SU","BUSINESS",IF(G1292="COM-MTU","BUSINESS",IF(G1292="ENT","BUSINESS",""))))))</f>
        <v/>
      </c>
      <c r="G1292" s="1166">
        <f>'House Count'!F1292</f>
        <v/>
      </c>
      <c r="H1292" s="1166">
        <f>'House Count'!H1292</f>
        <v/>
      </c>
    </row>
    <row r="1293">
      <c r="A1293" s="1165">
        <f>'House Count'!A1293</f>
        <v/>
      </c>
      <c r="B1293" s="1166">
        <f>'House Count'!E1293</f>
        <v/>
      </c>
      <c r="C1293" s="1166">
        <f>'House Count'!B1293</f>
        <v/>
      </c>
      <c r="D1293" s="1166">
        <f>'House Count'!C1293</f>
        <v/>
      </c>
      <c r="E1293" s="1166">
        <f>'House Count'!D1293</f>
        <v/>
      </c>
      <c r="F1293" s="1166">
        <f>IF(G1293="RES-SFU","RESIDENTIAL",IF(G1293="RES-HOA","RESIDENTIAL",IF(G1293="RES-MDU","RESIDENTIAL",IF(G1293="COMM-SU","BUSINESS",IF(G1293="COM-MTU","BUSINESS",IF(G1293="ENT","BUSINESS",""))))))</f>
        <v/>
      </c>
      <c r="G1293" s="1166">
        <f>'House Count'!F1293</f>
        <v/>
      </c>
      <c r="H1293" s="1166">
        <f>'House Count'!H1293</f>
        <v/>
      </c>
    </row>
    <row r="1294">
      <c r="A1294" s="1165">
        <f>'House Count'!A1294</f>
        <v/>
      </c>
      <c r="B1294" s="1166">
        <f>'House Count'!E1294</f>
        <v/>
      </c>
      <c r="C1294" s="1166">
        <f>'House Count'!B1294</f>
        <v/>
      </c>
      <c r="D1294" s="1166">
        <f>'House Count'!C1294</f>
        <v/>
      </c>
      <c r="E1294" s="1166">
        <f>'House Count'!D1294</f>
        <v/>
      </c>
      <c r="F1294" s="1166">
        <f>IF(G1294="RES-SFU","RESIDENTIAL",IF(G1294="RES-HOA","RESIDENTIAL",IF(G1294="RES-MDU","RESIDENTIAL",IF(G1294="COMM-SU","BUSINESS",IF(G1294="COM-MTU","BUSINESS",IF(G1294="ENT","BUSINESS",""))))))</f>
        <v/>
      </c>
      <c r="G1294" s="1166">
        <f>'House Count'!F1294</f>
        <v/>
      </c>
      <c r="H1294" s="1166">
        <f>'House Count'!H1294</f>
        <v/>
      </c>
    </row>
    <row r="1295">
      <c r="A1295" s="1165">
        <f>'House Count'!A1295</f>
        <v/>
      </c>
      <c r="B1295" s="1166">
        <f>'House Count'!E1295</f>
        <v/>
      </c>
      <c r="C1295" s="1166">
        <f>'House Count'!B1295</f>
        <v/>
      </c>
      <c r="D1295" s="1166">
        <f>'House Count'!C1295</f>
        <v/>
      </c>
      <c r="E1295" s="1166">
        <f>'House Count'!D1295</f>
        <v/>
      </c>
      <c r="F1295" s="1166">
        <f>IF(G1295="RES-SFU","RESIDENTIAL",IF(G1295="RES-HOA","RESIDENTIAL",IF(G1295="RES-MDU","RESIDENTIAL",IF(G1295="COMM-SU","BUSINESS",IF(G1295="COM-MTU","BUSINESS",IF(G1295="ENT","BUSINESS",""))))))</f>
        <v/>
      </c>
      <c r="G1295" s="1166">
        <f>'House Count'!F1295</f>
        <v/>
      </c>
      <c r="H1295" s="1166">
        <f>'House Count'!H1295</f>
        <v/>
      </c>
    </row>
    <row r="1296">
      <c r="A1296" s="1165">
        <f>'House Count'!A1296</f>
        <v/>
      </c>
      <c r="B1296" s="1166">
        <f>'House Count'!E1296</f>
        <v/>
      </c>
      <c r="C1296" s="1166">
        <f>'House Count'!B1296</f>
        <v/>
      </c>
      <c r="D1296" s="1166">
        <f>'House Count'!C1296</f>
        <v/>
      </c>
      <c r="E1296" s="1166">
        <f>'House Count'!D1296</f>
        <v/>
      </c>
      <c r="F1296" s="1166">
        <f>IF(G1296="RES-SFU","RESIDENTIAL",IF(G1296="RES-HOA","RESIDENTIAL",IF(G1296="RES-MDU","RESIDENTIAL",IF(G1296="COMM-SU","BUSINESS",IF(G1296="COM-MTU","BUSINESS",IF(G1296="ENT","BUSINESS",""))))))</f>
        <v/>
      </c>
      <c r="G1296" s="1166">
        <f>'House Count'!F1296</f>
        <v/>
      </c>
      <c r="H1296" s="1166">
        <f>'House Count'!H1296</f>
        <v/>
      </c>
    </row>
    <row r="1297">
      <c r="A1297" s="1165">
        <f>'House Count'!A1297</f>
        <v/>
      </c>
      <c r="B1297" s="1166">
        <f>'House Count'!E1297</f>
        <v/>
      </c>
      <c r="C1297" s="1166">
        <f>'House Count'!B1297</f>
        <v/>
      </c>
      <c r="D1297" s="1166">
        <f>'House Count'!C1297</f>
        <v/>
      </c>
      <c r="E1297" s="1166">
        <f>'House Count'!D1297</f>
        <v/>
      </c>
      <c r="F1297" s="1166">
        <f>IF(G1297="RES-SFU","RESIDENTIAL",IF(G1297="RES-HOA","RESIDENTIAL",IF(G1297="RES-MDU","RESIDENTIAL",IF(G1297="COMM-SU","BUSINESS",IF(G1297="COM-MTU","BUSINESS",IF(G1297="ENT","BUSINESS",""))))))</f>
        <v/>
      </c>
      <c r="G1297" s="1166">
        <f>'House Count'!F1297</f>
        <v/>
      </c>
      <c r="H1297" s="1166">
        <f>'House Count'!H1297</f>
        <v/>
      </c>
    </row>
    <row r="1298">
      <c r="A1298" s="1165">
        <f>'House Count'!A1298</f>
        <v/>
      </c>
      <c r="B1298" s="1166">
        <f>'House Count'!E1298</f>
        <v/>
      </c>
      <c r="C1298" s="1166">
        <f>'House Count'!B1298</f>
        <v/>
      </c>
      <c r="D1298" s="1166">
        <f>'House Count'!C1298</f>
        <v/>
      </c>
      <c r="E1298" s="1166">
        <f>'House Count'!D1298</f>
        <v/>
      </c>
      <c r="F1298" s="1166">
        <f>IF(G1298="RES-SFU","RESIDENTIAL",IF(G1298="RES-HOA","RESIDENTIAL",IF(G1298="RES-MDU","RESIDENTIAL",IF(G1298="COMM-SU","BUSINESS",IF(G1298="COM-MTU","BUSINESS",IF(G1298="ENT","BUSINESS",""))))))</f>
        <v/>
      </c>
      <c r="G1298" s="1166">
        <f>'House Count'!F1298</f>
        <v/>
      </c>
      <c r="H1298" s="1166">
        <f>'House Count'!H1298</f>
        <v/>
      </c>
    </row>
    <row r="1299">
      <c r="A1299" s="1165">
        <f>'House Count'!A1299</f>
        <v/>
      </c>
      <c r="B1299" s="1166">
        <f>'House Count'!E1299</f>
        <v/>
      </c>
      <c r="C1299" s="1166">
        <f>'House Count'!B1299</f>
        <v/>
      </c>
      <c r="D1299" s="1166">
        <f>'House Count'!C1299</f>
        <v/>
      </c>
      <c r="E1299" s="1166">
        <f>'House Count'!D1299</f>
        <v/>
      </c>
      <c r="F1299" s="1166">
        <f>IF(G1299="RES-SFU","RESIDENTIAL",IF(G1299="RES-HOA","RESIDENTIAL",IF(G1299="RES-MDU","RESIDENTIAL",IF(G1299="COMM-SU","BUSINESS",IF(G1299="COM-MTU","BUSINESS",IF(G1299="ENT","BUSINESS",""))))))</f>
        <v/>
      </c>
      <c r="G1299" s="1166">
        <f>'House Count'!F1299</f>
        <v/>
      </c>
      <c r="H1299" s="1166">
        <f>'House Count'!H1299</f>
        <v/>
      </c>
    </row>
    <row r="1300">
      <c r="A1300" s="1165">
        <f>'House Count'!A1300</f>
        <v/>
      </c>
      <c r="B1300" s="1166">
        <f>'House Count'!E1300</f>
        <v/>
      </c>
      <c r="C1300" s="1166">
        <f>'House Count'!B1300</f>
        <v/>
      </c>
      <c r="D1300" s="1166">
        <f>'House Count'!C1300</f>
        <v/>
      </c>
      <c r="E1300" s="1166">
        <f>'House Count'!D1300</f>
        <v/>
      </c>
      <c r="F1300" s="1166">
        <f>IF(G1300="RES-SFU","RESIDENTIAL",IF(G1300="RES-HOA","RESIDENTIAL",IF(G1300="RES-MDU","RESIDENTIAL",IF(G1300="COMM-SU","BUSINESS",IF(G1300="COM-MTU","BUSINESS",IF(G1300="ENT","BUSINESS",""))))))</f>
        <v/>
      </c>
      <c r="G1300" s="1166">
        <f>'House Count'!F1300</f>
        <v/>
      </c>
      <c r="H1300" s="1166">
        <f>'House Count'!H1300</f>
        <v/>
      </c>
    </row>
    <row r="1301">
      <c r="A1301" s="1165">
        <f>'House Count'!A1301</f>
        <v/>
      </c>
      <c r="B1301" s="1166">
        <f>'House Count'!E1301</f>
        <v/>
      </c>
      <c r="C1301" s="1166">
        <f>'House Count'!B1301</f>
        <v/>
      </c>
      <c r="D1301" s="1166">
        <f>'House Count'!C1301</f>
        <v/>
      </c>
      <c r="E1301" s="1166">
        <f>'House Count'!D1301</f>
        <v/>
      </c>
      <c r="F1301" s="1166">
        <f>IF(G1301="RES-SFU","RESIDENTIAL",IF(G1301="RES-HOA","RESIDENTIAL",IF(G1301="RES-MDU","RESIDENTIAL",IF(G1301="COMM-SU","BUSINESS",IF(G1301="COM-MTU","BUSINESS",IF(G1301="ENT","BUSINESS",""))))))</f>
        <v/>
      </c>
      <c r="G1301" s="1166">
        <f>'House Count'!F1301</f>
        <v/>
      </c>
      <c r="H1301" s="1166">
        <f>'House Count'!H1301</f>
        <v/>
      </c>
    </row>
    <row r="1302">
      <c r="A1302" s="1165">
        <f>'House Count'!A1302</f>
        <v/>
      </c>
      <c r="B1302" s="1166">
        <f>'House Count'!E1302</f>
        <v/>
      </c>
      <c r="C1302" s="1166">
        <f>'House Count'!B1302</f>
        <v/>
      </c>
      <c r="D1302" s="1166">
        <f>'House Count'!C1302</f>
        <v/>
      </c>
      <c r="E1302" s="1166">
        <f>'House Count'!D1302</f>
        <v/>
      </c>
      <c r="F1302" s="1166">
        <f>IF(G1302="RES-SFU","RESIDENTIAL",IF(G1302="RES-HOA","RESIDENTIAL",IF(G1302="RES-MDU","RESIDENTIAL",IF(G1302="COMM-SU","BUSINESS",IF(G1302="COM-MTU","BUSINESS",IF(G1302="ENT","BUSINESS",""))))))</f>
        <v/>
      </c>
      <c r="G1302" s="1166">
        <f>'House Count'!F1302</f>
        <v/>
      </c>
      <c r="H1302" s="1166">
        <f>'House Count'!H1302</f>
        <v/>
      </c>
    </row>
    <row r="1303">
      <c r="A1303" s="1165">
        <f>'House Count'!A1303</f>
        <v/>
      </c>
      <c r="B1303" s="1166">
        <f>'House Count'!E1303</f>
        <v/>
      </c>
      <c r="C1303" s="1166">
        <f>'House Count'!B1303</f>
        <v/>
      </c>
      <c r="D1303" s="1166">
        <f>'House Count'!C1303</f>
        <v/>
      </c>
      <c r="E1303" s="1166">
        <f>'House Count'!D1303</f>
        <v/>
      </c>
      <c r="F1303" s="1166">
        <f>IF(G1303="RES-SFU","RESIDENTIAL",IF(G1303="RES-HOA","RESIDENTIAL",IF(G1303="RES-MDU","RESIDENTIAL",IF(G1303="COMM-SU","BUSINESS",IF(G1303="COM-MTU","BUSINESS",IF(G1303="ENT","BUSINESS",""))))))</f>
        <v/>
      </c>
      <c r="G1303" s="1166">
        <f>'House Count'!F1303</f>
        <v/>
      </c>
      <c r="H1303" s="1166">
        <f>'House Count'!H1303</f>
        <v/>
      </c>
    </row>
    <row r="1304">
      <c r="A1304" s="1165">
        <f>'House Count'!A1304</f>
        <v/>
      </c>
      <c r="B1304" s="1166">
        <f>'House Count'!E1304</f>
        <v/>
      </c>
      <c r="C1304" s="1166">
        <f>'House Count'!B1304</f>
        <v/>
      </c>
      <c r="D1304" s="1166">
        <f>'House Count'!C1304</f>
        <v/>
      </c>
      <c r="E1304" s="1166">
        <f>'House Count'!D1304</f>
        <v/>
      </c>
      <c r="F1304" s="1166">
        <f>IF(G1304="RES-SFU","RESIDENTIAL",IF(G1304="RES-HOA","RESIDENTIAL",IF(G1304="RES-MDU","RESIDENTIAL",IF(G1304="COMM-SU","BUSINESS",IF(G1304="COM-MTU","BUSINESS",IF(G1304="ENT","BUSINESS",""))))))</f>
        <v/>
      </c>
      <c r="G1304" s="1166">
        <f>'House Count'!F1304</f>
        <v/>
      </c>
      <c r="H1304" s="1166">
        <f>'House Count'!H1304</f>
        <v/>
      </c>
    </row>
    <row r="1305">
      <c r="A1305" s="1165">
        <f>'House Count'!A1305</f>
        <v/>
      </c>
      <c r="B1305" s="1166">
        <f>'House Count'!E1305</f>
        <v/>
      </c>
      <c r="C1305" s="1166">
        <f>'House Count'!B1305</f>
        <v/>
      </c>
      <c r="D1305" s="1166">
        <f>'House Count'!C1305</f>
        <v/>
      </c>
      <c r="E1305" s="1166">
        <f>'House Count'!D1305</f>
        <v/>
      </c>
      <c r="F1305" s="1166">
        <f>IF(G1305="RES-SFU","RESIDENTIAL",IF(G1305="RES-HOA","RESIDENTIAL",IF(G1305="RES-MDU","RESIDENTIAL",IF(G1305="COMM-SU","BUSINESS",IF(G1305="COM-MTU","BUSINESS",IF(G1305="ENT","BUSINESS",""))))))</f>
        <v/>
      </c>
      <c r="G1305" s="1166">
        <f>'House Count'!F1305</f>
        <v/>
      </c>
      <c r="H1305" s="1166">
        <f>'House Count'!H1305</f>
        <v/>
      </c>
    </row>
    <row r="1306">
      <c r="A1306" s="1165">
        <f>'House Count'!A1306</f>
        <v/>
      </c>
      <c r="B1306" s="1166">
        <f>'House Count'!E1306</f>
        <v/>
      </c>
      <c r="C1306" s="1166">
        <f>'House Count'!B1306</f>
        <v/>
      </c>
      <c r="D1306" s="1166">
        <f>'House Count'!C1306</f>
        <v/>
      </c>
      <c r="E1306" s="1166">
        <f>'House Count'!D1306</f>
        <v/>
      </c>
      <c r="F1306" s="1166">
        <f>IF(G1306="RES-SFU","RESIDENTIAL",IF(G1306="RES-HOA","RESIDENTIAL",IF(G1306="RES-MDU","RESIDENTIAL",IF(G1306="COMM-SU","BUSINESS",IF(G1306="COM-MTU","BUSINESS",IF(G1306="ENT","BUSINESS",""))))))</f>
        <v/>
      </c>
      <c r="G1306" s="1166">
        <f>'House Count'!F1306</f>
        <v/>
      </c>
      <c r="H1306" s="1166">
        <f>'House Count'!H1306</f>
        <v/>
      </c>
    </row>
    <row r="1307">
      <c r="A1307" s="1165">
        <f>'House Count'!A1307</f>
        <v/>
      </c>
      <c r="B1307" s="1166">
        <f>'House Count'!E1307</f>
        <v/>
      </c>
      <c r="C1307" s="1166">
        <f>'House Count'!B1307</f>
        <v/>
      </c>
      <c r="D1307" s="1166">
        <f>'House Count'!C1307</f>
        <v/>
      </c>
      <c r="E1307" s="1166">
        <f>'House Count'!D1307</f>
        <v/>
      </c>
      <c r="F1307" s="1166">
        <f>IF(G1307="RES-SFU","RESIDENTIAL",IF(G1307="RES-HOA","RESIDENTIAL",IF(G1307="RES-MDU","RESIDENTIAL",IF(G1307="COMM-SU","BUSINESS",IF(G1307="COM-MTU","BUSINESS",IF(G1307="ENT","BUSINESS",""))))))</f>
        <v/>
      </c>
      <c r="G1307" s="1166">
        <f>'House Count'!F1307</f>
        <v/>
      </c>
      <c r="H1307" s="1166">
        <f>'House Count'!H1307</f>
        <v/>
      </c>
    </row>
    <row r="1308">
      <c r="A1308" s="1165">
        <f>'House Count'!A1308</f>
        <v/>
      </c>
      <c r="B1308" s="1166">
        <f>'House Count'!E1308</f>
        <v/>
      </c>
      <c r="C1308" s="1166">
        <f>'House Count'!B1308</f>
        <v/>
      </c>
      <c r="D1308" s="1166">
        <f>'House Count'!C1308</f>
        <v/>
      </c>
      <c r="E1308" s="1166">
        <f>'House Count'!D1308</f>
        <v/>
      </c>
      <c r="F1308" s="1166">
        <f>IF(G1308="RES-SFU","RESIDENTIAL",IF(G1308="RES-HOA","RESIDENTIAL",IF(G1308="RES-MDU","RESIDENTIAL",IF(G1308="COMM-SU","BUSINESS",IF(G1308="COM-MTU","BUSINESS",IF(G1308="ENT","BUSINESS",""))))))</f>
        <v/>
      </c>
      <c r="G1308" s="1166">
        <f>'House Count'!F1308</f>
        <v/>
      </c>
      <c r="H1308" s="1166">
        <f>'House Count'!H1308</f>
        <v/>
      </c>
    </row>
    <row r="1309">
      <c r="A1309" s="1165">
        <f>'House Count'!A1309</f>
        <v/>
      </c>
      <c r="B1309" s="1166">
        <f>'House Count'!E1309</f>
        <v/>
      </c>
      <c r="C1309" s="1166">
        <f>'House Count'!B1309</f>
        <v/>
      </c>
      <c r="D1309" s="1166">
        <f>'House Count'!C1309</f>
        <v/>
      </c>
      <c r="E1309" s="1166">
        <f>'House Count'!D1309</f>
        <v/>
      </c>
      <c r="F1309" s="1166">
        <f>IF(G1309="RES-SFU","RESIDENTIAL",IF(G1309="RES-HOA","RESIDENTIAL",IF(G1309="RES-MDU","RESIDENTIAL",IF(G1309="COMM-SU","BUSINESS",IF(G1309="COM-MTU","BUSINESS",IF(G1309="ENT","BUSINESS",""))))))</f>
        <v/>
      </c>
      <c r="G1309" s="1166">
        <f>'House Count'!F1309</f>
        <v/>
      </c>
      <c r="H1309" s="1166">
        <f>'House Count'!H1309</f>
        <v/>
      </c>
    </row>
    <row r="1310">
      <c r="A1310" s="1165">
        <f>'House Count'!A1310</f>
        <v/>
      </c>
      <c r="B1310" s="1166">
        <f>'House Count'!E1310</f>
        <v/>
      </c>
      <c r="C1310" s="1166">
        <f>'House Count'!B1310</f>
        <v/>
      </c>
      <c r="D1310" s="1166">
        <f>'House Count'!C1310</f>
        <v/>
      </c>
      <c r="E1310" s="1166">
        <f>'House Count'!D1310</f>
        <v/>
      </c>
      <c r="F1310" s="1166">
        <f>IF(G1310="RES-SFU","RESIDENTIAL",IF(G1310="RES-HOA","RESIDENTIAL",IF(G1310="RES-MDU","RESIDENTIAL",IF(G1310="COMM-SU","BUSINESS",IF(G1310="COM-MTU","BUSINESS",IF(G1310="ENT","BUSINESS",""))))))</f>
        <v/>
      </c>
      <c r="G1310" s="1166">
        <f>'House Count'!F1310</f>
        <v/>
      </c>
      <c r="H1310" s="1166">
        <f>'House Count'!H1310</f>
        <v/>
      </c>
    </row>
    <row r="1311">
      <c r="A1311" s="1165">
        <f>'House Count'!A1311</f>
        <v/>
      </c>
      <c r="B1311" s="1166">
        <f>'House Count'!E1311</f>
        <v/>
      </c>
      <c r="C1311" s="1166">
        <f>'House Count'!B1311</f>
        <v/>
      </c>
      <c r="D1311" s="1166">
        <f>'House Count'!C1311</f>
        <v/>
      </c>
      <c r="E1311" s="1166">
        <f>'House Count'!D1311</f>
        <v/>
      </c>
      <c r="F1311" s="1166">
        <f>IF(G1311="RES-SFU","RESIDENTIAL",IF(G1311="RES-HOA","RESIDENTIAL",IF(G1311="RES-MDU","RESIDENTIAL",IF(G1311="COMM-SU","BUSINESS",IF(G1311="COM-MTU","BUSINESS",IF(G1311="ENT","BUSINESS",""))))))</f>
        <v/>
      </c>
      <c r="G1311" s="1166">
        <f>'House Count'!F1311</f>
        <v/>
      </c>
      <c r="H1311" s="1166">
        <f>'House Count'!H1311</f>
        <v/>
      </c>
    </row>
    <row r="1312">
      <c r="A1312" s="1165">
        <f>'House Count'!A1312</f>
        <v/>
      </c>
      <c r="B1312" s="1166">
        <f>'House Count'!E1312</f>
        <v/>
      </c>
      <c r="C1312" s="1166">
        <f>'House Count'!B1312</f>
        <v/>
      </c>
      <c r="D1312" s="1166">
        <f>'House Count'!C1312</f>
        <v/>
      </c>
      <c r="E1312" s="1166">
        <f>'House Count'!D1312</f>
        <v/>
      </c>
      <c r="F1312" s="1166">
        <f>IF(G1312="RES-SFU","RESIDENTIAL",IF(G1312="RES-HOA","RESIDENTIAL",IF(G1312="RES-MDU","RESIDENTIAL",IF(G1312="COMM-SU","BUSINESS",IF(G1312="COM-MTU","BUSINESS",IF(G1312="ENT","BUSINESS",""))))))</f>
        <v/>
      </c>
      <c r="G1312" s="1166">
        <f>'House Count'!F1312</f>
        <v/>
      </c>
      <c r="H1312" s="1166">
        <f>'House Count'!H1312</f>
        <v/>
      </c>
    </row>
    <row r="1313">
      <c r="A1313" s="1165">
        <f>'House Count'!A1313</f>
        <v/>
      </c>
      <c r="B1313" s="1166">
        <f>'House Count'!E1313</f>
        <v/>
      </c>
      <c r="C1313" s="1166">
        <f>'House Count'!B1313</f>
        <v/>
      </c>
      <c r="D1313" s="1166">
        <f>'House Count'!C1313</f>
        <v/>
      </c>
      <c r="E1313" s="1166">
        <f>'House Count'!D1313</f>
        <v/>
      </c>
      <c r="F1313" s="1166">
        <f>IF(G1313="RES-SFU","RESIDENTIAL",IF(G1313="RES-HOA","RESIDENTIAL",IF(G1313="RES-MDU","RESIDENTIAL",IF(G1313="COMM-SU","BUSINESS",IF(G1313="COM-MTU","BUSINESS",IF(G1313="ENT","BUSINESS",""))))))</f>
        <v/>
      </c>
      <c r="G1313" s="1166">
        <f>'House Count'!F1313</f>
        <v/>
      </c>
      <c r="H1313" s="1166">
        <f>'House Count'!H1313</f>
        <v/>
      </c>
    </row>
    <row r="1314">
      <c r="A1314" s="1165">
        <f>'House Count'!A1314</f>
        <v/>
      </c>
      <c r="B1314" s="1166">
        <f>'House Count'!E1314</f>
        <v/>
      </c>
      <c r="C1314" s="1166">
        <f>'House Count'!B1314</f>
        <v/>
      </c>
      <c r="D1314" s="1166">
        <f>'House Count'!C1314</f>
        <v/>
      </c>
      <c r="E1314" s="1166">
        <f>'House Count'!D1314</f>
        <v/>
      </c>
      <c r="F1314" s="1166">
        <f>IF(G1314="RES-SFU","RESIDENTIAL",IF(G1314="RES-HOA","RESIDENTIAL",IF(G1314="RES-MDU","RESIDENTIAL",IF(G1314="COMM-SU","BUSINESS",IF(G1314="COM-MTU","BUSINESS",IF(G1314="ENT","BUSINESS",""))))))</f>
        <v/>
      </c>
      <c r="G1314" s="1166">
        <f>'House Count'!F1314</f>
        <v/>
      </c>
      <c r="H1314" s="1166">
        <f>'House Count'!H1314</f>
        <v/>
      </c>
    </row>
    <row r="1315">
      <c r="A1315" s="1165">
        <f>'House Count'!A1315</f>
        <v/>
      </c>
      <c r="B1315" s="1166">
        <f>'House Count'!E1315</f>
        <v/>
      </c>
      <c r="C1315" s="1166">
        <f>'House Count'!B1315</f>
        <v/>
      </c>
      <c r="D1315" s="1166">
        <f>'House Count'!C1315</f>
        <v/>
      </c>
      <c r="E1315" s="1166">
        <f>'House Count'!D1315</f>
        <v/>
      </c>
      <c r="F1315" s="1166">
        <f>IF(G1315="RES-SFU","RESIDENTIAL",IF(G1315="RES-HOA","RESIDENTIAL",IF(G1315="RES-MDU","RESIDENTIAL",IF(G1315="COMM-SU","BUSINESS",IF(G1315="COM-MTU","BUSINESS",IF(G1315="ENT","BUSINESS",""))))))</f>
        <v/>
      </c>
      <c r="G1315" s="1166">
        <f>'House Count'!F1315</f>
        <v/>
      </c>
      <c r="H1315" s="1166">
        <f>'House Count'!H1315</f>
        <v/>
      </c>
    </row>
    <row r="1316">
      <c r="A1316" s="1165">
        <f>'House Count'!A1316</f>
        <v/>
      </c>
      <c r="B1316" s="1166">
        <f>'House Count'!E1316</f>
        <v/>
      </c>
      <c r="C1316" s="1166">
        <f>'House Count'!B1316</f>
        <v/>
      </c>
      <c r="D1316" s="1166">
        <f>'House Count'!C1316</f>
        <v/>
      </c>
      <c r="E1316" s="1166">
        <f>'House Count'!D1316</f>
        <v/>
      </c>
      <c r="F1316" s="1166">
        <f>IF(G1316="RES-SFU","RESIDENTIAL",IF(G1316="RES-HOA","RESIDENTIAL",IF(G1316="RES-MDU","RESIDENTIAL",IF(G1316="COMM-SU","BUSINESS",IF(G1316="COM-MTU","BUSINESS",IF(G1316="ENT","BUSINESS",""))))))</f>
        <v/>
      </c>
      <c r="G1316" s="1166">
        <f>'House Count'!F1316</f>
        <v/>
      </c>
      <c r="H1316" s="1166">
        <f>'House Count'!H1316</f>
        <v/>
      </c>
    </row>
    <row r="1317">
      <c r="A1317" s="1165">
        <f>'House Count'!A1317</f>
        <v/>
      </c>
      <c r="B1317" s="1166">
        <f>'House Count'!E1317</f>
        <v/>
      </c>
      <c r="C1317" s="1166">
        <f>'House Count'!B1317</f>
        <v/>
      </c>
      <c r="D1317" s="1166">
        <f>'House Count'!C1317</f>
        <v/>
      </c>
      <c r="E1317" s="1166">
        <f>'House Count'!D1317</f>
        <v/>
      </c>
      <c r="F1317" s="1166">
        <f>IF(G1317="RES-SFU","RESIDENTIAL",IF(G1317="RES-HOA","RESIDENTIAL",IF(G1317="RES-MDU","RESIDENTIAL",IF(G1317="COMM-SU","BUSINESS",IF(G1317="COM-MTU","BUSINESS",IF(G1317="ENT","BUSINESS",""))))))</f>
        <v/>
      </c>
      <c r="G1317" s="1166">
        <f>'House Count'!F1317</f>
        <v/>
      </c>
      <c r="H1317" s="1166">
        <f>'House Count'!H1317</f>
        <v/>
      </c>
    </row>
    <row r="1318">
      <c r="A1318" s="1165">
        <f>'House Count'!A1318</f>
        <v/>
      </c>
      <c r="B1318" s="1166">
        <f>'House Count'!E1318</f>
        <v/>
      </c>
      <c r="C1318" s="1166">
        <f>'House Count'!B1318</f>
        <v/>
      </c>
      <c r="D1318" s="1166">
        <f>'House Count'!C1318</f>
        <v/>
      </c>
      <c r="E1318" s="1166">
        <f>'House Count'!D1318</f>
        <v/>
      </c>
      <c r="F1318" s="1166">
        <f>IF(G1318="RES-SFU","RESIDENTIAL",IF(G1318="RES-HOA","RESIDENTIAL",IF(G1318="RES-MDU","RESIDENTIAL",IF(G1318="COMM-SU","BUSINESS",IF(G1318="COM-MTU","BUSINESS",IF(G1318="ENT","BUSINESS",""))))))</f>
        <v/>
      </c>
      <c r="G1318" s="1166">
        <f>'House Count'!F1318</f>
        <v/>
      </c>
      <c r="H1318" s="1166">
        <f>'House Count'!H1318</f>
        <v/>
      </c>
    </row>
    <row r="1319">
      <c r="A1319" s="1165">
        <f>'House Count'!A1319</f>
        <v/>
      </c>
      <c r="B1319" s="1166">
        <f>'House Count'!E1319</f>
        <v/>
      </c>
      <c r="C1319" s="1166">
        <f>'House Count'!B1319</f>
        <v/>
      </c>
      <c r="D1319" s="1166">
        <f>'House Count'!C1319</f>
        <v/>
      </c>
      <c r="E1319" s="1166">
        <f>'House Count'!D1319</f>
        <v/>
      </c>
      <c r="F1319" s="1166">
        <f>IF(G1319="RES-SFU","RESIDENTIAL",IF(G1319="RES-HOA","RESIDENTIAL",IF(G1319="RES-MDU","RESIDENTIAL",IF(G1319="COMM-SU","BUSINESS",IF(G1319="COM-MTU","BUSINESS",IF(G1319="ENT","BUSINESS",""))))))</f>
        <v/>
      </c>
      <c r="G1319" s="1166">
        <f>'House Count'!F1319</f>
        <v/>
      </c>
      <c r="H1319" s="1166">
        <f>'House Count'!H1319</f>
        <v/>
      </c>
    </row>
    <row r="1320">
      <c r="A1320" s="1165">
        <f>'House Count'!A1320</f>
        <v/>
      </c>
      <c r="B1320" s="1166">
        <f>'House Count'!E1320</f>
        <v/>
      </c>
      <c r="C1320" s="1166">
        <f>'House Count'!B1320</f>
        <v/>
      </c>
      <c r="D1320" s="1166">
        <f>'House Count'!C1320</f>
        <v/>
      </c>
      <c r="E1320" s="1166">
        <f>'House Count'!D1320</f>
        <v/>
      </c>
      <c r="F1320" s="1166">
        <f>IF(G1320="RES-SFU","RESIDENTIAL",IF(G1320="RES-HOA","RESIDENTIAL",IF(G1320="RES-MDU","RESIDENTIAL",IF(G1320="COMM-SU","BUSINESS",IF(G1320="COM-MTU","BUSINESS",IF(G1320="ENT","BUSINESS",""))))))</f>
        <v/>
      </c>
      <c r="G1320" s="1166">
        <f>'House Count'!F1320</f>
        <v/>
      </c>
      <c r="H1320" s="1166">
        <f>'House Count'!H1320</f>
        <v/>
      </c>
    </row>
    <row r="1321">
      <c r="A1321" s="1165">
        <f>'House Count'!A1321</f>
        <v/>
      </c>
      <c r="B1321" s="1166">
        <f>'House Count'!E1321</f>
        <v/>
      </c>
      <c r="C1321" s="1166">
        <f>'House Count'!B1321</f>
        <v/>
      </c>
      <c r="D1321" s="1166">
        <f>'House Count'!C1321</f>
        <v/>
      </c>
      <c r="E1321" s="1166">
        <f>'House Count'!D1321</f>
        <v/>
      </c>
      <c r="F1321" s="1166">
        <f>IF(G1321="RES-SFU","RESIDENTIAL",IF(G1321="RES-HOA","RESIDENTIAL",IF(G1321="RES-MDU","RESIDENTIAL",IF(G1321="COMM-SU","BUSINESS",IF(G1321="COM-MTU","BUSINESS",IF(G1321="ENT","BUSINESS",""))))))</f>
        <v/>
      </c>
      <c r="G1321" s="1166">
        <f>'House Count'!F1321</f>
        <v/>
      </c>
      <c r="H1321" s="1166">
        <f>'House Count'!H1321</f>
        <v/>
      </c>
    </row>
    <row r="1322">
      <c r="A1322" s="1165">
        <f>'House Count'!A1322</f>
        <v/>
      </c>
      <c r="B1322" s="1166">
        <f>'House Count'!E1322</f>
        <v/>
      </c>
      <c r="C1322" s="1166">
        <f>'House Count'!B1322</f>
        <v/>
      </c>
      <c r="D1322" s="1166">
        <f>'House Count'!C1322</f>
        <v/>
      </c>
      <c r="E1322" s="1166">
        <f>'House Count'!D1322</f>
        <v/>
      </c>
      <c r="F1322" s="1166">
        <f>IF(G1322="RES-SFU","RESIDENTIAL",IF(G1322="RES-HOA","RESIDENTIAL",IF(G1322="RES-MDU","RESIDENTIAL",IF(G1322="COMM-SU","BUSINESS",IF(G1322="COM-MTU","BUSINESS",IF(G1322="ENT","BUSINESS",""))))))</f>
        <v/>
      </c>
      <c r="G1322" s="1166">
        <f>'House Count'!F1322</f>
        <v/>
      </c>
      <c r="H1322" s="1166">
        <f>'House Count'!H1322</f>
        <v/>
      </c>
    </row>
    <row r="1323">
      <c r="A1323" s="1165">
        <f>'House Count'!A1323</f>
        <v/>
      </c>
      <c r="B1323" s="1166">
        <f>'House Count'!E1323</f>
        <v/>
      </c>
      <c r="C1323" s="1166">
        <f>'House Count'!B1323</f>
        <v/>
      </c>
      <c r="D1323" s="1166">
        <f>'House Count'!C1323</f>
        <v/>
      </c>
      <c r="E1323" s="1166">
        <f>'House Count'!D1323</f>
        <v/>
      </c>
      <c r="F1323" s="1166">
        <f>IF(G1323="RES-SFU","RESIDENTIAL",IF(G1323="RES-HOA","RESIDENTIAL",IF(G1323="RES-MDU","RESIDENTIAL",IF(G1323="COMM-SU","BUSINESS",IF(G1323="COM-MTU","BUSINESS",IF(G1323="ENT","BUSINESS",""))))))</f>
        <v/>
      </c>
      <c r="G1323" s="1166">
        <f>'House Count'!F1323</f>
        <v/>
      </c>
      <c r="H1323" s="1166">
        <f>'House Count'!H1323</f>
        <v/>
      </c>
    </row>
    <row r="1324">
      <c r="A1324" s="1165">
        <f>'House Count'!A1324</f>
        <v/>
      </c>
      <c r="B1324" s="1166">
        <f>'House Count'!E1324</f>
        <v/>
      </c>
      <c r="C1324" s="1166">
        <f>'House Count'!B1324</f>
        <v/>
      </c>
      <c r="D1324" s="1166">
        <f>'House Count'!C1324</f>
        <v/>
      </c>
      <c r="E1324" s="1166">
        <f>'House Count'!D1324</f>
        <v/>
      </c>
      <c r="F1324" s="1166">
        <f>IF(G1324="RES-SFU","RESIDENTIAL",IF(G1324="RES-HOA","RESIDENTIAL",IF(G1324="RES-MDU","RESIDENTIAL",IF(G1324="COMM-SU","BUSINESS",IF(G1324="COM-MTU","BUSINESS",IF(G1324="ENT","BUSINESS",""))))))</f>
        <v/>
      </c>
      <c r="G1324" s="1166">
        <f>'House Count'!F1324</f>
        <v/>
      </c>
      <c r="H1324" s="1166">
        <f>'House Count'!H1324</f>
        <v/>
      </c>
    </row>
    <row r="1325">
      <c r="A1325" s="1165">
        <f>'House Count'!A1325</f>
        <v/>
      </c>
      <c r="B1325" s="1166">
        <f>'House Count'!E1325</f>
        <v/>
      </c>
      <c r="C1325" s="1166">
        <f>'House Count'!B1325</f>
        <v/>
      </c>
      <c r="D1325" s="1166">
        <f>'House Count'!C1325</f>
        <v/>
      </c>
      <c r="E1325" s="1166">
        <f>'House Count'!D1325</f>
        <v/>
      </c>
      <c r="F1325" s="1166">
        <f>IF(G1325="RES-SFU","RESIDENTIAL",IF(G1325="RES-HOA","RESIDENTIAL",IF(G1325="RES-MDU","RESIDENTIAL",IF(G1325="COMM-SU","BUSINESS",IF(G1325="COM-MTU","BUSINESS",IF(G1325="ENT","BUSINESS",""))))))</f>
        <v/>
      </c>
      <c r="G1325" s="1166">
        <f>'House Count'!F1325</f>
        <v/>
      </c>
      <c r="H1325" s="1166">
        <f>'House Count'!H1325</f>
        <v/>
      </c>
    </row>
    <row r="1326">
      <c r="A1326" s="1165">
        <f>'House Count'!A1326</f>
        <v/>
      </c>
      <c r="B1326" s="1166">
        <f>'House Count'!E1326</f>
        <v/>
      </c>
      <c r="C1326" s="1166">
        <f>'House Count'!B1326</f>
        <v/>
      </c>
      <c r="D1326" s="1166">
        <f>'House Count'!C1326</f>
        <v/>
      </c>
      <c r="E1326" s="1166">
        <f>'House Count'!D1326</f>
        <v/>
      </c>
      <c r="F1326" s="1166">
        <f>IF(G1326="RES-SFU","RESIDENTIAL",IF(G1326="RES-HOA","RESIDENTIAL",IF(G1326="RES-MDU","RESIDENTIAL",IF(G1326="COMM-SU","BUSINESS",IF(G1326="COM-MTU","BUSINESS",IF(G1326="ENT","BUSINESS",""))))))</f>
        <v/>
      </c>
      <c r="G1326" s="1166">
        <f>'House Count'!F1326</f>
        <v/>
      </c>
      <c r="H1326" s="1166">
        <f>'House Count'!H1326</f>
        <v/>
      </c>
    </row>
    <row r="1327">
      <c r="A1327" s="1165">
        <f>'House Count'!A1327</f>
        <v/>
      </c>
      <c r="B1327" s="1166">
        <f>'House Count'!E1327</f>
        <v/>
      </c>
      <c r="C1327" s="1166">
        <f>'House Count'!B1327</f>
        <v/>
      </c>
      <c r="D1327" s="1166">
        <f>'House Count'!C1327</f>
        <v/>
      </c>
      <c r="E1327" s="1166">
        <f>'House Count'!D1327</f>
        <v/>
      </c>
      <c r="F1327" s="1166">
        <f>IF(G1327="RES-SFU","RESIDENTIAL",IF(G1327="RES-HOA","RESIDENTIAL",IF(G1327="RES-MDU","RESIDENTIAL",IF(G1327="COMM-SU","BUSINESS",IF(G1327="COM-MTU","BUSINESS",IF(G1327="ENT","BUSINESS",""))))))</f>
        <v/>
      </c>
      <c r="G1327" s="1166">
        <f>'House Count'!F1327</f>
        <v/>
      </c>
      <c r="H1327" s="1166">
        <f>'House Count'!H1327</f>
        <v/>
      </c>
    </row>
    <row r="1328">
      <c r="A1328" s="1165">
        <f>'House Count'!A1328</f>
        <v/>
      </c>
      <c r="B1328" s="1166">
        <f>'House Count'!E1328</f>
        <v/>
      </c>
      <c r="C1328" s="1166">
        <f>'House Count'!B1328</f>
        <v/>
      </c>
      <c r="D1328" s="1166">
        <f>'House Count'!C1328</f>
        <v/>
      </c>
      <c r="E1328" s="1166">
        <f>'House Count'!D1328</f>
        <v/>
      </c>
      <c r="F1328" s="1166">
        <f>IF(G1328="RES-SFU","RESIDENTIAL",IF(G1328="RES-HOA","RESIDENTIAL",IF(G1328="RES-MDU","RESIDENTIAL",IF(G1328="COMM-SU","BUSINESS",IF(G1328="COM-MTU","BUSINESS",IF(G1328="ENT","BUSINESS",""))))))</f>
        <v/>
      </c>
      <c r="G1328" s="1166">
        <f>'House Count'!F1328</f>
        <v/>
      </c>
      <c r="H1328" s="1166">
        <f>'House Count'!H1328</f>
        <v/>
      </c>
    </row>
    <row r="1329">
      <c r="A1329" s="1165">
        <f>'House Count'!A1329</f>
        <v/>
      </c>
      <c r="B1329" s="1166">
        <f>'House Count'!E1329</f>
        <v/>
      </c>
      <c r="C1329" s="1166">
        <f>'House Count'!B1329</f>
        <v/>
      </c>
      <c r="D1329" s="1166">
        <f>'House Count'!C1329</f>
        <v/>
      </c>
      <c r="E1329" s="1166">
        <f>'House Count'!D1329</f>
        <v/>
      </c>
      <c r="F1329" s="1166">
        <f>IF(G1329="RES-SFU","RESIDENTIAL",IF(G1329="RES-HOA","RESIDENTIAL",IF(G1329="RES-MDU","RESIDENTIAL",IF(G1329="COMM-SU","BUSINESS",IF(G1329="COM-MTU","BUSINESS",IF(G1329="ENT","BUSINESS",""))))))</f>
        <v/>
      </c>
      <c r="G1329" s="1166">
        <f>'House Count'!F1329</f>
        <v/>
      </c>
      <c r="H1329" s="1166">
        <f>'House Count'!H1329</f>
        <v/>
      </c>
    </row>
    <row r="1330">
      <c r="A1330" s="1165">
        <f>'House Count'!A1330</f>
        <v/>
      </c>
      <c r="B1330" s="1166">
        <f>'House Count'!E1330</f>
        <v/>
      </c>
      <c r="C1330" s="1166">
        <f>'House Count'!B1330</f>
        <v/>
      </c>
      <c r="D1330" s="1166">
        <f>'House Count'!C1330</f>
        <v/>
      </c>
      <c r="E1330" s="1166">
        <f>'House Count'!D1330</f>
        <v/>
      </c>
      <c r="F1330" s="1166">
        <f>IF(G1330="RES-SFU","RESIDENTIAL",IF(G1330="RES-HOA","RESIDENTIAL",IF(G1330="RES-MDU","RESIDENTIAL",IF(G1330="COMM-SU","BUSINESS",IF(G1330="COM-MTU","BUSINESS",IF(G1330="ENT","BUSINESS",""))))))</f>
        <v/>
      </c>
      <c r="G1330" s="1166">
        <f>'House Count'!F1330</f>
        <v/>
      </c>
      <c r="H1330" s="1166">
        <f>'House Count'!H1330</f>
        <v/>
      </c>
    </row>
    <row r="1331">
      <c r="A1331" s="1165">
        <f>'House Count'!A1331</f>
        <v/>
      </c>
      <c r="B1331" s="1166">
        <f>'House Count'!E1331</f>
        <v/>
      </c>
      <c r="C1331" s="1166">
        <f>'House Count'!B1331</f>
        <v/>
      </c>
      <c r="D1331" s="1166">
        <f>'House Count'!C1331</f>
        <v/>
      </c>
      <c r="E1331" s="1166">
        <f>'House Count'!D1331</f>
        <v/>
      </c>
      <c r="F1331" s="1166">
        <f>IF(G1331="RES-SFU","RESIDENTIAL",IF(G1331="RES-HOA","RESIDENTIAL",IF(G1331="RES-MDU","RESIDENTIAL",IF(G1331="COMM-SU","BUSINESS",IF(G1331="COM-MTU","BUSINESS",IF(G1331="ENT","BUSINESS",""))))))</f>
        <v/>
      </c>
      <c r="G1331" s="1166">
        <f>'House Count'!F1331</f>
        <v/>
      </c>
      <c r="H1331" s="1166">
        <f>'House Count'!H1331</f>
        <v/>
      </c>
    </row>
    <row r="1332">
      <c r="A1332" s="1165">
        <f>'House Count'!A1332</f>
        <v/>
      </c>
      <c r="B1332" s="1166">
        <f>'House Count'!E1332</f>
        <v/>
      </c>
      <c r="C1332" s="1166">
        <f>'House Count'!B1332</f>
        <v/>
      </c>
      <c r="D1332" s="1166">
        <f>'House Count'!C1332</f>
        <v/>
      </c>
      <c r="E1332" s="1166">
        <f>'House Count'!D1332</f>
        <v/>
      </c>
      <c r="F1332" s="1166">
        <f>IF(G1332="RES-SFU","RESIDENTIAL",IF(G1332="RES-HOA","RESIDENTIAL",IF(G1332="RES-MDU","RESIDENTIAL",IF(G1332="COMM-SU","BUSINESS",IF(G1332="COM-MTU","BUSINESS",IF(G1332="ENT","BUSINESS",""))))))</f>
        <v/>
      </c>
      <c r="G1332" s="1166">
        <f>'House Count'!F1332</f>
        <v/>
      </c>
      <c r="H1332" s="1166">
        <f>'House Count'!H1332</f>
        <v/>
      </c>
    </row>
    <row r="1333">
      <c r="A1333" s="1165">
        <f>'House Count'!A1333</f>
        <v/>
      </c>
      <c r="B1333" s="1166">
        <f>'House Count'!E1333</f>
        <v/>
      </c>
      <c r="C1333" s="1166">
        <f>'House Count'!B1333</f>
        <v/>
      </c>
      <c r="D1333" s="1166">
        <f>'House Count'!C1333</f>
        <v/>
      </c>
      <c r="E1333" s="1166">
        <f>'House Count'!D1333</f>
        <v/>
      </c>
      <c r="F1333" s="1166">
        <f>IF(G1333="RES-SFU","RESIDENTIAL",IF(G1333="RES-HOA","RESIDENTIAL",IF(G1333="RES-MDU","RESIDENTIAL",IF(G1333="COMM-SU","BUSINESS",IF(G1333="COM-MTU","BUSINESS",IF(G1333="ENT","BUSINESS",""))))))</f>
        <v/>
      </c>
      <c r="G1333" s="1166">
        <f>'House Count'!F1333</f>
        <v/>
      </c>
      <c r="H1333" s="1166">
        <f>'House Count'!H1333</f>
        <v/>
      </c>
    </row>
    <row r="1334">
      <c r="A1334" s="1165">
        <f>'House Count'!A1334</f>
        <v/>
      </c>
      <c r="B1334" s="1166">
        <f>'House Count'!E1334</f>
        <v/>
      </c>
      <c r="C1334" s="1166">
        <f>'House Count'!B1334</f>
        <v/>
      </c>
      <c r="D1334" s="1166">
        <f>'House Count'!C1334</f>
        <v/>
      </c>
      <c r="E1334" s="1166">
        <f>'House Count'!D1334</f>
        <v/>
      </c>
      <c r="F1334" s="1166">
        <f>IF(G1334="RES-SFU","RESIDENTIAL",IF(G1334="RES-HOA","RESIDENTIAL",IF(G1334="RES-MDU","RESIDENTIAL",IF(G1334="COMM-SU","BUSINESS",IF(G1334="COM-MTU","BUSINESS",IF(G1334="ENT","BUSINESS",""))))))</f>
        <v/>
      </c>
      <c r="G1334" s="1166">
        <f>'House Count'!F1334</f>
        <v/>
      </c>
      <c r="H1334" s="1166">
        <f>'House Count'!H1334</f>
        <v/>
      </c>
    </row>
    <row r="1335">
      <c r="A1335" s="1165">
        <f>'House Count'!A1335</f>
        <v/>
      </c>
      <c r="B1335" s="1166">
        <f>'House Count'!E1335</f>
        <v/>
      </c>
      <c r="C1335" s="1166">
        <f>'House Count'!B1335</f>
        <v/>
      </c>
      <c r="D1335" s="1166">
        <f>'House Count'!C1335</f>
        <v/>
      </c>
      <c r="E1335" s="1166">
        <f>'House Count'!D1335</f>
        <v/>
      </c>
      <c r="F1335" s="1166">
        <f>IF(G1335="RES-SFU","RESIDENTIAL",IF(G1335="RES-HOA","RESIDENTIAL",IF(G1335="RES-MDU","RESIDENTIAL",IF(G1335="COMM-SU","BUSINESS",IF(G1335="COM-MTU","BUSINESS",IF(G1335="ENT","BUSINESS",""))))))</f>
        <v/>
      </c>
      <c r="G1335" s="1166">
        <f>'House Count'!F1335</f>
        <v/>
      </c>
      <c r="H1335" s="1166">
        <f>'House Count'!H1335</f>
        <v/>
      </c>
    </row>
    <row r="1336">
      <c r="A1336" s="1165">
        <f>'House Count'!A1336</f>
        <v/>
      </c>
      <c r="B1336" s="1166">
        <f>'House Count'!E1336</f>
        <v/>
      </c>
      <c r="C1336" s="1166">
        <f>'House Count'!B1336</f>
        <v/>
      </c>
      <c r="D1336" s="1166">
        <f>'House Count'!C1336</f>
        <v/>
      </c>
      <c r="E1336" s="1166">
        <f>'House Count'!D1336</f>
        <v/>
      </c>
      <c r="F1336" s="1166">
        <f>IF(G1336="RES-SFU","RESIDENTIAL",IF(G1336="RES-HOA","RESIDENTIAL",IF(G1336="RES-MDU","RESIDENTIAL",IF(G1336="COMM-SU","BUSINESS",IF(G1336="COM-MTU","BUSINESS",IF(G1336="ENT","BUSINESS",""))))))</f>
        <v/>
      </c>
      <c r="G1336" s="1166">
        <f>'House Count'!F1336</f>
        <v/>
      </c>
      <c r="H1336" s="1166">
        <f>'House Count'!H1336</f>
        <v/>
      </c>
    </row>
    <row r="1337">
      <c r="A1337" s="1165">
        <f>'House Count'!A1337</f>
        <v/>
      </c>
      <c r="B1337" s="1166">
        <f>'House Count'!E1337</f>
        <v/>
      </c>
      <c r="C1337" s="1166">
        <f>'House Count'!B1337</f>
        <v/>
      </c>
      <c r="D1337" s="1166">
        <f>'House Count'!C1337</f>
        <v/>
      </c>
      <c r="E1337" s="1166">
        <f>'House Count'!D1337</f>
        <v/>
      </c>
      <c r="F1337" s="1166">
        <f>IF(G1337="RES-SFU","RESIDENTIAL",IF(G1337="RES-HOA","RESIDENTIAL",IF(G1337="RES-MDU","RESIDENTIAL",IF(G1337="COMM-SU","BUSINESS",IF(G1337="COM-MTU","BUSINESS",IF(G1337="ENT","BUSINESS",""))))))</f>
        <v/>
      </c>
      <c r="G1337" s="1166">
        <f>'House Count'!F1337</f>
        <v/>
      </c>
      <c r="H1337" s="1166">
        <f>'House Count'!H1337</f>
        <v/>
      </c>
    </row>
    <row r="1338">
      <c r="A1338" s="1165">
        <f>'House Count'!A1338</f>
        <v/>
      </c>
      <c r="B1338" s="1166">
        <f>'House Count'!E1338</f>
        <v/>
      </c>
      <c r="C1338" s="1166">
        <f>'House Count'!B1338</f>
        <v/>
      </c>
      <c r="D1338" s="1166">
        <f>'House Count'!C1338</f>
        <v/>
      </c>
      <c r="E1338" s="1166">
        <f>'House Count'!D1338</f>
        <v/>
      </c>
      <c r="F1338" s="1166">
        <f>IF(G1338="RES-SFU","RESIDENTIAL",IF(G1338="RES-HOA","RESIDENTIAL",IF(G1338="RES-MDU","RESIDENTIAL",IF(G1338="COMM-SU","BUSINESS",IF(G1338="COM-MTU","BUSINESS",IF(G1338="ENT","BUSINESS",""))))))</f>
        <v/>
      </c>
      <c r="G1338" s="1166">
        <f>'House Count'!F1338</f>
        <v/>
      </c>
      <c r="H1338" s="1166">
        <f>'House Count'!H1338</f>
        <v/>
      </c>
    </row>
    <row r="1339">
      <c r="A1339" s="1165">
        <f>'House Count'!A1339</f>
        <v/>
      </c>
      <c r="B1339" s="1166">
        <f>'House Count'!E1339</f>
        <v/>
      </c>
      <c r="C1339" s="1166">
        <f>'House Count'!B1339</f>
        <v/>
      </c>
      <c r="D1339" s="1166">
        <f>'House Count'!C1339</f>
        <v/>
      </c>
      <c r="E1339" s="1166">
        <f>'House Count'!D1339</f>
        <v/>
      </c>
      <c r="F1339" s="1166">
        <f>IF(G1339="RES-SFU","RESIDENTIAL",IF(G1339="RES-HOA","RESIDENTIAL",IF(G1339="RES-MDU","RESIDENTIAL",IF(G1339="COMM-SU","BUSINESS",IF(G1339="COM-MTU","BUSINESS",IF(G1339="ENT","BUSINESS",""))))))</f>
        <v/>
      </c>
      <c r="G1339" s="1166">
        <f>'House Count'!F1339</f>
        <v/>
      </c>
      <c r="H1339" s="1166">
        <f>'House Count'!H1339</f>
        <v/>
      </c>
    </row>
    <row r="1340">
      <c r="A1340" s="1165">
        <f>'House Count'!A1340</f>
        <v/>
      </c>
      <c r="B1340" s="1166">
        <f>'House Count'!E1340</f>
        <v/>
      </c>
      <c r="C1340" s="1166">
        <f>'House Count'!B1340</f>
        <v/>
      </c>
      <c r="D1340" s="1166">
        <f>'House Count'!C1340</f>
        <v/>
      </c>
      <c r="E1340" s="1166">
        <f>'House Count'!D1340</f>
        <v/>
      </c>
      <c r="F1340" s="1166">
        <f>IF(G1340="RES-SFU","RESIDENTIAL",IF(G1340="RES-HOA","RESIDENTIAL",IF(G1340="RES-MDU","RESIDENTIAL",IF(G1340="COMM-SU","BUSINESS",IF(G1340="COM-MTU","BUSINESS",IF(G1340="ENT","BUSINESS",""))))))</f>
        <v/>
      </c>
      <c r="G1340" s="1166">
        <f>'House Count'!F1340</f>
        <v/>
      </c>
      <c r="H1340" s="1166">
        <f>'House Count'!H1340</f>
        <v/>
      </c>
    </row>
    <row r="1341">
      <c r="A1341" s="1165">
        <f>'House Count'!A1341</f>
        <v/>
      </c>
      <c r="B1341" s="1166">
        <f>'House Count'!E1341</f>
        <v/>
      </c>
      <c r="C1341" s="1166">
        <f>'House Count'!B1341</f>
        <v/>
      </c>
      <c r="D1341" s="1166">
        <f>'House Count'!C1341</f>
        <v/>
      </c>
      <c r="E1341" s="1166">
        <f>'House Count'!D1341</f>
        <v/>
      </c>
      <c r="F1341" s="1166">
        <f>IF(G1341="RES-SFU","RESIDENTIAL",IF(G1341="RES-HOA","RESIDENTIAL",IF(G1341="RES-MDU","RESIDENTIAL",IF(G1341="COMM-SU","BUSINESS",IF(G1341="COM-MTU","BUSINESS",IF(G1341="ENT","BUSINESS",""))))))</f>
        <v/>
      </c>
      <c r="G1341" s="1166">
        <f>'House Count'!F1341</f>
        <v/>
      </c>
      <c r="H1341" s="1166">
        <f>'House Count'!H1341</f>
        <v/>
      </c>
    </row>
    <row r="1342">
      <c r="A1342" s="1165">
        <f>'House Count'!A1342</f>
        <v/>
      </c>
      <c r="B1342" s="1166">
        <f>'House Count'!E1342</f>
        <v/>
      </c>
      <c r="C1342" s="1166">
        <f>'House Count'!B1342</f>
        <v/>
      </c>
      <c r="D1342" s="1166">
        <f>'House Count'!C1342</f>
        <v/>
      </c>
      <c r="E1342" s="1166">
        <f>'House Count'!D1342</f>
        <v/>
      </c>
      <c r="F1342" s="1166">
        <f>IF(G1342="RES-SFU","RESIDENTIAL",IF(G1342="RES-HOA","RESIDENTIAL",IF(G1342="RES-MDU","RESIDENTIAL",IF(G1342="COMM-SU","BUSINESS",IF(G1342="COM-MTU","BUSINESS",IF(G1342="ENT","BUSINESS",""))))))</f>
        <v/>
      </c>
      <c r="G1342" s="1166">
        <f>'House Count'!F1342</f>
        <v/>
      </c>
      <c r="H1342" s="1166">
        <f>'House Count'!H1342</f>
        <v/>
      </c>
    </row>
    <row r="1343">
      <c r="A1343" s="1165">
        <f>'House Count'!A1343</f>
        <v/>
      </c>
      <c r="B1343" s="1166">
        <f>'House Count'!E1343</f>
        <v/>
      </c>
      <c r="C1343" s="1166">
        <f>'House Count'!B1343</f>
        <v/>
      </c>
      <c r="D1343" s="1166">
        <f>'House Count'!C1343</f>
        <v/>
      </c>
      <c r="E1343" s="1166">
        <f>'House Count'!D1343</f>
        <v/>
      </c>
      <c r="F1343" s="1166">
        <f>IF(G1343="RES-SFU","RESIDENTIAL",IF(G1343="RES-HOA","RESIDENTIAL",IF(G1343="RES-MDU","RESIDENTIAL",IF(G1343="COMM-SU","BUSINESS",IF(G1343="COM-MTU","BUSINESS",IF(G1343="ENT","BUSINESS",""))))))</f>
        <v/>
      </c>
      <c r="G1343" s="1166">
        <f>'House Count'!F1343</f>
        <v/>
      </c>
      <c r="H1343" s="1166">
        <f>'House Count'!H1343</f>
        <v/>
      </c>
    </row>
    <row r="1344">
      <c r="A1344" s="1165">
        <f>'House Count'!A1344</f>
        <v/>
      </c>
      <c r="B1344" s="1166">
        <f>'House Count'!E1344</f>
        <v/>
      </c>
      <c r="C1344" s="1166">
        <f>'House Count'!B1344</f>
        <v/>
      </c>
      <c r="D1344" s="1166">
        <f>'House Count'!C1344</f>
        <v/>
      </c>
      <c r="E1344" s="1166">
        <f>'House Count'!D1344</f>
        <v/>
      </c>
      <c r="F1344" s="1166">
        <f>IF(G1344="RES-SFU","RESIDENTIAL",IF(G1344="RES-HOA","RESIDENTIAL",IF(G1344="RES-MDU","RESIDENTIAL",IF(G1344="COMM-SU","BUSINESS",IF(G1344="COM-MTU","BUSINESS",IF(G1344="ENT","BUSINESS",""))))))</f>
        <v/>
      </c>
      <c r="G1344" s="1166">
        <f>'House Count'!F1344</f>
        <v/>
      </c>
      <c r="H1344" s="1166">
        <f>'House Count'!H1344</f>
        <v/>
      </c>
    </row>
    <row r="1345">
      <c r="A1345" s="1165">
        <f>'House Count'!A1345</f>
        <v/>
      </c>
      <c r="B1345" s="1166">
        <f>'House Count'!E1345</f>
        <v/>
      </c>
      <c r="C1345" s="1166">
        <f>'House Count'!B1345</f>
        <v/>
      </c>
      <c r="D1345" s="1166">
        <f>'House Count'!C1345</f>
        <v/>
      </c>
      <c r="E1345" s="1166">
        <f>'House Count'!D1345</f>
        <v/>
      </c>
      <c r="F1345" s="1166">
        <f>IF(G1345="RES-SFU","RESIDENTIAL",IF(G1345="RES-HOA","RESIDENTIAL",IF(G1345="RES-MDU","RESIDENTIAL",IF(G1345="COMM-SU","BUSINESS",IF(G1345="COM-MTU","BUSINESS",IF(G1345="ENT","BUSINESS",""))))))</f>
        <v/>
      </c>
      <c r="G1345" s="1166">
        <f>'House Count'!F1345</f>
        <v/>
      </c>
      <c r="H1345" s="1166">
        <f>'House Count'!H1345</f>
        <v/>
      </c>
    </row>
    <row r="1346">
      <c r="A1346" s="1165">
        <f>'House Count'!A1346</f>
        <v/>
      </c>
      <c r="B1346" s="1166">
        <f>'House Count'!E1346</f>
        <v/>
      </c>
      <c r="C1346" s="1166">
        <f>'House Count'!B1346</f>
        <v/>
      </c>
      <c r="D1346" s="1166">
        <f>'House Count'!C1346</f>
        <v/>
      </c>
      <c r="E1346" s="1166">
        <f>'House Count'!D1346</f>
        <v/>
      </c>
      <c r="F1346" s="1166">
        <f>IF(G1346="RES-SFU","RESIDENTIAL",IF(G1346="RES-HOA","RESIDENTIAL",IF(G1346="RES-MDU","RESIDENTIAL",IF(G1346="COMM-SU","BUSINESS",IF(G1346="COM-MTU","BUSINESS",IF(G1346="ENT","BUSINESS",""))))))</f>
        <v/>
      </c>
      <c r="G1346" s="1166">
        <f>'House Count'!F1346</f>
        <v/>
      </c>
      <c r="H1346" s="1166">
        <f>'House Count'!H1346</f>
        <v/>
      </c>
    </row>
    <row r="1347">
      <c r="A1347" s="1165">
        <f>'House Count'!A1347</f>
        <v/>
      </c>
      <c r="B1347" s="1166">
        <f>'House Count'!E1347</f>
        <v/>
      </c>
      <c r="C1347" s="1166">
        <f>'House Count'!B1347</f>
        <v/>
      </c>
      <c r="D1347" s="1166">
        <f>'House Count'!C1347</f>
        <v/>
      </c>
      <c r="E1347" s="1166">
        <f>'House Count'!D1347</f>
        <v/>
      </c>
      <c r="F1347" s="1166">
        <f>IF(G1347="RES-SFU","RESIDENTIAL",IF(G1347="RES-HOA","RESIDENTIAL",IF(G1347="RES-MDU","RESIDENTIAL",IF(G1347="COMM-SU","BUSINESS",IF(G1347="COM-MTU","BUSINESS",IF(G1347="ENT","BUSINESS",""))))))</f>
        <v/>
      </c>
      <c r="G1347" s="1166">
        <f>'House Count'!F1347</f>
        <v/>
      </c>
      <c r="H1347" s="1166">
        <f>'House Count'!H1347</f>
        <v/>
      </c>
    </row>
    <row r="1348">
      <c r="A1348" s="1165">
        <f>'House Count'!A1348</f>
        <v/>
      </c>
      <c r="B1348" s="1166">
        <f>'House Count'!E1348</f>
        <v/>
      </c>
      <c r="C1348" s="1166">
        <f>'House Count'!B1348</f>
        <v/>
      </c>
      <c r="D1348" s="1166">
        <f>'House Count'!C1348</f>
        <v/>
      </c>
      <c r="E1348" s="1166">
        <f>'House Count'!D1348</f>
        <v/>
      </c>
      <c r="F1348" s="1166">
        <f>IF(G1348="RES-SFU","RESIDENTIAL",IF(G1348="RES-HOA","RESIDENTIAL",IF(G1348="RES-MDU","RESIDENTIAL",IF(G1348="COMM-SU","BUSINESS",IF(G1348="COM-MTU","BUSINESS",IF(G1348="ENT","BUSINESS",""))))))</f>
        <v/>
      </c>
      <c r="G1348" s="1166">
        <f>'House Count'!F1348</f>
        <v/>
      </c>
      <c r="H1348" s="1166">
        <f>'House Count'!H1348</f>
        <v/>
      </c>
    </row>
    <row r="1349">
      <c r="A1349" s="1165">
        <f>'House Count'!A1349</f>
        <v/>
      </c>
      <c r="B1349" s="1166">
        <f>'House Count'!E1349</f>
        <v/>
      </c>
      <c r="C1349" s="1166">
        <f>'House Count'!B1349</f>
        <v/>
      </c>
      <c r="D1349" s="1166">
        <f>'House Count'!C1349</f>
        <v/>
      </c>
      <c r="E1349" s="1166">
        <f>'House Count'!D1349</f>
        <v/>
      </c>
      <c r="F1349" s="1166">
        <f>IF(G1349="RES-SFU","RESIDENTIAL",IF(G1349="RES-HOA","RESIDENTIAL",IF(G1349="RES-MDU","RESIDENTIAL",IF(G1349="COMM-SU","BUSINESS",IF(G1349="COM-MTU","BUSINESS",IF(G1349="ENT","BUSINESS",""))))))</f>
        <v/>
      </c>
      <c r="G1349" s="1166">
        <f>'House Count'!F1349</f>
        <v/>
      </c>
      <c r="H1349" s="1166">
        <f>'House Count'!H1349</f>
        <v/>
      </c>
    </row>
    <row r="1350">
      <c r="A1350" s="1165">
        <f>'House Count'!A1350</f>
        <v/>
      </c>
      <c r="B1350" s="1166">
        <f>'House Count'!E1350</f>
        <v/>
      </c>
      <c r="C1350" s="1166">
        <f>'House Count'!B1350</f>
        <v/>
      </c>
      <c r="D1350" s="1166">
        <f>'House Count'!C1350</f>
        <v/>
      </c>
      <c r="E1350" s="1166">
        <f>'House Count'!D1350</f>
        <v/>
      </c>
      <c r="F1350" s="1166">
        <f>IF(G1350="RES-SFU","RESIDENTIAL",IF(G1350="RES-HOA","RESIDENTIAL",IF(G1350="RES-MDU","RESIDENTIAL",IF(G1350="COMM-SU","BUSINESS",IF(G1350="COM-MTU","BUSINESS",IF(G1350="ENT","BUSINESS",""))))))</f>
        <v/>
      </c>
      <c r="G1350" s="1166">
        <f>'House Count'!F1350</f>
        <v/>
      </c>
      <c r="H1350" s="1166">
        <f>'House Count'!H1350</f>
        <v/>
      </c>
    </row>
    <row r="1351">
      <c r="A1351" s="1165">
        <f>'House Count'!A1351</f>
        <v/>
      </c>
      <c r="B1351" s="1166">
        <f>'House Count'!E1351</f>
        <v/>
      </c>
      <c r="C1351" s="1166">
        <f>'House Count'!B1351</f>
        <v/>
      </c>
      <c r="D1351" s="1166">
        <f>'House Count'!C1351</f>
        <v/>
      </c>
      <c r="E1351" s="1166">
        <f>'House Count'!D1351</f>
        <v/>
      </c>
      <c r="F1351" s="1166">
        <f>IF(G1351="RES-SFU","RESIDENTIAL",IF(G1351="RES-HOA","RESIDENTIAL",IF(G1351="RES-MDU","RESIDENTIAL",IF(G1351="COMM-SU","BUSINESS",IF(G1351="COM-MTU","BUSINESS",IF(G1351="ENT","BUSINESS",""))))))</f>
        <v/>
      </c>
      <c r="G1351" s="1166">
        <f>'House Count'!F1351</f>
        <v/>
      </c>
      <c r="H1351" s="1166">
        <f>'House Count'!H1351</f>
        <v/>
      </c>
    </row>
    <row r="1352">
      <c r="A1352" s="1165">
        <f>'House Count'!A1352</f>
        <v/>
      </c>
      <c r="B1352" s="1166">
        <f>'House Count'!E1352</f>
        <v/>
      </c>
      <c r="C1352" s="1166">
        <f>'House Count'!B1352</f>
        <v/>
      </c>
      <c r="D1352" s="1166">
        <f>'House Count'!C1352</f>
        <v/>
      </c>
      <c r="E1352" s="1166">
        <f>'House Count'!D1352</f>
        <v/>
      </c>
      <c r="F1352" s="1166">
        <f>IF(G1352="RES-SFU","RESIDENTIAL",IF(G1352="RES-HOA","RESIDENTIAL",IF(G1352="RES-MDU","RESIDENTIAL",IF(G1352="COMM-SU","BUSINESS",IF(G1352="COM-MTU","BUSINESS",IF(G1352="ENT","BUSINESS",""))))))</f>
        <v/>
      </c>
      <c r="G1352" s="1166">
        <f>'House Count'!F1352</f>
        <v/>
      </c>
      <c r="H1352" s="1166">
        <f>'House Count'!H1352</f>
        <v/>
      </c>
    </row>
    <row r="1353">
      <c r="A1353" s="1165">
        <f>'House Count'!A1353</f>
        <v/>
      </c>
      <c r="B1353" s="1166">
        <f>'House Count'!E1353</f>
        <v/>
      </c>
      <c r="C1353" s="1166">
        <f>'House Count'!B1353</f>
        <v/>
      </c>
      <c r="D1353" s="1166">
        <f>'House Count'!C1353</f>
        <v/>
      </c>
      <c r="E1353" s="1166">
        <f>'House Count'!D1353</f>
        <v/>
      </c>
      <c r="F1353" s="1166">
        <f>IF(G1353="RES-SFU","RESIDENTIAL",IF(G1353="RES-HOA","RESIDENTIAL",IF(G1353="RES-MDU","RESIDENTIAL",IF(G1353="COMM-SU","BUSINESS",IF(G1353="COM-MTU","BUSINESS",IF(G1353="ENT","BUSINESS",""))))))</f>
        <v/>
      </c>
      <c r="G1353" s="1166">
        <f>'House Count'!F1353</f>
        <v/>
      </c>
      <c r="H1353" s="1166">
        <f>'House Count'!H1353</f>
        <v/>
      </c>
    </row>
    <row r="1354">
      <c r="A1354" s="1165">
        <f>'House Count'!A1354</f>
        <v/>
      </c>
      <c r="B1354" s="1166">
        <f>'House Count'!E1354</f>
        <v/>
      </c>
      <c r="C1354" s="1166">
        <f>'House Count'!B1354</f>
        <v/>
      </c>
      <c r="D1354" s="1166">
        <f>'House Count'!C1354</f>
        <v/>
      </c>
      <c r="E1354" s="1166">
        <f>'House Count'!D1354</f>
        <v/>
      </c>
      <c r="F1354" s="1166">
        <f>IF(G1354="RES-SFU","RESIDENTIAL",IF(G1354="RES-HOA","RESIDENTIAL",IF(G1354="RES-MDU","RESIDENTIAL",IF(G1354="COMM-SU","BUSINESS",IF(G1354="COM-MTU","BUSINESS",IF(G1354="ENT","BUSINESS",""))))))</f>
        <v/>
      </c>
      <c r="G1354" s="1166">
        <f>'House Count'!F1354</f>
        <v/>
      </c>
      <c r="H1354" s="1166">
        <f>'House Count'!H1354</f>
        <v/>
      </c>
    </row>
    <row r="1355">
      <c r="A1355" s="1165">
        <f>'House Count'!A1355</f>
        <v/>
      </c>
      <c r="B1355" s="1166">
        <f>'House Count'!E1355</f>
        <v/>
      </c>
      <c r="C1355" s="1166">
        <f>'House Count'!B1355</f>
        <v/>
      </c>
      <c r="D1355" s="1166">
        <f>'House Count'!C1355</f>
        <v/>
      </c>
      <c r="E1355" s="1166">
        <f>'House Count'!D1355</f>
        <v/>
      </c>
      <c r="F1355" s="1166">
        <f>IF(G1355="RES-SFU","RESIDENTIAL",IF(G1355="RES-HOA","RESIDENTIAL",IF(G1355="RES-MDU","RESIDENTIAL",IF(G1355="COMM-SU","BUSINESS",IF(G1355="COM-MTU","BUSINESS",IF(G1355="ENT","BUSINESS",""))))))</f>
        <v/>
      </c>
      <c r="G1355" s="1166">
        <f>'House Count'!F1355</f>
        <v/>
      </c>
      <c r="H1355" s="1166">
        <f>'House Count'!H1355</f>
        <v/>
      </c>
    </row>
    <row r="1356">
      <c r="A1356" s="1165">
        <f>'House Count'!A1356</f>
        <v/>
      </c>
      <c r="B1356" s="1166">
        <f>'House Count'!E1356</f>
        <v/>
      </c>
      <c r="C1356" s="1166">
        <f>'House Count'!B1356</f>
        <v/>
      </c>
      <c r="D1356" s="1166">
        <f>'House Count'!C1356</f>
        <v/>
      </c>
      <c r="E1356" s="1166">
        <f>'House Count'!D1356</f>
        <v/>
      </c>
      <c r="F1356" s="1166">
        <f>IF(G1356="RES-SFU","RESIDENTIAL",IF(G1356="RES-HOA","RESIDENTIAL",IF(G1356="RES-MDU","RESIDENTIAL",IF(G1356="COMM-SU","BUSINESS",IF(G1356="COM-MTU","BUSINESS",IF(G1356="ENT","BUSINESS",""))))))</f>
        <v/>
      </c>
      <c r="G1356" s="1166">
        <f>'House Count'!F1356</f>
        <v/>
      </c>
      <c r="H1356" s="1166">
        <f>'House Count'!H1356</f>
        <v/>
      </c>
    </row>
    <row r="1357">
      <c r="A1357" s="1165">
        <f>'House Count'!A1357</f>
        <v/>
      </c>
      <c r="B1357" s="1166">
        <f>'House Count'!E1357</f>
        <v/>
      </c>
      <c r="C1357" s="1166">
        <f>'House Count'!B1357</f>
        <v/>
      </c>
      <c r="D1357" s="1166">
        <f>'House Count'!C1357</f>
        <v/>
      </c>
      <c r="E1357" s="1166">
        <f>'House Count'!D1357</f>
        <v/>
      </c>
      <c r="F1357" s="1166">
        <f>IF(G1357="RES-SFU","RESIDENTIAL",IF(G1357="RES-HOA","RESIDENTIAL",IF(G1357="RES-MDU","RESIDENTIAL",IF(G1357="COMM-SU","BUSINESS",IF(G1357="COM-MTU","BUSINESS",IF(G1357="ENT","BUSINESS",""))))))</f>
        <v/>
      </c>
      <c r="G1357" s="1166">
        <f>'House Count'!F1357</f>
        <v/>
      </c>
      <c r="H1357" s="1166">
        <f>'House Count'!H1357</f>
        <v/>
      </c>
    </row>
    <row r="1358">
      <c r="A1358" s="1165">
        <f>'House Count'!A1358</f>
        <v/>
      </c>
      <c r="B1358" s="1166">
        <f>'House Count'!E1358</f>
        <v/>
      </c>
      <c r="C1358" s="1166">
        <f>'House Count'!B1358</f>
        <v/>
      </c>
      <c r="D1358" s="1166">
        <f>'House Count'!C1358</f>
        <v/>
      </c>
      <c r="E1358" s="1166">
        <f>'House Count'!D1358</f>
        <v/>
      </c>
      <c r="F1358" s="1166">
        <f>IF(G1358="RES-SFU","RESIDENTIAL",IF(G1358="RES-HOA","RESIDENTIAL",IF(G1358="RES-MDU","RESIDENTIAL",IF(G1358="COMM-SU","BUSINESS",IF(G1358="COM-MTU","BUSINESS",IF(G1358="ENT","BUSINESS",""))))))</f>
        <v/>
      </c>
      <c r="G1358" s="1166">
        <f>'House Count'!F1358</f>
        <v/>
      </c>
      <c r="H1358" s="1166">
        <f>'House Count'!H1358</f>
        <v/>
      </c>
    </row>
    <row r="1359">
      <c r="A1359" s="1165">
        <f>'House Count'!A1359</f>
        <v/>
      </c>
      <c r="B1359" s="1166">
        <f>'House Count'!E1359</f>
        <v/>
      </c>
      <c r="C1359" s="1166">
        <f>'House Count'!B1359</f>
        <v/>
      </c>
      <c r="D1359" s="1166">
        <f>'House Count'!C1359</f>
        <v/>
      </c>
      <c r="E1359" s="1166">
        <f>'House Count'!D1359</f>
        <v/>
      </c>
      <c r="F1359" s="1166">
        <f>IF(G1359="RES-SFU","RESIDENTIAL",IF(G1359="RES-HOA","RESIDENTIAL",IF(G1359="RES-MDU","RESIDENTIAL",IF(G1359="COMM-SU","BUSINESS",IF(G1359="COM-MTU","BUSINESS",IF(G1359="ENT","BUSINESS",""))))))</f>
        <v/>
      </c>
      <c r="G1359" s="1166">
        <f>'House Count'!F1359</f>
        <v/>
      </c>
      <c r="H1359" s="1166">
        <f>'House Count'!H1359</f>
        <v/>
      </c>
    </row>
    <row r="1360">
      <c r="A1360" s="1165">
        <f>'House Count'!A1360</f>
        <v/>
      </c>
      <c r="B1360" s="1166">
        <f>'House Count'!E1360</f>
        <v/>
      </c>
      <c r="C1360" s="1166">
        <f>'House Count'!B1360</f>
        <v/>
      </c>
      <c r="D1360" s="1166">
        <f>'House Count'!C1360</f>
        <v/>
      </c>
      <c r="E1360" s="1166">
        <f>'House Count'!D1360</f>
        <v/>
      </c>
      <c r="F1360" s="1166">
        <f>IF(G1360="RES-SFU","RESIDENTIAL",IF(G1360="RES-HOA","RESIDENTIAL",IF(G1360="RES-MDU","RESIDENTIAL",IF(G1360="COMM-SU","BUSINESS",IF(G1360="COM-MTU","BUSINESS",IF(G1360="ENT","BUSINESS",""))))))</f>
        <v/>
      </c>
      <c r="G1360" s="1166">
        <f>'House Count'!F1360</f>
        <v/>
      </c>
      <c r="H1360" s="1166">
        <f>'House Count'!H1360</f>
        <v/>
      </c>
    </row>
    <row r="1361">
      <c r="A1361" s="1165">
        <f>'House Count'!A1361</f>
        <v/>
      </c>
      <c r="B1361" s="1166">
        <f>'House Count'!E1361</f>
        <v/>
      </c>
      <c r="C1361" s="1166">
        <f>'House Count'!B1361</f>
        <v/>
      </c>
      <c r="D1361" s="1166">
        <f>'House Count'!C1361</f>
        <v/>
      </c>
      <c r="E1361" s="1166">
        <f>'House Count'!D1361</f>
        <v/>
      </c>
      <c r="F1361" s="1166">
        <f>IF(G1361="RES-SFU","RESIDENTIAL",IF(G1361="RES-HOA","RESIDENTIAL",IF(G1361="RES-MDU","RESIDENTIAL",IF(G1361="COMM-SU","BUSINESS",IF(G1361="COM-MTU","BUSINESS",IF(G1361="ENT","BUSINESS",""))))))</f>
        <v/>
      </c>
      <c r="G1361" s="1166">
        <f>'House Count'!F1361</f>
        <v/>
      </c>
      <c r="H1361" s="1166">
        <f>'House Count'!H1361</f>
        <v/>
      </c>
    </row>
    <row r="1362">
      <c r="A1362" s="1165">
        <f>'House Count'!A1362</f>
        <v/>
      </c>
      <c r="B1362" s="1166">
        <f>'House Count'!E1362</f>
        <v/>
      </c>
      <c r="C1362" s="1166">
        <f>'House Count'!B1362</f>
        <v/>
      </c>
      <c r="D1362" s="1166">
        <f>'House Count'!C1362</f>
        <v/>
      </c>
      <c r="E1362" s="1166">
        <f>'House Count'!D1362</f>
        <v/>
      </c>
      <c r="F1362" s="1166">
        <f>IF(G1362="RES-SFU","RESIDENTIAL",IF(G1362="RES-HOA","RESIDENTIAL",IF(G1362="RES-MDU","RESIDENTIAL",IF(G1362="COMM-SU","BUSINESS",IF(G1362="COM-MTU","BUSINESS",IF(G1362="ENT","BUSINESS",""))))))</f>
        <v/>
      </c>
      <c r="G1362" s="1166">
        <f>'House Count'!F1362</f>
        <v/>
      </c>
      <c r="H1362" s="1166">
        <f>'House Count'!H1362</f>
        <v/>
      </c>
    </row>
    <row r="1363">
      <c r="A1363" s="1165">
        <f>'House Count'!A1363</f>
        <v/>
      </c>
      <c r="B1363" s="1166">
        <f>'House Count'!E1363</f>
        <v/>
      </c>
      <c r="C1363" s="1166">
        <f>'House Count'!B1363</f>
        <v/>
      </c>
      <c r="D1363" s="1166">
        <f>'House Count'!C1363</f>
        <v/>
      </c>
      <c r="E1363" s="1166">
        <f>'House Count'!D1363</f>
        <v/>
      </c>
      <c r="F1363" s="1166">
        <f>IF(G1363="RES-SFU","RESIDENTIAL",IF(G1363="RES-HOA","RESIDENTIAL",IF(G1363="RES-MDU","RESIDENTIAL",IF(G1363="COMM-SU","BUSINESS",IF(G1363="COM-MTU","BUSINESS",IF(G1363="ENT","BUSINESS",""))))))</f>
        <v/>
      </c>
      <c r="G1363" s="1166">
        <f>'House Count'!F1363</f>
        <v/>
      </c>
      <c r="H1363" s="1166">
        <f>'House Count'!H1363</f>
        <v/>
      </c>
    </row>
    <row r="1364">
      <c r="A1364" s="1165">
        <f>'House Count'!A1364</f>
        <v/>
      </c>
      <c r="B1364" s="1166">
        <f>'House Count'!E1364</f>
        <v/>
      </c>
      <c r="C1364" s="1166">
        <f>'House Count'!B1364</f>
        <v/>
      </c>
      <c r="D1364" s="1166">
        <f>'House Count'!C1364</f>
        <v/>
      </c>
      <c r="E1364" s="1166">
        <f>'House Count'!D1364</f>
        <v/>
      </c>
      <c r="F1364" s="1166">
        <f>IF(G1364="RES-SFU","RESIDENTIAL",IF(G1364="RES-HOA","RESIDENTIAL",IF(G1364="RES-MDU","RESIDENTIAL",IF(G1364="COMM-SU","BUSINESS",IF(G1364="COM-MTU","BUSINESS",IF(G1364="ENT","BUSINESS",""))))))</f>
        <v/>
      </c>
      <c r="G1364" s="1166">
        <f>'House Count'!F1364</f>
        <v/>
      </c>
      <c r="H1364" s="1166">
        <f>'House Count'!H1364</f>
        <v/>
      </c>
    </row>
    <row r="1365">
      <c r="A1365" s="1165">
        <f>'House Count'!A1365</f>
        <v/>
      </c>
      <c r="B1365" s="1166">
        <f>'House Count'!E1365</f>
        <v/>
      </c>
      <c r="C1365" s="1166">
        <f>'House Count'!B1365</f>
        <v/>
      </c>
      <c r="D1365" s="1166">
        <f>'House Count'!C1365</f>
        <v/>
      </c>
      <c r="E1365" s="1166">
        <f>'House Count'!D1365</f>
        <v/>
      </c>
      <c r="F1365" s="1166">
        <f>IF(G1365="RES-SFU","RESIDENTIAL",IF(G1365="RES-HOA","RESIDENTIAL",IF(G1365="RES-MDU","RESIDENTIAL",IF(G1365="COMM-SU","BUSINESS",IF(G1365="COM-MTU","BUSINESS",IF(G1365="ENT","BUSINESS",""))))))</f>
        <v/>
      </c>
      <c r="G1365" s="1166">
        <f>'House Count'!F1365</f>
        <v/>
      </c>
      <c r="H1365" s="1166">
        <f>'House Count'!H1365</f>
        <v/>
      </c>
    </row>
    <row r="1366">
      <c r="A1366" s="1165">
        <f>'House Count'!A1366</f>
        <v/>
      </c>
      <c r="B1366" s="1166">
        <f>'House Count'!E1366</f>
        <v/>
      </c>
      <c r="C1366" s="1166">
        <f>'House Count'!B1366</f>
        <v/>
      </c>
      <c r="D1366" s="1166">
        <f>'House Count'!C1366</f>
        <v/>
      </c>
      <c r="E1366" s="1166">
        <f>'House Count'!D1366</f>
        <v/>
      </c>
      <c r="F1366" s="1166">
        <f>IF(G1366="RES-SFU","RESIDENTIAL",IF(G1366="RES-HOA","RESIDENTIAL",IF(G1366="RES-MDU","RESIDENTIAL",IF(G1366="COMM-SU","BUSINESS",IF(G1366="COM-MTU","BUSINESS",IF(G1366="ENT","BUSINESS",""))))))</f>
        <v/>
      </c>
      <c r="G1366" s="1166">
        <f>'House Count'!F1366</f>
        <v/>
      </c>
      <c r="H1366" s="1166">
        <f>'House Count'!H1366</f>
        <v/>
      </c>
    </row>
    <row r="1367">
      <c r="A1367" s="1165">
        <f>'House Count'!A1367</f>
        <v/>
      </c>
      <c r="B1367" s="1166">
        <f>'House Count'!E1367</f>
        <v/>
      </c>
      <c r="C1367" s="1166">
        <f>'House Count'!B1367</f>
        <v/>
      </c>
      <c r="D1367" s="1166">
        <f>'House Count'!C1367</f>
        <v/>
      </c>
      <c r="E1367" s="1166">
        <f>'House Count'!D1367</f>
        <v/>
      </c>
      <c r="F1367" s="1166">
        <f>IF(G1367="RES-SFU","RESIDENTIAL",IF(G1367="RES-HOA","RESIDENTIAL",IF(G1367="RES-MDU","RESIDENTIAL",IF(G1367="COMM-SU","BUSINESS",IF(G1367="COM-MTU","BUSINESS",IF(G1367="ENT","BUSINESS",""))))))</f>
        <v/>
      </c>
      <c r="G1367" s="1166">
        <f>'House Count'!F1367</f>
        <v/>
      </c>
      <c r="H1367" s="1166">
        <f>'House Count'!H1367</f>
        <v/>
      </c>
    </row>
    <row r="1368">
      <c r="A1368" s="1165">
        <f>'House Count'!A1368</f>
        <v/>
      </c>
      <c r="B1368" s="1166">
        <f>'House Count'!E1368</f>
        <v/>
      </c>
      <c r="C1368" s="1166">
        <f>'House Count'!B1368</f>
        <v/>
      </c>
      <c r="D1368" s="1166">
        <f>'House Count'!C1368</f>
        <v/>
      </c>
      <c r="E1368" s="1166">
        <f>'House Count'!D1368</f>
        <v/>
      </c>
      <c r="F1368" s="1166">
        <f>IF(G1368="RES-SFU","RESIDENTIAL",IF(G1368="RES-HOA","RESIDENTIAL",IF(G1368="RES-MDU","RESIDENTIAL",IF(G1368="COMM-SU","BUSINESS",IF(G1368="COM-MTU","BUSINESS",IF(G1368="ENT","BUSINESS",""))))))</f>
        <v/>
      </c>
      <c r="G1368" s="1166">
        <f>'House Count'!F1368</f>
        <v/>
      </c>
      <c r="H1368" s="1166">
        <f>'House Count'!H1368</f>
        <v/>
      </c>
    </row>
    <row r="1369">
      <c r="A1369" s="1165">
        <f>'House Count'!A1369</f>
        <v/>
      </c>
      <c r="B1369" s="1166">
        <f>'House Count'!E1369</f>
        <v/>
      </c>
      <c r="C1369" s="1166">
        <f>'House Count'!B1369</f>
        <v/>
      </c>
      <c r="D1369" s="1166">
        <f>'House Count'!C1369</f>
        <v/>
      </c>
      <c r="E1369" s="1166">
        <f>'House Count'!D1369</f>
        <v/>
      </c>
      <c r="F1369" s="1166">
        <f>IF(G1369="RES-SFU","RESIDENTIAL",IF(G1369="RES-HOA","RESIDENTIAL",IF(G1369="RES-MDU","RESIDENTIAL",IF(G1369="COMM-SU","BUSINESS",IF(G1369="COM-MTU","BUSINESS",IF(G1369="ENT","BUSINESS",""))))))</f>
        <v/>
      </c>
      <c r="G1369" s="1166">
        <f>'House Count'!F1369</f>
        <v/>
      </c>
      <c r="H1369" s="1166">
        <f>'House Count'!H1369</f>
        <v/>
      </c>
    </row>
    <row r="1370">
      <c r="A1370" s="1165">
        <f>'House Count'!A1370</f>
        <v/>
      </c>
      <c r="B1370" s="1166">
        <f>'House Count'!E1370</f>
        <v/>
      </c>
      <c r="C1370" s="1166">
        <f>'House Count'!B1370</f>
        <v/>
      </c>
      <c r="D1370" s="1166">
        <f>'House Count'!C1370</f>
        <v/>
      </c>
      <c r="E1370" s="1166">
        <f>'House Count'!D1370</f>
        <v/>
      </c>
      <c r="F1370" s="1166">
        <f>IF(G1370="RES-SFU","RESIDENTIAL",IF(G1370="RES-HOA","RESIDENTIAL",IF(G1370="RES-MDU","RESIDENTIAL",IF(G1370="COMM-SU","BUSINESS",IF(G1370="COM-MTU","BUSINESS",IF(G1370="ENT","BUSINESS",""))))))</f>
        <v/>
      </c>
      <c r="G1370" s="1166">
        <f>'House Count'!F1370</f>
        <v/>
      </c>
      <c r="H1370" s="1166">
        <f>'House Count'!H1370</f>
        <v/>
      </c>
    </row>
    <row r="1371">
      <c r="A1371" s="1165">
        <f>'House Count'!A1371</f>
        <v/>
      </c>
      <c r="B1371" s="1166">
        <f>'House Count'!E1371</f>
        <v/>
      </c>
      <c r="C1371" s="1166">
        <f>'House Count'!B1371</f>
        <v/>
      </c>
      <c r="D1371" s="1166">
        <f>'House Count'!C1371</f>
        <v/>
      </c>
      <c r="E1371" s="1166">
        <f>'House Count'!D1371</f>
        <v/>
      </c>
      <c r="F1371" s="1166">
        <f>IF(G1371="RES-SFU","RESIDENTIAL",IF(G1371="RES-HOA","RESIDENTIAL",IF(G1371="RES-MDU","RESIDENTIAL",IF(G1371="COMM-SU","BUSINESS",IF(G1371="COM-MTU","BUSINESS",IF(G1371="ENT","BUSINESS",""))))))</f>
        <v/>
      </c>
      <c r="G1371" s="1166">
        <f>'House Count'!F1371</f>
        <v/>
      </c>
      <c r="H1371" s="1166">
        <f>'House Count'!H1371</f>
        <v/>
      </c>
    </row>
    <row r="1372">
      <c r="A1372" s="1165">
        <f>'House Count'!A1372</f>
        <v/>
      </c>
      <c r="B1372" s="1166">
        <f>'House Count'!E1372</f>
        <v/>
      </c>
      <c r="C1372" s="1166">
        <f>'House Count'!B1372</f>
        <v/>
      </c>
      <c r="D1372" s="1166">
        <f>'House Count'!C1372</f>
        <v/>
      </c>
      <c r="E1372" s="1166">
        <f>'House Count'!D1372</f>
        <v/>
      </c>
      <c r="F1372" s="1166">
        <f>IF(G1372="RES-SFU","RESIDENTIAL",IF(G1372="RES-HOA","RESIDENTIAL",IF(G1372="RES-MDU","RESIDENTIAL",IF(G1372="COMM-SU","BUSINESS",IF(G1372="COM-MTU","BUSINESS",IF(G1372="ENT","BUSINESS",""))))))</f>
        <v/>
      </c>
      <c r="G1372" s="1166">
        <f>'House Count'!F1372</f>
        <v/>
      </c>
      <c r="H1372" s="1166">
        <f>'House Count'!H1372</f>
        <v/>
      </c>
    </row>
    <row r="1373">
      <c r="A1373" s="1165">
        <f>'House Count'!A1373</f>
        <v/>
      </c>
      <c r="B1373" s="1166">
        <f>'House Count'!E1373</f>
        <v/>
      </c>
      <c r="C1373" s="1166">
        <f>'House Count'!B1373</f>
        <v/>
      </c>
      <c r="D1373" s="1166">
        <f>'House Count'!C1373</f>
        <v/>
      </c>
      <c r="E1373" s="1166">
        <f>'House Count'!D1373</f>
        <v/>
      </c>
      <c r="F1373" s="1166">
        <f>IF(G1373="RES-SFU","RESIDENTIAL",IF(G1373="RES-HOA","RESIDENTIAL",IF(G1373="RES-MDU","RESIDENTIAL",IF(G1373="COMM-SU","BUSINESS",IF(G1373="COM-MTU","BUSINESS",IF(G1373="ENT","BUSINESS",""))))))</f>
        <v/>
      </c>
      <c r="G1373" s="1166">
        <f>'House Count'!F1373</f>
        <v/>
      </c>
      <c r="H1373" s="1166">
        <f>'House Count'!H1373</f>
        <v/>
      </c>
    </row>
    <row r="1374">
      <c r="A1374" s="1165">
        <f>'House Count'!A1374</f>
        <v/>
      </c>
      <c r="B1374" s="1166">
        <f>'House Count'!E1374</f>
        <v/>
      </c>
      <c r="C1374" s="1166">
        <f>'House Count'!B1374</f>
        <v/>
      </c>
      <c r="D1374" s="1166">
        <f>'House Count'!C1374</f>
        <v/>
      </c>
      <c r="E1374" s="1166">
        <f>'House Count'!D1374</f>
        <v/>
      </c>
      <c r="F1374" s="1166">
        <f>IF(G1374="RES-SFU","RESIDENTIAL",IF(G1374="RES-HOA","RESIDENTIAL",IF(G1374="RES-MDU","RESIDENTIAL",IF(G1374="COMM-SU","BUSINESS",IF(G1374="COM-MTU","BUSINESS",IF(G1374="ENT","BUSINESS",""))))))</f>
        <v/>
      </c>
      <c r="G1374" s="1166">
        <f>'House Count'!F1374</f>
        <v/>
      </c>
      <c r="H1374" s="1166">
        <f>'House Count'!H1374</f>
        <v/>
      </c>
    </row>
    <row r="1375">
      <c r="A1375" s="1165">
        <f>'House Count'!A1375</f>
        <v/>
      </c>
      <c r="B1375" s="1166">
        <f>'House Count'!E1375</f>
        <v/>
      </c>
      <c r="C1375" s="1166">
        <f>'House Count'!B1375</f>
        <v/>
      </c>
      <c r="D1375" s="1166">
        <f>'House Count'!C1375</f>
        <v/>
      </c>
      <c r="E1375" s="1166">
        <f>'House Count'!D1375</f>
        <v/>
      </c>
      <c r="F1375" s="1166">
        <f>IF(G1375="RES-SFU","RESIDENTIAL",IF(G1375="RES-HOA","RESIDENTIAL",IF(G1375="RES-MDU","RESIDENTIAL",IF(G1375="COMM-SU","BUSINESS",IF(G1375="COM-MTU","BUSINESS",IF(G1375="ENT","BUSINESS",""))))))</f>
        <v/>
      </c>
      <c r="G1375" s="1166">
        <f>'House Count'!F1375</f>
        <v/>
      </c>
      <c r="H1375" s="1166">
        <f>'House Count'!H1375</f>
        <v/>
      </c>
    </row>
    <row r="1376">
      <c r="A1376" s="1165">
        <f>'House Count'!A1376</f>
        <v/>
      </c>
      <c r="B1376" s="1166">
        <f>'House Count'!E1376</f>
        <v/>
      </c>
      <c r="C1376" s="1166">
        <f>'House Count'!B1376</f>
        <v/>
      </c>
      <c r="D1376" s="1166">
        <f>'House Count'!C1376</f>
        <v/>
      </c>
      <c r="E1376" s="1166">
        <f>'House Count'!D1376</f>
        <v/>
      </c>
      <c r="F1376" s="1166">
        <f>IF(G1376="RES-SFU","RESIDENTIAL",IF(G1376="RES-HOA","RESIDENTIAL",IF(G1376="RES-MDU","RESIDENTIAL",IF(G1376="COMM-SU","BUSINESS",IF(G1376="COM-MTU","BUSINESS",IF(G1376="ENT","BUSINESS",""))))))</f>
        <v/>
      </c>
      <c r="G1376" s="1166">
        <f>'House Count'!F1376</f>
        <v/>
      </c>
      <c r="H1376" s="1166">
        <f>'House Count'!H1376</f>
        <v/>
      </c>
    </row>
    <row r="1377">
      <c r="A1377" s="1165">
        <f>'House Count'!A1377</f>
        <v/>
      </c>
      <c r="B1377" s="1166">
        <f>'House Count'!E1377</f>
        <v/>
      </c>
      <c r="C1377" s="1166">
        <f>'House Count'!B1377</f>
        <v/>
      </c>
      <c r="D1377" s="1166">
        <f>'House Count'!C1377</f>
        <v/>
      </c>
      <c r="E1377" s="1166">
        <f>'House Count'!D1377</f>
        <v/>
      </c>
      <c r="F1377" s="1166">
        <f>IF(G1377="RES-SFU","RESIDENTIAL",IF(G1377="RES-HOA","RESIDENTIAL",IF(G1377="RES-MDU","RESIDENTIAL",IF(G1377="COMM-SU","BUSINESS",IF(G1377="COM-MTU","BUSINESS",IF(G1377="ENT","BUSINESS",""))))))</f>
        <v/>
      </c>
      <c r="G1377" s="1166">
        <f>'House Count'!F1377</f>
        <v/>
      </c>
      <c r="H1377" s="1166">
        <f>'House Count'!H1377</f>
        <v/>
      </c>
    </row>
    <row r="1378">
      <c r="A1378" s="1165">
        <f>'House Count'!A1378</f>
        <v/>
      </c>
      <c r="B1378" s="1166">
        <f>'House Count'!E1378</f>
        <v/>
      </c>
      <c r="C1378" s="1166">
        <f>'House Count'!B1378</f>
        <v/>
      </c>
      <c r="D1378" s="1166">
        <f>'House Count'!C1378</f>
        <v/>
      </c>
      <c r="E1378" s="1166">
        <f>'House Count'!D1378</f>
        <v/>
      </c>
      <c r="F1378" s="1166">
        <f>IF(G1378="RES-SFU","RESIDENTIAL",IF(G1378="RES-HOA","RESIDENTIAL",IF(G1378="RES-MDU","RESIDENTIAL",IF(G1378="COMM-SU","BUSINESS",IF(G1378="COM-MTU","BUSINESS",IF(G1378="ENT","BUSINESS",""))))))</f>
        <v/>
      </c>
      <c r="G1378" s="1166">
        <f>'House Count'!F1378</f>
        <v/>
      </c>
      <c r="H1378" s="1166">
        <f>'House Count'!H1378</f>
        <v/>
      </c>
    </row>
    <row r="1379">
      <c r="A1379" s="1165">
        <f>'House Count'!A1379</f>
        <v/>
      </c>
      <c r="B1379" s="1166">
        <f>'House Count'!E1379</f>
        <v/>
      </c>
      <c r="C1379" s="1166">
        <f>'House Count'!B1379</f>
        <v/>
      </c>
      <c r="D1379" s="1166">
        <f>'House Count'!C1379</f>
        <v/>
      </c>
      <c r="E1379" s="1166">
        <f>'House Count'!D1379</f>
        <v/>
      </c>
      <c r="F1379" s="1166">
        <f>IF(G1379="RES-SFU","RESIDENTIAL",IF(G1379="RES-HOA","RESIDENTIAL",IF(G1379="RES-MDU","RESIDENTIAL",IF(G1379="COMM-SU","BUSINESS",IF(G1379="COM-MTU","BUSINESS",IF(G1379="ENT","BUSINESS",""))))))</f>
        <v/>
      </c>
      <c r="G1379" s="1166">
        <f>'House Count'!F1379</f>
        <v/>
      </c>
      <c r="H1379" s="1166">
        <f>'House Count'!H1379</f>
        <v/>
      </c>
    </row>
    <row r="1380">
      <c r="A1380" s="1165">
        <f>'House Count'!A1380</f>
        <v/>
      </c>
      <c r="B1380" s="1166">
        <f>'House Count'!E1380</f>
        <v/>
      </c>
      <c r="C1380" s="1166">
        <f>'House Count'!B1380</f>
        <v/>
      </c>
      <c r="D1380" s="1166">
        <f>'House Count'!C1380</f>
        <v/>
      </c>
      <c r="E1380" s="1166">
        <f>'House Count'!D1380</f>
        <v/>
      </c>
      <c r="F1380" s="1166">
        <f>IF(G1380="RES-SFU","RESIDENTIAL",IF(G1380="RES-HOA","RESIDENTIAL",IF(G1380="RES-MDU","RESIDENTIAL",IF(G1380="COMM-SU","BUSINESS",IF(G1380="COM-MTU","BUSINESS",IF(G1380="ENT","BUSINESS",""))))))</f>
        <v/>
      </c>
      <c r="G1380" s="1166">
        <f>'House Count'!F1380</f>
        <v/>
      </c>
      <c r="H1380" s="1166">
        <f>'House Count'!H1380</f>
        <v/>
      </c>
    </row>
    <row r="1381">
      <c r="A1381" s="1165">
        <f>'House Count'!A1381</f>
        <v/>
      </c>
      <c r="B1381" s="1166">
        <f>'House Count'!E1381</f>
        <v/>
      </c>
      <c r="C1381" s="1166">
        <f>'House Count'!B1381</f>
        <v/>
      </c>
      <c r="D1381" s="1166">
        <f>'House Count'!C1381</f>
        <v/>
      </c>
      <c r="E1381" s="1166">
        <f>'House Count'!D1381</f>
        <v/>
      </c>
      <c r="F1381" s="1166">
        <f>IF(G1381="RES-SFU","RESIDENTIAL",IF(G1381="RES-HOA","RESIDENTIAL",IF(G1381="RES-MDU","RESIDENTIAL",IF(G1381="COMM-SU","BUSINESS",IF(G1381="COM-MTU","BUSINESS",IF(G1381="ENT","BUSINESS",""))))))</f>
        <v/>
      </c>
      <c r="G1381" s="1166">
        <f>'House Count'!F1381</f>
        <v/>
      </c>
      <c r="H1381" s="1166">
        <f>'House Count'!H1381</f>
        <v/>
      </c>
    </row>
    <row r="1382">
      <c r="A1382" s="1165">
        <f>'House Count'!A1382</f>
        <v/>
      </c>
      <c r="B1382" s="1166">
        <f>'House Count'!E1382</f>
        <v/>
      </c>
      <c r="C1382" s="1166">
        <f>'House Count'!B1382</f>
        <v/>
      </c>
      <c r="D1382" s="1166">
        <f>'House Count'!C1382</f>
        <v/>
      </c>
      <c r="E1382" s="1166">
        <f>'House Count'!D1382</f>
        <v/>
      </c>
      <c r="F1382" s="1166">
        <f>IF(G1382="RES-SFU","RESIDENTIAL",IF(G1382="RES-HOA","RESIDENTIAL",IF(G1382="RES-MDU","RESIDENTIAL",IF(G1382="COMM-SU","BUSINESS",IF(G1382="COM-MTU","BUSINESS",IF(G1382="ENT","BUSINESS",""))))))</f>
        <v/>
      </c>
      <c r="G1382" s="1166">
        <f>'House Count'!F1382</f>
        <v/>
      </c>
      <c r="H1382" s="1166">
        <f>'House Count'!H1382</f>
        <v/>
      </c>
    </row>
    <row r="1383">
      <c r="A1383" s="1165">
        <f>'House Count'!A1383</f>
        <v/>
      </c>
      <c r="B1383" s="1166">
        <f>'House Count'!E1383</f>
        <v/>
      </c>
      <c r="C1383" s="1166">
        <f>'House Count'!B1383</f>
        <v/>
      </c>
      <c r="D1383" s="1166">
        <f>'House Count'!C1383</f>
        <v/>
      </c>
      <c r="E1383" s="1166">
        <f>'House Count'!D1383</f>
        <v/>
      </c>
      <c r="F1383" s="1166">
        <f>IF(G1383="RES-SFU","RESIDENTIAL",IF(G1383="RES-HOA","RESIDENTIAL",IF(G1383="RES-MDU","RESIDENTIAL",IF(G1383="COMM-SU","BUSINESS",IF(G1383="COM-MTU","BUSINESS",IF(G1383="ENT","BUSINESS",""))))))</f>
        <v/>
      </c>
      <c r="G1383" s="1166">
        <f>'House Count'!F1383</f>
        <v/>
      </c>
      <c r="H1383" s="1166">
        <f>'House Count'!H1383</f>
        <v/>
      </c>
    </row>
    <row r="1384">
      <c r="A1384" s="1165">
        <f>'House Count'!A1384</f>
        <v/>
      </c>
      <c r="B1384" s="1166">
        <f>'House Count'!E1384</f>
        <v/>
      </c>
      <c r="C1384" s="1166">
        <f>'House Count'!B1384</f>
        <v/>
      </c>
      <c r="D1384" s="1166">
        <f>'House Count'!C1384</f>
        <v/>
      </c>
      <c r="E1384" s="1166">
        <f>'House Count'!D1384</f>
        <v/>
      </c>
      <c r="F1384" s="1166">
        <f>IF(G1384="RES-SFU","RESIDENTIAL",IF(G1384="RES-HOA","RESIDENTIAL",IF(G1384="RES-MDU","RESIDENTIAL",IF(G1384="COMM-SU","BUSINESS",IF(G1384="COM-MTU","BUSINESS",IF(G1384="ENT","BUSINESS",""))))))</f>
        <v/>
      </c>
      <c r="G1384" s="1166">
        <f>'House Count'!F1384</f>
        <v/>
      </c>
      <c r="H1384" s="1166">
        <f>'House Count'!H1384</f>
        <v/>
      </c>
    </row>
    <row r="1385">
      <c r="A1385" s="1165">
        <f>'House Count'!A1385</f>
        <v/>
      </c>
      <c r="B1385" s="1166">
        <f>'House Count'!E1385</f>
        <v/>
      </c>
      <c r="C1385" s="1166">
        <f>'House Count'!B1385</f>
        <v/>
      </c>
      <c r="D1385" s="1166">
        <f>'House Count'!C1385</f>
        <v/>
      </c>
      <c r="E1385" s="1166">
        <f>'House Count'!D1385</f>
        <v/>
      </c>
      <c r="F1385" s="1166">
        <f>IF(G1385="RES-SFU","RESIDENTIAL",IF(G1385="RES-HOA","RESIDENTIAL",IF(G1385="RES-MDU","RESIDENTIAL",IF(G1385="COMM-SU","BUSINESS",IF(G1385="COM-MTU","BUSINESS",IF(G1385="ENT","BUSINESS",""))))))</f>
        <v/>
      </c>
      <c r="G1385" s="1166">
        <f>'House Count'!F1385</f>
        <v/>
      </c>
      <c r="H1385" s="1166">
        <f>'House Count'!H1385</f>
        <v/>
      </c>
    </row>
    <row r="1386">
      <c r="A1386" s="1165">
        <f>'House Count'!A1386</f>
        <v/>
      </c>
      <c r="B1386" s="1166">
        <f>'House Count'!E1386</f>
        <v/>
      </c>
      <c r="C1386" s="1166">
        <f>'House Count'!B1386</f>
        <v/>
      </c>
      <c r="D1386" s="1166">
        <f>'House Count'!C1386</f>
        <v/>
      </c>
      <c r="E1386" s="1166">
        <f>'House Count'!D1386</f>
        <v/>
      </c>
      <c r="F1386" s="1166">
        <f>IF(G1386="RES-SFU","RESIDENTIAL",IF(G1386="RES-HOA","RESIDENTIAL",IF(G1386="RES-MDU","RESIDENTIAL",IF(G1386="COMM-SU","BUSINESS",IF(G1386="COM-MTU","BUSINESS",IF(G1386="ENT","BUSINESS",""))))))</f>
        <v/>
      </c>
      <c r="G1386" s="1166">
        <f>'House Count'!F1386</f>
        <v/>
      </c>
      <c r="H1386" s="1166">
        <f>'House Count'!H1386</f>
        <v/>
      </c>
    </row>
    <row r="1387">
      <c r="A1387" s="1165">
        <f>'House Count'!A1387</f>
        <v/>
      </c>
      <c r="B1387" s="1166">
        <f>'House Count'!E1387</f>
        <v/>
      </c>
      <c r="C1387" s="1166">
        <f>'House Count'!B1387</f>
        <v/>
      </c>
      <c r="D1387" s="1166">
        <f>'House Count'!C1387</f>
        <v/>
      </c>
      <c r="E1387" s="1166">
        <f>'House Count'!D1387</f>
        <v/>
      </c>
      <c r="F1387" s="1166">
        <f>IF(G1387="RES-SFU","RESIDENTIAL",IF(G1387="RES-HOA","RESIDENTIAL",IF(G1387="RES-MDU","RESIDENTIAL",IF(G1387="COMM-SU","BUSINESS",IF(G1387="COM-MTU","BUSINESS",IF(G1387="ENT","BUSINESS",""))))))</f>
        <v/>
      </c>
      <c r="G1387" s="1166">
        <f>'House Count'!F1387</f>
        <v/>
      </c>
      <c r="H1387" s="1166">
        <f>'House Count'!H1387</f>
        <v/>
      </c>
    </row>
    <row r="1388">
      <c r="A1388" s="1165">
        <f>'House Count'!A1388</f>
        <v/>
      </c>
      <c r="B1388" s="1166">
        <f>'House Count'!E1388</f>
        <v/>
      </c>
      <c r="C1388" s="1166">
        <f>'House Count'!B1388</f>
        <v/>
      </c>
      <c r="D1388" s="1166">
        <f>'House Count'!C1388</f>
        <v/>
      </c>
      <c r="E1388" s="1166">
        <f>'House Count'!D1388</f>
        <v/>
      </c>
      <c r="F1388" s="1166">
        <f>IF(G1388="RES-SFU","RESIDENTIAL",IF(G1388="RES-HOA","RESIDENTIAL",IF(G1388="RES-MDU","RESIDENTIAL",IF(G1388="COMM-SU","BUSINESS",IF(G1388="COM-MTU","BUSINESS",IF(G1388="ENT","BUSINESS",""))))))</f>
        <v/>
      </c>
      <c r="G1388" s="1166">
        <f>'House Count'!F1388</f>
        <v/>
      </c>
      <c r="H1388" s="1166">
        <f>'House Count'!H1388</f>
        <v/>
      </c>
    </row>
    <row r="1389">
      <c r="A1389" s="1165">
        <f>'House Count'!A1389</f>
        <v/>
      </c>
      <c r="B1389" s="1166">
        <f>'House Count'!E1389</f>
        <v/>
      </c>
      <c r="C1389" s="1166">
        <f>'House Count'!B1389</f>
        <v/>
      </c>
      <c r="D1389" s="1166">
        <f>'House Count'!C1389</f>
        <v/>
      </c>
      <c r="E1389" s="1166">
        <f>'House Count'!D1389</f>
        <v/>
      </c>
      <c r="F1389" s="1166">
        <f>IF(G1389="RES-SFU","RESIDENTIAL",IF(G1389="RES-HOA","RESIDENTIAL",IF(G1389="RES-MDU","RESIDENTIAL",IF(G1389="COMM-SU","BUSINESS",IF(G1389="COM-MTU","BUSINESS",IF(G1389="ENT","BUSINESS",""))))))</f>
        <v/>
      </c>
      <c r="G1389" s="1166">
        <f>'House Count'!F1389</f>
        <v/>
      </c>
      <c r="H1389" s="1166">
        <f>'House Count'!H1389</f>
        <v/>
      </c>
    </row>
    <row r="1390">
      <c r="A1390" s="1165">
        <f>'House Count'!A1390</f>
        <v/>
      </c>
      <c r="B1390" s="1166">
        <f>'House Count'!E1390</f>
        <v/>
      </c>
      <c r="C1390" s="1166">
        <f>'House Count'!B1390</f>
        <v/>
      </c>
      <c r="D1390" s="1166">
        <f>'House Count'!C1390</f>
        <v/>
      </c>
      <c r="E1390" s="1166">
        <f>'House Count'!D1390</f>
        <v/>
      </c>
      <c r="F1390" s="1166">
        <f>IF(G1390="RES-SFU","RESIDENTIAL",IF(G1390="RES-HOA","RESIDENTIAL",IF(G1390="RES-MDU","RESIDENTIAL",IF(G1390="COMM-SU","BUSINESS",IF(G1390="COM-MTU","BUSINESS",IF(G1390="ENT","BUSINESS",""))))))</f>
        <v/>
      </c>
      <c r="G1390" s="1166">
        <f>'House Count'!F1390</f>
        <v/>
      </c>
      <c r="H1390" s="1166">
        <f>'House Count'!H1390</f>
        <v/>
      </c>
    </row>
    <row r="1391">
      <c r="A1391" s="1165">
        <f>'House Count'!A1391</f>
        <v/>
      </c>
      <c r="B1391" s="1166">
        <f>'House Count'!E1391</f>
        <v/>
      </c>
      <c r="C1391" s="1166">
        <f>'House Count'!B1391</f>
        <v/>
      </c>
      <c r="D1391" s="1166">
        <f>'House Count'!C1391</f>
        <v/>
      </c>
      <c r="E1391" s="1166">
        <f>'House Count'!D1391</f>
        <v/>
      </c>
      <c r="F1391" s="1166">
        <f>IF(G1391="RES-SFU","RESIDENTIAL",IF(G1391="RES-HOA","RESIDENTIAL",IF(G1391="RES-MDU","RESIDENTIAL",IF(G1391="COMM-SU","BUSINESS",IF(G1391="COM-MTU","BUSINESS",IF(G1391="ENT","BUSINESS",""))))))</f>
        <v/>
      </c>
      <c r="G1391" s="1166">
        <f>'House Count'!F1391</f>
        <v/>
      </c>
      <c r="H1391" s="1166">
        <f>'House Count'!H1391</f>
        <v/>
      </c>
    </row>
    <row r="1392">
      <c r="A1392" s="1165">
        <f>'House Count'!A1392</f>
        <v/>
      </c>
      <c r="B1392" s="1166">
        <f>'House Count'!E1392</f>
        <v/>
      </c>
      <c r="C1392" s="1166">
        <f>'House Count'!B1392</f>
        <v/>
      </c>
      <c r="D1392" s="1166">
        <f>'House Count'!C1392</f>
        <v/>
      </c>
      <c r="E1392" s="1166">
        <f>'House Count'!D1392</f>
        <v/>
      </c>
      <c r="F1392" s="1166">
        <f>IF(G1392="RES-SFU","RESIDENTIAL",IF(G1392="RES-HOA","RESIDENTIAL",IF(G1392="RES-MDU","RESIDENTIAL",IF(G1392="COMM-SU","BUSINESS",IF(G1392="COM-MTU","BUSINESS",IF(G1392="ENT","BUSINESS",""))))))</f>
        <v/>
      </c>
      <c r="G1392" s="1166">
        <f>'House Count'!F1392</f>
        <v/>
      </c>
      <c r="H1392" s="1166">
        <f>'House Count'!H1392</f>
        <v/>
      </c>
    </row>
    <row r="1393">
      <c r="A1393" s="1165">
        <f>'House Count'!A1393</f>
        <v/>
      </c>
      <c r="B1393" s="1166">
        <f>'House Count'!E1393</f>
        <v/>
      </c>
      <c r="C1393" s="1166">
        <f>'House Count'!B1393</f>
        <v/>
      </c>
      <c r="D1393" s="1166">
        <f>'House Count'!C1393</f>
        <v/>
      </c>
      <c r="E1393" s="1166">
        <f>'House Count'!D1393</f>
        <v/>
      </c>
      <c r="F1393" s="1166">
        <f>IF(G1393="RES-SFU","RESIDENTIAL",IF(G1393="RES-HOA","RESIDENTIAL",IF(G1393="RES-MDU","RESIDENTIAL",IF(G1393="COMM-SU","BUSINESS",IF(G1393="COM-MTU","BUSINESS",IF(G1393="ENT","BUSINESS",""))))))</f>
        <v/>
      </c>
      <c r="G1393" s="1166">
        <f>'House Count'!F1393</f>
        <v/>
      </c>
      <c r="H1393" s="1166">
        <f>'House Count'!H1393</f>
        <v/>
      </c>
    </row>
    <row r="1394">
      <c r="A1394" s="1165">
        <f>'House Count'!A1394</f>
        <v/>
      </c>
      <c r="B1394" s="1166">
        <f>'House Count'!E1394</f>
        <v/>
      </c>
      <c r="C1394" s="1166">
        <f>'House Count'!B1394</f>
        <v/>
      </c>
      <c r="D1394" s="1166">
        <f>'House Count'!C1394</f>
        <v/>
      </c>
      <c r="E1394" s="1166">
        <f>'House Count'!D1394</f>
        <v/>
      </c>
      <c r="F1394" s="1166">
        <f>IF(G1394="RES-SFU","RESIDENTIAL",IF(G1394="RES-HOA","RESIDENTIAL",IF(G1394="RES-MDU","RESIDENTIAL",IF(G1394="COMM-SU","BUSINESS",IF(G1394="COM-MTU","BUSINESS",IF(G1394="ENT","BUSINESS",""))))))</f>
        <v/>
      </c>
      <c r="G1394" s="1166">
        <f>'House Count'!F1394</f>
        <v/>
      </c>
      <c r="H1394" s="1166">
        <f>'House Count'!H1394</f>
        <v/>
      </c>
    </row>
    <row r="1395">
      <c r="A1395" s="1165">
        <f>'House Count'!A1395</f>
        <v/>
      </c>
      <c r="B1395" s="1166">
        <f>'House Count'!E1395</f>
        <v/>
      </c>
      <c r="C1395" s="1166">
        <f>'House Count'!B1395</f>
        <v/>
      </c>
      <c r="D1395" s="1166">
        <f>'House Count'!C1395</f>
        <v/>
      </c>
      <c r="E1395" s="1166">
        <f>'House Count'!D1395</f>
        <v/>
      </c>
      <c r="F1395" s="1166">
        <f>IF(G1395="RES-SFU","RESIDENTIAL",IF(G1395="RES-HOA","RESIDENTIAL",IF(G1395="RES-MDU","RESIDENTIAL",IF(G1395="COMM-SU","BUSINESS",IF(G1395="COM-MTU","BUSINESS",IF(G1395="ENT","BUSINESS",""))))))</f>
        <v/>
      </c>
      <c r="G1395" s="1166">
        <f>'House Count'!F1395</f>
        <v/>
      </c>
      <c r="H1395" s="1166">
        <f>'House Count'!H1395</f>
        <v/>
      </c>
    </row>
    <row r="1396">
      <c r="A1396" s="1165">
        <f>'House Count'!A1396</f>
        <v/>
      </c>
      <c r="B1396" s="1166">
        <f>'House Count'!E1396</f>
        <v/>
      </c>
      <c r="C1396" s="1166">
        <f>'House Count'!B1396</f>
        <v/>
      </c>
      <c r="D1396" s="1166">
        <f>'House Count'!C1396</f>
        <v/>
      </c>
      <c r="E1396" s="1166">
        <f>'House Count'!D1396</f>
        <v/>
      </c>
      <c r="F1396" s="1166">
        <f>IF(G1396="RES-SFU","RESIDENTIAL",IF(G1396="RES-HOA","RESIDENTIAL",IF(G1396="RES-MDU","RESIDENTIAL",IF(G1396="COMM-SU","BUSINESS",IF(G1396="COM-MTU","BUSINESS",IF(G1396="ENT","BUSINESS",""))))))</f>
        <v/>
      </c>
      <c r="G1396" s="1166">
        <f>'House Count'!F1396</f>
        <v/>
      </c>
      <c r="H1396" s="1166">
        <f>'House Count'!H1396</f>
        <v/>
      </c>
    </row>
    <row r="1397">
      <c r="A1397" s="1165">
        <f>'House Count'!A1397</f>
        <v/>
      </c>
      <c r="B1397" s="1166">
        <f>'House Count'!E1397</f>
        <v/>
      </c>
      <c r="C1397" s="1166">
        <f>'House Count'!B1397</f>
        <v/>
      </c>
      <c r="D1397" s="1166">
        <f>'House Count'!C1397</f>
        <v/>
      </c>
      <c r="E1397" s="1166">
        <f>'House Count'!D1397</f>
        <v/>
      </c>
      <c r="F1397" s="1166">
        <f>IF(G1397="RES-SFU","RESIDENTIAL",IF(G1397="RES-HOA","RESIDENTIAL",IF(G1397="RES-MDU","RESIDENTIAL",IF(G1397="COMM-SU","BUSINESS",IF(G1397="COM-MTU","BUSINESS",IF(G1397="ENT","BUSINESS",""))))))</f>
        <v/>
      </c>
      <c r="G1397" s="1166">
        <f>'House Count'!F1397</f>
        <v/>
      </c>
      <c r="H1397" s="1166">
        <f>'House Count'!H1397</f>
        <v/>
      </c>
    </row>
    <row r="1398">
      <c r="A1398" s="1165">
        <f>'House Count'!A1398</f>
        <v/>
      </c>
      <c r="B1398" s="1166">
        <f>'House Count'!E1398</f>
        <v/>
      </c>
      <c r="C1398" s="1166">
        <f>'House Count'!B1398</f>
        <v/>
      </c>
      <c r="D1398" s="1166">
        <f>'House Count'!C1398</f>
        <v/>
      </c>
      <c r="E1398" s="1166">
        <f>'House Count'!D1398</f>
        <v/>
      </c>
      <c r="F1398" s="1166">
        <f>IF(G1398="RES-SFU","RESIDENTIAL",IF(G1398="RES-HOA","RESIDENTIAL",IF(G1398="RES-MDU","RESIDENTIAL",IF(G1398="COMM-SU","BUSINESS",IF(G1398="COM-MTU","BUSINESS",IF(G1398="ENT","BUSINESS",""))))))</f>
        <v/>
      </c>
      <c r="G1398" s="1166">
        <f>'House Count'!F1398</f>
        <v/>
      </c>
      <c r="H1398" s="1166">
        <f>'House Count'!H1398</f>
        <v/>
      </c>
    </row>
    <row r="1399">
      <c r="A1399" s="1165">
        <f>'House Count'!A1399</f>
        <v/>
      </c>
      <c r="B1399" s="1166">
        <f>'House Count'!E1399</f>
        <v/>
      </c>
      <c r="C1399" s="1166">
        <f>'House Count'!B1399</f>
        <v/>
      </c>
      <c r="D1399" s="1166">
        <f>'House Count'!C1399</f>
        <v/>
      </c>
      <c r="E1399" s="1166">
        <f>'House Count'!D1399</f>
        <v/>
      </c>
      <c r="F1399" s="1166">
        <f>IF(G1399="RES-SFU","RESIDENTIAL",IF(G1399="RES-HOA","RESIDENTIAL",IF(G1399="RES-MDU","RESIDENTIAL",IF(G1399="COMM-SU","BUSINESS",IF(G1399="COM-MTU","BUSINESS",IF(G1399="ENT","BUSINESS",""))))))</f>
        <v/>
      </c>
      <c r="G1399" s="1166">
        <f>'House Count'!F1399</f>
        <v/>
      </c>
      <c r="H1399" s="1166">
        <f>'House Count'!H1399</f>
        <v/>
      </c>
    </row>
    <row r="1400">
      <c r="A1400" s="1165">
        <f>'House Count'!A1400</f>
        <v/>
      </c>
      <c r="B1400" s="1166">
        <f>'House Count'!E1400</f>
        <v/>
      </c>
      <c r="C1400" s="1166">
        <f>'House Count'!B1400</f>
        <v/>
      </c>
      <c r="D1400" s="1166">
        <f>'House Count'!C1400</f>
        <v/>
      </c>
      <c r="E1400" s="1166">
        <f>'House Count'!D1400</f>
        <v/>
      </c>
      <c r="F1400" s="1166">
        <f>IF(G1400="RES-SFU","RESIDENTIAL",IF(G1400="RES-HOA","RESIDENTIAL",IF(G1400="RES-MDU","RESIDENTIAL",IF(G1400="COMM-SU","BUSINESS",IF(G1400="COM-MTU","BUSINESS",IF(G1400="ENT","BUSINESS",""))))))</f>
        <v/>
      </c>
      <c r="G1400" s="1166">
        <f>'House Count'!F1400</f>
        <v/>
      </c>
      <c r="H1400" s="1166">
        <f>'House Count'!H1400</f>
        <v/>
      </c>
    </row>
    <row r="1401">
      <c r="A1401" s="1165">
        <f>'House Count'!A1401</f>
        <v/>
      </c>
      <c r="B1401" s="1166">
        <f>'House Count'!E1401</f>
        <v/>
      </c>
      <c r="C1401" s="1166">
        <f>'House Count'!B1401</f>
        <v/>
      </c>
      <c r="D1401" s="1166">
        <f>'House Count'!C1401</f>
        <v/>
      </c>
      <c r="E1401" s="1166">
        <f>'House Count'!D1401</f>
        <v/>
      </c>
      <c r="F1401" s="1166">
        <f>IF(G1401="RES-SFU","RESIDENTIAL",IF(G1401="RES-HOA","RESIDENTIAL",IF(G1401="RES-MDU","RESIDENTIAL",IF(G1401="COMM-SU","BUSINESS",IF(G1401="COM-MTU","BUSINESS",IF(G1401="ENT","BUSINESS",""))))))</f>
        <v/>
      </c>
      <c r="G1401" s="1166">
        <f>'House Count'!F1401</f>
        <v/>
      </c>
      <c r="H1401" s="1166">
        <f>'House Count'!H1401</f>
        <v/>
      </c>
    </row>
    <row r="1402">
      <c r="A1402" s="1165">
        <f>'House Count'!A1402</f>
        <v/>
      </c>
      <c r="B1402" s="1166">
        <f>'House Count'!E1402</f>
        <v/>
      </c>
      <c r="C1402" s="1166">
        <f>'House Count'!B1402</f>
        <v/>
      </c>
      <c r="D1402" s="1166">
        <f>'House Count'!C1402</f>
        <v/>
      </c>
      <c r="E1402" s="1166">
        <f>'House Count'!D1402</f>
        <v/>
      </c>
      <c r="F1402" s="1166">
        <f>IF(G1402="RES-SFU","RESIDENTIAL",IF(G1402="RES-HOA","RESIDENTIAL",IF(G1402="RES-MDU","RESIDENTIAL",IF(G1402="COMM-SU","BUSINESS",IF(G1402="COM-MTU","BUSINESS",IF(G1402="ENT","BUSINESS",""))))))</f>
        <v/>
      </c>
      <c r="G1402" s="1166">
        <f>'House Count'!F1402</f>
        <v/>
      </c>
      <c r="H1402" s="1166">
        <f>'House Count'!H1402</f>
        <v/>
      </c>
    </row>
    <row r="1403">
      <c r="A1403" s="1165">
        <f>'House Count'!A1403</f>
        <v/>
      </c>
      <c r="B1403" s="1166">
        <f>'House Count'!E1403</f>
        <v/>
      </c>
      <c r="C1403" s="1166">
        <f>'House Count'!B1403</f>
        <v/>
      </c>
      <c r="D1403" s="1166">
        <f>'House Count'!C1403</f>
        <v/>
      </c>
      <c r="E1403" s="1166">
        <f>'House Count'!D1403</f>
        <v/>
      </c>
      <c r="F1403" s="1166">
        <f>IF(G1403="RES-SFU","RESIDENTIAL",IF(G1403="RES-HOA","RESIDENTIAL",IF(G1403="RES-MDU","RESIDENTIAL",IF(G1403="COMM-SU","BUSINESS",IF(G1403="COM-MTU","BUSINESS",IF(G1403="ENT","BUSINESS",""))))))</f>
        <v/>
      </c>
      <c r="G1403" s="1166">
        <f>'House Count'!F1403</f>
        <v/>
      </c>
      <c r="H1403" s="1166">
        <f>'House Count'!H1403</f>
        <v/>
      </c>
    </row>
    <row r="1404">
      <c r="A1404" s="1165">
        <f>'House Count'!A1404</f>
        <v/>
      </c>
      <c r="B1404" s="1166">
        <f>'House Count'!E1404</f>
        <v/>
      </c>
      <c r="C1404" s="1166">
        <f>'House Count'!B1404</f>
        <v/>
      </c>
      <c r="D1404" s="1166">
        <f>'House Count'!C1404</f>
        <v/>
      </c>
      <c r="E1404" s="1166">
        <f>'House Count'!D1404</f>
        <v/>
      </c>
      <c r="F1404" s="1166">
        <f>IF(G1404="RES-SFU","RESIDENTIAL",IF(G1404="RES-HOA","RESIDENTIAL",IF(G1404="RES-MDU","RESIDENTIAL",IF(G1404="COMM-SU","BUSINESS",IF(G1404="COM-MTU","BUSINESS",IF(G1404="ENT","BUSINESS",""))))))</f>
        <v/>
      </c>
      <c r="G1404" s="1166">
        <f>'House Count'!F1404</f>
        <v/>
      </c>
      <c r="H1404" s="1166">
        <f>'House Count'!H1404</f>
        <v/>
      </c>
    </row>
    <row r="1405">
      <c r="A1405" s="1165">
        <f>'House Count'!A1405</f>
        <v/>
      </c>
      <c r="B1405" s="1166">
        <f>'House Count'!E1405</f>
        <v/>
      </c>
      <c r="C1405" s="1166">
        <f>'House Count'!B1405</f>
        <v/>
      </c>
      <c r="D1405" s="1166">
        <f>'House Count'!C1405</f>
        <v/>
      </c>
      <c r="E1405" s="1166">
        <f>'House Count'!D1405</f>
        <v/>
      </c>
      <c r="F1405" s="1166">
        <f>IF(G1405="RES-SFU","RESIDENTIAL",IF(G1405="RES-HOA","RESIDENTIAL",IF(G1405="RES-MDU","RESIDENTIAL",IF(G1405="COMM-SU","BUSINESS",IF(G1405="COM-MTU","BUSINESS",IF(G1405="ENT","BUSINESS",""))))))</f>
        <v/>
      </c>
      <c r="G1405" s="1166">
        <f>'House Count'!F1405</f>
        <v/>
      </c>
      <c r="H1405" s="1166">
        <f>'House Count'!H1405</f>
        <v/>
      </c>
    </row>
    <row r="1406">
      <c r="A1406" s="1165">
        <f>'House Count'!A1406</f>
        <v/>
      </c>
      <c r="B1406" s="1166">
        <f>'House Count'!E1406</f>
        <v/>
      </c>
      <c r="C1406" s="1166">
        <f>'House Count'!B1406</f>
        <v/>
      </c>
      <c r="D1406" s="1166">
        <f>'House Count'!C1406</f>
        <v/>
      </c>
      <c r="E1406" s="1166">
        <f>'House Count'!D1406</f>
        <v/>
      </c>
      <c r="F1406" s="1166">
        <f>IF(G1406="RES-SFU","RESIDENTIAL",IF(G1406="RES-HOA","RESIDENTIAL",IF(G1406="RES-MDU","RESIDENTIAL",IF(G1406="COMM-SU","BUSINESS",IF(G1406="COM-MTU","BUSINESS",IF(G1406="ENT","BUSINESS",""))))))</f>
        <v/>
      </c>
      <c r="G1406" s="1166">
        <f>'House Count'!F1406</f>
        <v/>
      </c>
      <c r="H1406" s="1166">
        <f>'House Count'!H1406</f>
        <v/>
      </c>
    </row>
    <row r="1407">
      <c r="A1407" s="1165">
        <f>'House Count'!A1407</f>
        <v/>
      </c>
      <c r="B1407" s="1166">
        <f>'House Count'!E1407</f>
        <v/>
      </c>
      <c r="C1407" s="1166">
        <f>'House Count'!B1407</f>
        <v/>
      </c>
      <c r="D1407" s="1166">
        <f>'House Count'!C1407</f>
        <v/>
      </c>
      <c r="E1407" s="1166">
        <f>'House Count'!D1407</f>
        <v/>
      </c>
      <c r="F1407" s="1166">
        <f>IF(G1407="RES-SFU","RESIDENTIAL",IF(G1407="RES-HOA","RESIDENTIAL",IF(G1407="RES-MDU","RESIDENTIAL",IF(G1407="COMM-SU","BUSINESS",IF(G1407="COM-MTU","BUSINESS",IF(G1407="ENT","BUSINESS",""))))))</f>
        <v/>
      </c>
      <c r="G1407" s="1166">
        <f>'House Count'!F1407</f>
        <v/>
      </c>
      <c r="H1407" s="1166">
        <f>'House Count'!H1407</f>
        <v/>
      </c>
    </row>
    <row r="1408">
      <c r="A1408" s="1165">
        <f>'House Count'!A1408</f>
        <v/>
      </c>
      <c r="B1408" s="1166">
        <f>'House Count'!E1408</f>
        <v/>
      </c>
      <c r="C1408" s="1166">
        <f>'House Count'!B1408</f>
        <v/>
      </c>
      <c r="D1408" s="1166">
        <f>'House Count'!C1408</f>
        <v/>
      </c>
      <c r="E1408" s="1166">
        <f>'House Count'!D1408</f>
        <v/>
      </c>
      <c r="F1408" s="1166">
        <f>IF(G1408="RES-SFU","RESIDENTIAL",IF(G1408="RES-HOA","RESIDENTIAL",IF(G1408="RES-MDU","RESIDENTIAL",IF(G1408="COMM-SU","BUSINESS",IF(G1408="COM-MTU","BUSINESS",IF(G1408="ENT","BUSINESS",""))))))</f>
        <v/>
      </c>
      <c r="G1408" s="1166">
        <f>'House Count'!F1408</f>
        <v/>
      </c>
      <c r="H1408" s="1166">
        <f>'House Count'!H1408</f>
        <v/>
      </c>
    </row>
    <row r="1409">
      <c r="A1409" s="1165">
        <f>'House Count'!A1409</f>
        <v/>
      </c>
      <c r="B1409" s="1166">
        <f>'House Count'!E1409</f>
        <v/>
      </c>
      <c r="C1409" s="1166">
        <f>'House Count'!B1409</f>
        <v/>
      </c>
      <c r="D1409" s="1166">
        <f>'House Count'!C1409</f>
        <v/>
      </c>
      <c r="E1409" s="1166">
        <f>'House Count'!D1409</f>
        <v/>
      </c>
      <c r="F1409" s="1166">
        <f>IF(G1409="RES-SFU","RESIDENTIAL",IF(G1409="RES-HOA","RESIDENTIAL",IF(G1409="RES-MDU","RESIDENTIAL",IF(G1409="COMM-SU","BUSINESS",IF(G1409="COM-MTU","BUSINESS",IF(G1409="ENT","BUSINESS",""))))))</f>
        <v/>
      </c>
      <c r="G1409" s="1166">
        <f>'House Count'!F1409</f>
        <v/>
      </c>
      <c r="H1409" s="1166">
        <f>'House Count'!H1409</f>
        <v/>
      </c>
    </row>
    <row r="1410">
      <c r="A1410" s="1165">
        <f>'House Count'!A1410</f>
        <v/>
      </c>
      <c r="B1410" s="1166">
        <f>'House Count'!E1410</f>
        <v/>
      </c>
      <c r="C1410" s="1166">
        <f>'House Count'!B1410</f>
        <v/>
      </c>
      <c r="D1410" s="1166">
        <f>'House Count'!C1410</f>
        <v/>
      </c>
      <c r="E1410" s="1166">
        <f>'House Count'!D1410</f>
        <v/>
      </c>
      <c r="F1410" s="1166">
        <f>IF(G1410="RES-SFU","RESIDENTIAL",IF(G1410="RES-HOA","RESIDENTIAL",IF(G1410="RES-MDU","RESIDENTIAL",IF(G1410="COMM-SU","BUSINESS",IF(G1410="COM-MTU","BUSINESS",IF(G1410="ENT","BUSINESS",""))))))</f>
        <v/>
      </c>
      <c r="G1410" s="1166">
        <f>'House Count'!F1410</f>
        <v/>
      </c>
      <c r="H1410" s="1166">
        <f>'House Count'!H1410</f>
        <v/>
      </c>
    </row>
    <row r="1411">
      <c r="A1411" s="1165">
        <f>'House Count'!A1411</f>
        <v/>
      </c>
      <c r="B1411" s="1166">
        <f>'House Count'!E1411</f>
        <v/>
      </c>
      <c r="C1411" s="1166">
        <f>'House Count'!B1411</f>
        <v/>
      </c>
      <c r="D1411" s="1166">
        <f>'House Count'!C1411</f>
        <v/>
      </c>
      <c r="E1411" s="1166">
        <f>'House Count'!D1411</f>
        <v/>
      </c>
      <c r="F1411" s="1166">
        <f>IF(G1411="RES-SFU","RESIDENTIAL",IF(G1411="RES-HOA","RESIDENTIAL",IF(G1411="RES-MDU","RESIDENTIAL",IF(G1411="COMM-SU","BUSINESS",IF(G1411="COM-MTU","BUSINESS",IF(G1411="ENT","BUSINESS",""))))))</f>
        <v/>
      </c>
      <c r="G1411" s="1166">
        <f>'House Count'!F1411</f>
        <v/>
      </c>
      <c r="H1411" s="1166">
        <f>'House Count'!H1411</f>
        <v/>
      </c>
    </row>
    <row r="1412">
      <c r="A1412" s="1165">
        <f>'House Count'!A1412</f>
        <v/>
      </c>
      <c r="B1412" s="1166">
        <f>'House Count'!E1412</f>
        <v/>
      </c>
      <c r="C1412" s="1166">
        <f>'House Count'!B1412</f>
        <v/>
      </c>
      <c r="D1412" s="1166">
        <f>'House Count'!C1412</f>
        <v/>
      </c>
      <c r="E1412" s="1166">
        <f>'House Count'!D1412</f>
        <v/>
      </c>
      <c r="F1412" s="1166">
        <f>IF(G1412="RES-SFU","RESIDENTIAL",IF(G1412="RES-HOA","RESIDENTIAL",IF(G1412="RES-MDU","RESIDENTIAL",IF(G1412="COMM-SU","BUSINESS",IF(G1412="COM-MTU","BUSINESS",IF(G1412="ENT","BUSINESS",""))))))</f>
        <v/>
      </c>
      <c r="G1412" s="1166">
        <f>'House Count'!F1412</f>
        <v/>
      </c>
      <c r="H1412" s="1166">
        <f>'House Count'!H1412</f>
        <v/>
      </c>
    </row>
    <row r="1413">
      <c r="A1413" s="1165">
        <f>'House Count'!A1413</f>
        <v/>
      </c>
      <c r="B1413" s="1166">
        <f>'House Count'!E1413</f>
        <v/>
      </c>
      <c r="C1413" s="1166">
        <f>'House Count'!B1413</f>
        <v/>
      </c>
      <c r="D1413" s="1166">
        <f>'House Count'!C1413</f>
        <v/>
      </c>
      <c r="E1413" s="1166">
        <f>'House Count'!D1413</f>
        <v/>
      </c>
      <c r="F1413" s="1166">
        <f>IF(G1413="RES-SFU","RESIDENTIAL",IF(G1413="RES-HOA","RESIDENTIAL",IF(G1413="RES-MDU","RESIDENTIAL",IF(G1413="COMM-SU","BUSINESS",IF(G1413="COM-MTU","BUSINESS",IF(G1413="ENT","BUSINESS",""))))))</f>
        <v/>
      </c>
      <c r="G1413" s="1166">
        <f>'House Count'!F1413</f>
        <v/>
      </c>
      <c r="H1413" s="1166">
        <f>'House Count'!H1413</f>
        <v/>
      </c>
    </row>
    <row r="1414">
      <c r="A1414" s="1165">
        <f>'House Count'!A1414</f>
        <v/>
      </c>
      <c r="B1414" s="1166">
        <f>'House Count'!E1414</f>
        <v/>
      </c>
      <c r="C1414" s="1166">
        <f>'House Count'!B1414</f>
        <v/>
      </c>
      <c r="D1414" s="1166">
        <f>'House Count'!C1414</f>
        <v/>
      </c>
      <c r="E1414" s="1166">
        <f>'House Count'!D1414</f>
        <v/>
      </c>
      <c r="F1414" s="1166">
        <f>IF(G1414="RES-SFU","RESIDENTIAL",IF(G1414="RES-HOA","RESIDENTIAL",IF(G1414="RES-MDU","RESIDENTIAL",IF(G1414="COMM-SU","BUSINESS",IF(G1414="COM-MTU","BUSINESS",IF(G1414="ENT","BUSINESS",""))))))</f>
        <v/>
      </c>
      <c r="G1414" s="1166">
        <f>'House Count'!F1414</f>
        <v/>
      </c>
      <c r="H1414" s="1166">
        <f>'House Count'!H1414</f>
        <v/>
      </c>
    </row>
    <row r="1415">
      <c r="A1415" s="1165">
        <f>'House Count'!A1415</f>
        <v/>
      </c>
      <c r="B1415" s="1166">
        <f>'House Count'!E1415</f>
        <v/>
      </c>
      <c r="C1415" s="1166">
        <f>'House Count'!B1415</f>
        <v/>
      </c>
      <c r="D1415" s="1166">
        <f>'House Count'!C1415</f>
        <v/>
      </c>
      <c r="E1415" s="1166">
        <f>'House Count'!D1415</f>
        <v/>
      </c>
      <c r="F1415" s="1166">
        <f>IF(G1415="RES-SFU","RESIDENTIAL",IF(G1415="RES-HOA","RESIDENTIAL",IF(G1415="RES-MDU","RESIDENTIAL",IF(G1415="COMM-SU","BUSINESS",IF(G1415="COM-MTU","BUSINESS",IF(G1415="ENT","BUSINESS",""))))))</f>
        <v/>
      </c>
      <c r="G1415" s="1166">
        <f>'House Count'!F1415</f>
        <v/>
      </c>
      <c r="H1415" s="1166">
        <f>'House Count'!H1415</f>
        <v/>
      </c>
    </row>
    <row r="1416">
      <c r="A1416" s="1165">
        <f>'House Count'!A1416</f>
        <v/>
      </c>
      <c r="B1416" s="1166">
        <f>'House Count'!E1416</f>
        <v/>
      </c>
      <c r="C1416" s="1166">
        <f>'House Count'!B1416</f>
        <v/>
      </c>
      <c r="D1416" s="1166">
        <f>'House Count'!C1416</f>
        <v/>
      </c>
      <c r="E1416" s="1166">
        <f>'House Count'!D1416</f>
        <v/>
      </c>
      <c r="F1416" s="1166">
        <f>IF(G1416="RES-SFU","RESIDENTIAL",IF(G1416="RES-HOA","RESIDENTIAL",IF(G1416="RES-MDU","RESIDENTIAL",IF(G1416="COMM-SU","BUSINESS",IF(G1416="COM-MTU","BUSINESS",IF(G1416="ENT","BUSINESS",""))))))</f>
        <v/>
      </c>
      <c r="G1416" s="1166">
        <f>'House Count'!F1416</f>
        <v/>
      </c>
      <c r="H1416" s="1166">
        <f>'House Count'!H1416</f>
        <v/>
      </c>
    </row>
    <row r="1417">
      <c r="A1417" s="1165">
        <f>'House Count'!A1417</f>
        <v/>
      </c>
      <c r="B1417" s="1166">
        <f>'House Count'!E1417</f>
        <v/>
      </c>
      <c r="C1417" s="1166">
        <f>'House Count'!B1417</f>
        <v/>
      </c>
      <c r="D1417" s="1166">
        <f>'House Count'!C1417</f>
        <v/>
      </c>
      <c r="E1417" s="1166">
        <f>'House Count'!D1417</f>
        <v/>
      </c>
      <c r="F1417" s="1166">
        <f>IF(G1417="RES-SFU","RESIDENTIAL",IF(G1417="RES-HOA","RESIDENTIAL",IF(G1417="RES-MDU","RESIDENTIAL",IF(G1417="COMM-SU","BUSINESS",IF(G1417="COM-MTU","BUSINESS",IF(G1417="ENT","BUSINESS",""))))))</f>
        <v/>
      </c>
      <c r="G1417" s="1166">
        <f>'House Count'!F1417</f>
        <v/>
      </c>
      <c r="H1417" s="1166">
        <f>'House Count'!H1417</f>
        <v/>
      </c>
    </row>
    <row r="1418">
      <c r="A1418" s="1165">
        <f>'House Count'!A1418</f>
        <v/>
      </c>
      <c r="B1418" s="1166">
        <f>'House Count'!E1418</f>
        <v/>
      </c>
      <c r="C1418" s="1166">
        <f>'House Count'!B1418</f>
        <v/>
      </c>
      <c r="D1418" s="1166">
        <f>'House Count'!C1418</f>
        <v/>
      </c>
      <c r="E1418" s="1166">
        <f>'House Count'!D1418</f>
        <v/>
      </c>
      <c r="F1418" s="1166">
        <f>IF(G1418="RES-SFU","RESIDENTIAL",IF(G1418="RES-HOA","RESIDENTIAL",IF(G1418="RES-MDU","RESIDENTIAL",IF(G1418="COMM-SU","BUSINESS",IF(G1418="COM-MTU","BUSINESS",IF(G1418="ENT","BUSINESS",""))))))</f>
        <v/>
      </c>
      <c r="G1418" s="1166">
        <f>'House Count'!F1418</f>
        <v/>
      </c>
      <c r="H1418" s="1166">
        <f>'House Count'!H1418</f>
        <v/>
      </c>
    </row>
    <row r="1419">
      <c r="A1419" s="1165">
        <f>'House Count'!A1419</f>
        <v/>
      </c>
      <c r="B1419" s="1166">
        <f>'House Count'!E1419</f>
        <v/>
      </c>
      <c r="C1419" s="1166">
        <f>'House Count'!B1419</f>
        <v/>
      </c>
      <c r="D1419" s="1166">
        <f>'House Count'!C1419</f>
        <v/>
      </c>
      <c r="E1419" s="1166">
        <f>'House Count'!D1419</f>
        <v/>
      </c>
      <c r="F1419" s="1166">
        <f>IF(G1419="RES-SFU","RESIDENTIAL",IF(G1419="RES-HOA","RESIDENTIAL",IF(G1419="RES-MDU","RESIDENTIAL",IF(G1419="COMM-SU","BUSINESS",IF(G1419="COM-MTU","BUSINESS",IF(G1419="ENT","BUSINESS",""))))))</f>
        <v/>
      </c>
      <c r="G1419" s="1166">
        <f>'House Count'!F1419</f>
        <v/>
      </c>
      <c r="H1419" s="1166">
        <f>'House Count'!H1419</f>
        <v/>
      </c>
    </row>
    <row r="1420">
      <c r="A1420" s="1165">
        <f>'House Count'!A1420</f>
        <v/>
      </c>
      <c r="B1420" s="1166">
        <f>'House Count'!E1420</f>
        <v/>
      </c>
      <c r="C1420" s="1166">
        <f>'House Count'!B1420</f>
        <v/>
      </c>
      <c r="D1420" s="1166">
        <f>'House Count'!C1420</f>
        <v/>
      </c>
      <c r="E1420" s="1166">
        <f>'House Count'!D1420</f>
        <v/>
      </c>
      <c r="F1420" s="1166">
        <f>IF(G1420="RES-SFU","RESIDENTIAL",IF(G1420="RES-HOA","RESIDENTIAL",IF(G1420="RES-MDU","RESIDENTIAL",IF(G1420="COMM-SU","BUSINESS",IF(G1420="COM-MTU","BUSINESS",IF(G1420="ENT","BUSINESS",""))))))</f>
        <v/>
      </c>
      <c r="G1420" s="1166">
        <f>'House Count'!F1420</f>
        <v/>
      </c>
      <c r="H1420" s="1166">
        <f>'House Count'!H1420</f>
        <v/>
      </c>
    </row>
    <row r="1421">
      <c r="A1421" s="1165">
        <f>'House Count'!A1421</f>
        <v/>
      </c>
      <c r="B1421" s="1166">
        <f>'House Count'!E1421</f>
        <v/>
      </c>
      <c r="C1421" s="1166">
        <f>'House Count'!B1421</f>
        <v/>
      </c>
      <c r="D1421" s="1166">
        <f>'House Count'!C1421</f>
        <v/>
      </c>
      <c r="E1421" s="1166">
        <f>'House Count'!D1421</f>
        <v/>
      </c>
      <c r="F1421" s="1166">
        <f>IF(G1421="RES-SFU","RESIDENTIAL",IF(G1421="RES-HOA","RESIDENTIAL",IF(G1421="RES-MDU","RESIDENTIAL",IF(G1421="COMM-SU","BUSINESS",IF(G1421="COM-MTU","BUSINESS",IF(G1421="ENT","BUSINESS",""))))))</f>
        <v/>
      </c>
      <c r="G1421" s="1166">
        <f>'House Count'!F1421</f>
        <v/>
      </c>
      <c r="H1421" s="1166">
        <f>'House Count'!H1421</f>
        <v/>
      </c>
    </row>
    <row r="1422">
      <c r="A1422" s="1165">
        <f>'House Count'!A1422</f>
        <v/>
      </c>
      <c r="B1422" s="1166">
        <f>'House Count'!E1422</f>
        <v/>
      </c>
      <c r="C1422" s="1166">
        <f>'House Count'!B1422</f>
        <v/>
      </c>
      <c r="D1422" s="1166">
        <f>'House Count'!C1422</f>
        <v/>
      </c>
      <c r="E1422" s="1166">
        <f>'House Count'!D1422</f>
        <v/>
      </c>
      <c r="F1422" s="1166">
        <f>IF(G1422="RES-SFU","RESIDENTIAL",IF(G1422="RES-HOA","RESIDENTIAL",IF(G1422="RES-MDU","RESIDENTIAL",IF(G1422="COMM-SU","BUSINESS",IF(G1422="COM-MTU","BUSINESS",IF(G1422="ENT","BUSINESS",""))))))</f>
        <v/>
      </c>
      <c r="G1422" s="1166">
        <f>'House Count'!F1422</f>
        <v/>
      </c>
      <c r="H1422" s="1166">
        <f>'House Count'!H1422</f>
        <v/>
      </c>
    </row>
    <row r="1423">
      <c r="A1423" s="1165">
        <f>'House Count'!A1423</f>
        <v/>
      </c>
      <c r="B1423" s="1166">
        <f>'House Count'!E1423</f>
        <v/>
      </c>
      <c r="C1423" s="1166">
        <f>'House Count'!B1423</f>
        <v/>
      </c>
      <c r="D1423" s="1166">
        <f>'House Count'!C1423</f>
        <v/>
      </c>
      <c r="E1423" s="1166">
        <f>'House Count'!D1423</f>
        <v/>
      </c>
      <c r="F1423" s="1166">
        <f>IF(G1423="RES-SFU","RESIDENTIAL",IF(G1423="RES-HOA","RESIDENTIAL",IF(G1423="RES-MDU","RESIDENTIAL",IF(G1423="COMM-SU","BUSINESS",IF(G1423="COM-MTU","BUSINESS",IF(G1423="ENT","BUSINESS",""))))))</f>
        <v/>
      </c>
      <c r="G1423" s="1166">
        <f>'House Count'!F1423</f>
        <v/>
      </c>
      <c r="H1423" s="1166">
        <f>'House Count'!H1423</f>
        <v/>
      </c>
    </row>
    <row r="1424">
      <c r="A1424" s="1165">
        <f>'House Count'!A1424</f>
        <v/>
      </c>
      <c r="B1424" s="1166">
        <f>'House Count'!E1424</f>
        <v/>
      </c>
      <c r="C1424" s="1166">
        <f>'House Count'!B1424</f>
        <v/>
      </c>
      <c r="D1424" s="1166">
        <f>'House Count'!C1424</f>
        <v/>
      </c>
      <c r="E1424" s="1166">
        <f>'House Count'!D1424</f>
        <v/>
      </c>
      <c r="F1424" s="1166">
        <f>IF(G1424="RES-SFU","RESIDENTIAL",IF(G1424="RES-HOA","RESIDENTIAL",IF(G1424="RES-MDU","RESIDENTIAL",IF(G1424="COMM-SU","BUSINESS",IF(G1424="COM-MTU","BUSINESS",IF(G1424="ENT","BUSINESS",""))))))</f>
        <v/>
      </c>
      <c r="G1424" s="1166">
        <f>'House Count'!F1424</f>
        <v/>
      </c>
      <c r="H1424" s="1166">
        <f>'House Count'!H1424</f>
        <v/>
      </c>
    </row>
    <row r="1425">
      <c r="A1425" s="1165">
        <f>'House Count'!A1425</f>
        <v/>
      </c>
      <c r="B1425" s="1166">
        <f>'House Count'!E1425</f>
        <v/>
      </c>
      <c r="C1425" s="1166">
        <f>'House Count'!B1425</f>
        <v/>
      </c>
      <c r="D1425" s="1166">
        <f>'House Count'!C1425</f>
        <v/>
      </c>
      <c r="E1425" s="1166">
        <f>'House Count'!D1425</f>
        <v/>
      </c>
      <c r="F1425" s="1166">
        <f>IF(G1425="RES-SFU","RESIDENTIAL",IF(G1425="RES-HOA","RESIDENTIAL",IF(G1425="RES-MDU","RESIDENTIAL",IF(G1425="COMM-SU","BUSINESS",IF(G1425="COM-MTU","BUSINESS",IF(G1425="ENT","BUSINESS",""))))))</f>
        <v/>
      </c>
      <c r="G1425" s="1166">
        <f>'House Count'!F1425</f>
        <v/>
      </c>
      <c r="H1425" s="1166">
        <f>'House Count'!H1425</f>
        <v/>
      </c>
    </row>
    <row r="1426">
      <c r="A1426" s="1165">
        <f>'House Count'!A1426</f>
        <v/>
      </c>
      <c r="B1426" s="1166">
        <f>'House Count'!E1426</f>
        <v/>
      </c>
      <c r="C1426" s="1166">
        <f>'House Count'!B1426</f>
        <v/>
      </c>
      <c r="D1426" s="1166">
        <f>'House Count'!C1426</f>
        <v/>
      </c>
      <c r="E1426" s="1166">
        <f>'House Count'!D1426</f>
        <v/>
      </c>
      <c r="F1426" s="1166">
        <f>IF(G1426="RES-SFU","RESIDENTIAL",IF(G1426="RES-HOA","RESIDENTIAL",IF(G1426="RES-MDU","RESIDENTIAL",IF(G1426="COMM-SU","BUSINESS",IF(G1426="COM-MTU","BUSINESS",IF(G1426="ENT","BUSINESS",""))))))</f>
        <v/>
      </c>
      <c r="G1426" s="1166">
        <f>'House Count'!F1426</f>
        <v/>
      </c>
      <c r="H1426" s="1166">
        <f>'House Count'!H1426</f>
        <v/>
      </c>
    </row>
    <row r="1427">
      <c r="A1427" s="1165">
        <f>'House Count'!A1427</f>
        <v/>
      </c>
      <c r="B1427" s="1166">
        <f>'House Count'!E1427</f>
        <v/>
      </c>
      <c r="C1427" s="1166">
        <f>'House Count'!B1427</f>
        <v/>
      </c>
      <c r="D1427" s="1166">
        <f>'House Count'!C1427</f>
        <v/>
      </c>
      <c r="E1427" s="1166">
        <f>'House Count'!D1427</f>
        <v/>
      </c>
      <c r="F1427" s="1166">
        <f>IF(G1427="RES-SFU","RESIDENTIAL",IF(G1427="RES-HOA","RESIDENTIAL",IF(G1427="RES-MDU","RESIDENTIAL",IF(G1427="COMM-SU","BUSINESS",IF(G1427="COM-MTU","BUSINESS",IF(G1427="ENT","BUSINESS",""))))))</f>
        <v/>
      </c>
      <c r="G1427" s="1166">
        <f>'House Count'!F1427</f>
        <v/>
      </c>
      <c r="H1427" s="1166">
        <f>'House Count'!H1427</f>
        <v/>
      </c>
    </row>
    <row r="1428">
      <c r="A1428" s="1165">
        <f>'House Count'!A1428</f>
        <v/>
      </c>
      <c r="B1428" s="1166">
        <f>'House Count'!E1428</f>
        <v/>
      </c>
      <c r="C1428" s="1166">
        <f>'House Count'!B1428</f>
        <v/>
      </c>
      <c r="D1428" s="1166">
        <f>'House Count'!C1428</f>
        <v/>
      </c>
      <c r="E1428" s="1166">
        <f>'House Count'!D1428</f>
        <v/>
      </c>
      <c r="F1428" s="1166">
        <f>IF(G1428="RES-SFU","RESIDENTIAL",IF(G1428="RES-HOA","RESIDENTIAL",IF(G1428="RES-MDU","RESIDENTIAL",IF(G1428="COMM-SU","BUSINESS",IF(G1428="COM-MTU","BUSINESS",IF(G1428="ENT","BUSINESS",""))))))</f>
        <v/>
      </c>
      <c r="G1428" s="1166">
        <f>'House Count'!F1428</f>
        <v/>
      </c>
      <c r="H1428" s="1166">
        <f>'House Count'!H1428</f>
        <v/>
      </c>
    </row>
    <row r="1429">
      <c r="A1429" s="1165">
        <f>'House Count'!A1429</f>
        <v/>
      </c>
      <c r="B1429" s="1166">
        <f>'House Count'!E1429</f>
        <v/>
      </c>
      <c r="C1429" s="1166">
        <f>'House Count'!B1429</f>
        <v/>
      </c>
      <c r="D1429" s="1166">
        <f>'House Count'!C1429</f>
        <v/>
      </c>
      <c r="E1429" s="1166">
        <f>'House Count'!D1429</f>
        <v/>
      </c>
      <c r="F1429" s="1166">
        <f>IF(G1429="RES-SFU","RESIDENTIAL",IF(G1429="RES-HOA","RESIDENTIAL",IF(G1429="RES-MDU","RESIDENTIAL",IF(G1429="COMM-SU","BUSINESS",IF(G1429="COM-MTU","BUSINESS",IF(G1429="ENT","BUSINESS",""))))))</f>
        <v/>
      </c>
      <c r="G1429" s="1166">
        <f>'House Count'!F1429</f>
        <v/>
      </c>
      <c r="H1429" s="1166">
        <f>'House Count'!H1429</f>
        <v/>
      </c>
    </row>
    <row r="1430">
      <c r="A1430" s="1165">
        <f>'House Count'!A1430</f>
        <v/>
      </c>
      <c r="B1430" s="1166">
        <f>'House Count'!E1430</f>
        <v/>
      </c>
      <c r="C1430" s="1166">
        <f>'House Count'!B1430</f>
        <v/>
      </c>
      <c r="D1430" s="1166">
        <f>'House Count'!C1430</f>
        <v/>
      </c>
      <c r="E1430" s="1166">
        <f>'House Count'!D1430</f>
        <v/>
      </c>
      <c r="F1430" s="1166">
        <f>IF(G1430="RES-SFU","RESIDENTIAL",IF(G1430="RES-HOA","RESIDENTIAL",IF(G1430="RES-MDU","RESIDENTIAL",IF(G1430="COMM-SU","BUSINESS",IF(G1430="COM-MTU","BUSINESS",IF(G1430="ENT","BUSINESS",""))))))</f>
        <v/>
      </c>
      <c r="G1430" s="1166">
        <f>'House Count'!F1430</f>
        <v/>
      </c>
      <c r="H1430" s="1166">
        <f>'House Count'!H1430</f>
        <v/>
      </c>
    </row>
    <row r="1431">
      <c r="A1431" s="1165">
        <f>'House Count'!A1431</f>
        <v/>
      </c>
      <c r="B1431" s="1166">
        <f>'House Count'!E1431</f>
        <v/>
      </c>
      <c r="C1431" s="1166">
        <f>'House Count'!B1431</f>
        <v/>
      </c>
      <c r="D1431" s="1166">
        <f>'House Count'!C1431</f>
        <v/>
      </c>
      <c r="E1431" s="1166">
        <f>'House Count'!D1431</f>
        <v/>
      </c>
      <c r="F1431" s="1166">
        <f>IF(G1431="RES-SFU","RESIDENTIAL",IF(G1431="RES-HOA","RESIDENTIAL",IF(G1431="RES-MDU","RESIDENTIAL",IF(G1431="COMM-SU","BUSINESS",IF(G1431="COM-MTU","BUSINESS",IF(G1431="ENT","BUSINESS",""))))))</f>
        <v/>
      </c>
      <c r="G1431" s="1166">
        <f>'House Count'!F1431</f>
        <v/>
      </c>
      <c r="H1431" s="1166">
        <f>'House Count'!H1431</f>
        <v/>
      </c>
    </row>
    <row r="1432">
      <c r="A1432" s="1165">
        <f>'House Count'!A1432</f>
        <v/>
      </c>
      <c r="B1432" s="1166">
        <f>'House Count'!E1432</f>
        <v/>
      </c>
      <c r="C1432" s="1166">
        <f>'House Count'!B1432</f>
        <v/>
      </c>
      <c r="D1432" s="1166">
        <f>'House Count'!C1432</f>
        <v/>
      </c>
      <c r="E1432" s="1166">
        <f>'House Count'!D1432</f>
        <v/>
      </c>
      <c r="F1432" s="1166">
        <f>IF(G1432="RES-SFU","RESIDENTIAL",IF(G1432="RES-HOA","RESIDENTIAL",IF(G1432="RES-MDU","RESIDENTIAL",IF(G1432="COMM-SU","BUSINESS",IF(G1432="COM-MTU","BUSINESS",IF(G1432="ENT","BUSINESS",""))))))</f>
        <v/>
      </c>
      <c r="G1432" s="1166">
        <f>'House Count'!F1432</f>
        <v/>
      </c>
      <c r="H1432" s="1166">
        <f>'House Count'!H1432</f>
        <v/>
      </c>
    </row>
    <row r="1433">
      <c r="A1433" s="1165">
        <f>'House Count'!A1433</f>
        <v/>
      </c>
      <c r="B1433" s="1166">
        <f>'House Count'!E1433</f>
        <v/>
      </c>
      <c r="C1433" s="1166">
        <f>'House Count'!B1433</f>
        <v/>
      </c>
      <c r="D1433" s="1166">
        <f>'House Count'!C1433</f>
        <v/>
      </c>
      <c r="E1433" s="1166">
        <f>'House Count'!D1433</f>
        <v/>
      </c>
      <c r="F1433" s="1166">
        <f>IF(G1433="RES-SFU","RESIDENTIAL",IF(G1433="RES-HOA","RESIDENTIAL",IF(G1433="RES-MDU","RESIDENTIAL",IF(G1433="COMM-SU","BUSINESS",IF(G1433="COM-MTU","BUSINESS",IF(G1433="ENT","BUSINESS",""))))))</f>
        <v/>
      </c>
      <c r="G1433" s="1166">
        <f>'House Count'!F1433</f>
        <v/>
      </c>
      <c r="H1433" s="1166">
        <f>'House Count'!H1433</f>
        <v/>
      </c>
    </row>
    <row r="1434">
      <c r="A1434" s="1165">
        <f>'House Count'!A1434</f>
        <v/>
      </c>
      <c r="B1434" s="1166">
        <f>'House Count'!E1434</f>
        <v/>
      </c>
      <c r="C1434" s="1166">
        <f>'House Count'!B1434</f>
        <v/>
      </c>
      <c r="D1434" s="1166">
        <f>'House Count'!C1434</f>
        <v/>
      </c>
      <c r="E1434" s="1166">
        <f>'House Count'!D1434</f>
        <v/>
      </c>
      <c r="F1434" s="1166">
        <f>IF(G1434="RES-SFU","RESIDENTIAL",IF(G1434="RES-HOA","RESIDENTIAL",IF(G1434="RES-MDU","RESIDENTIAL",IF(G1434="COMM-SU","BUSINESS",IF(G1434="COM-MTU","BUSINESS",IF(G1434="ENT","BUSINESS",""))))))</f>
        <v/>
      </c>
      <c r="G1434" s="1166">
        <f>'House Count'!F1434</f>
        <v/>
      </c>
      <c r="H1434" s="1166">
        <f>'House Count'!H1434</f>
        <v/>
      </c>
    </row>
    <row r="1435">
      <c r="A1435" s="1165">
        <f>'House Count'!A1435</f>
        <v/>
      </c>
      <c r="B1435" s="1166">
        <f>'House Count'!E1435</f>
        <v/>
      </c>
      <c r="C1435" s="1166">
        <f>'House Count'!B1435</f>
        <v/>
      </c>
      <c r="D1435" s="1166">
        <f>'House Count'!C1435</f>
        <v/>
      </c>
      <c r="E1435" s="1166">
        <f>'House Count'!D1435</f>
        <v/>
      </c>
      <c r="F1435" s="1166">
        <f>IF(G1435="RES-SFU","RESIDENTIAL",IF(G1435="RES-HOA","RESIDENTIAL",IF(G1435="RES-MDU","RESIDENTIAL",IF(G1435="COMM-SU","BUSINESS",IF(G1435="COM-MTU","BUSINESS",IF(G1435="ENT","BUSINESS",""))))))</f>
        <v/>
      </c>
      <c r="G1435" s="1166">
        <f>'House Count'!F1435</f>
        <v/>
      </c>
      <c r="H1435" s="1166">
        <f>'House Count'!H1435</f>
        <v/>
      </c>
    </row>
    <row r="1436">
      <c r="A1436" s="1165">
        <f>'House Count'!A1436</f>
        <v/>
      </c>
      <c r="B1436" s="1166">
        <f>'House Count'!E1436</f>
        <v/>
      </c>
      <c r="C1436" s="1166">
        <f>'House Count'!B1436</f>
        <v/>
      </c>
      <c r="D1436" s="1166">
        <f>'House Count'!C1436</f>
        <v/>
      </c>
      <c r="E1436" s="1166">
        <f>'House Count'!D1436</f>
        <v/>
      </c>
      <c r="F1436" s="1166">
        <f>IF(G1436="RES-SFU","RESIDENTIAL",IF(G1436="RES-HOA","RESIDENTIAL",IF(G1436="RES-MDU","RESIDENTIAL",IF(G1436="COMM-SU","BUSINESS",IF(G1436="COM-MTU","BUSINESS",IF(G1436="ENT","BUSINESS",""))))))</f>
        <v/>
      </c>
      <c r="G1436" s="1166">
        <f>'House Count'!F1436</f>
        <v/>
      </c>
      <c r="H1436" s="1166">
        <f>'House Count'!H1436</f>
        <v/>
      </c>
    </row>
    <row r="1437">
      <c r="A1437" s="1165">
        <f>'House Count'!A1437</f>
        <v/>
      </c>
      <c r="B1437" s="1166">
        <f>'House Count'!E1437</f>
        <v/>
      </c>
      <c r="C1437" s="1166">
        <f>'House Count'!B1437</f>
        <v/>
      </c>
      <c r="D1437" s="1166">
        <f>'House Count'!C1437</f>
        <v/>
      </c>
      <c r="E1437" s="1166">
        <f>'House Count'!D1437</f>
        <v/>
      </c>
      <c r="F1437" s="1166">
        <f>IF(G1437="RES-SFU","RESIDENTIAL",IF(G1437="RES-HOA","RESIDENTIAL",IF(G1437="RES-MDU","RESIDENTIAL",IF(G1437="COMM-SU","BUSINESS",IF(G1437="COM-MTU","BUSINESS",IF(G1437="ENT","BUSINESS",""))))))</f>
        <v/>
      </c>
      <c r="G1437" s="1166">
        <f>'House Count'!F1437</f>
        <v/>
      </c>
      <c r="H1437" s="1166">
        <f>'House Count'!H1437</f>
        <v/>
      </c>
    </row>
    <row r="1438">
      <c r="A1438" s="1165">
        <f>'House Count'!A1438</f>
        <v/>
      </c>
      <c r="B1438" s="1166">
        <f>'House Count'!E1438</f>
        <v/>
      </c>
      <c r="C1438" s="1166">
        <f>'House Count'!B1438</f>
        <v/>
      </c>
      <c r="D1438" s="1166">
        <f>'House Count'!C1438</f>
        <v/>
      </c>
      <c r="E1438" s="1166">
        <f>'House Count'!D1438</f>
        <v/>
      </c>
      <c r="F1438" s="1166">
        <f>IF(G1438="RES-SFU","RESIDENTIAL",IF(G1438="RES-HOA","RESIDENTIAL",IF(G1438="RES-MDU","RESIDENTIAL",IF(G1438="COMM-SU","BUSINESS",IF(G1438="COM-MTU","BUSINESS",IF(G1438="ENT","BUSINESS",""))))))</f>
        <v/>
      </c>
      <c r="G1438" s="1166">
        <f>'House Count'!F1438</f>
        <v/>
      </c>
      <c r="H1438" s="1166">
        <f>'House Count'!H1438</f>
        <v/>
      </c>
    </row>
    <row r="1439">
      <c r="A1439" s="1165">
        <f>'House Count'!A1439</f>
        <v/>
      </c>
      <c r="B1439" s="1166">
        <f>'House Count'!E1439</f>
        <v/>
      </c>
      <c r="C1439" s="1166">
        <f>'House Count'!B1439</f>
        <v/>
      </c>
      <c r="D1439" s="1166">
        <f>'House Count'!C1439</f>
        <v/>
      </c>
      <c r="E1439" s="1166">
        <f>'House Count'!D1439</f>
        <v/>
      </c>
      <c r="F1439" s="1166">
        <f>IF(G1439="RES-SFU","RESIDENTIAL",IF(G1439="RES-HOA","RESIDENTIAL",IF(G1439="RES-MDU","RESIDENTIAL",IF(G1439="COMM-SU","BUSINESS",IF(G1439="COM-MTU","BUSINESS",IF(G1439="ENT","BUSINESS",""))))))</f>
        <v/>
      </c>
      <c r="G1439" s="1166">
        <f>'House Count'!F1439</f>
        <v/>
      </c>
      <c r="H1439" s="1166">
        <f>'House Count'!H1439</f>
        <v/>
      </c>
    </row>
    <row r="1440">
      <c r="A1440" s="1165">
        <f>'House Count'!A1440</f>
        <v/>
      </c>
      <c r="B1440" s="1166">
        <f>'House Count'!E1440</f>
        <v/>
      </c>
      <c r="C1440" s="1166">
        <f>'House Count'!B1440</f>
        <v/>
      </c>
      <c r="D1440" s="1166">
        <f>'House Count'!C1440</f>
        <v/>
      </c>
      <c r="E1440" s="1166">
        <f>'House Count'!D1440</f>
        <v/>
      </c>
      <c r="F1440" s="1166">
        <f>IF(G1440="RES-SFU","RESIDENTIAL",IF(G1440="RES-HOA","RESIDENTIAL",IF(G1440="RES-MDU","RESIDENTIAL",IF(G1440="COMM-SU","BUSINESS",IF(G1440="COM-MTU","BUSINESS",IF(G1440="ENT","BUSINESS",""))))))</f>
        <v/>
      </c>
      <c r="G1440" s="1166">
        <f>'House Count'!F1440</f>
        <v/>
      </c>
      <c r="H1440" s="1166">
        <f>'House Count'!H1440</f>
        <v/>
      </c>
    </row>
    <row r="1441">
      <c r="A1441" s="1165">
        <f>'House Count'!A1441</f>
        <v/>
      </c>
      <c r="B1441" s="1166">
        <f>'House Count'!E1441</f>
        <v/>
      </c>
      <c r="C1441" s="1166">
        <f>'House Count'!B1441</f>
        <v/>
      </c>
      <c r="D1441" s="1166">
        <f>'House Count'!C1441</f>
        <v/>
      </c>
      <c r="E1441" s="1166">
        <f>'House Count'!D1441</f>
        <v/>
      </c>
      <c r="F1441" s="1166">
        <f>IF(G1441="RES-SFU","RESIDENTIAL",IF(G1441="RES-HOA","RESIDENTIAL",IF(G1441="RES-MDU","RESIDENTIAL",IF(G1441="COMM-SU","BUSINESS",IF(G1441="COM-MTU","BUSINESS",IF(G1441="ENT","BUSINESS",""))))))</f>
        <v/>
      </c>
      <c r="G1441" s="1166">
        <f>'House Count'!F1441</f>
        <v/>
      </c>
      <c r="H1441" s="1166">
        <f>'House Count'!H1441</f>
        <v/>
      </c>
    </row>
    <row r="1442">
      <c r="A1442" s="1165">
        <f>'House Count'!A1442</f>
        <v/>
      </c>
      <c r="B1442" s="1166">
        <f>'House Count'!E1442</f>
        <v/>
      </c>
      <c r="C1442" s="1166">
        <f>'House Count'!B1442</f>
        <v/>
      </c>
      <c r="D1442" s="1166">
        <f>'House Count'!C1442</f>
        <v/>
      </c>
      <c r="E1442" s="1166">
        <f>'House Count'!D1442</f>
        <v/>
      </c>
      <c r="F1442" s="1166">
        <f>IF(G1442="RES-SFU","RESIDENTIAL",IF(G1442="RES-HOA","RESIDENTIAL",IF(G1442="RES-MDU","RESIDENTIAL",IF(G1442="COMM-SU","BUSINESS",IF(G1442="COM-MTU","BUSINESS",IF(G1442="ENT","BUSINESS",""))))))</f>
        <v/>
      </c>
      <c r="G1442" s="1166">
        <f>'House Count'!F1442</f>
        <v/>
      </c>
      <c r="H1442" s="1166">
        <f>'House Count'!H1442</f>
        <v/>
      </c>
    </row>
    <row r="1443">
      <c r="A1443" s="1165">
        <f>'House Count'!A1443</f>
        <v/>
      </c>
      <c r="B1443" s="1166">
        <f>'House Count'!E1443</f>
        <v/>
      </c>
      <c r="C1443" s="1166">
        <f>'House Count'!B1443</f>
        <v/>
      </c>
      <c r="D1443" s="1166">
        <f>'House Count'!C1443</f>
        <v/>
      </c>
      <c r="E1443" s="1166">
        <f>'House Count'!D1443</f>
        <v/>
      </c>
      <c r="F1443" s="1166">
        <f>IF(G1443="RES-SFU","RESIDENTIAL",IF(G1443="RES-HOA","RESIDENTIAL",IF(G1443="RES-MDU","RESIDENTIAL",IF(G1443="COMM-SU","BUSINESS",IF(G1443="COM-MTU","BUSINESS",IF(G1443="ENT","BUSINESS",""))))))</f>
        <v/>
      </c>
      <c r="G1443" s="1166">
        <f>'House Count'!F1443</f>
        <v/>
      </c>
      <c r="H1443" s="1166">
        <f>'House Count'!H1443</f>
        <v/>
      </c>
    </row>
    <row r="1444">
      <c r="A1444" s="1165">
        <f>'House Count'!A1444</f>
        <v/>
      </c>
      <c r="B1444" s="1166">
        <f>'House Count'!E1444</f>
        <v/>
      </c>
      <c r="C1444" s="1166">
        <f>'House Count'!B1444</f>
        <v/>
      </c>
      <c r="D1444" s="1166">
        <f>'House Count'!C1444</f>
        <v/>
      </c>
      <c r="E1444" s="1166">
        <f>'House Count'!D1444</f>
        <v/>
      </c>
      <c r="F1444" s="1166">
        <f>IF(G1444="RES-SFU","RESIDENTIAL",IF(G1444="RES-HOA","RESIDENTIAL",IF(G1444="RES-MDU","RESIDENTIAL",IF(G1444="COMM-SU","BUSINESS",IF(G1444="COM-MTU","BUSINESS",IF(G1444="ENT","BUSINESS",""))))))</f>
        <v/>
      </c>
      <c r="G1444" s="1166">
        <f>'House Count'!F1444</f>
        <v/>
      </c>
      <c r="H1444" s="1166">
        <f>'House Count'!H1444</f>
        <v/>
      </c>
    </row>
    <row r="1445">
      <c r="A1445" s="1165">
        <f>'House Count'!A1445</f>
        <v/>
      </c>
      <c r="B1445" s="1166">
        <f>'House Count'!E1445</f>
        <v/>
      </c>
      <c r="C1445" s="1166">
        <f>'House Count'!B1445</f>
        <v/>
      </c>
      <c r="D1445" s="1166">
        <f>'House Count'!C1445</f>
        <v/>
      </c>
      <c r="E1445" s="1166">
        <f>'House Count'!D1445</f>
        <v/>
      </c>
      <c r="F1445" s="1166">
        <f>IF(G1445="RES-SFU","RESIDENTIAL",IF(G1445="RES-HOA","RESIDENTIAL",IF(G1445="RES-MDU","RESIDENTIAL",IF(G1445="COMM-SU","BUSINESS",IF(G1445="COM-MTU","BUSINESS",IF(G1445="ENT","BUSINESS",""))))))</f>
        <v/>
      </c>
      <c r="G1445" s="1166">
        <f>'House Count'!F1445</f>
        <v/>
      </c>
      <c r="H1445" s="1166">
        <f>'House Count'!H1445</f>
        <v/>
      </c>
    </row>
    <row r="1446">
      <c r="A1446" s="1165">
        <f>'House Count'!A1446</f>
        <v/>
      </c>
      <c r="B1446" s="1166">
        <f>'House Count'!E1446</f>
        <v/>
      </c>
      <c r="C1446" s="1166">
        <f>'House Count'!B1446</f>
        <v/>
      </c>
      <c r="D1446" s="1166">
        <f>'House Count'!C1446</f>
        <v/>
      </c>
      <c r="E1446" s="1166">
        <f>'House Count'!D1446</f>
        <v/>
      </c>
      <c r="F1446" s="1166">
        <f>IF(G1446="RES-SFU","RESIDENTIAL",IF(G1446="RES-HOA","RESIDENTIAL",IF(G1446="RES-MDU","RESIDENTIAL",IF(G1446="COMM-SU","BUSINESS",IF(G1446="COM-MTU","BUSINESS",IF(G1446="ENT","BUSINESS",""))))))</f>
        <v/>
      </c>
      <c r="G1446" s="1166">
        <f>'House Count'!F1446</f>
        <v/>
      </c>
      <c r="H1446" s="1166">
        <f>'House Count'!H1446</f>
        <v/>
      </c>
    </row>
    <row r="1447">
      <c r="A1447" s="1165">
        <f>'House Count'!A1447</f>
        <v/>
      </c>
      <c r="B1447" s="1166">
        <f>'House Count'!E1447</f>
        <v/>
      </c>
      <c r="C1447" s="1166">
        <f>'House Count'!B1447</f>
        <v/>
      </c>
      <c r="D1447" s="1166">
        <f>'House Count'!C1447</f>
        <v/>
      </c>
      <c r="E1447" s="1166">
        <f>'House Count'!D1447</f>
        <v/>
      </c>
      <c r="F1447" s="1166">
        <f>IF(G1447="RES-SFU","RESIDENTIAL",IF(G1447="RES-HOA","RESIDENTIAL",IF(G1447="RES-MDU","RESIDENTIAL",IF(G1447="COMM-SU","BUSINESS",IF(G1447="COM-MTU","BUSINESS",IF(G1447="ENT","BUSINESS",""))))))</f>
        <v/>
      </c>
      <c r="G1447" s="1166">
        <f>'House Count'!F1447</f>
        <v/>
      </c>
      <c r="H1447" s="1166">
        <f>'House Count'!H1447</f>
        <v/>
      </c>
    </row>
    <row r="1448">
      <c r="A1448" s="1165">
        <f>'House Count'!A1448</f>
        <v/>
      </c>
      <c r="B1448" s="1166">
        <f>'House Count'!E1448</f>
        <v/>
      </c>
      <c r="C1448" s="1166">
        <f>'House Count'!B1448</f>
        <v/>
      </c>
      <c r="D1448" s="1166">
        <f>'House Count'!C1448</f>
        <v/>
      </c>
      <c r="E1448" s="1166">
        <f>'House Count'!D1448</f>
        <v/>
      </c>
      <c r="F1448" s="1166">
        <f>IF(G1448="RES-SFU","RESIDENTIAL",IF(G1448="RES-HOA","RESIDENTIAL",IF(G1448="RES-MDU","RESIDENTIAL",IF(G1448="COMM-SU","BUSINESS",IF(G1448="COM-MTU","BUSINESS",IF(G1448="ENT","BUSINESS",""))))))</f>
        <v/>
      </c>
      <c r="G1448" s="1166">
        <f>'House Count'!F1448</f>
        <v/>
      </c>
      <c r="H1448" s="1166">
        <f>'House Count'!H1448</f>
        <v/>
      </c>
    </row>
    <row r="1449">
      <c r="A1449" s="1165">
        <f>'House Count'!A1449</f>
        <v/>
      </c>
      <c r="B1449" s="1166">
        <f>'House Count'!E1449</f>
        <v/>
      </c>
      <c r="C1449" s="1166">
        <f>'House Count'!B1449</f>
        <v/>
      </c>
      <c r="D1449" s="1166">
        <f>'House Count'!C1449</f>
        <v/>
      </c>
      <c r="E1449" s="1166">
        <f>'House Count'!D1449</f>
        <v/>
      </c>
      <c r="F1449" s="1166">
        <f>IF(G1449="RES-SFU","RESIDENTIAL",IF(G1449="RES-HOA","RESIDENTIAL",IF(G1449="RES-MDU","RESIDENTIAL",IF(G1449="COMM-SU","BUSINESS",IF(G1449="COM-MTU","BUSINESS",IF(G1449="ENT","BUSINESS",""))))))</f>
        <v/>
      </c>
      <c r="G1449" s="1166">
        <f>'House Count'!F1449</f>
        <v/>
      </c>
      <c r="H1449" s="1166">
        <f>'House Count'!H1449</f>
        <v/>
      </c>
    </row>
    <row r="1450">
      <c r="A1450" s="1165">
        <f>'House Count'!A1450</f>
        <v/>
      </c>
      <c r="B1450" s="1166">
        <f>'House Count'!E1450</f>
        <v/>
      </c>
      <c r="C1450" s="1166">
        <f>'House Count'!B1450</f>
        <v/>
      </c>
      <c r="D1450" s="1166">
        <f>'House Count'!C1450</f>
        <v/>
      </c>
      <c r="E1450" s="1166">
        <f>'House Count'!D1450</f>
        <v/>
      </c>
      <c r="F1450" s="1166">
        <f>IF(G1450="RES-SFU","RESIDENTIAL",IF(G1450="RES-HOA","RESIDENTIAL",IF(G1450="RES-MDU","RESIDENTIAL",IF(G1450="COMM-SU","BUSINESS",IF(G1450="COM-MTU","BUSINESS",IF(G1450="ENT","BUSINESS",""))))))</f>
        <v/>
      </c>
      <c r="G1450" s="1166">
        <f>'House Count'!F1450</f>
        <v/>
      </c>
      <c r="H1450" s="1166">
        <f>'House Count'!H1450</f>
        <v/>
      </c>
    </row>
    <row r="1451">
      <c r="A1451" s="1165">
        <f>'House Count'!A1451</f>
        <v/>
      </c>
      <c r="B1451" s="1166">
        <f>'House Count'!E1451</f>
        <v/>
      </c>
      <c r="C1451" s="1166">
        <f>'House Count'!B1451</f>
        <v/>
      </c>
      <c r="D1451" s="1166">
        <f>'House Count'!C1451</f>
        <v/>
      </c>
      <c r="E1451" s="1166">
        <f>'House Count'!D1451</f>
        <v/>
      </c>
      <c r="F1451" s="1166">
        <f>IF(G1451="RES-SFU","RESIDENTIAL",IF(G1451="RES-HOA","RESIDENTIAL",IF(G1451="RES-MDU","RESIDENTIAL",IF(G1451="COMM-SU","BUSINESS",IF(G1451="COM-MTU","BUSINESS",IF(G1451="ENT","BUSINESS",""))))))</f>
        <v/>
      </c>
      <c r="G1451" s="1166">
        <f>'House Count'!F1451</f>
        <v/>
      </c>
      <c r="H1451" s="1166">
        <f>'House Count'!H1451</f>
        <v/>
      </c>
    </row>
    <row r="1452">
      <c r="A1452" s="1165">
        <f>'House Count'!A1452</f>
        <v/>
      </c>
      <c r="B1452" s="1166">
        <f>'House Count'!E1452</f>
        <v/>
      </c>
      <c r="C1452" s="1166">
        <f>'House Count'!B1452</f>
        <v/>
      </c>
      <c r="D1452" s="1166">
        <f>'House Count'!C1452</f>
        <v/>
      </c>
      <c r="E1452" s="1166">
        <f>'House Count'!D1452</f>
        <v/>
      </c>
      <c r="F1452" s="1166">
        <f>IF(G1452="RES-SFU","RESIDENTIAL",IF(G1452="RES-HOA","RESIDENTIAL",IF(G1452="RES-MDU","RESIDENTIAL",IF(G1452="COMM-SU","BUSINESS",IF(G1452="COM-MTU","BUSINESS",IF(G1452="ENT","BUSINESS",""))))))</f>
        <v/>
      </c>
      <c r="G1452" s="1166">
        <f>'House Count'!F1452</f>
        <v/>
      </c>
      <c r="H1452" s="1166">
        <f>'House Count'!H1452</f>
        <v/>
      </c>
    </row>
    <row r="1453">
      <c r="A1453" s="1165">
        <f>'House Count'!A1453</f>
        <v/>
      </c>
      <c r="B1453" s="1166">
        <f>'House Count'!E1453</f>
        <v/>
      </c>
      <c r="C1453" s="1166">
        <f>'House Count'!B1453</f>
        <v/>
      </c>
      <c r="D1453" s="1166">
        <f>'House Count'!C1453</f>
        <v/>
      </c>
      <c r="E1453" s="1166">
        <f>'House Count'!D1453</f>
        <v/>
      </c>
      <c r="F1453" s="1166">
        <f>IF(G1453="RES-SFU","RESIDENTIAL",IF(G1453="RES-HOA","RESIDENTIAL",IF(G1453="RES-MDU","RESIDENTIAL",IF(G1453="COMM-SU","BUSINESS",IF(G1453="COM-MTU","BUSINESS",IF(G1453="ENT","BUSINESS",""))))))</f>
        <v/>
      </c>
      <c r="G1453" s="1166">
        <f>'House Count'!F1453</f>
        <v/>
      </c>
      <c r="H1453" s="1166">
        <f>'House Count'!H1453</f>
        <v/>
      </c>
    </row>
    <row r="1454">
      <c r="A1454" s="1165">
        <f>'House Count'!A1454</f>
        <v/>
      </c>
      <c r="B1454" s="1166">
        <f>'House Count'!E1454</f>
        <v/>
      </c>
      <c r="C1454" s="1166">
        <f>'House Count'!B1454</f>
        <v/>
      </c>
      <c r="D1454" s="1166">
        <f>'House Count'!C1454</f>
        <v/>
      </c>
      <c r="E1454" s="1166">
        <f>'House Count'!D1454</f>
        <v/>
      </c>
      <c r="F1454" s="1166">
        <f>IF(G1454="RES-SFU","RESIDENTIAL",IF(G1454="RES-HOA","RESIDENTIAL",IF(G1454="RES-MDU","RESIDENTIAL",IF(G1454="COMM-SU","BUSINESS",IF(G1454="COM-MTU","BUSINESS",IF(G1454="ENT","BUSINESS",""))))))</f>
        <v/>
      </c>
      <c r="G1454" s="1166">
        <f>'House Count'!F1454</f>
        <v/>
      </c>
      <c r="H1454" s="1166">
        <f>'House Count'!H1454</f>
        <v/>
      </c>
    </row>
    <row r="1455">
      <c r="A1455" s="1165">
        <f>'House Count'!A1455</f>
        <v/>
      </c>
      <c r="B1455" s="1166">
        <f>'House Count'!E1455</f>
        <v/>
      </c>
      <c r="C1455" s="1166">
        <f>'House Count'!B1455</f>
        <v/>
      </c>
      <c r="D1455" s="1166">
        <f>'House Count'!C1455</f>
        <v/>
      </c>
      <c r="E1455" s="1166">
        <f>'House Count'!D1455</f>
        <v/>
      </c>
      <c r="F1455" s="1166">
        <f>IF(G1455="RES-SFU","RESIDENTIAL",IF(G1455="RES-HOA","RESIDENTIAL",IF(G1455="RES-MDU","RESIDENTIAL",IF(G1455="COMM-SU","BUSINESS",IF(G1455="COM-MTU","BUSINESS",IF(G1455="ENT","BUSINESS",""))))))</f>
        <v/>
      </c>
      <c r="G1455" s="1166">
        <f>'House Count'!F1455</f>
        <v/>
      </c>
      <c r="H1455" s="1166">
        <f>'House Count'!H1455</f>
        <v/>
      </c>
    </row>
    <row r="1456">
      <c r="A1456" s="1165">
        <f>'House Count'!A1456</f>
        <v/>
      </c>
      <c r="B1456" s="1166">
        <f>'House Count'!E1456</f>
        <v/>
      </c>
      <c r="C1456" s="1166">
        <f>'House Count'!B1456</f>
        <v/>
      </c>
      <c r="D1456" s="1166">
        <f>'House Count'!C1456</f>
        <v/>
      </c>
      <c r="E1456" s="1166">
        <f>'House Count'!D1456</f>
        <v/>
      </c>
      <c r="F1456" s="1166">
        <f>IF(G1456="RES-SFU","RESIDENTIAL",IF(G1456="RES-HOA","RESIDENTIAL",IF(G1456="RES-MDU","RESIDENTIAL",IF(G1456="COMM-SU","BUSINESS",IF(G1456="COM-MTU","BUSINESS",IF(G1456="ENT","BUSINESS",""))))))</f>
        <v/>
      </c>
      <c r="G1456" s="1166">
        <f>'House Count'!F1456</f>
        <v/>
      </c>
      <c r="H1456" s="1166">
        <f>'House Count'!H1456</f>
        <v/>
      </c>
    </row>
    <row r="1457">
      <c r="A1457" s="1165">
        <f>'House Count'!A1457</f>
        <v/>
      </c>
      <c r="B1457" s="1166">
        <f>'House Count'!E1457</f>
        <v/>
      </c>
      <c r="C1457" s="1166">
        <f>'House Count'!B1457</f>
        <v/>
      </c>
      <c r="D1457" s="1166">
        <f>'House Count'!C1457</f>
        <v/>
      </c>
      <c r="E1457" s="1166">
        <f>'House Count'!D1457</f>
        <v/>
      </c>
      <c r="F1457" s="1166">
        <f>IF(G1457="RES-SFU","RESIDENTIAL",IF(G1457="RES-HOA","RESIDENTIAL",IF(G1457="RES-MDU","RESIDENTIAL",IF(G1457="COMM-SU","BUSINESS",IF(G1457="COM-MTU","BUSINESS",IF(G1457="ENT","BUSINESS",""))))))</f>
        <v/>
      </c>
      <c r="G1457" s="1166">
        <f>'House Count'!F1457</f>
        <v/>
      </c>
      <c r="H1457" s="1166">
        <f>'House Count'!H1457</f>
        <v/>
      </c>
    </row>
    <row r="1458">
      <c r="A1458" s="1165">
        <f>'House Count'!A1458</f>
        <v/>
      </c>
      <c r="B1458" s="1166">
        <f>'House Count'!E1458</f>
        <v/>
      </c>
      <c r="C1458" s="1166">
        <f>'House Count'!B1458</f>
        <v/>
      </c>
      <c r="D1458" s="1166">
        <f>'House Count'!C1458</f>
        <v/>
      </c>
      <c r="E1458" s="1166">
        <f>'House Count'!D1458</f>
        <v/>
      </c>
      <c r="F1458" s="1166">
        <f>IF(G1458="RES-SFU","RESIDENTIAL",IF(G1458="RES-HOA","RESIDENTIAL",IF(G1458="RES-MDU","RESIDENTIAL",IF(G1458="COMM-SU","BUSINESS",IF(G1458="COM-MTU","BUSINESS",IF(G1458="ENT","BUSINESS",""))))))</f>
        <v/>
      </c>
      <c r="G1458" s="1166">
        <f>'House Count'!F1458</f>
        <v/>
      </c>
      <c r="H1458" s="1166">
        <f>'House Count'!H1458</f>
        <v/>
      </c>
    </row>
    <row r="1459">
      <c r="A1459" s="1165">
        <f>'House Count'!A1459</f>
        <v/>
      </c>
      <c r="B1459" s="1166">
        <f>'House Count'!E1459</f>
        <v/>
      </c>
      <c r="C1459" s="1166">
        <f>'House Count'!B1459</f>
        <v/>
      </c>
      <c r="D1459" s="1166">
        <f>'House Count'!C1459</f>
        <v/>
      </c>
      <c r="E1459" s="1166">
        <f>'House Count'!D1459</f>
        <v/>
      </c>
      <c r="F1459" s="1166">
        <f>IF(G1459="RES-SFU","RESIDENTIAL",IF(G1459="RES-HOA","RESIDENTIAL",IF(G1459="RES-MDU","RESIDENTIAL",IF(G1459="COMM-SU","BUSINESS",IF(G1459="COM-MTU","BUSINESS",IF(G1459="ENT","BUSINESS",""))))))</f>
        <v/>
      </c>
      <c r="G1459" s="1166">
        <f>'House Count'!F1459</f>
        <v/>
      </c>
      <c r="H1459" s="1166">
        <f>'House Count'!H1459</f>
        <v/>
      </c>
    </row>
    <row r="1460">
      <c r="A1460" s="1165">
        <f>'House Count'!A1460</f>
        <v/>
      </c>
      <c r="B1460" s="1166">
        <f>'House Count'!E1460</f>
        <v/>
      </c>
      <c r="C1460" s="1166">
        <f>'House Count'!B1460</f>
        <v/>
      </c>
      <c r="D1460" s="1166">
        <f>'House Count'!C1460</f>
        <v/>
      </c>
      <c r="E1460" s="1166">
        <f>'House Count'!D1460</f>
        <v/>
      </c>
      <c r="F1460" s="1166">
        <f>IF(G1460="RES-SFU","RESIDENTIAL",IF(G1460="RES-HOA","RESIDENTIAL",IF(G1460="RES-MDU","RESIDENTIAL",IF(G1460="COMM-SU","BUSINESS",IF(G1460="COM-MTU","BUSINESS",IF(G1460="ENT","BUSINESS",""))))))</f>
        <v/>
      </c>
      <c r="G1460" s="1166">
        <f>'House Count'!F1460</f>
        <v/>
      </c>
      <c r="H1460" s="1166">
        <f>'House Count'!H1460</f>
        <v/>
      </c>
    </row>
    <row r="1461">
      <c r="A1461" s="1165">
        <f>'House Count'!A1461</f>
        <v/>
      </c>
      <c r="B1461" s="1166">
        <f>'House Count'!E1461</f>
        <v/>
      </c>
      <c r="C1461" s="1166">
        <f>'House Count'!B1461</f>
        <v/>
      </c>
      <c r="D1461" s="1166">
        <f>'House Count'!C1461</f>
        <v/>
      </c>
      <c r="E1461" s="1166">
        <f>'House Count'!D1461</f>
        <v/>
      </c>
      <c r="F1461" s="1166">
        <f>IF(G1461="RES-SFU","RESIDENTIAL",IF(G1461="RES-HOA","RESIDENTIAL",IF(G1461="RES-MDU","RESIDENTIAL",IF(G1461="COMM-SU","BUSINESS",IF(G1461="COM-MTU","BUSINESS",IF(G1461="ENT","BUSINESS",""))))))</f>
        <v/>
      </c>
      <c r="G1461" s="1166">
        <f>'House Count'!F1461</f>
        <v/>
      </c>
      <c r="H1461" s="1166">
        <f>'House Count'!H1461</f>
        <v/>
      </c>
    </row>
    <row r="1462">
      <c r="A1462" s="1165">
        <f>'House Count'!A1462</f>
        <v/>
      </c>
      <c r="B1462" s="1166">
        <f>'House Count'!E1462</f>
        <v/>
      </c>
      <c r="C1462" s="1166">
        <f>'House Count'!B1462</f>
        <v/>
      </c>
      <c r="D1462" s="1166">
        <f>'House Count'!C1462</f>
        <v/>
      </c>
      <c r="E1462" s="1166">
        <f>'House Count'!D1462</f>
        <v/>
      </c>
      <c r="F1462" s="1166">
        <f>IF(G1462="RES-SFU","RESIDENTIAL",IF(G1462="RES-HOA","RESIDENTIAL",IF(G1462="RES-MDU","RESIDENTIAL",IF(G1462="COMM-SU","BUSINESS",IF(G1462="COM-MTU","BUSINESS",IF(G1462="ENT","BUSINESS",""))))))</f>
        <v/>
      </c>
      <c r="G1462" s="1166">
        <f>'House Count'!F1462</f>
        <v/>
      </c>
      <c r="H1462" s="1166">
        <f>'House Count'!H1462</f>
        <v/>
      </c>
    </row>
    <row r="1463">
      <c r="A1463" s="1165">
        <f>'House Count'!A1463</f>
        <v/>
      </c>
      <c r="B1463" s="1166">
        <f>'House Count'!E1463</f>
        <v/>
      </c>
      <c r="C1463" s="1166">
        <f>'House Count'!B1463</f>
        <v/>
      </c>
      <c r="D1463" s="1166">
        <f>'House Count'!C1463</f>
        <v/>
      </c>
      <c r="E1463" s="1166">
        <f>'House Count'!D1463</f>
        <v/>
      </c>
      <c r="F1463" s="1166">
        <f>IF(G1463="RES-SFU","RESIDENTIAL",IF(G1463="RES-HOA","RESIDENTIAL",IF(G1463="RES-MDU","RESIDENTIAL",IF(G1463="COMM-SU","BUSINESS",IF(G1463="COM-MTU","BUSINESS",IF(G1463="ENT","BUSINESS",""))))))</f>
        <v/>
      </c>
      <c r="G1463" s="1166">
        <f>'House Count'!F1463</f>
        <v/>
      </c>
      <c r="H1463" s="1166">
        <f>'House Count'!H1463</f>
        <v/>
      </c>
    </row>
    <row r="1464">
      <c r="A1464" s="1165">
        <f>'House Count'!A1464</f>
        <v/>
      </c>
      <c r="B1464" s="1166">
        <f>'House Count'!E1464</f>
        <v/>
      </c>
      <c r="C1464" s="1166">
        <f>'House Count'!B1464</f>
        <v/>
      </c>
      <c r="D1464" s="1166">
        <f>'House Count'!C1464</f>
        <v/>
      </c>
      <c r="E1464" s="1166">
        <f>'House Count'!D1464</f>
        <v/>
      </c>
      <c r="F1464" s="1166">
        <f>IF(G1464="RES-SFU","RESIDENTIAL",IF(G1464="RES-HOA","RESIDENTIAL",IF(G1464="RES-MDU","RESIDENTIAL",IF(G1464="COMM-SU","BUSINESS",IF(G1464="COM-MTU","BUSINESS",IF(G1464="ENT","BUSINESS",""))))))</f>
        <v/>
      </c>
      <c r="G1464" s="1166">
        <f>'House Count'!F1464</f>
        <v/>
      </c>
      <c r="H1464" s="1166">
        <f>'House Count'!H1464</f>
        <v/>
      </c>
    </row>
    <row r="1465">
      <c r="A1465" s="1165">
        <f>'House Count'!A1465</f>
        <v/>
      </c>
      <c r="B1465" s="1166">
        <f>'House Count'!E1465</f>
        <v/>
      </c>
      <c r="C1465" s="1166">
        <f>'House Count'!B1465</f>
        <v/>
      </c>
      <c r="D1465" s="1166">
        <f>'House Count'!C1465</f>
        <v/>
      </c>
      <c r="E1465" s="1166">
        <f>'House Count'!D1465</f>
        <v/>
      </c>
      <c r="F1465" s="1166">
        <f>IF(G1465="RES-SFU","RESIDENTIAL",IF(G1465="RES-HOA","RESIDENTIAL",IF(G1465="RES-MDU","RESIDENTIAL",IF(G1465="COMM-SU","BUSINESS",IF(G1465="COM-MTU","BUSINESS",IF(G1465="ENT","BUSINESS",""))))))</f>
        <v/>
      </c>
      <c r="G1465" s="1166">
        <f>'House Count'!F1465</f>
        <v/>
      </c>
      <c r="H1465" s="1166">
        <f>'House Count'!H1465</f>
        <v/>
      </c>
    </row>
    <row r="1466">
      <c r="A1466" s="1165">
        <f>'House Count'!A1466</f>
        <v/>
      </c>
      <c r="B1466" s="1166">
        <f>'House Count'!E1466</f>
        <v/>
      </c>
      <c r="C1466" s="1166">
        <f>'House Count'!B1466</f>
        <v/>
      </c>
      <c r="D1466" s="1166">
        <f>'House Count'!C1466</f>
        <v/>
      </c>
      <c r="E1466" s="1166">
        <f>'House Count'!D1466</f>
        <v/>
      </c>
      <c r="F1466" s="1166">
        <f>IF(G1466="RES-SFU","RESIDENTIAL",IF(G1466="RES-HOA","RESIDENTIAL",IF(G1466="RES-MDU","RESIDENTIAL",IF(G1466="COMM-SU","BUSINESS",IF(G1466="COM-MTU","BUSINESS",IF(G1466="ENT","BUSINESS",""))))))</f>
        <v/>
      </c>
      <c r="G1466" s="1166">
        <f>'House Count'!F1466</f>
        <v/>
      </c>
      <c r="H1466" s="1166">
        <f>'House Count'!H1466</f>
        <v/>
      </c>
    </row>
    <row r="1467">
      <c r="A1467" s="1165">
        <f>'House Count'!A1467</f>
        <v/>
      </c>
      <c r="B1467" s="1166">
        <f>'House Count'!E1467</f>
        <v/>
      </c>
      <c r="C1467" s="1166">
        <f>'House Count'!B1467</f>
        <v/>
      </c>
      <c r="D1467" s="1166">
        <f>'House Count'!C1467</f>
        <v/>
      </c>
      <c r="E1467" s="1166">
        <f>'House Count'!D1467</f>
        <v/>
      </c>
      <c r="F1467" s="1166">
        <f>IF(G1467="RES-SFU","RESIDENTIAL",IF(G1467="RES-HOA","RESIDENTIAL",IF(G1467="RES-MDU","RESIDENTIAL",IF(G1467="COMM-SU","BUSINESS",IF(G1467="COM-MTU","BUSINESS",IF(G1467="ENT","BUSINESS",""))))))</f>
        <v/>
      </c>
      <c r="G1467" s="1166">
        <f>'House Count'!F1467</f>
        <v/>
      </c>
      <c r="H1467" s="1166">
        <f>'House Count'!H1467</f>
        <v/>
      </c>
    </row>
    <row r="1468">
      <c r="A1468" s="1165">
        <f>'House Count'!A1468</f>
        <v/>
      </c>
      <c r="B1468" s="1166">
        <f>'House Count'!E1468</f>
        <v/>
      </c>
      <c r="C1468" s="1166">
        <f>'House Count'!B1468</f>
        <v/>
      </c>
      <c r="D1468" s="1166">
        <f>'House Count'!C1468</f>
        <v/>
      </c>
      <c r="E1468" s="1166">
        <f>'House Count'!D1468</f>
        <v/>
      </c>
      <c r="F1468" s="1166">
        <f>IF(G1468="RES-SFU","RESIDENTIAL",IF(G1468="RES-HOA","RESIDENTIAL",IF(G1468="RES-MDU","RESIDENTIAL",IF(G1468="COMM-SU","BUSINESS",IF(G1468="COM-MTU","BUSINESS",IF(G1468="ENT","BUSINESS",""))))))</f>
        <v/>
      </c>
      <c r="G1468" s="1166">
        <f>'House Count'!F1468</f>
        <v/>
      </c>
      <c r="H1468" s="1166">
        <f>'House Count'!H1468</f>
        <v/>
      </c>
    </row>
    <row r="1469">
      <c r="A1469" s="1165">
        <f>'House Count'!A1469</f>
        <v/>
      </c>
      <c r="B1469" s="1166">
        <f>'House Count'!E1469</f>
        <v/>
      </c>
      <c r="C1469" s="1166">
        <f>'House Count'!B1469</f>
        <v/>
      </c>
      <c r="D1469" s="1166">
        <f>'House Count'!C1469</f>
        <v/>
      </c>
      <c r="E1469" s="1166">
        <f>'House Count'!D1469</f>
        <v/>
      </c>
      <c r="F1469" s="1166">
        <f>IF(G1469="RES-SFU","RESIDENTIAL",IF(G1469="RES-HOA","RESIDENTIAL",IF(G1469="RES-MDU","RESIDENTIAL",IF(G1469="COMM-SU","BUSINESS",IF(G1469="COM-MTU","BUSINESS",IF(G1469="ENT","BUSINESS",""))))))</f>
        <v/>
      </c>
      <c r="G1469" s="1166">
        <f>'House Count'!F1469</f>
        <v/>
      </c>
      <c r="H1469" s="1166">
        <f>'House Count'!H1469</f>
        <v/>
      </c>
    </row>
    <row r="1470">
      <c r="A1470" s="1165">
        <f>'House Count'!A1470</f>
        <v/>
      </c>
      <c r="B1470" s="1166">
        <f>'House Count'!E1470</f>
        <v/>
      </c>
      <c r="C1470" s="1166">
        <f>'House Count'!B1470</f>
        <v/>
      </c>
      <c r="D1470" s="1166">
        <f>'House Count'!C1470</f>
        <v/>
      </c>
      <c r="E1470" s="1166">
        <f>'House Count'!D1470</f>
        <v/>
      </c>
      <c r="F1470" s="1166">
        <f>IF(G1470="RES-SFU","RESIDENTIAL",IF(G1470="RES-HOA","RESIDENTIAL",IF(G1470="RES-MDU","RESIDENTIAL",IF(G1470="COMM-SU","BUSINESS",IF(G1470="COM-MTU","BUSINESS",IF(G1470="ENT","BUSINESS",""))))))</f>
        <v/>
      </c>
      <c r="G1470" s="1166">
        <f>'House Count'!F1470</f>
        <v/>
      </c>
      <c r="H1470" s="1166">
        <f>'House Count'!H1470</f>
        <v/>
      </c>
    </row>
    <row r="1471">
      <c r="A1471" s="1165">
        <f>'House Count'!A1471</f>
        <v/>
      </c>
      <c r="B1471" s="1166">
        <f>'House Count'!E1471</f>
        <v/>
      </c>
      <c r="C1471" s="1166">
        <f>'House Count'!B1471</f>
        <v/>
      </c>
      <c r="D1471" s="1166">
        <f>'House Count'!C1471</f>
        <v/>
      </c>
      <c r="E1471" s="1166">
        <f>'House Count'!D1471</f>
        <v/>
      </c>
      <c r="F1471" s="1166">
        <f>IF(G1471="RES-SFU","RESIDENTIAL",IF(G1471="RES-HOA","RESIDENTIAL",IF(G1471="RES-MDU","RESIDENTIAL",IF(G1471="COMM-SU","BUSINESS",IF(G1471="COM-MTU","BUSINESS",IF(G1471="ENT","BUSINESS",""))))))</f>
        <v/>
      </c>
      <c r="G1471" s="1166">
        <f>'House Count'!F1471</f>
        <v/>
      </c>
      <c r="H1471" s="1166">
        <f>'House Count'!H1471</f>
        <v/>
      </c>
    </row>
    <row r="1472">
      <c r="A1472" s="1165">
        <f>'House Count'!A1472</f>
        <v/>
      </c>
      <c r="B1472" s="1166">
        <f>'House Count'!E1472</f>
        <v/>
      </c>
      <c r="C1472" s="1166">
        <f>'House Count'!B1472</f>
        <v/>
      </c>
      <c r="D1472" s="1166">
        <f>'House Count'!C1472</f>
        <v/>
      </c>
      <c r="E1472" s="1166">
        <f>'House Count'!D1472</f>
        <v/>
      </c>
      <c r="F1472" s="1166">
        <f>IF(G1472="RES-SFU","RESIDENTIAL",IF(G1472="RES-HOA","RESIDENTIAL",IF(G1472="RES-MDU","RESIDENTIAL",IF(G1472="COMM-SU","BUSINESS",IF(G1472="COM-MTU","BUSINESS",IF(G1472="ENT","BUSINESS",""))))))</f>
        <v/>
      </c>
      <c r="G1472" s="1166">
        <f>'House Count'!F1472</f>
        <v/>
      </c>
      <c r="H1472" s="1166">
        <f>'House Count'!H1472</f>
        <v/>
      </c>
    </row>
    <row r="1473">
      <c r="A1473" s="1165">
        <f>'House Count'!A1473</f>
        <v/>
      </c>
      <c r="B1473" s="1166">
        <f>'House Count'!E1473</f>
        <v/>
      </c>
      <c r="C1473" s="1166">
        <f>'House Count'!B1473</f>
        <v/>
      </c>
      <c r="D1473" s="1166">
        <f>'House Count'!C1473</f>
        <v/>
      </c>
      <c r="E1473" s="1166">
        <f>'House Count'!D1473</f>
        <v/>
      </c>
      <c r="F1473" s="1166">
        <f>IF(G1473="RES-SFU","RESIDENTIAL",IF(G1473="RES-HOA","RESIDENTIAL",IF(G1473="RES-MDU","RESIDENTIAL",IF(G1473="COMM-SU","BUSINESS",IF(G1473="COM-MTU","BUSINESS",IF(G1473="ENT","BUSINESS",""))))))</f>
        <v/>
      </c>
      <c r="G1473" s="1166">
        <f>'House Count'!F1473</f>
        <v/>
      </c>
      <c r="H1473" s="1166">
        <f>'House Count'!H1473</f>
        <v/>
      </c>
    </row>
    <row r="1474">
      <c r="A1474" s="1165">
        <f>'House Count'!A1474</f>
        <v/>
      </c>
      <c r="B1474" s="1166">
        <f>'House Count'!E1474</f>
        <v/>
      </c>
      <c r="C1474" s="1166">
        <f>'House Count'!B1474</f>
        <v/>
      </c>
      <c r="D1474" s="1166">
        <f>'House Count'!C1474</f>
        <v/>
      </c>
      <c r="E1474" s="1166">
        <f>'House Count'!D1474</f>
        <v/>
      </c>
      <c r="F1474" s="1166">
        <f>IF(G1474="RES-SFU","RESIDENTIAL",IF(G1474="RES-HOA","RESIDENTIAL",IF(G1474="RES-MDU","RESIDENTIAL",IF(G1474="COMM-SU","BUSINESS",IF(G1474="COM-MTU","BUSINESS",IF(G1474="ENT","BUSINESS",""))))))</f>
        <v/>
      </c>
      <c r="G1474" s="1166">
        <f>'House Count'!F1474</f>
        <v/>
      </c>
      <c r="H1474" s="1166">
        <f>'House Count'!H1474</f>
        <v/>
      </c>
    </row>
    <row r="1475">
      <c r="A1475" s="1165">
        <f>'House Count'!A1475</f>
        <v/>
      </c>
      <c r="B1475" s="1166">
        <f>'House Count'!E1475</f>
        <v/>
      </c>
      <c r="C1475" s="1166">
        <f>'House Count'!B1475</f>
        <v/>
      </c>
      <c r="D1475" s="1166">
        <f>'House Count'!C1475</f>
        <v/>
      </c>
      <c r="E1475" s="1166">
        <f>'House Count'!D1475</f>
        <v/>
      </c>
      <c r="F1475" s="1166">
        <f>IF(G1475="RES-SFU","RESIDENTIAL",IF(G1475="RES-HOA","RESIDENTIAL",IF(G1475="RES-MDU","RESIDENTIAL",IF(G1475="COMM-SU","BUSINESS",IF(G1475="COM-MTU","BUSINESS",IF(G1475="ENT","BUSINESS",""))))))</f>
        <v/>
      </c>
      <c r="G1475" s="1166">
        <f>'House Count'!F1475</f>
        <v/>
      </c>
      <c r="H1475" s="1166">
        <f>'House Count'!H1475</f>
        <v/>
      </c>
    </row>
    <row r="1476">
      <c r="A1476" s="1165">
        <f>'House Count'!A1476</f>
        <v/>
      </c>
      <c r="B1476" s="1166">
        <f>'House Count'!E1476</f>
        <v/>
      </c>
      <c r="C1476" s="1166">
        <f>'House Count'!B1476</f>
        <v/>
      </c>
      <c r="D1476" s="1166">
        <f>'House Count'!C1476</f>
        <v/>
      </c>
      <c r="E1476" s="1166">
        <f>'House Count'!D1476</f>
        <v/>
      </c>
      <c r="F1476" s="1166">
        <f>IF(G1476="RES-SFU","RESIDENTIAL",IF(G1476="RES-HOA","RESIDENTIAL",IF(G1476="RES-MDU","RESIDENTIAL",IF(G1476="COMM-SU","BUSINESS",IF(G1476="COM-MTU","BUSINESS",IF(G1476="ENT","BUSINESS",""))))))</f>
        <v/>
      </c>
      <c r="G1476" s="1166">
        <f>'House Count'!F1476</f>
        <v/>
      </c>
      <c r="H1476" s="1166">
        <f>'House Count'!H1476</f>
        <v/>
      </c>
    </row>
    <row r="1477">
      <c r="A1477" s="1165">
        <f>'House Count'!A1477</f>
        <v/>
      </c>
      <c r="B1477" s="1166">
        <f>'House Count'!E1477</f>
        <v/>
      </c>
      <c r="C1477" s="1166">
        <f>'House Count'!B1477</f>
        <v/>
      </c>
      <c r="D1477" s="1166">
        <f>'House Count'!C1477</f>
        <v/>
      </c>
      <c r="E1477" s="1166">
        <f>'House Count'!D1477</f>
        <v/>
      </c>
      <c r="F1477" s="1166">
        <f>IF(G1477="RES-SFU","RESIDENTIAL",IF(G1477="RES-HOA","RESIDENTIAL",IF(G1477="RES-MDU","RESIDENTIAL",IF(G1477="COMM-SU","BUSINESS",IF(G1477="COM-MTU","BUSINESS",IF(G1477="ENT","BUSINESS",""))))))</f>
        <v/>
      </c>
      <c r="G1477" s="1166">
        <f>'House Count'!F1477</f>
        <v/>
      </c>
      <c r="H1477" s="1166">
        <f>'House Count'!H1477</f>
        <v/>
      </c>
    </row>
    <row r="1478">
      <c r="A1478" s="1165">
        <f>'House Count'!A1478</f>
        <v/>
      </c>
      <c r="B1478" s="1166">
        <f>'House Count'!E1478</f>
        <v/>
      </c>
      <c r="C1478" s="1166">
        <f>'House Count'!B1478</f>
        <v/>
      </c>
      <c r="D1478" s="1166">
        <f>'House Count'!C1478</f>
        <v/>
      </c>
      <c r="E1478" s="1166">
        <f>'House Count'!D1478</f>
        <v/>
      </c>
      <c r="F1478" s="1166">
        <f>IF(G1478="RES-SFU","RESIDENTIAL",IF(G1478="RES-HOA","RESIDENTIAL",IF(G1478="RES-MDU","RESIDENTIAL",IF(G1478="COMM-SU","BUSINESS",IF(G1478="COM-MTU","BUSINESS",IF(G1478="ENT","BUSINESS",""))))))</f>
        <v/>
      </c>
      <c r="G1478" s="1166">
        <f>'House Count'!F1478</f>
        <v/>
      </c>
      <c r="H1478" s="1166">
        <f>'House Count'!H1478</f>
        <v/>
      </c>
    </row>
    <row r="1479">
      <c r="A1479" s="1165">
        <f>'House Count'!A1479</f>
        <v/>
      </c>
      <c r="B1479" s="1166">
        <f>'House Count'!E1479</f>
        <v/>
      </c>
      <c r="C1479" s="1166">
        <f>'House Count'!B1479</f>
        <v/>
      </c>
      <c r="D1479" s="1166">
        <f>'House Count'!C1479</f>
        <v/>
      </c>
      <c r="E1479" s="1166">
        <f>'House Count'!D1479</f>
        <v/>
      </c>
      <c r="F1479" s="1166">
        <f>IF(G1479="RES-SFU","RESIDENTIAL",IF(G1479="RES-HOA","RESIDENTIAL",IF(G1479="RES-MDU","RESIDENTIAL",IF(G1479="COMM-SU","BUSINESS",IF(G1479="COM-MTU","BUSINESS",IF(G1479="ENT","BUSINESS",""))))))</f>
        <v/>
      </c>
      <c r="G1479" s="1166">
        <f>'House Count'!F1479</f>
        <v/>
      </c>
      <c r="H1479" s="1166">
        <f>'House Count'!H1479</f>
        <v/>
      </c>
    </row>
    <row r="1480">
      <c r="A1480" s="1165">
        <f>'House Count'!A1480</f>
        <v/>
      </c>
      <c r="B1480" s="1166">
        <f>'House Count'!E1480</f>
        <v/>
      </c>
      <c r="C1480" s="1166">
        <f>'House Count'!B1480</f>
        <v/>
      </c>
      <c r="D1480" s="1166">
        <f>'House Count'!C1480</f>
        <v/>
      </c>
      <c r="E1480" s="1166">
        <f>'House Count'!D1480</f>
        <v/>
      </c>
      <c r="F1480" s="1166">
        <f>IF(G1480="RES-SFU","RESIDENTIAL",IF(G1480="RES-HOA","RESIDENTIAL",IF(G1480="RES-MDU","RESIDENTIAL",IF(G1480="COMM-SU","BUSINESS",IF(G1480="COM-MTU","BUSINESS",IF(G1480="ENT","BUSINESS",""))))))</f>
        <v/>
      </c>
      <c r="G1480" s="1166">
        <f>'House Count'!F1480</f>
        <v/>
      </c>
      <c r="H1480" s="1166">
        <f>'House Count'!H1480</f>
        <v/>
      </c>
    </row>
    <row r="1481">
      <c r="A1481" s="1165">
        <f>'House Count'!A1481</f>
        <v/>
      </c>
      <c r="B1481" s="1166">
        <f>'House Count'!E1481</f>
        <v/>
      </c>
      <c r="C1481" s="1166">
        <f>'House Count'!B1481</f>
        <v/>
      </c>
      <c r="D1481" s="1166">
        <f>'House Count'!C1481</f>
        <v/>
      </c>
      <c r="E1481" s="1166">
        <f>'House Count'!D1481</f>
        <v/>
      </c>
      <c r="F1481" s="1166">
        <f>IF(G1481="RES-SFU","RESIDENTIAL",IF(G1481="RES-HOA","RESIDENTIAL",IF(G1481="RES-MDU","RESIDENTIAL",IF(G1481="COMM-SU","BUSINESS",IF(G1481="COM-MTU","BUSINESS",IF(G1481="ENT","BUSINESS",""))))))</f>
        <v/>
      </c>
      <c r="G1481" s="1166">
        <f>'House Count'!F1481</f>
        <v/>
      </c>
      <c r="H1481" s="1166">
        <f>'House Count'!H1481</f>
        <v/>
      </c>
    </row>
    <row r="1482">
      <c r="A1482" s="1165">
        <f>'House Count'!A1482</f>
        <v/>
      </c>
      <c r="B1482" s="1166">
        <f>'House Count'!E1482</f>
        <v/>
      </c>
      <c r="C1482" s="1166">
        <f>'House Count'!B1482</f>
        <v/>
      </c>
      <c r="D1482" s="1166">
        <f>'House Count'!C1482</f>
        <v/>
      </c>
      <c r="E1482" s="1166">
        <f>'House Count'!D1482</f>
        <v/>
      </c>
      <c r="F1482" s="1166">
        <f>IF(G1482="RES-SFU","RESIDENTIAL",IF(G1482="RES-HOA","RESIDENTIAL",IF(G1482="RES-MDU","RESIDENTIAL",IF(G1482="COMM-SU","BUSINESS",IF(G1482="COM-MTU","BUSINESS",IF(G1482="ENT","BUSINESS",""))))))</f>
        <v/>
      </c>
      <c r="G1482" s="1166">
        <f>'House Count'!F1482</f>
        <v/>
      </c>
      <c r="H1482" s="1166">
        <f>'House Count'!H1482</f>
        <v/>
      </c>
    </row>
    <row r="1483">
      <c r="A1483" s="1165">
        <f>'House Count'!A1483</f>
        <v/>
      </c>
      <c r="B1483" s="1166">
        <f>'House Count'!E1483</f>
        <v/>
      </c>
      <c r="C1483" s="1166">
        <f>'House Count'!B1483</f>
        <v/>
      </c>
      <c r="D1483" s="1166">
        <f>'House Count'!C1483</f>
        <v/>
      </c>
      <c r="E1483" s="1166">
        <f>'House Count'!D1483</f>
        <v/>
      </c>
      <c r="F1483" s="1166">
        <f>IF(G1483="RES-SFU","RESIDENTIAL",IF(G1483="RES-HOA","RESIDENTIAL",IF(G1483="RES-MDU","RESIDENTIAL",IF(G1483="COMM-SU","BUSINESS",IF(G1483="COM-MTU","BUSINESS",IF(G1483="ENT","BUSINESS",""))))))</f>
        <v/>
      </c>
      <c r="G1483" s="1166">
        <f>'House Count'!F1483</f>
        <v/>
      </c>
      <c r="H1483" s="1166">
        <f>'House Count'!H1483</f>
        <v/>
      </c>
    </row>
    <row r="1484">
      <c r="A1484" s="1165">
        <f>'House Count'!A1484</f>
        <v/>
      </c>
      <c r="B1484" s="1166">
        <f>'House Count'!E1484</f>
        <v/>
      </c>
      <c r="C1484" s="1166">
        <f>'House Count'!B1484</f>
        <v/>
      </c>
      <c r="D1484" s="1166">
        <f>'House Count'!C1484</f>
        <v/>
      </c>
      <c r="E1484" s="1166">
        <f>'House Count'!D1484</f>
        <v/>
      </c>
      <c r="F1484" s="1166">
        <f>IF(G1484="RES-SFU","RESIDENTIAL",IF(G1484="RES-HOA","RESIDENTIAL",IF(G1484="RES-MDU","RESIDENTIAL",IF(G1484="COMM-SU","BUSINESS",IF(G1484="COM-MTU","BUSINESS",IF(G1484="ENT","BUSINESS",""))))))</f>
        <v/>
      </c>
      <c r="G1484" s="1166">
        <f>'House Count'!F1484</f>
        <v/>
      </c>
      <c r="H1484" s="1166">
        <f>'House Count'!H1484</f>
        <v/>
      </c>
    </row>
    <row r="1485">
      <c r="A1485" s="1165">
        <f>'House Count'!A1485</f>
        <v/>
      </c>
      <c r="B1485" s="1166">
        <f>'House Count'!E1485</f>
        <v/>
      </c>
      <c r="C1485" s="1166">
        <f>'House Count'!B1485</f>
        <v/>
      </c>
      <c r="D1485" s="1166">
        <f>'House Count'!C1485</f>
        <v/>
      </c>
      <c r="E1485" s="1166">
        <f>'House Count'!D1485</f>
        <v/>
      </c>
      <c r="F1485" s="1166">
        <f>IF(G1485="RES-SFU","RESIDENTIAL",IF(G1485="RES-HOA","RESIDENTIAL",IF(G1485="RES-MDU","RESIDENTIAL",IF(G1485="COMM-SU","BUSINESS",IF(G1485="COM-MTU","BUSINESS",IF(G1485="ENT","BUSINESS",""))))))</f>
        <v/>
      </c>
      <c r="G1485" s="1166">
        <f>'House Count'!F1485</f>
        <v/>
      </c>
      <c r="H1485" s="1166">
        <f>'House Count'!H1485</f>
        <v/>
      </c>
    </row>
    <row r="1486">
      <c r="A1486" s="1165">
        <f>'House Count'!A1486</f>
        <v/>
      </c>
      <c r="B1486" s="1166">
        <f>'House Count'!E1486</f>
        <v/>
      </c>
      <c r="C1486" s="1166">
        <f>'House Count'!B1486</f>
        <v/>
      </c>
      <c r="D1486" s="1166">
        <f>'House Count'!C1486</f>
        <v/>
      </c>
      <c r="E1486" s="1166">
        <f>'House Count'!D1486</f>
        <v/>
      </c>
      <c r="F1486" s="1166">
        <f>IF(G1486="RES-SFU","RESIDENTIAL",IF(G1486="RES-HOA","RESIDENTIAL",IF(G1486="RES-MDU","RESIDENTIAL",IF(G1486="COMM-SU","BUSINESS",IF(G1486="COM-MTU","BUSINESS",IF(G1486="ENT","BUSINESS",""))))))</f>
        <v/>
      </c>
      <c r="G1486" s="1166">
        <f>'House Count'!F1486</f>
        <v/>
      </c>
      <c r="H1486" s="1166">
        <f>'House Count'!H1486</f>
        <v/>
      </c>
    </row>
    <row r="1487">
      <c r="A1487" s="1165">
        <f>'House Count'!A1487</f>
        <v/>
      </c>
      <c r="B1487" s="1166">
        <f>'House Count'!E1487</f>
        <v/>
      </c>
      <c r="C1487" s="1166">
        <f>'House Count'!B1487</f>
        <v/>
      </c>
      <c r="D1487" s="1166">
        <f>'House Count'!C1487</f>
        <v/>
      </c>
      <c r="E1487" s="1166">
        <f>'House Count'!D1487</f>
        <v/>
      </c>
      <c r="F1487" s="1166">
        <f>IF(G1487="RES-SFU","RESIDENTIAL",IF(G1487="RES-HOA","RESIDENTIAL",IF(G1487="RES-MDU","RESIDENTIAL",IF(G1487="COMM-SU","BUSINESS",IF(G1487="COM-MTU","BUSINESS",IF(G1487="ENT","BUSINESS",""))))))</f>
        <v/>
      </c>
      <c r="G1487" s="1166">
        <f>'House Count'!F1487</f>
        <v/>
      </c>
      <c r="H1487" s="1166">
        <f>'House Count'!H1487</f>
        <v/>
      </c>
    </row>
    <row r="1488">
      <c r="A1488" s="1165">
        <f>'House Count'!A1488</f>
        <v/>
      </c>
      <c r="B1488" s="1166">
        <f>'House Count'!E1488</f>
        <v/>
      </c>
      <c r="C1488" s="1166">
        <f>'House Count'!B1488</f>
        <v/>
      </c>
      <c r="D1488" s="1166">
        <f>'House Count'!C1488</f>
        <v/>
      </c>
      <c r="E1488" s="1166">
        <f>'House Count'!D1488</f>
        <v/>
      </c>
      <c r="F1488" s="1166">
        <f>IF(G1488="RES-SFU","RESIDENTIAL",IF(G1488="RES-HOA","RESIDENTIAL",IF(G1488="RES-MDU","RESIDENTIAL",IF(G1488="COMM-SU","BUSINESS",IF(G1488="COM-MTU","BUSINESS",IF(G1488="ENT","BUSINESS",""))))))</f>
        <v/>
      </c>
      <c r="G1488" s="1166">
        <f>'House Count'!F1488</f>
        <v/>
      </c>
      <c r="H1488" s="1166">
        <f>'House Count'!H1488</f>
        <v/>
      </c>
    </row>
    <row r="1489">
      <c r="A1489" s="1165">
        <f>'House Count'!A1489</f>
        <v/>
      </c>
      <c r="B1489" s="1166">
        <f>'House Count'!E1489</f>
        <v/>
      </c>
      <c r="C1489" s="1166">
        <f>'House Count'!B1489</f>
        <v/>
      </c>
      <c r="D1489" s="1166">
        <f>'House Count'!C1489</f>
        <v/>
      </c>
      <c r="E1489" s="1166">
        <f>'House Count'!D1489</f>
        <v/>
      </c>
      <c r="F1489" s="1166">
        <f>IF(G1489="RES-SFU","RESIDENTIAL",IF(G1489="RES-HOA","RESIDENTIAL",IF(G1489="RES-MDU","RESIDENTIAL",IF(G1489="COMM-SU","BUSINESS",IF(G1489="COM-MTU","BUSINESS",IF(G1489="ENT","BUSINESS",""))))))</f>
        <v/>
      </c>
      <c r="G1489" s="1166">
        <f>'House Count'!F1489</f>
        <v/>
      </c>
      <c r="H1489" s="1166">
        <f>'House Count'!H1489</f>
        <v/>
      </c>
    </row>
    <row r="1490">
      <c r="A1490" s="1165">
        <f>'House Count'!A1490</f>
        <v/>
      </c>
      <c r="B1490" s="1166">
        <f>'House Count'!E1490</f>
        <v/>
      </c>
      <c r="C1490" s="1166">
        <f>'House Count'!B1490</f>
        <v/>
      </c>
      <c r="D1490" s="1166">
        <f>'House Count'!C1490</f>
        <v/>
      </c>
      <c r="E1490" s="1166">
        <f>'House Count'!D1490</f>
        <v/>
      </c>
      <c r="F1490" s="1166">
        <f>IF(G1490="RES-SFU","RESIDENTIAL",IF(G1490="RES-HOA","RESIDENTIAL",IF(G1490="RES-MDU","RESIDENTIAL",IF(G1490="COMM-SU","BUSINESS",IF(G1490="COM-MTU","BUSINESS",IF(G1490="ENT","BUSINESS",""))))))</f>
        <v/>
      </c>
      <c r="G1490" s="1166">
        <f>'House Count'!F1490</f>
        <v/>
      </c>
      <c r="H1490" s="1166">
        <f>'House Count'!H1490</f>
        <v/>
      </c>
    </row>
    <row r="1491">
      <c r="A1491" s="1165">
        <f>'House Count'!A1491</f>
        <v/>
      </c>
      <c r="B1491" s="1166">
        <f>'House Count'!E1491</f>
        <v/>
      </c>
      <c r="C1491" s="1166">
        <f>'House Count'!B1491</f>
        <v/>
      </c>
      <c r="D1491" s="1166">
        <f>'House Count'!C1491</f>
        <v/>
      </c>
      <c r="E1491" s="1166">
        <f>'House Count'!D1491</f>
        <v/>
      </c>
      <c r="F1491" s="1166">
        <f>IF(G1491="RES-SFU","RESIDENTIAL",IF(G1491="RES-HOA","RESIDENTIAL",IF(G1491="RES-MDU","RESIDENTIAL",IF(G1491="COMM-SU","BUSINESS",IF(G1491="COM-MTU","BUSINESS",IF(G1491="ENT","BUSINESS",""))))))</f>
        <v/>
      </c>
      <c r="G1491" s="1166">
        <f>'House Count'!F1491</f>
        <v/>
      </c>
      <c r="H1491" s="1166">
        <f>'House Count'!H1491</f>
        <v/>
      </c>
    </row>
    <row r="1492">
      <c r="A1492" s="1165">
        <f>'House Count'!A1492</f>
        <v/>
      </c>
      <c r="B1492" s="1166">
        <f>'House Count'!E1492</f>
        <v/>
      </c>
      <c r="C1492" s="1166">
        <f>'House Count'!B1492</f>
        <v/>
      </c>
      <c r="D1492" s="1166">
        <f>'House Count'!C1492</f>
        <v/>
      </c>
      <c r="E1492" s="1166">
        <f>'House Count'!D1492</f>
        <v/>
      </c>
      <c r="F1492" s="1166">
        <f>IF(G1492="RES-SFU","RESIDENTIAL",IF(G1492="RES-HOA","RESIDENTIAL",IF(G1492="RES-MDU","RESIDENTIAL",IF(G1492="COMM-SU","BUSINESS",IF(G1492="COM-MTU","BUSINESS",IF(G1492="ENT","BUSINESS",""))))))</f>
        <v/>
      </c>
      <c r="G1492" s="1166">
        <f>'House Count'!F1492</f>
        <v/>
      </c>
      <c r="H1492" s="1166">
        <f>'House Count'!H1492</f>
        <v/>
      </c>
    </row>
    <row r="1493">
      <c r="A1493" s="1165">
        <f>'House Count'!A1493</f>
        <v/>
      </c>
      <c r="B1493" s="1166">
        <f>'House Count'!E1493</f>
        <v/>
      </c>
      <c r="C1493" s="1166">
        <f>'House Count'!B1493</f>
        <v/>
      </c>
      <c r="D1493" s="1166">
        <f>'House Count'!C1493</f>
        <v/>
      </c>
      <c r="E1493" s="1166">
        <f>'House Count'!D1493</f>
        <v/>
      </c>
      <c r="F1493" s="1166">
        <f>IF(G1493="RES-SFU","RESIDENTIAL",IF(G1493="RES-HOA","RESIDENTIAL",IF(G1493="RES-MDU","RESIDENTIAL",IF(G1493="COMM-SU","BUSINESS",IF(G1493="COM-MTU","BUSINESS",IF(G1493="ENT","BUSINESS",""))))))</f>
        <v/>
      </c>
      <c r="G1493" s="1166">
        <f>'House Count'!F1493</f>
        <v/>
      </c>
      <c r="H1493" s="1166">
        <f>'House Count'!H1493</f>
        <v/>
      </c>
    </row>
    <row r="1494">
      <c r="A1494" s="1165">
        <f>'House Count'!A1494</f>
        <v/>
      </c>
      <c r="B1494" s="1166">
        <f>'House Count'!E1494</f>
        <v/>
      </c>
      <c r="C1494" s="1166">
        <f>'House Count'!B1494</f>
        <v/>
      </c>
      <c r="D1494" s="1166">
        <f>'House Count'!C1494</f>
        <v/>
      </c>
      <c r="E1494" s="1166">
        <f>'House Count'!D1494</f>
        <v/>
      </c>
      <c r="F1494" s="1166">
        <f>IF(G1494="RES-SFU","RESIDENTIAL",IF(G1494="RES-HOA","RESIDENTIAL",IF(G1494="RES-MDU","RESIDENTIAL",IF(G1494="COMM-SU","BUSINESS",IF(G1494="COM-MTU","BUSINESS",IF(G1494="ENT","BUSINESS",""))))))</f>
        <v/>
      </c>
      <c r="G1494" s="1166">
        <f>'House Count'!F1494</f>
        <v/>
      </c>
      <c r="H1494" s="1166">
        <f>'House Count'!H1494</f>
        <v/>
      </c>
    </row>
    <row r="1495">
      <c r="A1495" s="1165">
        <f>'House Count'!A1495</f>
        <v/>
      </c>
      <c r="B1495" s="1166">
        <f>'House Count'!E1495</f>
        <v/>
      </c>
      <c r="C1495" s="1166">
        <f>'House Count'!B1495</f>
        <v/>
      </c>
      <c r="D1495" s="1166">
        <f>'House Count'!C1495</f>
        <v/>
      </c>
      <c r="E1495" s="1166">
        <f>'House Count'!D1495</f>
        <v/>
      </c>
      <c r="F1495" s="1166">
        <f>IF(G1495="RES-SFU","RESIDENTIAL",IF(G1495="RES-HOA","RESIDENTIAL",IF(G1495="RES-MDU","RESIDENTIAL",IF(G1495="COMM-SU","BUSINESS",IF(G1495="COM-MTU","BUSINESS",IF(G1495="ENT","BUSINESS",""))))))</f>
        <v/>
      </c>
      <c r="G1495" s="1166">
        <f>'House Count'!F1495</f>
        <v/>
      </c>
      <c r="H1495" s="1166">
        <f>'House Count'!H1495</f>
        <v/>
      </c>
    </row>
    <row r="1496">
      <c r="A1496" s="1165">
        <f>'House Count'!A1496</f>
        <v/>
      </c>
      <c r="B1496" s="1166">
        <f>'House Count'!E1496</f>
        <v/>
      </c>
      <c r="C1496" s="1166">
        <f>'House Count'!B1496</f>
        <v/>
      </c>
      <c r="D1496" s="1166">
        <f>'House Count'!C1496</f>
        <v/>
      </c>
      <c r="E1496" s="1166">
        <f>'House Count'!D1496</f>
        <v/>
      </c>
      <c r="F1496" s="1166">
        <f>IF(G1496="RES-SFU","RESIDENTIAL",IF(G1496="RES-HOA","RESIDENTIAL",IF(G1496="RES-MDU","RESIDENTIAL",IF(G1496="COMM-SU","BUSINESS",IF(G1496="COM-MTU","BUSINESS",IF(G1496="ENT","BUSINESS",""))))))</f>
        <v/>
      </c>
      <c r="G1496" s="1166">
        <f>'House Count'!F1496</f>
        <v/>
      </c>
      <c r="H1496" s="1166">
        <f>'House Count'!H1496</f>
        <v/>
      </c>
    </row>
    <row r="1497">
      <c r="A1497" s="1165">
        <f>'House Count'!A1497</f>
        <v/>
      </c>
      <c r="B1497" s="1166">
        <f>'House Count'!E1497</f>
        <v/>
      </c>
      <c r="C1497" s="1166">
        <f>'House Count'!B1497</f>
        <v/>
      </c>
      <c r="D1497" s="1166">
        <f>'House Count'!C1497</f>
        <v/>
      </c>
      <c r="E1497" s="1166">
        <f>'House Count'!D1497</f>
        <v/>
      </c>
      <c r="F1497" s="1166">
        <f>IF(G1497="RES-SFU","RESIDENTIAL",IF(G1497="RES-HOA","RESIDENTIAL",IF(G1497="RES-MDU","RESIDENTIAL",IF(G1497="COMM-SU","BUSINESS",IF(G1497="COM-MTU","BUSINESS",IF(G1497="ENT","BUSINESS",""))))))</f>
        <v/>
      </c>
      <c r="G1497" s="1166">
        <f>'House Count'!F1497</f>
        <v/>
      </c>
      <c r="H1497" s="1166">
        <f>'House Count'!H1497</f>
        <v/>
      </c>
    </row>
    <row r="1498">
      <c r="A1498" s="1165">
        <f>'House Count'!A1498</f>
        <v/>
      </c>
      <c r="B1498" s="1166">
        <f>'House Count'!E1498</f>
        <v/>
      </c>
      <c r="C1498" s="1166">
        <f>'House Count'!B1498</f>
        <v/>
      </c>
      <c r="D1498" s="1166">
        <f>'House Count'!C1498</f>
        <v/>
      </c>
      <c r="E1498" s="1166">
        <f>'House Count'!D1498</f>
        <v/>
      </c>
      <c r="F1498" s="1166">
        <f>IF(G1498="RES-SFU","RESIDENTIAL",IF(G1498="RES-HOA","RESIDENTIAL",IF(G1498="RES-MDU","RESIDENTIAL",IF(G1498="COMM-SU","BUSINESS",IF(G1498="COM-MTU","BUSINESS",IF(G1498="ENT","BUSINESS",""))))))</f>
        <v/>
      </c>
      <c r="G1498" s="1166">
        <f>'House Count'!F1498</f>
        <v/>
      </c>
      <c r="H1498" s="1166">
        <f>'House Count'!H1498</f>
        <v/>
      </c>
    </row>
    <row r="1499">
      <c r="A1499" s="1165">
        <f>'House Count'!A1499</f>
        <v/>
      </c>
      <c r="B1499" s="1166">
        <f>'House Count'!E1499</f>
        <v/>
      </c>
      <c r="C1499" s="1166">
        <f>'House Count'!B1499</f>
        <v/>
      </c>
      <c r="D1499" s="1166">
        <f>'House Count'!C1499</f>
        <v/>
      </c>
      <c r="E1499" s="1166">
        <f>'House Count'!D1499</f>
        <v/>
      </c>
      <c r="F1499" s="1166">
        <f>IF(G1499="RES-SFU","RESIDENTIAL",IF(G1499="RES-HOA","RESIDENTIAL",IF(G1499="RES-MDU","RESIDENTIAL",IF(G1499="COMM-SU","BUSINESS",IF(G1499="COM-MTU","BUSINESS",IF(G1499="ENT","BUSINESS",""))))))</f>
        <v/>
      </c>
      <c r="G1499" s="1166">
        <f>'House Count'!F1499</f>
        <v/>
      </c>
      <c r="H1499" s="1166">
        <f>'House Count'!H1499</f>
        <v/>
      </c>
    </row>
    <row r="1500">
      <c r="A1500" s="1165">
        <f>'House Count'!A1500</f>
        <v/>
      </c>
      <c r="B1500" s="1166">
        <f>'House Count'!E1500</f>
        <v/>
      </c>
      <c r="C1500" s="1166">
        <f>'House Count'!B1500</f>
        <v/>
      </c>
      <c r="D1500" s="1166">
        <f>'House Count'!C1500</f>
        <v/>
      </c>
      <c r="E1500" s="1166">
        <f>'House Count'!D1500</f>
        <v/>
      </c>
      <c r="F1500" s="1166">
        <f>IF(G1500="RES-SFU","RESIDENTIAL",IF(G1500="RES-HOA","RESIDENTIAL",IF(G1500="RES-MDU","RESIDENTIAL",IF(G1500="COMM-SU","BUSINESS",IF(G1500="COM-MTU","BUSINESS",IF(G1500="ENT","BUSINESS",""))))))</f>
        <v/>
      </c>
      <c r="G1500" s="1166">
        <f>'House Count'!F1500</f>
        <v/>
      </c>
      <c r="H1500" s="1166">
        <f>'House Count'!H1500</f>
        <v/>
      </c>
    </row>
  </sheetData>
  <autoFilter ref="A1:H1500"/>
  <pageMargins left="0.7" right="0.7" top="0.75" bottom="0.75" header="0.3" footer="0.3"/>
  <pageSetup orientation="portrait"/>
</worksheet>
</file>

<file path=xl/worksheets/sheet13.xml><?xml version="1.0" encoding="utf-8"?>
<worksheet xmlns="http://schemas.openxmlformats.org/spreadsheetml/2006/main">
  <sheetPr codeName="Sheet5">
    <outlinePr summaryBelow="1" summaryRight="1"/>
    <pageSetUpPr/>
  </sheetPr>
  <dimension ref="A1:Q88"/>
  <sheetViews>
    <sheetView workbookViewId="0">
      <selection activeCell="L5" sqref="L5:Q6"/>
    </sheetView>
  </sheetViews>
  <sheetFormatPr baseColWidth="8" defaultRowHeight="15"/>
  <cols>
    <col width="13.28515625" bestFit="1" customWidth="1" min="1" max="1"/>
    <col width="5.28515625" bestFit="1" customWidth="1" min="14" max="14"/>
    <col width="6.7109375" bestFit="1" customWidth="1" min="15" max="15"/>
  </cols>
  <sheetData>
    <row r="1" ht="15.75" customHeight="1" thickBot="1">
      <c r="A1" s="1167" t="inlineStr">
        <is>
          <t>PERMITS WORKSHEET</t>
        </is>
      </c>
      <c r="B1" s="1101" t="n"/>
      <c r="C1" s="1101" t="n"/>
      <c r="D1" s="1101" t="n"/>
      <c r="E1" s="1101" t="n"/>
      <c r="F1" s="1101" t="n"/>
      <c r="G1" s="1101" t="n"/>
      <c r="H1" s="1101" t="n"/>
      <c r="I1" s="1101" t="n"/>
      <c r="J1" s="1101" t="n"/>
      <c r="K1" s="1101" t="n"/>
      <c r="L1" s="1101" t="n"/>
      <c r="M1" s="1101" t="n"/>
      <c r="N1" s="1101" t="n"/>
      <c r="O1" s="1101" t="n"/>
      <c r="P1" s="1101" t="n"/>
      <c r="Q1" s="1102" t="n"/>
    </row>
    <row r="2" ht="15.75" customHeight="1" thickBot="1">
      <c r="A2" s="50" t="n"/>
      <c r="C2" s="47" t="n"/>
      <c r="G2" s="51" t="n"/>
      <c r="H2" s="47" t="n"/>
      <c r="J2" s="47" t="n"/>
      <c r="L2" s="47" t="n"/>
    </row>
    <row r="3" ht="15.75" customHeight="1" thickBot="1">
      <c r="A3" s="159" t="inlineStr">
        <is>
          <t>DOT</t>
        </is>
      </c>
      <c r="B3" s="1101" t="n"/>
      <c r="C3" s="1101" t="n"/>
      <c r="D3" s="1101" t="n"/>
      <c r="E3" s="1101" t="n"/>
      <c r="F3" s="1101" t="n"/>
      <c r="G3" s="1101" t="n"/>
      <c r="H3" s="1102" t="n"/>
      <c r="J3" s="159" t="inlineStr">
        <is>
          <t>MUNICIPAL</t>
        </is>
      </c>
      <c r="K3" s="1101" t="n"/>
      <c r="L3" s="1101" t="n"/>
      <c r="M3" s="1101" t="n"/>
      <c r="N3" s="1101" t="n"/>
      <c r="O3" s="1101" t="n"/>
      <c r="P3" s="1101" t="n"/>
      <c r="Q3" s="1102" t="n"/>
    </row>
    <row r="4">
      <c r="A4" s="103" t="inlineStr">
        <is>
          <t>NAME</t>
        </is>
      </c>
      <c r="B4" s="1168" t="n"/>
      <c r="C4" s="103" t="inlineStr">
        <is>
          <t>DESCRIPTION</t>
        </is>
      </c>
      <c r="F4" s="1168" t="n"/>
      <c r="G4" s="1067" t="inlineStr">
        <is>
          <t>AMOUNT</t>
        </is>
      </c>
      <c r="H4" s="1149" t="n"/>
      <c r="J4" s="103" t="inlineStr">
        <is>
          <t>NAME</t>
        </is>
      </c>
      <c r="K4" s="1168" t="n"/>
      <c r="L4" s="103" t="inlineStr">
        <is>
          <t>DESCRIPTION</t>
        </is>
      </c>
      <c r="O4" s="1168" t="n"/>
      <c r="P4" s="1067" t="inlineStr">
        <is>
          <t>AMOUNT</t>
        </is>
      </c>
      <c r="Q4" s="1149" t="n"/>
    </row>
    <row r="5">
      <c r="A5" s="1073" t="n"/>
      <c r="B5" s="1118" t="n"/>
      <c r="C5" s="1073" t="n"/>
      <c r="D5" s="1117" t="n"/>
      <c r="E5" s="1117" t="n"/>
      <c r="F5" s="1118" t="n"/>
      <c r="G5" s="1074" t="n">
        <v>0</v>
      </c>
      <c r="H5" s="1118" t="n"/>
      <c r="J5" s="1073" t="n"/>
      <c r="K5" s="1118" t="n"/>
      <c r="L5" s="1073" t="inlineStr">
        <is>
          <t>CITY</t>
        </is>
      </c>
      <c r="M5" s="1117" t="n"/>
      <c r="N5" s="1117" t="n"/>
      <c r="O5" s="1118" t="n"/>
      <c r="P5" s="1074" t="n">
        <v>500</v>
      </c>
      <c r="Q5" s="1118" t="n"/>
    </row>
    <row r="6">
      <c r="A6" s="1073" t="n"/>
      <c r="B6" s="1118" t="n"/>
      <c r="C6" s="1073" t="n"/>
      <c r="D6" s="1117" t="n"/>
      <c r="E6" s="1117" t="n"/>
      <c r="F6" s="1118" t="n"/>
      <c r="G6" s="1074" t="n"/>
      <c r="H6" s="1118" t="n"/>
      <c r="J6" s="1073" t="n"/>
      <c r="K6" s="1118" t="n"/>
      <c r="L6" s="1073" t="inlineStr">
        <is>
          <t>COUNTY</t>
        </is>
      </c>
      <c r="M6" s="1117" t="n"/>
      <c r="N6" s="1117" t="n"/>
      <c r="O6" s="1118" t="n"/>
      <c r="P6" s="1074" t="n">
        <v>500</v>
      </c>
      <c r="Q6" s="1118" t="n"/>
    </row>
    <row r="7">
      <c r="A7" s="1073" t="n"/>
      <c r="B7" s="1118" t="n"/>
      <c r="C7" s="1073" t="n"/>
      <c r="D7" s="1117" t="n"/>
      <c r="E7" s="1117" t="n"/>
      <c r="F7" s="1118" t="n"/>
      <c r="G7" s="1074" t="n"/>
      <c r="H7" s="1118" t="n"/>
      <c r="J7" s="1073" t="n"/>
      <c r="K7" s="1118" t="n"/>
      <c r="L7" s="1073" t="n"/>
      <c r="M7" s="1117" t="n"/>
      <c r="N7" s="1117" t="n"/>
      <c r="O7" s="1118" t="n"/>
      <c r="P7" s="1074" t="n"/>
      <c r="Q7" s="1118" t="n"/>
    </row>
    <row r="8">
      <c r="A8" s="1073" t="n"/>
      <c r="B8" s="1118" t="n"/>
      <c r="C8" s="1073" t="n"/>
      <c r="D8" s="1117" t="n"/>
      <c r="E8" s="1117" t="n"/>
      <c r="F8" s="1118" t="n"/>
      <c r="G8" s="1074" t="n"/>
      <c r="H8" s="1118" t="n"/>
      <c r="J8" s="1073" t="n"/>
      <c r="K8" s="1118" t="n"/>
      <c r="L8" s="1073" t="n"/>
      <c r="M8" s="1117" t="n"/>
      <c r="N8" s="1117" t="n"/>
      <c r="O8" s="1118" t="n"/>
      <c r="P8" s="1074" t="n"/>
      <c r="Q8" s="1118" t="n"/>
    </row>
    <row r="9">
      <c r="A9" s="1073" t="n"/>
      <c r="B9" s="1118" t="n"/>
      <c r="C9" s="1073" t="n"/>
      <c r="D9" s="1117" t="n"/>
      <c r="E9" s="1117" t="n"/>
      <c r="F9" s="1118" t="n"/>
      <c r="G9" s="1074" t="n"/>
      <c r="H9" s="1118" t="n"/>
      <c r="J9" s="1073" t="n"/>
      <c r="K9" s="1118" t="n"/>
      <c r="L9" s="1073" t="n"/>
      <c r="M9" s="1117" t="n"/>
      <c r="N9" s="1117" t="n"/>
      <c r="O9" s="1118" t="n"/>
      <c r="P9" s="1074" t="n"/>
      <c r="Q9" s="1118" t="n"/>
    </row>
    <row r="10">
      <c r="A10" s="1073" t="n"/>
      <c r="B10" s="1118" t="n"/>
      <c r="C10" s="1073" t="n"/>
      <c r="D10" s="1117" t="n"/>
      <c r="E10" s="1117" t="n"/>
      <c r="F10" s="1118" t="n"/>
      <c r="G10" s="1074" t="n"/>
      <c r="H10" s="1118" t="n"/>
      <c r="J10" s="1073" t="n"/>
      <c r="K10" s="1118" t="n"/>
      <c r="L10" s="1073" t="n"/>
      <c r="M10" s="1117" t="n"/>
      <c r="N10" s="1117" t="n"/>
      <c r="O10" s="1118" t="n"/>
      <c r="P10" s="1074" t="n"/>
      <c r="Q10" s="1118" t="n"/>
    </row>
    <row r="11">
      <c r="A11" s="1073" t="n"/>
      <c r="B11" s="1118" t="n"/>
      <c r="C11" s="1073" t="n"/>
      <c r="D11" s="1117" t="n"/>
      <c r="E11" s="1117" t="n"/>
      <c r="F11" s="1118" t="n"/>
      <c r="G11" s="1074" t="n"/>
      <c r="H11" s="1118" t="n"/>
      <c r="J11" s="1073" t="n"/>
      <c r="K11" s="1118" t="n"/>
      <c r="L11" s="1073" t="n"/>
      <c r="M11" s="1117" t="n"/>
      <c r="N11" s="1117" t="n"/>
      <c r="O11" s="1118" t="n"/>
      <c r="P11" s="1074" t="n"/>
      <c r="Q11" s="1118" t="n"/>
    </row>
    <row r="12">
      <c r="A12" s="1073" t="n"/>
      <c r="B12" s="1118" t="n"/>
      <c r="C12" s="1073" t="n"/>
      <c r="D12" s="1117" t="n"/>
      <c r="E12" s="1117" t="n"/>
      <c r="F12" s="1118" t="n"/>
      <c r="G12" s="1074" t="n"/>
      <c r="H12" s="1118" t="n"/>
      <c r="J12" s="1073" t="n"/>
      <c r="K12" s="1118" t="n"/>
      <c r="L12" s="1073" t="n"/>
      <c r="M12" s="1117" t="n"/>
      <c r="N12" s="1117" t="n"/>
      <c r="O12" s="1118" t="n"/>
      <c r="P12" s="1074" t="n"/>
      <c r="Q12" s="1118" t="n"/>
    </row>
    <row r="13">
      <c r="A13" s="1073" t="n"/>
      <c r="B13" s="1118" t="n"/>
      <c r="C13" s="1073" t="n"/>
      <c r="D13" s="1117" t="n"/>
      <c r="E13" s="1117" t="n"/>
      <c r="F13" s="1118" t="n"/>
      <c r="G13" s="1074" t="n"/>
      <c r="H13" s="1118" t="n"/>
      <c r="J13" s="1073" t="n"/>
      <c r="K13" s="1118" t="n"/>
      <c r="L13" s="1073" t="n"/>
      <c r="M13" s="1117" t="n"/>
      <c r="N13" s="1117" t="n"/>
      <c r="O13" s="1118" t="n"/>
      <c r="P13" s="1074" t="n"/>
      <c r="Q13" s="1118" t="n"/>
    </row>
    <row r="14">
      <c r="A14" s="1073" t="n"/>
      <c r="B14" s="1118" t="n"/>
      <c r="C14" s="1073" t="n"/>
      <c r="D14" s="1117" t="n"/>
      <c r="E14" s="1117" t="n"/>
      <c r="F14" s="1118" t="n"/>
      <c r="G14" s="1074" t="n"/>
      <c r="H14" s="1118" t="n"/>
      <c r="J14" s="1073" t="n"/>
      <c r="K14" s="1118" t="n"/>
      <c r="L14" s="1073" t="n"/>
      <c r="M14" s="1117" t="n"/>
      <c r="N14" s="1117" t="n"/>
      <c r="O14" s="1118" t="n"/>
      <c r="P14" s="1074" t="n"/>
      <c r="Q14" s="1118" t="n"/>
    </row>
    <row r="15">
      <c r="A15" s="1073" t="n"/>
      <c r="B15" s="1118" t="n"/>
      <c r="C15" s="1073" t="n"/>
      <c r="D15" s="1117" t="n"/>
      <c r="E15" s="1117" t="n"/>
      <c r="F15" s="1118" t="n"/>
      <c r="G15" s="1074" t="n"/>
      <c r="H15" s="1118" t="n"/>
      <c r="J15" s="1073" t="n"/>
      <c r="K15" s="1118" t="n"/>
      <c r="L15" s="1073" t="n"/>
      <c r="M15" s="1117" t="n"/>
      <c r="N15" s="1117" t="n"/>
      <c r="O15" s="1118" t="n"/>
      <c r="P15" s="1074" t="n"/>
      <c r="Q15" s="1118" t="n"/>
    </row>
    <row r="16">
      <c r="A16" s="1073" t="n"/>
      <c r="B16" s="1118" t="n"/>
      <c r="C16" s="1073" t="n"/>
      <c r="D16" s="1117" t="n"/>
      <c r="E16" s="1117" t="n"/>
      <c r="F16" s="1118" t="n"/>
      <c r="G16" s="1074" t="n"/>
      <c r="H16" s="1118" t="n"/>
      <c r="J16" s="1073" t="n"/>
      <c r="K16" s="1118" t="n"/>
      <c r="L16" s="1073" t="n"/>
      <c r="M16" s="1117" t="n"/>
      <c r="N16" s="1117" t="n"/>
      <c r="O16" s="1118" t="n"/>
      <c r="P16" s="1074" t="n"/>
      <c r="Q16" s="1118" t="n"/>
    </row>
    <row r="17">
      <c r="A17" s="1073" t="n"/>
      <c r="B17" s="1118" t="n"/>
      <c r="C17" s="1073" t="n"/>
      <c r="D17" s="1117" t="n"/>
      <c r="E17" s="1117" t="n"/>
      <c r="F17" s="1118" t="n"/>
      <c r="G17" s="1074" t="n"/>
      <c r="H17" s="1118" t="n"/>
      <c r="J17" s="1073" t="n"/>
      <c r="K17" s="1118" t="n"/>
      <c r="L17" s="1073" t="n"/>
      <c r="M17" s="1117" t="n"/>
      <c r="N17" s="1117" t="n"/>
      <c r="O17" s="1118" t="n"/>
      <c r="P17" s="1074" t="n"/>
      <c r="Q17" s="1118" t="n"/>
    </row>
    <row r="18">
      <c r="A18" s="1073" t="n"/>
      <c r="B18" s="1118" t="n"/>
      <c r="C18" s="1073" t="n"/>
      <c r="D18" s="1117" t="n"/>
      <c r="E18" s="1117" t="n"/>
      <c r="F18" s="1118" t="n"/>
      <c r="G18" s="1074" t="n"/>
      <c r="H18" s="1118" t="n"/>
      <c r="J18" s="1073" t="n"/>
      <c r="K18" s="1118" t="n"/>
      <c r="L18" s="1073" t="n"/>
      <c r="M18" s="1117" t="n"/>
      <c r="N18" s="1117" t="n"/>
      <c r="O18" s="1118" t="n"/>
      <c r="P18" s="1074" t="n"/>
      <c r="Q18" s="1118" t="n"/>
    </row>
    <row r="19" ht="15.75" customHeight="1" thickBot="1">
      <c r="A19" s="1073" t="n"/>
      <c r="B19" s="1118" t="n"/>
      <c r="C19" s="1073" t="n"/>
      <c r="D19" s="1117" t="n"/>
      <c r="E19" s="1117" t="n"/>
      <c r="F19" s="1118" t="n"/>
      <c r="G19" s="1074" t="n"/>
      <c r="H19" s="1118" t="n"/>
      <c r="J19" s="1073" t="n"/>
      <c r="K19" s="1118" t="n"/>
      <c r="L19" s="1073" t="n"/>
      <c r="M19" s="1117" t="n"/>
      <c r="N19" s="1117" t="n"/>
      <c r="O19" s="1118" t="n"/>
      <c r="P19" s="1074" t="n"/>
      <c r="Q19" s="1118" t="n"/>
    </row>
    <row r="20" ht="15.75" customHeight="1" thickBot="1">
      <c r="A20" s="159" t="inlineStr">
        <is>
          <t>RR</t>
        </is>
      </c>
      <c r="B20" s="1101" t="n"/>
      <c r="C20" s="1101" t="n"/>
      <c r="D20" s="1101" t="n"/>
      <c r="E20" s="1101" t="n"/>
      <c r="F20" s="1101" t="n"/>
      <c r="G20" s="1101" t="n"/>
      <c r="H20" s="1102" t="n"/>
      <c r="J20" s="159" t="inlineStr">
        <is>
          <t>EASEMENTS</t>
        </is>
      </c>
      <c r="K20" s="1101" t="n"/>
      <c r="L20" s="1101" t="n"/>
      <c r="M20" s="1101" t="n"/>
      <c r="N20" s="1101" t="n"/>
      <c r="O20" s="1101" t="n"/>
      <c r="P20" s="1101" t="n"/>
      <c r="Q20" s="1102" t="n"/>
    </row>
    <row r="21">
      <c r="A21" s="103" t="inlineStr">
        <is>
          <t>NAME</t>
        </is>
      </c>
      <c r="B21" s="1168" t="n"/>
      <c r="C21" s="103" t="inlineStr">
        <is>
          <t>DESCRIPTION</t>
        </is>
      </c>
      <c r="F21" s="1168" t="n"/>
      <c r="G21" s="1067" t="inlineStr">
        <is>
          <t>AMOUNT</t>
        </is>
      </c>
      <c r="H21" s="1149" t="n"/>
      <c r="J21" s="103" t="inlineStr">
        <is>
          <t>NAME</t>
        </is>
      </c>
      <c r="K21" s="1168" t="n"/>
      <c r="L21" s="103" t="inlineStr">
        <is>
          <t>DESCRIPTION</t>
        </is>
      </c>
      <c r="O21" s="1168" t="n"/>
      <c r="P21" s="1067" t="inlineStr">
        <is>
          <t>AMOUNT</t>
        </is>
      </c>
      <c r="Q21" s="1149" t="n"/>
    </row>
    <row r="22">
      <c r="A22" s="1073" t="n"/>
      <c r="B22" s="1118" t="n"/>
      <c r="C22" s="1073" t="n"/>
      <c r="D22" s="1117" t="n"/>
      <c r="E22" s="1117" t="n"/>
      <c r="F22" s="1118" t="n"/>
      <c r="G22" s="1074" t="n">
        <v>0</v>
      </c>
      <c r="H22" s="1118" t="n"/>
      <c r="J22" s="1073" t="n"/>
      <c r="K22" s="1118" t="n"/>
      <c r="L22" s="1073" t="n"/>
      <c r="M22" s="1117" t="n"/>
      <c r="N22" s="1117" t="n"/>
      <c r="O22" s="1118" t="n"/>
      <c r="P22" s="1074" t="n"/>
      <c r="Q22" s="1118" t="n"/>
    </row>
    <row r="23">
      <c r="A23" s="1073" t="n"/>
      <c r="B23" s="1118" t="n"/>
      <c r="C23" s="1073" t="n"/>
      <c r="D23" s="1117" t="n"/>
      <c r="E23" s="1117" t="n"/>
      <c r="F23" s="1118" t="n"/>
      <c r="G23" s="1074" t="n"/>
      <c r="H23" s="1118" t="n"/>
      <c r="J23" s="1073" t="n"/>
      <c r="K23" s="1118" t="n"/>
      <c r="L23" s="1073" t="n"/>
      <c r="M23" s="1117" t="n"/>
      <c r="N23" s="1117" t="n"/>
      <c r="O23" s="1118" t="n"/>
      <c r="P23" s="1074" t="n"/>
      <c r="Q23" s="1118" t="n"/>
    </row>
    <row r="24">
      <c r="A24" s="1073" t="n"/>
      <c r="B24" s="1118" t="n"/>
      <c r="C24" s="1073" t="n"/>
      <c r="D24" s="1117" t="n"/>
      <c r="E24" s="1117" t="n"/>
      <c r="F24" s="1118" t="n"/>
      <c r="G24" s="1074" t="n"/>
      <c r="H24" s="1118" t="n"/>
      <c r="J24" s="1073" t="n"/>
      <c r="K24" s="1118" t="n"/>
      <c r="L24" s="1073" t="n"/>
      <c r="M24" s="1117" t="n"/>
      <c r="N24" s="1117" t="n"/>
      <c r="O24" s="1118" t="n"/>
      <c r="P24" s="1074" t="n"/>
      <c r="Q24" s="1118" t="n"/>
    </row>
    <row r="25">
      <c r="A25" s="1073" t="n"/>
      <c r="B25" s="1118" t="n"/>
      <c r="C25" s="1073" t="n"/>
      <c r="D25" s="1117" t="n"/>
      <c r="E25" s="1117" t="n"/>
      <c r="F25" s="1118" t="n"/>
      <c r="G25" s="1074" t="n"/>
      <c r="H25" s="1118" t="n"/>
      <c r="J25" s="1073" t="n"/>
      <c r="K25" s="1118" t="n"/>
      <c r="L25" s="1073" t="n"/>
      <c r="M25" s="1117" t="n"/>
      <c r="N25" s="1117" t="n"/>
      <c r="O25" s="1118" t="n"/>
      <c r="P25" s="1074" t="n"/>
      <c r="Q25" s="1118" t="n"/>
    </row>
    <row r="26">
      <c r="A26" s="1073" t="n"/>
      <c r="B26" s="1118" t="n"/>
      <c r="C26" s="1073" t="n"/>
      <c r="D26" s="1117" t="n"/>
      <c r="E26" s="1117" t="n"/>
      <c r="F26" s="1118" t="n"/>
      <c r="G26" s="1074" t="n"/>
      <c r="H26" s="1118" t="n"/>
      <c r="J26" s="1073" t="n"/>
      <c r="K26" s="1118" t="n"/>
      <c r="L26" s="1073" t="n"/>
      <c r="M26" s="1117" t="n"/>
      <c r="N26" s="1117" t="n"/>
      <c r="O26" s="1118" t="n"/>
      <c r="P26" s="1074" t="n"/>
      <c r="Q26" s="1118" t="n"/>
    </row>
    <row r="27">
      <c r="A27" s="1073" t="n"/>
      <c r="B27" s="1118" t="n"/>
      <c r="C27" s="1073" t="n"/>
      <c r="D27" s="1117" t="n"/>
      <c r="E27" s="1117" t="n"/>
      <c r="F27" s="1118" t="n"/>
      <c r="G27" s="1074" t="n"/>
      <c r="H27" s="1118" t="n"/>
      <c r="J27" s="1073" t="n"/>
      <c r="K27" s="1118" t="n"/>
      <c r="L27" s="1073" t="n"/>
      <c r="M27" s="1117" t="n"/>
      <c r="N27" s="1117" t="n"/>
      <c r="O27" s="1118" t="n"/>
      <c r="P27" s="1074" t="n"/>
      <c r="Q27" s="1118" t="n"/>
    </row>
    <row r="28">
      <c r="A28" s="1073" t="n"/>
      <c r="B28" s="1118" t="n"/>
      <c r="C28" s="1073" t="n"/>
      <c r="D28" s="1117" t="n"/>
      <c r="E28" s="1117" t="n"/>
      <c r="F28" s="1118" t="n"/>
      <c r="G28" s="1074" t="n"/>
      <c r="H28" s="1118" t="n"/>
      <c r="J28" s="1073" t="n"/>
      <c r="K28" s="1118" t="n"/>
      <c r="L28" s="1073" t="n"/>
      <c r="M28" s="1117" t="n"/>
      <c r="N28" s="1117" t="n"/>
      <c r="O28" s="1118" t="n"/>
      <c r="P28" s="1074" t="n"/>
      <c r="Q28" s="1118" t="n"/>
    </row>
    <row r="29">
      <c r="A29" s="1073" t="n"/>
      <c r="B29" s="1118" t="n"/>
      <c r="C29" s="1073" t="n"/>
      <c r="D29" s="1117" t="n"/>
      <c r="E29" s="1117" t="n"/>
      <c r="F29" s="1118" t="n"/>
      <c r="G29" s="1074" t="n"/>
      <c r="H29" s="1118" t="n"/>
      <c r="J29" s="1073" t="n"/>
      <c r="K29" s="1118" t="n"/>
      <c r="L29" s="1073" t="n"/>
      <c r="M29" s="1117" t="n"/>
      <c r="N29" s="1117" t="n"/>
      <c r="O29" s="1118" t="n"/>
      <c r="P29" s="1074" t="n"/>
      <c r="Q29" s="1118" t="n"/>
    </row>
    <row r="30">
      <c r="A30" s="1073" t="n"/>
      <c r="B30" s="1118" t="n"/>
      <c r="C30" s="1073" t="n"/>
      <c r="D30" s="1117" t="n"/>
      <c r="E30" s="1117" t="n"/>
      <c r="F30" s="1118" t="n"/>
      <c r="G30" s="1074" t="n"/>
      <c r="H30" s="1118" t="n"/>
      <c r="J30" s="1073" t="n"/>
      <c r="K30" s="1118" t="n"/>
      <c r="L30" s="1073" t="n"/>
      <c r="M30" s="1117" t="n"/>
      <c r="N30" s="1117" t="n"/>
      <c r="O30" s="1118" t="n"/>
      <c r="P30" s="1074" t="n"/>
      <c r="Q30" s="1118" t="n"/>
    </row>
    <row r="31">
      <c r="A31" s="1073" t="n"/>
      <c r="B31" s="1118" t="n"/>
      <c r="C31" s="1073" t="n"/>
      <c r="D31" s="1117" t="n"/>
      <c r="E31" s="1117" t="n"/>
      <c r="F31" s="1118" t="n"/>
      <c r="G31" s="1074" t="n"/>
      <c r="H31" s="1118" t="n"/>
      <c r="J31" s="1073" t="n"/>
      <c r="K31" s="1118" t="n"/>
      <c r="L31" s="1073" t="n"/>
      <c r="M31" s="1117" t="n"/>
      <c r="N31" s="1117" t="n"/>
      <c r="O31" s="1118" t="n"/>
      <c r="P31" s="1074" t="n"/>
      <c r="Q31" s="1118" t="n"/>
    </row>
    <row r="32">
      <c r="A32" s="1073" t="n"/>
      <c r="B32" s="1118" t="n"/>
      <c r="C32" s="1073" t="n"/>
      <c r="D32" s="1117" t="n"/>
      <c r="E32" s="1117" t="n"/>
      <c r="F32" s="1118" t="n"/>
      <c r="G32" s="1074" t="n"/>
      <c r="H32" s="1118" t="n"/>
      <c r="J32" s="1073" t="n"/>
      <c r="K32" s="1118" t="n"/>
      <c r="L32" s="1073" t="n"/>
      <c r="M32" s="1117" t="n"/>
      <c r="N32" s="1117" t="n"/>
      <c r="O32" s="1118" t="n"/>
      <c r="P32" s="1074" t="n"/>
      <c r="Q32" s="1118" t="n"/>
    </row>
    <row r="33">
      <c r="A33" s="1073" t="n"/>
      <c r="B33" s="1118" t="n"/>
      <c r="C33" s="1073" t="n"/>
      <c r="D33" s="1117" t="n"/>
      <c r="E33" s="1117" t="n"/>
      <c r="F33" s="1118" t="n"/>
      <c r="G33" s="1074" t="n"/>
      <c r="H33" s="1118" t="n"/>
      <c r="J33" s="1073" t="n"/>
      <c r="K33" s="1118" t="n"/>
      <c r="L33" s="1073" t="n"/>
      <c r="M33" s="1117" t="n"/>
      <c r="N33" s="1117" t="n"/>
      <c r="O33" s="1118" t="n"/>
      <c r="P33" s="1074" t="n"/>
      <c r="Q33" s="1118" t="n"/>
    </row>
    <row r="34">
      <c r="A34" s="1073" t="n"/>
      <c r="B34" s="1118" t="n"/>
      <c r="C34" s="1073" t="n"/>
      <c r="D34" s="1117" t="n"/>
      <c r="E34" s="1117" t="n"/>
      <c r="F34" s="1118" t="n"/>
      <c r="G34" s="1074" t="n"/>
      <c r="H34" s="1118" t="n"/>
      <c r="J34" s="1073" t="n"/>
      <c r="K34" s="1118" t="n"/>
      <c r="L34" s="1073" t="n"/>
      <c r="M34" s="1117" t="n"/>
      <c r="N34" s="1117" t="n"/>
      <c r="O34" s="1118" t="n"/>
      <c r="P34" s="1074" t="n"/>
      <c r="Q34" s="1118" t="n"/>
    </row>
    <row r="35">
      <c r="A35" s="1073" t="n"/>
      <c r="B35" s="1118" t="n"/>
      <c r="C35" s="1073" t="n"/>
      <c r="D35" s="1117" t="n"/>
      <c r="E35" s="1117" t="n"/>
      <c r="F35" s="1118" t="n"/>
      <c r="G35" s="1074" t="n"/>
      <c r="H35" s="1118" t="n"/>
      <c r="J35" s="1073" t="n"/>
      <c r="K35" s="1118" t="n"/>
      <c r="L35" s="1073" t="n"/>
      <c r="M35" s="1117" t="n"/>
      <c r="N35" s="1117" t="n"/>
      <c r="O35" s="1118" t="n"/>
      <c r="P35" s="1074" t="n"/>
      <c r="Q35" s="1118" t="n"/>
    </row>
    <row r="36" ht="15.75" customHeight="1" thickBot="1">
      <c r="A36" s="1073" t="n"/>
      <c r="B36" s="1118" t="n"/>
      <c r="C36" s="1073" t="n"/>
      <c r="D36" s="1117" t="n"/>
      <c r="E36" s="1117" t="n"/>
      <c r="F36" s="1118" t="n"/>
      <c r="G36" s="1074" t="n"/>
      <c r="H36" s="1118" t="n"/>
      <c r="J36" s="1073" t="n"/>
      <c r="K36" s="1118" t="n"/>
      <c r="L36" s="1073" t="n"/>
      <c r="M36" s="1117" t="n"/>
      <c r="N36" s="1117" t="n"/>
      <c r="O36" s="1118" t="n"/>
      <c r="P36" s="1074" t="n"/>
      <c r="Q36" s="1118" t="n"/>
    </row>
    <row r="37" ht="15.75" customHeight="1" thickBot="1">
      <c r="A37" s="159" t="inlineStr">
        <is>
          <t>POLE</t>
        </is>
      </c>
      <c r="B37" s="1101" t="n"/>
      <c r="C37" s="1101" t="n"/>
      <c r="D37" s="1101" t="n"/>
      <c r="E37" s="1101" t="n"/>
      <c r="F37" s="1101" t="n"/>
      <c r="G37" s="1101" t="n"/>
      <c r="H37" s="1102" t="n"/>
      <c r="J37" s="159" t="inlineStr">
        <is>
          <t>THIRD-PARTY SPLICING</t>
        </is>
      </c>
      <c r="K37" s="1101" t="n"/>
      <c r="L37" s="1101" t="n"/>
      <c r="M37" s="1101" t="n"/>
      <c r="N37" s="1101" t="n"/>
      <c r="O37" s="1101" t="n"/>
      <c r="P37" s="1101" t="n"/>
      <c r="Q37" s="1102" t="n"/>
    </row>
    <row r="38">
      <c r="A38" s="103" t="inlineStr">
        <is>
          <t>NAME</t>
        </is>
      </c>
      <c r="B38" s="1168" t="n"/>
      <c r="C38" s="103" t="inlineStr">
        <is>
          <t>DESCRIPTION</t>
        </is>
      </c>
      <c r="F38" s="1168" t="n"/>
      <c r="G38" s="1067" t="inlineStr">
        <is>
          <t>AMOUNT</t>
        </is>
      </c>
      <c r="H38" s="1149" t="n"/>
      <c r="J38" s="103" t="inlineStr">
        <is>
          <t>Number</t>
        </is>
      </c>
      <c r="K38" s="1168" t="n"/>
      <c r="L38" s="103" t="inlineStr">
        <is>
          <t>DESCRIPTION</t>
        </is>
      </c>
      <c r="O38" s="1168" t="n"/>
      <c r="P38" s="1067" t="inlineStr">
        <is>
          <t>AMOUNT</t>
        </is>
      </c>
      <c r="Q38" s="1149" t="n"/>
    </row>
    <row r="39">
      <c r="A39" s="1073" t="n"/>
      <c r="B39" s="1118" t="n"/>
      <c r="C39" s="1073" t="n"/>
      <c r="D39" s="1117" t="n"/>
      <c r="E39" s="1117" t="n"/>
      <c r="F39" s="1118" t="n"/>
      <c r="G39" s="1074" t="n">
        <v>0</v>
      </c>
      <c r="H39" s="1118" t="n"/>
      <c r="J39" s="1089" t="n"/>
      <c r="K39" s="1118" t="n"/>
      <c r="L39" s="1073" t="n"/>
      <c r="M39" s="1117" t="n"/>
      <c r="N39" s="1117" t="n"/>
      <c r="O39" s="1118" t="n"/>
      <c r="P39" s="1074" t="n"/>
      <c r="Q39" s="1118" t="n"/>
    </row>
    <row r="40">
      <c r="A40" s="1073" t="n"/>
      <c r="B40" s="1118" t="n"/>
      <c r="C40" s="1073" t="n"/>
      <c r="D40" s="1117" t="n"/>
      <c r="E40" s="1117" t="n"/>
      <c r="F40" s="1118" t="n"/>
      <c r="G40" s="1074" t="n"/>
      <c r="H40" s="1118" t="n"/>
      <c r="J40" s="1073" t="n"/>
      <c r="K40" s="1118" t="n"/>
      <c r="L40" s="1073" t="n"/>
      <c r="M40" s="1117" t="n"/>
      <c r="N40" s="1117" t="n"/>
      <c r="O40" s="1118" t="n"/>
      <c r="P40" s="1074" t="n"/>
      <c r="Q40" s="1118" t="n"/>
    </row>
    <row r="41">
      <c r="A41" s="1073" t="n"/>
      <c r="B41" s="1118" t="n"/>
      <c r="C41" s="1073" t="n"/>
      <c r="D41" s="1117" t="n"/>
      <c r="E41" s="1117" t="n"/>
      <c r="F41" s="1118" t="n"/>
      <c r="G41" s="1074" t="n"/>
      <c r="H41" s="1118" t="n"/>
      <c r="J41" s="1073" t="n"/>
      <c r="K41" s="1118" t="n"/>
      <c r="L41" s="1073" t="n"/>
      <c r="M41" s="1117" t="n"/>
      <c r="N41" s="1117" t="n"/>
      <c r="O41" s="1118" t="n"/>
      <c r="P41" s="1074" t="n"/>
      <c r="Q41" s="1118" t="n"/>
    </row>
    <row r="42">
      <c r="A42" s="1073" t="n"/>
      <c r="B42" s="1118" t="n"/>
      <c r="C42" s="1073" t="n"/>
      <c r="D42" s="1117" t="n"/>
      <c r="E42" s="1117" t="n"/>
      <c r="F42" s="1118" t="n"/>
      <c r="G42" s="1074" t="n"/>
      <c r="H42" s="1118" t="n"/>
      <c r="J42" s="1073" t="n"/>
      <c r="K42" s="1118" t="n"/>
      <c r="L42" s="1169" t="n"/>
      <c r="M42" s="1117" t="n"/>
      <c r="N42" s="1117" t="n"/>
      <c r="O42" s="1118" t="n"/>
      <c r="P42" s="1074" t="n"/>
      <c r="Q42" s="1118" t="n"/>
    </row>
    <row r="43">
      <c r="A43" s="1073" t="n"/>
      <c r="B43" s="1118" t="n"/>
      <c r="C43" s="1073" t="n"/>
      <c r="D43" s="1117" t="n"/>
      <c r="E43" s="1117" t="n"/>
      <c r="F43" s="1118" t="n"/>
      <c r="G43" s="1074" t="n"/>
      <c r="H43" s="1118" t="n"/>
      <c r="J43" s="1073" t="n"/>
      <c r="K43" s="1118" t="n"/>
      <c r="L43" s="1169" t="n"/>
      <c r="M43" s="1117" t="n"/>
      <c r="N43" s="1117" t="n"/>
      <c r="O43" s="1118" t="n"/>
      <c r="P43" s="1074" t="n"/>
      <c r="Q43" s="1118" t="n"/>
    </row>
    <row r="44">
      <c r="A44" s="1073" t="n"/>
      <c r="B44" s="1118" t="n"/>
      <c r="C44" s="1073" t="n"/>
      <c r="D44" s="1117" t="n"/>
      <c r="E44" s="1117" t="n"/>
      <c r="F44" s="1118" t="n"/>
      <c r="G44" s="1074" t="n"/>
      <c r="H44" s="1118" t="n"/>
      <c r="J44" s="1073" t="n"/>
      <c r="K44" s="1118" t="n"/>
      <c r="L44" s="1169" t="n"/>
      <c r="M44" s="1117" t="n"/>
      <c r="N44" s="1117" t="n"/>
      <c r="O44" s="1118" t="n"/>
      <c r="P44" s="1074" t="n"/>
      <c r="Q44" s="1118" t="n"/>
    </row>
    <row r="45">
      <c r="A45" s="1073" t="n"/>
      <c r="B45" s="1118" t="n"/>
      <c r="C45" s="1073" t="n"/>
      <c r="D45" s="1117" t="n"/>
      <c r="E45" s="1117" t="n"/>
      <c r="F45" s="1118" t="n"/>
      <c r="G45" s="1074" t="n"/>
      <c r="H45" s="1118" t="n"/>
      <c r="J45" s="1073" t="n"/>
      <c r="K45" s="1118" t="n"/>
      <c r="L45" s="1073" t="n"/>
      <c r="M45" s="1117" t="n"/>
      <c r="N45" s="1117" t="n"/>
      <c r="O45" s="1118" t="n"/>
      <c r="P45" s="1074" t="n"/>
      <c r="Q45" s="1118" t="n"/>
    </row>
    <row r="46">
      <c r="A46" s="1073" t="n"/>
      <c r="B46" s="1118" t="n"/>
      <c r="C46" s="1073" t="n"/>
      <c r="D46" s="1117" t="n"/>
      <c r="E46" s="1117" t="n"/>
      <c r="F46" s="1118" t="n"/>
      <c r="G46" s="1074" t="n"/>
      <c r="H46" s="1118" t="n"/>
      <c r="J46" s="1073" t="n"/>
      <c r="K46" s="1118" t="n"/>
      <c r="L46" s="1073" t="n"/>
      <c r="M46" s="1117" t="n"/>
      <c r="N46" s="1117" t="n"/>
      <c r="O46" s="1118" t="n"/>
      <c r="P46" s="1074" t="n"/>
      <c r="Q46" s="1118" t="n"/>
    </row>
    <row r="47">
      <c r="A47" s="1073" t="n"/>
      <c r="B47" s="1118" t="n"/>
      <c r="C47" s="1073" t="n"/>
      <c r="D47" s="1117" t="n"/>
      <c r="E47" s="1117" t="n"/>
      <c r="F47" s="1118" t="n"/>
      <c r="G47" s="1074" t="n"/>
      <c r="H47" s="1118" t="n"/>
      <c r="J47" s="1073" t="n"/>
      <c r="K47" s="1118" t="n"/>
      <c r="L47" s="1073" t="n"/>
      <c r="M47" s="1117" t="n"/>
      <c r="N47" s="1117" t="n"/>
      <c r="O47" s="1118" t="n"/>
      <c r="P47" s="1074" t="n"/>
      <c r="Q47" s="1118" t="n"/>
    </row>
    <row r="48">
      <c r="A48" s="1073" t="n"/>
      <c r="B48" s="1118" t="n"/>
      <c r="C48" s="1073" t="n"/>
      <c r="D48" s="1117" t="n"/>
      <c r="E48" s="1117" t="n"/>
      <c r="F48" s="1118" t="n"/>
      <c r="G48" s="1074" t="n"/>
      <c r="H48" s="1118" t="n"/>
      <c r="J48" s="1073" t="n"/>
      <c r="K48" s="1118" t="n"/>
      <c r="L48" s="1073" t="n"/>
      <c r="M48" s="1117" t="n"/>
      <c r="N48" s="1117" t="n"/>
      <c r="O48" s="1118" t="n"/>
      <c r="P48" s="1074" t="n"/>
      <c r="Q48" s="1118" t="n"/>
    </row>
    <row r="49">
      <c r="A49" s="1073" t="n"/>
      <c r="B49" s="1118" t="n"/>
      <c r="C49" s="1073" t="n"/>
      <c r="D49" s="1117" t="n"/>
      <c r="E49" s="1117" t="n"/>
      <c r="F49" s="1118" t="n"/>
      <c r="G49" s="1074" t="n"/>
      <c r="H49" s="1118" t="n"/>
      <c r="J49" s="1073" t="n"/>
      <c r="K49" s="1118" t="n"/>
      <c r="L49" s="1073" t="n"/>
      <c r="M49" s="1117" t="n"/>
      <c r="N49" s="1117" t="n"/>
      <c r="O49" s="1118" t="n"/>
      <c r="P49" s="1074" t="n"/>
      <c r="Q49" s="1118" t="n"/>
    </row>
    <row r="50">
      <c r="A50" s="1073" t="n"/>
      <c r="B50" s="1118" t="n"/>
      <c r="C50" s="1073" t="n"/>
      <c r="D50" s="1117" t="n"/>
      <c r="E50" s="1117" t="n"/>
      <c r="F50" s="1118" t="n"/>
      <c r="G50" s="1074" t="n"/>
      <c r="H50" s="1118" t="n"/>
      <c r="J50" s="1073" t="n"/>
      <c r="K50" s="1118" t="n"/>
      <c r="L50" s="1073" t="n"/>
      <c r="M50" s="1117" t="n"/>
      <c r="N50" s="1117" t="n"/>
      <c r="O50" s="1118" t="n"/>
      <c r="P50" s="1074" t="n"/>
      <c r="Q50" s="1118" t="n"/>
    </row>
    <row r="51">
      <c r="A51" s="1073" t="n"/>
      <c r="B51" s="1118" t="n"/>
      <c r="C51" s="1073" t="n"/>
      <c r="D51" s="1117" t="n"/>
      <c r="E51" s="1117" t="n"/>
      <c r="F51" s="1118" t="n"/>
      <c r="G51" s="1074" t="n"/>
      <c r="H51" s="1118" t="n"/>
      <c r="J51" s="1073" t="n"/>
      <c r="K51" s="1118" t="n"/>
      <c r="L51" s="1073" t="n"/>
      <c r="M51" s="1117" t="n"/>
      <c r="N51" s="1117" t="n"/>
      <c r="O51" s="1118" t="n"/>
      <c r="P51" s="1074" t="n"/>
      <c r="Q51" s="1118" t="n"/>
    </row>
    <row r="52">
      <c r="A52" s="1073" t="n"/>
      <c r="B52" s="1118" t="n"/>
      <c r="C52" s="1073" t="n"/>
      <c r="D52" s="1117" t="n"/>
      <c r="E52" s="1117" t="n"/>
      <c r="F52" s="1118" t="n"/>
      <c r="G52" s="1074" t="n"/>
      <c r="H52" s="1118" t="n"/>
      <c r="J52" s="1073" t="n"/>
      <c r="K52" s="1118" t="n"/>
      <c r="L52" s="1073" t="n"/>
      <c r="M52" s="1117" t="n"/>
      <c r="N52" s="1117" t="n"/>
      <c r="O52" s="1118" t="n"/>
      <c r="P52" s="1074" t="n"/>
      <c r="Q52" s="1118" t="n"/>
    </row>
    <row r="53" ht="15.75" customHeight="1" thickBot="1">
      <c r="A53" s="1073" t="n"/>
      <c r="B53" s="1118" t="n"/>
      <c r="C53" s="1073" t="n"/>
      <c r="D53" s="1117" t="n"/>
      <c r="E53" s="1117" t="n"/>
      <c r="F53" s="1118" t="n"/>
      <c r="G53" s="1074" t="n"/>
      <c r="H53" s="1118" t="n"/>
      <c r="J53" s="1073" t="n"/>
      <c r="K53" s="1118" t="n"/>
      <c r="L53" s="1073" t="n"/>
      <c r="M53" s="1117" t="n"/>
      <c r="N53" s="1117" t="n"/>
      <c r="O53" s="1118" t="n"/>
      <c r="P53" s="1074" t="n"/>
      <c r="Q53" s="1118" t="n"/>
    </row>
    <row r="54" ht="15.75" customHeight="1" thickBot="1">
      <c r="A54" s="159" t="inlineStr">
        <is>
          <t>OTHER</t>
        </is>
      </c>
      <c r="B54" s="1101" t="n"/>
      <c r="C54" s="1101" t="n"/>
      <c r="D54" s="1101" t="n"/>
      <c r="E54" s="1101" t="n"/>
      <c r="F54" s="1101" t="n"/>
      <c r="G54" s="1101" t="n"/>
      <c r="H54" s="1102" t="n"/>
      <c r="J54" s="159" t="inlineStr">
        <is>
          <t>CELL SITE</t>
        </is>
      </c>
      <c r="K54" s="1101" t="n"/>
      <c r="L54" s="1101" t="n"/>
      <c r="M54" s="1101" t="n"/>
      <c r="N54" s="1101" t="n"/>
      <c r="O54" s="1101" t="n"/>
      <c r="P54" s="1101" t="n"/>
      <c r="Q54" s="1102" t="n"/>
    </row>
    <row r="55">
      <c r="A55" s="103" t="inlineStr">
        <is>
          <t>NAME</t>
        </is>
      </c>
      <c r="B55" s="1168" t="n"/>
      <c r="C55" s="103" t="inlineStr">
        <is>
          <t>DESCRIPTION</t>
        </is>
      </c>
      <c r="F55" s="1168" t="n"/>
      <c r="G55" s="1067" t="inlineStr">
        <is>
          <t>AMOUNT</t>
        </is>
      </c>
      <c r="H55" s="1149" t="n"/>
      <c r="J55" s="103" t="inlineStr">
        <is>
          <t>NAME</t>
        </is>
      </c>
      <c r="K55" s="1168" t="n"/>
      <c r="L55" s="103" t="inlineStr">
        <is>
          <t>DESCRIPTION</t>
        </is>
      </c>
      <c r="O55" s="1168" t="n"/>
      <c r="P55" s="1067" t="inlineStr">
        <is>
          <t>AMOUNT</t>
        </is>
      </c>
      <c r="Q55" s="1149" t="n"/>
    </row>
    <row r="56">
      <c r="A56" s="1073" t="n"/>
      <c r="B56" s="1118" t="n"/>
      <c r="C56" s="1073" t="inlineStr">
        <is>
          <t>CONTINGENT LABOR</t>
        </is>
      </c>
      <c r="D56" s="1117" t="n"/>
      <c r="E56" s="1117" t="n"/>
      <c r="F56" s="1118" t="n"/>
      <c r="G56" s="1074" t="n">
        <v>10000</v>
      </c>
      <c r="H56" s="1118" t="n"/>
      <c r="J56" s="1073" t="n"/>
      <c r="K56" s="1118" t="n"/>
      <c r="L56" s="1073" t="n"/>
      <c r="M56" s="1117" t="n"/>
      <c r="N56" s="1117" t="n"/>
      <c r="O56" s="1118" t="n"/>
      <c r="P56" s="1074" t="n"/>
      <c r="Q56" s="1118" t="n"/>
    </row>
    <row r="57">
      <c r="A57" s="1073" t="n"/>
      <c r="B57" s="1118" t="n"/>
      <c r="C57" s="1073" t="n"/>
      <c r="D57" s="1117" t="n"/>
      <c r="E57" s="1117" t="n"/>
      <c r="F57" s="1118" t="n"/>
      <c r="G57" s="1074" t="n"/>
      <c r="H57" s="1118" t="n"/>
      <c r="J57" s="1073" t="n"/>
      <c r="K57" s="1118" t="n"/>
      <c r="L57" s="1073" t="n"/>
      <c r="M57" s="1117" t="n"/>
      <c r="N57" s="1117" t="n"/>
      <c r="O57" s="1118" t="n"/>
      <c r="P57" s="1074" t="n"/>
      <c r="Q57" s="1118" t="n"/>
    </row>
    <row r="58">
      <c r="A58" s="1073" t="n"/>
      <c r="B58" s="1118" t="n"/>
      <c r="C58" s="1073" t="n"/>
      <c r="D58" s="1117" t="n"/>
      <c r="E58" s="1117" t="n"/>
      <c r="F58" s="1118" t="n"/>
      <c r="G58" s="1074" t="n"/>
      <c r="H58" s="1118" t="n"/>
      <c r="J58" s="1073" t="n"/>
      <c r="K58" s="1118" t="n"/>
      <c r="L58" s="1073" t="n"/>
      <c r="M58" s="1117" t="n"/>
      <c r="N58" s="1117" t="n"/>
      <c r="O58" s="1118" t="n"/>
      <c r="P58" s="1074" t="n"/>
      <c r="Q58" s="1118" t="n"/>
    </row>
    <row r="59">
      <c r="A59" s="1073" t="n"/>
      <c r="B59" s="1118" t="n"/>
      <c r="C59" s="1073" t="n"/>
      <c r="D59" s="1117" t="n"/>
      <c r="E59" s="1117" t="n"/>
      <c r="F59" s="1118" t="n"/>
      <c r="G59" s="1074" t="n"/>
      <c r="H59" s="1118" t="n"/>
      <c r="J59" s="1073" t="n"/>
      <c r="K59" s="1118" t="n"/>
      <c r="L59" s="1073" t="n"/>
      <c r="M59" s="1117" t="n"/>
      <c r="N59" s="1117" t="n"/>
      <c r="O59" s="1118" t="n"/>
      <c r="P59" s="1074" t="n"/>
      <c r="Q59" s="1118" t="n"/>
    </row>
    <row r="60">
      <c r="A60" s="1073" t="n"/>
      <c r="B60" s="1118" t="n"/>
      <c r="C60" s="1073" t="n"/>
      <c r="D60" s="1117" t="n"/>
      <c r="E60" s="1117" t="n"/>
      <c r="F60" s="1118" t="n"/>
      <c r="G60" s="1074" t="n"/>
      <c r="H60" s="1118" t="n"/>
      <c r="J60" s="1073" t="n"/>
      <c r="K60" s="1118" t="n"/>
      <c r="L60" s="1073" t="n"/>
      <c r="M60" s="1117" t="n"/>
      <c r="N60" s="1117" t="n"/>
      <c r="O60" s="1118" t="n"/>
      <c r="P60" s="1074" t="n"/>
      <c r="Q60" s="1118" t="n"/>
    </row>
    <row r="61">
      <c r="A61" s="1073" t="n"/>
      <c r="B61" s="1118" t="n"/>
      <c r="C61" s="1073" t="n"/>
      <c r="D61" s="1117" t="n"/>
      <c r="E61" s="1117" t="n"/>
      <c r="F61" s="1118" t="n"/>
      <c r="G61" s="1074" t="n"/>
      <c r="H61" s="1118" t="n"/>
      <c r="J61" s="1073" t="n"/>
      <c r="K61" s="1118" t="n"/>
      <c r="L61" s="1073" t="n"/>
      <c r="M61" s="1117" t="n"/>
      <c r="N61" s="1117" t="n"/>
      <c r="O61" s="1118" t="n"/>
      <c r="P61" s="1074" t="n"/>
      <c r="Q61" s="1118" t="n"/>
    </row>
    <row r="62">
      <c r="A62" s="1073" t="n"/>
      <c r="B62" s="1118" t="n"/>
      <c r="C62" s="1073" t="n"/>
      <c r="D62" s="1117" t="n"/>
      <c r="E62" s="1117" t="n"/>
      <c r="F62" s="1118" t="n"/>
      <c r="G62" s="1074" t="n"/>
      <c r="H62" s="1118" t="n"/>
      <c r="J62" s="1073" t="n"/>
      <c r="K62" s="1118" t="n"/>
      <c r="L62" s="1073" t="n"/>
      <c r="M62" s="1117" t="n"/>
      <c r="N62" s="1117" t="n"/>
      <c r="O62" s="1118" t="n"/>
      <c r="P62" s="1074" t="n"/>
      <c r="Q62" s="1118" t="n"/>
    </row>
    <row r="63">
      <c r="A63" s="1073" t="n"/>
      <c r="B63" s="1118" t="n"/>
      <c r="C63" s="1073" t="n"/>
      <c r="D63" s="1117" t="n"/>
      <c r="E63" s="1117" t="n"/>
      <c r="F63" s="1118" t="n"/>
      <c r="G63" s="1074" t="n"/>
      <c r="H63" s="1118" t="n"/>
      <c r="J63" s="1073" t="n"/>
      <c r="K63" s="1118" t="n"/>
      <c r="L63" s="1073" t="n"/>
      <c r="M63" s="1117" t="n"/>
      <c r="N63" s="1117" t="n"/>
      <c r="O63" s="1118" t="n"/>
      <c r="P63" s="1074" t="n"/>
      <c r="Q63" s="1118" t="n"/>
    </row>
    <row r="64">
      <c r="A64" s="1073" t="n"/>
      <c r="B64" s="1118" t="n"/>
      <c r="C64" s="1073" t="n"/>
      <c r="D64" s="1117" t="n"/>
      <c r="E64" s="1117" t="n"/>
      <c r="F64" s="1118" t="n"/>
      <c r="G64" s="1074" t="n"/>
      <c r="H64" s="1118" t="n"/>
      <c r="J64" s="1073" t="n"/>
      <c r="K64" s="1118" t="n"/>
      <c r="L64" s="1073" t="n"/>
      <c r="M64" s="1117" t="n"/>
      <c r="N64" s="1117" t="n"/>
      <c r="O64" s="1118" t="n"/>
      <c r="P64" s="1074" t="n"/>
      <c r="Q64" s="1118" t="n"/>
    </row>
    <row r="65">
      <c r="A65" s="1073" t="n"/>
      <c r="B65" s="1118" t="n"/>
      <c r="C65" s="1073" t="n"/>
      <c r="D65" s="1117" t="n"/>
      <c r="E65" s="1117" t="n"/>
      <c r="F65" s="1118" t="n"/>
      <c r="G65" s="1074" t="n"/>
      <c r="H65" s="1118" t="n"/>
      <c r="J65" s="1073" t="n"/>
      <c r="K65" s="1118" t="n"/>
      <c r="L65" s="1073" t="n"/>
      <c r="M65" s="1117" t="n"/>
      <c r="N65" s="1117" t="n"/>
      <c r="O65" s="1118" t="n"/>
      <c r="P65" s="1074" t="n"/>
      <c r="Q65" s="1118" t="n"/>
    </row>
    <row r="66">
      <c r="A66" s="1073" t="n"/>
      <c r="B66" s="1118" t="n"/>
      <c r="C66" s="1073" t="n"/>
      <c r="D66" s="1117" t="n"/>
      <c r="E66" s="1117" t="n"/>
      <c r="F66" s="1118" t="n"/>
      <c r="G66" s="1074" t="n"/>
      <c r="H66" s="1118" t="n"/>
      <c r="J66" s="1073" t="n"/>
      <c r="K66" s="1118" t="n"/>
      <c r="L66" s="1073" t="n"/>
      <c r="M66" s="1117" t="n"/>
      <c r="N66" s="1117" t="n"/>
      <c r="O66" s="1118" t="n"/>
      <c r="P66" s="1074" t="n"/>
      <c r="Q66" s="1118" t="n"/>
    </row>
    <row r="67">
      <c r="A67" s="1073" t="n"/>
      <c r="B67" s="1118" t="n"/>
      <c r="C67" s="1073" t="n"/>
      <c r="D67" s="1117" t="n"/>
      <c r="E67" s="1117" t="n"/>
      <c r="F67" s="1118" t="n"/>
      <c r="G67" s="1074" t="n"/>
      <c r="H67" s="1118" t="n"/>
      <c r="J67" s="1073" t="n"/>
      <c r="K67" s="1118" t="n"/>
      <c r="L67" s="1073" t="n"/>
      <c r="M67" s="1117" t="n"/>
      <c r="N67" s="1117" t="n"/>
      <c r="O67" s="1118" t="n"/>
      <c r="P67" s="1074" t="n"/>
      <c r="Q67" s="1118" t="n"/>
    </row>
    <row r="68">
      <c r="A68" s="1073" t="n"/>
      <c r="B68" s="1118" t="n"/>
      <c r="C68" s="1073" t="n"/>
      <c r="D68" s="1117" t="n"/>
      <c r="E68" s="1117" t="n"/>
      <c r="F68" s="1118" t="n"/>
      <c r="G68" s="1074" t="n"/>
      <c r="H68" s="1118" t="n"/>
      <c r="J68" s="1073" t="n"/>
      <c r="K68" s="1118" t="n"/>
      <c r="L68" s="1073" t="n"/>
      <c r="M68" s="1117" t="n"/>
      <c r="N68" s="1117" t="n"/>
      <c r="O68" s="1118" t="n"/>
      <c r="P68" s="1074" t="n"/>
      <c r="Q68" s="1118" t="n"/>
    </row>
    <row r="69">
      <c r="A69" s="1073" t="n"/>
      <c r="B69" s="1118" t="n"/>
      <c r="C69" s="1073" t="n"/>
      <c r="D69" s="1117" t="n"/>
      <c r="E69" s="1117" t="n"/>
      <c r="F69" s="1118" t="n"/>
      <c r="G69" s="1074" t="n"/>
      <c r="H69" s="1118" t="n"/>
      <c r="J69" s="1073" t="n"/>
      <c r="K69" s="1118" t="n"/>
      <c r="L69" s="1073" t="n"/>
      <c r="M69" s="1117" t="n"/>
      <c r="N69" s="1117" t="n"/>
      <c r="O69" s="1118" t="n"/>
      <c r="P69" s="1074" t="n"/>
      <c r="Q69" s="1118" t="n"/>
    </row>
    <row r="70">
      <c r="A70" s="1071" t="n">
        <v>0</v>
      </c>
      <c r="B70" s="1118" t="n"/>
      <c r="C70" s="1071" t="inlineStr">
        <is>
          <t>MISC Access Equipment and install charge</t>
        </is>
      </c>
      <c r="D70" s="1117" t="n"/>
      <c r="E70" s="1117" t="n"/>
      <c r="F70" s="1118" t="n"/>
      <c r="G70" s="1072">
        <f>A70*1350</f>
        <v/>
      </c>
      <c r="H70" s="1118" t="n"/>
      <c r="J70" s="1073" t="n"/>
      <c r="K70" s="1118" t="n"/>
      <c r="L70" s="1073" t="n"/>
      <c r="M70" s="1117" t="n"/>
      <c r="N70" s="1117" t="n"/>
      <c r="O70" s="1118" t="n"/>
      <c r="P70" s="1074" t="n"/>
      <c r="Q70" s="1118" t="n"/>
    </row>
    <row r="71" ht="15.75" customHeight="1" thickBot="1"/>
    <row r="72" ht="15.75" customHeight="1" thickBot="1">
      <c r="A72" s="154" t="inlineStr">
        <is>
          <t>TRAFFIC CONTROL</t>
        </is>
      </c>
      <c r="B72" s="153" t="n"/>
      <c r="C72" s="153" t="n"/>
      <c r="D72" s="153" t="n"/>
      <c r="E72" s="153" t="n"/>
      <c r="F72" s="153" t="n"/>
      <c r="G72" s="153" t="n"/>
      <c r="H72" s="153" t="n"/>
      <c r="I72" s="153" t="n"/>
      <c r="J72" s="153" t="n"/>
      <c r="K72" s="153" t="n"/>
      <c r="L72" s="153" t="n"/>
      <c r="M72" s="153" t="n"/>
      <c r="N72" s="153" t="n"/>
      <c r="O72" s="153" t="n"/>
      <c r="P72" s="153" t="n"/>
      <c r="Q72" s="155" t="n"/>
    </row>
    <row r="73">
      <c r="A73" s="1067" t="inlineStr">
        <is>
          <t>NAME</t>
        </is>
      </c>
      <c r="B73" s="1149" t="n"/>
      <c r="C73" s="1170" t="inlineStr">
        <is>
          <t>DESCRIPTION</t>
        </is>
      </c>
      <c r="D73" s="1171" t="n"/>
      <c r="E73" s="1171" t="n"/>
      <c r="F73" s="1171" t="n"/>
      <c r="G73" s="1171" t="n"/>
      <c r="H73" s="1171" t="n"/>
      <c r="I73" s="1171" t="n"/>
      <c r="J73" s="1171" t="n"/>
      <c r="K73" s="1172" t="n"/>
      <c r="L73" s="1067" t="inlineStr">
        <is>
          <t>Price</t>
        </is>
      </c>
      <c r="M73" s="1149" t="n"/>
      <c r="N73" s="156" t="inlineStr">
        <is>
          <t>Unit</t>
        </is>
      </c>
      <c r="O73" s="156" t="inlineStr">
        <is>
          <t>Quantity</t>
        </is>
      </c>
      <c r="P73" s="1067" t="inlineStr">
        <is>
          <t>AMOUNT</t>
        </is>
      </c>
      <c r="Q73" s="1149" t="n"/>
    </row>
    <row r="74">
      <c r="A74" s="1064" t="inlineStr">
        <is>
          <t>Standard Flagging Operation</t>
        </is>
      </c>
      <c r="B74" s="1162" t="n"/>
      <c r="C74" s="1064" t="inlineStr">
        <is>
          <t>Includes up to 2 crew members, 1 AWP work truck with rotating lights, 8 advanced warning signs, 40 cones and up to 8 hours on site with mobilization.</t>
        </is>
      </c>
      <c r="D74" s="1161" t="n"/>
      <c r="E74" s="1161" t="n"/>
      <c r="F74" s="1161" t="n"/>
      <c r="G74" s="1161" t="n"/>
      <c r="H74" s="1161" t="n"/>
      <c r="I74" s="1161" t="n"/>
      <c r="J74" s="1161" t="n"/>
      <c r="K74" s="1162" t="n"/>
      <c r="L74" s="1173" t="n">
        <v>578.2</v>
      </c>
      <c r="M74" s="1162" t="n"/>
      <c r="N74" s="1066" t="inlineStr">
        <is>
          <t>Daily</t>
        </is>
      </c>
      <c r="O74" s="1062" t="n"/>
      <c r="P74" s="1174">
        <f>SUM(O74*L74)</f>
        <v/>
      </c>
      <c r="Q74" s="1162" t="n"/>
    </row>
    <row r="75">
      <c r="A75" s="1164" t="n"/>
      <c r="B75" s="1149" t="n"/>
      <c r="C75" s="1164" t="n"/>
      <c r="D75" s="1148" t="n"/>
      <c r="E75" s="1148" t="n"/>
      <c r="F75" s="1148" t="n"/>
      <c r="G75" s="1148" t="n"/>
      <c r="H75" s="1148" t="n"/>
      <c r="I75" s="1148" t="n"/>
      <c r="J75" s="1148" t="n"/>
      <c r="K75" s="1149" t="n"/>
      <c r="L75" s="1164" t="n"/>
      <c r="M75" s="1149" t="n"/>
      <c r="N75" s="1134" t="n"/>
      <c r="O75" s="1175" t="n"/>
      <c r="P75" s="1164" t="n"/>
      <c r="Q75" s="1149" t="n"/>
    </row>
    <row r="76">
      <c r="A76" s="1064" t="inlineStr">
        <is>
          <t>Standard Lane Closure- No TMA</t>
        </is>
      </c>
      <c r="B76" s="1162" t="n"/>
      <c r="C76" s="1064" t="inlineStr">
        <is>
          <t>Includes up to 2 crew members, 1 AWP work truck with rotating lights, 1 arrow board, 10 advanced warning signs, 70 cones and up to 8 hours on site with mobilization.</t>
        </is>
      </c>
      <c r="D76" s="1161" t="n"/>
      <c r="E76" s="1161" t="n"/>
      <c r="F76" s="1161" t="n"/>
      <c r="G76" s="1161" t="n"/>
      <c r="H76" s="1161" t="n"/>
      <c r="I76" s="1161" t="n"/>
      <c r="J76" s="1161" t="n"/>
      <c r="K76" s="1162" t="n"/>
      <c r="L76" s="1173" t="n">
        <v>676.2</v>
      </c>
      <c r="M76" s="1162" t="n"/>
      <c r="N76" s="1066" t="inlineStr">
        <is>
          <t>Daily</t>
        </is>
      </c>
      <c r="O76" s="1062" t="n"/>
      <c r="P76" s="1174">
        <f>SUM(O76*L76)</f>
        <v/>
      </c>
      <c r="Q76" s="1162" t="n"/>
    </row>
    <row r="77">
      <c r="A77" s="1164" t="n"/>
      <c r="B77" s="1149" t="n"/>
      <c r="C77" s="1164" t="n"/>
      <c r="D77" s="1148" t="n"/>
      <c r="E77" s="1148" t="n"/>
      <c r="F77" s="1148" t="n"/>
      <c r="G77" s="1148" t="n"/>
      <c r="H77" s="1148" t="n"/>
      <c r="I77" s="1148" t="n"/>
      <c r="J77" s="1148" t="n"/>
      <c r="K77" s="1149" t="n"/>
      <c r="L77" s="1164" t="n"/>
      <c r="M77" s="1149" t="n"/>
      <c r="N77" s="1134" t="n"/>
      <c r="O77" s="1175" t="n"/>
      <c r="P77" s="1164" t="n"/>
      <c r="Q77" s="1149" t="n"/>
    </row>
    <row r="78">
      <c r="A78" s="1064" t="inlineStr">
        <is>
          <t>Standard Shoulder Closure - No TMA</t>
        </is>
      </c>
      <c r="B78" s="1162" t="n"/>
      <c r="C78" s="1064" t="inlineStr">
        <is>
          <t>Includes up to 2 crew members, 1 AWP work truck with rotating lights, 6 advanced warning signs, 40 cones and up to 8 hours on site with mobilization.</t>
        </is>
      </c>
      <c r="D78" s="1161" t="n"/>
      <c r="E78" s="1161" t="n"/>
      <c r="F78" s="1161" t="n"/>
      <c r="G78" s="1161" t="n"/>
      <c r="H78" s="1161" t="n"/>
      <c r="I78" s="1161" t="n"/>
      <c r="J78" s="1161" t="n"/>
      <c r="K78" s="1162" t="n"/>
      <c r="L78" s="1173" t="n">
        <v>578.2</v>
      </c>
      <c r="M78" s="1162" t="n"/>
      <c r="N78" s="1066" t="inlineStr">
        <is>
          <t>Daily</t>
        </is>
      </c>
      <c r="O78" s="1062" t="n"/>
      <c r="P78" s="1174">
        <f>SUM(O78*L78)</f>
        <v/>
      </c>
      <c r="Q78" s="1162" t="n"/>
    </row>
    <row r="79">
      <c r="A79" s="1164" t="n"/>
      <c r="B79" s="1149" t="n"/>
      <c r="C79" s="1164" t="n"/>
      <c r="D79" s="1148" t="n"/>
      <c r="E79" s="1148" t="n"/>
      <c r="F79" s="1148" t="n"/>
      <c r="G79" s="1148" t="n"/>
      <c r="H79" s="1148" t="n"/>
      <c r="I79" s="1148" t="n"/>
      <c r="J79" s="1148" t="n"/>
      <c r="K79" s="1149" t="n"/>
      <c r="L79" s="1164" t="n"/>
      <c r="M79" s="1149" t="n"/>
      <c r="N79" s="1134" t="n"/>
      <c r="O79" s="1175" t="n"/>
      <c r="P79" s="1164" t="n"/>
      <c r="Q79" s="1149" t="n"/>
    </row>
    <row r="80">
      <c r="A80" s="1064" t="inlineStr">
        <is>
          <t>TMA</t>
        </is>
      </c>
      <c r="B80" s="1162" t="n"/>
      <c r="C80" s="1064" t="inlineStr">
        <is>
          <t>Truck Mounted Attenuator (TMA)/Crash Truck,(Driver is extra, see below for hourly rate)</t>
        </is>
      </c>
      <c r="D80" s="1161" t="n"/>
      <c r="E80" s="1161" t="n"/>
      <c r="F80" s="1161" t="n"/>
      <c r="G80" s="1161" t="n"/>
      <c r="H80" s="1161" t="n"/>
      <c r="I80" s="1161" t="n"/>
      <c r="J80" s="1161" t="n"/>
      <c r="K80" s="1162" t="n"/>
      <c r="L80" s="1173" t="n">
        <v>350</v>
      </c>
      <c r="M80" s="1162" t="n"/>
      <c r="N80" s="1066" t="inlineStr">
        <is>
          <t>Daily</t>
        </is>
      </c>
      <c r="O80" s="1062" t="n"/>
      <c r="P80" s="1174">
        <f>SUM(O80*L80)</f>
        <v/>
      </c>
      <c r="Q80" s="1162" t="n"/>
    </row>
    <row r="81">
      <c r="A81" s="1164" t="n"/>
      <c r="B81" s="1149" t="n"/>
      <c r="C81" s="1164" t="n"/>
      <c r="D81" s="1148" t="n"/>
      <c r="E81" s="1148" t="n"/>
      <c r="F81" s="1148" t="n"/>
      <c r="G81" s="1148" t="n"/>
      <c r="H81" s="1148" t="n"/>
      <c r="I81" s="1148" t="n"/>
      <c r="J81" s="1148" t="n"/>
      <c r="K81" s="1149" t="n"/>
      <c r="L81" s="1164" t="n"/>
      <c r="M81" s="1149" t="n"/>
      <c r="N81" s="1134" t="n"/>
      <c r="O81" s="1175" t="n"/>
      <c r="P81" s="1164" t="n"/>
      <c r="Q81" s="1149" t="n"/>
    </row>
    <row r="82">
      <c r="A82" s="1064" t="inlineStr">
        <is>
          <t>Traffic Control Technical</t>
        </is>
      </c>
      <c r="B82" s="1162" t="n"/>
      <c r="C82" s="1064" t="inlineStr">
        <is>
          <t>Provide one additional traffic control technician as needed.</t>
        </is>
      </c>
      <c r="D82" s="1161" t="n"/>
      <c r="E82" s="1161" t="n"/>
      <c r="F82" s="1161" t="n"/>
      <c r="G82" s="1161" t="n"/>
      <c r="H82" s="1161" t="n"/>
      <c r="I82" s="1161" t="n"/>
      <c r="J82" s="1161" t="n"/>
      <c r="K82" s="1162" t="n"/>
      <c r="L82" s="1173" t="n">
        <v>32.7</v>
      </c>
      <c r="M82" s="1162" t="n"/>
      <c r="N82" s="1066" t="inlineStr">
        <is>
          <t>Hourly</t>
        </is>
      </c>
      <c r="O82" s="1062" t="n"/>
      <c r="P82" s="1174">
        <f>SUM(O82*L82)</f>
        <v/>
      </c>
      <c r="Q82" s="1162" t="n"/>
    </row>
    <row r="83">
      <c r="A83" s="1164" t="n"/>
      <c r="B83" s="1149" t="n"/>
      <c r="C83" s="1164" t="n"/>
      <c r="D83" s="1148" t="n"/>
      <c r="E83" s="1148" t="n"/>
      <c r="F83" s="1148" t="n"/>
      <c r="G83" s="1148" t="n"/>
      <c r="H83" s="1148" t="n"/>
      <c r="I83" s="1148" t="n"/>
      <c r="J83" s="1148" t="n"/>
      <c r="K83" s="1149" t="n"/>
      <c r="L83" s="1164" t="n"/>
      <c r="M83" s="1149" t="n"/>
      <c r="N83" s="1134" t="n"/>
      <c r="O83" s="1175" t="n"/>
      <c r="P83" s="1164" t="n"/>
      <c r="Q83" s="1149" t="n"/>
    </row>
    <row r="84">
      <c r="A84" s="1060" t="inlineStr">
        <is>
          <t>MISC</t>
        </is>
      </c>
      <c r="B84" s="1155" t="n"/>
      <c r="C84" s="1060" t="n"/>
      <c r="D84" s="1176" t="n"/>
      <c r="E84" s="1176" t="n"/>
      <c r="F84" s="1176" t="n"/>
      <c r="G84" s="1176" t="n"/>
      <c r="H84" s="1176" t="n"/>
      <c r="I84" s="1176" t="n"/>
      <c r="J84" s="1176" t="n"/>
      <c r="K84" s="1155" t="n"/>
      <c r="L84" s="1177" t="n"/>
      <c r="M84" s="1155" t="n"/>
      <c r="N84" s="1062" t="n"/>
      <c r="O84" s="1062" t="n"/>
      <c r="P84" s="1174">
        <f>SUM(O84*L84)</f>
        <v/>
      </c>
      <c r="Q84" s="1162" t="n"/>
    </row>
    <row r="85">
      <c r="A85" s="1158" t="n"/>
      <c r="B85" s="1159" t="n"/>
      <c r="C85" s="1158" t="n"/>
      <c r="D85" s="1178" t="n"/>
      <c r="E85" s="1178" t="n"/>
      <c r="F85" s="1178" t="n"/>
      <c r="G85" s="1178" t="n"/>
      <c r="H85" s="1178" t="n"/>
      <c r="I85" s="1178" t="n"/>
      <c r="J85" s="1178" t="n"/>
      <c r="K85" s="1159" t="n"/>
      <c r="L85" s="1158" t="n"/>
      <c r="M85" s="1159" t="n"/>
      <c r="N85" s="1175" t="n"/>
      <c r="O85" s="1175" t="n"/>
      <c r="P85" s="1164" t="n"/>
      <c r="Q85" s="1149" t="n"/>
    </row>
    <row r="86">
      <c r="A86" s="1060" t="inlineStr">
        <is>
          <t>MISC</t>
        </is>
      </c>
      <c r="B86" s="1155" t="n"/>
      <c r="C86" s="1060" t="n"/>
      <c r="D86" s="1176" t="n"/>
      <c r="E86" s="1176" t="n"/>
      <c r="F86" s="1176" t="n"/>
      <c r="G86" s="1176" t="n"/>
      <c r="H86" s="1176" t="n"/>
      <c r="I86" s="1176" t="n"/>
      <c r="J86" s="1176" t="n"/>
      <c r="K86" s="1155" t="n"/>
      <c r="L86" s="1177" t="n"/>
      <c r="M86" s="1155" t="n"/>
      <c r="N86" s="1062" t="n"/>
      <c r="O86" s="1062" t="n"/>
      <c r="P86" s="1174">
        <f>SUM(O86*L86)</f>
        <v/>
      </c>
      <c r="Q86" s="1162" t="n"/>
    </row>
    <row r="87">
      <c r="A87" s="1158" t="n"/>
      <c r="B87" s="1159" t="n"/>
      <c r="C87" s="1158" t="n"/>
      <c r="D87" s="1178" t="n"/>
      <c r="E87" s="1178" t="n"/>
      <c r="F87" s="1178" t="n"/>
      <c r="G87" s="1178" t="n"/>
      <c r="H87" s="1178" t="n"/>
      <c r="I87" s="1178" t="n"/>
      <c r="J87" s="1178" t="n"/>
      <c r="K87" s="1159" t="n"/>
      <c r="L87" s="1158" t="n"/>
      <c r="M87" s="1159" t="n"/>
      <c r="N87" s="1175" t="n"/>
      <c r="O87" s="1175" t="n"/>
      <c r="P87" s="1164" t="n"/>
      <c r="Q87" s="1149" t="n"/>
    </row>
    <row r="88">
      <c r="A88" s="1059" t="inlineStr">
        <is>
          <t xml:space="preserve">Total Daily Cost of Traffic Control </t>
        </is>
      </c>
      <c r="B88" s="1127" t="n"/>
      <c r="C88" s="1127" t="n"/>
      <c r="D88" s="1127" t="n"/>
      <c r="E88" s="1127" t="n"/>
      <c r="F88" s="1127" t="n"/>
      <c r="G88" s="1127" t="n"/>
      <c r="H88" s="1127" t="n"/>
      <c r="I88" s="1127" t="n"/>
      <c r="J88" s="1127" t="n"/>
      <c r="K88" s="1127" t="n"/>
      <c r="L88" s="1127" t="n"/>
      <c r="M88" s="1127" t="n"/>
      <c r="N88" s="1127" t="n"/>
      <c r="O88" s="1128" t="n"/>
      <c r="P88" s="1059">
        <f>SUM(P74:P87)</f>
        <v/>
      </c>
      <c r="Q88" s="1128" t="n"/>
    </row>
  </sheetData>
  <mergeCells count="441">
    <mergeCell ref="L50:O50"/>
    <mergeCell ref="A15:B15"/>
    <mergeCell ref="A64:B64"/>
    <mergeCell ref="A51:B51"/>
    <mergeCell ref="J59:K59"/>
    <mergeCell ref="L52:O52"/>
    <mergeCell ref="P69:Q69"/>
    <mergeCell ref="L27:O27"/>
    <mergeCell ref="J9:K9"/>
    <mergeCell ref="P6:Q6"/>
    <mergeCell ref="C6:F6"/>
    <mergeCell ref="C62:F62"/>
    <mergeCell ref="G66:H66"/>
    <mergeCell ref="C24:F24"/>
    <mergeCell ref="J4:K4"/>
    <mergeCell ref="C64:F64"/>
    <mergeCell ref="G68:H68"/>
    <mergeCell ref="A33:B33"/>
    <mergeCell ref="C26:F26"/>
    <mergeCell ref="J31:K31"/>
    <mergeCell ref="C80:K81"/>
    <mergeCell ref="A35:B35"/>
    <mergeCell ref="A62:B62"/>
    <mergeCell ref="L45:O45"/>
    <mergeCell ref="O82:O83"/>
    <mergeCell ref="J62:K62"/>
    <mergeCell ref="P24:Q24"/>
    <mergeCell ref="A28:B28"/>
    <mergeCell ref="L55:O55"/>
    <mergeCell ref="L38:O38"/>
    <mergeCell ref="A39:B39"/>
    <mergeCell ref="L74:M75"/>
    <mergeCell ref="G59:H59"/>
    <mergeCell ref="J64:K64"/>
    <mergeCell ref="P26:Q26"/>
    <mergeCell ref="A30:B30"/>
    <mergeCell ref="C17:F17"/>
    <mergeCell ref="P88:Q88"/>
    <mergeCell ref="A59:B59"/>
    <mergeCell ref="L40:O40"/>
    <mergeCell ref="J57:K57"/>
    <mergeCell ref="G67:H67"/>
    <mergeCell ref="L76:M77"/>
    <mergeCell ref="G61:H61"/>
    <mergeCell ref="C19:F19"/>
    <mergeCell ref="G48:H48"/>
    <mergeCell ref="A61:B61"/>
    <mergeCell ref="G62:H62"/>
    <mergeCell ref="C14:F14"/>
    <mergeCell ref="L66:O66"/>
    <mergeCell ref="J11:K11"/>
    <mergeCell ref="A82:B83"/>
    <mergeCell ref="L68:O68"/>
    <mergeCell ref="J12:K12"/>
    <mergeCell ref="A52:B52"/>
    <mergeCell ref="G16:H16"/>
    <mergeCell ref="P14:Q14"/>
    <mergeCell ref="O86:O87"/>
    <mergeCell ref="A88:O88"/>
    <mergeCell ref="G9:H9"/>
    <mergeCell ref="A34:B34"/>
    <mergeCell ref="A49:B49"/>
    <mergeCell ref="G11:H11"/>
    <mergeCell ref="L59:O59"/>
    <mergeCell ref="A36:B36"/>
    <mergeCell ref="L46:O46"/>
    <mergeCell ref="L61:O61"/>
    <mergeCell ref="A65:B65"/>
    <mergeCell ref="L48:O48"/>
    <mergeCell ref="J65:K65"/>
    <mergeCell ref="P27:Q27"/>
    <mergeCell ref="G69:H69"/>
    <mergeCell ref="A55:B55"/>
    <mergeCell ref="C45:F45"/>
    <mergeCell ref="N82:N83"/>
    <mergeCell ref="L82:M83"/>
    <mergeCell ref="J25:K25"/>
    <mergeCell ref="L43:O43"/>
    <mergeCell ref="C47:F47"/>
    <mergeCell ref="G64:H64"/>
    <mergeCell ref="A4:B4"/>
    <mergeCell ref="C22:F22"/>
    <mergeCell ref="G51:H51"/>
    <mergeCell ref="C76:K77"/>
    <mergeCell ref="C51:F51"/>
    <mergeCell ref="P45:Q45"/>
    <mergeCell ref="A24:B24"/>
    <mergeCell ref="L9:O9"/>
    <mergeCell ref="A60:B60"/>
    <mergeCell ref="P38:Q38"/>
    <mergeCell ref="J14:K14"/>
    <mergeCell ref="C38:F38"/>
    <mergeCell ref="J13:K13"/>
    <mergeCell ref="G17:H17"/>
    <mergeCell ref="L11:O11"/>
    <mergeCell ref="P40:Q40"/>
    <mergeCell ref="J15:K15"/>
    <mergeCell ref="G19:H19"/>
    <mergeCell ref="C33:F33"/>
    <mergeCell ref="G6:H6"/>
    <mergeCell ref="J55:K55"/>
    <mergeCell ref="A50:B50"/>
    <mergeCell ref="L73:M73"/>
    <mergeCell ref="L80:M81"/>
    <mergeCell ref="C35:F35"/>
    <mergeCell ref="G14:H14"/>
    <mergeCell ref="L62:O62"/>
    <mergeCell ref="L64:O64"/>
    <mergeCell ref="O78:O79"/>
    <mergeCell ref="C59:F59"/>
    <mergeCell ref="J33:K33"/>
    <mergeCell ref="L51:O51"/>
    <mergeCell ref="J8:K8"/>
    <mergeCell ref="C61:F61"/>
    <mergeCell ref="J10:K10"/>
    <mergeCell ref="J28:K28"/>
    <mergeCell ref="A70:B70"/>
    <mergeCell ref="L84:M85"/>
    <mergeCell ref="C74:K75"/>
    <mergeCell ref="J68:K68"/>
    <mergeCell ref="P78:Q79"/>
    <mergeCell ref="A7:B7"/>
    <mergeCell ref="P59:Q59"/>
    <mergeCell ref="L17:O17"/>
    <mergeCell ref="P46:Q46"/>
    <mergeCell ref="L86:M87"/>
    <mergeCell ref="P61:Q61"/>
    <mergeCell ref="L19:O19"/>
    <mergeCell ref="P48:Q48"/>
    <mergeCell ref="A3:H3"/>
    <mergeCell ref="L12:O12"/>
    <mergeCell ref="C41:F41"/>
    <mergeCell ref="J21:K21"/>
    <mergeCell ref="L14:O14"/>
    <mergeCell ref="P43:Q43"/>
    <mergeCell ref="C56:F56"/>
    <mergeCell ref="C43:F43"/>
    <mergeCell ref="N80:N81"/>
    <mergeCell ref="G22:H22"/>
    <mergeCell ref="J23:K23"/>
    <mergeCell ref="C36:F36"/>
    <mergeCell ref="A45:B45"/>
    <mergeCell ref="C67:F67"/>
    <mergeCell ref="J37:Q37"/>
    <mergeCell ref="P34:Q34"/>
    <mergeCell ref="P9:Q9"/>
    <mergeCell ref="L65:O65"/>
    <mergeCell ref="J34:K34"/>
    <mergeCell ref="G38:H38"/>
    <mergeCell ref="C69:F69"/>
    <mergeCell ref="P74:Q75"/>
    <mergeCell ref="A46:B46"/>
    <mergeCell ref="P36:Q36"/>
    <mergeCell ref="P11:Q11"/>
    <mergeCell ref="J49:K49"/>
    <mergeCell ref="J36:K36"/>
    <mergeCell ref="A26:B26"/>
    <mergeCell ref="N84:N85"/>
    <mergeCell ref="C4:F4"/>
    <mergeCell ref="N78:N79"/>
    <mergeCell ref="G33:H33"/>
    <mergeCell ref="A8:B8"/>
    <mergeCell ref="N86:N87"/>
    <mergeCell ref="G35:H35"/>
    <mergeCell ref="A10:B10"/>
    <mergeCell ref="P62:Q62"/>
    <mergeCell ref="P4:Q4"/>
    <mergeCell ref="P64:Q64"/>
    <mergeCell ref="J29:K29"/>
    <mergeCell ref="L22:O22"/>
    <mergeCell ref="P51:Q51"/>
    <mergeCell ref="C57:F57"/>
    <mergeCell ref="J24:K24"/>
    <mergeCell ref="C58:F58"/>
    <mergeCell ref="P67:Q67"/>
    <mergeCell ref="J26:K26"/>
    <mergeCell ref="P17:Q17"/>
    <mergeCell ref="A21:B21"/>
    <mergeCell ref="J20:Q20"/>
    <mergeCell ref="A57:B57"/>
    <mergeCell ref="P76:Q77"/>
    <mergeCell ref="A5:B5"/>
    <mergeCell ref="A32:B32"/>
    <mergeCell ref="P19:Q19"/>
    <mergeCell ref="A23:B23"/>
    <mergeCell ref="L33:O33"/>
    <mergeCell ref="L8:O8"/>
    <mergeCell ref="J50:K50"/>
    <mergeCell ref="P12:Q12"/>
    <mergeCell ref="C12:F12"/>
    <mergeCell ref="G41:H41"/>
    <mergeCell ref="L35:O35"/>
    <mergeCell ref="J42:K42"/>
    <mergeCell ref="L10:O10"/>
    <mergeCell ref="J52:K52"/>
    <mergeCell ref="G56:H56"/>
    <mergeCell ref="J39:K39"/>
    <mergeCell ref="C70:F70"/>
    <mergeCell ref="G43:H43"/>
    <mergeCell ref="J44:K44"/>
    <mergeCell ref="C7:F7"/>
    <mergeCell ref="G36:H36"/>
    <mergeCell ref="A16:B16"/>
    <mergeCell ref="O84:O85"/>
    <mergeCell ref="P65:Q65"/>
    <mergeCell ref="A18:B18"/>
    <mergeCell ref="A37:H37"/>
    <mergeCell ref="O80:O81"/>
    <mergeCell ref="J70:K70"/>
    <mergeCell ref="P7:Q7"/>
    <mergeCell ref="J32:K32"/>
    <mergeCell ref="J7:K7"/>
    <mergeCell ref="A47:B47"/>
    <mergeCell ref="J63:K63"/>
    <mergeCell ref="C25:F25"/>
    <mergeCell ref="J47:K47"/>
    <mergeCell ref="G29:H29"/>
    <mergeCell ref="G4:H4"/>
    <mergeCell ref="L23:O23"/>
    <mergeCell ref="A29:B29"/>
    <mergeCell ref="J3:Q3"/>
    <mergeCell ref="G31:H31"/>
    <mergeCell ref="A44:B44"/>
    <mergeCell ref="C73:K73"/>
    <mergeCell ref="A31:B31"/>
    <mergeCell ref="A58:B58"/>
    <mergeCell ref="L41:O41"/>
    <mergeCell ref="A73:B73"/>
    <mergeCell ref="L56:O56"/>
    <mergeCell ref="L34:O34"/>
    <mergeCell ref="L49:O49"/>
    <mergeCell ref="P22:Q22"/>
    <mergeCell ref="J60:K60"/>
    <mergeCell ref="C13:F13"/>
    <mergeCell ref="L36:O36"/>
    <mergeCell ref="J53:K53"/>
    <mergeCell ref="G57:H57"/>
    <mergeCell ref="C15:F15"/>
    <mergeCell ref="J45:K45"/>
    <mergeCell ref="L67:O67"/>
    <mergeCell ref="O76:O77"/>
    <mergeCell ref="A42:B42"/>
    <mergeCell ref="C84:K85"/>
    <mergeCell ref="G58:H58"/>
    <mergeCell ref="P13:Q13"/>
    <mergeCell ref="C10:F10"/>
    <mergeCell ref="A17:B17"/>
    <mergeCell ref="A53:B53"/>
    <mergeCell ref="A84:B85"/>
    <mergeCell ref="A78:B79"/>
    <mergeCell ref="P15:Q15"/>
    <mergeCell ref="A19:B19"/>
    <mergeCell ref="A68:B68"/>
    <mergeCell ref="L4:O4"/>
    <mergeCell ref="P58:Q58"/>
    <mergeCell ref="P33:Q33"/>
    <mergeCell ref="J58:K58"/>
    <mergeCell ref="A80:B81"/>
    <mergeCell ref="P73:Q73"/>
    <mergeCell ref="A48:B48"/>
    <mergeCell ref="G12:H12"/>
    <mergeCell ref="L31:O31"/>
    <mergeCell ref="P35:Q35"/>
    <mergeCell ref="P10:Q10"/>
    <mergeCell ref="G70:H70"/>
    <mergeCell ref="C28:F28"/>
    <mergeCell ref="G7:H7"/>
    <mergeCell ref="C30:F30"/>
    <mergeCell ref="C5:F5"/>
    <mergeCell ref="L57:O57"/>
    <mergeCell ref="G65:H65"/>
    <mergeCell ref="P28:Q28"/>
    <mergeCell ref="L42:O42"/>
    <mergeCell ref="L78:M79"/>
    <mergeCell ref="P30:Q30"/>
    <mergeCell ref="J46:K46"/>
    <mergeCell ref="L39:O39"/>
    <mergeCell ref="A63:B63"/>
    <mergeCell ref="G25:H25"/>
    <mergeCell ref="G60:H60"/>
    <mergeCell ref="J61:K61"/>
    <mergeCell ref="J48:K48"/>
    <mergeCell ref="A86:B87"/>
    <mergeCell ref="P41:Q41"/>
    <mergeCell ref="A69:B69"/>
    <mergeCell ref="C18:F18"/>
    <mergeCell ref="P56:Q56"/>
    <mergeCell ref="L70:O70"/>
    <mergeCell ref="C34:F34"/>
    <mergeCell ref="A54:H54"/>
    <mergeCell ref="P49:Q49"/>
    <mergeCell ref="G13:H13"/>
    <mergeCell ref="L7:O7"/>
    <mergeCell ref="L32:O32"/>
    <mergeCell ref="L47:O47"/>
    <mergeCell ref="G15:H15"/>
    <mergeCell ref="J16:K16"/>
    <mergeCell ref="C29:F29"/>
    <mergeCell ref="C65:F65"/>
    <mergeCell ref="C44:F44"/>
    <mergeCell ref="A38:B38"/>
    <mergeCell ref="C31:F31"/>
    <mergeCell ref="L58:O58"/>
    <mergeCell ref="A40:B40"/>
    <mergeCell ref="A67:B67"/>
    <mergeCell ref="C60:F60"/>
    <mergeCell ref="A74:B75"/>
    <mergeCell ref="L25:O25"/>
    <mergeCell ref="J67:K67"/>
    <mergeCell ref="P29:Q29"/>
    <mergeCell ref="J5:K5"/>
    <mergeCell ref="L60:O60"/>
    <mergeCell ref="A76:B77"/>
    <mergeCell ref="C86:K87"/>
    <mergeCell ref="P44:Q44"/>
    <mergeCell ref="G8:H8"/>
    <mergeCell ref="J69:K69"/>
    <mergeCell ref="P31:Q31"/>
    <mergeCell ref="A1:Q1"/>
    <mergeCell ref="A6:B6"/>
    <mergeCell ref="J6:K6"/>
    <mergeCell ref="C49:F49"/>
    <mergeCell ref="G10:H10"/>
    <mergeCell ref="G53:H53"/>
    <mergeCell ref="G28:H28"/>
    <mergeCell ref="A66:B66"/>
    <mergeCell ref="C42:F42"/>
    <mergeCell ref="L13:O13"/>
    <mergeCell ref="G30:H30"/>
    <mergeCell ref="G5:H5"/>
    <mergeCell ref="N74:N75"/>
    <mergeCell ref="P57:Q57"/>
    <mergeCell ref="L15:O15"/>
    <mergeCell ref="C55:F55"/>
    <mergeCell ref="P42:Q42"/>
    <mergeCell ref="J18:K18"/>
    <mergeCell ref="J17:K17"/>
    <mergeCell ref="G21:H21"/>
    <mergeCell ref="C52:F52"/>
    <mergeCell ref="C82:K83"/>
    <mergeCell ref="C39:F39"/>
    <mergeCell ref="J19:K19"/>
    <mergeCell ref="G23:H23"/>
    <mergeCell ref="C32:F32"/>
    <mergeCell ref="A41:B41"/>
    <mergeCell ref="A56:B56"/>
    <mergeCell ref="G18:H18"/>
    <mergeCell ref="A27:B27"/>
    <mergeCell ref="P39:Q39"/>
    <mergeCell ref="P70:Q70"/>
    <mergeCell ref="G34:H34"/>
    <mergeCell ref="L28:O28"/>
    <mergeCell ref="L53:O53"/>
    <mergeCell ref="P32:Q32"/>
    <mergeCell ref="C63:F63"/>
    <mergeCell ref="P47:Q47"/>
    <mergeCell ref="A22:B22"/>
    <mergeCell ref="C50:F50"/>
    <mergeCell ref="L5:O5"/>
    <mergeCell ref="G44:H44"/>
    <mergeCell ref="A9:B9"/>
    <mergeCell ref="C27:F27"/>
    <mergeCell ref="N76:N77"/>
    <mergeCell ref="C78:K79"/>
    <mergeCell ref="P82:Q83"/>
    <mergeCell ref="A11:B11"/>
    <mergeCell ref="P63:Q63"/>
    <mergeCell ref="L21:O21"/>
    <mergeCell ref="P50:Q50"/>
    <mergeCell ref="P25:Q25"/>
    <mergeCell ref="P60:Q60"/>
    <mergeCell ref="P52:Q52"/>
    <mergeCell ref="O74:O75"/>
    <mergeCell ref="L16:O16"/>
    <mergeCell ref="J27:K27"/>
    <mergeCell ref="G49:H49"/>
    <mergeCell ref="G24:H24"/>
    <mergeCell ref="J54:Q54"/>
    <mergeCell ref="J22:K22"/>
    <mergeCell ref="G26:H26"/>
    <mergeCell ref="C40:F40"/>
    <mergeCell ref="A20:H20"/>
    <mergeCell ref="L30:O30"/>
    <mergeCell ref="J51:K51"/>
    <mergeCell ref="L29:O29"/>
    <mergeCell ref="P55:Q55"/>
    <mergeCell ref="L69:O69"/>
    <mergeCell ref="L44:O44"/>
    <mergeCell ref="P80:Q81"/>
    <mergeCell ref="C8:F8"/>
    <mergeCell ref="J38:K38"/>
    <mergeCell ref="G42:H42"/>
    <mergeCell ref="L6:O6"/>
    <mergeCell ref="C66:F66"/>
    <mergeCell ref="G39:H39"/>
    <mergeCell ref="J40:K40"/>
    <mergeCell ref="C53:F53"/>
    <mergeCell ref="C68:F68"/>
    <mergeCell ref="A12:B12"/>
    <mergeCell ref="J35:K35"/>
    <mergeCell ref="A14:B14"/>
    <mergeCell ref="P66:Q66"/>
    <mergeCell ref="L24:O24"/>
    <mergeCell ref="P53:Q53"/>
    <mergeCell ref="L18:O18"/>
    <mergeCell ref="J66:K66"/>
    <mergeCell ref="P84:Q85"/>
    <mergeCell ref="P68:Q68"/>
    <mergeCell ref="A43:B43"/>
    <mergeCell ref="G32:H32"/>
    <mergeCell ref="L26:O26"/>
    <mergeCell ref="G63:H63"/>
    <mergeCell ref="C46:F46"/>
    <mergeCell ref="C21:F21"/>
    <mergeCell ref="G50:H50"/>
    <mergeCell ref="P86:Q87"/>
    <mergeCell ref="P5:Q5"/>
    <mergeCell ref="C48:F48"/>
    <mergeCell ref="C23:F23"/>
    <mergeCell ref="G52:H52"/>
    <mergeCell ref="G27:H27"/>
    <mergeCell ref="J30:K30"/>
    <mergeCell ref="P21:Q21"/>
    <mergeCell ref="A25:B25"/>
    <mergeCell ref="P8:Q8"/>
    <mergeCell ref="P23:Q23"/>
    <mergeCell ref="P16:Q16"/>
    <mergeCell ref="J41:K41"/>
    <mergeCell ref="C16:F16"/>
    <mergeCell ref="G45:H45"/>
    <mergeCell ref="J56:K56"/>
    <mergeCell ref="P18:Q18"/>
    <mergeCell ref="G55:H55"/>
    <mergeCell ref="C9:F9"/>
    <mergeCell ref="J43:K43"/>
    <mergeCell ref="G47:H47"/>
    <mergeCell ref="A13:B13"/>
    <mergeCell ref="G46:H46"/>
    <mergeCell ref="C11:F11"/>
    <mergeCell ref="G40:H40"/>
    <mergeCell ref="L63:O63"/>
  </mergeCells>
  <pageMargins left="0.7" right="0.7" top="0.75" bottom="0.75" header="0.3" footer="0.3"/>
  <pageSetup orientation="portrait" horizontalDpi="1200" verticalDpi="1200"/>
</worksheet>
</file>

<file path=xl/worksheets/sheet14.xml><?xml version="1.0" encoding="utf-8"?>
<worksheet xmlns="http://schemas.openxmlformats.org/spreadsheetml/2006/main">
  <sheetPr codeName="Sheet14">
    <outlinePr summaryBelow="1" summaryRight="1"/>
    <pageSetUpPr/>
  </sheetPr>
  <dimension ref="A1:BT32"/>
  <sheetViews>
    <sheetView zoomScale="85" zoomScaleNormal="85" workbookViewId="0">
      <selection activeCell="A3" sqref="A3"/>
    </sheetView>
  </sheetViews>
  <sheetFormatPr baseColWidth="8" defaultRowHeight="15"/>
  <cols>
    <col width="11.42578125" customWidth="1" min="1" max="1"/>
    <col width="23.85546875" customWidth="1" min="2" max="2"/>
    <col width="14.7109375" customWidth="1" min="3" max="3"/>
    <col width="15.42578125" customWidth="1" min="4" max="4"/>
    <col width="10.5703125" customWidth="1" min="5" max="5"/>
    <col width="12.42578125" customWidth="1" min="6" max="6"/>
    <col width="14.28515625" customWidth="1" min="7" max="7"/>
    <col width="14" customWidth="1" min="8" max="8"/>
    <col width="14.42578125" customWidth="1" min="9" max="9"/>
    <col width="14.7109375" customWidth="1" min="10" max="10"/>
    <col width="11.7109375" customWidth="1" min="11" max="11"/>
    <col width="12.42578125" customWidth="1" min="12" max="12"/>
    <col width="9.7109375" customWidth="1" min="13" max="13"/>
    <col width="17.5703125" bestFit="1" customWidth="1" min="14" max="14"/>
    <col width="10.140625" customWidth="1" min="15" max="15"/>
    <col width="17.5703125" bestFit="1" customWidth="1" min="16" max="16"/>
    <col width="9" customWidth="1" min="17" max="17"/>
    <col width="17.5703125" bestFit="1" customWidth="1" min="18" max="18"/>
    <col width="9.7109375" customWidth="1" min="19" max="19"/>
    <col width="17.5703125" bestFit="1" customWidth="1" min="20" max="20"/>
    <col width="10.7109375" customWidth="1" min="21" max="21"/>
    <col width="17.5703125" bestFit="1" customWidth="1" min="22" max="22"/>
    <col width="11" customWidth="1" min="23" max="23"/>
    <col width="17.5703125" bestFit="1" customWidth="1" min="24" max="24"/>
    <col width="9.28515625" customWidth="1" min="25" max="25"/>
    <col width="17.5703125" bestFit="1" customWidth="1" min="26" max="26"/>
    <col width="9.28515625" customWidth="1" min="27" max="27"/>
    <col width="19" bestFit="1" customWidth="1" min="28" max="28"/>
    <col width="9.7109375" customWidth="1" min="29" max="29"/>
    <col width="19" bestFit="1" customWidth="1" min="30" max="30"/>
    <col width="8.85546875" customWidth="1" min="31" max="31"/>
    <col width="19" bestFit="1" customWidth="1" min="32" max="32"/>
    <col width="8.28515625" customWidth="1" min="33" max="33"/>
    <col width="19" bestFit="1" customWidth="1" min="34" max="34"/>
    <col width="8.85546875" customWidth="1" min="35" max="35"/>
    <col width="19" bestFit="1" customWidth="1" min="36" max="36"/>
    <col width="9.5703125" customWidth="1" min="37" max="37"/>
    <col width="17.5703125" bestFit="1" customWidth="1" min="38" max="38"/>
    <col width="10.5703125" customWidth="1" min="39" max="39"/>
    <col width="17.5703125" bestFit="1" customWidth="1" min="40" max="40"/>
    <col width="10.5703125" customWidth="1" min="41" max="41"/>
    <col width="18.7109375" customWidth="1" min="42" max="42"/>
    <col width="10.5703125" customWidth="1" min="43" max="43"/>
    <col width="16.42578125" bestFit="1" customWidth="1" min="44" max="44"/>
    <col width="8.5703125" customWidth="1" min="45" max="45"/>
    <col width="16.42578125" bestFit="1" customWidth="1" min="46" max="46"/>
    <col width="10.42578125" customWidth="1" min="47" max="47"/>
    <col width="17.5703125" bestFit="1" customWidth="1" min="48" max="48"/>
  </cols>
  <sheetData>
    <row r="1" ht="15" customHeight="1">
      <c r="A1" s="1093" t="inlineStr">
        <is>
          <t>ERPS</t>
        </is>
      </c>
    </row>
    <row r="2" ht="15" customHeight="1"/>
    <row r="3">
      <c r="A3" s="869" t="n">
        <v>1</v>
      </c>
      <c r="B3" s="870" t="n"/>
      <c r="C3" s="869" t="n">
        <v>13</v>
      </c>
      <c r="D3" s="870" t="n"/>
      <c r="E3" s="869" t="n">
        <v>25</v>
      </c>
      <c r="F3" s="870" t="n"/>
      <c r="G3" s="869" t="n">
        <v>37</v>
      </c>
      <c r="H3" s="870" t="n"/>
      <c r="I3" s="869" t="n">
        <v>49</v>
      </c>
      <c r="J3" s="870" t="n"/>
      <c r="K3" s="869" t="n">
        <v>61</v>
      </c>
      <c r="L3" s="870" t="n"/>
      <c r="M3" s="869" t="n">
        <v>73</v>
      </c>
      <c r="N3" s="870" t="n"/>
      <c r="O3" s="869" t="n">
        <v>85</v>
      </c>
      <c r="P3" s="1179" t="n"/>
      <c r="Q3" s="869" t="n">
        <v>97</v>
      </c>
      <c r="R3" s="1179" t="n"/>
      <c r="S3" s="869" t="n">
        <v>109</v>
      </c>
      <c r="T3" s="1179" t="n"/>
      <c r="U3" s="869" t="n">
        <v>121</v>
      </c>
      <c r="V3" s="1179" t="n"/>
      <c r="W3" s="869" t="n">
        <v>133</v>
      </c>
      <c r="X3" s="1179" t="n"/>
      <c r="Y3" s="869" t="n">
        <v>145</v>
      </c>
      <c r="Z3" s="872" t="n"/>
      <c r="AA3" s="869" t="n">
        <v>157</v>
      </c>
      <c r="AB3" s="872" t="n"/>
      <c r="AC3" s="869" t="n">
        <v>169</v>
      </c>
      <c r="AD3" s="872" t="n"/>
      <c r="AE3" s="869" t="n">
        <v>181</v>
      </c>
      <c r="AF3" s="872" t="n"/>
      <c r="AG3" s="869" t="n">
        <v>193</v>
      </c>
      <c r="AH3" s="872" t="n"/>
      <c r="AI3" s="869" t="n">
        <v>205</v>
      </c>
      <c r="AJ3" s="872" t="n"/>
      <c r="AK3" s="869" t="n">
        <v>217</v>
      </c>
      <c r="AL3" s="872" t="n"/>
      <c r="AM3" s="869" t="n">
        <v>229</v>
      </c>
      <c r="AN3" s="860" t="n"/>
      <c r="AO3" s="869" t="n">
        <v>241</v>
      </c>
      <c r="AP3" s="860" t="n"/>
      <c r="AQ3" s="869" t="n">
        <v>253</v>
      </c>
      <c r="AR3" s="860" t="n"/>
      <c r="AS3" s="869" t="n">
        <v>265</v>
      </c>
      <c r="AT3" s="860" t="n"/>
      <c r="AU3" s="869" t="n">
        <v>277</v>
      </c>
      <c r="AV3" s="860" t="n"/>
    </row>
    <row r="4">
      <c r="A4" s="873" t="n">
        <v>2</v>
      </c>
      <c r="B4" s="870" t="n"/>
      <c r="C4" s="873" t="n">
        <v>14</v>
      </c>
      <c r="D4" s="870" t="n"/>
      <c r="E4" s="873" t="n">
        <v>26</v>
      </c>
      <c r="F4" s="870" t="n"/>
      <c r="G4" s="873" t="n">
        <v>38</v>
      </c>
      <c r="H4" s="870" t="n"/>
      <c r="I4" s="873" t="n">
        <v>50</v>
      </c>
      <c r="J4" s="870" t="n"/>
      <c r="K4" s="873" t="n">
        <v>62</v>
      </c>
      <c r="L4" s="870" t="n"/>
      <c r="M4" s="873" t="n">
        <v>74</v>
      </c>
      <c r="N4" s="870" t="n"/>
      <c r="O4" s="873" t="n">
        <v>86</v>
      </c>
      <c r="P4" s="1179" t="n"/>
      <c r="Q4" s="873" t="n">
        <v>98</v>
      </c>
      <c r="R4" s="1179" t="n"/>
      <c r="S4" s="873" t="n">
        <v>110</v>
      </c>
      <c r="T4" s="1179" t="n"/>
      <c r="U4" s="873" t="n">
        <v>122</v>
      </c>
      <c r="V4" s="1179" t="n"/>
      <c r="W4" s="873" t="n">
        <v>134</v>
      </c>
      <c r="X4" s="1179" t="n"/>
      <c r="Y4" s="873" t="n">
        <v>146</v>
      </c>
      <c r="Z4" s="872" t="n"/>
      <c r="AA4" s="873" t="n">
        <v>158</v>
      </c>
      <c r="AB4" s="872" t="n"/>
      <c r="AC4" s="873" t="n">
        <v>170</v>
      </c>
      <c r="AD4" s="872" t="n"/>
      <c r="AE4" s="873" t="n">
        <v>182</v>
      </c>
      <c r="AF4" s="872" t="n"/>
      <c r="AG4" s="873" t="n">
        <v>194</v>
      </c>
      <c r="AH4" s="872" t="n"/>
      <c r="AI4" s="873" t="n">
        <v>206</v>
      </c>
      <c r="AJ4" s="872" t="n"/>
      <c r="AK4" s="873" t="n">
        <v>218</v>
      </c>
      <c r="AL4" s="872" t="n"/>
      <c r="AM4" s="873" t="n">
        <v>230</v>
      </c>
      <c r="AN4" s="860" t="n"/>
      <c r="AO4" s="873" t="n">
        <v>242</v>
      </c>
      <c r="AP4" s="860" t="n"/>
      <c r="AQ4" s="873" t="n">
        <v>254</v>
      </c>
      <c r="AR4" s="860" t="n"/>
      <c r="AS4" s="873" t="n">
        <v>266</v>
      </c>
      <c r="AT4" s="860" t="n"/>
      <c r="AU4" s="873" t="n">
        <v>278</v>
      </c>
      <c r="AV4" s="860" t="n"/>
    </row>
    <row r="5" ht="15.75" customHeight="1">
      <c r="A5" s="874" t="n">
        <v>3</v>
      </c>
      <c r="B5" s="870" t="n"/>
      <c r="C5" s="874" t="n">
        <v>15</v>
      </c>
      <c r="D5" s="870" t="n"/>
      <c r="E5" s="874" t="n">
        <v>27</v>
      </c>
      <c r="F5" s="870" t="n"/>
      <c r="G5" s="874" t="n">
        <v>39</v>
      </c>
      <c r="H5" s="870" t="n"/>
      <c r="I5" s="874" t="n">
        <v>51</v>
      </c>
      <c r="J5" s="870" t="n"/>
      <c r="K5" s="874" t="n">
        <v>63</v>
      </c>
      <c r="L5" s="870" t="n"/>
      <c r="M5" s="874" t="n">
        <v>75</v>
      </c>
      <c r="N5" s="870" t="n"/>
      <c r="O5" s="874" t="n">
        <v>87</v>
      </c>
      <c r="P5" s="1179" t="n"/>
      <c r="Q5" s="874" t="n">
        <v>99</v>
      </c>
      <c r="R5" s="1179" t="n"/>
      <c r="S5" s="874" t="n">
        <v>111</v>
      </c>
      <c r="T5" s="1179" t="n"/>
      <c r="U5" s="874" t="n">
        <v>123</v>
      </c>
      <c r="V5" s="1179" t="n"/>
      <c r="W5" s="874" t="n">
        <v>135</v>
      </c>
      <c r="X5" s="1179" t="n"/>
      <c r="Y5" s="874" t="n">
        <v>147</v>
      </c>
      <c r="Z5" s="872" t="n"/>
      <c r="AA5" s="874" t="n">
        <v>159</v>
      </c>
      <c r="AB5" s="872" t="n"/>
      <c r="AC5" s="874" t="n">
        <v>171</v>
      </c>
      <c r="AD5" s="872" t="n"/>
      <c r="AE5" s="874" t="n">
        <v>183</v>
      </c>
      <c r="AF5" s="872" t="n"/>
      <c r="AG5" s="874" t="n">
        <v>195</v>
      </c>
      <c r="AH5" s="872" t="n"/>
      <c r="AI5" s="874" t="n">
        <v>207</v>
      </c>
      <c r="AJ5" s="872" t="n"/>
      <c r="AK5" s="874" t="n">
        <v>219</v>
      </c>
      <c r="AL5" s="872" t="n"/>
      <c r="AM5" s="874" t="n">
        <v>231</v>
      </c>
      <c r="AN5" s="860" t="n"/>
      <c r="AO5" s="874" t="n">
        <v>243</v>
      </c>
      <c r="AP5" s="860" t="n"/>
      <c r="AQ5" s="874" t="n">
        <v>255</v>
      </c>
      <c r="AR5" s="860" t="n"/>
      <c r="AS5" s="874" t="n">
        <v>267</v>
      </c>
      <c r="AT5" s="860" t="n"/>
      <c r="AU5" s="874" t="n">
        <v>279</v>
      </c>
      <c r="AV5" s="860" t="n"/>
    </row>
    <row r="6">
      <c r="A6" s="875" t="n">
        <v>4</v>
      </c>
      <c r="B6" s="870" t="n"/>
      <c r="C6" s="875" t="n">
        <v>16</v>
      </c>
      <c r="D6" s="870" t="n"/>
      <c r="E6" s="875" t="n">
        <v>28</v>
      </c>
      <c r="F6" s="870" t="n"/>
      <c r="G6" s="875" t="n">
        <v>40</v>
      </c>
      <c r="H6" s="870" t="n"/>
      <c r="I6" s="875" t="n">
        <v>52</v>
      </c>
      <c r="J6" s="870" t="n"/>
      <c r="K6" s="875" t="n">
        <v>64</v>
      </c>
      <c r="L6" s="870" t="n"/>
      <c r="M6" s="875" t="n">
        <v>76</v>
      </c>
      <c r="N6" s="870" t="n"/>
      <c r="O6" s="875" t="n">
        <v>88</v>
      </c>
      <c r="P6" s="1179" t="n"/>
      <c r="Q6" s="875" t="n">
        <v>100</v>
      </c>
      <c r="R6" s="1179" t="n"/>
      <c r="S6" s="875" t="n">
        <v>112</v>
      </c>
      <c r="T6" s="1179" t="n"/>
      <c r="U6" s="875" t="n">
        <v>124</v>
      </c>
      <c r="V6" s="1179" t="n"/>
      <c r="W6" s="875" t="n">
        <v>136</v>
      </c>
      <c r="X6" s="1179" t="n"/>
      <c r="Y6" s="875" t="n">
        <v>148</v>
      </c>
      <c r="Z6" s="872" t="n"/>
      <c r="AA6" s="875" t="n">
        <v>160</v>
      </c>
      <c r="AB6" s="872" t="n"/>
      <c r="AC6" s="875" t="n">
        <v>172</v>
      </c>
      <c r="AD6" s="872" t="n"/>
      <c r="AE6" s="875" t="n">
        <v>184</v>
      </c>
      <c r="AF6" s="872" t="n"/>
      <c r="AG6" s="875" t="n">
        <v>196</v>
      </c>
      <c r="AH6" s="872" t="n"/>
      <c r="AI6" s="875" t="n">
        <v>208</v>
      </c>
      <c r="AJ6" s="872" t="n"/>
      <c r="AK6" s="875" t="n">
        <v>220</v>
      </c>
      <c r="AL6" s="872" t="n"/>
      <c r="AM6" s="875" t="n">
        <v>232</v>
      </c>
      <c r="AN6" s="860" t="n"/>
      <c r="AO6" s="875" t="n">
        <v>244</v>
      </c>
      <c r="AP6" s="860" t="n"/>
      <c r="AQ6" s="875" t="n">
        <v>256</v>
      </c>
      <c r="AR6" s="860" t="n"/>
      <c r="AS6" s="875" t="n">
        <v>268</v>
      </c>
      <c r="AT6" s="860" t="n"/>
      <c r="AU6" s="875" t="n">
        <v>280</v>
      </c>
      <c r="AV6" s="860" t="n"/>
    </row>
    <row r="7">
      <c r="A7" s="876" t="n">
        <v>5</v>
      </c>
      <c r="B7" s="870" t="n"/>
      <c r="C7" s="876" t="n">
        <v>17</v>
      </c>
      <c r="D7" s="870" t="n"/>
      <c r="E7" s="876" t="n">
        <v>29</v>
      </c>
      <c r="F7" s="870" t="n"/>
      <c r="G7" s="876" t="n">
        <v>41</v>
      </c>
      <c r="H7" s="870" t="n"/>
      <c r="I7" s="876" t="n">
        <v>53</v>
      </c>
      <c r="J7" s="870" t="n"/>
      <c r="K7" s="876" t="n">
        <v>65</v>
      </c>
      <c r="L7" s="870" t="n"/>
      <c r="M7" s="876" t="n">
        <v>77</v>
      </c>
      <c r="N7" s="870" t="n"/>
      <c r="O7" s="876" t="n">
        <v>89</v>
      </c>
      <c r="P7" s="1179" t="n"/>
      <c r="Q7" s="876" t="n">
        <v>101</v>
      </c>
      <c r="R7" s="1179" t="n"/>
      <c r="S7" s="876" t="n">
        <v>113</v>
      </c>
      <c r="T7" s="1179" t="n"/>
      <c r="U7" s="876" t="n">
        <v>125</v>
      </c>
      <c r="V7" s="1179" t="n"/>
      <c r="W7" s="876" t="n">
        <v>137</v>
      </c>
      <c r="X7" s="1179" t="n"/>
      <c r="Y7" s="876" t="n">
        <v>149</v>
      </c>
      <c r="Z7" s="872" t="n"/>
      <c r="AA7" s="876" t="n">
        <v>161</v>
      </c>
      <c r="AB7" s="872" t="n"/>
      <c r="AC7" s="876" t="n">
        <v>173</v>
      </c>
      <c r="AD7" s="872" t="n"/>
      <c r="AE7" s="876" t="n">
        <v>185</v>
      </c>
      <c r="AF7" s="872" t="n"/>
      <c r="AG7" s="876" t="n">
        <v>197</v>
      </c>
      <c r="AH7" s="872" t="n"/>
      <c r="AI7" s="876" t="n">
        <v>209</v>
      </c>
      <c r="AJ7" s="872" t="n"/>
      <c r="AK7" s="876" t="n">
        <v>221</v>
      </c>
      <c r="AL7" s="872" t="n"/>
      <c r="AM7" s="876" t="n">
        <v>233</v>
      </c>
      <c r="AN7" s="860" t="n"/>
      <c r="AO7" s="876" t="n">
        <v>245</v>
      </c>
      <c r="AP7" s="860" t="n"/>
      <c r="AQ7" s="876" t="n">
        <v>257</v>
      </c>
      <c r="AR7" s="860" t="n"/>
      <c r="AS7" s="876" t="n">
        <v>269</v>
      </c>
      <c r="AT7" s="860" t="n"/>
      <c r="AU7" s="876" t="n">
        <v>281</v>
      </c>
      <c r="AV7" s="860" t="n"/>
    </row>
    <row r="8">
      <c r="A8" s="877" t="n">
        <v>6</v>
      </c>
      <c r="B8" s="870" t="n"/>
      <c r="C8" s="877" t="n">
        <v>18</v>
      </c>
      <c r="D8" s="870" t="n"/>
      <c r="E8" s="877" t="n">
        <v>30</v>
      </c>
      <c r="F8" s="870" t="n"/>
      <c r="G8" s="877" t="n">
        <v>42</v>
      </c>
      <c r="H8" s="870" t="n"/>
      <c r="I8" s="877" t="n">
        <v>54</v>
      </c>
      <c r="J8" s="870" t="n"/>
      <c r="K8" s="877" t="n">
        <v>66</v>
      </c>
      <c r="L8" s="870" t="n"/>
      <c r="M8" s="877" t="n">
        <v>78</v>
      </c>
      <c r="N8" s="870" t="n"/>
      <c r="O8" s="877" t="n">
        <v>90</v>
      </c>
      <c r="P8" s="1179" t="n"/>
      <c r="Q8" s="877" t="n">
        <v>102</v>
      </c>
      <c r="R8" s="1179" t="n"/>
      <c r="S8" s="877" t="n">
        <v>114</v>
      </c>
      <c r="T8" s="1179" t="n"/>
      <c r="U8" s="877" t="n">
        <v>126</v>
      </c>
      <c r="V8" s="1179" t="n"/>
      <c r="W8" s="877" t="n">
        <v>138</v>
      </c>
      <c r="X8" s="1179" t="n"/>
      <c r="Y8" s="877" t="n">
        <v>150</v>
      </c>
      <c r="Z8" s="872" t="n"/>
      <c r="AA8" s="877" t="n">
        <v>162</v>
      </c>
      <c r="AB8" s="872" t="n"/>
      <c r="AC8" s="877" t="n">
        <v>174</v>
      </c>
      <c r="AD8" s="872" t="n"/>
      <c r="AE8" s="877" t="n">
        <v>186</v>
      </c>
      <c r="AF8" s="872" t="n"/>
      <c r="AG8" s="877" t="n">
        <v>198</v>
      </c>
      <c r="AH8" s="872" t="n"/>
      <c r="AI8" s="877" t="n">
        <v>210</v>
      </c>
      <c r="AJ8" s="872" t="n"/>
      <c r="AK8" s="877" t="n">
        <v>222</v>
      </c>
      <c r="AL8" s="872" t="n"/>
      <c r="AM8" s="877" t="n">
        <v>234</v>
      </c>
      <c r="AN8" s="860" t="n"/>
      <c r="AO8" s="877" t="n">
        <v>246</v>
      </c>
      <c r="AP8" s="860" t="n"/>
      <c r="AQ8" s="877" t="n">
        <v>258</v>
      </c>
      <c r="AR8" s="860" t="n"/>
      <c r="AS8" s="877" t="n">
        <v>270</v>
      </c>
      <c r="AT8" s="860" t="n"/>
      <c r="AU8" s="877" t="n">
        <v>282</v>
      </c>
      <c r="AV8" s="860" t="n"/>
    </row>
    <row r="9">
      <c r="A9" s="878" t="n">
        <v>7</v>
      </c>
      <c r="B9" s="870" t="n"/>
      <c r="C9" s="878" t="n">
        <v>19</v>
      </c>
      <c r="D9" s="870" t="n"/>
      <c r="E9" s="878" t="n">
        <v>31</v>
      </c>
      <c r="F9" s="870" t="n"/>
      <c r="G9" s="878" t="n">
        <v>43</v>
      </c>
      <c r="H9" s="870" t="n"/>
      <c r="I9" s="878" t="n">
        <v>55</v>
      </c>
      <c r="J9" s="870" t="n"/>
      <c r="K9" s="878" t="n">
        <v>67</v>
      </c>
      <c r="L9" s="870" t="n"/>
      <c r="M9" s="878" t="n">
        <v>79</v>
      </c>
      <c r="N9" s="870" t="n"/>
      <c r="O9" s="878" t="n">
        <v>91</v>
      </c>
      <c r="P9" s="1179" t="n"/>
      <c r="Q9" s="878" t="n">
        <v>103</v>
      </c>
      <c r="R9" s="1179" t="n"/>
      <c r="S9" s="878" t="n">
        <v>115</v>
      </c>
      <c r="T9" s="1179" t="n"/>
      <c r="U9" s="878" t="n">
        <v>127</v>
      </c>
      <c r="V9" s="1179" t="n"/>
      <c r="W9" s="878" t="n">
        <v>139</v>
      </c>
      <c r="X9" s="1179" t="n"/>
      <c r="Y9" s="878" t="n">
        <v>151</v>
      </c>
      <c r="Z9" s="872" t="n"/>
      <c r="AA9" s="878" t="n">
        <v>163</v>
      </c>
      <c r="AB9" s="872" t="n"/>
      <c r="AC9" s="878" t="n">
        <v>175</v>
      </c>
      <c r="AD9" s="872" t="n"/>
      <c r="AE9" s="878" t="n">
        <v>187</v>
      </c>
      <c r="AF9" s="872" t="n"/>
      <c r="AG9" s="878" t="n">
        <v>199</v>
      </c>
      <c r="AH9" s="872" t="n"/>
      <c r="AI9" s="878" t="n">
        <v>211</v>
      </c>
      <c r="AJ9" s="872" t="n"/>
      <c r="AK9" s="878" t="n">
        <v>223</v>
      </c>
      <c r="AL9" s="872" t="n"/>
      <c r="AM9" s="878" t="n">
        <v>235</v>
      </c>
      <c r="AN9" s="860" t="n"/>
      <c r="AO9" s="878" t="n">
        <v>247</v>
      </c>
      <c r="AP9" s="860" t="n"/>
      <c r="AQ9" s="878" t="n">
        <v>259</v>
      </c>
      <c r="AR9" s="860" t="n"/>
      <c r="AS9" s="878" t="n">
        <v>271</v>
      </c>
      <c r="AT9" s="860" t="n"/>
      <c r="AU9" s="878" t="n">
        <v>283</v>
      </c>
      <c r="AV9" s="860" t="n"/>
    </row>
    <row r="10">
      <c r="A10" s="879" t="n">
        <v>8</v>
      </c>
      <c r="B10" s="870" t="n"/>
      <c r="C10" s="879" t="n">
        <v>20</v>
      </c>
      <c r="D10" s="870" t="n"/>
      <c r="E10" s="879" t="n">
        <v>32</v>
      </c>
      <c r="F10" s="870" t="n"/>
      <c r="G10" s="879" t="n">
        <v>44</v>
      </c>
      <c r="H10" s="870" t="n"/>
      <c r="I10" s="879" t="n">
        <v>56</v>
      </c>
      <c r="J10" s="870" t="n"/>
      <c r="K10" s="879" t="n">
        <v>68</v>
      </c>
      <c r="L10" s="870" t="n"/>
      <c r="M10" s="879" t="n">
        <v>80</v>
      </c>
      <c r="N10" s="870" t="n"/>
      <c r="O10" s="879" t="n">
        <v>92</v>
      </c>
      <c r="P10" s="1179" t="n"/>
      <c r="Q10" s="879" t="n">
        <v>104</v>
      </c>
      <c r="R10" s="1179" t="n"/>
      <c r="S10" s="879" t="n">
        <v>116</v>
      </c>
      <c r="T10" s="1179" t="n"/>
      <c r="U10" s="879" t="n">
        <v>128</v>
      </c>
      <c r="V10" s="1179" t="n"/>
      <c r="W10" s="879" t="n">
        <v>140</v>
      </c>
      <c r="X10" s="1179" t="n"/>
      <c r="Y10" s="879" t="n">
        <v>152</v>
      </c>
      <c r="Z10" s="872" t="n"/>
      <c r="AA10" s="879" t="n">
        <v>164</v>
      </c>
      <c r="AB10" s="872" t="n"/>
      <c r="AC10" s="879" t="n">
        <v>176</v>
      </c>
      <c r="AD10" s="872" t="n"/>
      <c r="AE10" s="879" t="n">
        <v>188</v>
      </c>
      <c r="AF10" s="872" t="n"/>
      <c r="AG10" s="879" t="n">
        <v>200</v>
      </c>
      <c r="AH10" s="872" t="n"/>
      <c r="AI10" s="879" t="n">
        <v>212</v>
      </c>
      <c r="AJ10" s="872" t="n"/>
      <c r="AK10" s="879" t="n">
        <v>224</v>
      </c>
      <c r="AL10" s="872" t="n"/>
      <c r="AM10" s="879" t="n">
        <v>236</v>
      </c>
      <c r="AN10" s="860" t="n"/>
      <c r="AO10" s="879" t="n">
        <v>248</v>
      </c>
      <c r="AP10" s="860" t="n"/>
      <c r="AQ10" s="879" t="n">
        <v>260</v>
      </c>
      <c r="AR10" s="860" t="n"/>
      <c r="AS10" s="879" t="n">
        <v>272</v>
      </c>
      <c r="AT10" s="860" t="n"/>
      <c r="AU10" s="879" t="n">
        <v>284</v>
      </c>
      <c r="AV10" s="860" t="n"/>
    </row>
    <row r="11">
      <c r="A11" s="880" t="n">
        <v>9</v>
      </c>
      <c r="B11" s="870" t="n"/>
      <c r="C11" s="880" t="n">
        <v>21</v>
      </c>
      <c r="D11" s="870" t="n"/>
      <c r="E11" s="880" t="n">
        <v>33</v>
      </c>
      <c r="F11" s="870" t="n"/>
      <c r="G11" s="880" t="n">
        <v>45</v>
      </c>
      <c r="H11" s="870" t="n"/>
      <c r="I11" s="880" t="n">
        <v>57</v>
      </c>
      <c r="J11" s="870" t="n"/>
      <c r="K11" s="880" t="n">
        <v>69</v>
      </c>
      <c r="L11" s="870" t="n"/>
      <c r="M11" s="880" t="n">
        <v>81</v>
      </c>
      <c r="N11" s="870" t="n"/>
      <c r="O11" s="880" t="n">
        <v>93</v>
      </c>
      <c r="P11" s="1179" t="n"/>
      <c r="Q11" s="880" t="n">
        <v>105</v>
      </c>
      <c r="R11" s="1179" t="n"/>
      <c r="S11" s="880" t="n">
        <v>117</v>
      </c>
      <c r="T11" s="1179" t="n"/>
      <c r="U11" s="880" t="n">
        <v>129</v>
      </c>
      <c r="V11" s="1179" t="n"/>
      <c r="W11" s="880" t="n">
        <v>141</v>
      </c>
      <c r="X11" s="1179" t="n"/>
      <c r="Y11" s="880" t="n">
        <v>153</v>
      </c>
      <c r="Z11" s="872" t="n"/>
      <c r="AA11" s="880" t="n">
        <v>165</v>
      </c>
      <c r="AB11" s="872" t="n"/>
      <c r="AC11" s="880" t="n">
        <v>177</v>
      </c>
      <c r="AD11" s="872" t="n"/>
      <c r="AE11" s="880" t="n">
        <v>189</v>
      </c>
      <c r="AF11" s="872" t="n"/>
      <c r="AG11" s="880" t="n">
        <v>201</v>
      </c>
      <c r="AH11" s="872" t="n"/>
      <c r="AI11" s="880" t="n">
        <v>213</v>
      </c>
      <c r="AJ11" s="872" t="n"/>
      <c r="AK11" s="880" t="n">
        <v>225</v>
      </c>
      <c r="AL11" s="872" t="n"/>
      <c r="AM11" s="880" t="n">
        <v>237</v>
      </c>
      <c r="AN11" s="860" t="n"/>
      <c r="AO11" s="880" t="n">
        <v>249</v>
      </c>
      <c r="AP11" s="860" t="n"/>
      <c r="AQ11" s="880" t="n">
        <v>261</v>
      </c>
      <c r="AR11" s="860" t="n"/>
      <c r="AS11" s="880" t="n">
        <v>273</v>
      </c>
      <c r="AT11" s="860" t="n"/>
      <c r="AU11" s="880" t="n">
        <v>285</v>
      </c>
      <c r="AV11" s="860" t="n"/>
    </row>
    <row r="12">
      <c r="A12" s="881" t="n">
        <v>10</v>
      </c>
      <c r="B12" s="870" t="n"/>
      <c r="C12" s="881" t="n">
        <v>22</v>
      </c>
      <c r="D12" s="870" t="n"/>
      <c r="E12" s="881" t="n">
        <v>34</v>
      </c>
      <c r="F12" s="870" t="n"/>
      <c r="G12" s="881" t="n">
        <v>46</v>
      </c>
      <c r="H12" s="870" t="n"/>
      <c r="I12" s="881" t="n">
        <v>58</v>
      </c>
      <c r="J12" s="870" t="n"/>
      <c r="K12" s="881" t="n">
        <v>70</v>
      </c>
      <c r="L12" s="870" t="n"/>
      <c r="M12" s="881" t="n">
        <v>82</v>
      </c>
      <c r="N12" s="870" t="n"/>
      <c r="O12" s="881" t="n">
        <v>94</v>
      </c>
      <c r="P12" s="1179" t="n"/>
      <c r="Q12" s="881" t="n">
        <v>106</v>
      </c>
      <c r="R12" s="1179" t="n"/>
      <c r="S12" s="881" t="n">
        <v>118</v>
      </c>
      <c r="T12" s="1179" t="n"/>
      <c r="U12" s="881" t="n">
        <v>130</v>
      </c>
      <c r="V12" s="1179" t="n"/>
      <c r="W12" s="881" t="n">
        <v>142</v>
      </c>
      <c r="X12" s="1179" t="n"/>
      <c r="Y12" s="881" t="n">
        <v>154</v>
      </c>
      <c r="Z12" s="872" t="n"/>
      <c r="AA12" s="881" t="n">
        <v>166</v>
      </c>
      <c r="AB12" s="872" t="n"/>
      <c r="AC12" s="881" t="n">
        <v>178</v>
      </c>
      <c r="AD12" s="872" t="n"/>
      <c r="AE12" s="881" t="n">
        <v>190</v>
      </c>
      <c r="AF12" s="872" t="n"/>
      <c r="AG12" s="881" t="n">
        <v>202</v>
      </c>
      <c r="AH12" s="872" t="n"/>
      <c r="AI12" s="881" t="n">
        <v>214</v>
      </c>
      <c r="AJ12" s="872" t="n"/>
      <c r="AK12" s="881" t="n">
        <v>226</v>
      </c>
      <c r="AL12" s="872" t="n"/>
      <c r="AM12" s="881" t="n">
        <v>238</v>
      </c>
      <c r="AN12" s="860" t="n"/>
      <c r="AO12" s="881" t="n">
        <v>250</v>
      </c>
      <c r="AP12" s="860" t="n"/>
      <c r="AQ12" s="881" t="n">
        <v>262</v>
      </c>
      <c r="AR12" s="860" t="n"/>
      <c r="AS12" s="881" t="n">
        <v>274</v>
      </c>
      <c r="AT12" s="860" t="n"/>
      <c r="AU12" s="881" t="n">
        <v>286</v>
      </c>
      <c r="AV12" s="860" t="n"/>
    </row>
    <row r="13">
      <c r="A13" s="882" t="n">
        <v>11</v>
      </c>
      <c r="B13" s="870" t="n"/>
      <c r="C13" s="882" t="n">
        <v>23</v>
      </c>
      <c r="D13" s="870" t="n"/>
      <c r="E13" s="882" t="n">
        <v>35</v>
      </c>
      <c r="F13" s="870" t="n"/>
      <c r="G13" s="882" t="n">
        <v>47</v>
      </c>
      <c r="H13" s="870" t="n"/>
      <c r="I13" s="882" t="n">
        <v>59</v>
      </c>
      <c r="J13" s="870" t="n"/>
      <c r="K13" s="882" t="n">
        <v>71</v>
      </c>
      <c r="L13" s="870" t="n"/>
      <c r="M13" s="882" t="n">
        <v>83</v>
      </c>
      <c r="N13" s="870" t="n"/>
      <c r="O13" s="882" t="n">
        <v>95</v>
      </c>
      <c r="P13" s="1179" t="n"/>
      <c r="Q13" s="882" t="n">
        <v>107</v>
      </c>
      <c r="R13" s="1179" t="n"/>
      <c r="S13" s="882" t="n">
        <v>119</v>
      </c>
      <c r="T13" s="1179" t="n"/>
      <c r="U13" s="882" t="n">
        <v>131</v>
      </c>
      <c r="V13" s="1179" t="n"/>
      <c r="W13" s="882" t="n">
        <v>143</v>
      </c>
      <c r="X13" s="1179" t="n"/>
      <c r="Y13" s="882" t="n">
        <v>155</v>
      </c>
      <c r="Z13" s="872" t="n"/>
      <c r="AA13" s="882" t="n">
        <v>167</v>
      </c>
      <c r="AB13" s="872" t="n"/>
      <c r="AC13" s="882" t="n">
        <v>179</v>
      </c>
      <c r="AD13" s="872" t="n"/>
      <c r="AE13" s="882" t="n">
        <v>191</v>
      </c>
      <c r="AF13" s="872" t="n"/>
      <c r="AG13" s="882" t="n">
        <v>203</v>
      </c>
      <c r="AH13" s="872" t="n"/>
      <c r="AI13" s="882" t="n">
        <v>215</v>
      </c>
      <c r="AJ13" s="872" t="n"/>
      <c r="AK13" s="882" t="n">
        <v>227</v>
      </c>
      <c r="AL13" s="872" t="n"/>
      <c r="AM13" s="882" t="n">
        <v>239</v>
      </c>
      <c r="AN13" s="860" t="n"/>
      <c r="AO13" s="882" t="n">
        <v>251</v>
      </c>
      <c r="AP13" s="860" t="n"/>
      <c r="AQ13" s="882" t="n">
        <v>263</v>
      </c>
      <c r="AR13" s="860" t="n"/>
      <c r="AS13" s="882" t="n">
        <v>275</v>
      </c>
      <c r="AT13" s="860" t="n"/>
      <c r="AU13" s="882" t="n">
        <v>287</v>
      </c>
      <c r="AV13" s="860" t="n"/>
    </row>
    <row r="14">
      <c r="A14" s="883" t="n">
        <v>12</v>
      </c>
      <c r="B14" s="870" t="n"/>
      <c r="C14" s="883" t="n">
        <v>24</v>
      </c>
      <c r="D14" s="870" t="n"/>
      <c r="E14" s="883" t="n">
        <v>36</v>
      </c>
      <c r="F14" s="870" t="n"/>
      <c r="G14" s="883" t="n">
        <v>48</v>
      </c>
      <c r="H14" s="870" t="n"/>
      <c r="I14" s="883" t="n">
        <v>60</v>
      </c>
      <c r="J14" s="870" t="n"/>
      <c r="K14" s="883" t="n">
        <v>72</v>
      </c>
      <c r="L14" s="870" t="n"/>
      <c r="M14" s="883" t="n">
        <v>84</v>
      </c>
      <c r="N14" s="870" t="n"/>
      <c r="O14" s="883" t="n">
        <v>96</v>
      </c>
      <c r="P14" s="1179" t="n"/>
      <c r="Q14" s="883" t="n">
        <v>108</v>
      </c>
      <c r="R14" s="1179" t="n"/>
      <c r="S14" s="883" t="n">
        <v>120</v>
      </c>
      <c r="T14" s="1179" t="n"/>
      <c r="U14" s="883" t="n">
        <v>132</v>
      </c>
      <c r="V14" s="1179" t="n"/>
      <c r="W14" s="883" t="n">
        <v>144</v>
      </c>
      <c r="X14" s="1179" t="n"/>
      <c r="Y14" s="883" t="n">
        <v>156</v>
      </c>
      <c r="Z14" s="872" t="n"/>
      <c r="AA14" s="883" t="n">
        <v>168</v>
      </c>
      <c r="AB14" s="872" t="n"/>
      <c r="AC14" s="883" t="n">
        <v>180</v>
      </c>
      <c r="AD14" s="872" t="n"/>
      <c r="AE14" s="883" t="n">
        <v>192</v>
      </c>
      <c r="AF14" s="872" t="n"/>
      <c r="AG14" s="883" t="n">
        <v>204</v>
      </c>
      <c r="AH14" s="872" t="n"/>
      <c r="AI14" s="883" t="n">
        <v>216</v>
      </c>
      <c r="AJ14" s="872" t="n"/>
      <c r="AK14" s="883" t="n">
        <v>228</v>
      </c>
      <c r="AL14" s="872" t="n"/>
      <c r="AM14" s="883" t="n">
        <v>240</v>
      </c>
      <c r="AN14" s="860" t="n"/>
      <c r="AO14" s="883" t="n">
        <v>252</v>
      </c>
      <c r="AP14" s="860" t="n"/>
      <c r="AQ14" s="883" t="n">
        <v>264</v>
      </c>
      <c r="AR14" s="860" t="n"/>
      <c r="AS14" s="883" t="n">
        <v>276</v>
      </c>
      <c r="AT14" s="860" t="n"/>
      <c r="AU14" s="883" t="n">
        <v>288</v>
      </c>
      <c r="AV14" s="860" t="n"/>
    </row>
    <row r="15">
      <c r="A15" s="869" t="n"/>
      <c r="B15" s="884" t="inlineStr">
        <is>
          <t>CISCO</t>
        </is>
      </c>
      <c r="C15" s="873" t="n"/>
      <c r="D15" s="873" t="inlineStr">
        <is>
          <t>CISCO</t>
        </is>
      </c>
      <c r="E15" s="874" t="n"/>
      <c r="F15" s="874" t="inlineStr">
        <is>
          <t>CISCO</t>
        </is>
      </c>
      <c r="G15" s="885" t="n"/>
      <c r="H15" s="875" t="inlineStr">
        <is>
          <t>CISCO</t>
        </is>
      </c>
      <c r="I15" s="876" t="n"/>
      <c r="J15" s="876" t="inlineStr">
        <is>
          <t>CISCO</t>
        </is>
      </c>
      <c r="K15" s="877" t="n"/>
      <c r="L15" s="877" t="inlineStr">
        <is>
          <t>CISCO</t>
        </is>
      </c>
      <c r="M15" s="878" t="n"/>
      <c r="N15" s="878" t="inlineStr">
        <is>
          <t>CISCO</t>
        </is>
      </c>
      <c r="O15" s="886" t="n"/>
      <c r="P15" s="879" t="inlineStr">
        <is>
          <t>CISCO</t>
        </is>
      </c>
      <c r="Q15" s="880" t="n"/>
      <c r="R15" s="880" t="inlineStr">
        <is>
          <t>CISCO</t>
        </is>
      </c>
      <c r="S15" s="881" t="n"/>
      <c r="T15" s="881" t="inlineStr">
        <is>
          <t>CISCO</t>
        </is>
      </c>
      <c r="U15" s="882" t="n"/>
      <c r="V15" s="882" t="inlineStr">
        <is>
          <t>CISCO</t>
        </is>
      </c>
      <c r="W15" s="883" t="n"/>
      <c r="X15" s="883" t="inlineStr">
        <is>
          <t>CISCO</t>
        </is>
      </c>
      <c r="Y15" s="869" t="n"/>
      <c r="Z15" s="884" t="inlineStr">
        <is>
          <t>CISCO</t>
        </is>
      </c>
      <c r="AA15" s="873" t="n"/>
      <c r="AB15" s="873" t="inlineStr">
        <is>
          <t>CISCO</t>
        </is>
      </c>
      <c r="AC15" s="874" t="n"/>
      <c r="AD15" s="874" t="inlineStr">
        <is>
          <t>CISCO</t>
        </is>
      </c>
      <c r="AE15" s="885" t="n"/>
      <c r="AF15" s="875" t="inlineStr">
        <is>
          <t>CISCO</t>
        </is>
      </c>
      <c r="AG15" s="876" t="n"/>
      <c r="AH15" s="876" t="inlineStr">
        <is>
          <t>CISCO</t>
        </is>
      </c>
      <c r="AI15" s="877" t="n"/>
      <c r="AJ15" s="877" t="inlineStr">
        <is>
          <t>CISCO</t>
        </is>
      </c>
      <c r="AK15" s="878" t="n"/>
      <c r="AL15" s="878" t="inlineStr">
        <is>
          <t>CISCO</t>
        </is>
      </c>
      <c r="AM15" s="886" t="n"/>
      <c r="AN15" s="879" t="inlineStr">
        <is>
          <t>CISCO</t>
        </is>
      </c>
      <c r="AO15" s="880" t="n"/>
      <c r="AP15" s="880" t="inlineStr">
        <is>
          <t>CISCO</t>
        </is>
      </c>
      <c r="AQ15" s="881" t="n"/>
      <c r="AR15" s="881" t="inlineStr">
        <is>
          <t>CISCO</t>
        </is>
      </c>
      <c r="AS15" s="882" t="n"/>
      <c r="AT15" s="882" t="inlineStr">
        <is>
          <t>CISCO</t>
        </is>
      </c>
      <c r="AU15" s="883" t="n"/>
      <c r="AV15" s="883" t="inlineStr">
        <is>
          <t>CISCO</t>
        </is>
      </c>
    </row>
    <row r="16">
      <c r="A16" s="887" t="n"/>
      <c r="B16" s="887" t="n"/>
      <c r="C16" s="887" t="n"/>
      <c r="D16" s="887" t="n"/>
      <c r="E16" s="887" t="n"/>
      <c r="F16" s="887" t="n"/>
      <c r="G16" s="887" t="n"/>
      <c r="H16" s="887" t="n"/>
      <c r="I16" s="887" t="n"/>
      <c r="J16" s="887" t="n"/>
      <c r="K16" s="887" t="n"/>
      <c r="L16" s="887" t="n"/>
      <c r="M16" s="887" t="n"/>
      <c r="N16" s="887" t="n"/>
      <c r="O16" s="887" t="n"/>
      <c r="P16" s="888" t="n"/>
      <c r="Q16" s="887" t="n"/>
      <c r="R16" s="887" t="n"/>
      <c r="S16" s="887" t="n"/>
      <c r="T16" s="887" t="n"/>
      <c r="U16" s="887" t="n"/>
      <c r="V16" s="887" t="n"/>
      <c r="W16" s="887" t="n"/>
      <c r="X16" s="887" t="n"/>
      <c r="Y16" s="1180" t="n"/>
      <c r="Z16" s="1180" t="n"/>
      <c r="AA16" s="1180" t="n"/>
      <c r="AB16" s="1180" t="n"/>
      <c r="AC16" s="1180" t="n"/>
      <c r="AD16" s="1180" t="n"/>
      <c r="AE16" s="1180" t="n"/>
      <c r="AF16" s="1180" t="n"/>
      <c r="AG16" s="1180" t="n"/>
      <c r="AH16" s="1180" t="n"/>
      <c r="AI16" s="1180" t="n"/>
      <c r="AJ16" s="1180" t="n"/>
      <c r="AK16" s="1180" t="n"/>
      <c r="AL16" s="1180" t="n"/>
      <c r="AM16" s="1180" t="n"/>
      <c r="AN16" s="1180" t="n"/>
      <c r="AO16" s="1180" t="n"/>
      <c r="AP16" s="1180" t="n"/>
      <c r="AQ16" s="1180" t="n"/>
      <c r="AR16" s="1180" t="n"/>
      <c r="AS16" s="1180" t="n"/>
      <c r="AT16" s="1180" t="n"/>
      <c r="AU16" s="1180" t="n"/>
      <c r="AV16" s="1180" t="n"/>
    </row>
    <row r="17" ht="15.75" customHeight="1" thickBot="1"/>
    <row r="18" ht="15" customHeight="1">
      <c r="A18" s="1181" t="inlineStr">
        <is>
          <t>FIBER ALLOTMENT</t>
        </is>
      </c>
      <c r="B18" s="1112" t="n"/>
      <c r="C18" s="1112" t="n"/>
      <c r="D18" s="1112" t="n"/>
      <c r="E18" s="1112" t="n"/>
      <c r="F18" s="1112" t="n"/>
      <c r="G18" s="1112" t="n"/>
      <c r="H18" s="1112" t="n"/>
      <c r="I18" s="1112" t="n"/>
      <c r="J18" s="1112" t="n"/>
      <c r="K18" s="1112" t="n"/>
      <c r="L18" s="1112" t="n"/>
      <c r="M18" s="1112" t="n"/>
      <c r="N18" s="1112" t="n"/>
      <c r="O18" s="1112" t="n"/>
      <c r="P18" s="1112" t="n"/>
      <c r="Q18" s="1112" t="n"/>
      <c r="R18" s="1112" t="n"/>
      <c r="S18" s="1112" t="n"/>
      <c r="T18" s="1112" t="n"/>
      <c r="U18" s="1112" t="n"/>
      <c r="V18" s="1112" t="n"/>
      <c r="W18" s="1112" t="n"/>
      <c r="X18" s="1112" t="n"/>
      <c r="Y18" s="1112" t="n"/>
      <c r="Z18" s="1112" t="n"/>
      <c r="AA18" s="1112" t="n"/>
      <c r="AB18" s="1112" t="n"/>
      <c r="AC18" s="1112" t="n"/>
      <c r="AD18" s="1112" t="n"/>
      <c r="AE18" s="1112" t="n"/>
      <c r="AF18" s="1112" t="n"/>
      <c r="AG18" s="1112" t="n"/>
      <c r="AH18" s="1112" t="n"/>
      <c r="AI18" s="1112" t="n"/>
      <c r="AJ18" s="1111" t="n"/>
      <c r="AK18" s="1181" t="inlineStr">
        <is>
          <t>N008 FIBER ALLOTMENT</t>
        </is>
      </c>
      <c r="AL18" s="1112" t="n"/>
      <c r="AM18" s="1112" t="n"/>
      <c r="AN18" s="1112" t="n"/>
      <c r="AO18" s="1112" t="n"/>
      <c r="AP18" s="1112" t="n"/>
      <c r="AQ18" s="1112" t="n"/>
      <c r="AR18" s="1112" t="n"/>
      <c r="AS18" s="1112" t="n"/>
      <c r="AT18" s="1112" t="n"/>
      <c r="AU18" s="1112" t="n"/>
      <c r="AV18" s="1112" t="n"/>
      <c r="AW18" s="1112" t="n"/>
      <c r="AX18" s="1112" t="n"/>
      <c r="AY18" s="1112" t="n"/>
      <c r="AZ18" s="1112" t="n"/>
      <c r="BA18" s="1112" t="n"/>
      <c r="BB18" s="1112" t="n"/>
      <c r="BC18" s="1112" t="n"/>
      <c r="BD18" s="1112" t="n"/>
      <c r="BE18" s="1112" t="n"/>
      <c r="BF18" s="1112" t="n"/>
      <c r="BG18" s="1112" t="n"/>
      <c r="BH18" s="1112" t="n"/>
      <c r="BI18" s="1112" t="n"/>
      <c r="BJ18" s="1112" t="n"/>
      <c r="BK18" s="1112" t="n"/>
      <c r="BL18" s="1112" t="n"/>
      <c r="BM18" s="1112" t="n"/>
      <c r="BN18" s="1112" t="n"/>
      <c r="BO18" s="1112" t="n"/>
      <c r="BP18" s="1111" t="n"/>
      <c r="BQ18" s="890" t="n"/>
      <c r="BR18" s="890" t="n"/>
      <c r="BS18" s="890" t="n"/>
      <c r="BT18" s="891" t="n"/>
    </row>
    <row r="19" ht="15" customHeight="1" thickBot="1">
      <c r="A19" s="1124" t="n"/>
      <c r="B19" s="1109" t="n"/>
      <c r="C19" s="1109" t="n"/>
      <c r="D19" s="1109" t="n"/>
      <c r="E19" s="1109" t="n"/>
      <c r="F19" s="1109" t="n"/>
      <c r="G19" s="1109" t="n"/>
      <c r="H19" s="1109" t="n"/>
      <c r="I19" s="1109" t="n"/>
      <c r="J19" s="1109" t="n"/>
      <c r="K19" s="1109" t="n"/>
      <c r="L19" s="1109" t="n"/>
      <c r="M19" s="1109" t="n"/>
      <c r="N19" s="1109" t="n"/>
      <c r="O19" s="1109" t="n"/>
      <c r="P19" s="1109" t="n"/>
      <c r="Q19" s="1109" t="n"/>
      <c r="R19" s="1109" t="n"/>
      <c r="S19" s="1109" t="n"/>
      <c r="T19" s="1109" t="n"/>
      <c r="U19" s="1109" t="n"/>
      <c r="V19" s="1109" t="n"/>
      <c r="W19" s="1109" t="n"/>
      <c r="X19" s="1109" t="n"/>
      <c r="Y19" s="1109" t="n"/>
      <c r="Z19" s="1109" t="n"/>
      <c r="AA19" s="1109" t="n"/>
      <c r="AB19" s="1109" t="n"/>
      <c r="AC19" s="1109" t="n"/>
      <c r="AD19" s="1109" t="n"/>
      <c r="AE19" s="1109" t="n"/>
      <c r="AF19" s="1109" t="n"/>
      <c r="AG19" s="1109" t="n"/>
      <c r="AH19" s="1109" t="n"/>
      <c r="AI19" s="1109" t="n"/>
      <c r="AJ19" s="1125" t="n"/>
      <c r="AK19" s="1124" t="n"/>
      <c r="AL19" s="1109" t="n"/>
      <c r="AM19" s="1109" t="n"/>
      <c r="AN19" s="1109" t="n"/>
      <c r="AO19" s="1109" t="n"/>
      <c r="AP19" s="1109" t="n"/>
      <c r="AQ19" s="1109" t="n"/>
      <c r="AR19" s="1109" t="n"/>
      <c r="AS19" s="1109" t="n"/>
      <c r="AT19" s="1109" t="n"/>
      <c r="AU19" s="1109" t="n"/>
      <c r="AV19" s="1109" t="n"/>
      <c r="AW19" s="1109" t="n"/>
      <c r="AX19" s="1109" t="n"/>
      <c r="AY19" s="1109" t="n"/>
      <c r="AZ19" s="1109" t="n"/>
      <c r="BA19" s="1109" t="n"/>
      <c r="BB19" s="1109" t="n"/>
      <c r="BC19" s="1109" t="n"/>
      <c r="BD19" s="1109" t="n"/>
      <c r="BE19" s="1109" t="n"/>
      <c r="BF19" s="1109" t="n"/>
      <c r="BG19" s="1109" t="n"/>
      <c r="BH19" s="1109" t="n"/>
      <c r="BI19" s="1109" t="n"/>
      <c r="BJ19" s="1109" t="n"/>
      <c r="BK19" s="1109" t="n"/>
      <c r="BL19" s="1109" t="n"/>
      <c r="BM19" s="1109" t="n"/>
      <c r="BN19" s="1109" t="n"/>
      <c r="BO19" s="1109" t="n"/>
      <c r="BP19" s="1125" t="n"/>
      <c r="BQ19" s="892" t="n"/>
      <c r="BR19" s="892" t="n"/>
      <c r="BS19" s="892" t="n"/>
      <c r="BT19" s="893" t="n"/>
    </row>
    <row r="20">
      <c r="A20" s="894" t="n">
        <v>1</v>
      </c>
      <c r="B20" s="895" t="n"/>
      <c r="C20" s="894" t="n">
        <v>13</v>
      </c>
      <c r="D20" s="895" t="n"/>
      <c r="E20" s="894" t="n">
        <v>25</v>
      </c>
      <c r="F20" s="895" t="n"/>
      <c r="G20" s="894" t="n">
        <v>37</v>
      </c>
      <c r="H20" s="895" t="n"/>
      <c r="I20" s="894" t="n">
        <v>49</v>
      </c>
      <c r="J20" s="895" t="n"/>
      <c r="K20" s="894" t="n">
        <v>61</v>
      </c>
      <c r="L20" s="895" t="n"/>
      <c r="M20" s="894" t="n">
        <v>73</v>
      </c>
      <c r="N20" s="895" t="n"/>
      <c r="O20" s="894" t="n">
        <v>85</v>
      </c>
      <c r="P20" s="895" t="n"/>
      <c r="Q20" s="894" t="n">
        <v>97</v>
      </c>
      <c r="R20" s="895" t="n"/>
      <c r="S20" s="894" t="n">
        <v>109</v>
      </c>
      <c r="T20" s="895" t="n"/>
      <c r="U20" s="894" t="n">
        <v>121</v>
      </c>
      <c r="V20" s="895" t="n"/>
      <c r="W20" s="894" t="n">
        <v>133</v>
      </c>
      <c r="X20" s="895" t="n"/>
      <c r="Y20" s="896" t="n">
        <v>145</v>
      </c>
      <c r="Z20" s="895" t="n"/>
      <c r="AA20" s="896" t="n">
        <v>157</v>
      </c>
      <c r="AB20" s="895" t="n"/>
      <c r="AC20" s="896" t="n">
        <v>169</v>
      </c>
      <c r="AD20" s="895" t="n"/>
      <c r="AE20" s="896" t="n">
        <v>181</v>
      </c>
      <c r="AF20" s="895" t="n"/>
      <c r="AG20" s="896" t="n">
        <v>193</v>
      </c>
      <c r="AH20" s="895" t="n"/>
      <c r="AI20" s="896" t="n">
        <v>205</v>
      </c>
      <c r="AJ20" s="895" t="n"/>
      <c r="AK20" s="896" t="n">
        <v>217</v>
      </c>
      <c r="AL20" s="895" t="n"/>
      <c r="AM20" s="896" t="n">
        <v>229</v>
      </c>
      <c r="AN20" s="895" t="n"/>
      <c r="AO20" s="896" t="n">
        <v>241</v>
      </c>
      <c r="AP20" s="895" t="n"/>
      <c r="AQ20" s="896" t="n">
        <v>253</v>
      </c>
      <c r="AR20" s="895" t="n"/>
      <c r="AS20" s="896" t="n">
        <v>265</v>
      </c>
      <c r="AT20" s="895" t="n"/>
      <c r="AU20" s="896" t="n">
        <v>277</v>
      </c>
      <c r="AV20" s="895" t="n"/>
      <c r="AW20" s="896" t="n">
        <v>289</v>
      </c>
      <c r="AX20" s="895" t="n"/>
      <c r="AY20" s="896" t="n">
        <v>301</v>
      </c>
      <c r="AZ20" s="895" t="n"/>
      <c r="BA20" s="896" t="n">
        <v>313</v>
      </c>
      <c r="BB20" s="895" t="n"/>
      <c r="BC20" s="896" t="n">
        <v>325</v>
      </c>
      <c r="BD20" s="895" t="n"/>
      <c r="BE20" s="896" t="n">
        <v>337</v>
      </c>
      <c r="BF20" s="895" t="n"/>
      <c r="BG20" s="896" t="n">
        <v>349</v>
      </c>
      <c r="BH20" s="895" t="n"/>
      <c r="BI20" s="896" t="n">
        <v>361</v>
      </c>
      <c r="BJ20" s="895" t="n"/>
      <c r="BK20" s="896" t="n">
        <v>373</v>
      </c>
      <c r="BL20" s="895" t="n"/>
      <c r="BM20" s="896" t="n">
        <v>385</v>
      </c>
      <c r="BN20" s="895" t="n"/>
      <c r="BO20" s="896" t="n">
        <v>397</v>
      </c>
      <c r="BP20" s="895" t="n"/>
      <c r="BQ20" s="896" t="n">
        <v>409</v>
      </c>
      <c r="BR20" s="895" t="n"/>
      <c r="BS20" s="896" t="n">
        <v>421</v>
      </c>
      <c r="BT20" s="895" t="n"/>
    </row>
    <row r="21">
      <c r="A21" s="873" t="n">
        <v>2</v>
      </c>
      <c r="B21" s="870" t="n"/>
      <c r="C21" s="873" t="n">
        <v>14</v>
      </c>
      <c r="D21" s="870" t="n"/>
      <c r="E21" s="873" t="n">
        <v>26</v>
      </c>
      <c r="F21" s="870" t="n"/>
      <c r="G21" s="873" t="n">
        <v>38</v>
      </c>
      <c r="H21" s="870" t="n"/>
      <c r="I21" s="873" t="n">
        <v>50</v>
      </c>
      <c r="J21" s="870" t="n"/>
      <c r="K21" s="873" t="n">
        <v>62</v>
      </c>
      <c r="L21" s="870" t="n"/>
      <c r="M21" s="873" t="n">
        <v>74</v>
      </c>
      <c r="N21" s="870" t="n"/>
      <c r="O21" s="873" t="n">
        <v>86</v>
      </c>
      <c r="P21" s="870" t="n"/>
      <c r="Q21" s="873" t="n">
        <v>98</v>
      </c>
      <c r="R21" s="870" t="n"/>
      <c r="S21" s="873" t="n">
        <v>110</v>
      </c>
      <c r="T21" s="870" t="n"/>
      <c r="U21" s="873" t="n">
        <v>122</v>
      </c>
      <c r="V21" s="870" t="n"/>
      <c r="W21" s="873" t="n">
        <v>134</v>
      </c>
      <c r="X21" s="870" t="n"/>
      <c r="Y21" s="897" t="n">
        <v>146</v>
      </c>
      <c r="Z21" s="870" t="n"/>
      <c r="AA21" s="897" t="n">
        <v>158</v>
      </c>
      <c r="AB21" s="870" t="n"/>
      <c r="AC21" s="897" t="n">
        <v>170</v>
      </c>
      <c r="AD21" s="870" t="n"/>
      <c r="AE21" s="897" t="n">
        <v>182</v>
      </c>
      <c r="AF21" s="870" t="n"/>
      <c r="AG21" s="897" t="n">
        <v>194</v>
      </c>
      <c r="AH21" s="870" t="n"/>
      <c r="AI21" s="897" t="n">
        <v>206</v>
      </c>
      <c r="AJ21" s="870" t="n"/>
      <c r="AK21" s="897" t="n">
        <v>218</v>
      </c>
      <c r="AL21" s="895" t="n"/>
      <c r="AM21" s="897" t="n">
        <v>230</v>
      </c>
      <c r="AN21" s="895" t="n"/>
      <c r="AO21" s="897" t="n">
        <v>242</v>
      </c>
      <c r="AP21" s="895" t="n"/>
      <c r="AQ21" s="897" t="n">
        <v>254</v>
      </c>
      <c r="AR21" s="895" t="n"/>
      <c r="AS21" s="897" t="n">
        <v>266</v>
      </c>
      <c r="AT21" s="895" t="n"/>
      <c r="AU21" s="897" t="n">
        <v>278</v>
      </c>
      <c r="AV21" s="895" t="n"/>
      <c r="AW21" s="897" t="n">
        <v>290</v>
      </c>
      <c r="AX21" s="895" t="n"/>
      <c r="AY21" s="897" t="n">
        <v>302</v>
      </c>
      <c r="AZ21" s="895" t="n"/>
      <c r="BA21" s="897" t="n">
        <v>314</v>
      </c>
      <c r="BB21" s="895" t="n"/>
      <c r="BC21" s="897" t="n">
        <v>326</v>
      </c>
      <c r="BD21" s="895" t="n"/>
      <c r="BE21" s="897" t="n">
        <v>338</v>
      </c>
      <c r="BF21" s="895" t="n"/>
      <c r="BG21" s="897" t="n">
        <v>350</v>
      </c>
      <c r="BH21" s="895" t="n"/>
      <c r="BI21" s="897" t="n">
        <v>362</v>
      </c>
      <c r="BJ21" s="895" t="n"/>
      <c r="BK21" s="897" t="n">
        <v>374</v>
      </c>
      <c r="BL21" s="895" t="n"/>
      <c r="BM21" s="897" t="n">
        <v>386</v>
      </c>
      <c r="BN21" s="895" t="n"/>
      <c r="BO21" s="897" t="n">
        <v>398</v>
      </c>
      <c r="BP21" s="895" t="n"/>
      <c r="BQ21" s="897" t="n">
        <v>410</v>
      </c>
      <c r="BR21" s="870" t="n"/>
      <c r="BS21" s="897" t="n">
        <v>422</v>
      </c>
      <c r="BT21" s="870" t="n"/>
    </row>
    <row r="22">
      <c r="A22" s="874" t="n">
        <v>3</v>
      </c>
      <c r="B22" s="870" t="n"/>
      <c r="C22" s="874" t="n">
        <v>15</v>
      </c>
      <c r="D22" s="870" t="n"/>
      <c r="E22" s="874" t="n">
        <v>27</v>
      </c>
      <c r="F22" s="870" t="n"/>
      <c r="G22" s="874" t="n">
        <v>39</v>
      </c>
      <c r="H22" s="870" t="n"/>
      <c r="I22" s="874" t="n">
        <v>51</v>
      </c>
      <c r="J22" s="870" t="n"/>
      <c r="K22" s="874" t="n">
        <v>63</v>
      </c>
      <c r="L22" s="870" t="n"/>
      <c r="M22" s="874" t="n">
        <v>75</v>
      </c>
      <c r="N22" s="870" t="n"/>
      <c r="O22" s="874" t="n">
        <v>87</v>
      </c>
      <c r="P22" s="870" t="n"/>
      <c r="Q22" s="874" t="n">
        <v>99</v>
      </c>
      <c r="R22" s="870" t="n"/>
      <c r="S22" s="874" t="n">
        <v>111</v>
      </c>
      <c r="T22" s="870" t="n"/>
      <c r="U22" s="874" t="n">
        <v>123</v>
      </c>
      <c r="V22" s="870" t="n"/>
      <c r="W22" s="874" t="n">
        <v>135</v>
      </c>
      <c r="X22" s="870" t="n"/>
      <c r="Y22" s="898" t="n">
        <v>147</v>
      </c>
      <c r="Z22" s="870" t="n"/>
      <c r="AA22" s="898" t="n">
        <v>159</v>
      </c>
      <c r="AB22" s="870" t="n"/>
      <c r="AC22" s="898" t="n">
        <v>171</v>
      </c>
      <c r="AD22" s="870" t="n"/>
      <c r="AE22" s="898" t="n">
        <v>183</v>
      </c>
      <c r="AF22" s="870" t="n"/>
      <c r="AG22" s="898" t="n">
        <v>195</v>
      </c>
      <c r="AH22" s="870" t="n"/>
      <c r="AI22" s="898" t="n">
        <v>207</v>
      </c>
      <c r="AJ22" s="870" t="n"/>
      <c r="AK22" s="898" t="n">
        <v>219</v>
      </c>
      <c r="AL22" s="895" t="n"/>
      <c r="AM22" s="898" t="n">
        <v>231</v>
      </c>
      <c r="AN22" s="895" t="n"/>
      <c r="AO22" s="898" t="n">
        <v>243</v>
      </c>
      <c r="AP22" s="895" t="n"/>
      <c r="AQ22" s="898" t="n">
        <v>255</v>
      </c>
      <c r="AR22" s="895" t="n"/>
      <c r="AS22" s="898" t="n">
        <v>267</v>
      </c>
      <c r="AT22" s="895" t="n"/>
      <c r="AU22" s="898" t="n">
        <v>279</v>
      </c>
      <c r="AV22" s="895" t="n"/>
      <c r="AW22" s="898" t="n">
        <v>291</v>
      </c>
      <c r="AX22" s="895" t="n"/>
      <c r="AY22" s="898" t="n">
        <v>303</v>
      </c>
      <c r="AZ22" s="895" t="n"/>
      <c r="BA22" s="898" t="n">
        <v>315</v>
      </c>
      <c r="BB22" s="895" t="n"/>
      <c r="BC22" s="898" t="n">
        <v>327</v>
      </c>
      <c r="BD22" s="895" t="n"/>
      <c r="BE22" s="898" t="n">
        <v>339</v>
      </c>
      <c r="BF22" s="895" t="n"/>
      <c r="BG22" s="898" t="n">
        <v>351</v>
      </c>
      <c r="BH22" s="895" t="n"/>
      <c r="BI22" s="898" t="n">
        <v>363</v>
      </c>
      <c r="BJ22" s="895" t="n"/>
      <c r="BK22" s="898" t="n">
        <v>375</v>
      </c>
      <c r="BL22" s="895" t="n"/>
      <c r="BM22" s="898" t="n">
        <v>387</v>
      </c>
      <c r="BN22" s="895" t="n"/>
      <c r="BO22" s="898" t="n">
        <v>399</v>
      </c>
      <c r="BP22" s="895" t="n"/>
      <c r="BQ22" s="898" t="n">
        <v>411</v>
      </c>
      <c r="BR22" s="870" t="n"/>
      <c r="BS22" s="898" t="n">
        <v>423</v>
      </c>
      <c r="BT22" s="870" t="n"/>
    </row>
    <row r="23">
      <c r="A23" s="875" t="n">
        <v>4</v>
      </c>
      <c r="B23" s="870" t="n"/>
      <c r="C23" s="875" t="n">
        <v>16</v>
      </c>
      <c r="D23" s="870" t="n"/>
      <c r="E23" s="875" t="n">
        <v>28</v>
      </c>
      <c r="F23" s="870" t="n"/>
      <c r="G23" s="875" t="n">
        <v>40</v>
      </c>
      <c r="H23" s="870" t="n"/>
      <c r="I23" s="875" t="n">
        <v>52</v>
      </c>
      <c r="J23" s="870" t="n"/>
      <c r="K23" s="875" t="n">
        <v>64</v>
      </c>
      <c r="L23" s="870" t="n"/>
      <c r="M23" s="875" t="n">
        <v>76</v>
      </c>
      <c r="N23" s="870" t="n"/>
      <c r="O23" s="875" t="n">
        <v>88</v>
      </c>
      <c r="P23" s="870" t="n"/>
      <c r="Q23" s="875" t="n">
        <v>100</v>
      </c>
      <c r="R23" s="870" t="n"/>
      <c r="S23" s="875" t="n">
        <v>112</v>
      </c>
      <c r="T23" s="870" t="n"/>
      <c r="U23" s="875" t="n">
        <v>124</v>
      </c>
      <c r="V23" s="870" t="n"/>
      <c r="W23" s="875" t="n">
        <v>136</v>
      </c>
      <c r="X23" s="870" t="n"/>
      <c r="Y23" s="899" t="n">
        <v>148</v>
      </c>
      <c r="Z23" s="870" t="n"/>
      <c r="AA23" s="899" t="n">
        <v>160</v>
      </c>
      <c r="AB23" s="870" t="n"/>
      <c r="AC23" s="899" t="n">
        <v>172</v>
      </c>
      <c r="AD23" s="870" t="n"/>
      <c r="AE23" s="899" t="n">
        <v>184</v>
      </c>
      <c r="AF23" s="870" t="n"/>
      <c r="AG23" s="899" t="n">
        <v>196</v>
      </c>
      <c r="AH23" s="870" t="n"/>
      <c r="AI23" s="899" t="n">
        <v>208</v>
      </c>
      <c r="AJ23" s="870" t="n"/>
      <c r="AK23" s="899" t="n">
        <v>220</v>
      </c>
      <c r="AL23" s="895" t="n"/>
      <c r="AM23" s="899" t="n">
        <v>232</v>
      </c>
      <c r="AN23" s="895" t="n"/>
      <c r="AO23" s="899" t="n">
        <v>244</v>
      </c>
      <c r="AP23" s="895" t="n"/>
      <c r="AQ23" s="899" t="n">
        <v>256</v>
      </c>
      <c r="AR23" s="895" t="n"/>
      <c r="AS23" s="899" t="n">
        <v>268</v>
      </c>
      <c r="AT23" s="895" t="n"/>
      <c r="AU23" s="899" t="n">
        <v>280</v>
      </c>
      <c r="AV23" s="895" t="n"/>
      <c r="AW23" s="899" t="n">
        <v>292</v>
      </c>
      <c r="AX23" s="895" t="n"/>
      <c r="AY23" s="899" t="n">
        <v>304</v>
      </c>
      <c r="AZ23" s="895" t="n"/>
      <c r="BA23" s="899" t="n">
        <v>316</v>
      </c>
      <c r="BB23" s="895" t="n"/>
      <c r="BC23" s="899" t="n">
        <v>328</v>
      </c>
      <c r="BD23" s="895" t="n"/>
      <c r="BE23" s="899" t="n">
        <v>340</v>
      </c>
      <c r="BF23" s="895" t="n"/>
      <c r="BG23" s="899" t="n">
        <v>352</v>
      </c>
      <c r="BH23" s="895" t="n"/>
      <c r="BI23" s="899" t="n">
        <v>364</v>
      </c>
      <c r="BJ23" s="895" t="n"/>
      <c r="BK23" s="899" t="n">
        <v>376</v>
      </c>
      <c r="BL23" s="895" t="n"/>
      <c r="BM23" s="899" t="n">
        <v>388</v>
      </c>
      <c r="BN23" s="895" t="n"/>
      <c r="BO23" s="899" t="n">
        <v>400</v>
      </c>
      <c r="BP23" s="895" t="n"/>
      <c r="BQ23" s="899" t="n">
        <v>412</v>
      </c>
      <c r="BR23" s="870" t="n"/>
      <c r="BS23" s="899" t="n">
        <v>424</v>
      </c>
      <c r="BT23" s="870" t="n"/>
    </row>
    <row r="24">
      <c r="A24" s="876" t="n">
        <v>5</v>
      </c>
      <c r="B24" s="870" t="n"/>
      <c r="C24" s="876" t="n">
        <v>17</v>
      </c>
      <c r="D24" s="870" t="n"/>
      <c r="E24" s="876" t="n">
        <v>29</v>
      </c>
      <c r="F24" s="870" t="n"/>
      <c r="G24" s="876" t="n">
        <v>41</v>
      </c>
      <c r="H24" s="870" t="n"/>
      <c r="I24" s="876" t="n">
        <v>53</v>
      </c>
      <c r="J24" s="870" t="n"/>
      <c r="K24" s="876" t="n">
        <v>65</v>
      </c>
      <c r="L24" s="870" t="n"/>
      <c r="M24" s="876" t="n">
        <v>77</v>
      </c>
      <c r="N24" s="870" t="n"/>
      <c r="O24" s="876" t="n">
        <v>89</v>
      </c>
      <c r="P24" s="870" t="n"/>
      <c r="Q24" s="876" t="n">
        <v>101</v>
      </c>
      <c r="R24" s="870" t="n"/>
      <c r="S24" s="876" t="n">
        <v>113</v>
      </c>
      <c r="T24" s="870" t="n"/>
      <c r="U24" s="876" t="n">
        <v>125</v>
      </c>
      <c r="V24" s="870" t="n"/>
      <c r="W24" s="876" t="n">
        <v>137</v>
      </c>
      <c r="X24" s="870" t="n"/>
      <c r="Y24" s="900" t="n">
        <v>149</v>
      </c>
      <c r="Z24" s="870" t="n"/>
      <c r="AA24" s="900" t="n">
        <v>161</v>
      </c>
      <c r="AB24" s="870" t="n"/>
      <c r="AC24" s="900" t="n">
        <v>173</v>
      </c>
      <c r="AD24" s="870" t="n"/>
      <c r="AE24" s="900" t="n">
        <v>185</v>
      </c>
      <c r="AF24" s="870" t="n"/>
      <c r="AG24" s="900" t="n">
        <v>197</v>
      </c>
      <c r="AH24" s="870" t="n"/>
      <c r="AI24" s="900" t="n">
        <v>209</v>
      </c>
      <c r="AJ24" s="870" t="n"/>
      <c r="AK24" s="900" t="n">
        <v>221</v>
      </c>
      <c r="AL24" s="895" t="n"/>
      <c r="AM24" s="900" t="n">
        <v>233</v>
      </c>
      <c r="AN24" s="895" t="n"/>
      <c r="AO24" s="900" t="n">
        <v>245</v>
      </c>
      <c r="AP24" s="895" t="n"/>
      <c r="AQ24" s="900" t="n">
        <v>257</v>
      </c>
      <c r="AR24" s="895" t="n"/>
      <c r="AS24" s="900" t="n">
        <v>269</v>
      </c>
      <c r="AT24" s="895" t="n"/>
      <c r="AU24" s="900" t="n">
        <v>281</v>
      </c>
      <c r="AV24" s="895" t="n"/>
      <c r="AW24" s="900" t="n">
        <v>293</v>
      </c>
      <c r="AX24" s="895" t="n"/>
      <c r="AY24" s="900" t="n">
        <v>305</v>
      </c>
      <c r="AZ24" s="895" t="n"/>
      <c r="BA24" s="900" t="n">
        <v>317</v>
      </c>
      <c r="BB24" s="895" t="n"/>
      <c r="BC24" s="900" t="n">
        <v>329</v>
      </c>
      <c r="BD24" s="895" t="n"/>
      <c r="BE24" s="900" t="n">
        <v>341</v>
      </c>
      <c r="BF24" s="895" t="n"/>
      <c r="BG24" s="900" t="n">
        <v>353</v>
      </c>
      <c r="BH24" s="895" t="n"/>
      <c r="BI24" s="900" t="n">
        <v>365</v>
      </c>
      <c r="BJ24" s="895" t="n"/>
      <c r="BK24" s="900" t="n">
        <v>377</v>
      </c>
      <c r="BL24" s="895" t="n"/>
      <c r="BM24" s="900" t="n">
        <v>389</v>
      </c>
      <c r="BN24" s="895" t="n"/>
      <c r="BO24" s="900" t="n">
        <v>401</v>
      </c>
      <c r="BP24" s="895" t="n"/>
      <c r="BQ24" s="900" t="n">
        <v>413</v>
      </c>
      <c r="BR24" s="870" t="n"/>
      <c r="BS24" s="900" t="n">
        <v>425</v>
      </c>
      <c r="BT24" s="870" t="n"/>
    </row>
    <row r="25">
      <c r="A25" s="877" t="n">
        <v>6</v>
      </c>
      <c r="B25" s="870" t="n"/>
      <c r="C25" s="877" t="n">
        <v>18</v>
      </c>
      <c r="D25" s="870" t="n"/>
      <c r="E25" s="877" t="n">
        <v>30</v>
      </c>
      <c r="F25" s="870" t="n"/>
      <c r="G25" s="877" t="n">
        <v>42</v>
      </c>
      <c r="H25" s="870" t="n"/>
      <c r="I25" s="877" t="n">
        <v>54</v>
      </c>
      <c r="J25" s="870" t="n"/>
      <c r="K25" s="877" t="n">
        <v>66</v>
      </c>
      <c r="L25" s="870" t="n"/>
      <c r="M25" s="877" t="n">
        <v>78</v>
      </c>
      <c r="N25" s="870" t="n"/>
      <c r="O25" s="877" t="n">
        <v>90</v>
      </c>
      <c r="P25" s="870" t="n"/>
      <c r="Q25" s="877" t="n">
        <v>102</v>
      </c>
      <c r="R25" s="870" t="n"/>
      <c r="S25" s="877" t="n">
        <v>114</v>
      </c>
      <c r="T25" s="870" t="n"/>
      <c r="U25" s="877" t="n">
        <v>126</v>
      </c>
      <c r="V25" s="870" t="n"/>
      <c r="W25" s="877" t="n">
        <v>138</v>
      </c>
      <c r="X25" s="870" t="n"/>
      <c r="Y25" s="901" t="n">
        <v>150</v>
      </c>
      <c r="Z25" s="870" t="n"/>
      <c r="AA25" s="901" t="n">
        <v>162</v>
      </c>
      <c r="AB25" s="870" t="n"/>
      <c r="AC25" s="901" t="n">
        <v>174</v>
      </c>
      <c r="AD25" s="870" t="n"/>
      <c r="AE25" s="901" t="n">
        <v>186</v>
      </c>
      <c r="AF25" s="870" t="n"/>
      <c r="AG25" s="901" t="n">
        <v>198</v>
      </c>
      <c r="AH25" s="870" t="n"/>
      <c r="AI25" s="901" t="n">
        <v>210</v>
      </c>
      <c r="AJ25" s="870" t="n"/>
      <c r="AK25" s="901" t="n">
        <v>222</v>
      </c>
      <c r="AL25" s="895" t="n"/>
      <c r="AM25" s="901" t="n">
        <v>234</v>
      </c>
      <c r="AN25" s="895" t="n"/>
      <c r="AO25" s="901" t="n">
        <v>246</v>
      </c>
      <c r="AP25" s="895" t="n"/>
      <c r="AQ25" s="901" t="n">
        <v>258</v>
      </c>
      <c r="AR25" s="895" t="n"/>
      <c r="AS25" s="901" t="n">
        <v>270</v>
      </c>
      <c r="AT25" s="895" t="n"/>
      <c r="AU25" s="901" t="n">
        <v>282</v>
      </c>
      <c r="AV25" s="895" t="n"/>
      <c r="AW25" s="901" t="n">
        <v>294</v>
      </c>
      <c r="AX25" s="895" t="n"/>
      <c r="AY25" s="901" t="n">
        <v>306</v>
      </c>
      <c r="AZ25" s="895" t="n"/>
      <c r="BA25" s="901" t="n">
        <v>318</v>
      </c>
      <c r="BB25" s="895" t="n"/>
      <c r="BC25" s="901" t="n">
        <v>330</v>
      </c>
      <c r="BD25" s="895" t="n"/>
      <c r="BE25" s="901" t="n">
        <v>342</v>
      </c>
      <c r="BF25" s="895" t="n"/>
      <c r="BG25" s="901" t="n">
        <v>354</v>
      </c>
      <c r="BH25" s="895" t="n"/>
      <c r="BI25" s="901" t="n">
        <v>366</v>
      </c>
      <c r="BJ25" s="895" t="n"/>
      <c r="BK25" s="901" t="n">
        <v>378</v>
      </c>
      <c r="BL25" s="895" t="n"/>
      <c r="BM25" s="901" t="n">
        <v>390</v>
      </c>
      <c r="BN25" s="895" t="n"/>
      <c r="BO25" s="901" t="n">
        <v>402</v>
      </c>
      <c r="BP25" s="895" t="n"/>
      <c r="BQ25" s="901" t="n">
        <v>414</v>
      </c>
      <c r="BR25" s="870" t="n"/>
      <c r="BS25" s="901" t="n">
        <v>426</v>
      </c>
      <c r="BT25" s="870" t="n"/>
    </row>
    <row r="26">
      <c r="A26" s="878" t="n">
        <v>7</v>
      </c>
      <c r="B26" s="870" t="n"/>
      <c r="C26" s="878" t="n">
        <v>19</v>
      </c>
      <c r="D26" s="870" t="n"/>
      <c r="E26" s="878" t="n">
        <v>31</v>
      </c>
      <c r="F26" s="870" t="n"/>
      <c r="G26" s="878" t="n">
        <v>43</v>
      </c>
      <c r="H26" s="870" t="n"/>
      <c r="I26" s="878" t="n">
        <v>55</v>
      </c>
      <c r="J26" s="870" t="n"/>
      <c r="K26" s="878" t="n">
        <v>67</v>
      </c>
      <c r="L26" s="870" t="n"/>
      <c r="M26" s="878" t="n">
        <v>79</v>
      </c>
      <c r="N26" s="870" t="n"/>
      <c r="O26" s="878" t="n">
        <v>91</v>
      </c>
      <c r="P26" s="870" t="n"/>
      <c r="Q26" s="878" t="n">
        <v>103</v>
      </c>
      <c r="R26" s="870" t="n"/>
      <c r="S26" s="878" t="n">
        <v>115</v>
      </c>
      <c r="T26" s="870" t="n"/>
      <c r="U26" s="878" t="n">
        <v>127</v>
      </c>
      <c r="V26" s="870" t="n"/>
      <c r="W26" s="878" t="n">
        <v>139</v>
      </c>
      <c r="X26" s="870" t="n"/>
      <c r="Y26" s="902" t="n">
        <v>151</v>
      </c>
      <c r="Z26" s="870" t="n"/>
      <c r="AA26" s="902" t="n">
        <v>163</v>
      </c>
      <c r="AB26" s="870" t="n"/>
      <c r="AC26" s="902" t="n">
        <v>175</v>
      </c>
      <c r="AD26" s="870" t="n"/>
      <c r="AE26" s="902" t="n">
        <v>187</v>
      </c>
      <c r="AF26" s="870" t="n"/>
      <c r="AG26" s="902" t="n">
        <v>199</v>
      </c>
      <c r="AH26" s="870" t="n"/>
      <c r="AI26" s="902" t="n">
        <v>211</v>
      </c>
      <c r="AJ26" s="870" t="n"/>
      <c r="AK26" s="902" t="n">
        <v>223</v>
      </c>
      <c r="AL26" s="895" t="n"/>
      <c r="AM26" s="902" t="n">
        <v>235</v>
      </c>
      <c r="AN26" s="895" t="n"/>
      <c r="AO26" s="902" t="n">
        <v>247</v>
      </c>
      <c r="AP26" s="895" t="n"/>
      <c r="AQ26" s="902" t="n">
        <v>259</v>
      </c>
      <c r="AR26" s="895" t="n"/>
      <c r="AS26" s="902" t="n">
        <v>271</v>
      </c>
      <c r="AT26" s="895" t="n"/>
      <c r="AU26" s="902" t="n">
        <v>283</v>
      </c>
      <c r="AV26" s="895" t="n"/>
      <c r="AW26" s="902" t="n">
        <v>295</v>
      </c>
      <c r="AX26" s="895" t="n"/>
      <c r="AY26" s="902" t="n">
        <v>307</v>
      </c>
      <c r="AZ26" s="895" t="n"/>
      <c r="BA26" s="902" t="n">
        <v>319</v>
      </c>
      <c r="BB26" s="895" t="n"/>
      <c r="BC26" s="902" t="n">
        <v>331</v>
      </c>
      <c r="BD26" s="895" t="n"/>
      <c r="BE26" s="902" t="n">
        <v>343</v>
      </c>
      <c r="BF26" s="895" t="n"/>
      <c r="BG26" s="902" t="n">
        <v>355</v>
      </c>
      <c r="BH26" s="895" t="n"/>
      <c r="BI26" s="902" t="n">
        <v>367</v>
      </c>
      <c r="BJ26" s="895" t="n"/>
      <c r="BK26" s="902" t="n">
        <v>379</v>
      </c>
      <c r="BL26" s="895" t="n"/>
      <c r="BM26" s="902" t="n">
        <v>391</v>
      </c>
      <c r="BN26" s="895" t="n"/>
      <c r="BO26" s="902" t="n">
        <v>403</v>
      </c>
      <c r="BP26" s="895" t="n"/>
      <c r="BQ26" s="902" t="n">
        <v>415</v>
      </c>
      <c r="BR26" s="870" t="n"/>
      <c r="BS26" s="902" t="n">
        <v>427</v>
      </c>
      <c r="BT26" s="870" t="n"/>
    </row>
    <row r="27">
      <c r="A27" s="879" t="n">
        <v>8</v>
      </c>
      <c r="B27" s="870" t="n"/>
      <c r="C27" s="879" t="n">
        <v>20</v>
      </c>
      <c r="D27" s="870" t="n"/>
      <c r="E27" s="879" t="n">
        <v>32</v>
      </c>
      <c r="F27" s="870" t="n"/>
      <c r="G27" s="879" t="n">
        <v>44</v>
      </c>
      <c r="H27" s="870" t="n"/>
      <c r="I27" s="879" t="n">
        <v>56</v>
      </c>
      <c r="J27" s="870" t="n"/>
      <c r="K27" s="879" t="n">
        <v>68</v>
      </c>
      <c r="L27" s="870" t="n"/>
      <c r="M27" s="879" t="n">
        <v>80</v>
      </c>
      <c r="N27" s="870" t="n"/>
      <c r="O27" s="879" t="n">
        <v>92</v>
      </c>
      <c r="P27" s="870" t="n"/>
      <c r="Q27" s="879" t="n">
        <v>104</v>
      </c>
      <c r="R27" s="870" t="n"/>
      <c r="S27" s="879" t="n">
        <v>116</v>
      </c>
      <c r="T27" s="870" t="n"/>
      <c r="U27" s="879" t="n">
        <v>128</v>
      </c>
      <c r="V27" s="870" t="n"/>
      <c r="W27" s="879" t="n">
        <v>140</v>
      </c>
      <c r="X27" s="870" t="n"/>
      <c r="Y27" s="903" t="n">
        <v>152</v>
      </c>
      <c r="Z27" s="870" t="n"/>
      <c r="AA27" s="903" t="n">
        <v>164</v>
      </c>
      <c r="AB27" s="870" t="n"/>
      <c r="AC27" s="903" t="n">
        <v>176</v>
      </c>
      <c r="AD27" s="870" t="n"/>
      <c r="AE27" s="903" t="n">
        <v>188</v>
      </c>
      <c r="AF27" s="870" t="n"/>
      <c r="AG27" s="903" t="n">
        <v>200</v>
      </c>
      <c r="AH27" s="870" t="n"/>
      <c r="AI27" s="903" t="n">
        <v>212</v>
      </c>
      <c r="AJ27" s="870" t="n"/>
      <c r="AK27" s="903" t="n">
        <v>224</v>
      </c>
      <c r="AL27" s="895" t="n"/>
      <c r="AM27" s="903" t="n">
        <v>236</v>
      </c>
      <c r="AN27" s="895" t="n"/>
      <c r="AO27" s="903" t="n">
        <v>248</v>
      </c>
      <c r="AP27" s="895" t="n"/>
      <c r="AQ27" s="903" t="n">
        <v>260</v>
      </c>
      <c r="AR27" s="895" t="n"/>
      <c r="AS27" s="903" t="n">
        <v>272</v>
      </c>
      <c r="AT27" s="895" t="n"/>
      <c r="AU27" s="903" t="n">
        <v>284</v>
      </c>
      <c r="AV27" s="895" t="n"/>
      <c r="AW27" s="903" t="n">
        <v>296</v>
      </c>
      <c r="AX27" s="895" t="n"/>
      <c r="AY27" s="903" t="n">
        <v>308</v>
      </c>
      <c r="AZ27" s="895" t="n"/>
      <c r="BA27" s="903" t="n">
        <v>320</v>
      </c>
      <c r="BB27" s="895" t="n"/>
      <c r="BC27" s="903" t="n">
        <v>332</v>
      </c>
      <c r="BD27" s="895" t="n"/>
      <c r="BE27" s="903" t="n">
        <v>344</v>
      </c>
      <c r="BF27" s="895" t="n"/>
      <c r="BG27" s="903" t="n">
        <v>356</v>
      </c>
      <c r="BH27" s="895" t="n"/>
      <c r="BI27" s="903" t="n">
        <v>368</v>
      </c>
      <c r="BJ27" s="895" t="n"/>
      <c r="BK27" s="903" t="n">
        <v>380</v>
      </c>
      <c r="BL27" s="895" t="n"/>
      <c r="BM27" s="903" t="n">
        <v>392</v>
      </c>
      <c r="BN27" s="895" t="n"/>
      <c r="BO27" s="903" t="n">
        <v>404</v>
      </c>
      <c r="BP27" s="895" t="n"/>
      <c r="BQ27" s="903" t="n">
        <v>416</v>
      </c>
      <c r="BR27" s="870" t="n"/>
      <c r="BS27" s="903" t="n">
        <v>428</v>
      </c>
      <c r="BT27" s="870" t="n"/>
    </row>
    <row r="28">
      <c r="A28" s="880" t="n">
        <v>9</v>
      </c>
      <c r="B28" s="870" t="n"/>
      <c r="C28" s="880" t="n">
        <v>21</v>
      </c>
      <c r="D28" s="870" t="n"/>
      <c r="E28" s="880" t="n">
        <v>33</v>
      </c>
      <c r="F28" s="870" t="n"/>
      <c r="G28" s="880" t="n">
        <v>45</v>
      </c>
      <c r="H28" s="870" t="n"/>
      <c r="I28" s="880" t="n">
        <v>57</v>
      </c>
      <c r="J28" s="870" t="n"/>
      <c r="K28" s="880" t="n">
        <v>69</v>
      </c>
      <c r="L28" s="870" t="n"/>
      <c r="M28" s="880" t="n">
        <v>81</v>
      </c>
      <c r="N28" s="870" t="n"/>
      <c r="O28" s="880" t="n">
        <v>93</v>
      </c>
      <c r="P28" s="870" t="n"/>
      <c r="Q28" s="880" t="n">
        <v>105</v>
      </c>
      <c r="R28" s="870" t="n"/>
      <c r="S28" s="880" t="n">
        <v>117</v>
      </c>
      <c r="T28" s="870" t="n"/>
      <c r="U28" s="880" t="n">
        <v>129</v>
      </c>
      <c r="V28" s="870" t="n"/>
      <c r="W28" s="880" t="n">
        <v>141</v>
      </c>
      <c r="X28" s="870" t="n"/>
      <c r="Y28" s="904" t="n">
        <v>153</v>
      </c>
      <c r="Z28" s="870" t="n"/>
      <c r="AA28" s="904" t="n">
        <v>165</v>
      </c>
      <c r="AB28" s="870" t="n"/>
      <c r="AC28" s="904" t="n">
        <v>177</v>
      </c>
      <c r="AD28" s="870" t="n"/>
      <c r="AE28" s="904" t="n">
        <v>189</v>
      </c>
      <c r="AF28" s="870" t="n"/>
      <c r="AG28" s="904" t="n">
        <v>201</v>
      </c>
      <c r="AH28" s="870" t="n"/>
      <c r="AI28" s="904" t="n">
        <v>213</v>
      </c>
      <c r="AJ28" s="870" t="n"/>
      <c r="AK28" s="904" t="n">
        <v>225</v>
      </c>
      <c r="AL28" s="895" t="n"/>
      <c r="AM28" s="904" t="n">
        <v>237</v>
      </c>
      <c r="AN28" s="895" t="n"/>
      <c r="AO28" s="904" t="n">
        <v>249</v>
      </c>
      <c r="AP28" s="895" t="n"/>
      <c r="AQ28" s="904" t="n">
        <v>261</v>
      </c>
      <c r="AR28" s="895" t="n"/>
      <c r="AS28" s="904" t="n">
        <v>273</v>
      </c>
      <c r="AT28" s="895" t="n"/>
      <c r="AU28" s="904" t="n">
        <v>285</v>
      </c>
      <c r="AV28" s="895" t="n"/>
      <c r="AW28" s="904" t="n">
        <v>297</v>
      </c>
      <c r="AX28" s="895" t="n"/>
      <c r="AY28" s="904" t="n">
        <v>309</v>
      </c>
      <c r="AZ28" s="895" t="n"/>
      <c r="BA28" s="904" t="n">
        <v>321</v>
      </c>
      <c r="BB28" s="895" t="n"/>
      <c r="BC28" s="904" t="n">
        <v>333</v>
      </c>
      <c r="BD28" s="895" t="n"/>
      <c r="BE28" s="904" t="n">
        <v>345</v>
      </c>
      <c r="BF28" s="895" t="n"/>
      <c r="BG28" s="904" t="n">
        <v>357</v>
      </c>
      <c r="BH28" s="895" t="n"/>
      <c r="BI28" s="904" t="n">
        <v>369</v>
      </c>
      <c r="BJ28" s="895" t="n"/>
      <c r="BK28" s="904" t="n">
        <v>381</v>
      </c>
      <c r="BL28" s="895" t="n"/>
      <c r="BM28" s="904" t="n">
        <v>393</v>
      </c>
      <c r="BN28" s="895" t="n"/>
      <c r="BO28" s="904" t="n">
        <v>405</v>
      </c>
      <c r="BP28" s="895" t="n"/>
      <c r="BQ28" s="904" t="n">
        <v>417</v>
      </c>
      <c r="BR28" s="870" t="n"/>
      <c r="BS28" s="904" t="n">
        <v>429</v>
      </c>
      <c r="BT28" s="870" t="n"/>
    </row>
    <row r="29">
      <c r="A29" s="881" t="n">
        <v>10</v>
      </c>
      <c r="B29" s="870" t="n"/>
      <c r="C29" s="881" t="n">
        <v>22</v>
      </c>
      <c r="D29" s="870" t="n"/>
      <c r="E29" s="881" t="n">
        <v>34</v>
      </c>
      <c r="F29" s="870" t="n"/>
      <c r="G29" s="881" t="n">
        <v>46</v>
      </c>
      <c r="H29" s="870" t="n"/>
      <c r="I29" s="881" t="n">
        <v>58</v>
      </c>
      <c r="J29" s="870" t="n"/>
      <c r="K29" s="881" t="n">
        <v>70</v>
      </c>
      <c r="L29" s="870" t="n"/>
      <c r="M29" s="881" t="n">
        <v>82</v>
      </c>
      <c r="N29" s="870" t="n"/>
      <c r="O29" s="881" t="n">
        <v>94</v>
      </c>
      <c r="P29" s="870" t="n"/>
      <c r="Q29" s="881" t="n">
        <v>106</v>
      </c>
      <c r="R29" s="870" t="n"/>
      <c r="S29" s="881" t="n">
        <v>118</v>
      </c>
      <c r="T29" s="870" t="n"/>
      <c r="U29" s="881" t="n">
        <v>130</v>
      </c>
      <c r="V29" s="870" t="n"/>
      <c r="W29" s="881" t="n">
        <v>142</v>
      </c>
      <c r="X29" s="870" t="n"/>
      <c r="Y29" s="905" t="n">
        <v>154</v>
      </c>
      <c r="Z29" s="870" t="n"/>
      <c r="AA29" s="905" t="n">
        <v>166</v>
      </c>
      <c r="AB29" s="870" t="n"/>
      <c r="AC29" s="905" t="n">
        <v>178</v>
      </c>
      <c r="AD29" s="870" t="n"/>
      <c r="AE29" s="905" t="n">
        <v>190</v>
      </c>
      <c r="AF29" s="870" t="n"/>
      <c r="AG29" s="905" t="n">
        <v>202</v>
      </c>
      <c r="AH29" s="870" t="n"/>
      <c r="AI29" s="905" t="n">
        <v>214</v>
      </c>
      <c r="AJ29" s="870" t="n"/>
      <c r="AK29" s="905" t="n">
        <v>226</v>
      </c>
      <c r="AL29" s="895" t="n"/>
      <c r="AM29" s="905" t="n">
        <v>238</v>
      </c>
      <c r="AN29" s="895" t="n"/>
      <c r="AO29" s="905" t="n">
        <v>250</v>
      </c>
      <c r="AP29" s="895" t="n"/>
      <c r="AQ29" s="905" t="n">
        <v>262</v>
      </c>
      <c r="AR29" s="895" t="n"/>
      <c r="AS29" s="905" t="n">
        <v>274</v>
      </c>
      <c r="AT29" s="895" t="n"/>
      <c r="AU29" s="905" t="n">
        <v>286</v>
      </c>
      <c r="AV29" s="895" t="n"/>
      <c r="AW29" s="905" t="n">
        <v>298</v>
      </c>
      <c r="AX29" s="895" t="n"/>
      <c r="AY29" s="905" t="n">
        <v>310</v>
      </c>
      <c r="AZ29" s="895" t="n"/>
      <c r="BA29" s="905" t="n">
        <v>322</v>
      </c>
      <c r="BB29" s="895" t="n"/>
      <c r="BC29" s="905" t="n">
        <v>334</v>
      </c>
      <c r="BD29" s="895" t="n"/>
      <c r="BE29" s="905" t="n">
        <v>346</v>
      </c>
      <c r="BF29" s="895" t="n"/>
      <c r="BG29" s="905" t="n">
        <v>358</v>
      </c>
      <c r="BH29" s="895" t="n"/>
      <c r="BI29" s="905" t="n">
        <v>370</v>
      </c>
      <c r="BJ29" s="895" t="n"/>
      <c r="BK29" s="905" t="n">
        <v>382</v>
      </c>
      <c r="BL29" s="895" t="n"/>
      <c r="BM29" s="905" t="n">
        <v>394</v>
      </c>
      <c r="BN29" s="895" t="n"/>
      <c r="BO29" s="905" t="n">
        <v>406</v>
      </c>
      <c r="BP29" s="895" t="n"/>
      <c r="BQ29" s="905" t="n">
        <v>418</v>
      </c>
      <c r="BR29" s="870" t="n"/>
      <c r="BS29" s="905" t="n">
        <v>430</v>
      </c>
      <c r="BT29" s="870" t="n"/>
    </row>
    <row r="30">
      <c r="A30" s="882" t="n">
        <v>11</v>
      </c>
      <c r="B30" s="870" t="n"/>
      <c r="C30" s="882" t="n">
        <v>23</v>
      </c>
      <c r="D30" s="870" t="n"/>
      <c r="E30" s="882" t="n">
        <v>35</v>
      </c>
      <c r="F30" s="870" t="n"/>
      <c r="G30" s="882" t="n">
        <v>47</v>
      </c>
      <c r="H30" s="870" t="n"/>
      <c r="I30" s="882" t="n">
        <v>59</v>
      </c>
      <c r="J30" s="870" t="n"/>
      <c r="K30" s="882" t="n">
        <v>71</v>
      </c>
      <c r="L30" s="870" t="n"/>
      <c r="M30" s="882" t="n">
        <v>83</v>
      </c>
      <c r="N30" s="870" t="n"/>
      <c r="O30" s="882" t="n">
        <v>95</v>
      </c>
      <c r="P30" s="870" t="n"/>
      <c r="Q30" s="882" t="n">
        <v>107</v>
      </c>
      <c r="R30" s="870" t="n"/>
      <c r="S30" s="882" t="n">
        <v>119</v>
      </c>
      <c r="T30" s="870" t="n"/>
      <c r="U30" s="882" t="n">
        <v>131</v>
      </c>
      <c r="V30" s="870" t="n"/>
      <c r="W30" s="882" t="n">
        <v>143</v>
      </c>
      <c r="X30" s="870" t="n"/>
      <c r="Y30" s="906" t="n">
        <v>155</v>
      </c>
      <c r="Z30" s="870" t="n"/>
      <c r="AA30" s="906" t="n">
        <v>167</v>
      </c>
      <c r="AB30" s="870" t="n"/>
      <c r="AC30" s="906" t="n">
        <v>179</v>
      </c>
      <c r="AD30" s="870" t="n"/>
      <c r="AE30" s="906" t="n">
        <v>191</v>
      </c>
      <c r="AF30" s="870" t="n"/>
      <c r="AG30" s="906" t="n">
        <v>203</v>
      </c>
      <c r="AH30" s="870" t="n"/>
      <c r="AI30" s="906" t="n">
        <v>215</v>
      </c>
      <c r="AJ30" s="870" t="n"/>
      <c r="AK30" s="906" t="n">
        <v>227</v>
      </c>
      <c r="AL30" s="895" t="n"/>
      <c r="AM30" s="906" t="n">
        <v>239</v>
      </c>
      <c r="AN30" s="895" t="n"/>
      <c r="AO30" s="906" t="n">
        <v>251</v>
      </c>
      <c r="AP30" s="895" t="n"/>
      <c r="AQ30" s="906" t="n">
        <v>263</v>
      </c>
      <c r="AR30" s="895" t="n"/>
      <c r="AS30" s="906" t="n">
        <v>275</v>
      </c>
      <c r="AT30" s="895" t="n"/>
      <c r="AU30" s="906" t="n">
        <v>287</v>
      </c>
      <c r="AV30" s="895" t="n"/>
      <c r="AW30" s="906" t="n">
        <v>299</v>
      </c>
      <c r="AX30" s="895" t="n"/>
      <c r="AY30" s="906" t="n">
        <v>311</v>
      </c>
      <c r="AZ30" s="895" t="n"/>
      <c r="BA30" s="906" t="n">
        <v>323</v>
      </c>
      <c r="BB30" s="895" t="n"/>
      <c r="BC30" s="906" t="n">
        <v>335</v>
      </c>
      <c r="BD30" s="895" t="n"/>
      <c r="BE30" s="906" t="n">
        <v>347</v>
      </c>
      <c r="BF30" s="895" t="n"/>
      <c r="BG30" s="906" t="n">
        <v>359</v>
      </c>
      <c r="BH30" s="895" t="n"/>
      <c r="BI30" s="906" t="n">
        <v>371</v>
      </c>
      <c r="BJ30" s="895" t="n"/>
      <c r="BK30" s="906" t="n">
        <v>383</v>
      </c>
      <c r="BL30" s="895" t="n"/>
      <c r="BM30" s="906" t="n">
        <v>395</v>
      </c>
      <c r="BN30" s="895" t="n"/>
      <c r="BO30" s="906" t="n">
        <v>407</v>
      </c>
      <c r="BP30" s="895" t="n"/>
      <c r="BQ30" s="906" t="n">
        <v>419</v>
      </c>
      <c r="BR30" s="870" t="n"/>
      <c r="BS30" s="906" t="n">
        <v>431</v>
      </c>
      <c r="BT30" s="870" t="n"/>
    </row>
    <row r="31">
      <c r="A31" s="883" t="n">
        <v>12</v>
      </c>
      <c r="B31" s="870" t="n"/>
      <c r="C31" s="883" t="n">
        <v>24</v>
      </c>
      <c r="D31" s="870" t="n"/>
      <c r="E31" s="883" t="n">
        <v>36</v>
      </c>
      <c r="F31" s="870" t="n"/>
      <c r="G31" s="883" t="n">
        <v>48</v>
      </c>
      <c r="H31" s="870" t="n"/>
      <c r="I31" s="883" t="n">
        <v>60</v>
      </c>
      <c r="J31" s="870" t="n"/>
      <c r="K31" s="883" t="n">
        <v>72</v>
      </c>
      <c r="L31" s="870" t="n"/>
      <c r="M31" s="883" t="n">
        <v>84</v>
      </c>
      <c r="N31" s="870" t="n"/>
      <c r="O31" s="883" t="n">
        <v>96</v>
      </c>
      <c r="P31" s="870" t="n"/>
      <c r="Q31" s="883" t="n">
        <v>108</v>
      </c>
      <c r="R31" s="870" t="n"/>
      <c r="S31" s="883" t="n">
        <v>120</v>
      </c>
      <c r="T31" s="870" t="n"/>
      <c r="U31" s="883" t="n">
        <v>132</v>
      </c>
      <c r="V31" s="870" t="n"/>
      <c r="W31" s="883" t="n">
        <v>144</v>
      </c>
      <c r="X31" s="870" t="n"/>
      <c r="Y31" s="907" t="n">
        <v>156</v>
      </c>
      <c r="Z31" s="870" t="n"/>
      <c r="AA31" s="907" t="n">
        <v>168</v>
      </c>
      <c r="AB31" s="870" t="n"/>
      <c r="AC31" s="907" t="n">
        <v>180</v>
      </c>
      <c r="AD31" s="870" t="n"/>
      <c r="AE31" s="907" t="n">
        <v>192</v>
      </c>
      <c r="AF31" s="870" t="n"/>
      <c r="AG31" s="907" t="n">
        <v>204</v>
      </c>
      <c r="AH31" s="870" t="n"/>
      <c r="AI31" s="907" t="n">
        <v>216</v>
      </c>
      <c r="AJ31" s="870" t="n"/>
      <c r="AK31" s="907" t="n">
        <v>228</v>
      </c>
      <c r="AL31" s="895" t="n"/>
      <c r="AM31" s="907" t="n">
        <v>240</v>
      </c>
      <c r="AN31" s="895" t="n"/>
      <c r="AO31" s="907" t="n">
        <v>252</v>
      </c>
      <c r="AP31" s="895" t="n"/>
      <c r="AQ31" s="907" t="n">
        <v>264</v>
      </c>
      <c r="AR31" s="895" t="n"/>
      <c r="AS31" s="907" t="n">
        <v>276</v>
      </c>
      <c r="AT31" s="895" t="n"/>
      <c r="AU31" s="907" t="n">
        <v>288</v>
      </c>
      <c r="AV31" s="895" t="n"/>
      <c r="AW31" s="907" t="n">
        <v>300</v>
      </c>
      <c r="AX31" s="895" t="n"/>
      <c r="AY31" s="907" t="n">
        <v>312</v>
      </c>
      <c r="AZ31" s="895" t="n"/>
      <c r="BA31" s="907" t="n">
        <v>324</v>
      </c>
      <c r="BB31" s="895" t="n"/>
      <c r="BC31" s="907" t="n">
        <v>336</v>
      </c>
      <c r="BD31" s="895" t="n"/>
      <c r="BE31" s="907" t="n">
        <v>348</v>
      </c>
      <c r="BF31" s="895" t="n"/>
      <c r="BG31" s="907" t="n">
        <v>360</v>
      </c>
      <c r="BH31" s="895" t="n"/>
      <c r="BI31" s="907" t="n">
        <v>372</v>
      </c>
      <c r="BJ31" s="895" t="n"/>
      <c r="BK31" s="907" t="n">
        <v>384</v>
      </c>
      <c r="BL31" s="895" t="n"/>
      <c r="BM31" s="907" t="n">
        <v>396</v>
      </c>
      <c r="BN31" s="895" t="n"/>
      <c r="BO31" s="907" t="n">
        <v>408</v>
      </c>
      <c r="BP31" s="895" t="n"/>
      <c r="BQ31" s="907" t="n">
        <v>420</v>
      </c>
      <c r="BR31" s="870" t="n"/>
      <c r="BS31" s="907" t="n">
        <v>432</v>
      </c>
      <c r="BT31" s="870" t="n"/>
    </row>
    <row r="32">
      <c r="A32" s="869" t="n"/>
      <c r="B32" s="869" t="inlineStr">
        <is>
          <t>FDH</t>
        </is>
      </c>
      <c r="C32" s="873" t="n"/>
      <c r="D32" s="873" t="inlineStr">
        <is>
          <t>FDH</t>
        </is>
      </c>
      <c r="E32" s="874" t="n"/>
      <c r="F32" s="874" t="inlineStr">
        <is>
          <t>FDH</t>
        </is>
      </c>
      <c r="G32" s="885" t="n"/>
      <c r="H32" s="885" t="inlineStr">
        <is>
          <t>FDH</t>
        </is>
      </c>
      <c r="I32" s="876" t="n"/>
      <c r="J32" s="876" t="inlineStr">
        <is>
          <t>FDH</t>
        </is>
      </c>
      <c r="K32" s="877" t="n"/>
      <c r="L32" s="877" t="inlineStr">
        <is>
          <t>FDH</t>
        </is>
      </c>
      <c r="M32" s="878" t="n"/>
      <c r="N32" s="878" t="inlineStr">
        <is>
          <t>FDH</t>
        </is>
      </c>
      <c r="O32" s="886" t="n"/>
      <c r="P32" s="879" t="inlineStr">
        <is>
          <t>FDH</t>
        </is>
      </c>
      <c r="Q32" s="880" t="n"/>
      <c r="R32" s="880" t="inlineStr">
        <is>
          <t>FDH</t>
        </is>
      </c>
      <c r="S32" s="881" t="n"/>
      <c r="T32" s="881" t="inlineStr">
        <is>
          <t>FDH</t>
        </is>
      </c>
      <c r="U32" s="882" t="n"/>
      <c r="V32" s="882" t="inlineStr">
        <is>
          <t>FDH</t>
        </is>
      </c>
      <c r="W32" s="883" t="n"/>
      <c r="X32" s="883" t="inlineStr">
        <is>
          <t>FDH</t>
        </is>
      </c>
      <c r="Y32" s="869" t="n"/>
      <c r="Z32" s="869" t="inlineStr">
        <is>
          <t>FDH</t>
        </is>
      </c>
      <c r="AA32" s="897" t="n"/>
      <c r="AB32" s="873" t="inlineStr">
        <is>
          <t>FDH</t>
        </is>
      </c>
      <c r="AC32" s="874" t="n"/>
      <c r="AD32" s="874" t="inlineStr">
        <is>
          <t>FDH</t>
        </is>
      </c>
      <c r="AE32" s="885" t="n"/>
      <c r="AF32" s="885" t="inlineStr">
        <is>
          <t>FDH</t>
        </is>
      </c>
      <c r="AG32" s="876" t="n"/>
      <c r="AH32" s="876" t="inlineStr">
        <is>
          <t>FDH</t>
        </is>
      </c>
      <c r="AI32" s="877" t="n"/>
      <c r="AJ32" s="877" t="inlineStr">
        <is>
          <t>FDH</t>
        </is>
      </c>
      <c r="AK32" s="878" t="n"/>
      <c r="AL32" s="878" t="inlineStr">
        <is>
          <t>FDH</t>
        </is>
      </c>
      <c r="AM32" s="886" t="n"/>
      <c r="AN32" s="879" t="inlineStr">
        <is>
          <t>FDH</t>
        </is>
      </c>
      <c r="AO32" s="880" t="n"/>
      <c r="AP32" s="880" t="inlineStr">
        <is>
          <t>FDH</t>
        </is>
      </c>
      <c r="AQ32" s="881" t="n"/>
      <c r="AR32" s="881" t="inlineStr">
        <is>
          <t>FDH</t>
        </is>
      </c>
      <c r="AS32" s="882" t="n"/>
      <c r="AT32" s="882" t="inlineStr">
        <is>
          <t>FDH</t>
        </is>
      </c>
      <c r="AU32" s="883" t="n"/>
      <c r="AV32" s="883" t="inlineStr">
        <is>
          <t>FDH</t>
        </is>
      </c>
      <c r="AW32" s="869" t="n"/>
      <c r="AX32" s="869" t="inlineStr">
        <is>
          <t>FDH</t>
        </is>
      </c>
      <c r="AY32" s="897" t="n"/>
      <c r="AZ32" s="873" t="inlineStr">
        <is>
          <t>FDH</t>
        </is>
      </c>
      <c r="BA32" s="874" t="n"/>
      <c r="BB32" s="874" t="inlineStr">
        <is>
          <t>FDH</t>
        </is>
      </c>
      <c r="BC32" s="885" t="n"/>
      <c r="BD32" s="885" t="inlineStr">
        <is>
          <t>FDH</t>
        </is>
      </c>
      <c r="BE32" s="876" t="n"/>
      <c r="BF32" s="876" t="inlineStr">
        <is>
          <t>FDH</t>
        </is>
      </c>
      <c r="BG32" s="877" t="n"/>
      <c r="BH32" s="877" t="inlineStr">
        <is>
          <t>FDH</t>
        </is>
      </c>
      <c r="BI32" s="878" t="n"/>
      <c r="BJ32" s="878" t="inlineStr">
        <is>
          <t>FDH</t>
        </is>
      </c>
      <c r="BK32" s="886" t="n"/>
      <c r="BL32" s="879" t="inlineStr">
        <is>
          <t>FDH</t>
        </is>
      </c>
      <c r="BM32" s="880" t="n"/>
      <c r="BN32" s="880" t="inlineStr">
        <is>
          <t>FDH</t>
        </is>
      </c>
      <c r="BO32" s="881" t="n"/>
      <c r="BP32" s="881" t="inlineStr">
        <is>
          <t>FDH</t>
        </is>
      </c>
      <c r="BQ32" s="882" t="n"/>
      <c r="BR32" s="882" t="inlineStr">
        <is>
          <t>FDH</t>
        </is>
      </c>
      <c r="BS32" s="883" t="n"/>
      <c r="BT32" s="883" t="inlineStr">
        <is>
          <t>FDH</t>
        </is>
      </c>
    </row>
  </sheetData>
  <mergeCells count="3">
    <mergeCell ref="AK18:BP19"/>
    <mergeCell ref="A1:AV2"/>
    <mergeCell ref="A18:AJ1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Strock, Terry</dc:creator>
  <dcterms:created xsi:type="dcterms:W3CDTF">2017-04-13T18:56:52Z</dcterms:created>
  <dcterms:modified xsi:type="dcterms:W3CDTF">2026-04-09T05:54:54Z</dcterms:modified>
  <cp:lastModifiedBy>Hija Tovi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0x010100A62D17B227679044B73CF71B1D7CEBCC</vt:lpwstr>
  </property>
  <property name="MSIP_Label_defa4170-0d19-0005-0004-bc88714345d2_Enabled" fmtid="{D5CDD505-2E9C-101B-9397-08002B2CF9AE}" pid="3">
    <vt:lpwstr>true</vt:lpwstr>
  </property>
  <property name="MSIP_Label_defa4170-0d19-0005-0004-bc88714345d2_SetDate" fmtid="{D5CDD505-2E9C-101B-9397-08002B2CF9AE}" pid="4">
    <vt:lpwstr>2022-11-11T19:34:15Z</vt:lpwstr>
  </property>
  <property name="MSIP_Label_defa4170-0d19-0005-0004-bc88714345d2_Method" fmtid="{D5CDD505-2E9C-101B-9397-08002B2CF9AE}" pid="5">
    <vt:lpwstr>Standard</vt:lpwstr>
  </property>
  <property name="MSIP_Label_defa4170-0d19-0005-0004-bc88714345d2_Name" fmtid="{D5CDD505-2E9C-101B-9397-08002B2CF9AE}" pid="6">
    <vt:lpwstr>defa4170-0d19-0005-0004-bc88714345d2</vt:lpwstr>
  </property>
  <property name="MSIP_Label_defa4170-0d19-0005-0004-bc88714345d2_SiteId" fmtid="{D5CDD505-2E9C-101B-9397-08002B2CF9AE}" pid="7">
    <vt:lpwstr>7ac4673d-34ba-4d30-b57d-b0122357cee9</vt:lpwstr>
  </property>
  <property name="MSIP_Label_defa4170-0d19-0005-0004-bc88714345d2_ActionId" fmtid="{D5CDD505-2E9C-101B-9397-08002B2CF9AE}" pid="8">
    <vt:lpwstr>54a31fac-b388-411f-83b7-93ecc3c7e33f</vt:lpwstr>
  </property>
  <property name="MSIP_Label_defa4170-0d19-0005-0004-bc88714345d2_ContentBits" fmtid="{D5CDD505-2E9C-101B-9397-08002B2CF9AE}" pid="9">
    <vt:lpwstr>0</vt:lpwstr>
  </property>
  <property name="Order" fmtid="{D5CDD505-2E9C-101B-9397-08002B2CF9AE}" pid="10">
    <vt:r8>19000</vt:r8>
  </property>
  <property name="_ExtendedDescription" fmtid="{D5CDD505-2E9C-101B-9397-08002B2CF9AE}" pid="11">
    <vt:lpwstr/>
  </property>
  <property name="TriggerFlowInfo" fmtid="{D5CDD505-2E9C-101B-9397-08002B2CF9AE}" pid="12">
    <vt:lpwstr/>
  </property>
  <property name="ComplianceAssetId" fmtid="{D5CDD505-2E9C-101B-9397-08002B2CF9AE}" pid="13">
    <vt:lpwstr/>
  </property>
  <property name="MediaServiceImageTags" fmtid="{D5CDD505-2E9C-101B-9397-08002B2CF9AE}" pid="14">
    <vt:lpwstr/>
  </property>
</Properties>
</file>