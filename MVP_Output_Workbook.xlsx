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080" yWindow="8580" windowWidth="29040" windowHeight="15720" tabRatio="848" firstSheet="0" activeTab="0"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hidden" r:id="rId13"/>
    <sheet name="Ring splicing" sheetId="14" state="hidden"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4">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sz val="11"/>
    </font>
    <font>
      <name val="Calibri"/>
      <b val="1"/>
      <sz val="11"/>
    </font>
  </fonts>
  <fills count="37">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s>
  <borders count="89">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left style="thin"/>
      <right style="thin"/>
      <top style="thin"/>
      <bottom style="thin"/>
    </border>
    <border>
      <left style="thin"/>
      <right style="thin"/>
      <top style="thin"/>
      <bottom style="medium"/>
    </border>
  </borders>
  <cellStyleXfs count="13">
    <xf numFmtId="0" fontId="7" fillId="0" borderId="0"/>
    <xf numFmtId="0" fontId="4" fillId="0" borderId="0"/>
    <xf numFmtId="44" fontId="7" fillId="0" borderId="0"/>
    <xf numFmtId="0" fontId="4" fillId="0" borderId="0"/>
    <xf numFmtId="44" fontId="4" fillId="0" borderId="0"/>
    <xf numFmtId="44"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21">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16" fontId="0" fillId="0" borderId="27" applyAlignment="1" pivotButton="0" quotePrefix="0" xfId="0">
      <alignment horizontal="center"/>
    </xf>
    <xf numFmtId="16" fontId="0" fillId="0" borderId="0" applyAlignment="1" pivotButton="0" quotePrefix="0" xfId="0">
      <alignment horizontal="center"/>
    </xf>
    <xf numFmtId="0" fontId="0" fillId="0" borderId="27" applyAlignment="1" pivotButton="0" quotePrefix="0" xfId="0">
      <alignment horizontal="center"/>
    </xf>
    <xf numFmtId="49" fontId="16" fillId="8" borderId="27" applyAlignment="1" pivotButton="0" quotePrefix="0" xfId="0">
      <alignment horizontal="centerContinuous"/>
    </xf>
    <xf numFmtId="49" fontId="4" fillId="0" borderId="27" applyAlignment="1" pivotButton="0" quotePrefix="0" xfId="11">
      <alignment horizontal="center"/>
    </xf>
    <xf numFmtId="49" fontId="0" fillId="0" borderId="0" applyAlignment="1" pivotButton="0" quotePrefix="0" xfId="0">
      <alignment horizontal="center"/>
    </xf>
    <xf numFmtId="49" fontId="0" fillId="0" borderId="0" pivotButton="0" quotePrefix="0" xfId="0"/>
    <xf numFmtId="0" fontId="0" fillId="0" borderId="0" pivotButton="0" quotePrefix="0" xfId="0"/>
    <xf numFmtId="49" fontId="0" fillId="0" borderId="25" applyAlignment="1" pivotButton="0" quotePrefix="0" xfId="0">
      <alignment horizontal="center"/>
    </xf>
    <xf numFmtId="0" fontId="0" fillId="0" borderId="0" pivotButton="0" quotePrefix="0" xfId="0"/>
    <xf numFmtId="49" fontId="0" fillId="0" borderId="0" pivotButton="0" quotePrefix="0" xfId="0"/>
    <xf numFmtId="16" fontId="0" fillId="0" borderId="0" pivotButton="0" quotePrefix="0" xfId="0"/>
    <xf numFmtId="0" fontId="4" fillId="0" borderId="0" applyAlignment="1" pivotButton="0" quotePrefix="0" xfId="11">
      <alignment horizontal="center"/>
    </xf>
    <xf numFmtId="0" fontId="4" fillId="0" borderId="53" applyAlignment="1" pivotButton="0" quotePrefix="0" xfId="11">
      <alignment horizontal="center"/>
    </xf>
    <xf numFmtId="49" fontId="4" fillId="0" borderId="81" applyAlignment="1" pivotButton="0" quotePrefix="0" xfId="11">
      <alignment horizontal="center"/>
    </xf>
    <xf numFmtId="0" fontId="4" fillId="0" borderId="81" pivotButton="0" quotePrefix="0" xfId="11"/>
    <xf numFmtId="0" fontId="4" fillId="0" borderId="81" applyAlignment="1" pivotButton="0" quotePrefix="0" xfId="11">
      <alignment horizontal="center"/>
    </xf>
    <xf numFmtId="0" fontId="0" fillId="0" borderId="81" applyAlignment="1" pivotButton="0" quotePrefix="0" xfId="0">
      <alignment horizontal="center"/>
    </xf>
    <xf numFmtId="0" fontId="0" fillId="0" borderId="81" applyAlignment="1" pivotButton="0" quotePrefix="0" xfId="0">
      <alignment horizontal="center"/>
    </xf>
    <xf numFmtId="0" fontId="0" fillId="0" borderId="81"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26" applyAlignment="1" applyProtection="1" pivotButton="0" quotePrefix="0" xfId="0">
      <alignment wrapText="1"/>
      <protection locked="0" hidden="0"/>
    </xf>
    <xf numFmtId="0" fontId="20" fillId="4" borderId="40" applyAlignment="1" applyProtection="1" pivotButton="0" quotePrefix="0" xfId="0">
      <alignment wrapText="1"/>
      <protection locked="0" hidden="0"/>
    </xf>
    <xf numFmtId="0" fontId="20" fillId="4" borderId="25" applyAlignment="1" applyProtection="1" pivotButton="0" quotePrefix="0" xfId="0">
      <alignment wrapText="1"/>
      <protection locked="0" hidden="0"/>
    </xf>
    <xf numFmtId="0" fontId="20" fillId="4" borderId="62" applyAlignment="1" applyProtection="1" pivotButton="0" quotePrefix="0" xfId="0">
      <alignment wrapText="1"/>
      <protection locked="0" hidden="0"/>
    </xf>
    <xf numFmtId="0" fontId="20" fillId="4" borderId="71" applyAlignment="1" applyProtection="1" pivotButton="0" quotePrefix="0" xfId="0">
      <alignment wrapText="1"/>
      <protection locked="0" hidden="0"/>
    </xf>
    <xf numFmtId="0" fontId="20" fillId="4" borderId="63" applyAlignment="1" applyProtection="1" pivotButton="0" quotePrefix="0" xfId="0">
      <alignmen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16" fillId="8" borderId="30" applyAlignment="1" pivotButton="0" quotePrefix="0" xfId="0">
      <alignment horizontal="center" vertical="center"/>
    </xf>
    <xf numFmtId="0" fontId="16" fillId="8" borderId="45" applyAlignment="1" pivotButton="0" quotePrefix="0" xfId="0">
      <alignment horizontal="center" vertical="center"/>
    </xf>
    <xf numFmtId="0" fontId="0" fillId="8" borderId="30" applyAlignment="1" pivotButton="0" quotePrefix="0" xfId="0">
      <alignment horizontal="center" vertical="center"/>
    </xf>
    <xf numFmtId="49" fontId="16" fillId="8" borderId="30" applyAlignment="1" pivotButton="0" quotePrefix="0" xfId="0">
      <alignment horizontal="center" vertical="center"/>
    </xf>
    <xf numFmtId="49" fontId="16" fillId="8" borderId="45"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0" fontId="0" fillId="0" borderId="13" pivotButton="0" quotePrefix="0" xfId="0"/>
    <xf numFmtId="0" fontId="15" fillId="0" borderId="4" applyAlignment="1" pivotButton="0" quotePrefix="0" xfId="0">
      <alignment horizontal="center" vertical="top"/>
    </xf>
    <xf numFmtId="0" fontId="0" fillId="0" borderId="32" pivotButton="0" quotePrefix="0" xfId="0"/>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5" fontId="3" fillId="2" borderId="45" applyAlignment="1" applyProtection="1" pivotButton="0" quotePrefix="0" xfId="2">
      <alignment horizontal="center"/>
      <protection locked="0" hidden="0"/>
    </xf>
    <xf numFmtId="165" fontId="12" fillId="0" borderId="0" applyAlignment="1" pivotButton="0" quotePrefix="0" xfId="0">
      <alignment horizontal="right"/>
    </xf>
    <xf numFmtId="165" fontId="17" fillId="0" borderId="0" applyAlignment="1" pivotButton="0" quotePrefix="0" xfId="0">
      <alignment horizontal="right"/>
    </xf>
    <xf numFmtId="168" fontId="8" fillId="0" borderId="0" applyAlignment="1" pivotButton="0" quotePrefix="0" xfId="0">
      <alignment horizontal="center" vertical="center"/>
    </xf>
    <xf numFmtId="0" fontId="22" fillId="4" borderId="27" applyAlignment="1" pivotButton="0" quotePrefix="0" xfId="0">
      <alignment horizontal="center" vertical="center" textRotation="90"/>
    </xf>
    <xf numFmtId="0" fontId="0" fillId="0" borderId="45" pivotButton="0" quotePrefix="0" xfId="0"/>
    <xf numFmtId="0" fontId="20" fillId="4" borderId="27" applyAlignment="1" applyProtection="1" pivotButton="0" quotePrefix="0" xfId="0">
      <alignment wrapText="1"/>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10" fillId="0" borderId="79" applyAlignment="1" applyProtection="1" pivotButton="0" quotePrefix="0" xfId="0">
      <alignment horizontal="center" vertical="center"/>
      <protection locked="0" hidden="0"/>
    </xf>
    <xf numFmtId="0" fontId="10" fillId="0" borderId="0" applyAlignment="1" pivotButton="0" quotePrefix="0" xfId="0">
      <alignment horizontal="center" vertical="center"/>
    </xf>
    <xf numFmtId="0" fontId="0" fillId="0" borderId="0" applyAlignment="1" pivotButton="0" quotePrefix="0" xfId="0">
      <alignment horizontal="center" vertical="center"/>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52" fillId="0" borderId="87" applyAlignment="1" applyProtection="1" pivotButton="0" quotePrefix="0" xfId="0">
      <alignment horizontal="center" vertical="center"/>
      <protection locked="0" hidden="0"/>
    </xf>
    <xf numFmtId="0" fontId="52" fillId="0" borderId="87" applyAlignment="1" pivotButton="0" quotePrefix="0" xfId="0">
      <alignment horizontal="center" vertical="center"/>
    </xf>
    <xf numFmtId="0" fontId="52" fillId="0" borderId="88" applyAlignment="1" applyProtection="1" pivotButton="0" quotePrefix="0" xfId="0">
      <alignment horizontal="center" vertical="center"/>
      <protection locked="0" hidden="0"/>
    </xf>
    <xf numFmtId="0" fontId="52" fillId="0" borderId="88" applyAlignment="1" pivotButton="0" quotePrefix="0" xfId="0">
      <alignment horizontal="center" vertical="center"/>
    </xf>
    <xf numFmtId="165" fontId="11" fillId="0" borderId="27" applyAlignment="1" applyProtection="1" pivotButton="0" quotePrefix="0" xfId="2">
      <alignment horizontal="left"/>
      <protection locked="0" hidden="0"/>
    </xf>
    <xf numFmtId="165" fontId="11" fillId="0" borderId="27" applyAlignment="1" applyProtection="1" pivotButton="0" quotePrefix="0" xfId="2">
      <alignment horizontal="center"/>
      <protection locked="0" hidden="0"/>
    </xf>
    <xf numFmtId="165" fontId="11" fillId="0" borderId="27" applyAlignment="1" applyProtection="1" pivotButton="0" quotePrefix="0" xfId="2">
      <alignment horizontal="right"/>
      <protection locked="0" hidden="0"/>
    </xf>
    <xf numFmtId="165" fontId="11" fillId="0" borderId="26" applyAlignment="1" pivotButton="0" quotePrefix="0" xfId="0">
      <alignment horizont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4" fillId="0" borderId="27" applyAlignment="1" pivotButton="0" quotePrefix="0" xfId="11">
      <alignment horizontal="center" vertical="center"/>
    </xf>
    <xf numFmtId="0" fontId="4" fillId="23" borderId="27" pivotButton="0" quotePrefix="0" xfId="11"/>
    <xf numFmtId="0" fontId="53" fillId="0" borderId="27" applyAlignment="1" pivotButton="0" quotePrefix="0" xfId="0">
      <alignment horizontal="center" vertical="center"/>
    </xf>
    <xf numFmtId="49" fontId="16" fillId="8" borderId="27" applyAlignment="1" pivotButton="0" quotePrefix="0" xfId="0">
      <alignment horizontal="center" vertical="center"/>
    </xf>
    <xf numFmtId="0" fontId="0" fillId="0" borderId="87" applyAlignment="1" pivotButton="0" quotePrefix="0" xfId="0">
      <alignment horizontal="center" vertical="center"/>
    </xf>
    <xf numFmtId="49" fontId="0" fillId="0" borderId="87" applyAlignment="1" pivotButton="0" quotePrefix="0" xfId="0">
      <alignment horizontal="center" vertical="center"/>
    </xf>
    <xf numFmtId="16" fontId="0" fillId="0" borderId="87" applyAlignment="1" pivotButton="0" quotePrefix="0" xfId="0">
      <alignment horizontal="center" vertical="center"/>
    </xf>
    <xf numFmtId="0" fontId="4" fillId="24" borderId="27" pivotButton="0" quotePrefix="0" xfId="11"/>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0" fontId="0" fillId="0" borderId="49" pivotButton="0" quotePrefix="0" xfId="0"/>
    <xf numFmtId="0" fontId="1" fillId="0"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420">
    <dxf>
      <fill>
        <patternFill>
          <bgColor rgb="FFFF9999"/>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ill>
        <patternFill>
          <bgColor rgb="FFFF99CC"/>
        </patternFill>
      </fill>
    </dxf>
    <dxf>
      <font>
        <color rgb="FFFF0000"/>
      </font>
      <fill>
        <patternFill>
          <bgColor rgb="FFFF0000"/>
        </patternFill>
      </fill>
    </dxf>
    <dxf>
      <font>
        <color rgb="FFFFFFFF"/>
      </font>
      <fill>
        <patternFill>
          <bgColor rgb="FFFFFFFF"/>
        </patternFill>
      </fill>
    </dxf>
    <dxf>
      <fill>
        <patternFill>
          <bgColor rgb="FFFF99CC"/>
        </patternFill>
      </fill>
    </dxf>
    <dxf>
      <fill>
        <patternFill>
          <bgColor rgb="FFFFFF00"/>
        </patternFill>
      </fill>
    </dxf>
    <dxf>
      <fill>
        <patternFill>
          <bgColor rgb="FF00FFFF"/>
        </patternFill>
      </fill>
    </dxf>
    <dxf>
      <fill>
        <patternFill>
          <bgColor rgb="FFCC99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800000"/>
      </font>
      <fill>
        <patternFill>
          <bgColor rgb="FF800000"/>
        </patternFill>
      </fill>
    </dxf>
    <dxf>
      <font>
        <color rgb="FF969696"/>
      </font>
      <fill>
        <patternFill>
          <bgColor rgb="FF969696"/>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0000FF"/>
      </font>
      <fill>
        <patternFill>
          <bgColor rgb="FF0000FF"/>
        </patternFill>
      </fill>
    </dxf>
    <dxf>
      <fill>
        <patternFill>
          <bgColor rgb="FFCC99FF"/>
        </patternFill>
      </fill>
    </dxf>
    <dxf>
      <fill>
        <patternFill>
          <bgColor rgb="FFFFFF00"/>
        </patternFill>
      </fill>
    </dxf>
    <dxf>
      <font>
        <color rgb="FF000000"/>
      </font>
      <fill>
        <patternFill>
          <bgColor rgb="FF000000"/>
        </patternFill>
      </fill>
    </dxf>
    <dxf>
      <fill>
        <patternFill>
          <bgColor rgb="FF00FFFF"/>
        </patternFill>
      </fill>
    </dxf>
    <dxf>
      <font>
        <color rgb="FFFFFFFF"/>
      </font>
      <fill>
        <patternFill>
          <bgColor rgb="FFFFFFFF"/>
        </patternFill>
      </fill>
    </dxf>
    <dxf>
      <font>
        <color rgb="FFFF0000"/>
      </font>
      <fill>
        <patternFill>
          <bgColor rgb="FFFF0000"/>
        </patternFill>
      </fill>
    </dxf>
    <dxf>
      <fill>
        <patternFill>
          <bgColor rgb="FFFF99CC"/>
        </patternFill>
      </fill>
    </dxf>
    <dxf>
      <font>
        <color rgb="FF969696"/>
      </font>
      <fill>
        <patternFill>
          <bgColor rgb="FF969696"/>
        </patternFill>
      </fill>
    </dxf>
    <dxf>
      <font>
        <color rgb="FF00FF00"/>
      </font>
      <fill>
        <patternFill>
          <bgColor rgb="FF00FF00"/>
        </patternFill>
      </fill>
    </dxf>
    <dxf>
      <font>
        <color rgb="FF800000"/>
      </font>
      <fill>
        <patternFill>
          <bgColor rgb="FF800000"/>
        </patternFill>
      </fill>
    </dxf>
    <dxf>
      <font>
        <color rgb="FFFF9900"/>
      </font>
      <fill>
        <patternFill>
          <bgColor rgb="FFFF9900"/>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9900"/>
      </font>
      <fill>
        <patternFill>
          <bgColor rgb="FFFF9900"/>
        </patternFill>
      </fill>
    </dxf>
    <dxf>
      <font>
        <color rgb="FF000000"/>
      </font>
      <fill>
        <patternFill>
          <bgColor rgb="FF000000"/>
        </patternFill>
      </fill>
    </dxf>
    <dxf>
      <font>
        <color rgb="FFFF0000"/>
      </font>
      <fill>
        <patternFill>
          <bgColor rgb="FFFF0000"/>
        </patternFill>
      </fill>
    </dxf>
    <dxf>
      <fill>
        <patternFill>
          <bgColor rgb="FFCC99FF"/>
        </patternFill>
      </fill>
    </dxf>
    <dxf>
      <fill>
        <patternFill>
          <bgColor rgb="FFFF99CC"/>
        </patternFill>
      </fill>
    </dxf>
    <dxf>
      <fill>
        <patternFill>
          <bgColor rgb="FF00FFFF"/>
        </patternFill>
      </fill>
    </dxf>
    <dxf>
      <font>
        <color rgb="FF00FF00"/>
      </font>
      <fill>
        <patternFill>
          <bgColor rgb="FF00FF00"/>
        </patternFill>
      </fill>
    </dxf>
    <dxf>
      <font>
        <color rgb="FFFFFFFF"/>
      </font>
      <fill>
        <patternFill>
          <bgColor rgb="FFFFFFFF"/>
        </patternFill>
      </fill>
    </dxf>
    <dxf>
      <font>
        <color rgb="FF000000"/>
      </font>
      <fill>
        <patternFill>
          <bgColor rgb="FF000000"/>
        </patternFill>
      </fill>
    </dxf>
    <dxf>
      <fill>
        <patternFill>
          <bgColor rgb="FFFF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000000"/>
      </font>
      <fill>
        <patternFill>
          <bgColor rgb="FF000000"/>
        </patternFill>
      </fill>
    </dxf>
    <dxf>
      <fill>
        <patternFill>
          <bgColor rgb="FFCC99FF"/>
        </patternFill>
      </fill>
    </dxf>
    <dxf>
      <fill>
        <patternFill>
          <bgColor rgb="FFFFFF00"/>
        </patternFill>
      </fill>
    </dxf>
    <dxf>
      <fill>
        <patternFill>
          <bgColor rgb="FFFF99CC"/>
        </patternFill>
      </fill>
    </dxf>
    <dxf>
      <fill>
        <patternFill>
          <bgColor rgb="FF00FFFF"/>
        </patternFill>
      </fill>
    </dxf>
    <dxf>
      <font>
        <color rgb="FF969696"/>
      </font>
      <fill>
        <patternFill>
          <bgColor rgb="FF969696"/>
        </patternFill>
      </fill>
    </dxf>
    <dxf>
      <font>
        <color rgb="FFFF0000"/>
      </font>
      <fill>
        <patternFill>
          <bgColor rgb="FFFF0000"/>
        </patternFill>
      </fill>
    </dxf>
    <dxf>
      <font>
        <color rgb="FFFFFFFF"/>
      </font>
      <fill>
        <patternFill>
          <bgColor rgb="FFFFFFFF"/>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FF99CC"/>
        </patternFill>
      </fill>
    </dxf>
    <dxf>
      <font>
        <color rgb="FF800000"/>
      </font>
      <fill>
        <patternFill>
          <bgColor rgb="FF800000"/>
        </patternFill>
      </fill>
    </dxf>
    <dxf>
      <fill>
        <patternFill>
          <bgColor rgb="FFFFFF00"/>
        </patternFill>
      </fill>
    </dxf>
    <dxf>
      <fill>
        <patternFill>
          <bgColor rgb="FF00FF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0000"/>
      </font>
      <fill>
        <patternFill>
          <bgColor rgb="FFFF00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800000"/>
      </font>
      <fill>
        <patternFill>
          <bgColor rgb="FF800000"/>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ont>
        <color rgb="FFFF0000"/>
      </font>
      <fill>
        <patternFill>
          <bgColor rgb="FFFF0000"/>
        </patternFill>
      </fill>
    </dxf>
    <dxf>
      <fill>
        <patternFill>
          <bgColor rgb="FFFF99CC"/>
        </patternFill>
      </fill>
    </dxf>
    <dxf>
      <fill>
        <patternFill>
          <bgColor rgb="FF00FFFF"/>
        </patternFill>
      </fill>
    </dxf>
    <dxf>
      <font>
        <color rgb="FF0000FF"/>
      </font>
      <fill>
        <patternFill>
          <bgColor rgb="FF0000FF"/>
        </patternFill>
      </fill>
    </dxf>
    <dxf>
      <fill>
        <patternFill>
          <bgColor rgb="FFFF99CC"/>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000000"/>
      </font>
      <fill>
        <patternFill>
          <bgColor rgb="FF0000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00"/>
      </font>
      <fill>
        <patternFill>
          <bgColor rgb="FF0000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0000"/>
      </font>
      <fill>
        <patternFill>
          <bgColor rgb="FFFF0000"/>
        </patternFill>
      </fill>
    </dxf>
    <dxf>
      <font>
        <color rgb="FFFFFFFF"/>
      </font>
      <fill>
        <patternFill>
          <bgColor rgb="FFFFFF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ont>
        <color rgb="FFCC99FF"/>
      </font>
      <fill>
        <patternFill>
          <bgColor rgb="FFCC99FF"/>
        </patternFill>
      </fill>
    </dxf>
    <dxf>
      <font>
        <color rgb="FF000000"/>
      </font>
      <fill>
        <patternFill>
          <bgColor rgb="FF000000"/>
        </patternFill>
      </fill>
    </dxf>
    <dxf>
      <font>
        <color rgb="FFFF0000"/>
      </font>
      <fill>
        <patternFill>
          <bgColor rgb="FFFF0000"/>
        </patternFill>
      </fill>
    </dxf>
    <dxf>
      <font>
        <color rgb="FF00FF00"/>
      </font>
      <fill>
        <patternFill>
          <bgColor rgb="FF00FF00"/>
        </patternFill>
      </fill>
    </dxf>
    <dxf>
      <font>
        <color rgb="FFFF99CC"/>
      </font>
      <fill>
        <patternFill>
          <bgColor rgb="FFFF99CC"/>
        </patternFill>
      </fill>
    </dxf>
    <dxf>
      <font>
        <color rgb="FF969696"/>
      </font>
      <fill>
        <patternFill>
          <bgColor rgb="FF969696"/>
        </patternFill>
      </fill>
    </dxf>
    <dxf>
      <font>
        <color rgb="FFFFFF00"/>
      </font>
      <fill>
        <patternFill>
          <bgColor rgb="FFFFFF00"/>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FFFF00"/>
      </font>
      <fill>
        <patternFill>
          <bgColor rgb="FFFF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0000"/>
      </font>
      <fill>
        <patternFill>
          <bgColor rgb="FFFF0000"/>
        </patternFill>
      </fill>
    </dxf>
    <dxf>
      <font>
        <color rgb="FF000000"/>
      </font>
      <fill>
        <patternFill>
          <bgColor rgb="FF000000"/>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FFFFFF"/>
      </font>
      <fill>
        <patternFill>
          <bgColor rgb="FFFFFFFF"/>
        </patternFill>
      </fill>
    </dxf>
    <dxf>
      <font>
        <color rgb="FF969696"/>
      </font>
      <fill>
        <patternFill>
          <bgColor rgb="FF969696"/>
        </patternFill>
      </fill>
    </dxf>
    <dxf>
      <font>
        <color rgb="FF000000"/>
      </font>
      <fill>
        <patternFill>
          <bgColor rgb="FF000000"/>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FF00"/>
      </font>
      <fill>
        <patternFill>
          <bgColor rgb="FF00FF00"/>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99CC"/>
      </font>
      <fill>
        <patternFill>
          <bgColor rgb="FFFF99CC"/>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FFFF00"/>
      </font>
      <fill>
        <patternFill>
          <bgColor rgb="FFFFFF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00FFFF"/>
      </font>
      <fill>
        <patternFill>
          <bgColor rgb="FF00FFFF"/>
        </patternFill>
      </fill>
    </dxf>
    <dxf>
      <font>
        <color rgb="FFFFFFFF"/>
      </font>
      <fill>
        <patternFill>
          <bgColor rgb="FFFFFFFF"/>
        </patternFill>
      </fill>
    </dxf>
    <dxf>
      <font>
        <color rgb="FF000000"/>
      </font>
      <fill>
        <patternFill>
          <bgColor rgb="FF000000"/>
        </patternFill>
      </fill>
    </dxf>
    <dxf>
      <font>
        <color rgb="FFFF0000"/>
      </font>
      <fill>
        <patternFill>
          <bgColor rgb="FFFF0000"/>
        </patternFill>
      </fill>
    </dxf>
    <dxf>
      <font>
        <color rgb="FFFF99CC"/>
      </font>
      <fill>
        <patternFill>
          <bgColor rgb="FFFF99CC"/>
        </patternFill>
      </fill>
    </dxf>
    <dxf>
      <font>
        <color rgb="FF00FFFF"/>
      </font>
      <fill>
        <patternFill>
          <bgColor rgb="FF00FFFF"/>
        </patternFill>
      </fill>
    </dxf>
    <dxf>
      <font>
        <color rgb="FFFFFFFF"/>
      </font>
      <fill>
        <patternFill>
          <bgColor rgb="FFFFFFFF"/>
        </patternFill>
      </fill>
    </dxf>
    <dxf>
      <font>
        <color rgb="FF00FF00"/>
      </font>
      <fill>
        <patternFill>
          <bgColor rgb="FF00FF00"/>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0000FF"/>
      </font>
      <fill>
        <patternFill>
          <bgColor rgb="FF0000FF"/>
        </patternFill>
      </fill>
    </dxf>
    <dxf>
      <font>
        <color rgb="FFFF9900"/>
      </font>
      <fill>
        <patternFill>
          <bgColor rgb="FFFF9900"/>
        </patternFill>
      </fill>
    </dxf>
    <dxf>
      <font>
        <color rgb="FF969696"/>
      </font>
      <fill>
        <patternFill>
          <bgColor rgb="FF969696"/>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00FF00"/>
      </font>
      <fill>
        <patternFill>
          <bgColor rgb="FF00FF00"/>
        </patternFill>
      </fill>
    </dxf>
    <dxf>
      <font>
        <color rgb="FFFF9900"/>
      </font>
      <fill>
        <patternFill>
          <bgColor rgb="FFFF9900"/>
        </patternFill>
      </fill>
    </dxf>
    <dxf>
      <font>
        <color rgb="FF969696"/>
      </font>
      <fill>
        <patternFill>
          <bgColor rgb="FF969696"/>
        </patternFill>
      </fill>
    </dxf>
    <dxf>
      <font>
        <color rgb="FF800000"/>
      </font>
      <fill>
        <patternFill>
          <bgColor rgb="FF800000"/>
        </patternFill>
      </fill>
    </dxf>
    <dxf>
      <font>
        <color rgb="FFFFFFFF"/>
      </font>
      <fill>
        <patternFill>
          <bgColor rgb="FFFFFFFF"/>
        </patternFill>
      </fill>
    </dxf>
    <dxf>
      <font>
        <color rgb="FFFF0000"/>
      </font>
      <fill>
        <patternFill>
          <bgColor rgb="FFFF00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14</col>
      <colOff>239349</colOff>
      <row>25</row>
      <rowOff>105454</rowOff>
    </to>
    <pic>
      <nvPicPr>
        <cNvPr id="2" name="Picture 1"/>
        <cNvPicPr>
          <a:picLocks noChangeAspect="1"/>
        </cNvPicPr>
      </nvPicPr>
      <blipFill>
        <a:blip r:embed="rId1"/>
        <a:stretch>
          <a:fillRect/>
        </a:stretch>
      </blipFill>
      <spPr>
        <a:xfrm>
          <a:off x="0" y="0"/>
          <a:ext cx="8773749" cy="4867954"/>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tabSelected="1" zoomScaleNormal="100" workbookViewId="0">
      <selection activeCell="F29" sqref="F29"/>
    </sheetView>
  </sheetViews>
  <sheetFormatPr baseColWidth="8" defaultColWidth="8.85546875" defaultRowHeight="12.75"/>
  <cols>
    <col width="28.140625" customWidth="1" style="160" min="1" max="1"/>
    <col width="13.28515625" customWidth="1" style="160" min="2" max="2"/>
    <col width="38.5703125" bestFit="1" customWidth="1" style="160" min="3" max="3"/>
    <col width="14.42578125" customWidth="1" style="160" min="4" max="4"/>
    <col width="15.140625" bestFit="1" customWidth="1" style="160" min="5" max="5"/>
    <col width="10.85546875" bestFit="1" customWidth="1" style="160" min="6" max="6"/>
    <col width="9.42578125" bestFit="1" customWidth="1" style="160" min="7" max="7"/>
    <col width="8.85546875" customWidth="1" style="160" min="8" max="16384"/>
  </cols>
  <sheetData>
    <row r="1" ht="13.5" customHeight="1" s="955" thickBot="1">
      <c r="A1" s="1123" t="inlineStr">
        <is>
          <t>RSB WORKBOOK</t>
        </is>
      </c>
      <c r="B1" s="1124" t="n"/>
      <c r="C1" s="1124" t="n"/>
      <c r="D1" s="1124" t="n"/>
      <c r="E1" s="1124" t="n"/>
      <c r="F1" s="1124" t="n"/>
      <c r="G1" s="1125" t="n"/>
    </row>
    <row r="2" ht="13.5" customHeight="1" s="955" thickBot="1">
      <c r="A2" s="161" t="inlineStr">
        <is>
          <t>CUSTOMER NAME</t>
        </is>
      </c>
      <c r="B2" s="594" t="inlineStr">
        <is>
          <t>LUMOS</t>
        </is>
      </c>
      <c r="C2" s="1126" t="n"/>
      <c r="D2" s="1127" t="n"/>
      <c r="E2" s="161" t="inlineStr">
        <is>
          <t>ENGINEER</t>
        </is>
      </c>
      <c r="F2" s="974" t="inlineStr">
        <is>
          <t>CHAD ROBERTSON</t>
        </is>
      </c>
      <c r="G2" s="1128" t="n"/>
    </row>
    <row r="3" ht="15.75" customHeight="1" s="955" thickBot="1">
      <c r="A3" s="162" t="inlineStr">
        <is>
          <t>CUSTOMER LOCATION</t>
        </is>
      </c>
      <c r="B3" s="1129" t="inlineStr">
        <is>
          <t>NORTH CAROLINA</t>
        </is>
      </c>
      <c r="C3" s="1126" t="n"/>
      <c r="D3" s="1127" t="n"/>
      <c r="E3" s="162" t="inlineStr">
        <is>
          <t>DATE</t>
        </is>
      </c>
      <c r="F3" s="976" t="inlineStr">
        <is>
          <t>##</t>
        </is>
      </c>
      <c r="G3" s="1130" t="n"/>
    </row>
    <row r="4" ht="13.5" customHeight="1" s="955" thickBot="1">
      <c r="A4" s="162" t="inlineStr">
        <is>
          <t>MARKET</t>
        </is>
      </c>
      <c r="B4" s="594" t="inlineStr">
        <is>
          <t>HOLLY SRPRINGS</t>
        </is>
      </c>
      <c r="C4" s="1126" t="n"/>
      <c r="D4" s="1127" t="n"/>
      <c r="E4" s="163" t="inlineStr">
        <is>
          <t>Project #</t>
        </is>
      </c>
      <c r="F4" s="969" t="inlineStr">
        <is>
          <t>HSP ##</t>
        </is>
      </c>
      <c r="G4" s="1130" t="n"/>
    </row>
    <row r="5" ht="13.5" customHeight="1" s="955" thickBot="1">
      <c r="A5" s="189" t="n"/>
      <c r="B5" s="189" t="n"/>
      <c r="C5" s="164" t="inlineStr">
        <is>
          <t>Permits Due Date</t>
        </is>
      </c>
      <c r="D5" s="617" t="n"/>
      <c r="E5" s="983" t="n"/>
      <c r="F5" s="1131" t="n"/>
      <c r="G5" s="618" t="n"/>
    </row>
    <row r="6" ht="13.5" customHeight="1" s="955" thickBot="1">
      <c r="A6" s="165" t="inlineStr">
        <is>
          <t>CAPITAL BUDGET #</t>
        </is>
      </c>
      <c r="B6" s="594">
        <f>IF(ISBLANK(F4), "", F4)</f>
        <v/>
      </c>
      <c r="C6" s="165" t="inlineStr">
        <is>
          <t>Planning Guide #</t>
        </is>
      </c>
      <c r="D6" s="163" t="n"/>
      <c r="F6" s="166" t="n"/>
      <c r="G6" s="167" t="n"/>
    </row>
    <row r="7" ht="13.5" customHeight="1" s="955" thickBot="1">
      <c r="A7" s="168" t="n"/>
      <c r="B7" s="985" t="n"/>
      <c r="C7" s="1132"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601">
        <f>LABOR!F49</f>
        <v/>
      </c>
      <c r="G8" s="602" t="n"/>
    </row>
    <row r="9">
      <c r="A9" s="173" t="n"/>
      <c r="B9" s="604" t="n"/>
      <c r="C9" s="174" t="inlineStr">
        <is>
          <t>New Aerial Fiber Cable Placement</t>
        </is>
      </c>
      <c r="D9" s="599">
        <f>SUM(LABOR!B162:B170,LABOR!B200)</f>
        <v/>
      </c>
      <c r="E9" s="173" t="inlineStr">
        <is>
          <t>Municipal</t>
        </is>
      </c>
      <c r="F9" s="603">
        <f>LABOR!F50</f>
        <v/>
      </c>
      <c r="G9" s="604" t="n"/>
    </row>
    <row r="10">
      <c r="A10" s="173" t="n"/>
      <c r="B10" s="604" t="n"/>
      <c r="C10" s="644" t="inlineStr">
        <is>
          <t>Total Overlash</t>
        </is>
      </c>
      <c r="D10" s="599">
        <f>SUM(LABOR!B176,LABOR!B201,LABOR!B205,LABOR!B206)</f>
        <v/>
      </c>
      <c r="E10" s="173" t="inlineStr">
        <is>
          <t>RR</t>
        </is>
      </c>
      <c r="F10" s="603">
        <f>LABOR!F51</f>
        <v/>
      </c>
      <c r="G10" s="604" t="n"/>
    </row>
    <row r="11">
      <c r="A11" s="173" t="inlineStr">
        <is>
          <t>Planned Completion</t>
        </is>
      </c>
      <c r="B11" s="629" t="n"/>
      <c r="C11" s="645" t="inlineStr">
        <is>
          <t>Total Underground (Eng-New Conduit Footage)</t>
        </is>
      </c>
      <c r="D11" s="600">
        <f>SUM('LABOR SPAN SHEET'!AD2)</f>
        <v/>
      </c>
      <c r="E11" s="173" t="inlineStr">
        <is>
          <t>Easement</t>
        </is>
      </c>
      <c r="F11" s="603">
        <f>TOTALS!C27</f>
        <v/>
      </c>
      <c r="G11" s="604" t="n"/>
    </row>
    <row r="12">
      <c r="A12" s="175" t="inlineStr">
        <is>
          <t>HLE</t>
        </is>
      </c>
      <c r="B12" s="908" t="n"/>
      <c r="C12" s="174" t="inlineStr">
        <is>
          <t>Total Existing Conduit Footage</t>
        </is>
      </c>
      <c r="D12" s="600">
        <f>'LABOR SPAN SHEET'!AA2</f>
        <v/>
      </c>
      <c r="E12" s="173" t="inlineStr">
        <is>
          <t>Pole</t>
        </is>
      </c>
      <c r="F12" s="603">
        <f>LABOR!F52</f>
        <v/>
      </c>
      <c r="G12" s="604" t="n"/>
    </row>
    <row r="13">
      <c r="A13" s="175" t="inlineStr">
        <is>
          <t>Detailed</t>
        </is>
      </c>
      <c r="B13" s="485" t="n"/>
      <c r="C13" s="646" t="inlineStr">
        <is>
          <t>Total Fiber (Eng-Fiber Footage)</t>
        </is>
      </c>
      <c r="D13" s="600">
        <f>SUM(MATERIAL!B31:B37,MATERIAL!B107:B113,MATERIAL!B175:B181)</f>
        <v/>
      </c>
      <c r="E13" s="173" t="inlineStr">
        <is>
          <t>Conduit</t>
        </is>
      </c>
      <c r="F13" s="603">
        <f>LABOR!F53</f>
        <v/>
      </c>
      <c r="G13" s="604" t="n"/>
    </row>
    <row r="14" ht="13.5" customHeight="1" s="955" thickBot="1">
      <c r="A14" s="175" t="inlineStr">
        <is>
          <t>Job Package</t>
        </is>
      </c>
      <c r="B14" s="485" t="n"/>
      <c r="C14" s="778" t="inlineStr">
        <is>
          <t>Total Fiber &amp; Conduit (Eng-Total Bld Footage</t>
        </is>
      </c>
      <c r="D14" s="779">
        <f>D8+D11+D12</f>
        <v/>
      </c>
      <c r="E14" s="173" t="inlineStr">
        <is>
          <t>Other</t>
        </is>
      </c>
      <c r="F14" s="605" t="n">
        <v>10000</v>
      </c>
      <c r="G14" s="604" t="n"/>
    </row>
    <row r="15" ht="13.5" customHeight="1" s="955" thickBot="1">
      <c r="A15" s="175" t="n"/>
      <c r="B15" s="485" t="n"/>
      <c r="C15" s="1133" t="inlineStr">
        <is>
          <t>Variance Approved Dates</t>
        </is>
      </c>
      <c r="D15" s="1134" t="n"/>
      <c r="E15" s="176" t="inlineStr">
        <is>
          <t>Traffic Control</t>
        </is>
      </c>
      <c r="F15" s="606">
        <f>TOTALS!C30</f>
        <v/>
      </c>
      <c r="G15" s="607" t="n"/>
    </row>
    <row r="16" ht="13.5" customHeight="1" s="955" thickBot="1">
      <c r="A16" s="177" t="n"/>
      <c r="B16" s="487" t="n"/>
      <c r="C16" s="173" t="inlineStr">
        <is>
          <t>HLE to Detailed Est</t>
        </is>
      </c>
      <c r="D16" s="642" t="n"/>
      <c r="E16" s="178" t="inlineStr">
        <is>
          <t>Engineering</t>
        </is>
      </c>
      <c r="F16" s="608">
        <f>SUM(TOTALS!C9:C12)</f>
        <v/>
      </c>
      <c r="G16" s="609" t="n"/>
    </row>
    <row r="17" ht="13.5" customHeight="1" s="955" thickBot="1">
      <c r="A17" s="179" t="inlineStr">
        <is>
          <t>Total OSP Cost (- Eng Vendor Cost)</t>
        </is>
      </c>
      <c r="B17" s="180">
        <f>TOTALS!C71-F16</f>
        <v/>
      </c>
      <c r="C17" s="477" t="inlineStr">
        <is>
          <t>Detailed Est to JP</t>
        </is>
      </c>
      <c r="D17" s="616" t="n"/>
      <c r="E17" s="181" t="inlineStr">
        <is>
          <t>Drafting</t>
        </is>
      </c>
      <c r="F17" s="610">
        <f>SUM(TOTALS!C14:C15)</f>
        <v/>
      </c>
      <c r="G17" s="611" t="n"/>
    </row>
    <row r="18" ht="13.5" customHeight="1" s="955" thickBot="1">
      <c r="A18" s="179" t="inlineStr">
        <is>
          <t>Total Including Equ.</t>
        </is>
      </c>
      <c r="B18" s="180">
        <f>B17+F21</f>
        <v/>
      </c>
      <c r="C18" s="478" t="n"/>
      <c r="D18" s="595" t="n"/>
      <c r="E18" s="181" t="inlineStr">
        <is>
          <t>Permitting</t>
        </is>
      </c>
      <c r="F18" s="610">
        <f>SUM(TOTALS!C17:C28)</f>
        <v/>
      </c>
      <c r="G18" s="611" t="n"/>
    </row>
    <row r="19" ht="13.5" customHeight="1" s="955" thickBot="1">
      <c r="A19" s="750" t="n"/>
      <c r="B19" s="751" t="n"/>
      <c r="C19" s="477" t="n"/>
      <c r="D19" s="917" t="n"/>
      <c r="E19" s="181" t="inlineStr">
        <is>
          <t>Construction</t>
        </is>
      </c>
      <c r="F19" s="610">
        <f>SUM(TOTALS!C32,TOTALS!C35,TOTALS!C37,TOTALS!C40:C41,TOTALS!C44:C45,TOTALS!C48,TOTALS!C52,TOTALS!C64,TOTALS!C66)</f>
        <v/>
      </c>
      <c r="G19" s="611" t="n"/>
    </row>
    <row r="20" ht="13.5" customHeight="1" s="955" thickBot="1">
      <c r="A20" s="914" t="inlineStr">
        <is>
          <t>ON NET</t>
        </is>
      </c>
      <c r="B20" s="915" t="inlineStr">
        <is>
          <t>QTY</t>
        </is>
      </c>
      <c r="C20" s="914" t="inlineStr">
        <is>
          <t xml:space="preserve">NEAR NET </t>
        </is>
      </c>
      <c r="D20" s="915" t="inlineStr">
        <is>
          <t>QTY</t>
        </is>
      </c>
      <c r="E20" s="916" t="inlineStr">
        <is>
          <t>Splicing</t>
        </is>
      </c>
      <c r="F20" s="612">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612">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612">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612" t="n"/>
      <c r="G23" s="613" t="n"/>
    </row>
    <row r="24" ht="13.5" customHeight="1" s="955" thickBot="1">
      <c r="A24" s="842" t="inlineStr">
        <is>
          <t xml:space="preserve">   Vacant Lots-ON</t>
        </is>
      </c>
      <c r="B24" s="922">
        <f>COUNTIFS('House Count'!F:F, "VL",'House Count'!H:H,"Y")</f>
        <v/>
      </c>
      <c r="C24" s="842" t="inlineStr">
        <is>
          <t xml:space="preserve">   Vacant Lots-NN</t>
        </is>
      </c>
      <c r="D24" s="922">
        <f>COUNTIFS('House Count'!F:F, "VL",'House Count'!H:H,"N")</f>
        <v/>
      </c>
      <c r="E24" s="916" t="n"/>
      <c r="F24" s="612" t="n"/>
      <c r="G24" s="613" t="n"/>
    </row>
    <row r="25" ht="13.5" customHeight="1" s="955" thickBot="1">
      <c r="A25" s="914" t="inlineStr">
        <is>
          <t>TOTAL ON NET:</t>
        </is>
      </c>
      <c r="B25" s="915">
        <f>SUM(B21:B24)</f>
        <v/>
      </c>
      <c r="C25" s="914" t="inlineStr">
        <is>
          <t>TOTAL NEAR NET:</t>
        </is>
      </c>
      <c r="D25" s="915">
        <f>SUM(D21:D24)</f>
        <v/>
      </c>
      <c r="E25" s="916" t="n"/>
      <c r="F25" s="612" t="n"/>
      <c r="G25" s="613" t="n"/>
    </row>
    <row r="26" ht="13.5" customHeight="1" s="955" thickBot="1">
      <c r="A26" s="918" t="n"/>
      <c r="B26" s="919" t="n"/>
      <c r="C26" s="912" t="n"/>
      <c r="D26" s="920" t="n"/>
      <c r="E26" s="596" t="n"/>
      <c r="F26" s="614" t="n"/>
      <c r="G26" s="615" t="n"/>
    </row>
    <row r="27" ht="13.5" customHeight="1" s="955" thickBot="1">
      <c r="A27" s="994" t="inlineStr">
        <is>
          <t>LIST OF PERMITS - EASEMENTS - IRU SPLICING NEEDED</t>
        </is>
      </c>
      <c r="B27" s="1132" t="n"/>
      <c r="C27" s="1132" t="n"/>
      <c r="D27" s="1132" t="n"/>
      <c r="E27" s="168" t="n"/>
      <c r="F27" s="166" t="n"/>
      <c r="G27" s="167" t="n"/>
    </row>
    <row r="28" ht="13.5" customHeight="1" s="955" thickBot="1">
      <c r="A28" s="597" t="inlineStr">
        <is>
          <t>NAME</t>
        </is>
      </c>
      <c r="B28" s="597" t="inlineStr">
        <is>
          <t>DESCRIPTION</t>
        </is>
      </c>
      <c r="C28" s="1135" t="n"/>
      <c r="D28" s="1134" t="n"/>
      <c r="E28" s="597" t="inlineStr">
        <is>
          <t>DUE</t>
        </is>
      </c>
      <c r="F28" s="597" t="inlineStr">
        <is>
          <t>SENT</t>
        </is>
      </c>
      <c r="G28" s="597" t="inlineStr">
        <is>
          <t>APPROVED</t>
        </is>
      </c>
    </row>
    <row r="29">
      <c r="A29" s="619" t="n"/>
      <c r="B29" s="1136" t="n"/>
      <c r="C29" s="1137" t="n"/>
      <c r="D29" s="1138" t="n"/>
      <c r="E29" s="620" t="n"/>
      <c r="F29" s="620" t="n"/>
      <c r="G29" s="621" t="n"/>
    </row>
    <row r="30">
      <c r="A30" s="622" t="n"/>
      <c r="B30" s="1139" t="n"/>
      <c r="C30" s="1140" t="n"/>
      <c r="D30" s="1141" t="n"/>
      <c r="E30" s="623" t="n"/>
      <c r="F30" s="623" t="n"/>
      <c r="G30" s="624" t="n"/>
    </row>
    <row r="31">
      <c r="A31" s="622" t="n"/>
      <c r="B31" s="981" t="n"/>
      <c r="C31" s="1140" t="n"/>
      <c r="D31" s="1141" t="n"/>
      <c r="E31" s="623" t="n"/>
      <c r="F31" s="623" t="n"/>
      <c r="G31" s="624" t="n"/>
    </row>
    <row r="32">
      <c r="A32" s="622" t="n"/>
      <c r="B32" s="981" t="n"/>
      <c r="C32" s="1140" t="n"/>
      <c r="D32" s="1141" t="n"/>
      <c r="E32" s="623" t="n"/>
      <c r="F32" s="623" t="n"/>
      <c r="G32" s="624" t="n"/>
    </row>
    <row r="33">
      <c r="A33" s="622" t="n"/>
      <c r="B33" s="982" t="n"/>
      <c r="C33" s="1140" t="n"/>
      <c r="D33" s="1141" t="n"/>
      <c r="E33" s="623" t="n"/>
      <c r="F33" s="623" t="n"/>
      <c r="G33" s="624" t="n"/>
    </row>
    <row r="34">
      <c r="A34" s="622" t="n"/>
      <c r="B34" s="981" t="n"/>
      <c r="C34" s="1140" t="n"/>
      <c r="D34" s="1141" t="n"/>
      <c r="E34" s="623" t="n"/>
      <c r="F34" s="623" t="n"/>
      <c r="G34" s="624" t="n"/>
    </row>
    <row r="35">
      <c r="A35" s="622" t="n"/>
      <c r="B35" s="981" t="n"/>
      <c r="C35" s="1140" t="n"/>
      <c r="D35" s="1141" t="n"/>
      <c r="E35" s="623" t="n"/>
      <c r="F35" s="623" t="n"/>
      <c r="G35" s="624" t="n"/>
    </row>
    <row r="36">
      <c r="A36" s="622" t="n"/>
      <c r="B36" s="981" t="n"/>
      <c r="C36" s="1140" t="n"/>
      <c r="D36" s="1141" t="n"/>
      <c r="E36" s="623" t="n"/>
      <c r="F36" s="623" t="n"/>
      <c r="G36" s="624" t="n"/>
    </row>
    <row r="37" ht="13.5" customHeight="1" s="955" thickBot="1">
      <c r="A37" s="625" t="n"/>
      <c r="B37" s="1009" t="n"/>
      <c r="C37" s="1142" t="n"/>
      <c r="D37" s="1143" t="n"/>
      <c r="E37" s="626" t="n"/>
      <c r="F37" s="626" t="n"/>
      <c r="G37" s="627" t="n"/>
    </row>
    <row r="38" ht="13.5" customHeight="1" s="955" thickBot="1">
      <c r="A38" s="1144" t="inlineStr">
        <is>
          <t>COMMENTS</t>
        </is>
      </c>
      <c r="G38" s="1145" t="n"/>
    </row>
    <row r="39">
      <c r="A39" s="631" t="n"/>
      <c r="B39" s="1135" t="n"/>
      <c r="C39" s="1135" t="n"/>
      <c r="D39" s="1135" t="n"/>
      <c r="E39" s="1135" t="n"/>
      <c r="F39" s="1135" t="n"/>
      <c r="G39" s="1134" t="n"/>
    </row>
    <row r="40">
      <c r="A40" s="1146" t="n"/>
      <c r="G40" s="1145" t="n"/>
    </row>
    <row r="41">
      <c r="A41" s="1146" t="n"/>
      <c r="G41" s="1145" t="n"/>
    </row>
    <row r="42">
      <c r="A42" s="1146" t="n"/>
      <c r="G42" s="1145" t="n"/>
    </row>
    <row r="43">
      <c r="A43" s="1146" t="n"/>
      <c r="G43" s="1145" t="n"/>
    </row>
    <row r="44" ht="13.5" customHeight="1" s="955" thickBot="1">
      <c r="A44" s="1147" t="n"/>
      <c r="B44" s="1132" t="n"/>
      <c r="C44" s="1132" t="n"/>
      <c r="D44" s="1132" t="n"/>
      <c r="E44" s="1132" t="n"/>
      <c r="F44" s="1132" t="n"/>
      <c r="G44" s="1148" t="n"/>
    </row>
    <row r="45" ht="15" customHeight="1" s="955" thickBot="1">
      <c r="A45" s="182" t="inlineStr">
        <is>
          <t>*** BELOW IS FOR ADMIN USE ONLY***</t>
        </is>
      </c>
      <c r="B45" s="1124" t="n"/>
      <c r="C45" s="1124" t="n"/>
      <c r="D45" s="1124" t="n"/>
      <c r="E45" s="1124" t="n"/>
      <c r="F45" s="1124" t="n"/>
      <c r="G45" s="1125" t="n"/>
    </row>
    <row r="46" ht="13.5" customHeight="1" s="955" thickBot="1">
      <c r="A46" s="182" t="inlineStr">
        <is>
          <t>JP Approval Date:</t>
        </is>
      </c>
      <c r="B46" s="630" t="n"/>
      <c r="C46" s="182" t="inlineStr">
        <is>
          <t>Approved By:</t>
        </is>
      </c>
      <c r="D46" s="182" t="n"/>
      <c r="E46" s="1149" t="inlineStr">
        <is>
          <t>Date sent to Construction:</t>
        </is>
      </c>
      <c r="F46" s="1125" t="n"/>
      <c r="G46" s="630" t="n"/>
    </row>
    <row r="47" ht="15" customHeight="1" s="955" thickBot="1">
      <c r="A47" s="182" t="inlineStr">
        <is>
          <t>Construction Complete:</t>
        </is>
      </c>
      <c r="B47" s="1125" t="n"/>
      <c r="C47" s="631" t="n"/>
      <c r="D47" s="182" t="inlineStr">
        <is>
          <t>Miss Utility Polygon:</t>
        </is>
      </c>
      <c r="E47" s="1125" t="n"/>
      <c r="F47" s="632" t="n"/>
      <c r="G47" s="633" t="n"/>
    </row>
    <row r="48" ht="13.5" customHeight="1" s="955"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N28" sqref="N28"/>
    </sheetView>
  </sheetViews>
  <sheetFormatPr baseColWidth="8" defaultRowHeight="15"/>
  <sheetData>
    <row r="1">
      <c r="A1" t="inlineStr">
        <is>
          <t>PASTE LOCATION MAP HERE</t>
        </is>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5" activePane="bottomLeft" state="frozen"/>
      <selection pane="bottomLeft" activeCell="B312" sqref="B312"/>
    </sheetView>
  </sheetViews>
  <sheetFormatPr baseColWidth="8" defaultColWidth="8.85546875" defaultRowHeight="12.75" outlineLevelRow="1"/>
  <cols>
    <col width="15.85546875" customWidth="1" style="184" min="1" max="1"/>
    <col width="12.42578125" bestFit="1" customWidth="1" style="473" min="2" max="2"/>
    <col width="9.42578125" customWidth="1" style="306" min="3" max="3"/>
    <col width="10" customWidth="1" style="306" min="4" max="4"/>
    <col width="26.140625" bestFit="1" customWidth="1" style="474" min="5" max="5"/>
    <col width="101.85546875" customWidth="1" style="184" min="6" max="6"/>
    <col width="13.42578125" bestFit="1" customWidth="1" style="475" min="7" max="7"/>
    <col width="11" bestFit="1" customWidth="1" style="184" min="8" max="8"/>
    <col width="8.85546875" customWidth="1" style="184" min="9" max="9"/>
    <col width="21.5703125" bestFit="1" customWidth="1" style="498" min="10" max="10"/>
    <col width="8.85546875" customWidth="1" style="555" min="11" max="11"/>
    <col width="8.85546875" customWidth="1" style="184" min="12" max="16384"/>
  </cols>
  <sheetData>
    <row r="1">
      <c r="A1" s="1015" t="inlineStr">
        <is>
          <t>CUSTOMER NAME</t>
        </is>
      </c>
      <c r="C1" s="1016">
        <f>'COVER SHEET'!B2</f>
        <v/>
      </c>
      <c r="D1" s="1150" t="n"/>
      <c r="E1" s="1150" t="n"/>
      <c r="F1" s="1151" t="n"/>
      <c r="G1" s="288" t="inlineStr">
        <is>
          <t>Tax</t>
        </is>
      </c>
      <c r="H1" s="289" t="n">
        <v>0.05</v>
      </c>
    </row>
    <row r="2">
      <c r="A2" s="1015" t="inlineStr">
        <is>
          <t>ENGINEER</t>
        </is>
      </c>
      <c r="C2" s="1016">
        <f>'COVER SHEET'!F2</f>
        <v/>
      </c>
      <c r="D2" s="1150" t="n"/>
      <c r="E2" s="1150" t="n"/>
      <c r="F2" s="1151" t="n"/>
      <c r="G2" s="288" t="inlineStr">
        <is>
          <t>Provisioning</t>
        </is>
      </c>
      <c r="H2" s="289" t="n">
        <v>0.1</v>
      </c>
    </row>
    <row r="3">
      <c r="A3" s="1015" t="inlineStr">
        <is>
          <t>Project #</t>
        </is>
      </c>
      <c r="C3" s="1016">
        <f>IF(ISBLANK('COVER SHEET'!F4),"",'COVER SHEET'!F4)</f>
        <v/>
      </c>
      <c r="D3" s="1150" t="n"/>
      <c r="E3" s="1150" t="n"/>
      <c r="F3" s="1151" t="n"/>
      <c r="G3" s="1014" t="n"/>
      <c r="H3" s="1151" t="n"/>
    </row>
    <row r="4" ht="26.25" customHeight="1" s="955"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3.5" customHeight="1" s="955" thickBot="1">
      <c r="A5" s="295" t="n"/>
      <c r="B5" s="482" t="n"/>
      <c r="C5" s="296" t="n"/>
      <c r="D5" s="296" t="n"/>
      <c r="E5" s="297" t="n"/>
      <c r="F5" s="298" t="inlineStr">
        <is>
          <t>POLE MATERIAL</t>
        </is>
      </c>
      <c r="G5" s="299" t="n"/>
      <c r="H5" s="300" t="n"/>
    </row>
    <row r="6" hidden="1" outlineLevel="1" s="955">
      <c r="A6" s="301" t="inlineStr">
        <is>
          <t>O.POLES</t>
        </is>
      </c>
      <c r="B6" s="302" t="n"/>
      <c r="C6" s="303" t="n"/>
      <c r="D6" s="303" t="n"/>
      <c r="E6" s="648" t="inlineStr">
        <is>
          <t>POLE30C3</t>
        </is>
      </c>
      <c r="F6" s="304" t="inlineStr">
        <is>
          <t>Pole 30' CL3</t>
        </is>
      </c>
      <c r="G6" s="649" t="n">
        <v>265.72</v>
      </c>
      <c r="H6" s="305">
        <f>B6*G6</f>
        <v/>
      </c>
      <c r="I6" s="306" t="n"/>
    </row>
    <row r="7" hidden="1" outlineLevel="1" s="955">
      <c r="A7" s="307" t="inlineStr">
        <is>
          <t>O.POLES</t>
        </is>
      </c>
      <c r="B7" s="308" t="n"/>
      <c r="C7" s="309" t="n"/>
      <c r="D7" s="309" t="n"/>
      <c r="E7" s="650" t="inlineStr">
        <is>
          <t>POLE30C4</t>
        </is>
      </c>
      <c r="F7" s="310" t="inlineStr">
        <is>
          <t>Pole 30  CL4</t>
        </is>
      </c>
      <c r="G7" s="651" t="n">
        <v>221.98</v>
      </c>
      <c r="H7" s="312">
        <f>G7*B7</f>
        <v/>
      </c>
    </row>
    <row r="8" hidden="1" outlineLevel="1" s="955">
      <c r="A8" s="307" t="inlineStr">
        <is>
          <t>O.POLES</t>
        </is>
      </c>
      <c r="B8" s="308" t="n"/>
      <c r="C8" s="309" t="n"/>
      <c r="D8" s="309" t="n"/>
      <c r="E8" s="650" t="inlineStr">
        <is>
          <t>POLE30C5</t>
        </is>
      </c>
      <c r="F8" s="310" t="inlineStr">
        <is>
          <t>Pole 30  CL5</t>
        </is>
      </c>
      <c r="G8" s="651" t="n">
        <v>195.39</v>
      </c>
      <c r="H8" s="312">
        <f>B8*G8</f>
        <v/>
      </c>
      <c r="J8" s="499" t="n"/>
    </row>
    <row r="9" hidden="1" outlineLevel="1" s="955">
      <c r="A9" s="307" t="inlineStr">
        <is>
          <t>O.POLES</t>
        </is>
      </c>
      <c r="B9" s="308" t="n"/>
      <c r="C9" s="309" t="n"/>
      <c r="D9" s="309" t="n"/>
      <c r="E9" s="650" t="inlineStr">
        <is>
          <t>POLE35C4</t>
        </is>
      </c>
      <c r="F9" s="310" t="inlineStr">
        <is>
          <t>Pole 35 CL4</t>
        </is>
      </c>
      <c r="G9" s="651" t="n">
        <v>280.86</v>
      </c>
      <c r="H9" s="312">
        <f>B9*G9</f>
        <v/>
      </c>
    </row>
    <row r="10" hidden="1" outlineLevel="1" s="955">
      <c r="A10" s="307" t="inlineStr">
        <is>
          <t>O.POLES</t>
        </is>
      </c>
      <c r="B10" s="308" t="n"/>
      <c r="C10" s="309" t="n"/>
      <c r="D10" s="309" t="n"/>
      <c r="E10" s="650" t="inlineStr">
        <is>
          <t>POLE35C5</t>
        </is>
      </c>
      <c r="F10" s="310" t="inlineStr">
        <is>
          <t>Pole 35 CL5</t>
        </is>
      </c>
      <c r="G10" s="651" t="n">
        <v>235.85</v>
      </c>
      <c r="H10" s="312">
        <f>B10*G10</f>
        <v/>
      </c>
    </row>
    <row r="11" hidden="1" outlineLevel="1" s="955">
      <c r="A11" s="307" t="inlineStr">
        <is>
          <t>O.POLES</t>
        </is>
      </c>
      <c r="B11" s="308" t="n"/>
      <c r="C11" s="309" t="n"/>
      <c r="D11" s="309" t="n"/>
      <c r="E11" s="650" t="inlineStr">
        <is>
          <t>POLE40C2</t>
        </is>
      </c>
      <c r="F11" s="310" t="inlineStr">
        <is>
          <t>Pole 40' CL2</t>
        </is>
      </c>
      <c r="G11" s="651" t="n">
        <v>395</v>
      </c>
      <c r="H11" s="312">
        <f>B11*G11</f>
        <v/>
      </c>
    </row>
    <row r="12" hidden="1" outlineLevel="1" s="955">
      <c r="A12" s="307" t="inlineStr">
        <is>
          <t>O.POLES</t>
        </is>
      </c>
      <c r="B12" s="308" t="n"/>
      <c r="C12" s="309" t="n"/>
      <c r="D12" s="309" t="n"/>
      <c r="E12" s="650" t="inlineStr">
        <is>
          <t>POLE40C3</t>
        </is>
      </c>
      <c r="F12" s="310" t="inlineStr">
        <is>
          <t>Pole 40 CL3</t>
        </is>
      </c>
      <c r="G12" s="651" t="n">
        <v>381.29</v>
      </c>
      <c r="H12" s="312">
        <f>B12*G12</f>
        <v/>
      </c>
    </row>
    <row r="13" hidden="1" outlineLevel="1" s="955">
      <c r="A13" s="307" t="inlineStr">
        <is>
          <t>O.POLES</t>
        </is>
      </c>
      <c r="B13" s="308" t="n"/>
      <c r="C13" s="309" t="n"/>
      <c r="D13" s="309" t="n"/>
      <c r="E13" s="650" t="inlineStr">
        <is>
          <t>POLE40C4</t>
        </is>
      </c>
      <c r="F13" s="310" t="inlineStr">
        <is>
          <t>Pole 40' CL4</t>
        </is>
      </c>
      <c r="G13" s="651" t="n">
        <v>325.97</v>
      </c>
      <c r="H13" s="312">
        <f>B13*G13</f>
        <v/>
      </c>
    </row>
    <row r="14" hidden="1" outlineLevel="1" s="955">
      <c r="A14" s="307" t="inlineStr">
        <is>
          <t>O.POLES</t>
        </is>
      </c>
      <c r="B14" s="308" t="n"/>
      <c r="C14" s="309" t="n"/>
      <c r="D14" s="309" t="n"/>
      <c r="E14" s="650" t="inlineStr">
        <is>
          <t>POLE40C5</t>
        </is>
      </c>
      <c r="F14" s="310" t="inlineStr">
        <is>
          <t>Pole 40' CL5</t>
        </is>
      </c>
      <c r="G14" s="651" t="n">
        <v>274.22</v>
      </c>
      <c r="H14" s="312">
        <f>B14*G14</f>
        <v/>
      </c>
    </row>
    <row r="15" hidden="1" outlineLevel="1" s="955">
      <c r="A15" s="307" t="inlineStr">
        <is>
          <t>O.POLES</t>
        </is>
      </c>
      <c r="B15" s="308" t="n"/>
      <c r="C15" s="309" t="n"/>
      <c r="D15" s="309" t="n"/>
      <c r="E15" s="652" t="inlineStr">
        <is>
          <t>POLE45C1</t>
        </is>
      </c>
      <c r="F15" s="310" t="inlineStr">
        <is>
          <t>Pole 45' CL1 Not stocked item, Contact Purchasing for Price/Availability</t>
        </is>
      </c>
      <c r="G15" s="311" t="n"/>
      <c r="H15" s="312">
        <f>B15*G15</f>
        <v/>
      </c>
    </row>
    <row r="16" hidden="1" outlineLevel="1" s="955">
      <c r="A16" s="307" t="inlineStr">
        <is>
          <t>O.POLES</t>
        </is>
      </c>
      <c r="B16" s="308" t="n"/>
      <c r="C16" s="309" t="n"/>
      <c r="D16" s="309" t="n"/>
      <c r="E16" s="652" t="inlineStr">
        <is>
          <t>POLE45C2</t>
        </is>
      </c>
      <c r="F16" s="310" t="inlineStr">
        <is>
          <t>Pole 45' CL2 Not stocked item, Contact Purchasing for Price/Availability</t>
        </is>
      </c>
      <c r="G16" s="311" t="n"/>
      <c r="H16" s="312">
        <f>B16*G16</f>
        <v/>
      </c>
    </row>
    <row r="17" hidden="1" outlineLevel="1" s="955">
      <c r="A17" s="307" t="inlineStr">
        <is>
          <t>O.POLES</t>
        </is>
      </c>
      <c r="B17" s="308" t="n"/>
      <c r="C17" s="309" t="n"/>
      <c r="D17" s="309" t="n"/>
      <c r="E17" s="650" t="inlineStr">
        <is>
          <t>POLE45C3</t>
        </is>
      </c>
      <c r="F17" s="310" t="inlineStr">
        <is>
          <t>Pole 45' CL3</t>
        </is>
      </c>
      <c r="G17" s="651" t="n">
        <v>480.52</v>
      </c>
      <c r="H17" s="312">
        <f>B17*G17</f>
        <v/>
      </c>
    </row>
    <row r="18" hidden="1" outlineLevel="1" s="955">
      <c r="A18" s="307" t="inlineStr">
        <is>
          <t>O.POLES</t>
        </is>
      </c>
      <c r="B18" s="308" t="n"/>
      <c r="C18" s="309" t="n"/>
      <c r="D18" s="309" t="n"/>
      <c r="E18" s="650" t="inlineStr">
        <is>
          <t>POLE45C4</t>
        </is>
      </c>
      <c r="F18" s="310" t="inlineStr">
        <is>
          <t>Pole 45' CL4</t>
        </is>
      </c>
      <c r="G18" s="651" t="n">
        <v>325.97</v>
      </c>
      <c r="H18" s="312">
        <f>B18*G18</f>
        <v/>
      </c>
    </row>
    <row r="19" hidden="1" outlineLevel="1" s="955">
      <c r="A19" s="307" t="inlineStr">
        <is>
          <t>O.POLES</t>
        </is>
      </c>
      <c r="B19" s="308" t="n"/>
      <c r="C19" s="309" t="n"/>
      <c r="D19" s="309" t="n"/>
      <c r="E19" s="650" t="inlineStr">
        <is>
          <t>POLE50C2</t>
        </is>
      </c>
      <c r="F19" s="310" t="inlineStr">
        <is>
          <t xml:space="preserve">Pole 50' CL2 </t>
        </is>
      </c>
      <c r="G19" s="651" t="n">
        <v>624.08</v>
      </c>
      <c r="H19" s="312">
        <f>B19*G19</f>
        <v/>
      </c>
    </row>
    <row r="20" hidden="1" outlineLevel="1" s="955">
      <c r="A20" s="307" t="inlineStr">
        <is>
          <t>O.POLES</t>
        </is>
      </c>
      <c r="B20" s="308" t="n"/>
      <c r="C20" s="309" t="n"/>
      <c r="D20" s="309" t="n"/>
      <c r="E20" s="652" t="inlineStr">
        <is>
          <t>POLE55C1</t>
        </is>
      </c>
      <c r="F20" s="310" t="inlineStr">
        <is>
          <t>Pole 55' CL1 Not stocked item, Contact Purchasing for Price/Availability</t>
        </is>
      </c>
      <c r="G20" s="311" t="n"/>
      <c r="H20" s="312">
        <f>B20*G20</f>
        <v/>
      </c>
    </row>
    <row r="21" hidden="1" outlineLevel="1" s="955">
      <c r="A21" s="313" t="inlineStr">
        <is>
          <t>O.POLES</t>
        </is>
      </c>
      <c r="B21" s="314" t="n"/>
      <c r="C21" s="315" t="n"/>
      <c r="D21" s="315" t="n"/>
      <c r="E21" s="479" t="inlineStr">
        <is>
          <t>POLE55C2</t>
        </is>
      </c>
      <c r="F21" s="317" t="inlineStr">
        <is>
          <t>Pole  55' CL2</t>
        </is>
      </c>
      <c r="G21" s="653" t="n">
        <v>733.14</v>
      </c>
      <c r="H21" s="312">
        <f>B21*G21</f>
        <v/>
      </c>
    </row>
    <row r="22" hidden="1" outlineLevel="1" s="955">
      <c r="A22" s="313" t="inlineStr">
        <is>
          <t>MISC.</t>
        </is>
      </c>
      <c r="B22" s="314" t="n"/>
      <c r="C22" s="315" t="n"/>
      <c r="D22" s="315" t="n"/>
      <c r="E22" s="316" t="n"/>
      <c r="F22" s="317" t="n"/>
      <c r="G22" s="318" t="n"/>
      <c r="H22" s="312">
        <f>B22*G22</f>
        <v/>
      </c>
    </row>
    <row r="23" hidden="1" outlineLevel="1" s="955">
      <c r="A23" s="313" t="inlineStr">
        <is>
          <t>MISC.</t>
        </is>
      </c>
      <c r="B23" s="314" t="n"/>
      <c r="C23" s="315" t="n"/>
      <c r="D23" s="315" t="n"/>
      <c r="E23" s="316" t="n"/>
      <c r="F23" s="317" t="n"/>
      <c r="G23" s="318" t="n"/>
      <c r="H23" s="312">
        <f>B23*G23</f>
        <v/>
      </c>
    </row>
    <row r="24" hidden="1" outlineLevel="1" s="955">
      <c r="A24" s="313" t="inlineStr">
        <is>
          <t>MISC.</t>
        </is>
      </c>
      <c r="B24" s="314" t="n"/>
      <c r="C24" s="315" t="n"/>
      <c r="D24" s="315" t="n"/>
      <c r="E24" s="316" t="n"/>
      <c r="F24" s="317" t="n"/>
      <c r="G24" s="318" t="n"/>
      <c r="H24" s="312">
        <f>B24*G24</f>
        <v/>
      </c>
    </row>
    <row r="25" hidden="1" outlineLevel="1" ht="13.5" customHeight="1" s="955" thickBot="1">
      <c r="A25" s="313" t="inlineStr">
        <is>
          <t>MISC.</t>
        </is>
      </c>
      <c r="B25" s="314" t="n"/>
      <c r="C25" s="315" t="n"/>
      <c r="D25" s="315" t="n"/>
      <c r="E25" s="316" t="n"/>
      <c r="F25" s="317" t="n"/>
      <c r="G25" s="318" t="n"/>
      <c r="H25" s="312">
        <f>B25*G25</f>
        <v/>
      </c>
    </row>
    <row r="26" hidden="1" outlineLevel="1" ht="13.5" customHeight="1" s="955" thickBot="1">
      <c r="A26" s="319" t="n"/>
      <c r="B26" s="320" t="n"/>
      <c r="C26" s="321" t="n"/>
      <c r="D26" s="321" t="n"/>
      <c r="E26" s="322" t="n"/>
      <c r="F26" s="323" t="inlineStr">
        <is>
          <t>SUB-TOTAL - O.POLES</t>
        </is>
      </c>
      <c r="G26" s="324" t="n"/>
      <c r="H26" s="325">
        <f>SUM(H6:H25)</f>
        <v/>
      </c>
    </row>
    <row r="27" hidden="1" outlineLevel="1" ht="13.5" customHeight="1" s="955" thickBot="1">
      <c r="A27" s="319" t="n"/>
      <c r="B27" s="320" t="n"/>
      <c r="C27" s="321" t="n"/>
      <c r="D27" s="321" t="n"/>
      <c r="E27" s="322" t="n"/>
      <c r="F27" s="323" t="inlineStr">
        <is>
          <t>PROVISIONING - POLE MATERIAL</t>
        </is>
      </c>
      <c r="G27" s="324" t="n"/>
      <c r="H27" s="325">
        <f>H26*(H1+H2)</f>
        <v/>
      </c>
    </row>
    <row r="28" hidden="1" outlineLevel="1" ht="13.5" customHeight="1" s="955" thickBot="1">
      <c r="A28" s="319" t="n"/>
      <c r="B28" s="320" t="n"/>
      <c r="C28" s="321" t="n"/>
      <c r="D28" s="321" t="n"/>
      <c r="E28" s="322" t="n"/>
      <c r="F28" s="326" t="inlineStr">
        <is>
          <t>TOTAL - O.POLES</t>
        </is>
      </c>
      <c r="G28" s="327" t="n"/>
      <c r="H28" s="328">
        <f>H27+H26</f>
        <v/>
      </c>
    </row>
    <row r="29" collapsed="1" ht="13.5" customHeight="1" s="955" thickBot="1">
      <c r="A29" s="329" t="inlineStr">
        <is>
          <t>&lt;----Click the + to Expand or Collapse the "POLE MATERIAL" Section</t>
        </is>
      </c>
      <c r="B29" s="330" t="n"/>
      <c r="C29" s="331" t="n"/>
      <c r="D29" s="331" t="n"/>
      <c r="E29" s="332" t="n"/>
      <c r="F29" s="333" t="n"/>
      <c r="G29" s="334" t="n"/>
      <c r="H29" s="335" t="n"/>
    </row>
    <row r="30" ht="13.5" customHeight="1" s="955" thickBot="1">
      <c r="A30" s="336" t="n"/>
      <c r="B30" s="483" t="inlineStr">
        <is>
          <t>-</t>
        </is>
      </c>
      <c r="C30" s="337" t="n"/>
      <c r="D30" s="337" t="n"/>
      <c r="E30" s="338" t="n"/>
      <c r="F30" s="339" t="inlineStr">
        <is>
          <t>AERIAL FIBER ASSET MATERIAL</t>
        </is>
      </c>
      <c r="G30" s="340" t="n"/>
      <c r="H30" s="341" t="n"/>
    </row>
    <row r="31" hidden="1" outlineLevel="1" s="955">
      <c r="A31" s="342" t="inlineStr">
        <is>
          <t>O.FBR.AERL</t>
        </is>
      </c>
      <c r="B31" s="343" t="n"/>
      <c r="C31" s="344" t="n"/>
      <c r="D31" s="344" t="n"/>
      <c r="E31" s="345" t="inlineStr">
        <is>
          <t>FIBCOMFIG8</t>
        </is>
      </c>
      <c r="F31" s="346" t="inlineStr">
        <is>
          <t>FIBER - COMMSCOPE FIGURE 8 M-006-MN-8W-F06NS/25G/109 (RDF)</t>
        </is>
      </c>
      <c r="G31" s="494" t="n"/>
      <c r="H31" s="488">
        <f>B31*G31</f>
        <v/>
      </c>
    </row>
    <row r="32" hidden="1" outlineLevel="1" s="955">
      <c r="A32" s="342" t="inlineStr">
        <is>
          <t>O.FBR.AERL</t>
        </is>
      </c>
      <c r="B32" s="502">
        <f>'CABLE SHEET'!I3</f>
        <v/>
      </c>
      <c r="C32" s="344" t="n"/>
      <c r="D32" s="344" t="n"/>
      <c r="E32" s="353" t="inlineStr">
        <is>
          <t>FIBGEN48ARMR</t>
        </is>
      </c>
      <c r="F32" s="346" t="inlineStr">
        <is>
          <t>048 Loose Tube PN D-048-LA-8W-F12NS; 048ZUC-T4122D20; AT3CEH2YT-048</t>
        </is>
      </c>
      <c r="G32" s="641" t="n">
        <v>0.31</v>
      </c>
      <c r="H32" s="488">
        <f>B32*G32</f>
        <v/>
      </c>
      <c r="K32" s="556" t="n"/>
    </row>
    <row r="33" hidden="1" outlineLevel="1" s="955">
      <c r="A33" s="342" t="inlineStr">
        <is>
          <t>O.FBR.AERL</t>
        </is>
      </c>
      <c r="B33" s="502">
        <f>'CABLE SHEET'!I4</f>
        <v/>
      </c>
      <c r="C33" s="344" t="n"/>
      <c r="D33" s="344" t="n"/>
      <c r="E33" s="353" t="inlineStr">
        <is>
          <t>FIBGEN96ARMR</t>
        </is>
      </c>
      <c r="F33" s="346" t="inlineStr">
        <is>
          <t>096 Loose Tube PN D-096-LA-8W-F12NS; 096ZUC-T4122D20; AT3CEH2YT-096</t>
        </is>
      </c>
      <c r="G33" s="641" t="n">
        <v>0.62</v>
      </c>
      <c r="H33" s="488">
        <f>B33*G33</f>
        <v/>
      </c>
      <c r="K33" s="556" t="n"/>
    </row>
    <row r="34" hidden="1" outlineLevel="1" s="955">
      <c r="A34" s="342" t="inlineStr">
        <is>
          <t>O.FBR.AERL</t>
        </is>
      </c>
      <c r="B34" s="502">
        <f>'CABLE SHEET'!I5</f>
        <v/>
      </c>
      <c r="C34" s="344" t="n"/>
      <c r="D34" s="344" t="n"/>
      <c r="E34" s="353" t="inlineStr">
        <is>
          <t>FIBGEN144RIB</t>
        </is>
      </c>
      <c r="F34" s="636" t="inlineStr">
        <is>
          <t>144 Ribbon FIber PN 144EC5-14100D53</t>
        </is>
      </c>
      <c r="G34" s="641" t="n">
        <v>0.98</v>
      </c>
      <c r="H34" s="488">
        <f>B34*G34</f>
        <v/>
      </c>
      <c r="K34" s="556" t="n"/>
    </row>
    <row r="35" hidden="1" outlineLevel="1" s="955">
      <c r="A35" s="342" t="inlineStr">
        <is>
          <t>O.FBR.AERL</t>
        </is>
      </c>
      <c r="B35" s="343" t="n"/>
      <c r="C35" s="344" t="n"/>
      <c r="D35" s="344" t="n"/>
      <c r="E35" s="345" t="inlineStr">
        <is>
          <t>FIBOFS192LTARMR</t>
        </is>
      </c>
      <c r="F35" s="346" t="inlineStr">
        <is>
          <t>FIBER OFS AT3CEH2YT-192-FORTEX NON-DIELECTRIC LIGHT ARMOR</t>
        </is>
      </c>
      <c r="G35" s="494" t="n"/>
      <c r="H35" s="488">
        <f>B35*G35</f>
        <v/>
      </c>
      <c r="K35" s="556" t="n"/>
    </row>
    <row r="36" hidden="1" outlineLevel="1" s="955">
      <c r="A36" s="342" t="inlineStr">
        <is>
          <t>O.FBR.AERL</t>
        </is>
      </c>
      <c r="B36" s="502">
        <f>'CABLE SHEET'!I6</f>
        <v/>
      </c>
      <c r="C36" s="344" t="n"/>
      <c r="D36" s="344" t="n"/>
      <c r="E36" s="353" t="inlineStr">
        <is>
          <t>FIBGEN288RIB</t>
        </is>
      </c>
      <c r="F36" s="346" t="inlineStr">
        <is>
          <t>288 Ribbon FIber PN 288EV5-14100D53</t>
        </is>
      </c>
      <c r="G36" s="641" t="n">
        <v>1.55</v>
      </c>
      <c r="H36" s="488">
        <f>B36*G36</f>
        <v/>
      </c>
      <c r="K36" s="556" t="n"/>
    </row>
    <row r="37" hidden="1" outlineLevel="1" ht="13.5" customHeight="1" s="955"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488">
        <f>B37*G37</f>
        <v/>
      </c>
      <c r="K37" s="556" t="n"/>
    </row>
    <row r="38" hidden="1" outlineLevel="1" ht="13.5" customHeight="1" s="955" thickBot="1">
      <c r="A38" s="336" t="n"/>
      <c r="B38" s="356" t="n"/>
      <c r="C38" s="357" t="n"/>
      <c r="D38" s="357" t="n"/>
      <c r="E38" s="358" t="n"/>
      <c r="F38" s="359" t="inlineStr">
        <is>
          <t>AERIAL CABLE ASSET MATERIAL</t>
        </is>
      </c>
      <c r="G38" s="360" t="n"/>
      <c r="H38" s="490" t="n"/>
      <c r="K38" s="556" t="n"/>
    </row>
    <row r="39" hidden="1" outlineLevel="1" s="955">
      <c r="A39" s="342" t="inlineStr">
        <is>
          <t>O.FBR.AERL</t>
        </is>
      </c>
      <c r="B39" s="343" t="n"/>
      <c r="C39" s="344" t="n"/>
      <c r="D39" s="344" t="n"/>
      <c r="E39" s="345" t="inlineStr">
        <is>
          <t>CBLFS2522</t>
        </is>
      </c>
      <c r="F39" s="346" t="inlineStr">
        <is>
          <t>CABLE F.S. 25-22</t>
        </is>
      </c>
      <c r="G39" s="347" t="n"/>
      <c r="H39" s="488">
        <f>B39*G39</f>
        <v/>
      </c>
      <c r="K39" s="556" t="n"/>
    </row>
    <row r="40" hidden="1" outlineLevel="1" s="955">
      <c r="A40" s="342" t="inlineStr">
        <is>
          <t>O.FBR.AERL</t>
        </is>
      </c>
      <c r="B40" s="343" t="n"/>
      <c r="C40" s="344" t="n"/>
      <c r="D40" s="344" t="n"/>
      <c r="E40" s="345" t="inlineStr">
        <is>
          <t>CBLFSKIN10024</t>
        </is>
      </c>
      <c r="F40" s="346" t="inlineStr">
        <is>
          <t>CABLE FOAM SKIN 100-24</t>
        </is>
      </c>
      <c r="G40" s="347" t="n"/>
      <c r="H40" s="488">
        <f>B40*G40</f>
        <v/>
      </c>
      <c r="K40" s="556" t="n"/>
    </row>
    <row r="41" hidden="1" outlineLevel="1" s="955">
      <c r="A41" s="342" t="inlineStr">
        <is>
          <t>O.FBR.AERL</t>
        </is>
      </c>
      <c r="B41" s="343" t="n"/>
      <c r="C41" s="344" t="n"/>
      <c r="D41" s="344" t="n"/>
      <c r="E41" s="345" t="inlineStr">
        <is>
          <t>CBLFSKIN120024</t>
        </is>
      </c>
      <c r="F41" s="346" t="inlineStr">
        <is>
          <t>CABLE FOAM SKIN 1200-24</t>
        </is>
      </c>
      <c r="G41" s="347" t="n"/>
      <c r="H41" s="488">
        <f>B41*G41</f>
        <v/>
      </c>
      <c r="K41" s="556" t="n"/>
    </row>
    <row r="42" hidden="1" outlineLevel="1" s="955">
      <c r="A42" s="342" t="inlineStr">
        <is>
          <t>O.FBR.AERL</t>
        </is>
      </c>
      <c r="B42" s="343" t="n"/>
      <c r="C42" s="344" t="n"/>
      <c r="D42" s="344" t="n"/>
      <c r="E42" s="345" t="inlineStr">
        <is>
          <t>CBLFSKIN1224</t>
        </is>
      </c>
      <c r="F42" s="346" t="inlineStr">
        <is>
          <t>CABLE FOAM SKIN 12-24</t>
        </is>
      </c>
      <c r="G42" s="347" t="n"/>
      <c r="H42" s="488">
        <f>B42*G42</f>
        <v/>
      </c>
      <c r="K42" s="556" t="n"/>
    </row>
    <row r="43" hidden="1" outlineLevel="1" s="955">
      <c r="A43" s="342" t="inlineStr">
        <is>
          <t>O.FBR.AERL</t>
        </is>
      </c>
      <c r="B43" s="343" t="n"/>
      <c r="C43" s="344" t="n"/>
      <c r="D43" s="344" t="n"/>
      <c r="E43" s="345" t="inlineStr">
        <is>
          <t>CBLFSKIN180024</t>
        </is>
      </c>
      <c r="F43" s="346" t="inlineStr">
        <is>
          <t>CABLE FOAM SKIN 1800-24</t>
        </is>
      </c>
      <c r="G43" s="347" t="n"/>
      <c r="H43" s="488">
        <f>B43*G43</f>
        <v/>
      </c>
      <c r="K43" s="556" t="n"/>
    </row>
    <row r="44" hidden="1" outlineLevel="1" s="955">
      <c r="A44" s="342" t="inlineStr">
        <is>
          <t>O.FBR.AERL</t>
        </is>
      </c>
      <c r="B44" s="343" t="n"/>
      <c r="C44" s="344" t="n"/>
      <c r="D44" s="344" t="n"/>
      <c r="E44" s="345" t="inlineStr">
        <is>
          <t>CBLFSKIN20024</t>
        </is>
      </c>
      <c r="F44" s="346" t="inlineStr">
        <is>
          <t>CABLE FOAM SKIN 200-24</t>
        </is>
      </c>
      <c r="G44" s="347" t="n"/>
      <c r="H44" s="488">
        <f>B44*G44</f>
        <v/>
      </c>
      <c r="K44" s="556" t="n"/>
    </row>
    <row r="45" hidden="1" outlineLevel="1" s="955">
      <c r="A45" s="342" t="inlineStr">
        <is>
          <t>O.FBR.AERL</t>
        </is>
      </c>
      <c r="B45" s="343" t="n"/>
      <c r="C45" s="344" t="n"/>
      <c r="D45" s="344" t="n"/>
      <c r="E45" s="345" t="inlineStr">
        <is>
          <t>CBLFSKIN2524</t>
        </is>
      </c>
      <c r="F45" s="346" t="inlineStr">
        <is>
          <t>CABLE FOAM SKIN 25-24</t>
        </is>
      </c>
      <c r="G45" s="347" t="n"/>
      <c r="H45" s="488">
        <f>B45*G45</f>
        <v/>
      </c>
      <c r="K45" s="556" t="n"/>
    </row>
    <row r="46" hidden="1" outlineLevel="1" s="955">
      <c r="A46" s="342" t="inlineStr">
        <is>
          <t>O.FBR.AERL</t>
        </is>
      </c>
      <c r="B46" s="343" t="n"/>
      <c r="C46" s="344" t="n"/>
      <c r="D46" s="344" t="n"/>
      <c r="E46" s="345" t="inlineStr">
        <is>
          <t>CBLFSKIN30024</t>
        </is>
      </c>
      <c r="F46" s="346" t="inlineStr">
        <is>
          <t>CABLE FOAM SKIN 300-24</t>
        </is>
      </c>
      <c r="G46" s="347" t="n"/>
      <c r="H46" s="488">
        <f>B46*G46</f>
        <v/>
      </c>
      <c r="K46" s="556" t="n"/>
    </row>
    <row r="47" hidden="1" outlineLevel="1" s="955">
      <c r="A47" s="342" t="inlineStr">
        <is>
          <t>O.FBR.AERL</t>
        </is>
      </c>
      <c r="B47" s="343" t="n"/>
      <c r="C47" s="344" t="n"/>
      <c r="D47" s="344" t="n"/>
      <c r="E47" s="345" t="inlineStr">
        <is>
          <t>CBLFSKIN40024</t>
        </is>
      </c>
      <c r="F47" s="346" t="inlineStr">
        <is>
          <t>CABLE FOAM SKIN 400-24</t>
        </is>
      </c>
      <c r="G47" s="347" t="n"/>
      <c r="H47" s="488">
        <f>B47*G47</f>
        <v/>
      </c>
      <c r="K47" s="556" t="n"/>
    </row>
    <row r="48" hidden="1" outlineLevel="1" s="955">
      <c r="A48" s="342" t="inlineStr">
        <is>
          <t>O.FBR.AERL</t>
        </is>
      </c>
      <c r="B48" s="343" t="n"/>
      <c r="C48" s="344" t="n"/>
      <c r="D48" s="344" t="n"/>
      <c r="E48" s="345" t="inlineStr">
        <is>
          <t>CBLFSKIN5022</t>
        </is>
      </c>
      <c r="F48" s="346" t="inlineStr">
        <is>
          <t>CABLE FOAM SKIN 50-22</t>
        </is>
      </c>
      <c r="G48" s="347" t="n"/>
      <c r="H48" s="488">
        <f>B48*G48</f>
        <v/>
      </c>
      <c r="K48" s="556" t="n"/>
    </row>
    <row r="49" hidden="1" outlineLevel="1" s="955">
      <c r="A49" s="342" t="inlineStr">
        <is>
          <t>O.FBR.AERL</t>
        </is>
      </c>
      <c r="B49" s="343" t="n"/>
      <c r="C49" s="344" t="n"/>
      <c r="D49" s="344" t="n"/>
      <c r="E49" s="345" t="inlineStr">
        <is>
          <t>CBLFSKIN5024</t>
        </is>
      </c>
      <c r="F49" s="346" t="inlineStr">
        <is>
          <t>CABLE FOAM SKIN 50-24</t>
        </is>
      </c>
      <c r="G49" s="347" t="n"/>
      <c r="H49" s="488">
        <f>B49*G49</f>
        <v/>
      </c>
      <c r="K49" s="556" t="n"/>
    </row>
    <row r="50" hidden="1" outlineLevel="1" s="955">
      <c r="A50" s="342" t="inlineStr">
        <is>
          <t>O.FBR.AERL</t>
        </is>
      </c>
      <c r="B50" s="343" t="n"/>
      <c r="C50" s="344" t="n"/>
      <c r="D50" s="344" t="n"/>
      <c r="E50" s="345" t="inlineStr">
        <is>
          <t>CBLFSKIN60024</t>
        </is>
      </c>
      <c r="F50" s="346" t="inlineStr">
        <is>
          <t>CABLE FOAM SKIN 600-24</t>
        </is>
      </c>
      <c r="G50" s="347" t="n"/>
      <c r="H50" s="488">
        <f>B50*G50</f>
        <v/>
      </c>
      <c r="K50" s="556" t="n"/>
    </row>
    <row r="51" hidden="1" outlineLevel="1" s="955">
      <c r="A51" s="342" t="inlineStr">
        <is>
          <t>O.FBR.AERL</t>
        </is>
      </c>
      <c r="B51" s="343" t="n"/>
      <c r="C51" s="344" t="n"/>
      <c r="D51" s="344" t="n"/>
      <c r="E51" s="345" t="inlineStr">
        <is>
          <t>CBLFSKIN622</t>
        </is>
      </c>
      <c r="F51" s="346" t="inlineStr">
        <is>
          <t>CABLE FOAM SKIN 6-22</t>
        </is>
      </c>
      <c r="G51" s="347" t="n"/>
      <c r="H51" s="488">
        <f>B51*G51</f>
        <v/>
      </c>
      <c r="K51" s="556" t="n"/>
    </row>
    <row r="52" hidden="1" outlineLevel="1" s="955">
      <c r="A52" s="342" t="inlineStr">
        <is>
          <t>O.FBR.AERL</t>
        </is>
      </c>
      <c r="B52" s="343" t="n"/>
      <c r="C52" s="344" t="n"/>
      <c r="D52" s="344" t="n"/>
      <c r="E52" s="345" t="inlineStr">
        <is>
          <t>CBLFSKIN624</t>
        </is>
      </c>
      <c r="F52" s="346" t="inlineStr">
        <is>
          <t>CABLE FOAM SKIN 6-24</t>
        </is>
      </c>
      <c r="G52" s="347" t="n"/>
      <c r="H52" s="488">
        <f>B52*G52</f>
        <v/>
      </c>
      <c r="K52" s="556" t="n"/>
    </row>
    <row r="53" hidden="1" outlineLevel="1" s="955">
      <c r="A53" s="342" t="inlineStr">
        <is>
          <t>O.FBR.AERL</t>
        </is>
      </c>
      <c r="B53" s="343" t="n"/>
      <c r="C53" s="344" t="n"/>
      <c r="D53" s="344" t="n"/>
      <c r="E53" s="345" t="inlineStr">
        <is>
          <t>CBLFSKIN90024</t>
        </is>
      </c>
      <c r="F53" s="346" t="inlineStr">
        <is>
          <t>CABLE FOAM SKIN 900-24</t>
        </is>
      </c>
      <c r="G53" s="347" t="n"/>
      <c r="H53" s="488">
        <f>B53*G53</f>
        <v/>
      </c>
      <c r="K53" s="556" t="n"/>
    </row>
    <row r="54" hidden="1" outlineLevel="1" s="955">
      <c r="A54" s="342" t="inlineStr">
        <is>
          <t>O.FBR.AERL</t>
        </is>
      </c>
      <c r="B54" s="343" t="n"/>
      <c r="C54" s="344" t="n"/>
      <c r="D54" s="344" t="n"/>
      <c r="E54" s="345" t="inlineStr">
        <is>
          <t>CBLRDW622</t>
        </is>
      </c>
      <c r="F54" s="346" t="inlineStr">
        <is>
          <t>RDW 6-22   #10-006-17 IMRDW 109 MESSENGER FIG 8</t>
        </is>
      </c>
      <c r="G54" s="347" t="n"/>
      <c r="H54" s="488">
        <f>B54*G54</f>
        <v/>
      </c>
      <c r="K54" s="556" t="n"/>
    </row>
    <row r="55" hidden="1" outlineLevel="1" s="955">
      <c r="A55" s="342" t="inlineStr">
        <is>
          <t>O.FBR.AERL</t>
        </is>
      </c>
      <c r="B55" s="343" t="n"/>
      <c r="C55" s="344" t="n"/>
      <c r="D55" s="344" t="n"/>
      <c r="E55" s="345" t="inlineStr">
        <is>
          <t>CCTSPLCASE4X25</t>
        </is>
      </c>
      <c r="F55" s="346" t="inlineStr">
        <is>
          <t>CASE SPL 4X25 8000624 W/BOND</t>
        </is>
      </c>
      <c r="G55" s="347" t="n"/>
      <c r="H55" s="488">
        <f>B55*G55</f>
        <v/>
      </c>
      <c r="K55" s="556" t="n"/>
    </row>
    <row r="56" hidden="1" outlineLevel="1" s="955">
      <c r="A56" s="342" t="inlineStr">
        <is>
          <t>O.FBR.AERL</t>
        </is>
      </c>
      <c r="B56" s="343" t="n"/>
      <c r="C56" s="344" t="n"/>
      <c r="D56" s="344" t="n"/>
      <c r="E56" s="345" t="inlineStr">
        <is>
          <t>CCTSPLCASE65X28</t>
        </is>
      </c>
      <c r="F56" s="346" t="inlineStr">
        <is>
          <t>CASE SPL 6.5X28 8000626 W/BOND</t>
        </is>
      </c>
      <c r="G56" s="347" t="n"/>
      <c r="H56" s="488">
        <f>B56*G56</f>
        <v/>
      </c>
      <c r="K56" s="556" t="n"/>
    </row>
    <row r="57" hidden="1" outlineLevel="1" s="955">
      <c r="A57" s="342" t="inlineStr">
        <is>
          <t>O.FBR.AERL</t>
        </is>
      </c>
      <c r="B57" s="343" t="n"/>
      <c r="C57" s="344" t="n"/>
      <c r="D57" s="344" t="n"/>
      <c r="E57" s="345" t="inlineStr">
        <is>
          <t>CCTSPLCASE65X38</t>
        </is>
      </c>
      <c r="F57" s="346" t="inlineStr">
        <is>
          <t>CASE SPL 6.5X38 8000634 W/BOND</t>
        </is>
      </c>
      <c r="G57" s="347" t="n"/>
      <c r="H57" s="488">
        <f>B57*G57</f>
        <v/>
      </c>
      <c r="K57" s="556" t="n"/>
    </row>
    <row r="58" hidden="1" outlineLevel="1" s="955">
      <c r="A58" s="342" t="inlineStr">
        <is>
          <t>O.FBR.AERL</t>
        </is>
      </c>
      <c r="B58" s="343" t="n"/>
      <c r="C58" s="344" t="n"/>
      <c r="D58" s="344" t="n"/>
      <c r="E58" s="345" t="inlineStr">
        <is>
          <t>CCTSPLCASE95X28</t>
        </is>
      </c>
      <c r="F58" s="346" t="inlineStr">
        <is>
          <t>CASE SPL 9.5X28 8000630 W/BOND</t>
        </is>
      </c>
      <c r="G58" s="347" t="n"/>
      <c r="H58" s="488">
        <f>B58*G58</f>
        <v/>
      </c>
      <c r="K58" s="556" t="n"/>
    </row>
    <row r="59" hidden="1" outlineLevel="1" s="955">
      <c r="A59" s="342" t="inlineStr">
        <is>
          <t>O.FBR.AERL</t>
        </is>
      </c>
      <c r="B59" s="343" t="n"/>
      <c r="C59" s="344" t="n"/>
      <c r="D59" s="344" t="n"/>
      <c r="E59" s="345" t="inlineStr">
        <is>
          <t>CCTSPLCASE95X38</t>
        </is>
      </c>
      <c r="F59" s="346" t="inlineStr">
        <is>
          <t>CASE SPL 9.5X38 8000635 W/BOND</t>
        </is>
      </c>
      <c r="G59" s="347" t="n"/>
      <c r="H59" s="488">
        <f>B59*G59</f>
        <v/>
      </c>
      <c r="K59" s="556" t="n"/>
    </row>
    <row r="60" hidden="1" outlineLevel="1" s="955">
      <c r="A60" s="342" t="inlineStr">
        <is>
          <t>O.FBR.AERL</t>
        </is>
      </c>
      <c r="B60" s="343" t="n"/>
      <c r="C60" s="344" t="n"/>
      <c r="D60" s="344" t="n"/>
      <c r="E60" s="345" t="inlineStr">
        <is>
          <t>CCTSPLCASE95X45</t>
        </is>
      </c>
      <c r="F60" s="346" t="inlineStr">
        <is>
          <t>CASE SPL 9.5X45 8006176 W/BOND</t>
        </is>
      </c>
      <c r="G60" s="347" t="n"/>
      <c r="H60" s="488">
        <f>B60*G60</f>
        <v/>
      </c>
      <c r="K60" s="556" t="n"/>
    </row>
    <row r="61" hidden="1" outlineLevel="1" s="955">
      <c r="A61" s="342" t="inlineStr">
        <is>
          <t>O.FBR.AERL</t>
        </is>
      </c>
      <c r="B61" s="343" t="n"/>
      <c r="C61" s="344" t="n"/>
      <c r="D61" s="344" t="n"/>
      <c r="E61" s="345" t="inlineStr">
        <is>
          <t>CCTREDDI95X284</t>
        </is>
      </c>
      <c r="F61" s="346" t="inlineStr">
        <is>
          <t>CLOS REDDI 9.5X28.4 8006175&amp;74</t>
        </is>
      </c>
      <c r="G61" s="347" t="n"/>
      <c r="H61" s="488">
        <f>B61*G61</f>
        <v/>
      </c>
      <c r="K61" s="556" t="n"/>
    </row>
    <row r="62" hidden="1" outlineLevel="1" s="955">
      <c r="A62" s="342" t="inlineStr">
        <is>
          <t>O.FBR.AERL</t>
        </is>
      </c>
      <c r="B62" s="343" t="n"/>
      <c r="C62" s="344" t="n"/>
      <c r="D62" s="344" t="n"/>
      <c r="E62" s="345" t="inlineStr">
        <is>
          <t>CCTREDDI95X385</t>
        </is>
      </c>
      <c r="F62" s="346" t="inlineStr">
        <is>
          <t>CLOS REDDI 9.5X38.5 8006181</t>
        </is>
      </c>
      <c r="G62" s="347" t="n"/>
      <c r="H62" s="488">
        <f>B62*G62</f>
        <v/>
      </c>
      <c r="K62" s="556" t="n"/>
    </row>
    <row r="63" hidden="1" outlineLevel="1" s="955">
      <c r="A63" s="342" t="inlineStr">
        <is>
          <t>O.FBR.AERL</t>
        </is>
      </c>
      <c r="B63" s="343" t="n"/>
      <c r="C63" s="344" t="n"/>
      <c r="D63" s="344" t="n"/>
      <c r="E63" s="345" t="inlineStr">
        <is>
          <t>CCTCLSR2BB</t>
        </is>
      </c>
      <c r="F63" s="346" t="inlineStr">
        <is>
          <t>CLOSURE 2BB SC/DC</t>
        </is>
      </c>
      <c r="G63" s="347" t="n"/>
      <c r="H63" s="488">
        <f>B63*G63</f>
        <v/>
      </c>
      <c r="K63" s="556" t="n"/>
    </row>
    <row r="64" hidden="1" outlineLevel="1" s="955">
      <c r="A64" s="342" t="inlineStr">
        <is>
          <t>O.FBR.AERL</t>
        </is>
      </c>
      <c r="B64" s="343" t="n"/>
      <c r="C64" s="344" t="n"/>
      <c r="D64" s="344" t="n"/>
      <c r="E64" s="345" t="inlineStr">
        <is>
          <t>CCTCLSR3BB</t>
        </is>
      </c>
      <c r="F64" s="346" t="inlineStr">
        <is>
          <t>CLOSURE 3BB SC/DC</t>
        </is>
      </c>
      <c r="G64" s="347" t="n"/>
      <c r="H64" s="488">
        <f>B64*G64</f>
        <v/>
      </c>
      <c r="K64" s="556" t="n"/>
    </row>
    <row r="65" hidden="1" outlineLevel="1" s="955">
      <c r="A65" s="342" t="inlineStr">
        <is>
          <t>O.FBR.AERL</t>
        </is>
      </c>
      <c r="B65" s="343" t="n"/>
      <c r="C65" s="344" t="n"/>
      <c r="D65" s="344" t="n"/>
      <c r="E65" s="345" t="inlineStr">
        <is>
          <t>CCTCLSR5BB</t>
        </is>
      </c>
      <c r="F65" s="346" t="inlineStr">
        <is>
          <t>CLOSURE 5BB BB5X26-SB/2SC-LHS</t>
        </is>
      </c>
      <c r="G65" s="347" t="n"/>
      <c r="H65" s="488">
        <f>B65*G65</f>
        <v/>
      </c>
      <c r="K65" s="556" t="n"/>
    </row>
    <row r="66" hidden="1" outlineLevel="1" s="955">
      <c r="A66" s="342" t="inlineStr">
        <is>
          <t>O.FBR.AERL</t>
        </is>
      </c>
      <c r="B66" s="343" t="n"/>
      <c r="C66" s="344" t="n"/>
      <c r="D66" s="344" t="n"/>
      <c r="E66" s="345" t="inlineStr">
        <is>
          <t>CCT2X29AERCLSR</t>
        </is>
      </c>
      <c r="F66" s="346" t="inlineStr">
        <is>
          <t>CLOSURE AERIAL SLIC  2" X 29" 3M SLIC 2X29</t>
        </is>
      </c>
      <c r="G66" s="347" t="n"/>
      <c r="H66" s="488">
        <f>B66*G66</f>
        <v/>
      </c>
      <c r="K66" s="556" t="n"/>
    </row>
    <row r="67" hidden="1" outlineLevel="1" s="955">
      <c r="A67" s="342" t="inlineStr">
        <is>
          <t>O.FBR.AERL</t>
        </is>
      </c>
      <c r="B67" s="343" t="n"/>
      <c r="C67" s="344" t="n"/>
      <c r="D67" s="344" t="n"/>
      <c r="E67" s="345" t="inlineStr">
        <is>
          <t>CCT3X33AERCLSR</t>
        </is>
      </c>
      <c r="F67" s="346" t="inlineStr">
        <is>
          <t>CLOSURE AERIAL SLIC 3" X 33" CSL333</t>
        </is>
      </c>
      <c r="G67" s="347" t="n"/>
      <c r="H67" s="488">
        <f>B67*G67</f>
        <v/>
      </c>
      <c r="K67" s="556" t="n"/>
    </row>
    <row r="68" hidden="1" outlineLevel="1" s="955">
      <c r="A68" s="342" t="inlineStr">
        <is>
          <t>O.FBR.AERL</t>
        </is>
      </c>
      <c r="B68" s="343" t="n"/>
      <c r="C68" s="344" t="n"/>
      <c r="D68" s="344" t="n"/>
      <c r="E68" s="345" t="inlineStr">
        <is>
          <t>CCT5X33AERCLSR</t>
        </is>
      </c>
      <c r="F68" s="346" t="inlineStr">
        <is>
          <t>CLOSURE AERIAL SLIC 5" X 33" CSL533</t>
        </is>
      </c>
      <c r="G68" s="347" t="n"/>
      <c r="H68" s="488">
        <f>B68*G68</f>
        <v/>
      </c>
      <c r="K68" s="556" t="n"/>
    </row>
    <row r="69" hidden="1" outlineLevel="1" s="955">
      <c r="A69" s="342" t="inlineStr">
        <is>
          <t>O.FBR.AERL</t>
        </is>
      </c>
      <c r="B69" s="343" t="n"/>
      <c r="C69" s="344" t="n"/>
      <c r="D69" s="344" t="n"/>
      <c r="E69" s="345" t="inlineStr">
        <is>
          <t>CCT7X33AERCLSR</t>
        </is>
      </c>
      <c r="F69" s="346" t="inlineStr">
        <is>
          <t>CLOSURE AERIAL SLIC 7" X 33" CSL733</t>
        </is>
      </c>
      <c r="G69" s="347" t="n"/>
      <c r="H69" s="488">
        <f>B69*G69</f>
        <v/>
      </c>
      <c r="K69" s="556" t="n"/>
    </row>
    <row r="70" hidden="1" outlineLevel="1" s="955">
      <c r="A70" s="342" t="inlineStr">
        <is>
          <t>O.FBR.AERL</t>
        </is>
      </c>
      <c r="B70" s="343" t="n"/>
      <c r="C70" s="344" t="n"/>
      <c r="D70" s="344" t="n"/>
      <c r="E70" s="345" t="inlineStr">
        <is>
          <t>CCT9X36AERCLSR</t>
        </is>
      </c>
      <c r="F70" s="346" t="inlineStr">
        <is>
          <t>CLOSURE AERIAL SLIC 9" X 36" CSL936</t>
        </is>
      </c>
      <c r="G70" s="347" t="n"/>
      <c r="H70" s="488">
        <f>B70*G70</f>
        <v/>
      </c>
      <c r="K70" s="556" t="n"/>
    </row>
    <row r="71" hidden="1" outlineLevel="1" s="955">
      <c r="A71" s="342" t="inlineStr">
        <is>
          <t>O.FBR.AERL</t>
        </is>
      </c>
      <c r="B71" s="343" t="n"/>
      <c r="C71" s="344" t="n"/>
      <c r="D71" s="344" t="n"/>
      <c r="E71" s="345" t="inlineStr">
        <is>
          <t>CCTTERM2X19SLIC</t>
        </is>
      </c>
      <c r="F71" s="346" t="inlineStr">
        <is>
          <t>SLIC 2.2X19 CLOSURE SLIC22X19SES</t>
        </is>
      </c>
      <c r="G71" s="347" t="n"/>
      <c r="H71" s="488">
        <f>B71*G71</f>
        <v/>
      </c>
      <c r="K71" s="556" t="n"/>
    </row>
    <row r="72" hidden="1" outlineLevel="1" s="955">
      <c r="A72" s="342" t="inlineStr">
        <is>
          <t>O.FBR.AERL</t>
        </is>
      </c>
      <c r="B72" s="343" t="n"/>
      <c r="C72" s="344" t="n"/>
      <c r="D72" s="344" t="n"/>
      <c r="E72" s="345" t="inlineStr">
        <is>
          <t>CCT3X28TERM</t>
        </is>
      </c>
      <c r="F72" s="346" t="inlineStr">
        <is>
          <t>SLIC TERMINAL W/10PR BLK 3X28 W/SPIRAL END - 328-PI-10/SES</t>
        </is>
      </c>
      <c r="G72" s="347" t="n"/>
      <c r="H72" s="488">
        <f>B72*G72</f>
        <v/>
      </c>
      <c r="K72" s="556" t="n"/>
    </row>
    <row r="73" hidden="1" outlineLevel="1" s="955">
      <c r="A73" s="342" t="inlineStr">
        <is>
          <t>O.FBR.AERL</t>
        </is>
      </c>
      <c r="B73" s="343" t="n"/>
      <c r="C73" s="344" t="n"/>
      <c r="D73" s="344" t="n"/>
      <c r="E73" s="345" t="inlineStr">
        <is>
          <t>CCT5X30TERM</t>
        </is>
      </c>
      <c r="F73" s="346" t="inlineStr">
        <is>
          <t>SLIC TERMINAL W/10PR BLK 5X30 W/SPIRAL END - 530-PI-10/SES</t>
        </is>
      </c>
      <c r="G73" s="347" t="n"/>
      <c r="H73" s="488">
        <f>B73*G73</f>
        <v/>
      </c>
      <c r="K73" s="556" t="n"/>
    </row>
    <row r="74" hidden="1" outlineLevel="1" ht="13.5" customHeight="1" s="955" thickBot="1">
      <c r="A74" s="342" t="n"/>
      <c r="B74" s="343" t="n"/>
      <c r="C74" s="344" t="n"/>
      <c r="D74" s="344" t="n"/>
      <c r="E74" s="345" t="n"/>
      <c r="F74" s="346" t="n"/>
      <c r="G74" s="347" t="n"/>
      <c r="H74" s="488">
        <f>B74*G74</f>
        <v/>
      </c>
      <c r="K74" s="556" t="n"/>
    </row>
    <row r="75" hidden="1" outlineLevel="1" ht="13.5" customHeight="1" s="955" thickBot="1">
      <c r="A75" s="336" t="n"/>
      <c r="B75" s="356" t="n"/>
      <c r="C75" s="357" t="n"/>
      <c r="D75" s="357" t="n"/>
      <c r="E75" s="358" t="n"/>
      <c r="F75" s="359" t="inlineStr">
        <is>
          <t>AERIAL FIBER SUPPORT PARTS</t>
        </is>
      </c>
      <c r="G75" s="360" t="n"/>
      <c r="H75" s="490" t="n"/>
    </row>
    <row r="76" hidden="1" outlineLevel="1" s="955">
      <c r="A76" s="342" t="inlineStr">
        <is>
          <t>O.FBR.AERL</t>
        </is>
      </c>
      <c r="B76" s="343" t="n"/>
      <c r="C76" s="344" t="n"/>
      <c r="D76" s="344" t="n"/>
      <c r="E76" s="353" t="inlineStr">
        <is>
          <t>SPLSNOSHOE12IN</t>
        </is>
      </c>
      <c r="F76" s="346" t="inlineStr">
        <is>
          <t>SNO-SHOE PLASTIC 12" PN FIS12M</t>
        </is>
      </c>
      <c r="G76" s="654" t="n">
        <v>17.5</v>
      </c>
      <c r="H76" s="488">
        <f>B76*G76</f>
        <v/>
      </c>
    </row>
    <row r="77" hidden="1" outlineLevel="1" s="955">
      <c r="A77" s="342" t="inlineStr">
        <is>
          <t>O.FBR.AERL</t>
        </is>
      </c>
      <c r="B77" s="343" t="n"/>
      <c r="C77" s="344" t="n"/>
      <c r="D77" s="344" t="n"/>
      <c r="E77" s="353" t="inlineStr">
        <is>
          <t>SPLSNOSHOE16</t>
        </is>
      </c>
      <c r="F77" s="346" t="inlineStr">
        <is>
          <t>SNO-SHOE PLASTIC 16" use for 144 fiber count or larger</t>
        </is>
      </c>
      <c r="G77" s="654" t="n">
        <v>34.38</v>
      </c>
      <c r="H77" s="488">
        <f>B77*G77</f>
        <v/>
      </c>
    </row>
    <row r="78" hidden="1" outlineLevel="1" s="955">
      <c r="A78" s="342" t="inlineStr">
        <is>
          <t>O.FBR.AERL</t>
        </is>
      </c>
      <c r="B78" s="343" t="n"/>
      <c r="C78" s="344" t="n"/>
      <c r="D78" s="344" t="n"/>
      <c r="E78" s="353" t="inlineStr">
        <is>
          <t>HDW10INANCHOR</t>
        </is>
      </c>
      <c r="F78" s="346" t="inlineStr">
        <is>
          <t>10" SCREW ANCHOR</t>
        </is>
      </c>
      <c r="G78" s="654" t="n">
        <v>84.5</v>
      </c>
      <c r="H78" s="488">
        <f>G78*B78</f>
        <v/>
      </c>
    </row>
    <row r="79" hidden="1" outlineLevel="1" s="955">
      <c r="A79" s="342" t="inlineStr">
        <is>
          <t>O.FBR.AERL</t>
        </is>
      </c>
      <c r="B79" s="343" t="n"/>
      <c r="C79" s="344" t="n"/>
      <c r="D79" s="344" t="n"/>
      <c r="E79" s="345" t="inlineStr">
        <is>
          <t>HDWANCH12HLX</t>
        </is>
      </c>
      <c r="F79" s="346" t="inlineStr">
        <is>
          <t>ANCHOR 12" HELIX C102-5206</t>
        </is>
      </c>
      <c r="G79" s="362" t="n"/>
      <c r="H79" s="488">
        <f>G79*B79</f>
        <v/>
      </c>
    </row>
    <row r="80" hidden="1" outlineLevel="1" s="955">
      <c r="A80" s="342" t="inlineStr">
        <is>
          <t>O.FBR.AERL</t>
        </is>
      </c>
      <c r="B80" s="343" t="n"/>
      <c r="C80" s="344" t="n"/>
      <c r="D80" s="344" t="n"/>
      <c r="E80" s="345" t="inlineStr">
        <is>
          <t>HDWANCH8HLX</t>
        </is>
      </c>
      <c r="F80" s="346" t="inlineStr">
        <is>
          <t>ANCHOR 8" HELIX C102-5204</t>
        </is>
      </c>
      <c r="G80" s="362" t="n"/>
      <c r="H80" s="488">
        <f>G80*B80</f>
        <v/>
      </c>
    </row>
    <row r="81" hidden="1" outlineLevel="1" s="955">
      <c r="A81" s="342" t="inlineStr">
        <is>
          <t>O.FBR.AERL</t>
        </is>
      </c>
      <c r="B81" s="343" t="n"/>
      <c r="C81" s="344" t="n"/>
      <c r="D81" s="344" t="n"/>
      <c r="E81" s="345" t="inlineStr">
        <is>
          <t>HDWTRPLEYENUT</t>
        </is>
      </c>
      <c r="F81" s="346" t="inlineStr">
        <is>
          <t>TRIPLEYE EYENUT 12585</t>
        </is>
      </c>
      <c r="G81" s="362" t="n"/>
      <c r="H81" s="488">
        <f>G81*B81</f>
        <v/>
      </c>
    </row>
    <row r="82" hidden="1" outlineLevel="1" ht="13.5" customHeight="1" s="955" thickBot="1">
      <c r="A82" s="342" t="inlineStr">
        <is>
          <t>O.FBR.AERL</t>
        </is>
      </c>
      <c r="B82" s="343" t="n"/>
      <c r="C82" s="344" t="n"/>
      <c r="D82" s="344" t="n"/>
      <c r="E82" s="345" t="inlineStr">
        <is>
          <t>HDWANCHRD1X7</t>
        </is>
      </c>
      <c r="F82" s="346" t="inlineStr">
        <is>
          <t>ANCHOR ROD 1" X 7' 12334P</t>
        </is>
      </c>
      <c r="G82" s="362" t="n"/>
      <c r="H82" s="488">
        <f>G82*B82</f>
        <v/>
      </c>
    </row>
    <row r="83" hidden="1" outlineLevel="1" ht="13.5" customHeight="1" s="955" thickBot="1">
      <c r="A83" s="336" t="n"/>
      <c r="B83" s="356" t="n"/>
      <c r="C83" s="357" t="n"/>
      <c r="D83" s="357" t="n"/>
      <c r="E83" s="358" t="n"/>
      <c r="F83" s="359" t="inlineStr">
        <is>
          <t>AERIAL CLEAR VIEW DROP SINGLE ENDED</t>
        </is>
      </c>
      <c r="G83" s="360" t="n"/>
      <c r="H83" s="490">
        <f>B83*G83</f>
        <v/>
      </c>
    </row>
    <row r="84" hidden="1" outlineLevel="1" s="955">
      <c r="A84" s="342" t="inlineStr">
        <is>
          <t>O.FBR.AERL</t>
        </is>
      </c>
      <c r="B84" s="343" t="n"/>
      <c r="C84" s="344" t="n"/>
      <c r="D84" s="344" t="n"/>
      <c r="E84" s="345" t="inlineStr">
        <is>
          <t>FDPCORCLRCRVOPT75</t>
        </is>
      </c>
      <c r="F84" s="345" t="inlineStr">
        <is>
          <t>FLEX DROP 75'</t>
        </is>
      </c>
      <c r="G84" s="347" t="n"/>
      <c r="H84" s="488">
        <f>B84*G84</f>
        <v/>
      </c>
    </row>
    <row r="85" hidden="1" outlineLevel="1" ht="13.5" customHeight="1" s="955" thickBot="1">
      <c r="A85" s="342" t="inlineStr">
        <is>
          <t>O.FBR.AERL</t>
        </is>
      </c>
      <c r="B85" s="343" t="n"/>
      <c r="C85" s="344" t="n"/>
      <c r="D85" s="344" t="n"/>
      <c r="E85" s="345" t="inlineStr">
        <is>
          <t>FDPCORCLRCRVOPT600</t>
        </is>
      </c>
      <c r="F85" s="345" t="inlineStr">
        <is>
          <t>FLEX DROP 600'</t>
        </is>
      </c>
      <c r="G85" s="347" t="n"/>
      <c r="H85" s="488">
        <f>B85*G85</f>
        <v/>
      </c>
    </row>
    <row r="86" hidden="1" outlineLevel="1" ht="13.5" customHeight="1" s="955" thickBot="1">
      <c r="A86" s="336" t="n"/>
      <c r="B86" s="356" t="n"/>
      <c r="C86" s="357" t="n"/>
      <c r="D86" s="357" t="n"/>
      <c r="E86" s="363" t="n"/>
      <c r="F86" s="359" t="inlineStr">
        <is>
          <t>AERIAL MULTI PORT</t>
        </is>
      </c>
      <c r="G86" s="364" t="n"/>
      <c r="H86" s="490" t="n"/>
    </row>
    <row r="87" hidden="1" outlineLevel="1" s="955">
      <c r="A87" s="342" t="inlineStr">
        <is>
          <t>O.FBR.AERL</t>
        </is>
      </c>
      <c r="B87" s="343" t="n"/>
      <c r="C87" s="344" t="n"/>
      <c r="D87" s="344" t="n"/>
      <c r="E87" s="345" t="inlineStr">
        <is>
          <t>HDWWRSTRND14GRN</t>
        </is>
      </c>
      <c r="F87" s="345" t="inlineStr">
        <is>
          <t>WIRE #14 STRANDED TRACER GREEN</t>
        </is>
      </c>
      <c r="G87" s="347" t="n"/>
      <c r="H87" s="488">
        <f>B87*G87</f>
        <v/>
      </c>
    </row>
    <row r="88" hidden="1" outlineLevel="1" s="955">
      <c r="A88" s="342" t="inlineStr">
        <is>
          <t>O.FBR.AERL</t>
        </is>
      </c>
      <c r="B88" s="343" t="n"/>
      <c r="C88" s="344" t="n"/>
      <c r="D88" s="344" t="n"/>
      <c r="E88" s="345" t="inlineStr">
        <is>
          <t>FIJSCA</t>
        </is>
      </c>
      <c r="F88" s="345" t="inlineStr">
        <is>
          <t>FIBER PIGTAIL 12 FIBER SCAPC RBD9-SA3M</t>
        </is>
      </c>
      <c r="G88" s="347" t="n"/>
      <c r="H88" s="488">
        <f>B88*G88</f>
        <v/>
      </c>
    </row>
    <row r="89" hidden="1" outlineLevel="1" s="955">
      <c r="A89" s="342" t="inlineStr">
        <is>
          <t>O.FBR.AERL</t>
        </is>
      </c>
      <c r="B89" s="343" t="n"/>
      <c r="C89" s="344" t="n"/>
      <c r="D89" s="344" t="n"/>
      <c r="E89" s="345" t="inlineStr">
        <is>
          <t>HDWAHD28PT</t>
        </is>
      </c>
      <c r="F89" s="345" t="inlineStr">
        <is>
          <t>AERIAL MOUNTING BRACKET 2-8 PT MOB-KT-AHD 2-8 PORTS</t>
        </is>
      </c>
      <c r="G89" s="347" t="n"/>
      <c r="H89" s="488">
        <f>B89*G89</f>
        <v/>
      </c>
    </row>
    <row r="90" hidden="1" outlineLevel="1" s="955">
      <c r="A90" s="342" t="inlineStr">
        <is>
          <t>O.FBR.AERL</t>
        </is>
      </c>
      <c r="B90" s="343" t="n"/>
      <c r="C90" s="344" t="n"/>
      <c r="D90" s="344" t="n"/>
      <c r="E90" s="345" t="inlineStr">
        <is>
          <t>HDWAHD12PT</t>
        </is>
      </c>
      <c r="F90" s="345" t="inlineStr">
        <is>
          <t>AERIAL MOUNTING BRACKET 12 PT MOB-KT-AHD-12 PORTS</t>
        </is>
      </c>
      <c r="G90" s="347" t="n"/>
      <c r="H90" s="488">
        <f>B90*G90</f>
        <v/>
      </c>
    </row>
    <row r="91" hidden="1" outlineLevel="1" s="955">
      <c r="A91" s="342" t="inlineStr">
        <is>
          <t>O.FBR.AERL</t>
        </is>
      </c>
      <c r="B91" s="343" t="n"/>
      <c r="C91" s="344" t="n"/>
      <c r="D91" s="344" t="n"/>
      <c r="E91" s="353" t="inlineStr">
        <is>
          <t>SPLMLTERMBOX</t>
        </is>
      </c>
      <c r="F91" s="345" t="inlineStr">
        <is>
          <t>MULTILINK TERM BOX 12"X20"X8" RNB-12208-1SL-C-PG-Y-S</t>
        </is>
      </c>
      <c r="G91" s="655" t="n">
        <v>166.09</v>
      </c>
      <c r="H91" s="488">
        <f>B91*G91</f>
        <v/>
      </c>
    </row>
    <row r="92" hidden="1" outlineLevel="1" s="955">
      <c r="A92" s="342" t="inlineStr">
        <is>
          <t>O.FBR.AERL</t>
        </is>
      </c>
      <c r="B92" s="343" t="n"/>
      <c r="C92" s="344" t="n"/>
      <c r="D92" s="344" t="n"/>
      <c r="E92" s="481" t="inlineStr">
        <is>
          <t>STRSTRAND516EHS</t>
        </is>
      </c>
      <c r="F92" s="365" t="inlineStr">
        <is>
          <t>STRAND 5/16 EHSD</t>
        </is>
      </c>
      <c r="G92" s="656" t="n">
        <v>0.4</v>
      </c>
      <c r="H92" s="488">
        <f>B92*G92</f>
        <v/>
      </c>
    </row>
    <row r="93" hidden="1" outlineLevel="1" s="955">
      <c r="A93" s="342" t="inlineStr">
        <is>
          <t>O.FBR.AERL</t>
        </is>
      </c>
      <c r="B93" s="343" t="n"/>
      <c r="C93" s="344" t="n"/>
      <c r="D93" s="344" t="n"/>
      <c r="E93" s="481" t="inlineStr">
        <is>
          <t>STRSTRAND14EHS</t>
        </is>
      </c>
      <c r="F93" s="368" t="inlineStr">
        <is>
          <t>STRAND 1/4" EHS (6.6M)</t>
        </is>
      </c>
      <c r="G93" s="656" t="n">
        <v>0.26</v>
      </c>
      <c r="H93" s="488">
        <f>B93*G93</f>
        <v/>
      </c>
    </row>
    <row r="94" hidden="1" outlineLevel="1" s="955">
      <c r="A94" s="342" t="inlineStr">
        <is>
          <t>O.FBR.AERL</t>
        </is>
      </c>
      <c r="B94" s="343" t="n"/>
      <c r="C94" s="344" t="n"/>
      <c r="D94" s="344" t="n"/>
      <c r="E94" s="367" t="inlineStr">
        <is>
          <t>STRSTRAND16M</t>
        </is>
      </c>
      <c r="F94" s="368" t="inlineStr">
        <is>
          <t>STRAND 16M  7/16UTL</t>
        </is>
      </c>
      <c r="G94" s="366" t="n"/>
      <c r="H94" s="488">
        <f>B94*G94</f>
        <v/>
      </c>
    </row>
    <row r="95" hidden="1" outlineLevel="1" s="955">
      <c r="A95" s="342" t="inlineStr">
        <is>
          <t>O.FBR.AERL</t>
        </is>
      </c>
      <c r="B95" s="343" t="n"/>
      <c r="C95" s="344" t="n"/>
      <c r="D95" s="344" t="n"/>
      <c r="E95" s="345" t="inlineStr">
        <is>
          <t>HDWSIDEFITPX34A</t>
        </is>
      </c>
      <c r="F95" s="346" t="inlineStr">
        <is>
          <t>POLE PLATE SIDEWALK GUY PJ1501</t>
        </is>
      </c>
      <c r="G95" s="347" t="n"/>
      <c r="H95" s="488">
        <f>B95*G95</f>
        <v/>
      </c>
    </row>
    <row r="96" hidden="1" outlineLevel="1" s="955">
      <c r="A96" s="342" t="inlineStr">
        <is>
          <t>O.FBR.AERL</t>
        </is>
      </c>
      <c r="B96" s="343" t="n"/>
      <c r="C96" s="344" t="n"/>
      <c r="D96" s="344" t="n"/>
      <c r="E96" s="353" t="inlineStr">
        <is>
          <t>HDWGGRDYLW7</t>
        </is>
      </c>
      <c r="F96" s="346" t="inlineStr">
        <is>
          <t>GUY GUARD YELLOW PVC X 7'0 G5517</t>
        </is>
      </c>
      <c r="G96" s="655" t="n">
        <v>5.95</v>
      </c>
      <c r="H96" s="488">
        <f>B96*G96</f>
        <v/>
      </c>
    </row>
    <row r="97" hidden="1" outlineLevel="1" s="955">
      <c r="A97" s="369" t="inlineStr">
        <is>
          <t>O.FBR.AERL</t>
        </is>
      </c>
      <c r="B97" s="354" t="n"/>
      <c r="C97" s="355" t="n"/>
      <c r="D97" s="355" t="n"/>
      <c r="E97" s="423" t="inlineStr">
        <is>
          <t>HDWLUMOAERCBLTAG</t>
        </is>
      </c>
      <c r="F97" s="371" t="inlineStr">
        <is>
          <t>LUMOS AERIAL CABLE WRAP TAG</t>
        </is>
      </c>
      <c r="G97" s="657" t="n">
        <v>3.29</v>
      </c>
      <c r="H97" s="488">
        <f>B97*G97</f>
        <v/>
      </c>
    </row>
    <row r="98" hidden="1" outlineLevel="1" s="955">
      <c r="A98" s="369" t="inlineStr">
        <is>
          <t>O.FBR.AERL</t>
        </is>
      </c>
      <c r="B98" s="354" t="n"/>
      <c r="C98" s="355" t="n"/>
      <c r="D98" s="355" t="n"/>
      <c r="E98" s="479" t="inlineStr">
        <is>
          <t>SPLTIITERM24PTSCCON</t>
        </is>
      </c>
      <c r="F98" s="374" t="inlineStr">
        <is>
          <t>TII 24 PORT SC-UPC TERMINAL PANEL PN FET3G-24RSCN00</t>
        </is>
      </c>
      <c r="G98" s="658" t="n">
        <v>133.06</v>
      </c>
      <c r="H98" s="488">
        <f>B98*G98</f>
        <v/>
      </c>
    </row>
    <row r="99" hidden="1" outlineLevel="1" s="955">
      <c r="A99" s="369" t="inlineStr">
        <is>
          <t>O.FBR.AERL</t>
        </is>
      </c>
      <c r="B99" s="354" t="n"/>
      <c r="C99" s="355" t="n"/>
      <c r="D99" s="355" t="n"/>
      <c r="E99" s="373" t="inlineStr">
        <is>
          <t>SPLSCAPCSMFCON</t>
        </is>
      </c>
      <c r="F99" s="374" t="inlineStr">
        <is>
          <t>CONNECTOR SCAPC SPLICE ON F/ 250UM &amp; 900UM 4PK</t>
        </is>
      </c>
      <c r="G99" s="375" t="n"/>
      <c r="H99" s="488">
        <f>B99*G99</f>
        <v/>
      </c>
    </row>
    <row r="100" hidden="1" outlineLevel="1" s="955">
      <c r="A100" s="369" t="n"/>
      <c r="B100" s="354" t="n"/>
      <c r="C100" s="355" t="n"/>
      <c r="D100" s="355" t="n"/>
      <c r="E100" s="376" t="inlineStr">
        <is>
          <t>SPLTII48FGRFET4G</t>
        </is>
      </c>
      <c r="F100" s="374" t="inlineStr">
        <is>
          <t>TII 48 PORT OUTDOOR ENCLOSURE</t>
        </is>
      </c>
      <c r="G100" s="375" t="n"/>
      <c r="H100" s="488">
        <f>B100*G100</f>
        <v/>
      </c>
    </row>
    <row r="101" hidden="1" outlineLevel="1" ht="13.5" customHeight="1" s="955" thickBot="1">
      <c r="A101" s="369" t="n"/>
      <c r="B101" s="354" t="n"/>
      <c r="C101" s="355" t="n"/>
      <c r="D101" s="355" t="n"/>
      <c r="E101" s="377" t="n"/>
      <c r="F101" s="378" t="n"/>
      <c r="G101" s="379" t="n"/>
      <c r="H101" s="489">
        <f>B101*G287</f>
        <v/>
      </c>
    </row>
    <row r="102" hidden="1" outlineLevel="1" ht="13.5" customHeight="1" s="955" thickBot="1">
      <c r="A102" s="336" t="n"/>
      <c r="B102" s="356" t="inlineStr">
        <is>
          <t>-</t>
        </is>
      </c>
      <c r="C102" s="357" t="n"/>
      <c r="D102" s="357" t="n"/>
      <c r="E102" s="380" t="n"/>
      <c r="F102" s="381" t="inlineStr">
        <is>
          <t>TOTAL - O.FBR.AERL</t>
        </is>
      </c>
      <c r="G102" s="382" t="n"/>
      <c r="H102" s="490">
        <f>SUM(H32:H101)</f>
        <v/>
      </c>
    </row>
    <row r="103" hidden="1" outlineLevel="1" ht="13.5" customHeight="1" s="955" thickBot="1">
      <c r="A103" s="336" t="n"/>
      <c r="B103" s="356" t="inlineStr">
        <is>
          <t>-</t>
        </is>
      </c>
      <c r="C103" s="357" t="n"/>
      <c r="D103" s="357" t="n"/>
      <c r="E103" s="380" t="n"/>
      <c r="F103" s="383" t="inlineStr">
        <is>
          <t>PROVISIONING - O.FBR.AERL</t>
        </is>
      </c>
      <c r="G103" s="384" t="n"/>
      <c r="H103" s="491">
        <f>H102*(H1+H2)</f>
        <v/>
      </c>
    </row>
    <row r="104" hidden="1" outlineLevel="1" ht="13.5" customHeight="1" s="955" thickBot="1">
      <c r="A104" s="336" t="n"/>
      <c r="B104" s="356" t="inlineStr">
        <is>
          <t>-</t>
        </is>
      </c>
      <c r="C104" s="357" t="n"/>
      <c r="D104" s="357" t="n"/>
      <c r="E104" s="380" t="n"/>
      <c r="F104" s="386" t="inlineStr">
        <is>
          <t>TOTAL - O.FBR.AERL</t>
        </is>
      </c>
      <c r="G104" s="387" t="n"/>
      <c r="H104" s="492">
        <f>H103+H102</f>
        <v/>
      </c>
    </row>
    <row r="105" collapsed="1" ht="13.5" customHeight="1" s="955" thickBot="1">
      <c r="A105" s="389" t="inlineStr">
        <is>
          <t>&lt;----Click the + to Expand or Collapse the "AERIAL FIBER ASSET MATERIAL" Section</t>
        </is>
      </c>
      <c r="B105" s="390" t="n"/>
      <c r="C105" s="391" t="n"/>
      <c r="D105" s="391" t="n"/>
      <c r="E105" s="392" t="n"/>
      <c r="F105" s="393" t="n"/>
      <c r="G105" s="394" t="n"/>
      <c r="H105" s="395" t="n"/>
    </row>
    <row r="106" ht="13.5" customHeight="1" s="955" thickBot="1">
      <c r="A106" s="295" t="n"/>
      <c r="B106" s="482" t="n"/>
      <c r="C106" s="321" t="n"/>
      <c r="D106" s="321" t="n"/>
      <c r="E106" s="396" t="n"/>
      <c r="F106" s="397" t="inlineStr">
        <is>
          <t>UNDERGROUND ASSET MATERIAL</t>
        </is>
      </c>
      <c r="G106" s="398" t="n"/>
      <c r="H106" s="399" t="n"/>
    </row>
    <row r="107" hidden="1" outlineLevel="1" s="955">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485">
        <f>B107*G107</f>
        <v/>
      </c>
      <c r="J107" s="497" t="n"/>
      <c r="K107" s="554" t="n"/>
    </row>
    <row r="108" hidden="1" outlineLevel="1" s="955">
      <c r="A108" s="307" t="inlineStr">
        <is>
          <t>O.FBR.UNDG</t>
        </is>
      </c>
      <c r="B108" s="548" t="n"/>
      <c r="C108" s="309" t="n"/>
      <c r="D108" s="309" t="n"/>
      <c r="E108" s="402" t="inlineStr">
        <is>
          <t>FIBGEN72ARMR</t>
        </is>
      </c>
      <c r="F108" s="409" t="inlineStr">
        <is>
          <t>048 Loose Tube PN D-048-LA-8W-F12NS; 048ZUC-T4122D20; AT3CEH2YT-048</t>
        </is>
      </c>
      <c r="G108" s="592" t="n"/>
      <c r="H108" s="485">
        <f>B108*G108</f>
        <v/>
      </c>
      <c r="K108" s="554" t="n"/>
    </row>
    <row r="109" hidden="1" outlineLevel="1" s="955">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485">
        <f>B109*G109</f>
        <v/>
      </c>
      <c r="K109" s="554" t="n"/>
    </row>
    <row r="110" hidden="1" outlineLevel="1" s="955">
      <c r="A110" s="307" t="inlineStr">
        <is>
          <t>O.FBR.UNDG</t>
        </is>
      </c>
      <c r="B110" s="548">
        <f>'CABLE SHEET'!N5</f>
        <v/>
      </c>
      <c r="C110" s="309" t="n"/>
      <c r="D110" s="309" t="n"/>
      <c r="E110" s="353" t="inlineStr">
        <is>
          <t>FIBGEN144RIB</t>
        </is>
      </c>
      <c r="F110" s="637" t="inlineStr">
        <is>
          <t>144 Ribbon FIber PN 144EC5-14100D53</t>
        </is>
      </c>
      <c r="G110" s="641" t="n">
        <v>0.98</v>
      </c>
      <c r="H110" s="485">
        <f>B110*G110</f>
        <v/>
      </c>
      <c r="K110" s="554" t="n"/>
    </row>
    <row r="111" hidden="1" outlineLevel="1" s="955">
      <c r="A111" s="307" t="inlineStr">
        <is>
          <t>O.FBR.UNDG</t>
        </is>
      </c>
      <c r="B111" s="308" t="n"/>
      <c r="C111" s="309" t="n"/>
      <c r="D111" s="309" t="n"/>
      <c r="E111" s="402" t="inlineStr">
        <is>
          <t>FIBOFS192LTARMR</t>
        </is>
      </c>
      <c r="F111" s="409" t="inlineStr">
        <is>
          <t>FIBER OFS AT3CEH2YT-192-FORTEX NON-DIELECTRIC LIGHT ARMOR</t>
        </is>
      </c>
      <c r="G111" s="592" t="n"/>
      <c r="H111" s="485">
        <f>B111*G111</f>
        <v/>
      </c>
      <c r="K111" s="554" t="n"/>
    </row>
    <row r="112" hidden="1" outlineLevel="1" s="955">
      <c r="A112" s="307" t="inlineStr">
        <is>
          <t>O.FBR.UNDG</t>
        </is>
      </c>
      <c r="B112" s="548">
        <f>'CABLE SHEET'!N6</f>
        <v/>
      </c>
      <c r="C112" s="309" t="n"/>
      <c r="D112" s="309" t="n"/>
      <c r="E112" s="353" t="inlineStr">
        <is>
          <t>FIBGEN288RIB</t>
        </is>
      </c>
      <c r="F112" s="409" t="inlineStr">
        <is>
          <t>288 Ribbon FIber PN 288EV5-14100D53</t>
        </is>
      </c>
      <c r="G112" s="641" t="n">
        <v>1.55</v>
      </c>
      <c r="H112" s="485">
        <f>B112*G112</f>
        <v/>
      </c>
      <c r="K112" s="554" t="n"/>
    </row>
    <row r="113" hidden="1" outlineLevel="1" ht="13.5" customHeight="1" s="955"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485">
        <f>B113*G113</f>
        <v/>
      </c>
      <c r="J113" s="497" t="n"/>
      <c r="K113" s="554" t="n"/>
    </row>
    <row r="114" hidden="1" outlineLevel="1" ht="13.5" customHeight="1" s="955" thickBot="1">
      <c r="A114" s="295" t="n"/>
      <c r="B114" s="320" t="n"/>
      <c r="C114" s="404" t="n"/>
      <c r="D114" s="404" t="n"/>
      <c r="E114" s="405" t="n"/>
      <c r="F114" s="406" t="inlineStr">
        <is>
          <t>UNDERGROUND CABLE ASSET MATERIAL</t>
        </is>
      </c>
      <c r="G114" s="407" t="n"/>
      <c r="H114" s="408" t="n"/>
      <c r="K114" s="556" t="n"/>
    </row>
    <row r="115" hidden="1" outlineLevel="1" s="955">
      <c r="A115" s="307" t="inlineStr">
        <is>
          <t>O.FBR.UNDG</t>
        </is>
      </c>
      <c r="B115" s="308" t="n"/>
      <c r="C115" s="309" t="n"/>
      <c r="D115" s="309" t="n"/>
      <c r="E115" s="402" t="inlineStr">
        <is>
          <t>CBLFS2522</t>
        </is>
      </c>
      <c r="F115" s="409" t="inlineStr">
        <is>
          <t>CABLE F.S. 25-22</t>
        </is>
      </c>
      <c r="G115" s="403" t="n"/>
      <c r="H115" s="485">
        <f>B115*G115</f>
        <v/>
      </c>
      <c r="K115" s="556" t="n"/>
    </row>
    <row r="116" hidden="1" outlineLevel="1" s="955">
      <c r="A116" s="307" t="inlineStr">
        <is>
          <t>O.FBR.UNDG</t>
        </is>
      </c>
      <c r="B116" s="308" t="n"/>
      <c r="C116" s="309" t="n"/>
      <c r="D116" s="309" t="n"/>
      <c r="E116" s="402" t="inlineStr">
        <is>
          <t>CBLFSKIN10024</t>
        </is>
      </c>
      <c r="F116" s="409" t="inlineStr">
        <is>
          <t>CABLE FOAM SKIN 100-24</t>
        </is>
      </c>
      <c r="G116" s="403" t="n"/>
      <c r="H116" s="485">
        <f>B116*G116</f>
        <v/>
      </c>
      <c r="K116" s="556" t="n"/>
    </row>
    <row r="117" hidden="1" outlineLevel="1" s="955">
      <c r="A117" s="307" t="inlineStr">
        <is>
          <t>O.FBR.UNDG</t>
        </is>
      </c>
      <c r="B117" s="308" t="n"/>
      <c r="C117" s="309" t="n"/>
      <c r="D117" s="309" t="n"/>
      <c r="E117" s="402" t="inlineStr">
        <is>
          <t>CBLFSKIN120024</t>
        </is>
      </c>
      <c r="F117" s="409" t="inlineStr">
        <is>
          <t>CABLE FOAM SKIN 1200-24</t>
        </is>
      </c>
      <c r="G117" s="403" t="n"/>
      <c r="H117" s="485">
        <f>B117*G117</f>
        <v/>
      </c>
      <c r="K117" s="556" t="n"/>
    </row>
    <row r="118" hidden="1" outlineLevel="1" s="955">
      <c r="A118" s="307" t="inlineStr">
        <is>
          <t>O.FBR.UNDG</t>
        </is>
      </c>
      <c r="B118" s="308" t="n"/>
      <c r="C118" s="309" t="n"/>
      <c r="D118" s="309" t="n"/>
      <c r="E118" s="402" t="inlineStr">
        <is>
          <t>CBLFSKIN1224</t>
        </is>
      </c>
      <c r="F118" s="409" t="inlineStr">
        <is>
          <t>CABLE FOAM SKIN 12-24</t>
        </is>
      </c>
      <c r="G118" s="403" t="n"/>
      <c r="H118" s="485">
        <f>B118*G118</f>
        <v/>
      </c>
      <c r="K118" s="556" t="n"/>
    </row>
    <row r="119" hidden="1" outlineLevel="1" s="955">
      <c r="A119" s="307" t="inlineStr">
        <is>
          <t>O.FBR.UNDG</t>
        </is>
      </c>
      <c r="B119" s="308" t="n"/>
      <c r="C119" s="309" t="n"/>
      <c r="D119" s="309" t="n"/>
      <c r="E119" s="402" t="inlineStr">
        <is>
          <t>CBLFSKIN180024</t>
        </is>
      </c>
      <c r="F119" s="409" t="inlineStr">
        <is>
          <t>CABLE FOAM SKIN 1800-24</t>
        </is>
      </c>
      <c r="G119" s="403" t="n"/>
      <c r="H119" s="485">
        <f>B119*G119</f>
        <v/>
      </c>
      <c r="K119" s="556" t="n"/>
    </row>
    <row r="120" hidden="1" outlineLevel="1" s="955">
      <c r="A120" s="307" t="inlineStr">
        <is>
          <t>O.FBR.UNDG</t>
        </is>
      </c>
      <c r="B120" s="308" t="n"/>
      <c r="C120" s="309" t="n"/>
      <c r="D120" s="309" t="n"/>
      <c r="E120" s="402" t="inlineStr">
        <is>
          <t>CBLFSKIN20024</t>
        </is>
      </c>
      <c r="F120" s="409" t="inlineStr">
        <is>
          <t>CABLE FOAM SKIN 200-24</t>
        </is>
      </c>
      <c r="G120" s="403" t="n"/>
      <c r="H120" s="485">
        <f>B120*G120</f>
        <v/>
      </c>
      <c r="K120" s="556" t="n"/>
    </row>
    <row r="121" hidden="1" outlineLevel="1" s="955">
      <c r="A121" s="307" t="inlineStr">
        <is>
          <t>O.FBR.UNDG</t>
        </is>
      </c>
      <c r="B121" s="308" t="n"/>
      <c r="C121" s="309" t="n"/>
      <c r="D121" s="309" t="n"/>
      <c r="E121" s="402" t="inlineStr">
        <is>
          <t>CBLFSKIN2524</t>
        </is>
      </c>
      <c r="F121" s="409" t="inlineStr">
        <is>
          <t>CABLE FOAM SKIN 25-24</t>
        </is>
      </c>
      <c r="G121" s="403" t="n"/>
      <c r="H121" s="485">
        <f>B121*G121</f>
        <v/>
      </c>
      <c r="K121" s="556" t="n"/>
    </row>
    <row r="122" hidden="1" outlineLevel="1" s="955">
      <c r="A122" s="307" t="inlineStr">
        <is>
          <t>O.FBR.UNDG</t>
        </is>
      </c>
      <c r="B122" s="308" t="n"/>
      <c r="C122" s="309" t="n"/>
      <c r="D122" s="309" t="n"/>
      <c r="E122" s="402" t="inlineStr">
        <is>
          <t>CBLFSKIN30024</t>
        </is>
      </c>
      <c r="F122" s="409" t="inlineStr">
        <is>
          <t>CABLE FOAM SKIN 300-24</t>
        </is>
      </c>
      <c r="G122" s="403" t="n"/>
      <c r="H122" s="485">
        <f>B122*G122</f>
        <v/>
      </c>
      <c r="K122" s="556" t="n"/>
    </row>
    <row r="123" hidden="1" outlineLevel="1" s="955">
      <c r="A123" s="307" t="inlineStr">
        <is>
          <t>O.FBR.UNDG</t>
        </is>
      </c>
      <c r="B123" s="308" t="n"/>
      <c r="C123" s="309" t="n"/>
      <c r="D123" s="309" t="n"/>
      <c r="E123" s="402" t="inlineStr">
        <is>
          <t>CBLFSKIN40024</t>
        </is>
      </c>
      <c r="F123" s="409" t="inlineStr">
        <is>
          <t>CABLE FOAM SKIN 400-24</t>
        </is>
      </c>
      <c r="G123" s="403" t="n"/>
      <c r="H123" s="485">
        <f>B123*G123</f>
        <v/>
      </c>
      <c r="K123" s="556" t="n"/>
    </row>
    <row r="124" hidden="1" outlineLevel="1" s="955">
      <c r="A124" s="307" t="inlineStr">
        <is>
          <t>O.FBR.UNDG</t>
        </is>
      </c>
      <c r="B124" s="308" t="n"/>
      <c r="C124" s="309" t="n"/>
      <c r="D124" s="309" t="n"/>
      <c r="E124" s="402" t="inlineStr">
        <is>
          <t>CBLFSKIN5022</t>
        </is>
      </c>
      <c r="F124" s="409" t="inlineStr">
        <is>
          <t>CABLE FOAM SKIN 50-22</t>
        </is>
      </c>
      <c r="G124" s="403" t="n"/>
      <c r="H124" s="485">
        <f>B124*G124</f>
        <v/>
      </c>
      <c r="K124" s="556" t="n"/>
    </row>
    <row r="125" hidden="1" outlineLevel="1" s="955">
      <c r="A125" s="307" t="inlineStr">
        <is>
          <t>O.FBR.UNDG</t>
        </is>
      </c>
      <c r="B125" s="308" t="n"/>
      <c r="C125" s="309" t="n"/>
      <c r="D125" s="309" t="n"/>
      <c r="E125" s="402" t="inlineStr">
        <is>
          <t>CBLFSKIN5024</t>
        </is>
      </c>
      <c r="F125" s="409" t="inlineStr">
        <is>
          <t>CABLE FOAM SKIN 50-24</t>
        </is>
      </c>
      <c r="G125" s="403" t="n"/>
      <c r="H125" s="485">
        <f>B125*G125</f>
        <v/>
      </c>
      <c r="K125" s="556" t="n"/>
    </row>
    <row r="126" hidden="1" outlineLevel="1" s="955">
      <c r="A126" s="307" t="inlineStr">
        <is>
          <t>O.FBR.UNDG</t>
        </is>
      </c>
      <c r="B126" s="308" t="n"/>
      <c r="C126" s="309" t="n"/>
      <c r="D126" s="309" t="n"/>
      <c r="E126" s="402" t="inlineStr">
        <is>
          <t>CBLFSKIN60024</t>
        </is>
      </c>
      <c r="F126" s="409" t="inlineStr">
        <is>
          <t>CABLE FOAM SKIN 600-24</t>
        </is>
      </c>
      <c r="G126" s="403" t="n"/>
      <c r="H126" s="485">
        <f>B126*G126</f>
        <v/>
      </c>
      <c r="K126" s="556" t="n"/>
    </row>
    <row r="127" hidden="1" outlineLevel="1" s="955">
      <c r="A127" s="307" t="inlineStr">
        <is>
          <t>O.FBR.UNDG</t>
        </is>
      </c>
      <c r="B127" s="308" t="n"/>
      <c r="C127" s="309" t="n"/>
      <c r="D127" s="309" t="n"/>
      <c r="E127" s="402" t="inlineStr">
        <is>
          <t>CBLFSKIN622</t>
        </is>
      </c>
      <c r="F127" s="409" t="inlineStr">
        <is>
          <t>CABLE FOAM SKIN 6-22</t>
        </is>
      </c>
      <c r="G127" s="403" t="n"/>
      <c r="H127" s="485">
        <f>B127*G127</f>
        <v/>
      </c>
      <c r="K127" s="556" t="n"/>
    </row>
    <row r="128" hidden="1" outlineLevel="1" s="955">
      <c r="A128" s="307" t="inlineStr">
        <is>
          <t>O.FBR.UNDG</t>
        </is>
      </c>
      <c r="B128" s="308" t="n"/>
      <c r="C128" s="309" t="n"/>
      <c r="D128" s="309" t="n"/>
      <c r="E128" s="402" t="inlineStr">
        <is>
          <t>CBLFSKIN624</t>
        </is>
      </c>
      <c r="F128" s="409" t="inlineStr">
        <is>
          <t>CABLE FOAM SKIN 6-24</t>
        </is>
      </c>
      <c r="G128" s="403" t="n"/>
      <c r="H128" s="485">
        <f>B128*G128</f>
        <v/>
      </c>
      <c r="K128" s="556" t="n"/>
    </row>
    <row r="129" hidden="1" outlineLevel="1" s="955">
      <c r="A129" s="307" t="inlineStr">
        <is>
          <t>O.FBR.UNDG</t>
        </is>
      </c>
      <c r="B129" s="308" t="n"/>
      <c r="C129" s="309" t="n"/>
      <c r="D129" s="309" t="n"/>
      <c r="E129" s="402" t="inlineStr">
        <is>
          <t>CBLFSKIN90024</t>
        </is>
      </c>
      <c r="F129" s="409" t="inlineStr">
        <is>
          <t>CABLE FOAM SKIN 900-24</t>
        </is>
      </c>
      <c r="G129" s="403" t="n"/>
      <c r="H129" s="485">
        <f>B129*G129</f>
        <v/>
      </c>
      <c r="K129" s="556" t="n"/>
    </row>
    <row r="130" hidden="1" outlineLevel="1" s="955">
      <c r="A130" s="307" t="inlineStr">
        <is>
          <t>O.FBR.UNDG</t>
        </is>
      </c>
      <c r="B130" s="308" t="n"/>
      <c r="C130" s="309" t="n"/>
      <c r="D130" s="309" t="n"/>
      <c r="E130" s="402" t="inlineStr">
        <is>
          <t>CBLRDW622</t>
        </is>
      </c>
      <c r="F130" s="409" t="inlineStr">
        <is>
          <t>RDW 6-22   #10-006-17 IMRDW 109 MESSENGER FIG 8</t>
        </is>
      </c>
      <c r="G130" s="403" t="n"/>
      <c r="H130" s="485">
        <f>B130*G130</f>
        <v/>
      </c>
      <c r="K130" s="556" t="n"/>
    </row>
    <row r="131" hidden="1" outlineLevel="1" s="955">
      <c r="A131" s="307" t="inlineStr">
        <is>
          <t>O.FBR.UNDG</t>
        </is>
      </c>
      <c r="B131" s="308" t="n"/>
      <c r="C131" s="309" t="n"/>
      <c r="D131" s="309" t="n"/>
      <c r="E131" s="402" t="inlineStr">
        <is>
          <t>CCTSPLCASE4X25</t>
        </is>
      </c>
      <c r="F131" s="409" t="inlineStr">
        <is>
          <t>CASE SPL 4X25 8000624 W/BOND</t>
        </is>
      </c>
      <c r="G131" s="403" t="n"/>
      <c r="H131" s="485">
        <f>B131*G131</f>
        <v/>
      </c>
      <c r="K131" s="556" t="n"/>
    </row>
    <row r="132" hidden="1" outlineLevel="1" s="955">
      <c r="A132" s="307" t="inlineStr">
        <is>
          <t>O.FBR.UNDG</t>
        </is>
      </c>
      <c r="B132" s="308" t="n"/>
      <c r="C132" s="309" t="n"/>
      <c r="D132" s="309" t="n"/>
      <c r="E132" s="402" t="inlineStr">
        <is>
          <t>CCTSPLCASE65X28</t>
        </is>
      </c>
      <c r="F132" s="409" t="inlineStr">
        <is>
          <t>CASE SPL 6.5X28 8000626 W/BOND</t>
        </is>
      </c>
      <c r="G132" s="403" t="n"/>
      <c r="H132" s="485">
        <f>B132*G132</f>
        <v/>
      </c>
      <c r="K132" s="556" t="n"/>
    </row>
    <row r="133" hidden="1" outlineLevel="1" s="955">
      <c r="A133" s="307" t="inlineStr">
        <is>
          <t>O.FBR.UNDG</t>
        </is>
      </c>
      <c r="B133" s="308" t="n"/>
      <c r="C133" s="309" t="n"/>
      <c r="D133" s="309" t="n"/>
      <c r="E133" s="402" t="inlineStr">
        <is>
          <t>CCTSPLCASE65X38</t>
        </is>
      </c>
      <c r="F133" s="409" t="inlineStr">
        <is>
          <t>CASE SPL 6.5X38 8000634 W/BOND</t>
        </is>
      </c>
      <c r="G133" s="403" t="n"/>
      <c r="H133" s="485">
        <f>B133*G133</f>
        <v/>
      </c>
      <c r="K133" s="556" t="n"/>
    </row>
    <row r="134" hidden="1" outlineLevel="1" s="955">
      <c r="A134" s="307" t="inlineStr">
        <is>
          <t>O.FBR.UNDG</t>
        </is>
      </c>
      <c r="B134" s="308" t="n"/>
      <c r="C134" s="309" t="n"/>
      <c r="D134" s="309" t="n"/>
      <c r="E134" s="402" t="inlineStr">
        <is>
          <t>CCTSPLCASE95X28</t>
        </is>
      </c>
      <c r="F134" s="409" t="inlineStr">
        <is>
          <t>CASE SPL 9.5X28 8000630 W/BOND</t>
        </is>
      </c>
      <c r="G134" s="403" t="n"/>
      <c r="H134" s="485">
        <f>B134*G134</f>
        <v/>
      </c>
      <c r="K134" s="556" t="n"/>
    </row>
    <row r="135" hidden="1" outlineLevel="1" s="955">
      <c r="A135" s="307" t="inlineStr">
        <is>
          <t>O.FBR.UNDG</t>
        </is>
      </c>
      <c r="B135" s="308" t="n"/>
      <c r="C135" s="309" t="n"/>
      <c r="D135" s="309" t="n"/>
      <c r="E135" s="402" t="inlineStr">
        <is>
          <t>CCTSPLCASE95X38</t>
        </is>
      </c>
      <c r="F135" s="409" t="inlineStr">
        <is>
          <t>CASE SPL 9.5X38 8000635 W/BOND</t>
        </is>
      </c>
      <c r="G135" s="403" t="n"/>
      <c r="H135" s="485">
        <f>B135*G135</f>
        <v/>
      </c>
      <c r="K135" s="556" t="n"/>
    </row>
    <row r="136" hidden="1" outlineLevel="1" s="955">
      <c r="A136" s="307" t="inlineStr">
        <is>
          <t>O.FBR.UNDG</t>
        </is>
      </c>
      <c r="B136" s="308" t="n"/>
      <c r="C136" s="309" t="n"/>
      <c r="D136" s="309" t="n"/>
      <c r="E136" s="402" t="inlineStr">
        <is>
          <t>CCTSPLCASE95X45</t>
        </is>
      </c>
      <c r="F136" s="409" t="inlineStr">
        <is>
          <t>CASE SPL 9.5X45 8006176 W/BOND</t>
        </is>
      </c>
      <c r="G136" s="403" t="n"/>
      <c r="H136" s="485">
        <f>B136*G136</f>
        <v/>
      </c>
      <c r="K136" s="556" t="n"/>
    </row>
    <row r="137" hidden="1" outlineLevel="1" s="955">
      <c r="A137" s="307" t="inlineStr">
        <is>
          <t>O.FBR.UNDG</t>
        </is>
      </c>
      <c r="B137" s="308" t="n"/>
      <c r="C137" s="309" t="n"/>
      <c r="D137" s="309" t="n"/>
      <c r="E137" s="402" t="inlineStr">
        <is>
          <t>CCTREDDI95X284</t>
        </is>
      </c>
      <c r="F137" s="409" t="inlineStr">
        <is>
          <t>CLOS REDDI 9.5X28.4 8006175&amp;74</t>
        </is>
      </c>
      <c r="G137" s="403" t="n"/>
      <c r="H137" s="485">
        <f>B137*G137</f>
        <v/>
      </c>
      <c r="K137" s="556" t="n"/>
    </row>
    <row r="138" hidden="1" outlineLevel="1" s="955">
      <c r="A138" s="307" t="inlineStr">
        <is>
          <t>O.FBR.UNDG</t>
        </is>
      </c>
      <c r="B138" s="308" t="n"/>
      <c r="C138" s="309" t="n"/>
      <c r="D138" s="309" t="n"/>
      <c r="E138" s="402" t="inlineStr">
        <is>
          <t>CCTREDDI95X385</t>
        </is>
      </c>
      <c r="F138" s="409" t="inlineStr">
        <is>
          <t>CLOS REDDI 9.5X38.5 8006181</t>
        </is>
      </c>
      <c r="G138" s="403" t="n"/>
      <c r="H138" s="485">
        <f>B138*G138</f>
        <v/>
      </c>
      <c r="K138" s="556" t="n"/>
    </row>
    <row r="139" hidden="1" outlineLevel="1" s="955">
      <c r="A139" s="307" t="inlineStr">
        <is>
          <t>O.FBR.UNDG</t>
        </is>
      </c>
      <c r="B139" s="308" t="n"/>
      <c r="C139" s="309" t="n"/>
      <c r="D139" s="309" t="n"/>
      <c r="E139" s="402" t="inlineStr">
        <is>
          <t>CCTCLSR2BB</t>
        </is>
      </c>
      <c r="F139" s="409" t="inlineStr">
        <is>
          <t>CLOSURE 2BB SC/DC</t>
        </is>
      </c>
      <c r="G139" s="403" t="n"/>
      <c r="H139" s="485">
        <f>B139*G139</f>
        <v/>
      </c>
      <c r="K139" s="556" t="n"/>
    </row>
    <row r="140" hidden="1" outlineLevel="1" s="955">
      <c r="A140" s="307" t="inlineStr">
        <is>
          <t>O.FBR.UNDG</t>
        </is>
      </c>
      <c r="B140" s="308" t="n"/>
      <c r="C140" s="309" t="n"/>
      <c r="D140" s="309" t="n"/>
      <c r="E140" s="402" t="inlineStr">
        <is>
          <t>CCTCLSR3BB</t>
        </is>
      </c>
      <c r="F140" s="409" t="inlineStr">
        <is>
          <t>CLOSURE 3BB SC/DC</t>
        </is>
      </c>
      <c r="G140" s="403" t="n"/>
      <c r="H140" s="485">
        <f>B140*G140</f>
        <v/>
      </c>
      <c r="K140" s="556" t="n"/>
    </row>
    <row r="141" hidden="1" outlineLevel="1" s="955">
      <c r="A141" s="307" t="inlineStr">
        <is>
          <t>O.FBR.UNDG</t>
        </is>
      </c>
      <c r="B141" s="308" t="n"/>
      <c r="C141" s="309" t="n"/>
      <c r="D141" s="309" t="n"/>
      <c r="E141" s="402" t="inlineStr">
        <is>
          <t>CCTCLSR5BB</t>
        </is>
      </c>
      <c r="F141" s="409" t="inlineStr">
        <is>
          <t>CLOSURE 5BB BB5X26-SB/2SC-LHS</t>
        </is>
      </c>
      <c r="G141" s="403" t="n"/>
      <c r="H141" s="485">
        <f>B141*G141</f>
        <v/>
      </c>
      <c r="K141" s="556" t="n"/>
    </row>
    <row r="142" hidden="1" outlineLevel="1" s="955">
      <c r="A142" s="307" t="inlineStr">
        <is>
          <t>O.FBR.UNDG</t>
        </is>
      </c>
      <c r="B142" s="308" t="n"/>
      <c r="C142" s="309" t="n"/>
      <c r="D142" s="309" t="n"/>
      <c r="E142" s="402" t="inlineStr">
        <is>
          <t>CCT2X29AERCLSR</t>
        </is>
      </c>
      <c r="F142" s="409" t="inlineStr">
        <is>
          <t>CLOSURE AERIAL SLIC  2" X 29" 3M SLIC 2X29</t>
        </is>
      </c>
      <c r="G142" s="403" t="n"/>
      <c r="H142" s="485">
        <f>B142*G142</f>
        <v/>
      </c>
      <c r="K142" s="556" t="n"/>
    </row>
    <row r="143" hidden="1" outlineLevel="1" s="955">
      <c r="A143" s="307" t="inlineStr">
        <is>
          <t>O.FBR.UNDG</t>
        </is>
      </c>
      <c r="B143" s="308" t="n"/>
      <c r="C143" s="309" t="n"/>
      <c r="D143" s="309" t="n"/>
      <c r="E143" s="402" t="inlineStr">
        <is>
          <t>CCT3X33AERCLSR</t>
        </is>
      </c>
      <c r="F143" s="409" t="inlineStr">
        <is>
          <t>CLOSURE AERIAL SLIC 3" X 33" CSL333</t>
        </is>
      </c>
      <c r="G143" s="403" t="n"/>
      <c r="H143" s="485">
        <f>B143*G143</f>
        <v/>
      </c>
      <c r="K143" s="556" t="n"/>
    </row>
    <row r="144" hidden="1" outlineLevel="1" s="955">
      <c r="A144" s="307" t="inlineStr">
        <is>
          <t>O.FBR.UNDG</t>
        </is>
      </c>
      <c r="B144" s="308" t="n"/>
      <c r="C144" s="309" t="n"/>
      <c r="D144" s="309" t="n"/>
      <c r="E144" s="402" t="inlineStr">
        <is>
          <t>CCT5X33AERCLSR</t>
        </is>
      </c>
      <c r="F144" s="409" t="inlineStr">
        <is>
          <t>CLOSURE AERIAL SLIC 5" X 33" CSL533</t>
        </is>
      </c>
      <c r="G144" s="403" t="n"/>
      <c r="H144" s="485">
        <f>B144*G144</f>
        <v/>
      </c>
      <c r="K144" s="556" t="n"/>
    </row>
    <row r="145" hidden="1" outlineLevel="1" s="955">
      <c r="A145" s="307" t="inlineStr">
        <is>
          <t>O.FBR.UNDG</t>
        </is>
      </c>
      <c r="B145" s="308" t="n"/>
      <c r="C145" s="309" t="n"/>
      <c r="D145" s="309" t="n"/>
      <c r="E145" s="402" t="inlineStr">
        <is>
          <t>CCT7X33AERCLSR</t>
        </is>
      </c>
      <c r="F145" s="409" t="inlineStr">
        <is>
          <t>CLOSURE AERIAL SLIC 7" X 33" CSL733</t>
        </is>
      </c>
      <c r="G145" s="403" t="n"/>
      <c r="H145" s="485">
        <f>B145*G145</f>
        <v/>
      </c>
      <c r="K145" s="556" t="n"/>
    </row>
    <row r="146" hidden="1" outlineLevel="1" s="955">
      <c r="A146" s="307" t="inlineStr">
        <is>
          <t>O.FBR.UNDG</t>
        </is>
      </c>
      <c r="B146" s="308" t="n"/>
      <c r="C146" s="309" t="n"/>
      <c r="D146" s="309" t="n"/>
      <c r="E146" s="402" t="inlineStr">
        <is>
          <t>CCT9X36AERCLSR</t>
        </is>
      </c>
      <c r="F146" s="409" t="inlineStr">
        <is>
          <t>CLOSURE AERIAL SLIC 9" X 36" CSL936</t>
        </is>
      </c>
      <c r="G146" s="403" t="n"/>
      <c r="H146" s="485">
        <f>B146*G146</f>
        <v/>
      </c>
      <c r="K146" s="556" t="n"/>
    </row>
    <row r="147" hidden="1" outlineLevel="1" s="955">
      <c r="A147" s="307" t="inlineStr">
        <is>
          <t>O.FBR.UNDG</t>
        </is>
      </c>
      <c r="B147" s="308" t="n"/>
      <c r="C147" s="309" t="n"/>
      <c r="D147" s="309" t="n"/>
      <c r="E147" s="402" t="inlineStr">
        <is>
          <t>CCTTERM2X19SLIC</t>
        </is>
      </c>
      <c r="F147" s="409" t="inlineStr">
        <is>
          <t>SLIC 2.2X19 CLOSURE SLIC22X19SES</t>
        </is>
      </c>
      <c r="G147" s="403" t="n"/>
      <c r="H147" s="485">
        <f>B147*G147</f>
        <v/>
      </c>
      <c r="K147" s="556" t="n"/>
    </row>
    <row r="148" hidden="1" outlineLevel="1" s="955">
      <c r="A148" s="307" t="inlineStr">
        <is>
          <t>O.FBR.UNDG</t>
        </is>
      </c>
      <c r="B148" s="308" t="n"/>
      <c r="C148" s="309" t="n"/>
      <c r="D148" s="309" t="n"/>
      <c r="E148" s="402" t="inlineStr">
        <is>
          <t>CCT3X28TERM</t>
        </is>
      </c>
      <c r="F148" s="409" t="inlineStr">
        <is>
          <t>SLIC TERMINAL W/10PR BLK 3X28 W/SPIRAL END - 328-PI-10/SES</t>
        </is>
      </c>
      <c r="G148" s="403" t="n"/>
      <c r="H148" s="485">
        <f>B148*G148</f>
        <v/>
      </c>
      <c r="K148" s="556" t="n"/>
    </row>
    <row r="149" hidden="1" outlineLevel="1" s="955">
      <c r="A149" s="307" t="inlineStr">
        <is>
          <t>O.FBR.UNDG</t>
        </is>
      </c>
      <c r="B149" s="308" t="n"/>
      <c r="C149" s="309" t="n"/>
      <c r="D149" s="309" t="n"/>
      <c r="E149" s="402" t="inlineStr">
        <is>
          <t>CCT5X30TERM</t>
        </is>
      </c>
      <c r="F149" s="409" t="inlineStr">
        <is>
          <t>SLIC TERMINAL W/10PR BLK 5X30 W/SPIRAL END - 530-PI-10/SES</t>
        </is>
      </c>
      <c r="G149" s="403" t="n"/>
      <c r="H149" s="485">
        <f>B149*G149</f>
        <v/>
      </c>
      <c r="K149" s="556" t="n"/>
    </row>
    <row r="150" hidden="1" outlineLevel="1" s="955">
      <c r="A150" s="307" t="inlineStr">
        <is>
          <t>O.FBR.UNDG</t>
        </is>
      </c>
      <c r="B150" s="308" t="n"/>
      <c r="C150" s="309" t="n"/>
      <c r="D150" s="309" t="n"/>
      <c r="E150" s="402" t="inlineStr">
        <is>
          <t>PEDCAD6</t>
        </is>
      </c>
      <c r="F150" s="409" t="inlineStr">
        <is>
          <t>PEDESTAL CAD-6</t>
        </is>
      </c>
      <c r="G150" s="403" t="n"/>
      <c r="H150" s="485">
        <f>B150*G150</f>
        <v/>
      </c>
      <c r="K150" s="556" t="n"/>
    </row>
    <row r="151" hidden="1" outlineLevel="1" s="955">
      <c r="A151" s="307" t="inlineStr">
        <is>
          <t>O.FBR.UNDG</t>
        </is>
      </c>
      <c r="B151" s="308" t="n"/>
      <c r="C151" s="309" t="n"/>
      <c r="D151" s="309" t="n"/>
      <c r="E151" s="402" t="inlineStr">
        <is>
          <t>PEDCAD8</t>
        </is>
      </c>
      <c r="F151" s="409" t="inlineStr">
        <is>
          <t>PEDESTAL CAD-8</t>
        </is>
      </c>
      <c r="G151" s="403" t="n"/>
      <c r="H151" s="485">
        <f>B151*G151</f>
        <v/>
      </c>
      <c r="K151" s="556" t="n"/>
    </row>
    <row r="152" hidden="1" outlineLevel="1" s="955">
      <c r="A152" s="307" t="inlineStr">
        <is>
          <t>O.FBR.UNDG</t>
        </is>
      </c>
      <c r="B152" s="308" t="n"/>
      <c r="C152" s="309" t="n"/>
      <c r="D152" s="309" t="n"/>
      <c r="E152" s="402" t="inlineStr">
        <is>
          <t>PEDOFPOBD7</t>
        </is>
      </c>
      <c r="F152" s="409" t="inlineStr">
        <is>
          <t>PEDESTAL OPFO-BD7</t>
        </is>
      </c>
      <c r="G152" s="403" t="n"/>
      <c r="H152" s="485">
        <f>B152*G152</f>
        <v/>
      </c>
      <c r="K152" s="556" t="n"/>
    </row>
    <row r="153" hidden="1" outlineLevel="1" s="955">
      <c r="A153" s="307" t="inlineStr">
        <is>
          <t>O.FBR.UNDG</t>
        </is>
      </c>
      <c r="B153" s="308" t="n"/>
      <c r="C153" s="309" t="n"/>
      <c r="D153" s="309" t="n"/>
      <c r="E153" s="402" t="inlineStr">
        <is>
          <t>PEDUP1248</t>
        </is>
      </c>
      <c r="F153" s="409" t="inlineStr">
        <is>
          <t>PEDESTAL UP1248</t>
        </is>
      </c>
      <c r="G153" s="403" t="n"/>
      <c r="H153" s="485">
        <f>B153*G153</f>
        <v/>
      </c>
      <c r="K153" s="556" t="n"/>
    </row>
    <row r="154" hidden="1" outlineLevel="1" s="955">
      <c r="A154" s="307" t="inlineStr">
        <is>
          <t>O.FBR.UNDG</t>
        </is>
      </c>
      <c r="B154" s="308" t="n"/>
      <c r="C154" s="309" t="n"/>
      <c r="D154" s="309" t="n"/>
      <c r="E154" s="402" t="inlineStr">
        <is>
          <t>HDWPOSTPDSTL42</t>
        </is>
      </c>
      <c r="F154" s="409" t="inlineStr">
        <is>
          <t>POST PEDESTAL 42" S1342</t>
        </is>
      </c>
      <c r="G154" s="403" t="n"/>
      <c r="H154" s="485">
        <f>B154*G154</f>
        <v/>
      </c>
      <c r="K154" s="556" t="n"/>
    </row>
    <row r="155" hidden="1" outlineLevel="1" ht="13.5" customHeight="1" s="955"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485">
        <f>B155*G155</f>
        <v/>
      </c>
      <c r="K155" s="556" t="n"/>
    </row>
    <row r="156" hidden="1" outlineLevel="1" ht="13.5" customHeight="1" s="955" thickBot="1">
      <c r="A156" s="295" t="n"/>
      <c r="B156" s="320" t="n"/>
      <c r="C156" s="404" t="n"/>
      <c r="D156" s="404" t="n"/>
      <c r="E156" s="405" t="n"/>
      <c r="F156" s="406" t="inlineStr">
        <is>
          <t>UNDERGROUND CLEAR VIEW DROP SINGLE ENDED</t>
        </is>
      </c>
      <c r="G156" s="407" t="n"/>
      <c r="H156" s="486" t="n"/>
    </row>
    <row r="157" hidden="1" outlineLevel="1" s="955">
      <c r="A157" s="307" t="inlineStr">
        <is>
          <t>O.FBR.UNDG</t>
        </is>
      </c>
      <c r="B157" s="308" t="n"/>
      <c r="C157" s="309" t="n"/>
      <c r="D157" s="309" t="n"/>
      <c r="E157" s="402" t="inlineStr">
        <is>
          <t>FDPCORCLRCRVOPT75</t>
        </is>
      </c>
      <c r="F157" s="402" t="inlineStr">
        <is>
          <t>Flex drop 75'</t>
        </is>
      </c>
      <c r="G157" s="403" t="n"/>
      <c r="H157" s="485">
        <f>B157*G157</f>
        <v/>
      </c>
    </row>
    <row r="158" hidden="1" outlineLevel="1" ht="13.5" customHeight="1" s="955" thickBot="1">
      <c r="A158" s="307" t="inlineStr">
        <is>
          <t>O.FBR.UNDG</t>
        </is>
      </c>
      <c r="B158" s="308" t="n"/>
      <c r="C158" s="309" t="n"/>
      <c r="D158" s="309" t="n"/>
      <c r="E158" s="402" t="inlineStr">
        <is>
          <t>FDPCORCLRCRVOPT600</t>
        </is>
      </c>
      <c r="F158" s="402" t="inlineStr">
        <is>
          <t>FLEX DROP 600'</t>
        </is>
      </c>
      <c r="G158" s="403" t="n"/>
      <c r="H158" s="485">
        <f>B158*G158</f>
        <v/>
      </c>
      <c r="K158" s="557" t="n"/>
    </row>
    <row r="159" hidden="1" outlineLevel="1" ht="13.5" customHeight="1" s="955" thickBot="1">
      <c r="A159" s="295" t="n"/>
      <c r="B159" s="320" t="n"/>
      <c r="C159" s="404" t="n"/>
      <c r="D159" s="404" t="n"/>
      <c r="E159" s="635" t="n"/>
      <c r="F159" s="406" t="inlineStr">
        <is>
          <t>UNDERGROUND MULTI PORT</t>
        </is>
      </c>
      <c r="G159" s="412" t="n"/>
      <c r="H159" s="486" t="n"/>
    </row>
    <row r="160" hidden="1" outlineLevel="1" s="955">
      <c r="A160" s="313" t="inlineStr">
        <is>
          <t>O.FBR.UNDG</t>
        </is>
      </c>
      <c r="B160" s="308" t="n"/>
      <c r="C160" s="309" t="n"/>
      <c r="D160" s="309" t="n"/>
      <c r="E160" s="402" t="inlineStr">
        <is>
          <t>FIJSCA</t>
        </is>
      </c>
      <c r="F160" s="402" t="inlineStr">
        <is>
          <t>FIBER PIGTAIL 12 FIBER SCAPC RBD9-SA3M</t>
        </is>
      </c>
      <c r="G160" s="403" t="n"/>
      <c r="H160" s="485">
        <f>B160*G160</f>
        <v/>
      </c>
    </row>
    <row r="161" hidden="1" outlineLevel="1" s="955">
      <c r="A161" s="313" t="inlineStr">
        <is>
          <t>O.FBR.UNDG</t>
        </is>
      </c>
      <c r="B161" s="308" t="n"/>
      <c r="C161" s="309" t="n"/>
      <c r="D161" s="309" t="n"/>
      <c r="E161" s="402" t="inlineStr">
        <is>
          <t>HDWAHD28PT</t>
        </is>
      </c>
      <c r="F161" s="402" t="inlineStr">
        <is>
          <t>AERIAL MOUNTING BRACKET 2-8 PT MOB-KT-AHD 2-8 PORTS</t>
        </is>
      </c>
      <c r="G161" s="403" t="n"/>
      <c r="H161" s="485">
        <f>B161*G161</f>
        <v/>
      </c>
    </row>
    <row r="162" hidden="1" outlineLevel="1" s="955">
      <c r="A162" s="313" t="inlineStr">
        <is>
          <t>O.FBR.UNDG</t>
        </is>
      </c>
      <c r="B162" s="308" t="n"/>
      <c r="C162" s="309" t="n"/>
      <c r="D162" s="309" t="n"/>
      <c r="E162" s="402" t="inlineStr">
        <is>
          <t>HDWAHD12PT</t>
        </is>
      </c>
      <c r="F162" s="402" t="inlineStr">
        <is>
          <t>AERIAL MOUNTING BRACKET 12 PT MOB-KT-AHD-12 PORTS</t>
        </is>
      </c>
      <c r="G162" s="403" t="n"/>
      <c r="H162" s="485">
        <f>B162*G162</f>
        <v/>
      </c>
    </row>
    <row r="163" hidden="1" outlineLevel="1" s="955">
      <c r="A163" s="313" t="inlineStr">
        <is>
          <t>O.FBR.UNDG</t>
        </is>
      </c>
      <c r="B163" s="308" t="n"/>
      <c r="C163" s="309" t="n"/>
      <c r="D163" s="309" t="n"/>
      <c r="E163" s="353" t="inlineStr">
        <is>
          <t>SPLMLTERMBOX</t>
        </is>
      </c>
      <c r="F163" s="402" t="inlineStr">
        <is>
          <t>MULTILINK TERM BOX 12"X20"X8" RNB-12208-1SL-C-PG-Y-S</t>
        </is>
      </c>
      <c r="G163" s="655" t="n">
        <v>166.09</v>
      </c>
      <c r="H163" s="485">
        <f>B163*G163</f>
        <v/>
      </c>
    </row>
    <row r="164" hidden="1" outlineLevel="1" s="955">
      <c r="A164" s="313" t="inlineStr">
        <is>
          <t>O.FBR.UNDG</t>
        </is>
      </c>
      <c r="B164" s="308" t="n"/>
      <c r="C164" s="309" t="n"/>
      <c r="D164" s="309" t="n"/>
      <c r="E164" s="353" t="inlineStr">
        <is>
          <t>HDWLUMOAERCBLTAG</t>
        </is>
      </c>
      <c r="F164" s="402" t="inlineStr">
        <is>
          <t>LUMOS AERIAL CABLE WRAP TAG</t>
        </is>
      </c>
      <c r="G164" s="655" t="n">
        <v>3.29</v>
      </c>
      <c r="H164" s="485">
        <f>B164*G164</f>
        <v/>
      </c>
    </row>
    <row r="165" hidden="1" outlineLevel="1" s="955">
      <c r="A165" s="313" t="inlineStr">
        <is>
          <t>O.FBR.UNDG</t>
        </is>
      </c>
      <c r="B165" s="659" t="n"/>
      <c r="C165" s="315" t="n"/>
      <c r="D165" s="315" t="n"/>
      <c r="E165" s="410" t="inlineStr">
        <is>
          <t>HDWWRSTRND14GRN</t>
        </is>
      </c>
      <c r="F165" s="410" t="inlineStr">
        <is>
          <t>WIRE #14 STRANDED TRACER GREEN</t>
        </is>
      </c>
      <c r="G165" s="411" t="n"/>
      <c r="H165" s="485">
        <f>B165*G165</f>
        <v/>
      </c>
    </row>
    <row r="166" hidden="1" outlineLevel="1" s="955">
      <c r="A166" s="313" t="inlineStr">
        <is>
          <t>O.FBR.AERL</t>
        </is>
      </c>
      <c r="B166" s="314" t="n"/>
      <c r="C166" s="315" t="n"/>
      <c r="D166" s="315" t="n"/>
      <c r="E166" s="316" t="inlineStr">
        <is>
          <t>SPLTIITERM24PTSCCON</t>
        </is>
      </c>
      <c r="F166" s="317" t="inlineStr">
        <is>
          <t>TII 24 PORT SC-UPC TERMINAL PANEL PN FET3G-24RSCN00</t>
        </is>
      </c>
      <c r="G166" s="413" t="n"/>
      <c r="H166" s="485">
        <f>B166*G166</f>
        <v/>
      </c>
    </row>
    <row r="167" hidden="1" outlineLevel="1" s="955">
      <c r="A167" s="313" t="inlineStr">
        <is>
          <t>O.FBR.AERL</t>
        </is>
      </c>
      <c r="B167" s="314" t="n"/>
      <c r="C167" s="315" t="n"/>
      <c r="D167" s="315" t="n"/>
      <c r="E167" s="316" t="inlineStr">
        <is>
          <t>SPLSCAPCSMFCON</t>
        </is>
      </c>
      <c r="F167" s="317" t="inlineStr">
        <is>
          <t>CONNECTOR SCAPC SPLICE ON F/ 250UM &amp; 900UM 4PK</t>
        </is>
      </c>
      <c r="G167" s="413" t="n"/>
      <c r="H167" s="485">
        <f>B167*G167</f>
        <v/>
      </c>
    </row>
    <row r="168" hidden="1" outlineLevel="1" s="955">
      <c r="A168" s="313" t="inlineStr">
        <is>
          <t>O.FBR.AERL</t>
        </is>
      </c>
      <c r="B168" s="314" t="n"/>
      <c r="C168" s="315" t="n"/>
      <c r="D168" s="315" t="n"/>
      <c r="E168" s="316" t="inlineStr">
        <is>
          <t>SPLTIIDEMARC24PTSCAPCADPT</t>
        </is>
      </c>
      <c r="F168" s="317" t="inlineStr">
        <is>
          <t>TII 24 PORT SC-APC TERMINAL PANEL PN FET3G-24RSCN00</t>
        </is>
      </c>
      <c r="G168" s="413" t="n"/>
      <c r="H168" s="485">
        <f>B168*G168</f>
        <v/>
      </c>
    </row>
    <row r="169" hidden="1" outlineLevel="1" ht="13.5" customHeight="1" s="955" thickBot="1">
      <c r="A169" s="313" t="inlineStr">
        <is>
          <t>O.FBR.AERL</t>
        </is>
      </c>
      <c r="B169" s="314" t="n"/>
      <c r="C169" s="315" t="n"/>
      <c r="D169" s="315" t="n"/>
      <c r="E169" s="316" t="inlineStr">
        <is>
          <t>SPLTII48FGRFET4G</t>
        </is>
      </c>
      <c r="F169" s="317" t="inlineStr">
        <is>
          <t>TII 48 PORT OUTDOOR ENCLOSURE</t>
        </is>
      </c>
      <c r="G169" s="413" t="n"/>
      <c r="H169" s="485">
        <f>B169*G169</f>
        <v/>
      </c>
    </row>
    <row r="170" hidden="1" outlineLevel="1" ht="13.5" customHeight="1" s="955" thickBot="1">
      <c r="A170" s="295" t="n"/>
      <c r="B170" s="320" t="n"/>
      <c r="C170" s="404" t="n"/>
      <c r="D170" s="404" t="n"/>
      <c r="E170" s="405" t="n"/>
      <c r="F170" s="326" t="inlineStr">
        <is>
          <t>SUB-TOTAL - O.FBR.UNDG</t>
        </is>
      </c>
      <c r="G170" s="414" t="n"/>
      <c r="H170" s="495">
        <f>SUM(H107:H169)</f>
        <v/>
      </c>
    </row>
    <row r="171" hidden="1" outlineLevel="1" ht="13.5" customHeight="1" s="955" thickBot="1">
      <c r="A171" s="295" t="n"/>
      <c r="B171" s="320" t="n"/>
      <c r="C171" s="404" t="n"/>
      <c r="D171" s="404" t="n"/>
      <c r="E171" s="405" t="n"/>
      <c r="F171" s="415" t="inlineStr">
        <is>
          <t>PROVISIONING - FIBER UNDERGROUND</t>
        </is>
      </c>
      <c r="G171" s="416" t="n"/>
      <c r="H171" s="495">
        <f>H170*(H1+H2)</f>
        <v/>
      </c>
    </row>
    <row r="172" hidden="1" outlineLevel="1" ht="13.5" customHeight="1" s="955" thickBot="1">
      <c r="A172" s="295" t="n"/>
      <c r="B172" s="320" t="n"/>
      <c r="C172" s="404" t="n"/>
      <c r="D172" s="404" t="n"/>
      <c r="E172" s="405" t="n"/>
      <c r="F172" s="417" t="inlineStr">
        <is>
          <t>TOTAL - O.FBR.UNDG</t>
        </is>
      </c>
      <c r="G172" s="327" t="n"/>
      <c r="H172" s="496">
        <f>H171+H170</f>
        <v/>
      </c>
    </row>
    <row r="173" collapsed="1" ht="13.5" customHeight="1" s="955" thickBot="1">
      <c r="A173" s="418" t="inlineStr">
        <is>
          <t>&lt;----Click the + to Expand or Collapse the "UNDERGROUND ASSET MATERIAL" Section</t>
        </is>
      </c>
      <c r="B173" s="419" t="n"/>
      <c r="C173" s="420" t="n"/>
      <c r="D173" s="420" t="n"/>
      <c r="E173" s="421" t="n"/>
      <c r="F173" s="333" t="n"/>
      <c r="G173" s="334" t="n"/>
      <c r="H173" s="335" t="n"/>
    </row>
    <row r="174" ht="13.5" customHeight="1" s="955" thickBot="1">
      <c r="A174" s="336" t="n"/>
      <c r="B174" s="483" t="inlineStr">
        <is>
          <t>-</t>
        </is>
      </c>
      <c r="C174" s="422" t="n"/>
      <c r="D174" s="422" t="n"/>
      <c r="E174" s="338" t="n"/>
      <c r="F174" s="339" t="inlineStr">
        <is>
          <t>BURIED FIBER ASSET MATERIAL</t>
        </is>
      </c>
      <c r="G174" s="340" t="n"/>
      <c r="H174" s="341" t="n"/>
    </row>
    <row r="175" outlineLevel="1" s="955">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488">
        <f>B175*G175</f>
        <v/>
      </c>
      <c r="J175" s="497" t="n"/>
      <c r="K175" s="554" t="n"/>
    </row>
    <row r="176" outlineLevel="1" s="955">
      <c r="A176" s="342" t="inlineStr">
        <is>
          <t>O.FBR.BURD</t>
        </is>
      </c>
      <c r="B176" s="502" t="n"/>
      <c r="C176" s="344" t="n"/>
      <c r="D176" s="344" t="n"/>
      <c r="E176" s="345" t="inlineStr">
        <is>
          <t>FIBGEN72ARMR</t>
        </is>
      </c>
      <c r="F176" s="346" t="inlineStr">
        <is>
          <t>048 Loose Tube PN D-048-LA-8W-F12NS; 048ZUC-T4122D20; AT3CEH2YT-048</t>
        </is>
      </c>
      <c r="G176" s="494" t="n">
        <v>0.6</v>
      </c>
      <c r="H176" s="488">
        <f>B176*G176</f>
        <v/>
      </c>
      <c r="J176" s="497" t="n"/>
      <c r="K176" s="554" t="n"/>
    </row>
    <row r="177" outlineLevel="1" s="955">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488">
        <f>B177*G177</f>
        <v/>
      </c>
      <c r="J177" s="497" t="n"/>
      <c r="K177" s="554" t="n"/>
    </row>
    <row r="178" outlineLevel="1" s="955">
      <c r="A178" s="342" t="inlineStr">
        <is>
          <t>O.FBR.BURD</t>
        </is>
      </c>
      <c r="B178" s="502">
        <f>'CABLE SHEET'!D5</f>
        <v/>
      </c>
      <c r="C178" s="344" t="n"/>
      <c r="D178" s="344" t="n"/>
      <c r="E178" s="353" t="inlineStr">
        <is>
          <t>FIBGEN144RIB</t>
        </is>
      </c>
      <c r="F178" s="636" t="inlineStr">
        <is>
          <t>144 Ribbon FIber PN 144EC5-14100D53</t>
        </is>
      </c>
      <c r="G178" s="641" t="n">
        <v>0.98</v>
      </c>
      <c r="H178" s="488">
        <f>B178*G178</f>
        <v/>
      </c>
      <c r="K178" s="554" t="n"/>
    </row>
    <row r="179" outlineLevel="1" s="955">
      <c r="A179" s="342" t="inlineStr">
        <is>
          <t>O.FBR.BURD</t>
        </is>
      </c>
      <c r="B179" s="343" t="n"/>
      <c r="C179" s="344" t="n"/>
      <c r="D179" s="344" t="n"/>
      <c r="E179" s="345" t="inlineStr">
        <is>
          <t>FIBOFS192LTARMR</t>
        </is>
      </c>
      <c r="F179" s="346" t="inlineStr">
        <is>
          <t>FIBER OFS AT3CEH2YT-192-FORTEX NON-DIELECTRIC LIGHT ARMOR</t>
        </is>
      </c>
      <c r="G179" s="494" t="n">
        <v>1.7</v>
      </c>
      <c r="H179" s="488">
        <f>B179*G179</f>
        <v/>
      </c>
      <c r="J179" s="497" t="n"/>
      <c r="K179" s="554" t="n"/>
    </row>
    <row r="180" outlineLevel="1" s="955">
      <c r="A180" s="342" t="inlineStr">
        <is>
          <t>O.FBR.BURD</t>
        </is>
      </c>
      <c r="B180" s="638">
        <f>'CABLE SHEET'!D6</f>
        <v/>
      </c>
      <c r="C180" s="344" t="n"/>
      <c r="D180" s="344" t="n"/>
      <c r="E180" s="353" t="inlineStr">
        <is>
          <t>FIBGEN288RIB</t>
        </is>
      </c>
      <c r="F180" s="346" t="inlineStr">
        <is>
          <t>288 Ribbon FIber PN 288EV5-14100D53</t>
        </is>
      </c>
      <c r="G180" s="641" t="n">
        <v>1.55</v>
      </c>
      <c r="H180" s="488">
        <f>B180*G180</f>
        <v/>
      </c>
      <c r="K180" s="554" t="n"/>
    </row>
    <row r="181" outlineLevel="1" ht="13.5" customHeight="1" s="955"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488">
        <f>B181*G181</f>
        <v/>
      </c>
      <c r="J181" s="497" t="n"/>
      <c r="K181" s="554" t="n"/>
    </row>
    <row r="182" outlineLevel="1" ht="13.5" customHeight="1" s="955" thickBot="1">
      <c r="A182" s="336" t="n"/>
      <c r="B182" s="356" t="n"/>
      <c r="C182" s="357" t="n"/>
      <c r="D182" s="357" t="n"/>
      <c r="E182" s="363" t="n"/>
      <c r="F182" s="359" t="inlineStr">
        <is>
          <t>BURIED CABLE ASSET MATERIAL</t>
        </is>
      </c>
      <c r="G182" s="364" t="n"/>
      <c r="H182" s="361" t="n"/>
      <c r="K182" s="556" t="n"/>
    </row>
    <row r="183" outlineLevel="1" s="955">
      <c r="A183" s="342" t="inlineStr">
        <is>
          <t>O.FBR.BURD</t>
        </is>
      </c>
      <c r="B183" s="343" t="n"/>
      <c r="C183" s="344" t="n"/>
      <c r="D183" s="344" t="n"/>
      <c r="E183" s="345" t="inlineStr">
        <is>
          <t>CBLFS2522</t>
        </is>
      </c>
      <c r="F183" s="346" t="inlineStr">
        <is>
          <t>CABLE F.S. 25-22</t>
        </is>
      </c>
      <c r="G183" s="347" t="n"/>
      <c r="H183" s="488">
        <f>B183*G183</f>
        <v/>
      </c>
      <c r="K183" s="556" t="n"/>
    </row>
    <row r="184" outlineLevel="1" s="955">
      <c r="A184" s="342" t="inlineStr">
        <is>
          <t>O.FBR.BURD</t>
        </is>
      </c>
      <c r="B184" s="343" t="n"/>
      <c r="C184" s="344" t="n"/>
      <c r="D184" s="344" t="n"/>
      <c r="E184" s="345" t="inlineStr">
        <is>
          <t>CBLFSKIN10024</t>
        </is>
      </c>
      <c r="F184" s="346" t="inlineStr">
        <is>
          <t>CABLE FOAM SKIN 100-24</t>
        </is>
      </c>
      <c r="G184" s="347" t="n"/>
      <c r="H184" s="488">
        <f>B184*G184</f>
        <v/>
      </c>
      <c r="K184" s="556" t="n"/>
    </row>
    <row r="185" outlineLevel="1" s="955">
      <c r="A185" s="342" t="inlineStr">
        <is>
          <t>O.FBR.BURD</t>
        </is>
      </c>
      <c r="B185" s="343" t="n"/>
      <c r="C185" s="344" t="n"/>
      <c r="D185" s="344" t="n"/>
      <c r="E185" s="345" t="inlineStr">
        <is>
          <t>CBLFSKIN120024</t>
        </is>
      </c>
      <c r="F185" s="346" t="inlineStr">
        <is>
          <t>CABLE FOAM SKIN 1200-24</t>
        </is>
      </c>
      <c r="G185" s="347" t="n"/>
      <c r="H185" s="488">
        <f>B185*G185</f>
        <v/>
      </c>
      <c r="K185" s="556" t="n"/>
    </row>
    <row r="186" outlineLevel="1" s="955">
      <c r="A186" s="342" t="inlineStr">
        <is>
          <t>O.FBR.BURD</t>
        </is>
      </c>
      <c r="B186" s="343" t="n"/>
      <c r="C186" s="344" t="n"/>
      <c r="D186" s="344" t="n"/>
      <c r="E186" s="345" t="inlineStr">
        <is>
          <t>CBLFSKIN1224</t>
        </is>
      </c>
      <c r="F186" s="346" t="inlineStr">
        <is>
          <t>CABLE FOAM SKIN 12-24</t>
        </is>
      </c>
      <c r="G186" s="347" t="n"/>
      <c r="H186" s="488">
        <f>B186*G186</f>
        <v/>
      </c>
      <c r="K186" s="556" t="n"/>
    </row>
    <row r="187" outlineLevel="1" s="955">
      <c r="A187" s="342" t="inlineStr">
        <is>
          <t>O.FBR.BURD</t>
        </is>
      </c>
      <c r="B187" s="343" t="n"/>
      <c r="C187" s="344" t="n"/>
      <c r="D187" s="344" t="n"/>
      <c r="E187" s="345" t="inlineStr">
        <is>
          <t>CBLFSKIN180024</t>
        </is>
      </c>
      <c r="F187" s="346" t="inlineStr">
        <is>
          <t>CABLE FOAM SKIN 1800-24</t>
        </is>
      </c>
      <c r="G187" s="347" t="n"/>
      <c r="H187" s="488">
        <f>B187*G187</f>
        <v/>
      </c>
      <c r="K187" s="556" t="n"/>
    </row>
    <row r="188" outlineLevel="1" s="955">
      <c r="A188" s="342" t="inlineStr">
        <is>
          <t>O.FBR.BURD</t>
        </is>
      </c>
      <c r="B188" s="343" t="n"/>
      <c r="C188" s="344" t="n"/>
      <c r="D188" s="344" t="n"/>
      <c r="E188" s="345" t="inlineStr">
        <is>
          <t>CBLFSKIN20024</t>
        </is>
      </c>
      <c r="F188" s="346" t="inlineStr">
        <is>
          <t>CABLE FOAM SKIN 200-24</t>
        </is>
      </c>
      <c r="G188" s="347" t="n"/>
      <c r="H188" s="488">
        <f>B188*G188</f>
        <v/>
      </c>
      <c r="K188" s="556" t="n"/>
    </row>
    <row r="189" outlineLevel="1" s="955">
      <c r="A189" s="342" t="inlineStr">
        <is>
          <t>O.FBR.BURD</t>
        </is>
      </c>
      <c r="B189" s="343" t="n"/>
      <c r="C189" s="344" t="n"/>
      <c r="D189" s="344" t="n"/>
      <c r="E189" s="345" t="inlineStr">
        <is>
          <t>CBLFSKIN2524</t>
        </is>
      </c>
      <c r="F189" s="346" t="inlineStr">
        <is>
          <t>CABLE FOAM SKIN 25-24</t>
        </is>
      </c>
      <c r="G189" s="347" t="n"/>
      <c r="H189" s="488">
        <f>B189*G189</f>
        <v/>
      </c>
      <c r="K189" s="556" t="n"/>
    </row>
    <row r="190" outlineLevel="1" s="955">
      <c r="A190" s="342" t="inlineStr">
        <is>
          <t>O.FBR.BURD</t>
        </is>
      </c>
      <c r="B190" s="343" t="n"/>
      <c r="C190" s="344" t="n"/>
      <c r="D190" s="344" t="n"/>
      <c r="E190" s="345" t="inlineStr">
        <is>
          <t>CBLFSKIN30024</t>
        </is>
      </c>
      <c r="F190" s="346" t="inlineStr">
        <is>
          <t>CABLE FOAM SKIN 300-24</t>
        </is>
      </c>
      <c r="G190" s="347" t="n"/>
      <c r="H190" s="488">
        <f>B190*G190</f>
        <v/>
      </c>
      <c r="K190" s="556" t="n"/>
    </row>
    <row r="191" outlineLevel="1" s="955">
      <c r="A191" s="342" t="inlineStr">
        <is>
          <t>O.FBR.BURD</t>
        </is>
      </c>
      <c r="B191" s="343" t="n"/>
      <c r="C191" s="344" t="n"/>
      <c r="D191" s="344" t="n"/>
      <c r="E191" s="345" t="inlineStr">
        <is>
          <t>CBLFSKIN40024</t>
        </is>
      </c>
      <c r="F191" s="346" t="inlineStr">
        <is>
          <t>CABLE FOAM SKIN 400-24</t>
        </is>
      </c>
      <c r="G191" s="347" t="n"/>
      <c r="H191" s="488">
        <f>B191*G191</f>
        <v/>
      </c>
      <c r="K191" s="556" t="n"/>
    </row>
    <row r="192" outlineLevel="1" s="955">
      <c r="A192" s="342" t="inlineStr">
        <is>
          <t>O.FBR.BURD</t>
        </is>
      </c>
      <c r="B192" s="343" t="n"/>
      <c r="C192" s="344" t="n"/>
      <c r="D192" s="344" t="n"/>
      <c r="E192" s="345" t="inlineStr">
        <is>
          <t>CBLFSKIN5022</t>
        </is>
      </c>
      <c r="F192" s="346" t="inlineStr">
        <is>
          <t>CABLE FOAM SKIN 50-22</t>
        </is>
      </c>
      <c r="G192" s="347" t="n"/>
      <c r="H192" s="488">
        <f>B192*G192</f>
        <v/>
      </c>
      <c r="K192" s="556" t="n"/>
    </row>
    <row r="193" outlineLevel="1" s="955">
      <c r="A193" s="342" t="inlineStr">
        <is>
          <t>O.FBR.BURD</t>
        </is>
      </c>
      <c r="B193" s="343" t="n"/>
      <c r="C193" s="344" t="n"/>
      <c r="D193" s="344" t="n"/>
      <c r="E193" s="345" t="inlineStr">
        <is>
          <t>CBLFSKIN5024</t>
        </is>
      </c>
      <c r="F193" s="346" t="inlineStr">
        <is>
          <t>CABLE FOAM SKIN 50-24</t>
        </is>
      </c>
      <c r="G193" s="347" t="n"/>
      <c r="H193" s="488">
        <f>B193*G193</f>
        <v/>
      </c>
      <c r="K193" s="556" t="n"/>
    </row>
    <row r="194" outlineLevel="1" s="955">
      <c r="A194" s="342" t="inlineStr">
        <is>
          <t>O.FBR.BURD</t>
        </is>
      </c>
      <c r="B194" s="343" t="n"/>
      <c r="C194" s="344" t="n"/>
      <c r="D194" s="344" t="n"/>
      <c r="E194" s="345" t="inlineStr">
        <is>
          <t>CBLFSKIN60024</t>
        </is>
      </c>
      <c r="F194" s="346" t="inlineStr">
        <is>
          <t>CABLE FOAM SKIN 600-24</t>
        </is>
      </c>
      <c r="G194" s="347" t="n"/>
      <c r="H194" s="488">
        <f>B194*G194</f>
        <v/>
      </c>
      <c r="K194" s="556" t="n"/>
    </row>
    <row r="195" outlineLevel="1" s="955">
      <c r="A195" s="342" t="inlineStr">
        <is>
          <t>O.FBR.BURD</t>
        </is>
      </c>
      <c r="B195" s="343" t="n"/>
      <c r="C195" s="344" t="n"/>
      <c r="D195" s="344" t="n"/>
      <c r="E195" s="345" t="inlineStr">
        <is>
          <t>CBLFSKIN622</t>
        </is>
      </c>
      <c r="F195" s="346" t="inlineStr">
        <is>
          <t>CABLE FOAM SKIN 6-22</t>
        </is>
      </c>
      <c r="G195" s="347" t="n"/>
      <c r="H195" s="488">
        <f>B195*G195</f>
        <v/>
      </c>
      <c r="K195" s="556" t="n"/>
    </row>
    <row r="196" outlineLevel="1" s="955">
      <c r="A196" s="342" t="inlineStr">
        <is>
          <t>O.FBR.BURD</t>
        </is>
      </c>
      <c r="B196" s="343" t="n"/>
      <c r="C196" s="344" t="n"/>
      <c r="D196" s="344" t="n"/>
      <c r="E196" s="345" t="inlineStr">
        <is>
          <t>CBLFSKIN624</t>
        </is>
      </c>
      <c r="F196" s="346" t="inlineStr">
        <is>
          <t>CABLE FOAM SKIN 6-24</t>
        </is>
      </c>
      <c r="G196" s="347" t="n"/>
      <c r="H196" s="488">
        <f>B196*G196</f>
        <v/>
      </c>
      <c r="K196" s="556" t="n"/>
    </row>
    <row r="197" outlineLevel="1" s="955">
      <c r="A197" s="342" t="inlineStr">
        <is>
          <t>O.FBR.BURD</t>
        </is>
      </c>
      <c r="B197" s="343" t="n"/>
      <c r="C197" s="344" t="n"/>
      <c r="D197" s="344" t="n"/>
      <c r="E197" s="345" t="inlineStr">
        <is>
          <t>CBLFSKIN90024</t>
        </is>
      </c>
      <c r="F197" s="346" t="inlineStr">
        <is>
          <t>CABLE FOAM SKIN 900-24</t>
        </is>
      </c>
      <c r="G197" s="347" t="n"/>
      <c r="H197" s="488">
        <f>B197*G197</f>
        <v/>
      </c>
      <c r="K197" s="556" t="n"/>
    </row>
    <row r="198" outlineLevel="1" s="955">
      <c r="A198" s="342" t="inlineStr">
        <is>
          <t>O.FBR.BURD</t>
        </is>
      </c>
      <c r="B198" s="343" t="n"/>
      <c r="C198" s="344" t="n"/>
      <c r="D198" s="344" t="n"/>
      <c r="E198" s="345" t="inlineStr">
        <is>
          <t>CBLRDW622</t>
        </is>
      </c>
      <c r="F198" s="346" t="inlineStr">
        <is>
          <t>RDW 6-22   #10-006-17 IMRDW 109 MESSENGER FIG 8</t>
        </is>
      </c>
      <c r="G198" s="347" t="n"/>
      <c r="H198" s="488">
        <f>B198*G198</f>
        <v/>
      </c>
      <c r="K198" s="556" t="n"/>
    </row>
    <row r="199" outlineLevel="1" s="955">
      <c r="A199" s="342" t="inlineStr">
        <is>
          <t>O.FBR.BURD</t>
        </is>
      </c>
      <c r="B199" s="343" t="n"/>
      <c r="C199" s="344" t="n"/>
      <c r="D199" s="344" t="n"/>
      <c r="E199" s="345" t="inlineStr">
        <is>
          <t>CCTSPLCASE4X25</t>
        </is>
      </c>
      <c r="F199" s="346" t="inlineStr">
        <is>
          <t>CASE SPL 4X25 8000624 W/BOND</t>
        </is>
      </c>
      <c r="G199" s="347" t="n"/>
      <c r="H199" s="488">
        <f>B199*G199</f>
        <v/>
      </c>
      <c r="K199" s="556" t="n"/>
    </row>
    <row r="200" outlineLevel="1" s="955">
      <c r="A200" s="342" t="inlineStr">
        <is>
          <t>O.FBR.BURD</t>
        </is>
      </c>
      <c r="B200" s="343" t="n"/>
      <c r="C200" s="344" t="n"/>
      <c r="D200" s="344" t="n"/>
      <c r="E200" s="345" t="inlineStr">
        <is>
          <t>CCTSPLCASE65X28</t>
        </is>
      </c>
      <c r="F200" s="346" t="inlineStr">
        <is>
          <t>CASE SPL 6.5X28 8000626 W/BOND</t>
        </is>
      </c>
      <c r="G200" s="347" t="n"/>
      <c r="H200" s="488">
        <f>B200*G200</f>
        <v/>
      </c>
      <c r="K200" s="556" t="n"/>
    </row>
    <row r="201" outlineLevel="1" s="955">
      <c r="A201" s="342" t="inlineStr">
        <is>
          <t>O.FBR.BURD</t>
        </is>
      </c>
      <c r="B201" s="343" t="n"/>
      <c r="C201" s="344" t="n"/>
      <c r="D201" s="344" t="n"/>
      <c r="E201" s="345" t="inlineStr">
        <is>
          <t>CCTSPLCASE65X38</t>
        </is>
      </c>
      <c r="F201" s="346" t="inlineStr">
        <is>
          <t>CASE SPL 6.5X38 8000634 W/BOND</t>
        </is>
      </c>
      <c r="G201" s="347" t="n"/>
      <c r="H201" s="488">
        <f>B201*G201</f>
        <v/>
      </c>
      <c r="K201" s="556" t="n"/>
    </row>
    <row r="202" outlineLevel="1" s="955">
      <c r="A202" s="342" t="inlineStr">
        <is>
          <t>O.FBR.BURD</t>
        </is>
      </c>
      <c r="B202" s="343" t="n"/>
      <c r="C202" s="344" t="n"/>
      <c r="D202" s="344" t="n"/>
      <c r="E202" s="345" t="inlineStr">
        <is>
          <t>CCTSPLCASE95X28</t>
        </is>
      </c>
      <c r="F202" s="346" t="inlineStr">
        <is>
          <t>CASE SPL 9.5X28 8000630 W/BOND</t>
        </is>
      </c>
      <c r="G202" s="347" t="n"/>
      <c r="H202" s="488">
        <f>B202*G202</f>
        <v/>
      </c>
      <c r="K202" s="556" t="n"/>
    </row>
    <row r="203" outlineLevel="1" s="955">
      <c r="A203" s="342" t="inlineStr">
        <is>
          <t>O.FBR.BURD</t>
        </is>
      </c>
      <c r="B203" s="343" t="n"/>
      <c r="C203" s="344" t="n"/>
      <c r="D203" s="344" t="n"/>
      <c r="E203" s="345" t="inlineStr">
        <is>
          <t>CCTSPLCASE95X38</t>
        </is>
      </c>
      <c r="F203" s="346" t="inlineStr">
        <is>
          <t>CASE SPL 9.5X38 8000635 W/BOND</t>
        </is>
      </c>
      <c r="G203" s="347" t="n"/>
      <c r="H203" s="488">
        <f>B203*G203</f>
        <v/>
      </c>
      <c r="K203" s="556" t="n"/>
    </row>
    <row r="204" outlineLevel="1" s="955">
      <c r="A204" s="342" t="inlineStr">
        <is>
          <t>O.FBR.BURD</t>
        </is>
      </c>
      <c r="B204" s="343" t="n"/>
      <c r="C204" s="344" t="n"/>
      <c r="D204" s="344" t="n"/>
      <c r="E204" s="345" t="inlineStr">
        <is>
          <t>CCTSPLCASE95X45</t>
        </is>
      </c>
      <c r="F204" s="346" t="inlineStr">
        <is>
          <t>CASE SPL 9.5X45 8006176 W/BOND</t>
        </is>
      </c>
      <c r="G204" s="347" t="n"/>
      <c r="H204" s="488">
        <f>B204*G204</f>
        <v/>
      </c>
      <c r="K204" s="556" t="n"/>
    </row>
    <row r="205" outlineLevel="1" s="955">
      <c r="A205" s="342" t="inlineStr">
        <is>
          <t>O.FBR.BURD</t>
        </is>
      </c>
      <c r="B205" s="343" t="n"/>
      <c r="C205" s="344" t="n"/>
      <c r="D205" s="344" t="n"/>
      <c r="E205" s="345" t="inlineStr">
        <is>
          <t>CCTREDDI95X284</t>
        </is>
      </c>
      <c r="F205" s="346" t="inlineStr">
        <is>
          <t>CLOS REDDI 9.5X28.4 8006175&amp;74</t>
        </is>
      </c>
      <c r="G205" s="347" t="n"/>
      <c r="H205" s="488">
        <f>B205*G205</f>
        <v/>
      </c>
      <c r="K205" s="556" t="n"/>
    </row>
    <row r="206" outlineLevel="1" s="955">
      <c r="A206" s="342" t="inlineStr">
        <is>
          <t>O.FBR.BURD</t>
        </is>
      </c>
      <c r="B206" s="343" t="n"/>
      <c r="C206" s="344" t="n"/>
      <c r="D206" s="344" t="n"/>
      <c r="E206" s="345" t="inlineStr">
        <is>
          <t>CCTREDDI95X385</t>
        </is>
      </c>
      <c r="F206" s="346" t="inlineStr">
        <is>
          <t>CLOS REDDI 9.5X38.5 8006181</t>
        </is>
      </c>
      <c r="G206" s="347" t="n"/>
      <c r="H206" s="488">
        <f>B206*G206</f>
        <v/>
      </c>
      <c r="K206" s="556" t="n"/>
    </row>
    <row r="207" outlineLevel="1" s="955">
      <c r="A207" s="342" t="inlineStr">
        <is>
          <t>O.FBR.BURD</t>
        </is>
      </c>
      <c r="B207" s="343" t="n"/>
      <c r="C207" s="344" t="n"/>
      <c r="D207" s="344" t="n"/>
      <c r="E207" s="345" t="inlineStr">
        <is>
          <t>CCTCLSR2BB</t>
        </is>
      </c>
      <c r="F207" s="346" t="inlineStr">
        <is>
          <t>CLOSURE 2BB SC/DC</t>
        </is>
      </c>
      <c r="G207" s="347" t="n"/>
      <c r="H207" s="488">
        <f>B207*G207</f>
        <v/>
      </c>
      <c r="K207" s="556" t="n"/>
    </row>
    <row r="208" outlineLevel="1" s="955">
      <c r="A208" s="342" t="inlineStr">
        <is>
          <t>O.FBR.BURD</t>
        </is>
      </c>
      <c r="B208" s="343" t="n"/>
      <c r="C208" s="344" t="n"/>
      <c r="D208" s="344" t="n"/>
      <c r="E208" s="345" t="inlineStr">
        <is>
          <t>CCTCLSR3BB</t>
        </is>
      </c>
      <c r="F208" s="346" t="inlineStr">
        <is>
          <t>CLOSURE 3BB SC/DC</t>
        </is>
      </c>
      <c r="G208" s="347" t="n"/>
      <c r="H208" s="488">
        <f>B208*G208</f>
        <v/>
      </c>
      <c r="K208" s="556" t="n"/>
    </row>
    <row r="209" outlineLevel="1" s="955">
      <c r="A209" s="342" t="inlineStr">
        <is>
          <t>O.FBR.BURD</t>
        </is>
      </c>
      <c r="B209" s="343" t="n"/>
      <c r="C209" s="344" t="n"/>
      <c r="D209" s="344" t="n"/>
      <c r="E209" s="345" t="inlineStr">
        <is>
          <t>CCTCLSR5BB</t>
        </is>
      </c>
      <c r="F209" s="346" t="inlineStr">
        <is>
          <t>CLOSURE 5BB BB5X26-SB/2SC-LHS</t>
        </is>
      </c>
      <c r="G209" s="347" t="n"/>
      <c r="H209" s="488">
        <f>B209*G209</f>
        <v/>
      </c>
      <c r="K209" s="556" t="n"/>
    </row>
    <row r="210" outlineLevel="1" s="955">
      <c r="A210" s="342" t="inlineStr">
        <is>
          <t>O.FBR.BURD</t>
        </is>
      </c>
      <c r="B210" s="343" t="n"/>
      <c r="C210" s="344" t="n"/>
      <c r="D210" s="344" t="n"/>
      <c r="E210" s="345" t="inlineStr">
        <is>
          <t>CCT2X29AERCLSR</t>
        </is>
      </c>
      <c r="F210" s="346" t="inlineStr">
        <is>
          <t>CLOSURE AERIAL SLIC  2" X 29" 3M SLIC 2X29</t>
        </is>
      </c>
      <c r="G210" s="347" t="n"/>
      <c r="H210" s="488">
        <f>B210*G210</f>
        <v/>
      </c>
      <c r="K210" s="556" t="n"/>
    </row>
    <row r="211" outlineLevel="1" s="955">
      <c r="A211" s="342" t="inlineStr">
        <is>
          <t>O.FBR.BURD</t>
        </is>
      </c>
      <c r="B211" s="343" t="n"/>
      <c r="C211" s="344" t="n"/>
      <c r="D211" s="344" t="n"/>
      <c r="E211" s="345" t="inlineStr">
        <is>
          <t>CCT3X33AERCLSR</t>
        </is>
      </c>
      <c r="F211" s="346" t="inlineStr">
        <is>
          <t>CLOSURE AERIAL SLIC 3" X 33" CSL333</t>
        </is>
      </c>
      <c r="G211" s="347" t="n"/>
      <c r="H211" s="488">
        <f>B211*G211</f>
        <v/>
      </c>
      <c r="K211" s="556" t="n"/>
    </row>
    <row r="212" outlineLevel="1" s="955">
      <c r="A212" s="342" t="inlineStr">
        <is>
          <t>O.FBR.BURD</t>
        </is>
      </c>
      <c r="B212" s="343" t="n"/>
      <c r="C212" s="344" t="n"/>
      <c r="D212" s="344" t="n"/>
      <c r="E212" s="345" t="inlineStr">
        <is>
          <t>CCT5X33AERCLSR</t>
        </is>
      </c>
      <c r="F212" s="346" t="inlineStr">
        <is>
          <t>CLOSURE AERIAL SLIC 5" X 33" CSL533</t>
        </is>
      </c>
      <c r="G212" s="347" t="n"/>
      <c r="H212" s="488">
        <f>B212*G212</f>
        <v/>
      </c>
      <c r="K212" s="556" t="n"/>
    </row>
    <row r="213" outlineLevel="1" s="955">
      <c r="A213" s="342" t="inlineStr">
        <is>
          <t>O.FBR.BURD</t>
        </is>
      </c>
      <c r="B213" s="343" t="n"/>
      <c r="C213" s="344" t="n"/>
      <c r="D213" s="344" t="n"/>
      <c r="E213" s="345" t="inlineStr">
        <is>
          <t>CCT7X33AERCLSR</t>
        </is>
      </c>
      <c r="F213" s="346" t="inlineStr">
        <is>
          <t>CLOSURE AERIAL SLIC 7" X 33" CSL733</t>
        </is>
      </c>
      <c r="G213" s="347" t="n"/>
      <c r="H213" s="488">
        <f>B213*G213</f>
        <v/>
      </c>
      <c r="K213" s="556" t="n"/>
    </row>
    <row r="214" outlineLevel="1" s="955">
      <c r="A214" s="342" t="inlineStr">
        <is>
          <t>O.FBR.BURD</t>
        </is>
      </c>
      <c r="B214" s="343" t="n"/>
      <c r="C214" s="344" t="n"/>
      <c r="D214" s="344" t="n"/>
      <c r="E214" s="345" t="inlineStr">
        <is>
          <t>CCT9X36AERCLSR</t>
        </is>
      </c>
      <c r="F214" s="346" t="inlineStr">
        <is>
          <t>CLOSURE AERIAL SLIC 9" X 36" CSL936</t>
        </is>
      </c>
      <c r="G214" s="347" t="n"/>
      <c r="H214" s="488">
        <f>B214*G214</f>
        <v/>
      </c>
      <c r="K214" s="556" t="n"/>
    </row>
    <row r="215" outlineLevel="1" s="955">
      <c r="A215" s="342" t="inlineStr">
        <is>
          <t>O.FBR.BURD</t>
        </is>
      </c>
      <c r="B215" s="343" t="n"/>
      <c r="C215" s="344" t="n"/>
      <c r="D215" s="344" t="n"/>
      <c r="E215" s="345" t="inlineStr">
        <is>
          <t>CCTTERM2X19SLIC</t>
        </is>
      </c>
      <c r="F215" s="346" t="inlineStr">
        <is>
          <t>SLIC 2.2X19 CLOSURE SLIC22X19SES</t>
        </is>
      </c>
      <c r="G215" s="347" t="n"/>
      <c r="H215" s="488">
        <f>B215*G215</f>
        <v/>
      </c>
      <c r="K215" s="556" t="n"/>
    </row>
    <row r="216" outlineLevel="1" s="955">
      <c r="A216" s="342" t="inlineStr">
        <is>
          <t>O.FBR.BURD</t>
        </is>
      </c>
      <c r="B216" s="343" t="n"/>
      <c r="C216" s="344" t="n"/>
      <c r="D216" s="344" t="n"/>
      <c r="E216" s="345" t="inlineStr">
        <is>
          <t>CCT3X28TERM</t>
        </is>
      </c>
      <c r="F216" s="346" t="inlineStr">
        <is>
          <t>SLIC TERMINAL W/10PR BLK 3X28 W/SPIRAL END - 328-PI-10/SES</t>
        </is>
      </c>
      <c r="G216" s="347" t="n"/>
      <c r="H216" s="488">
        <f>B216*G216</f>
        <v/>
      </c>
      <c r="K216" s="556" t="n"/>
    </row>
    <row r="217" outlineLevel="1" s="955">
      <c r="A217" s="342" t="inlineStr">
        <is>
          <t>O.FBR.BURD</t>
        </is>
      </c>
      <c r="B217" s="343" t="n"/>
      <c r="C217" s="344" t="n"/>
      <c r="D217" s="344" t="n"/>
      <c r="E217" s="345" t="inlineStr">
        <is>
          <t>CCT5X30TERM</t>
        </is>
      </c>
      <c r="F217" s="346" t="inlineStr">
        <is>
          <t>SLIC TERMINAL W/10PR BLK 5X30 W/SPIRAL END - 530-PI-10/SES</t>
        </is>
      </c>
      <c r="G217" s="347" t="n"/>
      <c r="H217" s="488">
        <f>B217*G217</f>
        <v/>
      </c>
      <c r="K217" s="556" t="n"/>
    </row>
    <row r="218" outlineLevel="1" s="955">
      <c r="A218" s="342" t="inlineStr">
        <is>
          <t>O.FBR.BURD</t>
        </is>
      </c>
      <c r="B218" s="343" t="n"/>
      <c r="C218" s="344" t="n"/>
      <c r="D218" s="344" t="n"/>
      <c r="E218" s="345" t="inlineStr">
        <is>
          <t>PEDCAD6</t>
        </is>
      </c>
      <c r="F218" s="346" t="inlineStr">
        <is>
          <t>PEDESTAL CAD-6</t>
        </is>
      </c>
      <c r="G218" s="347" t="n"/>
      <c r="H218" s="488">
        <f>B218*G218</f>
        <v/>
      </c>
      <c r="K218" s="556" t="n"/>
    </row>
    <row r="219" outlineLevel="1" s="955">
      <c r="A219" s="342" t="inlineStr">
        <is>
          <t>O.FBR.BURD</t>
        </is>
      </c>
      <c r="B219" s="343" t="n"/>
      <c r="C219" s="344" t="n"/>
      <c r="D219" s="344" t="n"/>
      <c r="E219" s="345" t="inlineStr">
        <is>
          <t>PEDCAD8</t>
        </is>
      </c>
      <c r="F219" s="346" t="inlineStr">
        <is>
          <t>PEDESTAL CAD-8</t>
        </is>
      </c>
      <c r="G219" s="347" t="n"/>
      <c r="H219" s="488">
        <f>B219*G219</f>
        <v/>
      </c>
      <c r="K219" s="556" t="n"/>
    </row>
    <row r="220" outlineLevel="1" s="955">
      <c r="A220" s="342" t="inlineStr">
        <is>
          <t>O.FBR.BURD</t>
        </is>
      </c>
      <c r="B220" s="343" t="n"/>
      <c r="C220" s="344" t="n"/>
      <c r="D220" s="344" t="n"/>
      <c r="E220" s="345" t="inlineStr">
        <is>
          <t>PEDOFPOBD7</t>
        </is>
      </c>
      <c r="F220" s="346" t="inlineStr">
        <is>
          <t>PEDESTAL OPFO-BD7</t>
        </is>
      </c>
      <c r="G220" s="347" t="n"/>
      <c r="H220" s="488">
        <f>B220*G220</f>
        <v/>
      </c>
      <c r="K220" s="556" t="n"/>
    </row>
    <row r="221" outlineLevel="1" s="955">
      <c r="A221" s="342" t="inlineStr">
        <is>
          <t>O.FBR.BURD</t>
        </is>
      </c>
      <c r="B221" s="343" t="n"/>
      <c r="C221" s="344" t="n"/>
      <c r="D221" s="344" t="n"/>
      <c r="E221" s="345" t="inlineStr">
        <is>
          <t>PEDUP1248</t>
        </is>
      </c>
      <c r="F221" s="346" t="inlineStr">
        <is>
          <t>PEDESTAL UP1248</t>
        </is>
      </c>
      <c r="G221" s="347" t="n"/>
      <c r="H221" s="488">
        <f>B221*G221</f>
        <v/>
      </c>
      <c r="K221" s="556" t="n"/>
    </row>
    <row r="222" outlineLevel="1" s="955">
      <c r="A222" s="342" t="inlineStr">
        <is>
          <t>O.FBR.BURD</t>
        </is>
      </c>
      <c r="B222" s="343" t="n"/>
      <c r="C222" s="344" t="n"/>
      <c r="D222" s="344" t="n"/>
      <c r="E222" s="345" t="inlineStr">
        <is>
          <t>HDWPOSTPDSTL42</t>
        </is>
      </c>
      <c r="F222" s="346" t="inlineStr">
        <is>
          <t>POST PEDESTAL 42" S1342</t>
        </is>
      </c>
      <c r="G222" s="347" t="n"/>
      <c r="H222" s="488">
        <f>B222*G222</f>
        <v/>
      </c>
      <c r="K222" s="556" t="n"/>
    </row>
    <row r="223" outlineLevel="1" ht="13.5" customHeight="1" s="955" thickBot="1">
      <c r="A223" s="369" t="inlineStr">
        <is>
          <t>O.FBR.BURD</t>
        </is>
      </c>
      <c r="B223" s="354" t="n"/>
      <c r="C223" s="355" t="n"/>
      <c r="D223" s="424" t="n"/>
      <c r="E223" s="345" t="inlineStr">
        <is>
          <t>PEDFTTHPRFRM10</t>
        </is>
      </c>
      <c r="F223" s="346" t="inlineStr">
        <is>
          <t>PEDESTAL- FTTH- PRO10FSNGURB 10" PROFORM - EMERSON *INSIDE THE LEC ONLY*</t>
        </is>
      </c>
      <c r="G223" s="372" t="n"/>
      <c r="H223" s="488">
        <f>B223*G223</f>
        <v/>
      </c>
      <c r="K223" s="556" t="n"/>
    </row>
    <row r="224" outlineLevel="1" ht="13.5" customHeight="1" s="955" thickBot="1">
      <c r="A224" s="336" t="n"/>
      <c r="B224" s="356" t="n"/>
      <c r="C224" s="357" t="n"/>
      <c r="D224" s="425" t="n"/>
      <c r="E224" s="363" t="n"/>
      <c r="F224" s="359" t="inlineStr">
        <is>
          <t>BURIED CLEAR VIEW DROP SINGLE ENDED</t>
        </is>
      </c>
      <c r="G224" s="364" t="n"/>
      <c r="H224" s="490" t="n"/>
    </row>
    <row r="225" outlineLevel="1" s="955">
      <c r="A225" s="349" t="inlineStr">
        <is>
          <t>O.FBR.BURD</t>
        </is>
      </c>
      <c r="B225" s="350" t="n"/>
      <c r="C225" s="351" t="n"/>
      <c r="D225" s="351" t="n"/>
      <c r="E225" s="345" t="inlineStr">
        <is>
          <t>FDPCORCLRCRVOPT75</t>
        </is>
      </c>
      <c r="F225" s="345" t="inlineStr">
        <is>
          <t>Flex drop 75'</t>
        </is>
      </c>
      <c r="G225" s="347" t="n"/>
      <c r="H225" s="493">
        <f>B225*G225</f>
        <v/>
      </c>
    </row>
    <row r="226" outlineLevel="1" ht="13.5" customHeight="1" s="955" thickBot="1">
      <c r="A226" s="342" t="inlineStr">
        <is>
          <t>O.FBR.BURD</t>
        </is>
      </c>
      <c r="B226" s="343" t="n"/>
      <c r="C226" s="344" t="n"/>
      <c r="D226" s="344" t="n"/>
      <c r="E226" s="345" t="inlineStr">
        <is>
          <t>FDPCORCLRCRVOPT600</t>
        </is>
      </c>
      <c r="F226" s="345" t="inlineStr">
        <is>
          <t>FLEX DROP 600'</t>
        </is>
      </c>
      <c r="G226" s="347" t="n"/>
      <c r="H226" s="488">
        <f>B226*G226</f>
        <v/>
      </c>
    </row>
    <row r="227" outlineLevel="1" ht="13.5" customHeight="1" s="955" thickBot="1">
      <c r="A227" s="336" t="n"/>
      <c r="B227" s="356" t="n"/>
      <c r="C227" s="357" t="n"/>
      <c r="D227" s="357" t="n"/>
      <c r="E227" s="426" t="n"/>
      <c r="F227" s="359" t="inlineStr">
        <is>
          <t>BURIED MULTI PORT</t>
        </is>
      </c>
      <c r="G227" s="360" t="n"/>
      <c r="H227" s="361" t="n"/>
    </row>
    <row r="228" outlineLevel="1" s="955">
      <c r="A228" s="342" t="inlineStr">
        <is>
          <t>O.FBR.BURD</t>
        </is>
      </c>
      <c r="B228" s="343" t="n"/>
      <c r="C228" s="344" t="n"/>
      <c r="D228" s="351" t="n"/>
      <c r="E228" s="345" t="inlineStr">
        <is>
          <t>FIJSCA</t>
        </is>
      </c>
      <c r="F228" s="345" t="inlineStr">
        <is>
          <t>FIBER PIGTAIL 12 FIBER SCAPC RBD9-SA3M</t>
        </is>
      </c>
      <c r="G228" s="347" t="n"/>
      <c r="H228" s="488">
        <f>B228*G228</f>
        <v/>
      </c>
    </row>
    <row r="229" outlineLevel="1" s="955">
      <c r="A229" s="342" t="inlineStr">
        <is>
          <t>O.FBR.BURD</t>
        </is>
      </c>
      <c r="B229" s="343" t="n"/>
      <c r="C229" s="344" t="n"/>
      <c r="D229" s="344" t="n"/>
      <c r="E229" s="345" t="inlineStr">
        <is>
          <t>HDWAHD28PT</t>
        </is>
      </c>
      <c r="F229" s="345" t="inlineStr">
        <is>
          <t>AERIAL MOUNTING BRACKET 2-8 PT MOB-KT-AHD 2-8 PORTS</t>
        </is>
      </c>
      <c r="G229" s="347" t="n"/>
      <c r="H229" s="488">
        <f>B229*G229</f>
        <v/>
      </c>
    </row>
    <row r="230" outlineLevel="1" s="955">
      <c r="A230" s="342" t="inlineStr">
        <is>
          <t>O.FBR.BURD</t>
        </is>
      </c>
      <c r="B230" s="343" t="n"/>
      <c r="C230" s="344" t="n"/>
      <c r="D230" s="344" t="n"/>
      <c r="E230" s="345" t="inlineStr">
        <is>
          <t>HDWAHD12PT</t>
        </is>
      </c>
      <c r="F230" s="345" t="inlineStr">
        <is>
          <t>AERIAL MOUNTING BRACKET 12 PT MOB-KT-AHD-12 PORTS</t>
        </is>
      </c>
      <c r="G230" s="347" t="n"/>
      <c r="H230" s="488">
        <f>B230*G230</f>
        <v/>
      </c>
    </row>
    <row r="231" outlineLevel="1" s="955">
      <c r="A231" s="342" t="inlineStr">
        <is>
          <t>O.FBR.BURD</t>
        </is>
      </c>
      <c r="B231" s="343" t="n">
        <v>0</v>
      </c>
      <c r="C231" s="344" t="n"/>
      <c r="D231" s="344" t="n"/>
      <c r="E231" s="353" t="inlineStr">
        <is>
          <t>SPLMLTERMBOX</t>
        </is>
      </c>
      <c r="F231" s="345" t="inlineStr">
        <is>
          <t>MULTILINK TERM BOX 12"X20"X8" RNB-12208-1SL-C-PG-Y-S</t>
        </is>
      </c>
      <c r="G231" s="655" t="n">
        <v>166.09</v>
      </c>
      <c r="H231" s="488">
        <f>B231*G231</f>
        <v/>
      </c>
    </row>
    <row r="232" outlineLevel="1" s="955">
      <c r="A232" s="342" t="inlineStr">
        <is>
          <t>O.FBR.BURD</t>
        </is>
      </c>
      <c r="B232" s="350" t="n">
        <v>0</v>
      </c>
      <c r="C232" s="351" t="n"/>
      <c r="D232" s="351" t="n"/>
      <c r="E232" s="353" t="inlineStr">
        <is>
          <t>HDWLUMOAERCBLTAG</t>
        </is>
      </c>
      <c r="F232" s="345" t="inlineStr">
        <is>
          <t>LUMOS AERIAL CABLE WRAP TAG</t>
        </is>
      </c>
      <c r="G232" s="655" t="n">
        <v>3.29</v>
      </c>
      <c r="H232" s="488">
        <f>B232*G232</f>
        <v/>
      </c>
    </row>
    <row r="233" outlineLevel="1" s="955">
      <c r="A233" s="342" t="inlineStr">
        <is>
          <t>O.FBR.BURD</t>
        </is>
      </c>
      <c r="B233" s="428" t="n"/>
      <c r="C233" s="355" t="n"/>
      <c r="D233" s="355" t="n"/>
      <c r="E233" s="370" t="inlineStr">
        <is>
          <t>HDWWRSTRND14GRN</t>
        </is>
      </c>
      <c r="F233" s="370" t="inlineStr">
        <is>
          <t>WIRE #14 STRANDED TRACER GREEN</t>
        </is>
      </c>
      <c r="G233" s="372" t="n"/>
      <c r="H233" s="488">
        <f>B233*G233</f>
        <v/>
      </c>
    </row>
    <row r="234" outlineLevel="1" s="955">
      <c r="A234" s="342" t="inlineStr">
        <is>
          <t>O.FBR.BURD</t>
        </is>
      </c>
      <c r="B234" s="354" t="n"/>
      <c r="C234" s="355" t="n"/>
      <c r="D234" s="355" t="n"/>
      <c r="E234" s="373" t="inlineStr">
        <is>
          <t>SPLTIITERM24PTSCCON</t>
        </is>
      </c>
      <c r="F234" s="374" t="inlineStr">
        <is>
          <t>TII 24 PORT SC-UPC TERMINAL PANEL PN FET3G-24RSCN00</t>
        </is>
      </c>
      <c r="G234" s="375" t="n"/>
      <c r="H234" s="488">
        <f>B234*G234</f>
        <v/>
      </c>
    </row>
    <row r="235" outlineLevel="1" s="955">
      <c r="A235" s="342" t="inlineStr">
        <is>
          <t>O.FBR.BURD</t>
        </is>
      </c>
      <c r="B235" s="354" t="n"/>
      <c r="C235" s="355" t="n"/>
      <c r="D235" s="355" t="n"/>
      <c r="E235" s="373" t="inlineStr">
        <is>
          <t>SPLSCAPCSMFCON</t>
        </is>
      </c>
      <c r="F235" s="374" t="inlineStr">
        <is>
          <t>CONNECTOR SCAPC SPLICE ON F/ 250UM &amp; 900UM 4PK</t>
        </is>
      </c>
      <c r="G235" s="375" t="n"/>
      <c r="H235" s="488">
        <f>B235*G235</f>
        <v/>
      </c>
    </row>
    <row r="236" outlineLevel="1" s="955">
      <c r="A236" s="342" t="inlineStr">
        <is>
          <t>O.FBR.BURD</t>
        </is>
      </c>
      <c r="B236" s="354" t="n"/>
      <c r="C236" s="355" t="n"/>
      <c r="D236" s="355" t="n"/>
      <c r="E236" s="373" t="inlineStr">
        <is>
          <t>SPLTIIDEMARC24PTSCAPCADPT</t>
        </is>
      </c>
      <c r="F236" s="374" t="inlineStr">
        <is>
          <t>TII 24 PORT SC-APC TERMINAL PANEL PN FET3G-24RSCN00</t>
        </is>
      </c>
      <c r="G236" s="375" t="n"/>
      <c r="H236" s="488">
        <f>B236*G236</f>
        <v/>
      </c>
    </row>
    <row r="237" outlineLevel="1" ht="13.5" customHeight="1" s="955" thickBot="1">
      <c r="A237" s="342" t="inlineStr">
        <is>
          <t>O.FBR.BURD</t>
        </is>
      </c>
      <c r="B237" s="354" t="n"/>
      <c r="C237" s="355" t="n"/>
      <c r="D237" s="355" t="n"/>
      <c r="E237" s="373" t="inlineStr">
        <is>
          <t>SPLTII48FGRFET4G</t>
        </is>
      </c>
      <c r="F237" s="374" t="inlineStr">
        <is>
          <t>TII 48 PORT OUTDOOR ENCLOSURE</t>
        </is>
      </c>
      <c r="G237" s="375" t="n"/>
      <c r="H237" s="488">
        <f>B237*G237</f>
        <v/>
      </c>
    </row>
    <row r="238" outlineLevel="1" ht="13.5" customHeight="1" s="955" thickBot="1">
      <c r="A238" s="336" t="n"/>
      <c r="B238" s="356" t="inlineStr">
        <is>
          <t>-</t>
        </is>
      </c>
      <c r="C238" s="357" t="n"/>
      <c r="D238" s="357" t="n"/>
      <c r="E238" s="380" t="n"/>
      <c r="F238" s="339" t="inlineStr">
        <is>
          <t>TOTAL - O.FBR.BURD</t>
        </is>
      </c>
      <c r="G238" s="429" t="n"/>
      <c r="H238" s="491">
        <f>SUM(H175:H237)</f>
        <v/>
      </c>
    </row>
    <row r="239" outlineLevel="1" ht="13.5" customHeight="1" s="955" thickBot="1">
      <c r="A239" s="336" t="n"/>
      <c r="B239" s="356" t="inlineStr">
        <is>
          <t>-</t>
        </is>
      </c>
      <c r="C239" s="357" t="n"/>
      <c r="D239" s="357" t="n"/>
      <c r="E239" s="380" t="n"/>
      <c r="F239" s="339" t="inlineStr">
        <is>
          <t>PROVISIONING - BURIED FIBER</t>
        </is>
      </c>
      <c r="G239" s="429" t="n"/>
      <c r="H239" s="491">
        <f>H238*(H1+H2)</f>
        <v/>
      </c>
    </row>
    <row r="240" outlineLevel="1" ht="13.5" customHeight="1" s="955" thickBot="1">
      <c r="A240" s="336" t="n"/>
      <c r="B240" s="356" t="inlineStr">
        <is>
          <t>-</t>
        </is>
      </c>
      <c r="C240" s="357" t="n"/>
      <c r="D240" s="357" t="n"/>
      <c r="E240" s="380" t="n"/>
      <c r="F240" s="393" t="inlineStr">
        <is>
          <t>TOTAL - O.FBR.BURD</t>
        </is>
      </c>
      <c r="G240" s="387" t="n"/>
      <c r="H240" s="492">
        <f>H239+H238</f>
        <v/>
      </c>
    </row>
    <row r="241" ht="13.5" customHeight="1" s="955" thickBot="1">
      <c r="A241" s="389" t="inlineStr">
        <is>
          <t>&lt;----Click the + to Expand or Collapse the "BURIED FIBER ASSET MATERIAL" Section</t>
        </is>
      </c>
      <c r="B241" s="390" t="n"/>
      <c r="C241" s="430" t="n"/>
      <c r="D241" s="430" t="n"/>
      <c r="E241" s="431" t="n"/>
      <c r="F241" s="431" t="n"/>
      <c r="G241" s="432" t="n"/>
      <c r="H241" s="433" t="n"/>
    </row>
    <row r="242" ht="13.5" customHeight="1" s="955" thickBot="1">
      <c r="A242" s="295" t="n"/>
      <c r="B242" s="482" t="inlineStr">
        <is>
          <t>-</t>
        </is>
      </c>
      <c r="C242" s="321" t="n"/>
      <c r="D242" s="321" t="n"/>
      <c r="E242" s="396" t="n"/>
      <c r="F242" s="397" t="inlineStr">
        <is>
          <t>CONDUIT ASSET MATERIAL</t>
        </is>
      </c>
      <c r="G242" s="398" t="n"/>
      <c r="H242" s="399" t="n"/>
    </row>
    <row r="243" outlineLevel="1" ht="12.75" customHeight="1" s="955">
      <c r="A243" s="301" t="inlineStr">
        <is>
          <t>O.CONDUIT</t>
        </is>
      </c>
      <c r="B243" s="843">
        <f>(('LABOR SPAN SHEET'!AG2)-SUMIF('LABOR SPAN SHEET'!D7:$D$998,"4""",'LABOR SPAN SHEET'!AG7:$AG$998)-SUMIF('LABOR SPAN SHEET'!D7:$D$998,"2""",'LABOR SPAN SHEET'!AG7:$AG$998))+(SUMIF('LABOR SPAN SHEET'!D7:$D$998,"4""",'LABOR SPAN SHEET'!AG7:$AG$998)*3)</f>
        <v/>
      </c>
      <c r="C243" s="303" t="n"/>
      <c r="D243" s="593" t="n"/>
      <c r="E243" s="427" t="inlineStr">
        <is>
          <t>INDGEN125</t>
        </is>
      </c>
      <c r="F243" s="434" t="inlineStr">
        <is>
          <t>INNERDUCT 1.25" ARNCO SDR 13.5</t>
        </is>
      </c>
      <c r="G243" s="660" t="n">
        <v>0.29</v>
      </c>
      <c r="H243" s="484">
        <f>B243*G243</f>
        <v/>
      </c>
    </row>
    <row r="244" outlineLevel="1" ht="12.75" customHeight="1" s="955">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484">
        <f>B244*G244</f>
        <v/>
      </c>
    </row>
    <row r="245" outlineLevel="1" ht="12.75" customHeight="1" s="955">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484">
        <f>B245*G245</f>
        <v/>
      </c>
    </row>
    <row r="246" outlineLevel="1" ht="12.75" customHeight="1" s="955">
      <c r="A246" s="307" t="inlineStr">
        <is>
          <t>O.CONDUIT</t>
        </is>
      </c>
      <c r="B246" s="548" t="n"/>
      <c r="C246" s="309" t="n"/>
      <c r="D246" s="593" t="n"/>
      <c r="E246" s="402" t="inlineStr">
        <is>
          <t>INDGEN15</t>
        </is>
      </c>
      <c r="F246" s="409" t="inlineStr">
        <is>
          <t>INNERDUCT-1.5" SDR 13.5 SMOOTH; Not stocked/standard item, lead time may be needed</t>
        </is>
      </c>
      <c r="G246" s="401" t="n">
        <v>1.09</v>
      </c>
      <c r="H246" s="484">
        <f>B246*G246</f>
        <v/>
      </c>
      <c r="J246" s="500" t="n"/>
      <c r="K246" s="554" t="n"/>
    </row>
    <row r="247" outlineLevel="1" s="955">
      <c r="A247" s="307" t="inlineStr">
        <is>
          <t>O.CONDUIT</t>
        </is>
      </c>
      <c r="B247" s="548">
        <f>SUMIF('LABOR SPAN SHEET'!D7:$D$998,"2""",'LABOR SPAN SHEET'!AG7:$AG$998)</f>
        <v/>
      </c>
      <c r="C247" s="308" t="n"/>
      <c r="D247" s="593" t="n"/>
      <c r="E247" s="353" t="inlineStr">
        <is>
          <t>INDGEN2</t>
        </is>
      </c>
      <c r="F247" s="402" t="inlineStr">
        <is>
          <t>INNERDUCT-2" SDR 13.5 SMOOTH (ROLL PIPE)</t>
        </is>
      </c>
      <c r="G247" s="660" t="n">
        <v>0.43</v>
      </c>
      <c r="H247" s="484">
        <f>B247*G247</f>
        <v/>
      </c>
      <c r="J247" s="500" t="n"/>
      <c r="K247" s="554" t="n"/>
    </row>
    <row r="248" outlineLevel="1" s="955">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484">
        <f>B248*G248</f>
        <v/>
      </c>
    </row>
    <row r="249" outlineLevel="1" s="955">
      <c r="A249" s="307" t="inlineStr">
        <is>
          <t>O.CONDUIT</t>
        </is>
      </c>
      <c r="B249" s="548">
        <f>SUMIF('LABOR SPAN SHEET'!D7:$D$998,"4""",'LABOR SPAN SHEET'!AG7:$AG$998)</f>
        <v/>
      </c>
      <c r="C249" s="309" t="n"/>
      <c r="D249" s="593" t="n"/>
      <c r="E249" s="353" t="inlineStr">
        <is>
          <t>INDGEN4SDR11</t>
        </is>
      </c>
      <c r="F249" s="402" t="inlineStr">
        <is>
          <t>INNERDUCT - 4" SDR 11 (MAX REEL 550') - ***RR CROSSINGS ONLY***</t>
        </is>
      </c>
      <c r="G249" s="660" t="n">
        <v>6.1</v>
      </c>
      <c r="H249" s="484">
        <f>B249*G249</f>
        <v/>
      </c>
    </row>
    <row r="250" outlineLevel="1" s="955">
      <c r="A250" s="307" t="inlineStr">
        <is>
          <t>O.CONDUIT</t>
        </is>
      </c>
      <c r="B250" s="308" t="n"/>
      <c r="C250" s="309" t="n"/>
      <c r="D250" s="593" t="n"/>
      <c r="E250" s="402" t="inlineStr">
        <is>
          <t>IND125ORGBLUGREN</t>
        </is>
      </c>
      <c r="F250" s="402" t="inlineStr">
        <is>
          <t>3 COLOR INNERDUCT; Not stocked/standard item, lead time may be needed</t>
        </is>
      </c>
      <c r="G250" s="401" t="n">
        <v>1.27</v>
      </c>
      <c r="H250" s="484">
        <f>B250*G250</f>
        <v/>
      </c>
    </row>
    <row r="251" outlineLevel="1" s="955">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484">
        <f>B251*G251</f>
        <v/>
      </c>
    </row>
    <row r="252" outlineLevel="1" s="955">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484">
        <f>B252*G252</f>
        <v/>
      </c>
    </row>
    <row r="253" outlineLevel="1" s="955">
      <c r="A253" s="307" t="inlineStr">
        <is>
          <t>O.CONDUIT</t>
        </is>
      </c>
      <c r="B253" s="308" t="n"/>
      <c r="C253" s="309" t="n"/>
      <c r="D253" s="593" t="n"/>
      <c r="E253" s="402" t="inlineStr">
        <is>
          <t>CND4INPVC</t>
        </is>
      </c>
      <c r="F253" s="402" t="inlineStr">
        <is>
          <t>CONDUIT 4" PVC SCHEDULE 40 CPV400 ***Order in 10' Lengths***</t>
        </is>
      </c>
      <c r="G253" s="401" t="n">
        <v>8.699999999999999</v>
      </c>
      <c r="H253" s="484">
        <f>B253*G253</f>
        <v/>
      </c>
    </row>
    <row r="254" outlineLevel="1" s="955">
      <c r="A254" s="307" t="inlineStr">
        <is>
          <t>O.CONDUIT</t>
        </is>
      </c>
      <c r="B254" s="844">
        <f>ROUNDUP('LABOR SPAN SHEET'!AD2/500,0)</f>
        <v/>
      </c>
      <c r="C254" s="315" t="n"/>
      <c r="D254" s="593" t="n"/>
      <c r="E254" s="353" t="inlineStr">
        <is>
          <t>SPLROUTEMARKER</t>
        </is>
      </c>
      <c r="F254" s="409" t="inlineStr">
        <is>
          <t>FIBER ROUTE MARKER SIGN</t>
        </is>
      </c>
      <c r="G254" s="660" t="n">
        <v>13.97</v>
      </c>
      <c r="H254" s="484">
        <f>B254*G254</f>
        <v/>
      </c>
      <c r="J254" s="500" t="n"/>
      <c r="K254" s="554" t="n"/>
    </row>
    <row r="255" outlineLevel="1" s="955">
      <c r="A255" s="307" t="inlineStr">
        <is>
          <t>O.CONDUIT</t>
        </is>
      </c>
      <c r="B255" s="314" t="n"/>
      <c r="C255" s="315" t="n"/>
      <c r="D255" s="593" t="n"/>
      <c r="E255" s="402" t="inlineStr">
        <is>
          <t>HDWLACBALL3M</t>
        </is>
      </c>
      <c r="F255" s="409" t="inlineStr">
        <is>
          <t>LOCATOR BALL 3M - 1401-XR 80611161136 - CONSUMABLE STOCK</t>
        </is>
      </c>
      <c r="G255" s="401" t="n">
        <v>14.6</v>
      </c>
      <c r="H255" s="484">
        <f>B255*G255</f>
        <v/>
      </c>
    </row>
    <row r="256" outlineLevel="1" s="955">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484">
        <f>B256*G256</f>
        <v/>
      </c>
    </row>
    <row r="257" outlineLevel="1" s="955">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484">
        <f>B257*G257</f>
        <v/>
      </c>
      <c r="I257" s="942" t="inlineStr">
        <is>
          <t>FP</t>
        </is>
      </c>
      <c r="J257" s="500" t="inlineStr">
        <is>
          <t>11"X11"X12" Non-Tier 22</t>
        </is>
      </c>
      <c r="K257" s="554">
        <f>SUM(L257:AH257)</f>
        <v/>
      </c>
      <c r="L257" s="184" t="n">
        <v>125</v>
      </c>
    </row>
    <row r="258" outlineLevel="1" s="955">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484">
        <f>B258*G258</f>
        <v/>
      </c>
      <c r="I258" s="942" t="inlineStr">
        <is>
          <t>FP</t>
        </is>
      </c>
      <c r="J258" s="500" t="inlineStr">
        <is>
          <t>12"X12"X12" Tier 22</t>
        </is>
      </c>
      <c r="K258" s="554">
        <f>SUM(L258:AH258)</f>
        <v/>
      </c>
    </row>
    <row r="259" outlineLevel="1" s="955">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484">
        <f>B259*G259</f>
        <v/>
      </c>
      <c r="I259" s="942" t="inlineStr">
        <is>
          <t>HH</t>
        </is>
      </c>
      <c r="J259" s="500" t="inlineStr">
        <is>
          <t>13"X24"X18" Tier 22</t>
        </is>
      </c>
      <c r="K259" s="554">
        <f>SUM(L259:AH259)</f>
        <v/>
      </c>
      <c r="L259" s="184" t="n">
        <v>73</v>
      </c>
    </row>
    <row r="260" outlineLevel="1" s="955">
      <c r="A260" s="307" t="inlineStr">
        <is>
          <t>O.CONDUIT</t>
        </is>
      </c>
      <c r="B260" s="314">
        <f>K260</f>
        <v/>
      </c>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484">
        <f>B260*G260</f>
        <v/>
      </c>
      <c r="I260" s="942" t="inlineStr">
        <is>
          <t>HH</t>
        </is>
      </c>
      <c r="J260" s="500" t="inlineStr">
        <is>
          <t>17"X30"X24" Non-Tier 22</t>
        </is>
      </c>
      <c r="K260" s="554">
        <f>SUM(L260:AH260)</f>
        <v/>
      </c>
    </row>
    <row r="261" outlineLevel="1" s="955">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484">
        <f>B261*G261</f>
        <v/>
      </c>
      <c r="I261" s="942" t="inlineStr">
        <is>
          <t>HH</t>
        </is>
      </c>
      <c r="J261" s="500" t="inlineStr">
        <is>
          <t>17"X30"X24" Tier 22</t>
        </is>
      </c>
      <c r="K261" s="554">
        <f>SUM(L261:AH261)</f>
        <v/>
      </c>
      <c r="L261" s="184" t="n">
        <v>13</v>
      </c>
    </row>
    <row r="262" outlineLevel="1" s="955">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484">
        <f>B262*G262</f>
        <v/>
      </c>
      <c r="I262" s="942" t="inlineStr">
        <is>
          <t>HH</t>
        </is>
      </c>
      <c r="J262" s="500" t="inlineStr">
        <is>
          <t>24"X36"X24" Tier 22</t>
        </is>
      </c>
      <c r="K262" s="554">
        <f>SUM(L262:AH262)</f>
        <v/>
      </c>
      <c r="L262" s="184" t="n">
        <v>14</v>
      </c>
    </row>
    <row r="263" outlineLevel="1" s="955">
      <c r="A263" s="307" t="inlineStr">
        <is>
          <t>O.CONDUIT</t>
        </is>
      </c>
      <c r="B263" s="314">
        <f>K263</f>
        <v/>
      </c>
      <c r="C263" s="315" t="n"/>
      <c r="D263" s="593" t="n"/>
      <c r="E263" s="423" t="inlineStr">
        <is>
          <t>PBXGEN30X48X24</t>
        </is>
      </c>
      <c r="F263" s="924" t="inlineStr">
        <is>
          <t>TIER 22 (LHH) PULL BOX 30X48X24 BULK TIER 22 LID, GREY COMPOSITE PN BULKU3048240081261</t>
        </is>
      </c>
      <c r="G263" s="660" t="n">
        <v>626.9</v>
      </c>
      <c r="H263" s="484">
        <f>B263*G263</f>
        <v/>
      </c>
      <c r="I263" s="942" t="inlineStr">
        <is>
          <t>HH</t>
        </is>
      </c>
      <c r="J263" s="500" t="inlineStr">
        <is>
          <t>30"X48"X24" Tier 22</t>
        </is>
      </c>
      <c r="K263" s="554">
        <f>SUM(L263:AH263)</f>
        <v/>
      </c>
    </row>
    <row r="264" outlineLevel="1" s="955">
      <c r="A264" s="307" t="inlineStr">
        <is>
          <t>O.CONDUIT</t>
        </is>
      </c>
      <c r="B264" s="314">
        <f>K264</f>
        <v/>
      </c>
      <c r="C264" s="315" t="n"/>
      <c r="D264" s="593" t="n"/>
      <c r="E264" s="943" t="inlineStr">
        <is>
          <t>PBXGEN30X48X36</t>
        </is>
      </c>
      <c r="F264" s="924" t="inlineStr">
        <is>
          <t>TIER 22 (XLG) 30X48X36 W/SPLIT LID, TRUE TIER 22, GREY COMPOSITE PN BULKU3048360081261</t>
        </is>
      </c>
      <c r="G264" s="944" t="n">
        <v>659</v>
      </c>
      <c r="H264" s="484">
        <f>B264*G264</f>
        <v/>
      </c>
      <c r="I264" s="942" t="n"/>
      <c r="J264" s="500" t="n"/>
      <c r="K264" s="554" t="n"/>
    </row>
    <row r="265" outlineLevel="1" s="955">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484">
        <f>B265*G265</f>
        <v/>
      </c>
      <c r="J265" s="500" t="n"/>
      <c r="K265" s="554" t="n"/>
    </row>
    <row r="266" outlineLevel="1" s="955">
      <c r="A266" s="307" t="inlineStr">
        <is>
          <t>O.CONDUIT</t>
        </is>
      </c>
      <c r="B266" s="314" t="n"/>
      <c r="C266" s="315" t="n"/>
      <c r="D266" s="593" t="n"/>
      <c r="E266" s="410" t="inlineStr">
        <is>
          <t>CNDSWP4IN3690</t>
        </is>
      </c>
      <c r="F266" s="435" t="inlineStr">
        <is>
          <t>CONDUIT SWEEPS 4" PVC 36" 90*R PN UA9FNB</t>
        </is>
      </c>
      <c r="G266" s="401" t="n">
        <v>43.51</v>
      </c>
      <c r="H266" s="484">
        <f>B266*G266</f>
        <v/>
      </c>
      <c r="J266" s="500" t="n"/>
      <c r="K266" s="554" t="n"/>
    </row>
    <row r="267" outlineLevel="1" ht="13.5" customHeight="1" s="955" thickBot="1">
      <c r="A267" s="313" t="n"/>
      <c r="B267" s="314" t="n"/>
      <c r="C267" s="315" t="n"/>
      <c r="D267" s="315" t="n"/>
      <c r="E267" s="410" t="n"/>
      <c r="F267" s="435" t="n"/>
      <c r="G267" s="411" t="n"/>
      <c r="H267" s="484">
        <f>B267*G267</f>
        <v/>
      </c>
    </row>
    <row r="268" outlineLevel="1" ht="13.5" customHeight="1" s="955" thickBot="1">
      <c r="A268" s="319" t="n"/>
      <c r="B268" s="320" t="inlineStr">
        <is>
          <t>-</t>
        </is>
      </c>
      <c r="C268" s="321" t="n"/>
      <c r="D268" s="321" t="n"/>
      <c r="E268" s="322" t="n"/>
      <c r="F268" s="323" t="inlineStr">
        <is>
          <t>TOTAL - O.CONDUIT</t>
        </is>
      </c>
      <c r="G268" s="414" t="n"/>
      <c r="H268" s="495">
        <f>SUM(H243:H267)</f>
        <v/>
      </c>
    </row>
    <row r="269" outlineLevel="1" ht="13.5" customHeight="1" s="955" thickBot="1">
      <c r="A269" s="319" t="n"/>
      <c r="B269" s="320" t="inlineStr">
        <is>
          <t>-</t>
        </is>
      </c>
      <c r="C269" s="321" t="n"/>
      <c r="D269" s="321" t="n"/>
      <c r="E269" s="322" t="n"/>
      <c r="F269" s="323" t="inlineStr">
        <is>
          <t>PROVISIONING - CONDUIT MATERIAL</t>
        </is>
      </c>
      <c r="G269" s="414" t="n"/>
      <c r="H269" s="495">
        <f>H268*(H1+H2)</f>
        <v/>
      </c>
    </row>
    <row r="270" outlineLevel="1" ht="13.5" customHeight="1" s="955" thickBot="1">
      <c r="A270" s="319" t="n"/>
      <c r="B270" s="320" t="inlineStr">
        <is>
          <t>-</t>
        </is>
      </c>
      <c r="C270" s="321" t="n"/>
      <c r="D270" s="321" t="n"/>
      <c r="E270" s="322" t="n"/>
      <c r="F270" s="326" t="inlineStr">
        <is>
          <t>TOTAL - O.CONDUIT</t>
        </is>
      </c>
      <c r="G270" s="327" t="n"/>
      <c r="H270" s="496">
        <f>H268+H269</f>
        <v/>
      </c>
    </row>
    <row r="271" ht="13.5" customHeight="1" s="955" thickBot="1">
      <c r="A271" s="436" t="inlineStr">
        <is>
          <t>&lt;----Click the + to Expand or Collapse the "CONDUIT ASSET MATERIAL" Section</t>
        </is>
      </c>
      <c r="B271" s="320" t="n"/>
      <c r="C271" s="321" t="n"/>
      <c r="D271" s="321" t="n"/>
      <c r="E271" s="396" t="n"/>
      <c r="F271" s="397" t="n"/>
      <c r="G271" s="398" t="n"/>
      <c r="H271" s="399" t="n"/>
    </row>
    <row r="272" ht="13.5" customHeight="1" s="955" thickBot="1">
      <c r="A272" s="336" t="n"/>
      <c r="B272" s="483" t="inlineStr">
        <is>
          <t>-</t>
        </is>
      </c>
      <c r="C272" s="422" t="n"/>
      <c r="D272" s="422" t="n"/>
      <c r="E272" s="338" t="n"/>
      <c r="F272" s="339" t="inlineStr">
        <is>
          <t>AERIAL SPLICING MATERIAL</t>
        </is>
      </c>
      <c r="G272" s="340" t="n"/>
      <c r="H272" s="341" t="n"/>
    </row>
    <row r="273" hidden="1" outlineLevel="1" s="955">
      <c r="A273" s="342" t="inlineStr">
        <is>
          <t>O.FBR.AERL</t>
        </is>
      </c>
      <c r="B273" s="343" t="n"/>
      <c r="C273" s="344" t="n"/>
      <c r="D273" s="344" t="n"/>
      <c r="E273" s="346" t="inlineStr">
        <is>
          <t>SPLHEATSHRINK60MM</t>
        </is>
      </c>
      <c r="F273" s="346" t="inlineStr">
        <is>
          <t>HEAT SHRINK SLEEVE/SING FIBER(50MM) (CONSUMABLE STOCK)</t>
        </is>
      </c>
      <c r="G273" s="347" t="n"/>
      <c r="H273" s="348">
        <f>B273*G273</f>
        <v/>
      </c>
    </row>
    <row r="274" hidden="1" outlineLevel="1" s="955">
      <c r="A274" s="342" t="inlineStr">
        <is>
          <t>O.FBR.AERL</t>
        </is>
      </c>
      <c r="B274" s="343" t="n"/>
      <c r="C274" s="344" t="n"/>
      <c r="D274" s="344" t="n"/>
      <c r="E274" s="345" t="inlineStr">
        <is>
          <t>SPLHEATSHRINK42MRIBBON</t>
        </is>
      </c>
      <c r="F274" s="346" t="inlineStr">
        <is>
          <t xml:space="preserve">42MM HEAT SHRINK FOR RIBBON FIBER </t>
        </is>
      </c>
      <c r="G274" s="347" t="n"/>
      <c r="H274" s="348">
        <f>B274*G274</f>
        <v/>
      </c>
    </row>
    <row r="275" hidden="1" outlineLevel="1" s="955">
      <c r="A275" s="342" t="inlineStr">
        <is>
          <t>O.FBR.AERL</t>
        </is>
      </c>
      <c r="B275" s="343" t="n"/>
      <c r="C275" s="344" t="n"/>
      <c r="D275" s="344" t="n"/>
      <c r="E275" s="345" t="inlineStr">
        <is>
          <t>SPLTRAY80805110CYT</t>
        </is>
      </c>
      <c r="F275" s="346" t="inlineStr">
        <is>
          <t>SPLICE TRAY 80805110 COYOTE - OLD CLOSURES</t>
        </is>
      </c>
      <c r="G275" s="347" t="n"/>
      <c r="H275" s="348">
        <f>B275*G275</f>
        <v/>
      </c>
    </row>
    <row r="276" hidden="1" outlineLevel="1" s="955">
      <c r="A276" s="342" t="inlineStr">
        <is>
          <t>O.FBR.AERL</t>
        </is>
      </c>
      <c r="B276" s="343" t="n"/>
      <c r="C276" s="437" t="n"/>
      <c r="D276" s="437" t="n"/>
      <c r="E276" s="376" t="inlineStr">
        <is>
          <t>SPLCLSRCYT40</t>
        </is>
      </c>
      <c r="F276" s="438" t="inlineStr">
        <is>
          <t>CLOSURE COYOTE 6" 8006540</t>
        </is>
      </c>
      <c r="G276" s="347" t="n"/>
      <c r="H276" s="348">
        <f>B276*G276</f>
        <v/>
      </c>
    </row>
    <row r="277" hidden="1" outlineLevel="1" s="955">
      <c r="A277" s="342" t="inlineStr">
        <is>
          <t>O.FBR.AERL</t>
        </is>
      </c>
      <c r="B277" s="343" t="n"/>
      <c r="C277" s="437" t="n"/>
      <c r="D277" s="437" t="n"/>
      <c r="E277" s="376" t="inlineStr">
        <is>
          <t>FIJSCA</t>
        </is>
      </c>
      <c r="F277" s="438" t="inlineStr">
        <is>
          <t>FIBER PIGTAIL 12 FIBER SCAPC RBD9-SA3M</t>
        </is>
      </c>
      <c r="G277" s="347" t="n"/>
      <c r="H277" s="348">
        <f>B277*G277</f>
        <v/>
      </c>
    </row>
    <row r="278" hidden="1" outlineLevel="1" s="955">
      <c r="A278" s="342" t="inlineStr">
        <is>
          <t>O.FBR.AERL</t>
        </is>
      </c>
      <c r="B278" s="343" t="n"/>
      <c r="C278" s="437" t="n"/>
      <c r="D278" s="437" t="n"/>
      <c r="E278" s="353" t="inlineStr">
        <is>
          <t>SPLCOMFOSC450B6CASE</t>
        </is>
      </c>
      <c r="F278" s="345" t="inlineStr">
        <is>
          <t>TYCO B CASE ONLY FOSC450-B6-6-NT-0-B3V 058514-000</t>
        </is>
      </c>
      <c r="G278" s="657" t="n">
        <v>226.08</v>
      </c>
      <c r="H278" s="348">
        <f>B278*G278</f>
        <v/>
      </c>
    </row>
    <row r="279" hidden="1" outlineLevel="1" s="955">
      <c r="A279" s="342" t="inlineStr">
        <is>
          <t>O.FBR.AERL</t>
        </is>
      </c>
      <c r="B279" s="343" t="n"/>
      <c r="C279" s="437" t="n"/>
      <c r="D279" s="437" t="n"/>
      <c r="E279" s="353" t="inlineStr">
        <is>
          <t>SPLCOMFOSC12RIBTRY</t>
        </is>
      </c>
      <c r="F279" s="345" t="inlineStr">
        <is>
          <t>TYCO A/B SPLICETRAY ONLY FOSC ACC-A/B-TRAY-12-RBN 709972-000</t>
        </is>
      </c>
      <c r="G279" s="657" t="n">
        <v>26.24</v>
      </c>
      <c r="H279" s="348">
        <f>B279*G279</f>
        <v/>
      </c>
    </row>
    <row r="280" hidden="1" outlineLevel="1" s="955">
      <c r="A280" s="342" t="inlineStr">
        <is>
          <t>O.FBR.AERL</t>
        </is>
      </c>
      <c r="B280" s="343" t="n"/>
      <c r="C280" s="437" t="n"/>
      <c r="D280" s="437" t="n"/>
      <c r="E280" s="353" t="inlineStr">
        <is>
          <t>SPLCOMFOSC450D6CASE</t>
        </is>
      </c>
      <c r="F280" s="346" t="inlineStr">
        <is>
          <t>TYCO D CASE ONLY FOSC450-D6-6-NT-0-D3V c32954-000</t>
        </is>
      </c>
      <c r="G280" s="657" t="n">
        <v>338.04</v>
      </c>
      <c r="H280" s="348">
        <f>B280*G280</f>
        <v/>
      </c>
    </row>
    <row r="281" hidden="1" outlineLevel="1" s="955">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348">
        <f>B281*G281</f>
        <v/>
      </c>
    </row>
    <row r="282" hidden="1" outlineLevel="1" s="955">
      <c r="A282" s="342" t="inlineStr">
        <is>
          <t>O.FBR.AERL</t>
        </is>
      </c>
      <c r="B282" s="343" t="n"/>
      <c r="C282" s="437" t="n"/>
      <c r="D282" s="437" t="n"/>
      <c r="E282" s="373" t="inlineStr">
        <is>
          <t>SPLCRNUCA4046CLOS</t>
        </is>
      </c>
      <c r="F282" s="374" t="inlineStr">
        <is>
          <t xml:space="preserve">CORNING RDF MULTIPORT CLOSURE </t>
        </is>
      </c>
      <c r="G282" s="375" t="n"/>
      <c r="H282" s="348">
        <f>B282*G282</f>
        <v/>
      </c>
    </row>
    <row r="283" hidden="1" outlineLevel="1" s="955">
      <c r="A283" s="342" t="inlineStr">
        <is>
          <t>O.FBR.AERL</t>
        </is>
      </c>
      <c r="B283" s="343" t="n"/>
      <c r="C283" s="437" t="n"/>
      <c r="D283" s="437" t="n"/>
      <c r="E283" s="373" t="inlineStr">
        <is>
          <t>SPLGROM8003989</t>
        </is>
      </c>
      <c r="F283" s="374" t="inlineStr">
        <is>
          <t>GROMMET 4 HOLE FLAT DROP ONLY</t>
        </is>
      </c>
      <c r="G283" s="375" t="n"/>
      <c r="H283" s="348">
        <f>B283*G283</f>
        <v/>
      </c>
    </row>
    <row r="284" hidden="1" outlineLevel="1" s="955">
      <c r="A284" s="342" t="inlineStr">
        <is>
          <t>O.FBR.AERL</t>
        </is>
      </c>
      <c r="B284" s="343" t="n"/>
      <c r="C284" s="437" t="n"/>
      <c r="D284" s="437" t="n"/>
      <c r="E284" s="373" t="inlineStr">
        <is>
          <t>SPLGROM8003796</t>
        </is>
      </c>
      <c r="F284" s="374" t="inlineStr">
        <is>
          <t>GROMMET 12 HOLE FLAT DROP ONLY</t>
        </is>
      </c>
      <c r="G284" s="375" t="n"/>
      <c r="H284" s="348">
        <f>B284*G284</f>
        <v/>
      </c>
    </row>
    <row r="285" hidden="1" outlineLevel="1" s="955">
      <c r="A285" s="342" t="inlineStr">
        <is>
          <t>O.FBR.AERL</t>
        </is>
      </c>
      <c r="B285" s="343" t="n"/>
      <c r="C285" s="437" t="n"/>
      <c r="D285" s="437" t="n"/>
      <c r="E285" s="373" t="inlineStr">
        <is>
          <t>SPLPANCONLDCSCAPC</t>
        </is>
      </c>
      <c r="F285" s="374" t="inlineStr">
        <is>
          <t>PANEL CONN LDC-CP1P-6C SCAPC CORNING</t>
        </is>
      </c>
      <c r="G285" s="375" t="n"/>
      <c r="H285" s="348">
        <f>B285*G285</f>
        <v/>
      </c>
    </row>
    <row r="286" hidden="1" outlineLevel="1" s="955">
      <c r="A286" s="342" t="inlineStr">
        <is>
          <t>O.FBR.AERL</t>
        </is>
      </c>
      <c r="B286" s="343" t="n"/>
      <c r="C286" s="437" t="n"/>
      <c r="D286" s="437" t="n"/>
      <c r="E286" s="345" t="inlineStr">
        <is>
          <t>SPLFIBRCLOSSLIC530</t>
        </is>
      </c>
      <c r="F286" s="346" t="inlineStr">
        <is>
          <t>CLOSURE FIBERE SLIC 530 4 PORT SLFT-530-D-1-04-1</t>
        </is>
      </c>
      <c r="G286" s="362" t="n"/>
      <c r="H286" s="348">
        <f>B286*G286</f>
        <v/>
      </c>
    </row>
    <row r="287" hidden="1" outlineLevel="1" s="955">
      <c r="A287" s="342" t="inlineStr">
        <is>
          <t>O.FBR.AERL</t>
        </is>
      </c>
      <c r="B287" s="343" t="n"/>
      <c r="C287" s="437" t="n"/>
      <c r="D287" s="437" t="n"/>
      <c r="E287" s="373" t="inlineStr">
        <is>
          <t>SPLTIIDEMARC24PTSCAPCADPT</t>
        </is>
      </c>
      <c r="F287" s="374" t="inlineStr">
        <is>
          <t>TII 24 PORT SC-APC TERMINAL PANEL PN FET3G-24RSCN00</t>
        </is>
      </c>
      <c r="G287" s="375" t="n"/>
      <c r="H287" s="348">
        <f>B287*G287</f>
        <v/>
      </c>
    </row>
    <row r="288" hidden="1" outlineLevel="1" s="955">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348">
        <f>B288*G288</f>
        <v/>
      </c>
    </row>
    <row r="289" hidden="1" outlineLevel="1" s="955">
      <c r="A289" s="342" t="inlineStr">
        <is>
          <t>O.FBR.AERL</t>
        </is>
      </c>
      <c r="B289" s="343" t="n"/>
      <c r="C289" s="437" t="n"/>
      <c r="D289" s="437" t="n"/>
      <c r="E289" s="376" t="n"/>
      <c r="F289" s="438" t="n"/>
      <c r="G289" s="438" t="n"/>
      <c r="H289" s="348">
        <f>B289*G289</f>
        <v/>
      </c>
    </row>
    <row r="290" hidden="1" outlineLevel="1" ht="13.5" customHeight="1" s="955" thickBot="1">
      <c r="A290" s="369" t="inlineStr">
        <is>
          <t>MISC.</t>
        </is>
      </c>
      <c r="B290" s="354" t="n"/>
      <c r="C290" s="355" t="n"/>
      <c r="D290" s="355" t="n"/>
      <c r="E290" s="376" t="n"/>
      <c r="F290" s="438" t="n"/>
      <c r="G290" s="438" t="n"/>
      <c r="H290" s="348">
        <f>B290*G290</f>
        <v/>
      </c>
    </row>
    <row r="291" hidden="1" outlineLevel="1" ht="13.5" customHeight="1" s="955" thickBot="1">
      <c r="A291" s="336" t="n"/>
      <c r="B291" s="356" t="n"/>
      <c r="C291" s="357" t="n"/>
      <c r="D291" s="357" t="n"/>
      <c r="E291" s="380" t="n"/>
      <c r="F291" s="439" t="inlineStr">
        <is>
          <t xml:space="preserve">SUB-TOTAL - O.FBR.AERL - SPLICING </t>
        </is>
      </c>
      <c r="G291" s="429" t="n"/>
      <c r="H291" s="385">
        <f>SUM(H273:H290)</f>
        <v/>
      </c>
    </row>
    <row r="292" hidden="1" outlineLevel="1" ht="13.5" customHeight="1" s="955" thickBot="1">
      <c r="A292" s="336" t="n"/>
      <c r="B292" s="356" t="n"/>
      <c r="C292" s="357" t="n"/>
      <c r="D292" s="357" t="n"/>
      <c r="E292" s="380" t="n"/>
      <c r="F292" s="439" t="inlineStr">
        <is>
          <t>PROVISIONING - POLE MATERIAL</t>
        </is>
      </c>
      <c r="G292" s="429" t="n"/>
      <c r="H292" s="385">
        <f>H291*(H1+H2)</f>
        <v/>
      </c>
    </row>
    <row r="293" hidden="1" outlineLevel="1" ht="13.5" customHeight="1" s="955" thickBot="1">
      <c r="A293" s="336" t="n"/>
      <c r="B293" s="356" t="n"/>
      <c r="C293" s="357" t="n"/>
      <c r="D293" s="357" t="n"/>
      <c r="E293" s="380" t="n"/>
      <c r="F293" s="386" t="inlineStr">
        <is>
          <t>TOTAL - O.FBR.AERL - SPLICING (LUMOS MATERIAL)</t>
        </is>
      </c>
      <c r="G293" s="387" t="n"/>
      <c r="H293" s="388">
        <f>H291+H292</f>
        <v/>
      </c>
    </row>
    <row r="294" collapsed="1" ht="13.5" customHeight="1" s="955" thickBot="1">
      <c r="A294" s="389" t="inlineStr">
        <is>
          <t>&lt;----Click the + to Expand or Collapse the "AERIAL SPLICING MATERIAL" Section</t>
        </is>
      </c>
      <c r="B294" s="390" t="n"/>
      <c r="C294" s="391" t="n"/>
      <c r="D294" s="391" t="n"/>
      <c r="E294" s="392" t="n"/>
      <c r="F294" s="393" t="n"/>
      <c r="G294" s="394" t="n"/>
      <c r="H294" s="395" t="n"/>
    </row>
    <row r="295" ht="13.5" customFormat="1" customHeight="1" s="441" thickBot="1">
      <c r="A295" s="295" t="n"/>
      <c r="B295" s="482" t="inlineStr">
        <is>
          <t>-</t>
        </is>
      </c>
      <c r="C295" s="321" t="n"/>
      <c r="D295" s="321" t="n"/>
      <c r="E295" s="396" t="n"/>
      <c r="F295" s="397" t="inlineStr">
        <is>
          <t>BURIED SPLICING MATERIAL</t>
        </is>
      </c>
      <c r="G295" s="440" t="n"/>
      <c r="H295" s="399"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s="955">
      <c r="A296" s="301" t="inlineStr">
        <is>
          <t>O.FBR.BURD</t>
        </is>
      </c>
      <c r="B296" s="308" t="n"/>
      <c r="C296" s="309" t="n"/>
      <c r="D296" s="309" t="n"/>
      <c r="E296" s="402" t="inlineStr">
        <is>
          <t>SPLLGSTR216TRY</t>
        </is>
      </c>
      <c r="F296" s="409" t="inlineStr">
        <is>
          <t>LGSTR216 TRAY LITGRIP RIBBON LONG</t>
        </is>
      </c>
      <c r="G296" s="403" t="n"/>
      <c r="H296" s="485">
        <f>B296*G296</f>
        <v/>
      </c>
      <c r="J296" s="500" t="n"/>
      <c r="K296" s="554" t="n"/>
    </row>
    <row r="297" outlineLevel="1" s="955">
      <c r="A297" s="301" t="inlineStr">
        <is>
          <t>O.FBR.BURD</t>
        </is>
      </c>
      <c r="B297" s="308" t="n"/>
      <c r="C297" s="309" t="n"/>
      <c r="D297" s="309" t="n"/>
      <c r="E297" s="402" t="inlineStr">
        <is>
          <t>SPLLGSTR216TRY</t>
        </is>
      </c>
      <c r="F297" s="409" t="inlineStr">
        <is>
          <t>LGSTR216 TRAY LITGRIP RIBBON LONG</t>
        </is>
      </c>
      <c r="G297" s="442" t="n"/>
      <c r="H297" s="485">
        <f>B297*G297</f>
        <v/>
      </c>
      <c r="J297" s="500" t="n"/>
      <c r="K297" s="554" t="n"/>
    </row>
    <row r="298" outlineLevel="1" s="955">
      <c r="A298" s="301" t="inlineStr">
        <is>
          <t>O.FBR.BURD</t>
        </is>
      </c>
      <c r="B298" s="308" t="n"/>
      <c r="C298" s="309" t="n"/>
      <c r="D298" s="309" t="n"/>
      <c r="E298" s="402" t="inlineStr">
        <is>
          <t>SPLHEATSHRINK60MM</t>
        </is>
      </c>
      <c r="F298" s="409" t="inlineStr">
        <is>
          <t>HEAT SHRINK SLEEVE/SING FIBER(50MM) (CONSUMABLE STOCK)</t>
        </is>
      </c>
      <c r="G298" s="442" t="n">
        <v>1.29</v>
      </c>
      <c r="H298" s="485">
        <f>B298*G298</f>
        <v/>
      </c>
    </row>
    <row r="299" outlineLevel="1" s="955">
      <c r="A299" s="301" t="inlineStr">
        <is>
          <t>O.FBR.BURD</t>
        </is>
      </c>
      <c r="B299" s="308" t="n"/>
      <c r="C299" s="309" t="n"/>
      <c r="D299" s="309" t="n"/>
      <c r="E299" s="402" t="inlineStr">
        <is>
          <t>SPLHEATSHRINK42MRIBBON</t>
        </is>
      </c>
      <c r="F299" s="409" t="inlineStr">
        <is>
          <t>42MM HEAT SHRINK FOR RIBBON FIBER  (CONSUMABLE STOCK)</t>
        </is>
      </c>
      <c r="G299" s="403" t="n">
        <v>0.84</v>
      </c>
      <c r="H299" s="485">
        <f>B299*G299</f>
        <v/>
      </c>
      <c r="J299" s="500" t="n"/>
      <c r="K299" s="554" t="n"/>
    </row>
    <row r="300" outlineLevel="1" s="955">
      <c r="A300" s="301" t="inlineStr">
        <is>
          <t>O.FBR.BURD</t>
        </is>
      </c>
      <c r="B300" s="308" t="n"/>
      <c r="C300" s="309" t="n"/>
      <c r="D300" s="309" t="n"/>
      <c r="E300" s="402" t="inlineStr">
        <is>
          <t>SPLTRAY80805110CYT</t>
        </is>
      </c>
      <c r="F300" s="409" t="inlineStr">
        <is>
          <t>SPLICE TRAY 80805110 COYOTE - OLD CLOSURES</t>
        </is>
      </c>
      <c r="G300" s="403" t="n"/>
      <c r="H300" s="485">
        <f>B300*G300</f>
        <v/>
      </c>
    </row>
    <row r="301" outlineLevel="1" s="955">
      <c r="A301" s="301" t="inlineStr">
        <is>
          <t>O.FBR.BURD</t>
        </is>
      </c>
      <c r="B301" s="308" t="n">
        <v>16</v>
      </c>
      <c r="C301" s="309" t="n"/>
      <c r="D301" s="309" t="n"/>
      <c r="E301" s="353" t="inlineStr">
        <is>
          <t>SPLCOMFOSC450B6CASE</t>
        </is>
      </c>
      <c r="F301" s="402" t="inlineStr">
        <is>
          <t>TYCO B CASE ONLY FOSC450-B6-6-NT-0-B3V 058514-000</t>
        </is>
      </c>
      <c r="G301" s="657" t="n">
        <v>226.08</v>
      </c>
      <c r="H301" s="485">
        <f>B301*G301</f>
        <v/>
      </c>
    </row>
    <row r="302" outlineLevel="1" s="955">
      <c r="A302" s="301" t="inlineStr">
        <is>
          <t>O.FBR.BURD</t>
        </is>
      </c>
      <c r="B302" s="308">
        <f>B301</f>
        <v/>
      </c>
      <c r="C302" s="309" t="n"/>
      <c r="D302" s="309" t="n"/>
      <c r="E302" s="353" t="inlineStr">
        <is>
          <t>SPLCOMFOSC12RIBTRY</t>
        </is>
      </c>
      <c r="F302" s="402" t="inlineStr">
        <is>
          <t>TYCO A/B SPLICETRAY ONLY FOSC ACC-A/B-TRAY-12-RBN 709972-000</t>
        </is>
      </c>
      <c r="G302" s="657" t="n">
        <v>26.24</v>
      </c>
      <c r="H302" s="485">
        <f>B302*G302</f>
        <v/>
      </c>
    </row>
    <row r="303" outlineLevel="1" s="955">
      <c r="A303" s="301" t="inlineStr">
        <is>
          <t>O.FBR.BURD</t>
        </is>
      </c>
      <c r="B303" s="308" t="n">
        <v>3</v>
      </c>
      <c r="C303" s="309" t="n"/>
      <c r="D303" s="309" t="n"/>
      <c r="E303" s="353" t="inlineStr">
        <is>
          <t>SPLCOMFOSC450D6CASE</t>
        </is>
      </c>
      <c r="F303" s="409" t="inlineStr">
        <is>
          <t>TYCO D CASE ONLY FOSC450-D6-6-NT-0-D3V c32954-000</t>
        </is>
      </c>
      <c r="G303" s="657" t="n">
        <v>338.54</v>
      </c>
      <c r="H303" s="485">
        <f>B303*G303</f>
        <v/>
      </c>
    </row>
    <row r="304" outlineLevel="1" s="955">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485">
        <f>B304*G304</f>
        <v/>
      </c>
    </row>
    <row r="305" outlineLevel="1" s="955">
      <c r="A305" s="308" t="inlineStr">
        <is>
          <t>MISC</t>
        </is>
      </c>
      <c r="B305" s="314" t="n"/>
      <c r="C305" s="315" t="n"/>
      <c r="D305" s="315" t="n"/>
      <c r="E305" s="316" t="inlineStr">
        <is>
          <t>SPLGROM8003989</t>
        </is>
      </c>
      <c r="F305" s="317" t="inlineStr">
        <is>
          <t>GROMMET 4 HOLE FLAT DROP ONLY</t>
        </is>
      </c>
      <c r="G305" s="413" t="n"/>
      <c r="H305" s="485">
        <f>B305*G305</f>
        <v/>
      </c>
    </row>
    <row r="306" outlineLevel="1" s="955">
      <c r="A306" s="308" t="inlineStr">
        <is>
          <t>MISC</t>
        </is>
      </c>
      <c r="B306" s="314" t="n"/>
      <c r="C306" s="315" t="n"/>
      <c r="D306" s="315" t="n"/>
      <c r="E306" s="316" t="inlineStr">
        <is>
          <t>SPLGROM8003796</t>
        </is>
      </c>
      <c r="F306" s="317" t="inlineStr">
        <is>
          <t>GROMMET 12 HOLE FLAT DROP ONLY</t>
        </is>
      </c>
      <c r="G306" s="413" t="n"/>
      <c r="H306" s="485">
        <f>B306*G306</f>
        <v/>
      </c>
      <c r="J306" s="500" t="n"/>
      <c r="K306" s="554" t="n"/>
    </row>
    <row r="307" outlineLevel="1" s="955">
      <c r="A307" s="308" t="inlineStr">
        <is>
          <t>O.FBR.BURD</t>
        </is>
      </c>
      <c r="B307" s="314" t="n"/>
      <c r="C307" s="315" t="n"/>
      <c r="D307" s="315" t="n"/>
      <c r="E307" s="316" t="inlineStr">
        <is>
          <t>SPLPANCONLDCSCAPC</t>
        </is>
      </c>
      <c r="F307" s="317" t="inlineStr">
        <is>
          <t>PANEL CONN LDC-CP1P-6C SCAPC CORNING</t>
        </is>
      </c>
      <c r="G307" s="413" t="n"/>
      <c r="H307" s="485">
        <f>B307*G307</f>
        <v/>
      </c>
      <c r="J307" s="500" t="n"/>
      <c r="K307" s="554" t="n"/>
    </row>
    <row r="308" outlineLevel="1" s="955">
      <c r="A308" s="308" t="inlineStr">
        <is>
          <t>O.FBR.BURD</t>
        </is>
      </c>
      <c r="B308" s="314" t="n"/>
      <c r="C308" s="315" t="n"/>
      <c r="D308" s="315" t="n"/>
      <c r="E308" s="316" t="inlineStr">
        <is>
          <t>SPLTIIDEMARC24PTSCAPCADPT</t>
        </is>
      </c>
      <c r="F308" s="317" t="inlineStr">
        <is>
          <t>TII 24 PORT SC-APC TERMINAL PANEL PN FET3G-24RSCN00</t>
        </is>
      </c>
      <c r="G308" s="413" t="n"/>
      <c r="H308" s="485">
        <f>B308*G308</f>
        <v/>
      </c>
    </row>
    <row r="309" outlineLevel="1" s="955">
      <c r="A309" s="308" t="inlineStr">
        <is>
          <t>O.FBR.BURD</t>
        </is>
      </c>
      <c r="B309" s="314" t="n"/>
      <c r="C309" s="315" t="n"/>
      <c r="D309" s="315" t="n"/>
      <c r="E309" s="661" t="inlineStr">
        <is>
          <t>FIJSCA</t>
        </is>
      </c>
      <c r="F309" s="662" t="inlineStr">
        <is>
          <t>FIBER PIGTAIL 12 FIBER SCAPC RBD9-SA3M</t>
        </is>
      </c>
      <c r="G309" s="403" t="n"/>
      <c r="H309" s="485">
        <f>B309*G309</f>
        <v/>
      </c>
    </row>
    <row r="310" outlineLevel="1" s="955">
      <c r="A310" s="308" t="inlineStr">
        <is>
          <t>O.FBR.BURD</t>
        </is>
      </c>
      <c r="B310" s="308" t="n">
        <v>14</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485">
        <f>B310*G310</f>
        <v/>
      </c>
    </row>
    <row r="311" outlineLevel="1" s="955">
      <c r="A311" s="307" t="inlineStr">
        <is>
          <t>O.FBR.BURD</t>
        </is>
      </c>
      <c r="B311" s="308" t="n">
        <v>92</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485">
        <f>B311*G311</f>
        <v/>
      </c>
    </row>
    <row r="312" outlineLevel="1" s="955">
      <c r="A312" s="307" t="inlineStr">
        <is>
          <t>O.FBR.BURD</t>
        </is>
      </c>
      <c r="B312" s="308" t="n"/>
      <c r="C312" s="309" t="n"/>
      <c r="D312" s="309" t="n"/>
      <c r="E312" s="353" t="n"/>
      <c r="F312" s="928" t="inlineStr">
        <is>
          <t>G5N G5NTA2S00NNNN Green hornet splice terminal base, 2 splice trays</t>
        </is>
      </c>
      <c r="G312" s="929" t="n">
        <v>97</v>
      </c>
      <c r="H312" s="485">
        <f>B312*G312</f>
        <v/>
      </c>
    </row>
    <row r="313" outlineLevel="1" s="955">
      <c r="A313" s="307" t="inlineStr">
        <is>
          <t>O.FBR.BURD</t>
        </is>
      </c>
      <c r="B313" s="308" t="n"/>
      <c r="C313" s="309" t="n"/>
      <c r="D313" s="309" t="n"/>
      <c r="E313" s="353" t="n"/>
      <c r="F313" s="928" t="inlineStr">
        <is>
          <t>13X24X18 HANDHOLE, G5N secondary splice case, 3)1x4 splice trays</t>
        </is>
      </c>
      <c r="G313" s="929" t="n">
        <v>386</v>
      </c>
      <c r="H313" s="485">
        <f>B313*G313</f>
        <v/>
      </c>
    </row>
    <row r="314" outlineLevel="1" s="955">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485">
        <f>B314*G314</f>
        <v/>
      </c>
    </row>
    <row r="315" outlineLevel="1" s="955">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485">
        <f>B315*G315</f>
        <v/>
      </c>
    </row>
    <row r="316" outlineLevel="1" s="955">
      <c r="A316" s="313" t="inlineStr">
        <is>
          <t>O.FBR.BURD</t>
        </is>
      </c>
      <c r="B316" s="314" t="n"/>
      <c r="C316" s="315" t="n"/>
      <c r="D316" s="315" t="n"/>
      <c r="E316" s="941" t="inlineStr">
        <is>
          <t>SPLCHNG5NGRMT78</t>
        </is>
      </c>
      <c r="F316" s="909" t="inlineStr">
        <is>
          <t>Secondary Splitter Location "Drop Terminal Grommet"Green Hornet Main Grommet, 1.5” (38.1mm), 0.188”-0.250” (9.525mm-11.125mm).  (CONSUMABLE STOCK)</t>
        </is>
      </c>
      <c r="G316" s="411" t="n">
        <v>9.199999999999999</v>
      </c>
      <c r="H316" s="485">
        <f>B316*G316</f>
        <v/>
      </c>
    </row>
    <row r="317" outlineLevel="1" s="955">
      <c r="A317" s="313" t="inlineStr">
        <is>
          <t>O.FBR.BURD</t>
        </is>
      </c>
      <c r="B317" s="314" t="n"/>
      <c r="C317" s="315" t="n"/>
      <c r="D317" s="315" t="n"/>
      <c r="E317" s="941" t="inlineStr">
        <is>
          <t>SPLCHNG5NGRMT891</t>
        </is>
      </c>
      <c r="F317" s="909" t="inlineStr">
        <is>
          <t>(12 PER PACK) End of Line Main Oval Port Grommets Cable Diameter - 0.375”-0.438” INCHES –  (CONSUMABLE STOCK)</t>
        </is>
      </c>
      <c r="G317" s="411" t="n">
        <v>9.199999999999999</v>
      </c>
      <c r="H317" s="485">
        <f>B317*G317</f>
        <v/>
      </c>
    </row>
    <row r="318" outlineLevel="1" ht="13.5" customHeight="1" s="955" thickBot="1">
      <c r="A318" s="313" t="inlineStr">
        <is>
          <t>O.FBR.BURD</t>
        </is>
      </c>
      <c r="B318" s="314" t="n"/>
      <c r="C318" s="315" t="n"/>
      <c r="D318" s="315" t="n"/>
      <c r="E318" s="941" t="inlineStr">
        <is>
          <t>SPLCHNG5NGRMT781</t>
        </is>
      </c>
      <c r="F318" s="909" t="inlineStr">
        <is>
          <t>(12 PER PACK) End of Line Main Oval Port Grommets Cable Diameter - 0.438” - .500"  INCHES -  (CONSUMABLE STOCK)</t>
        </is>
      </c>
      <c r="G318" s="411" t="n">
        <v>9.199999999999999</v>
      </c>
      <c r="H318" s="485">
        <f>B318*G318</f>
        <v/>
      </c>
    </row>
    <row r="319" outlineLevel="1" ht="13.5" customHeight="1" s="955" thickBot="1">
      <c r="A319" s="319" t="n"/>
      <c r="B319" s="320" t="inlineStr">
        <is>
          <t>-</t>
        </is>
      </c>
      <c r="C319" s="321" t="n"/>
      <c r="D319" s="321" t="n"/>
      <c r="E319" s="443" t="n"/>
      <c r="F319" s="444" t="inlineStr">
        <is>
          <t>SUB-TOTAL - O.FBR.BURD - SPLICING (LUMOS MATERIAL)</t>
        </is>
      </c>
      <c r="G319" s="445" t="n"/>
      <c r="H319" s="508">
        <f>SUM(H296:H318)</f>
        <v/>
      </c>
    </row>
    <row r="320" outlineLevel="1" ht="13.5" customHeight="1" s="955" thickBot="1">
      <c r="A320" s="319" t="n"/>
      <c r="B320" s="320" t="inlineStr">
        <is>
          <t>-</t>
        </is>
      </c>
      <c r="C320" s="321" t="n"/>
      <c r="D320" s="321" t="n"/>
      <c r="E320" s="322" t="n"/>
      <c r="F320" s="323" t="inlineStr">
        <is>
          <t>PROVISIONING - SPLICING (LUMOS MATERIAL)</t>
        </is>
      </c>
      <c r="G320" s="446" t="n"/>
      <c r="H320" s="495">
        <f>H319*(H1+H2)</f>
        <v/>
      </c>
    </row>
    <row r="321" outlineLevel="1" ht="13.5" customHeight="1" s="955" thickBot="1">
      <c r="A321" s="319" t="n"/>
      <c r="B321" s="320" t="n"/>
      <c r="C321" s="321" t="n"/>
      <c r="D321" s="321" t="n"/>
      <c r="E321" s="322" t="n"/>
      <c r="F321" s="447" t="inlineStr">
        <is>
          <t>TOTAL - O.FBR.BURD - SPLICING (LUMOS MATERIAL)</t>
        </is>
      </c>
      <c r="G321" s="448" t="n"/>
      <c r="H321" s="496">
        <f>H319+H320</f>
        <v/>
      </c>
    </row>
    <row r="322" ht="13.5" customHeight="1" s="955" thickBot="1">
      <c r="A322" s="449" t="inlineStr">
        <is>
          <t>&lt;----Click the + to Expand or Collapse the "BURIED SPLICING MATERIAL" Section</t>
        </is>
      </c>
      <c r="B322" s="450" t="n"/>
      <c r="C322" s="451" t="n"/>
      <c r="D322" s="451" t="n"/>
      <c r="E322" s="452" t="n"/>
      <c r="F322" s="397" t="n"/>
      <c r="G322" s="440" t="n"/>
      <c r="H322" s="399" t="n"/>
    </row>
    <row r="323" ht="13.5" customHeight="1" s="955" thickBot="1">
      <c r="A323" s="336" t="n"/>
      <c r="B323" s="501">
        <f>IF(SUM(H340)&gt;0,"-",IF(SUM(H333)&gt;0,"-",""))</f>
        <v/>
      </c>
      <c r="C323" s="337" t="n"/>
      <c r="D323" s="337" t="n"/>
      <c r="E323" s="338" t="n"/>
      <c r="F323" s="339" t="inlineStr">
        <is>
          <t>LCP / EQUIPMENT</t>
        </is>
      </c>
      <c r="G323" s="340" t="n"/>
      <c r="H323" s="341" t="n"/>
    </row>
    <row r="324" hidden="1" outlineLevel="1" s="955">
      <c r="A324" s="342" t="inlineStr">
        <is>
          <t>S.D.EQ</t>
        </is>
      </c>
      <c r="B324" s="502" t="n"/>
      <c r="C324" s="437" t="n"/>
      <c r="D324" s="437" t="n"/>
      <c r="E324" s="345" t="n"/>
      <c r="F324" s="457" t="inlineStr">
        <is>
          <t>MISC FTTH LCP PARTS</t>
        </is>
      </c>
      <c r="G324" s="456" t="n"/>
      <c r="H324" s="493" t="n"/>
    </row>
    <row r="325" hidden="1" outlineLevel="1" s="955">
      <c r="A325" s="342" t="inlineStr">
        <is>
          <t>S.D.EQ</t>
        </is>
      </c>
      <c r="B325" s="503" t="n"/>
      <c r="C325" s="458" t="n"/>
      <c r="D325" s="458" t="n"/>
      <c r="E325" s="345" t="inlineStr">
        <is>
          <t>SPLFANOUTASEMSCAPCORB</t>
        </is>
      </c>
      <c r="F325" s="438" t="inlineStr">
        <is>
          <t>FANOUT ASSEMBLY SC/APC ORBITAL 300543022</t>
        </is>
      </c>
      <c r="G325" s="456" t="n"/>
      <c r="H325" s="493">
        <f>B325*G325</f>
        <v/>
      </c>
    </row>
    <row r="326" hidden="1" outlineLevel="1" s="955">
      <c r="A326" s="369" t="inlineStr">
        <is>
          <t>S.D.EQ</t>
        </is>
      </c>
      <c r="B326" s="354" t="n"/>
      <c r="C326" s="458" t="n"/>
      <c r="D326" s="458" t="n"/>
      <c r="E326" s="345" t="inlineStr">
        <is>
          <t>SPLFANOUT6</t>
        </is>
      </c>
      <c r="F326" s="438" t="inlineStr">
        <is>
          <t>FANOUT ASMBLY SC/APC ORBITAL6' COMCODE 301015673</t>
        </is>
      </c>
      <c r="G326" s="456" t="n"/>
      <c r="H326" s="493">
        <f>B326*G326</f>
        <v/>
      </c>
    </row>
    <row r="327" hidden="1" outlineLevel="1" s="955">
      <c r="A327" s="369" t="inlineStr">
        <is>
          <t>S.D.EQ</t>
        </is>
      </c>
      <c r="B327" s="343" t="n"/>
      <c r="C327" s="437" t="n"/>
      <c r="D327" s="437" t="n"/>
      <c r="E327" s="345" t="inlineStr">
        <is>
          <t>SPLCOUPMOD1X32ORB</t>
        </is>
      </c>
      <c r="F327" s="438" t="inlineStr">
        <is>
          <t>OFS ORBITAL SPLITTER</t>
        </is>
      </c>
      <c r="G327" s="456" t="n"/>
      <c r="H327" s="493">
        <f>B327*G327</f>
        <v/>
      </c>
    </row>
    <row r="328" hidden="1" outlineLevel="1" s="955">
      <c r="A328" s="369" t="inlineStr">
        <is>
          <t>S.D.EQ</t>
        </is>
      </c>
      <c r="B328" s="343" t="n"/>
      <c r="C328" s="437" t="n"/>
      <c r="D328" s="437" t="n"/>
      <c r="E328" s="345" t="inlineStr">
        <is>
          <t>SPLFDHCPLRMOD</t>
        </is>
      </c>
      <c r="F328" s="438" t="inlineStr">
        <is>
          <t>OPTITECT FDH COUPLER MODULE   ( GEN 1)</t>
        </is>
      </c>
      <c r="G328" s="456" t="n"/>
      <c r="H328" s="493">
        <f>B328*G328</f>
        <v/>
      </c>
    </row>
    <row r="329" hidden="1" outlineLevel="1" s="955">
      <c r="A329" s="369" t="inlineStr">
        <is>
          <t>S.D.EQ</t>
        </is>
      </c>
      <c r="B329" s="343" t="n"/>
      <c r="C329" s="437" t="n"/>
      <c r="D329" s="437" t="n"/>
      <c r="E329" s="370" t="inlineStr">
        <is>
          <t>SPLTFLST72</t>
        </is>
      </c>
      <c r="F329" s="378" t="inlineStr">
        <is>
          <t>TERMINAL FIBER LST1U-072/7 105 335 871</t>
        </is>
      </c>
      <c r="G329" s="459" t="n"/>
      <c r="H329" s="493">
        <f>B329*G329</f>
        <v/>
      </c>
    </row>
    <row r="330" hidden="1" outlineLevel="1" s="955">
      <c r="A330" s="369" t="inlineStr">
        <is>
          <t>S.D.EQ</t>
        </is>
      </c>
      <c r="B330" s="354" t="n"/>
      <c r="C330" s="458" t="n"/>
      <c r="D330" s="458" t="n"/>
      <c r="E330" s="373" t="inlineStr">
        <is>
          <t>SPLFIBRTERM288</t>
        </is>
      </c>
      <c r="F330" s="373" t="inlineStr">
        <is>
          <t>TERMINAL FIBER 288 SCAPC ADC LSX-LL-1242-A-SPL</t>
        </is>
      </c>
      <c r="G330" s="460" t="n"/>
      <c r="H330" s="493">
        <f>B330*G330</f>
        <v/>
      </c>
    </row>
    <row r="331" hidden="1" outlineLevel="1" s="955">
      <c r="A331" s="369" t="inlineStr">
        <is>
          <t>S.D.EQ</t>
        </is>
      </c>
      <c r="B331" s="354" t="n"/>
      <c r="C331" s="458" t="n"/>
      <c r="D331" s="458" t="n"/>
      <c r="E331" s="370" t="inlineStr">
        <is>
          <t>SPL12PIGTAIL</t>
        </is>
      </c>
      <c r="F331" s="378" t="inlineStr">
        <is>
          <t>FIBER PIGTAIL 12 FIBER SC/UPC ***use inventory until exhausted***</t>
        </is>
      </c>
      <c r="G331" s="459" t="n"/>
      <c r="H331" s="493">
        <f>B331*G331</f>
        <v/>
      </c>
    </row>
    <row r="332" hidden="1" outlineLevel="1" s="955">
      <c r="A332" s="369" t="inlineStr">
        <is>
          <t>S.D.EQ</t>
        </is>
      </c>
      <c r="B332" s="503" t="n"/>
      <c r="C332" s="458" t="n"/>
      <c r="D332" s="458" t="n"/>
      <c r="E332" s="370" t="inlineStr">
        <is>
          <t>SPLTFLST144</t>
        </is>
      </c>
      <c r="F332" s="378" t="inlineStr">
        <is>
          <t>TERMINAL FIBER LST1U-144/9 107 535 569</t>
        </is>
      </c>
      <c r="G332" s="459" t="n"/>
      <c r="H332" s="493">
        <f>B332*G332</f>
        <v/>
      </c>
    </row>
    <row r="333" hidden="1" outlineLevel="1" s="955">
      <c r="A333" s="369" t="inlineStr">
        <is>
          <t>S.D.EQ</t>
        </is>
      </c>
      <c r="B333" s="354" t="n"/>
      <c r="C333" s="458" t="n"/>
      <c r="D333" s="458" t="n"/>
      <c r="E333" s="370" t="n"/>
      <c r="F333" s="378" t="n"/>
      <c r="G333" s="459" t="n"/>
      <c r="H333" s="493">
        <f>B333*G333</f>
        <v/>
      </c>
    </row>
    <row r="334" hidden="1" outlineLevel="1" ht="13.5" customHeight="1" s="955" thickBot="1">
      <c r="A334" s="369" t="n"/>
      <c r="B334" s="354" t="n"/>
      <c r="C334" s="458" t="n"/>
      <c r="D334" s="458" t="n"/>
      <c r="E334" s="377" t="n"/>
      <c r="F334" s="378" t="n"/>
      <c r="G334" s="378" t="n"/>
      <c r="H334" s="461" t="n"/>
    </row>
    <row r="335" hidden="1" outlineLevel="1" ht="13.5" customHeight="1" s="955" thickBot="1">
      <c r="A335" s="336" t="n"/>
      <c r="B335" s="356" t="n"/>
      <c r="C335" s="462" t="n"/>
      <c r="D335" s="462" t="n"/>
      <c r="E335" s="363" t="n"/>
      <c r="F335" s="339" t="inlineStr">
        <is>
          <t>ONT EQUIPMENT</t>
        </is>
      </c>
      <c r="G335" s="463" t="n"/>
      <c r="H335" s="361" t="n"/>
    </row>
    <row r="336" hidden="1" outlineLevel="1" s="955">
      <c r="A336" s="349" t="inlineStr">
        <is>
          <t>S.D.EQ</t>
        </is>
      </c>
      <c r="B336" s="350" t="n"/>
      <c r="C336" s="454" t="n"/>
      <c r="D336" s="454" t="n"/>
      <c r="E336" s="352" t="inlineStr">
        <is>
          <t>ONTADTTA372</t>
        </is>
      </c>
      <c r="F336" s="455" t="inlineStr">
        <is>
          <t>ADTRAN BUSINESS ONT</t>
        </is>
      </c>
      <c r="G336" s="453" t="n"/>
      <c r="H336" s="493">
        <f>G336*B336</f>
        <v/>
      </c>
    </row>
    <row r="337" hidden="1" outlineLevel="1" ht="13.5" customHeight="1" s="955" thickBot="1">
      <c r="A337" s="369" t="inlineStr">
        <is>
          <t>S.D.EQ</t>
        </is>
      </c>
      <c r="B337" s="354" t="n"/>
      <c r="C337" s="458" t="n"/>
      <c r="D337" s="458" t="n"/>
      <c r="E337" s="370" t="inlineStr">
        <is>
          <t>ONTADT1GMICRO</t>
        </is>
      </c>
      <c r="F337" s="378" t="inlineStr">
        <is>
          <t>MICRO ONT (RESIDENTIAL), ADTRANN TA411 1G + POTS MICRO ONT PN 1287787F1</t>
        </is>
      </c>
      <c r="G337" s="459" t="n"/>
      <c r="H337" s="489">
        <f>G337*B337</f>
        <v/>
      </c>
    </row>
    <row r="338" hidden="1" outlineLevel="1" ht="13.5" customHeight="1" s="955" thickBot="1">
      <c r="A338" s="336" t="n"/>
      <c r="B338" s="356" t="n"/>
      <c r="C338" s="357" t="n"/>
      <c r="D338" s="357" t="n"/>
      <c r="E338" s="380" t="n"/>
      <c r="F338" s="439" t="inlineStr">
        <is>
          <t>SUB-TOTAL -  EQUIPMENT  (LUMOS MATERIAL)</t>
        </is>
      </c>
      <c r="G338" s="464" t="n"/>
      <c r="H338" s="504">
        <f>SUM(H324:H333,H334:H337)</f>
        <v/>
      </c>
    </row>
    <row r="339" hidden="1" outlineLevel="1" ht="13.5" customHeight="1" s="955" thickBot="1">
      <c r="A339" s="336" t="n"/>
      <c r="B339" s="356" t="n"/>
      <c r="C339" s="357" t="n"/>
      <c r="D339" s="357" t="n"/>
      <c r="E339" s="380" t="n"/>
      <c r="F339" s="439" t="inlineStr">
        <is>
          <t>PROVISIONING -EQUIPMENT  (LUMOS MATERIAL)</t>
        </is>
      </c>
      <c r="G339" s="464" t="n"/>
      <c r="H339" s="504">
        <f>H338*(H1+H2)</f>
        <v/>
      </c>
    </row>
    <row r="340" hidden="1" outlineLevel="1" ht="13.5" customHeight="1" s="955" thickBot="1">
      <c r="A340" s="336" t="n"/>
      <c r="B340" s="356" t="n"/>
      <c r="C340" s="357" t="n"/>
      <c r="D340" s="357" t="n"/>
      <c r="E340" s="380" t="n"/>
      <c r="F340" s="465" t="inlineStr">
        <is>
          <t>TOTAL -  EQUIPMENT  (LUMOS MATERIAL)</t>
        </is>
      </c>
      <c r="G340" s="466" t="n"/>
      <c r="H340" s="505">
        <f>SUM(H338:H339)</f>
        <v/>
      </c>
    </row>
    <row r="341" collapsed="1" ht="13.5" customHeight="1" s="955" thickBot="1">
      <c r="A341" s="467" t="inlineStr">
        <is>
          <t>&lt;----Click the + to Expand or Collapse the "LCP / EQUIPMENT" Section</t>
        </is>
      </c>
      <c r="B341" s="356" t="n"/>
      <c r="C341" s="462" t="n"/>
      <c r="D341" s="462" t="n"/>
      <c r="E341" s="358" t="n"/>
      <c r="F341" s="339" t="n"/>
      <c r="G341" s="468" t="n"/>
      <c r="H341" s="506" t="n"/>
    </row>
    <row r="342" ht="13.5" customHeight="1" s="955" thickBot="1">
      <c r="A342" s="469" t="n"/>
      <c r="B342" s="320" t="n"/>
      <c r="C342" s="470" t="n"/>
      <c r="D342" s="470" t="n"/>
      <c r="E342" s="405" t="n"/>
      <c r="F342" s="397" t="n"/>
      <c r="G342" s="471" t="inlineStr">
        <is>
          <t>Sheet Total</t>
        </is>
      </c>
      <c r="H342" s="507">
        <f>SUM(H340,H321,H293,H270,H240,H172,H104,H28,)</f>
        <v/>
      </c>
    </row>
    <row r="343">
      <c r="A343" s="472" t="n"/>
      <c r="H343" s="473" t="n"/>
    </row>
    <row r="344">
      <c r="G344" s="476"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476" t="n"/>
    </row>
    <row r="363">
      <c r="G363" s="476" t="n"/>
    </row>
    <row r="364">
      <c r="G364" s="476" t="n"/>
    </row>
    <row r="365">
      <c r="G365" s="476" t="n"/>
    </row>
    <row r="366">
      <c r="G366" s="476" t="n"/>
    </row>
    <row r="367">
      <c r="G367" s="476" t="n"/>
    </row>
    <row r="368">
      <c r="G368" s="476" t="n"/>
    </row>
    <row r="369">
      <c r="G369" s="476" t="n"/>
    </row>
    <row r="370">
      <c r="G370" s="476" t="n"/>
    </row>
    <row r="371">
      <c r="G371" s="476" t="n"/>
    </row>
    <row r="372">
      <c r="G372" s="476" t="n"/>
    </row>
    <row r="373">
      <c r="G373" s="476" t="n"/>
    </row>
    <row r="374">
      <c r="G374" s="476" t="n"/>
    </row>
    <row r="375">
      <c r="G375" s="476" t="n"/>
    </row>
    <row r="376">
      <c r="G376" s="476" t="n"/>
    </row>
    <row r="377">
      <c r="G377" s="476" t="n"/>
    </row>
    <row r="378">
      <c r="G378" s="476" t="n"/>
    </row>
    <row r="379">
      <c r="G379" s="476" t="n"/>
    </row>
    <row r="380">
      <c r="G380" s="476" t="n"/>
    </row>
    <row r="381">
      <c r="G381" s="476" t="n"/>
    </row>
    <row r="382">
      <c r="G382" s="476" t="n"/>
    </row>
    <row r="383">
      <c r="G383" s="476" t="n"/>
    </row>
    <row r="384">
      <c r="G384" s="476"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6" activePane="bottomLeft" state="frozen"/>
      <selection pane="bottomLeft" activeCell="B205" sqref="B205"/>
    </sheetView>
  </sheetViews>
  <sheetFormatPr baseColWidth="8" defaultColWidth="8.85546875" defaultRowHeight="15" customHeight="1" outlineLevelRow="1"/>
  <cols>
    <col width="9.7109375" customWidth="1" style="49" min="1" max="1"/>
    <col width="10.28515625" bestFit="1" customWidth="1" style="12" min="2" max="2"/>
    <col width="7.140625" bestFit="1" customWidth="1" style="49" min="3" max="3"/>
    <col width="65.140625" customWidth="1" style="49" min="4" max="4"/>
    <col width="25.140625" bestFit="1" customWidth="1" style="49" min="5" max="5"/>
    <col width="9.5703125" bestFit="1" customWidth="1" style="49" min="6" max="6"/>
    <col width="8.85546875" customWidth="1" style="49" min="7" max="7"/>
    <col width="20.85546875" bestFit="1" customWidth="1" style="535" min="8" max="8"/>
    <col width="8.85546875" customWidth="1" style="218" min="9" max="9"/>
    <col width="8.85546875" customWidth="1" style="49" min="10" max="16384"/>
  </cols>
  <sheetData>
    <row r="1" ht="15" customHeight="1" s="955">
      <c r="A1" s="1017" t="inlineStr">
        <is>
          <t>CUSTOMER NAME</t>
        </is>
      </c>
      <c r="C1" s="11" t="inlineStr">
        <is>
          <t>-</t>
        </is>
      </c>
      <c r="D1" s="11">
        <f>'COVER SHEET'!B2</f>
        <v/>
      </c>
      <c r="E1" s="11" t="inlineStr">
        <is>
          <t>Solid Rock Adder</t>
        </is>
      </c>
      <c r="F1" s="11" t="n"/>
    </row>
    <row r="2" ht="15" customHeight="1" s="955">
      <c r="A2" s="1017" t="inlineStr">
        <is>
          <t>ENGINEER</t>
        </is>
      </c>
      <c r="C2" s="11" t="inlineStr">
        <is>
          <t>-</t>
        </is>
      </c>
      <c r="D2" s="11">
        <f>'COVER SHEET'!F2</f>
        <v/>
      </c>
      <c r="E2" s="11" t="n"/>
      <c r="F2" s="11" t="n"/>
      <c r="G2" s="11" t="n"/>
      <c r="H2" s="536" t="n"/>
    </row>
    <row r="3" ht="15" customHeight="1" s="955">
      <c r="A3" s="1017" t="inlineStr">
        <is>
          <t>Project #</t>
        </is>
      </c>
      <c r="C3" s="11" t="inlineStr">
        <is>
          <t>-</t>
        </is>
      </c>
      <c r="D3" s="11">
        <f>'COVER SHEET'!F4</f>
        <v/>
      </c>
      <c r="E3" s="11" t="n"/>
      <c r="F3" s="11" t="n"/>
      <c r="G3" s="11" t="n"/>
      <c r="H3" s="536" t="n"/>
    </row>
    <row r="4" ht="15" customHeight="1" s="955" thickBot="1">
      <c r="A4" s="12" t="n"/>
      <c r="C4" s="12" t="n"/>
      <c r="D4" s="250" t="n"/>
      <c r="E4" s="13" t="n"/>
      <c r="F4" s="13" t="n"/>
    </row>
    <row r="5" ht="15" customHeight="1" s="955"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s="955" thickBot="1">
      <c r="A6" s="121" t="n"/>
      <c r="B6" s="185">
        <f>IF(SUM(F29)&gt;0,"-","")</f>
        <v/>
      </c>
      <c r="C6" s="91" t="n"/>
      <c r="D6" s="91" t="inlineStr">
        <is>
          <t>ENGINEERING</t>
        </is>
      </c>
      <c r="E6" s="119" t="n"/>
      <c r="F6" s="150" t="n"/>
    </row>
    <row r="7" outlineLevel="1" ht="15" customHeight="1" s="955">
      <c r="A7" s="10" t="n"/>
      <c r="B7" s="52" t="n"/>
      <c r="C7" s="17" t="n"/>
      <c r="D7" s="18" t="inlineStr">
        <is>
          <t>PROJECT PLANNING / DESIGN - COMPANY LABOR</t>
        </is>
      </c>
      <c r="E7" s="19" t="n">
        <v>0.7</v>
      </c>
      <c r="F7" s="74">
        <f>E7*B7</f>
        <v/>
      </c>
    </row>
    <row r="8" outlineLevel="1" ht="15" customHeight="1" s="955">
      <c r="A8" s="8" t="n"/>
      <c r="B8" s="1082" t="n"/>
      <c r="C8" s="1" t="n"/>
      <c r="D8" s="20" t="inlineStr">
        <is>
          <t>PROJECT PLANNING / DESIGN - CONTRACT LABOR</t>
        </is>
      </c>
      <c r="E8" s="21" t="n">
        <v>50</v>
      </c>
      <c r="F8" s="63">
        <f>E8*B8</f>
        <v/>
      </c>
    </row>
    <row r="9" outlineLevel="1" ht="15" customHeight="1" s="955">
      <c r="A9" s="8" t="n"/>
      <c r="B9" s="1082" t="n"/>
      <c r="C9" s="1" t="n"/>
      <c r="D9" s="20" t="inlineStr">
        <is>
          <t>CONTRACTOR MINIMUM AERIAL/BURIED/UNDERGROUND CHARGE</t>
        </is>
      </c>
      <c r="E9" s="21" t="n">
        <v>1</v>
      </c>
      <c r="F9" s="63">
        <f>E9*B9</f>
        <v/>
      </c>
    </row>
    <row r="10" outlineLevel="1" ht="15" customHeight="1" s="955">
      <c r="A10" s="8" t="n"/>
      <c r="B10" s="1082" t="n"/>
      <c r="C10" s="1" t="n"/>
      <c r="D10" s="20" t="inlineStr">
        <is>
          <t>CONTRACTOR - FLAT RATE - AERIAL - PER LINEAR FOOT 0-1 MILE</t>
        </is>
      </c>
      <c r="E10" s="21" t="n">
        <v>0.5</v>
      </c>
      <c r="F10" s="63">
        <f>E10*B10</f>
        <v/>
      </c>
    </row>
    <row r="11" outlineLevel="1" ht="15" customHeight="1" s="955">
      <c r="A11" s="8" t="n"/>
      <c r="B11" s="1082" t="n"/>
      <c r="C11" s="1" t="n"/>
      <c r="D11" s="20" t="inlineStr">
        <is>
          <t>CONTRACTOR - FLAT RATE - AERIAL - PER LINEAR FOOT 1-2 MILE</t>
        </is>
      </c>
      <c r="E11" s="21" t="n">
        <v>0.5</v>
      </c>
      <c r="F11" s="63">
        <f>E11*B11</f>
        <v/>
      </c>
    </row>
    <row r="12" outlineLevel="1" ht="15" customHeight="1" s="955">
      <c r="A12" s="8" t="n"/>
      <c r="B12" s="1082" t="n"/>
      <c r="C12" s="1" t="n"/>
      <c r="D12" s="20" t="inlineStr">
        <is>
          <t>CONTRACTOR - FLAT RATE - AERIAL - PER LINEAR FOOT 2-5 MILE</t>
        </is>
      </c>
      <c r="E12" s="21" t="n">
        <v>0.5</v>
      </c>
      <c r="F12" s="63">
        <f>E12*B12</f>
        <v/>
      </c>
    </row>
    <row r="13" outlineLevel="1" ht="15" customHeight="1" s="955">
      <c r="A13" s="8" t="n"/>
      <c r="B13" s="1082" t="n"/>
      <c r="C13" s="1" t="n"/>
      <c r="D13" s="20" t="inlineStr">
        <is>
          <t>CONTRACTOR - FLAT RATE - BURIED/UNDERGROUND - PER LINEAR FOOT 0-1 MILE</t>
        </is>
      </c>
      <c r="E13" s="21" t="n">
        <v>0.5</v>
      </c>
      <c r="F13" s="63">
        <f>E13*B13</f>
        <v/>
      </c>
    </row>
    <row r="14" outlineLevel="1" ht="15" customHeight="1" s="955">
      <c r="A14" s="8" t="n"/>
      <c r="B14" s="1082" t="n"/>
      <c r="C14" s="1" t="n"/>
      <c r="D14" s="20" t="inlineStr">
        <is>
          <t>CONTRACTOR - FLAT RATE - BURIED/UNDERGROUND - PER LINEAR FOOT 1-2 MILE</t>
        </is>
      </c>
      <c r="E14" s="21" t="n">
        <v>0.5</v>
      </c>
      <c r="F14" s="63">
        <f>E14*B14</f>
        <v/>
      </c>
    </row>
    <row r="15" outlineLevel="1" ht="15" customHeight="1" s="955">
      <c r="A15" s="8" t="n"/>
      <c r="B15" s="1082">
        <f>SUM('LABOR SPAN SHEET'!AD2)</f>
        <v/>
      </c>
      <c r="C15" s="1" t="n"/>
      <c r="D15" s="20" t="inlineStr">
        <is>
          <t>CONTRACTOR - FLAT RATE - BURIED/UNDERGROUND - PER LINEAR FOOT 2-5 MILE</t>
        </is>
      </c>
      <c r="E15" s="21" t="n">
        <v>0.5</v>
      </c>
      <c r="F15" s="63">
        <f>E15*B15</f>
        <v/>
      </c>
    </row>
    <row r="16" outlineLevel="1" ht="15" customHeight="1" s="955">
      <c r="A16" s="8" t="n"/>
      <c r="B16" s="1082" t="n"/>
      <c r="C16" s="1" t="n"/>
      <c r="D16" s="20" t="inlineStr">
        <is>
          <t>CONTRACTOR - DESIGN OVER 5 MILES - PER BID</t>
        </is>
      </c>
      <c r="E16" s="145" t="n"/>
      <c r="F16" s="63">
        <f>E16*B16</f>
        <v/>
      </c>
    </row>
    <row r="17" outlineLevel="1" ht="15" customHeight="1" s="955">
      <c r="A17" s="8" t="n"/>
      <c r="B17" s="1082" t="n"/>
      <c r="C17" s="1" t="n"/>
      <c r="D17" s="20" t="inlineStr">
        <is>
          <t>CONTRACTOR - MAJOR REDESIGN COST - PER FOOT</t>
        </is>
      </c>
      <c r="E17" s="21" t="n">
        <v>0.6</v>
      </c>
      <c r="F17" s="63">
        <f>E17*B17</f>
        <v/>
      </c>
    </row>
    <row r="18" outlineLevel="1" ht="15" customHeight="1" s="955">
      <c r="A18" s="8" t="n"/>
      <c r="B18" s="1082" t="n"/>
      <c r="C18" s="1" t="n"/>
      <c r="D18" s="20" t="inlineStr">
        <is>
          <t>CONTRACTOR - PE STAMP - PLUS 15% OF COST</t>
        </is>
      </c>
      <c r="E18" s="145" t="n"/>
      <c r="F18" s="63">
        <f>E18*B18</f>
        <v/>
      </c>
    </row>
    <row r="19" outlineLevel="1" ht="15" customHeight="1" s="955">
      <c r="A19" s="8" t="n"/>
      <c r="B19" s="1082" t="n"/>
      <c r="C19" s="1" t="n"/>
      <c r="D19" s="20" t="inlineStr">
        <is>
          <t>CONTRACTOR - OSP OFFICE ESTIMATE</t>
        </is>
      </c>
      <c r="E19" s="21" t="n">
        <v>150</v>
      </c>
      <c r="F19" s="63">
        <f>E19*B19</f>
        <v/>
      </c>
    </row>
    <row r="20" outlineLevel="1" ht="15" customHeight="1" s="955">
      <c r="A20" s="8" t="n"/>
      <c r="B20" s="1082" t="n"/>
      <c r="C20" s="1" t="n"/>
      <c r="D20" s="20" t="inlineStr">
        <is>
          <t>CONTRACTOR - OSP DETAILED FIELD ESTIMATE</t>
        </is>
      </c>
      <c r="E20" s="21" t="n">
        <v>350</v>
      </c>
      <c r="F20" s="63">
        <f>E20*B20</f>
        <v/>
      </c>
    </row>
    <row r="21" outlineLevel="1" ht="15" customHeight="1" s="955">
      <c r="A21" s="8" t="n"/>
      <c r="B21" s="1082" t="n"/>
      <c r="C21" s="1" t="n"/>
      <c r="D21" s="20" t="inlineStr">
        <is>
          <t>CONTRACTOR - CAP RING - SHORT HAUL - LONG HAUL - FIELD ESTIMATE</t>
        </is>
      </c>
      <c r="E21" s="21" t="n">
        <v>500</v>
      </c>
      <c r="F21" s="63">
        <f>E21*B21</f>
        <v/>
      </c>
    </row>
    <row r="22" outlineLevel="1" ht="15" customHeight="1" s="955">
      <c r="A22" s="8" t="n"/>
      <c r="B22" s="1082" t="n"/>
      <c r="C22" s="1" t="n"/>
      <c r="D22" s="20" t="inlineStr">
        <is>
          <t>CONTRACTOR - PROJECT MANAGEMENT</t>
        </is>
      </c>
      <c r="E22" s="21" t="n">
        <v>48</v>
      </c>
      <c r="F22" s="63">
        <f>E22*B22</f>
        <v/>
      </c>
    </row>
    <row r="23" outlineLevel="1" ht="15" customHeight="1" s="955">
      <c r="A23" s="8" t="n"/>
      <c r="B23" s="1082" t="n"/>
      <c r="C23" s="1" t="n"/>
      <c r="D23" s="20" t="inlineStr">
        <is>
          <t>CONTRACTOR - OSP ENGINEER</t>
        </is>
      </c>
      <c r="E23" s="21" t="n">
        <v>48</v>
      </c>
      <c r="F23" s="63">
        <f>E23*B23</f>
        <v/>
      </c>
    </row>
    <row r="24" outlineLevel="1" ht="15" customHeight="1" s="955">
      <c r="A24" s="8" t="n"/>
      <c r="B24" s="1082" t="n"/>
      <c r="C24" s="1" t="n"/>
      <c r="D24" s="20" t="inlineStr">
        <is>
          <t>CONTRACTOR - ASSOCIATE ENGINEER</t>
        </is>
      </c>
      <c r="E24" s="21" t="n">
        <v>37</v>
      </c>
      <c r="F24" s="63">
        <f>E24*B24</f>
        <v/>
      </c>
    </row>
    <row r="25" outlineLevel="1" ht="15" customHeight="1" s="955">
      <c r="A25" s="8" t="n"/>
      <c r="B25" s="1082" t="n"/>
      <c r="C25" s="1" t="n"/>
      <c r="D25" s="20" t="inlineStr">
        <is>
          <t>CONTRACTOR - ENGINEER ASSISTANT</t>
        </is>
      </c>
      <c r="E25" s="21" t="n">
        <v>21</v>
      </c>
      <c r="F25" s="63">
        <f>E25*B25</f>
        <v/>
      </c>
    </row>
    <row r="26" outlineLevel="1" ht="15" customHeight="1" s="955">
      <c r="A26" s="8" t="n"/>
      <c r="B26" s="1082" t="n"/>
      <c r="C26" s="1" t="n"/>
      <c r="D26" s="20" t="inlineStr">
        <is>
          <t>CONTRACTOR - ENGINEERING ADMIN</t>
        </is>
      </c>
      <c r="E26" s="21" t="n">
        <v>29</v>
      </c>
      <c r="F26" s="63">
        <f>E26*B26</f>
        <v/>
      </c>
    </row>
    <row r="27" outlineLevel="1" ht="15" customHeight="1" s="955">
      <c r="A27" s="8" t="n"/>
      <c r="B27" s="1082" t="n"/>
      <c r="C27" s="1" t="n"/>
      <c r="D27" s="20" t="inlineStr">
        <is>
          <t>CONTRACTOR - ENGINEERING ADMIN ASSISTANT</t>
        </is>
      </c>
      <c r="E27" s="21" t="n">
        <v>21</v>
      </c>
      <c r="F27" s="63">
        <f>E27*B27</f>
        <v/>
      </c>
    </row>
    <row r="28" outlineLevel="1" ht="15" customHeight="1" s="955" thickBot="1">
      <c r="A28" s="8" t="n"/>
      <c r="B28" s="1" t="n"/>
      <c r="C28" s="1" t="n"/>
      <c r="D28" s="20" t="inlineStr">
        <is>
          <t>LUMOS LABOR - JOB COORDINATION - PROJECT MANAGEMENT</t>
        </is>
      </c>
      <c r="E28" s="21" t="n">
        <v>500</v>
      </c>
      <c r="F28" s="63">
        <f>E28*B28</f>
        <v/>
      </c>
    </row>
    <row r="29" outlineLevel="1" ht="15" customHeight="1" s="955" thickBot="1">
      <c r="A29" s="110" t="n"/>
      <c r="B29" s="112" t="n"/>
      <c r="C29" s="112" t="n"/>
      <c r="D29" s="9" t="inlineStr">
        <is>
          <t>TOTAL - ENGINEERING</t>
        </is>
      </c>
      <c r="E29" s="135" t="n"/>
      <c r="F29" s="62">
        <f>SUM(F7:F28)</f>
        <v/>
      </c>
    </row>
    <row r="30" outlineLevel="1" ht="15" customHeight="1" s="955" thickBot="1">
      <c r="A30" s="151" t="inlineStr">
        <is>
          <t>&lt;----Click the + to Expand or Collapse the "ENGINEERING" Section</t>
        </is>
      </c>
      <c r="B30" s="120" t="n"/>
      <c r="C30" s="120" t="n"/>
      <c r="D30" s="104" t="n"/>
      <c r="E30" s="152" t="n"/>
      <c r="F30" s="105" t="n"/>
    </row>
    <row r="31" outlineLevel="1" ht="15" customHeight="1" s="955" thickBot="1">
      <c r="A31" s="1087" t="n"/>
      <c r="B31" s="97">
        <f>IF(SUM(F35)&gt;0,"-","")</f>
        <v/>
      </c>
      <c r="C31" s="1088" t="n"/>
      <c r="D31" s="1088" t="inlineStr">
        <is>
          <t>DRAFTING</t>
        </is>
      </c>
      <c r="E31" s="1085" t="n"/>
      <c r="F31" s="83" t="n"/>
    </row>
    <row r="32" outlineLevel="1" ht="15" customHeight="1" s="955">
      <c r="A32" s="3" t="n"/>
      <c r="B32" s="54" t="n"/>
      <c r="C32" s="85" t="n"/>
      <c r="D32" s="143" t="inlineStr">
        <is>
          <t>CONTRACTOR - CAD INPUT / MAPPING (M4)</t>
        </is>
      </c>
      <c r="E32" s="87" t="n">
        <v>32</v>
      </c>
      <c r="F32" s="64">
        <f>E32*B32</f>
        <v/>
      </c>
    </row>
    <row r="33" outlineLevel="1" ht="15" customHeight="1" s="955">
      <c r="A33" s="14" t="n"/>
      <c r="B33" s="4" t="n"/>
      <c r="C33" s="5" t="n"/>
      <c r="D33" s="15" t="inlineStr">
        <is>
          <t>COMPANY LABOR - CAD INPUT/ MAPPING (M4)</t>
        </is>
      </c>
      <c r="E33" s="16" t="n"/>
      <c r="F33" s="59">
        <f>E33*B33</f>
        <v/>
      </c>
    </row>
    <row r="34" outlineLevel="1" ht="15" customHeight="1" s="955" thickBot="1">
      <c r="A34" s="14" t="n"/>
      <c r="B34" s="5" t="n"/>
      <c r="C34" s="5" t="n"/>
      <c r="D34" s="15" t="inlineStr">
        <is>
          <t>CONTRACTOR - M4 - POSTING TIME</t>
        </is>
      </c>
      <c r="E34" s="16" t="n">
        <v>150</v>
      </c>
      <c r="F34" s="59">
        <f>E34*B34</f>
        <v/>
      </c>
    </row>
    <row r="35" outlineLevel="1" ht="15" customHeight="1" s="955" thickBot="1">
      <c r="A35" s="45" t="n"/>
      <c r="B35" s="130" t="n"/>
      <c r="C35" s="130" t="n"/>
      <c r="D35" s="7" t="inlineStr">
        <is>
          <t>TOTAL - DRAFTING</t>
        </is>
      </c>
      <c r="E35" s="44" t="n"/>
      <c r="F35" s="58">
        <f>SUM(F32:F34)</f>
        <v/>
      </c>
    </row>
    <row r="36" outlineLevel="1" ht="15" customHeight="1" s="955" thickBot="1">
      <c r="A36" s="149" t="inlineStr">
        <is>
          <t>&lt;----Click the + to Expand or Collapse the "DRAFTING" Section</t>
        </is>
      </c>
      <c r="B36" s="97" t="n"/>
      <c r="C36" s="97" t="n"/>
      <c r="D36" s="1088" t="n"/>
      <c r="E36" s="1085" t="n"/>
      <c r="F36" s="83" t="n"/>
    </row>
    <row r="37" outlineLevel="1" ht="15" customHeight="1" s="955" thickBot="1">
      <c r="A37" s="132" t="n"/>
      <c r="B37" s="142">
        <f>IF(SUM(F56)&gt;0,"-","")</f>
        <v/>
      </c>
      <c r="C37" s="142" t="n"/>
      <c r="D37" s="124" t="inlineStr">
        <is>
          <t>PERMITTING</t>
        </is>
      </c>
      <c r="E37" s="128" t="n"/>
      <c r="F37" s="129" t="n"/>
    </row>
    <row r="38" outlineLevel="1" ht="15" customHeight="1" s="955">
      <c r="A38" s="10" t="n"/>
      <c r="B38" s="52" t="n"/>
      <c r="C38" s="17" t="n"/>
      <c r="D38" s="18" t="inlineStr">
        <is>
          <t>EASEMENTS / ACQUISITION - COMPANY LABOR</t>
        </is>
      </c>
      <c r="E38" s="19" t="n">
        <v>50</v>
      </c>
      <c r="F38" s="74">
        <f>E38*B38</f>
        <v/>
      </c>
    </row>
    <row r="39" outlineLevel="1" ht="15" customHeight="1" s="955">
      <c r="A39" s="8" t="n"/>
      <c r="B39" s="1082" t="n"/>
      <c r="C39" s="1" t="n"/>
      <c r="D39" s="20" t="inlineStr">
        <is>
          <t>EASEMENTS / ACQUISITION - CONTRACT LABOR</t>
        </is>
      </c>
      <c r="E39" s="21" t="n">
        <v>50</v>
      </c>
      <c r="F39" s="63">
        <f>E39*B39</f>
        <v/>
      </c>
    </row>
    <row r="40" outlineLevel="1" ht="15" customHeight="1" s="955">
      <c r="A40" s="8" t="n"/>
      <c r="B40" s="1082" t="n"/>
      <c r="C40" s="1" t="n"/>
      <c r="D40" s="20" t="inlineStr">
        <is>
          <t>CONTRACTOR - NEGOTIATION OF EASEMENT BEYOND FIRST ATTEMPT</t>
        </is>
      </c>
      <c r="E40" s="21" t="n">
        <v>500</v>
      </c>
      <c r="F40" s="63">
        <f>E40*B40</f>
        <v/>
      </c>
    </row>
    <row r="41" outlineLevel="1" ht="15" customHeight="1" s="955">
      <c r="A41" s="8" t="n"/>
      <c r="B41" s="1082" t="n"/>
      <c r="C41" s="1" t="n"/>
      <c r="D41" s="20" t="inlineStr">
        <is>
          <t>CONTRACTOR - NEGOTIATION OF BUILDING LICENSE AGREEMENTS</t>
        </is>
      </c>
      <c r="E41" s="21" t="n">
        <v>500</v>
      </c>
      <c r="F41" s="63">
        <f>E41*B41</f>
        <v/>
      </c>
    </row>
    <row r="42" outlineLevel="1" ht="15" customHeight="1" s="955">
      <c r="A42" s="8" t="n"/>
      <c r="B42" s="1">
        <f>IF(SUM(F42)&gt;0,"-","")</f>
        <v/>
      </c>
      <c r="C42" s="1" t="n"/>
      <c r="D42" s="187" t="inlineStr">
        <is>
          <t>EASEMENT FEES</t>
        </is>
      </c>
      <c r="E42" s="21" t="n">
        <v>0</v>
      </c>
      <c r="F42" s="63">
        <f>E42</f>
        <v/>
      </c>
    </row>
    <row r="43" outlineLevel="1" ht="15" customHeight="1" s="955">
      <c r="A43" s="8" t="n"/>
      <c r="B43" s="1082" t="n"/>
      <c r="C43" s="1" t="n"/>
      <c r="D43" s="20" t="inlineStr">
        <is>
          <t>PERMITS / AUTHORIZATION - COMPANY LABOR</t>
        </is>
      </c>
      <c r="E43" s="21" t="n">
        <v>50</v>
      </c>
      <c r="F43" s="63">
        <f>E43*B43</f>
        <v/>
      </c>
    </row>
    <row r="44" outlineLevel="1" ht="15" customHeight="1" s="955">
      <c r="A44" s="8" t="n"/>
      <c r="B44" s="1082" t="n"/>
      <c r="C44" s="1" t="n"/>
      <c r="D44" s="20" t="inlineStr">
        <is>
          <t>PERMITS / AUTHORIZATION - CONTRACT LABOR</t>
        </is>
      </c>
      <c r="E44" s="21" t="n">
        <v>610</v>
      </c>
      <c r="F44" s="63">
        <f>E44*B44</f>
        <v/>
      </c>
    </row>
    <row r="45" outlineLevel="1" ht="15" customHeight="1" s="955">
      <c r="A45" s="8" t="n"/>
      <c r="B45" s="1082" t="n"/>
      <c r="C45" s="1" t="n"/>
      <c r="D45" s="20" t="inlineStr">
        <is>
          <t>ADMINISTRATION PERMITING TIME - COMPANY LABOR</t>
        </is>
      </c>
      <c r="E45" s="21" t="n">
        <v>300</v>
      </c>
      <c r="F45" s="63">
        <f>E45*B45</f>
        <v/>
      </c>
    </row>
    <row r="46" outlineLevel="1" ht="15" customHeight="1" s="955">
      <c r="A46" s="8" t="n"/>
      <c r="B46" s="1082" t="n"/>
      <c r="C46" s="1" t="n"/>
      <c r="D46" s="20" t="inlineStr">
        <is>
          <t>ADMINISTRATION PERMITING TIME - CONTRACT LABOR</t>
        </is>
      </c>
      <c r="E46" s="21" t="n">
        <v>300</v>
      </c>
      <c r="F46" s="63">
        <f>E46*B46</f>
        <v/>
      </c>
    </row>
    <row r="47" outlineLevel="1" ht="15" customHeight="1" s="955">
      <c r="A47" s="8" t="n"/>
      <c r="B47" s="1082" t="n"/>
      <c r="C47" s="1" t="n"/>
      <c r="D47" s="20" t="inlineStr">
        <is>
          <t>CONTRACTOR - SPECIALIZED PERMITS</t>
        </is>
      </c>
      <c r="E47" s="21" t="n">
        <v>625</v>
      </c>
      <c r="F47" s="63">
        <f>E47*B47</f>
        <v/>
      </c>
    </row>
    <row r="48" outlineLevel="1" ht="15" customHeight="1" s="955">
      <c r="A48" s="8" t="n"/>
      <c r="B48" s="1082" t="n"/>
      <c r="C48" s="1" t="n"/>
      <c r="D48" s="20" t="inlineStr">
        <is>
          <t>CONTRACTOR - PE STAMP - PLUS 15% OF COST</t>
        </is>
      </c>
      <c r="E48" s="145" t="n">
        <v>600</v>
      </c>
      <c r="F48" s="63">
        <f>E48*B48</f>
        <v/>
      </c>
    </row>
    <row r="49" outlineLevel="1" ht="15" customHeight="1" s="955">
      <c r="A49" s="8" t="n"/>
      <c r="B49" s="1" t="n"/>
      <c r="C49" s="1" t="n"/>
      <c r="D49" s="187" t="inlineStr">
        <is>
          <t>PERMIT FEES - DOT</t>
        </is>
      </c>
      <c r="E49" s="21" t="n">
        <v>175</v>
      </c>
      <c r="F49" s="63">
        <f>E49*B49</f>
        <v/>
      </c>
    </row>
    <row r="50" outlineLevel="1" ht="15" customHeight="1" s="955">
      <c r="A50" s="8" t="n"/>
      <c r="B50" s="1" t="n"/>
      <c r="C50" s="1" t="n"/>
      <c r="D50" s="187" t="inlineStr">
        <is>
          <t>PERMIT FEES - MUNICIPAL</t>
        </is>
      </c>
      <c r="E50" s="21" t="n">
        <v>50</v>
      </c>
      <c r="F50" s="63">
        <f>E50*B50</f>
        <v/>
      </c>
    </row>
    <row r="51" outlineLevel="1" ht="15" customHeight="1" s="955">
      <c r="A51" s="8" t="n"/>
      <c r="B51" s="1" t="n"/>
      <c r="C51" s="1" t="n"/>
      <c r="D51" s="187" t="inlineStr">
        <is>
          <t>PERMIT FEES - RR</t>
        </is>
      </c>
      <c r="E51" s="21" t="n">
        <v>350</v>
      </c>
      <c r="F51" s="63">
        <f>E51*B51</f>
        <v/>
      </c>
    </row>
    <row r="52" outlineLevel="1" ht="15" customHeight="1" s="955">
      <c r="A52" s="8" t="n"/>
      <c r="B52" s="1" t="n"/>
      <c r="C52" s="1" t="n"/>
      <c r="D52" s="187" t="inlineStr">
        <is>
          <t>PERMIT FEES - POLE</t>
        </is>
      </c>
      <c r="E52" s="21" t="n">
        <v>0</v>
      </c>
      <c r="F52" s="63">
        <f>E52*B52</f>
        <v/>
      </c>
    </row>
    <row r="53" outlineLevel="1" ht="15" customHeight="1" s="955">
      <c r="A53" s="8" t="n"/>
      <c r="B53" s="1" t="n"/>
      <c r="C53" s="1" t="n"/>
      <c r="D53" s="187" t="inlineStr">
        <is>
          <t>PERMIT FEES - CONDUIT</t>
        </is>
      </c>
      <c r="E53" s="21" t="n">
        <v>0</v>
      </c>
      <c r="F53" s="63">
        <f>E53*B53</f>
        <v/>
      </c>
    </row>
    <row r="54" outlineLevel="1" ht="15" customHeight="1" s="955">
      <c r="A54" s="8" t="n"/>
      <c r="B54" s="1" t="n"/>
      <c r="C54" s="1" t="n"/>
      <c r="D54" s="187" t="inlineStr">
        <is>
          <t>PERMIT FEES - OTHER</t>
        </is>
      </c>
      <c r="E54" s="21" t="n">
        <v>10000</v>
      </c>
      <c r="F54" s="63">
        <f>E54</f>
        <v/>
      </c>
    </row>
    <row r="55" outlineLevel="1" ht="15" customHeight="1" s="955" thickBot="1">
      <c r="A55" s="88" t="n"/>
      <c r="B55" s="1" t="n"/>
      <c r="C55" s="79" t="n"/>
      <c r="D55" s="188" t="inlineStr">
        <is>
          <t>PERMIT FEES - TRAFFIC CONTROL (ENGINEERING DESIGN)</t>
        </is>
      </c>
      <c r="E55" s="21" t="n">
        <v>0</v>
      </c>
      <c r="F55" s="63">
        <f>E55</f>
        <v/>
      </c>
    </row>
    <row r="56" outlineLevel="1" ht="15" customHeight="1" s="955" thickBot="1">
      <c r="A56" s="101" t="n"/>
      <c r="B56" s="146" t="n"/>
      <c r="C56" s="146" t="n"/>
      <c r="D56" s="147" t="inlineStr">
        <is>
          <t>TOTAL - PERMITTING</t>
        </is>
      </c>
      <c r="E56" s="148" t="n"/>
      <c r="F56" s="62">
        <f>SUM(F38:F55)</f>
        <v/>
      </c>
    </row>
    <row r="57" ht="15" customHeight="1" s="955" thickBot="1">
      <c r="A57" s="568" t="inlineStr">
        <is>
          <t>&lt;----Click the + to Expand or Collapse the "PERMITTING" Section</t>
        </is>
      </c>
      <c r="B57" s="569" t="n"/>
      <c r="C57" s="569" t="n"/>
      <c r="D57" s="570" t="n"/>
      <c r="E57" s="571" t="n"/>
      <c r="F57" s="572" t="n"/>
    </row>
    <row r="58" ht="15" customHeight="1" s="955" thickBot="1">
      <c r="A58" s="93" t="n"/>
      <c r="B58" s="97">
        <f>IF(SUM(F139)&gt;0,"-","")</f>
        <v/>
      </c>
      <c r="C58" s="97" t="n"/>
      <c r="D58" s="1088" t="inlineStr">
        <is>
          <t>POLES</t>
        </is>
      </c>
      <c r="E58" s="1085" t="n"/>
      <c r="F58" s="83" t="n"/>
    </row>
    <row r="59" outlineLevel="1" ht="15" customHeight="1" s="955">
      <c r="A59" s="3" t="inlineStr">
        <is>
          <t>O.POLES</t>
        </is>
      </c>
      <c r="B59" s="54" t="n"/>
      <c r="C59" s="22" t="n">
        <v>100</v>
      </c>
      <c r="D59" s="23" t="inlineStr">
        <is>
          <t>PLACE POLE - 30 TO 35 FT.</t>
        </is>
      </c>
      <c r="E59" s="1152" t="n">
        <v>250</v>
      </c>
      <c r="F59" s="64">
        <f>E59*B59</f>
        <v/>
      </c>
      <c r="G59" s="77" t="n"/>
      <c r="H59" s="537" t="n"/>
      <c r="I59" s="194" t="n"/>
      <c r="J59" s="77" t="n"/>
      <c r="K59" s="1153" t="n"/>
    </row>
    <row r="60" outlineLevel="1" ht="15" customHeight="1" s="955">
      <c r="A60" s="3" t="inlineStr">
        <is>
          <t>O.POLES</t>
        </is>
      </c>
      <c r="B60" s="54" t="n"/>
      <c r="C60" s="22" t="n">
        <v>105</v>
      </c>
      <c r="D60" s="23" t="inlineStr">
        <is>
          <t>PLACE POLE 40 TO 45 FT</t>
        </is>
      </c>
      <c r="E60" s="1152" t="n">
        <v>315</v>
      </c>
      <c r="F60" s="64">
        <f>E60*B60</f>
        <v/>
      </c>
      <c r="G60" s="77" t="n"/>
      <c r="H60" s="538" t="n"/>
      <c r="I60" s="194" t="n"/>
      <c r="J60" s="77" t="n"/>
      <c r="K60" s="1153" t="n"/>
    </row>
    <row r="61" outlineLevel="1" ht="15" customHeight="1" s="955">
      <c r="A61" s="3" t="inlineStr">
        <is>
          <t>O.POLES</t>
        </is>
      </c>
      <c r="B61" s="4" t="n"/>
      <c r="C61" s="24" t="n">
        <v>110</v>
      </c>
      <c r="D61" s="25" t="inlineStr">
        <is>
          <t>PLACE POLE - 50 TO 55 FT.</t>
        </is>
      </c>
      <c r="E61" s="1152" t="n">
        <v>350</v>
      </c>
      <c r="F61" s="64">
        <f>E61*B61</f>
        <v/>
      </c>
      <c r="G61" s="77" t="n"/>
      <c r="H61" s="538" t="n"/>
      <c r="I61" s="194" t="n"/>
      <c r="J61" s="77" t="n"/>
      <c r="K61" s="1153" t="n"/>
    </row>
    <row r="62" outlineLevel="1" ht="15" customHeight="1" s="955">
      <c r="A62" s="3" t="inlineStr">
        <is>
          <t>O.POLES</t>
        </is>
      </c>
      <c r="B62" s="4" t="n"/>
      <c r="C62" s="24" t="n">
        <v>115</v>
      </c>
      <c r="D62" s="25" t="inlineStr">
        <is>
          <t>PLACE POLE 60 AND ABOVE FT</t>
        </is>
      </c>
      <c r="E62" s="1152" t="n">
        <v>395</v>
      </c>
      <c r="F62" s="64">
        <f>E62*B62</f>
        <v/>
      </c>
      <c r="G62" s="77" t="n"/>
      <c r="H62" s="538" t="n"/>
      <c r="I62" s="194" t="n"/>
      <c r="J62" s="77" t="n"/>
      <c r="K62" s="1153" t="n"/>
    </row>
    <row r="63" outlineLevel="1" ht="15" customHeight="1" s="955">
      <c r="A63" s="3" t="inlineStr">
        <is>
          <t>O.POLES</t>
        </is>
      </c>
      <c r="B63" s="4" t="n"/>
      <c r="C63" s="24" t="n">
        <v>120</v>
      </c>
      <c r="D63" s="25" t="inlineStr">
        <is>
          <t>PLACE STUB POLE</t>
        </is>
      </c>
      <c r="E63" s="1152" t="n">
        <v>155</v>
      </c>
      <c r="F63" s="64">
        <f>E63*B63</f>
        <v/>
      </c>
      <c r="G63" s="77" t="n"/>
      <c r="H63" s="538" t="n"/>
      <c r="I63" s="194" t="n"/>
      <c r="J63" s="77" t="n"/>
      <c r="K63" s="1153" t="n"/>
    </row>
    <row r="64" outlineLevel="1" ht="15" customHeight="1" s="955">
      <c r="A64" s="3" t="inlineStr">
        <is>
          <t>O.POLES</t>
        </is>
      </c>
      <c r="B64" s="4" t="n"/>
      <c r="C64" s="24" t="n">
        <v>125</v>
      </c>
      <c r="D64" s="25" t="inlineStr">
        <is>
          <t>REMOVE POLE 20 TO 35 FT.</t>
        </is>
      </c>
      <c r="E64" s="1152" t="n">
        <v>70</v>
      </c>
      <c r="F64" s="64">
        <f>E64*B64</f>
        <v/>
      </c>
      <c r="G64" s="77" t="n"/>
      <c r="H64" s="538" t="n"/>
      <c r="I64" s="194" t="n"/>
      <c r="J64" s="77" t="n"/>
      <c r="K64" s="1153" t="n"/>
    </row>
    <row r="65" outlineLevel="1" ht="15" customHeight="1" s="955">
      <c r="A65" s="3" t="inlineStr">
        <is>
          <t>O.POLES</t>
        </is>
      </c>
      <c r="B65" s="4" t="n"/>
      <c r="C65" s="24" t="n">
        <v>130</v>
      </c>
      <c r="D65" s="25" t="inlineStr">
        <is>
          <t>REMOVE POLE 40 TO 45 FT.</t>
        </is>
      </c>
      <c r="E65" s="1152" t="n">
        <v>80</v>
      </c>
      <c r="F65" s="64">
        <f>E65*B65</f>
        <v/>
      </c>
      <c r="G65" s="77" t="n"/>
      <c r="H65" s="538" t="n"/>
      <c r="I65" s="194" t="n"/>
      <c r="J65" s="77" t="n"/>
      <c r="K65" s="1153" t="n"/>
    </row>
    <row r="66" outlineLevel="1" ht="15" customHeight="1" s="955">
      <c r="A66" s="3" t="inlineStr">
        <is>
          <t>O.POLES</t>
        </is>
      </c>
      <c r="B66" s="4" t="n"/>
      <c r="C66" s="24" t="n">
        <v>135</v>
      </c>
      <c r="D66" s="25" t="inlineStr">
        <is>
          <t>REMOVE POLE 50 TO 55 FT.</t>
        </is>
      </c>
      <c r="E66" s="1152" t="n">
        <v>100</v>
      </c>
      <c r="F66" s="64">
        <f>E66*B66</f>
        <v/>
      </c>
      <c r="G66" s="77" t="n"/>
      <c r="H66" s="538" t="n"/>
      <c r="I66" s="194" t="n"/>
      <c r="J66" s="77" t="n"/>
      <c r="K66" s="1153" t="n"/>
    </row>
    <row r="67" outlineLevel="1" ht="15" customHeight="1" s="955">
      <c r="A67" s="3" t="inlineStr">
        <is>
          <t>O.POLES</t>
        </is>
      </c>
      <c r="B67" s="4" t="n"/>
      <c r="C67" s="24" t="n">
        <v>140</v>
      </c>
      <c r="D67" s="25" t="inlineStr">
        <is>
          <t>REMOVE POLE 60 AND ABOVE FT</t>
        </is>
      </c>
      <c r="E67" s="1152" t="n">
        <v>120</v>
      </c>
      <c r="F67" s="64">
        <f>E67*B67</f>
        <v/>
      </c>
      <c r="G67" s="77" t="n"/>
      <c r="H67" s="538" t="n"/>
      <c r="I67" s="194" t="n"/>
      <c r="J67" s="77" t="n"/>
      <c r="K67" s="1153" t="n"/>
    </row>
    <row r="68" outlineLevel="1" ht="15" customHeight="1" s="955">
      <c r="A68" s="3" t="inlineStr">
        <is>
          <t>O.POLES</t>
        </is>
      </c>
      <c r="B68" s="4" t="n"/>
      <c r="C68" s="24" t="n">
        <v>145</v>
      </c>
      <c r="D68" s="25" t="inlineStr">
        <is>
          <t>REMOVE STUB POLE</t>
        </is>
      </c>
      <c r="E68" s="1152" t="n">
        <v>65</v>
      </c>
      <c r="F68" s="64">
        <f>E68*B68</f>
        <v/>
      </c>
      <c r="G68" s="77" t="n"/>
      <c r="H68" s="538" t="n"/>
      <c r="I68" s="194" t="n"/>
      <c r="J68" s="77" t="n"/>
      <c r="K68" s="1153" t="n"/>
    </row>
    <row r="69" outlineLevel="1" ht="15" customHeight="1" s="955">
      <c r="A69" s="3" t="inlineStr">
        <is>
          <t>O.POLES</t>
        </is>
      </c>
      <c r="B69" s="4" t="n"/>
      <c r="C69" s="24" t="n">
        <v>150</v>
      </c>
      <c r="D69" s="25" t="inlineStr">
        <is>
          <t>ADDITIONAL CHARGE POLE SET IN POWER</t>
        </is>
      </c>
      <c r="E69" s="1152" t="n">
        <v>150</v>
      </c>
      <c r="F69" s="64">
        <f>E69*B69</f>
        <v/>
      </c>
      <c r="G69" s="77" t="n"/>
      <c r="H69" s="538" t="n"/>
      <c r="I69" s="194" t="n"/>
      <c r="J69" s="77" t="n"/>
      <c r="K69" s="1153" t="n"/>
    </row>
    <row r="70" outlineLevel="1" ht="15" customHeight="1" s="955">
      <c r="A70" s="3" t="inlineStr">
        <is>
          <t>O.POLES</t>
        </is>
      </c>
      <c r="B70" s="4" t="n"/>
      <c r="C70" s="24" t="n">
        <v>151</v>
      </c>
      <c r="D70" s="25" t="inlineStr">
        <is>
          <t>HAND SET POLE</t>
        </is>
      </c>
      <c r="E70" s="1152" t="n">
        <v>300</v>
      </c>
      <c r="F70" s="64">
        <f>E70*B70</f>
        <v/>
      </c>
      <c r="G70" s="77" t="n"/>
      <c r="H70" s="538" t="n"/>
      <c r="I70" s="194" t="n"/>
      <c r="J70" s="77" t="n"/>
      <c r="K70" s="1153" t="n"/>
    </row>
    <row r="71" outlineLevel="1" ht="15" customHeight="1" s="955">
      <c r="A71" s="3" t="inlineStr">
        <is>
          <t>O.POLES</t>
        </is>
      </c>
      <c r="B71" s="4" t="n"/>
      <c r="C71" s="24" t="n">
        <v>155</v>
      </c>
      <c r="D71" s="25" t="inlineStr">
        <is>
          <t xml:space="preserve">RESTORE PAVEMENT AT POLE PLACE </t>
        </is>
      </c>
      <c r="E71" s="1152" t="n">
        <v>55</v>
      </c>
      <c r="F71" s="64">
        <f>E71*B71</f>
        <v/>
      </c>
      <c r="G71" s="77" t="n"/>
      <c r="H71" s="538" t="n"/>
      <c r="I71" s="194" t="n"/>
      <c r="J71" s="77" t="n"/>
      <c r="K71" s="1153" t="n"/>
    </row>
    <row r="72" outlineLevel="1" ht="15" customHeight="1" s="955">
      <c r="A72" s="3" t="inlineStr">
        <is>
          <t>O.POLES</t>
        </is>
      </c>
      <c r="B72" s="4" t="n"/>
      <c r="C72" s="24" t="n">
        <v>160</v>
      </c>
      <c r="D72" s="25" t="inlineStr">
        <is>
          <t>REPLACE PAVEMENT AT POLE REMOVAL</t>
        </is>
      </c>
      <c r="E72" s="1152" t="n">
        <v>55</v>
      </c>
      <c r="F72" s="64">
        <f>E72*B72</f>
        <v/>
      </c>
      <c r="G72" s="77" t="n"/>
      <c r="H72" s="538" t="n"/>
      <c r="I72" s="194" t="n"/>
      <c r="J72" s="77" t="n"/>
      <c r="K72" s="1153" t="n"/>
    </row>
    <row r="73" outlineLevel="1" ht="15" customHeight="1" s="955">
      <c r="A73" s="3" t="inlineStr">
        <is>
          <t>O.POLES</t>
        </is>
      </c>
      <c r="B73" s="4" t="n"/>
      <c r="C73" s="24" t="n">
        <v>165</v>
      </c>
      <c r="D73" s="25" t="inlineStr">
        <is>
          <t>STENCIL POLE/PED</t>
        </is>
      </c>
      <c r="E73" s="1152" t="n">
        <v>8</v>
      </c>
      <c r="F73" s="64">
        <f>E73*B73</f>
        <v/>
      </c>
      <c r="G73" s="77" t="n"/>
      <c r="H73" s="538" t="n"/>
      <c r="I73" s="194" t="n"/>
      <c r="J73" s="77" t="n"/>
      <c r="K73" s="1153" t="n"/>
    </row>
    <row r="74" outlineLevel="1" ht="15" customHeight="1" s="955">
      <c r="A74" s="3" t="inlineStr">
        <is>
          <t>O.POLES</t>
        </is>
      </c>
      <c r="B74" s="4" t="n"/>
      <c r="C74" s="24" t="n">
        <v>170</v>
      </c>
      <c r="D74" s="25" t="inlineStr">
        <is>
          <t>REMOVE POLE STENCIL</t>
        </is>
      </c>
      <c r="E74" s="1152" t="n">
        <v>4</v>
      </c>
      <c r="F74" s="64">
        <f>E74*B74</f>
        <v/>
      </c>
      <c r="G74" s="77" t="n"/>
      <c r="H74" s="538" t="n"/>
      <c r="I74" s="194" t="n"/>
      <c r="J74" s="77" t="n"/>
      <c r="K74" s="1153" t="n"/>
    </row>
    <row r="75" outlineLevel="1" ht="15" customHeight="1" s="955">
      <c r="A75" s="3" t="inlineStr">
        <is>
          <t>O.POLES</t>
        </is>
      </c>
      <c r="B75" s="4" t="n"/>
      <c r="C75" s="24" t="n">
        <v>175</v>
      </c>
      <c r="D75" s="25" t="inlineStr">
        <is>
          <t>Place 8" Helix Anchor</t>
        </is>
      </c>
      <c r="E75" s="1152" t="n">
        <v>78</v>
      </c>
      <c r="F75" s="64">
        <f>E75*B75</f>
        <v/>
      </c>
      <c r="G75" s="77" t="n"/>
      <c r="H75" s="538" t="n"/>
      <c r="I75" s="194" t="n"/>
      <c r="J75" s="77" t="n"/>
      <c r="K75" s="1153" t="n"/>
    </row>
    <row r="76" outlineLevel="1" ht="15" customHeight="1" s="955">
      <c r="A76" s="3" t="inlineStr">
        <is>
          <t>O.POLES</t>
        </is>
      </c>
      <c r="B76" s="4" t="n"/>
      <c r="C76" s="24" t="n">
        <v>180</v>
      </c>
      <c r="D76" s="25" t="inlineStr">
        <is>
          <t>Place 10" Helix Anchor</t>
        </is>
      </c>
      <c r="E76" s="1152" t="n">
        <v>82</v>
      </c>
      <c r="F76" s="64">
        <f>E76*B76</f>
        <v/>
      </c>
      <c r="G76" s="77" t="n"/>
      <c r="H76" s="538" t="n"/>
      <c r="I76" s="194" t="n"/>
      <c r="J76" s="77" t="n"/>
      <c r="K76" s="1153" t="n"/>
    </row>
    <row r="77" outlineLevel="1" ht="15" customHeight="1" s="955">
      <c r="A77" s="3" t="inlineStr">
        <is>
          <t>O.POLES</t>
        </is>
      </c>
      <c r="B77" s="4" t="n"/>
      <c r="C77" s="24" t="n">
        <v>185</v>
      </c>
      <c r="D77" s="25" t="inlineStr">
        <is>
          <t>Place 12" Helix Anchor (Standard Anchor Size)</t>
        </is>
      </c>
      <c r="E77" s="1152" t="n">
        <v>92</v>
      </c>
      <c r="F77" s="64">
        <f>E77*B77</f>
        <v/>
      </c>
      <c r="G77" s="77" t="n"/>
      <c r="H77" s="538" t="n"/>
      <c r="I77" s="194" t="n"/>
      <c r="J77" s="77" t="n"/>
      <c r="K77" s="1153" t="n"/>
    </row>
    <row r="78" outlineLevel="1" ht="15" customHeight="1" s="955">
      <c r="A78" s="3" t="inlineStr">
        <is>
          <t>O.POLES</t>
        </is>
      </c>
      <c r="B78" s="4" t="n"/>
      <c r="C78" s="24" t="n">
        <v>190</v>
      </c>
      <c r="D78" s="25" t="inlineStr">
        <is>
          <t>Place Screw Anchor</t>
        </is>
      </c>
      <c r="E78" s="1152" t="n">
        <v>92</v>
      </c>
      <c r="F78" s="64">
        <f>E78*B78</f>
        <v/>
      </c>
      <c r="G78" s="77" t="n"/>
      <c r="H78" s="538" t="n"/>
      <c r="I78" s="194" t="n"/>
      <c r="J78" s="77" t="n"/>
      <c r="K78" s="1153" t="n"/>
    </row>
    <row r="79" outlineLevel="1" ht="15" customHeight="1" s="955">
      <c r="A79" s="3" t="inlineStr">
        <is>
          <t>O.POLES</t>
        </is>
      </c>
      <c r="B79" s="4" t="n"/>
      <c r="C79" s="24" t="n">
        <v>191</v>
      </c>
      <c r="D79" s="25" t="inlineStr">
        <is>
          <t>Place Exp. 3/4" x 7' Rod (Rarely Used)</t>
        </is>
      </c>
      <c r="E79" s="1152" t="n">
        <v>142</v>
      </c>
      <c r="F79" s="64">
        <f>E79*B79</f>
        <v/>
      </c>
      <c r="G79" s="77" t="n"/>
      <c r="H79" s="538" t="n"/>
      <c r="I79" s="194" t="n"/>
      <c r="J79" s="77" t="n"/>
      <c r="K79" s="1153" t="n"/>
    </row>
    <row r="80" outlineLevel="1" ht="15" customHeight="1" s="955">
      <c r="A80" s="3" t="inlineStr">
        <is>
          <t>O.POLES</t>
        </is>
      </c>
      <c r="B80" s="4" t="n"/>
      <c r="C80" s="24" t="n">
        <v>195</v>
      </c>
      <c r="D80" s="25" t="inlineStr">
        <is>
          <t>Place Exp. 3/4" x 9' Rod (Rarely Used)</t>
        </is>
      </c>
      <c r="E80" s="1152" t="n">
        <v>158</v>
      </c>
      <c r="F80" s="64">
        <f>E80*B80</f>
        <v/>
      </c>
      <c r="G80" s="77" t="n"/>
      <c r="H80" s="538" t="n"/>
      <c r="I80" s="194" t="n"/>
      <c r="J80" s="77" t="n"/>
      <c r="K80" s="1153" t="n"/>
    </row>
    <row r="81" outlineLevel="1" ht="15" customHeight="1" s="955">
      <c r="A81" s="3" t="inlineStr">
        <is>
          <t>O.POLES</t>
        </is>
      </c>
      <c r="B81" s="4" t="n"/>
      <c r="C81" s="24" t="n">
        <v>200</v>
      </c>
      <c r="D81" s="25" t="inlineStr">
        <is>
          <t>Place Exp. 1" x 10' Rod (Rarely Used)</t>
        </is>
      </c>
      <c r="E81" s="1152" t="n">
        <v>177</v>
      </c>
      <c r="F81" s="64">
        <f>E81*B81</f>
        <v/>
      </c>
      <c r="G81" s="77" t="n"/>
      <c r="H81" s="538" t="n"/>
      <c r="I81" s="194" t="n"/>
      <c r="J81" s="77" t="n"/>
      <c r="K81" s="1153" t="n"/>
    </row>
    <row r="82" outlineLevel="1" ht="15" customHeight="1" s="955">
      <c r="A82" s="3" t="inlineStr">
        <is>
          <t>O.POLES</t>
        </is>
      </c>
      <c r="B82" s="4" t="n"/>
      <c r="C82" s="24" t="n">
        <v>205</v>
      </c>
      <c r="D82" s="25" t="inlineStr">
        <is>
          <t>Place Exp. 1 1/4" x 10' Rod (Rarely Used)</t>
        </is>
      </c>
      <c r="E82" s="1152" t="n">
        <v>180</v>
      </c>
      <c r="F82" s="64">
        <f>E82*B82</f>
        <v/>
      </c>
      <c r="G82" s="77" t="n"/>
      <c r="H82" s="538" t="n"/>
      <c r="I82" s="194" t="n"/>
      <c r="J82" s="77" t="n"/>
      <c r="K82" s="1153" t="n"/>
    </row>
    <row r="83" outlineLevel="1" ht="15" customHeight="1" s="955">
      <c r="A83" s="3" t="inlineStr">
        <is>
          <t>O.POLES</t>
        </is>
      </c>
      <c r="B83" s="4" t="n"/>
      <c r="C83" s="24" t="n">
        <v>210</v>
      </c>
      <c r="D83" s="25" t="inlineStr">
        <is>
          <t>Place Aux. Eye / Anchor Rod (Rarely Used)</t>
        </is>
      </c>
      <c r="E83" s="1152" t="n">
        <v>24</v>
      </c>
      <c r="F83" s="64">
        <f>E83*B83</f>
        <v/>
      </c>
      <c r="G83" s="77" t="n"/>
      <c r="H83" s="538" t="n"/>
      <c r="I83" s="194" t="n"/>
      <c r="J83" s="77" t="n"/>
      <c r="K83" s="1153" t="n"/>
    </row>
    <row r="84" outlineLevel="1" ht="15" customHeight="1" s="955">
      <c r="A84" s="3" t="inlineStr">
        <is>
          <t>O.POLES</t>
        </is>
      </c>
      <c r="B84" s="4" t="n"/>
      <c r="C84" s="24" t="n">
        <v>215</v>
      </c>
      <c r="D84" s="25" t="inlineStr">
        <is>
          <t>Remove Aux. Eye / Anchor Rod</t>
        </is>
      </c>
      <c r="E84" s="1152" t="n">
        <v>14</v>
      </c>
      <c r="F84" s="64">
        <f>E84*B84</f>
        <v/>
      </c>
      <c r="G84" s="77" t="n"/>
      <c r="H84" s="538" t="n"/>
      <c r="I84" s="194" t="n"/>
      <c r="J84" s="77" t="n"/>
      <c r="K84" s="1153" t="n"/>
    </row>
    <row r="85" outlineLevel="1" ht="15" customHeight="1" s="955">
      <c r="A85" s="3" t="inlineStr">
        <is>
          <t>O.POLES</t>
        </is>
      </c>
      <c r="B85" s="4" t="n"/>
      <c r="C85" s="24" t="n">
        <v>220</v>
      </c>
      <c r="D85" s="25" t="inlineStr">
        <is>
          <t>Place Rock Anchor</t>
        </is>
      </c>
      <c r="E85" s="1152" t="n">
        <v>182</v>
      </c>
      <c r="F85" s="64">
        <f>E85*B85</f>
        <v/>
      </c>
      <c r="G85" s="77" t="n"/>
      <c r="H85" s="538" t="n"/>
      <c r="I85" s="194" t="n"/>
      <c r="J85" s="77" t="n"/>
      <c r="K85" s="1153" t="n"/>
    </row>
    <row r="86" outlineLevel="1" ht="15" customHeight="1" s="955">
      <c r="A86" s="3" t="inlineStr">
        <is>
          <t>O.POLES</t>
        </is>
      </c>
      <c r="B86" s="4" t="n"/>
      <c r="C86" s="24" t="n">
        <v>225</v>
      </c>
      <c r="D86" s="25" t="inlineStr">
        <is>
          <t>Remove Rock Anchor</t>
        </is>
      </c>
      <c r="E86" s="1152" t="n">
        <v>71</v>
      </c>
      <c r="F86" s="64">
        <f>E86*B86</f>
        <v/>
      </c>
      <c r="G86" s="77" t="n"/>
      <c r="H86" s="538" t="n"/>
      <c r="I86" s="194" t="n"/>
      <c r="J86" s="77" t="n"/>
      <c r="K86" s="1153" t="n"/>
    </row>
    <row r="87" outlineLevel="1" ht="15" customHeight="1" s="955">
      <c r="A87" s="3" t="inlineStr">
        <is>
          <t>O.POLES</t>
        </is>
      </c>
      <c r="B87" s="4" t="n"/>
      <c r="C87" s="24" t="n">
        <v>230</v>
      </c>
      <c r="D87" s="25" t="inlineStr">
        <is>
          <t>Remove Anchor Rod</t>
        </is>
      </c>
      <c r="E87" s="1152" t="n">
        <v>24</v>
      </c>
      <c r="F87" s="64">
        <f>E87*B87</f>
        <v/>
      </c>
      <c r="G87" s="77" t="n"/>
      <c r="H87" s="538" t="n"/>
      <c r="I87" s="194" t="n"/>
      <c r="J87" s="77" t="n"/>
      <c r="K87" s="1153" t="n"/>
    </row>
    <row r="88" outlineLevel="1" ht="15" customHeight="1" s="955">
      <c r="A88" s="3" t="inlineStr">
        <is>
          <t>O.POLES</t>
        </is>
      </c>
      <c r="B88" s="4" t="n"/>
      <c r="C88" s="24" t="n">
        <v>235</v>
      </c>
      <c r="D88" s="25" t="inlineStr">
        <is>
          <t>Remove Helix Anc. 4" , 6" , 8"</t>
        </is>
      </c>
      <c r="E88" s="1152" t="n">
        <v>26</v>
      </c>
      <c r="F88" s="64">
        <f>E88*B88</f>
        <v/>
      </c>
      <c r="G88" s="77" t="n"/>
      <c r="H88" s="538" t="n"/>
      <c r="I88" s="194" t="n"/>
      <c r="J88" s="77" t="n"/>
      <c r="K88" s="1153" t="n"/>
    </row>
    <row r="89" outlineLevel="1" ht="15" customHeight="1" s="955">
      <c r="A89" s="3" t="inlineStr">
        <is>
          <t>O.POLES</t>
        </is>
      </c>
      <c r="B89" s="4" t="n"/>
      <c r="C89" s="24" t="n">
        <v>245</v>
      </c>
      <c r="D89" s="25" t="inlineStr">
        <is>
          <t>Rock Removal Pole / Anchor Hole (Adder for 100-120 &amp; 175-200)</t>
        </is>
      </c>
      <c r="E89" s="1152" t="n">
        <v>232</v>
      </c>
      <c r="F89" s="64">
        <f>E89*B89</f>
        <v/>
      </c>
      <c r="G89" s="77" t="n"/>
      <c r="H89" s="538" t="n"/>
      <c r="I89" s="194" t="n"/>
      <c r="J89" s="77" t="n"/>
      <c r="K89" s="1153" t="n"/>
    </row>
    <row r="90" outlineLevel="1" ht="15" customHeight="1" s="955">
      <c r="A90" s="3" t="inlineStr">
        <is>
          <t>O.POLES</t>
        </is>
      </c>
      <c r="B90" s="4" t="n"/>
      <c r="C90" s="24" t="n">
        <v>246</v>
      </c>
      <c r="D90" s="25" t="inlineStr">
        <is>
          <t>Hand Dig Pole/Anchor</t>
        </is>
      </c>
      <c r="E90" s="1152" t="n">
        <v>116</v>
      </c>
      <c r="F90" s="64">
        <f>E90*B90</f>
        <v/>
      </c>
      <c r="G90" s="77" t="n"/>
      <c r="H90" s="538" t="n"/>
      <c r="I90" s="194" t="n"/>
      <c r="J90" s="77" t="n"/>
      <c r="K90" s="1153" t="n"/>
    </row>
    <row r="91" outlineLevel="1" ht="15" customHeight="1" s="955">
      <c r="A91" s="3" t="inlineStr">
        <is>
          <t>O.POLES</t>
        </is>
      </c>
      <c r="B91" s="4" t="n"/>
      <c r="C91" s="24" t="n">
        <v>247</v>
      </c>
      <c r="D91" s="25" t="inlineStr">
        <is>
          <t>Hand Set Pole/Push Brace</t>
        </is>
      </c>
      <c r="E91" s="1152" t="n">
        <v>395</v>
      </c>
      <c r="F91" s="64">
        <f>E91*B91</f>
        <v/>
      </c>
      <c r="G91" s="77" t="n"/>
      <c r="H91" s="538" t="n"/>
      <c r="I91" s="194" t="n"/>
      <c r="J91" s="77" t="n"/>
      <c r="K91" s="1153" t="n"/>
    </row>
    <row r="92" outlineLevel="1" ht="15" customHeight="1" s="955">
      <c r="A92" s="3" t="inlineStr">
        <is>
          <t>O.POLES</t>
        </is>
      </c>
      <c r="B92" s="4" t="n"/>
      <c r="C92" s="24" t="n">
        <v>248</v>
      </c>
      <c r="D92" s="25" t="inlineStr">
        <is>
          <t>Set Push Brace</t>
        </is>
      </c>
      <c r="E92" s="1152" t="n">
        <v>314</v>
      </c>
      <c r="F92" s="64">
        <f>E92*B92</f>
        <v/>
      </c>
      <c r="G92" s="77" t="n"/>
      <c r="H92" s="538" t="n"/>
      <c r="I92" s="194" t="n"/>
      <c r="J92" s="77" t="n"/>
      <c r="K92" s="1153" t="n"/>
    </row>
    <row r="93" outlineLevel="1" ht="15" customHeight="1" s="955">
      <c r="A93" s="3" t="inlineStr">
        <is>
          <t>O.POLES</t>
        </is>
      </c>
      <c r="B93" s="4" t="n"/>
      <c r="C93" s="24" t="n">
        <v>250</v>
      </c>
      <c r="D93" s="25" t="inlineStr">
        <is>
          <t>Place 6M Down Guy (Guy Shield included)</t>
        </is>
      </c>
      <c r="E93" s="1152" t="n">
        <v>45</v>
      </c>
      <c r="F93" s="64">
        <f>E93*B93</f>
        <v/>
      </c>
      <c r="G93" s="77" t="n"/>
      <c r="H93" s="538" t="n"/>
      <c r="I93" s="194" t="n"/>
      <c r="J93" s="77" t="n"/>
      <c r="K93" s="1153" t="n"/>
    </row>
    <row r="94" outlineLevel="1" ht="15" customHeight="1" s="955">
      <c r="A94" s="3" t="inlineStr">
        <is>
          <t>O.POLES</t>
        </is>
      </c>
      <c r="B94" s="4" t="n"/>
      <c r="C94" s="24" t="n">
        <v>255</v>
      </c>
      <c r="D94" s="25" t="inlineStr">
        <is>
          <t>Place 10M Down Guy (Guy Shield included)</t>
        </is>
      </c>
      <c r="E94" s="1152" t="n">
        <v>47</v>
      </c>
      <c r="F94" s="64">
        <f>E94*B94</f>
        <v/>
      </c>
      <c r="G94" s="77" t="n"/>
      <c r="H94" s="538" t="n"/>
      <c r="I94" s="194" t="n"/>
      <c r="J94" s="77" t="n"/>
      <c r="K94" s="1153" t="n"/>
    </row>
    <row r="95" outlineLevel="1" ht="15" customHeight="1" s="955">
      <c r="A95" s="3" t="inlineStr">
        <is>
          <t>O.POLES</t>
        </is>
      </c>
      <c r="B95" s="4" t="n"/>
      <c r="C95" s="24" t="n">
        <v>260</v>
      </c>
      <c r="D95" s="25" t="inlineStr">
        <is>
          <t>Place 16M Down Guy (Guy Shield included)</t>
        </is>
      </c>
      <c r="E95" s="1152" t="n">
        <v>50</v>
      </c>
      <c r="F95" s="64">
        <f>E95*B95</f>
        <v/>
      </c>
      <c r="G95" s="77" t="n"/>
      <c r="H95" s="538" t="n"/>
      <c r="I95" s="194" t="n"/>
      <c r="J95" s="77" t="n"/>
      <c r="K95" s="1153" t="n"/>
    </row>
    <row r="96" outlineLevel="1" ht="15" customHeight="1" s="955">
      <c r="A96" s="3" t="inlineStr">
        <is>
          <t>O.POLES</t>
        </is>
      </c>
      <c r="B96" s="4" t="n"/>
      <c r="C96" s="24" t="n">
        <v>265</v>
      </c>
      <c r="D96" s="25" t="inlineStr">
        <is>
          <t>Place 26M Down Guy (Guy Shield included)</t>
        </is>
      </c>
      <c r="E96" s="1152" t="n">
        <v>53</v>
      </c>
      <c r="F96" s="64">
        <f>E96*B96</f>
        <v/>
      </c>
      <c r="G96" s="77" t="n"/>
      <c r="H96" s="538" t="n"/>
      <c r="I96" s="194" t="n"/>
      <c r="J96" s="77" t="n"/>
      <c r="K96" s="1153" t="n"/>
    </row>
    <row r="97" outlineLevel="1" ht="15" customHeight="1" s="955">
      <c r="A97" s="3" t="inlineStr">
        <is>
          <t>O.POLES</t>
        </is>
      </c>
      <c r="B97" s="4" t="n"/>
      <c r="C97" s="24" t="n">
        <v>270</v>
      </c>
      <c r="D97" s="25" t="inlineStr">
        <is>
          <t>Place 6M Span Guy</t>
        </is>
      </c>
      <c r="E97" s="1152" t="n">
        <v>79</v>
      </c>
      <c r="F97" s="59">
        <f>E97*B97</f>
        <v/>
      </c>
      <c r="G97" s="77" t="n"/>
      <c r="H97" s="538" t="n"/>
      <c r="I97" s="194" t="n"/>
      <c r="J97" s="77" t="n"/>
      <c r="K97" s="1153" t="n"/>
    </row>
    <row r="98" outlineLevel="1" ht="15" customHeight="1" s="955">
      <c r="A98" s="3" t="inlineStr">
        <is>
          <t>O.POLES</t>
        </is>
      </c>
      <c r="B98" s="4" t="n"/>
      <c r="C98" s="24" t="n">
        <v>275</v>
      </c>
      <c r="D98" s="25" t="inlineStr">
        <is>
          <t>Place 10M Span Guy</t>
        </is>
      </c>
      <c r="E98" s="1152" t="n">
        <v>81</v>
      </c>
      <c r="F98" s="59">
        <f>E98*B98</f>
        <v/>
      </c>
      <c r="G98" s="77" t="n"/>
      <c r="H98" s="538" t="n"/>
      <c r="I98" s="194" t="n"/>
      <c r="J98" s="77" t="n"/>
      <c r="K98" s="1153" t="n"/>
    </row>
    <row r="99" outlineLevel="1" ht="15" customHeight="1" s="955">
      <c r="A99" s="3" t="inlineStr">
        <is>
          <t>O.POLES</t>
        </is>
      </c>
      <c r="B99" s="4" t="n"/>
      <c r="C99" s="24" t="n">
        <v>276</v>
      </c>
      <c r="D99" s="25" t="inlineStr">
        <is>
          <t>Place 16M Span Guy</t>
        </is>
      </c>
      <c r="E99" s="1152" t="n">
        <v>90</v>
      </c>
      <c r="F99" s="59">
        <f>E99*B99</f>
        <v/>
      </c>
      <c r="G99" s="77" t="n"/>
      <c r="H99" s="538" t="n"/>
      <c r="I99" s="194" t="n"/>
      <c r="J99" s="77" t="n"/>
      <c r="K99" s="1153" t="n"/>
    </row>
    <row r="100" outlineLevel="1" ht="15" customHeight="1" s="955">
      <c r="A100" s="3" t="inlineStr">
        <is>
          <t>O.POLES</t>
        </is>
      </c>
      <c r="B100" s="4" t="n"/>
      <c r="C100" s="24" t="n">
        <v>280</v>
      </c>
      <c r="D100" s="25" t="inlineStr">
        <is>
          <t>Place Sidewalk Guy</t>
        </is>
      </c>
      <c r="E100" s="1152" t="n">
        <v>95</v>
      </c>
      <c r="F100" s="59">
        <f>E100*B100</f>
        <v/>
      </c>
      <c r="G100" s="77" t="n"/>
      <c r="H100" s="538" t="n"/>
      <c r="I100" s="194" t="n"/>
      <c r="J100" s="77" t="n"/>
      <c r="K100" s="1153" t="n"/>
    </row>
    <row r="101" outlineLevel="1" ht="15" customHeight="1" s="955">
      <c r="A101" s="3" t="inlineStr">
        <is>
          <t>O.POLES</t>
        </is>
      </c>
      <c r="B101" s="4" t="n"/>
      <c r="C101" s="24" t="n">
        <v>285</v>
      </c>
      <c r="D101" s="25" t="inlineStr">
        <is>
          <t>Remove Down Guy</t>
        </is>
      </c>
      <c r="E101" s="1152" t="n">
        <v>28</v>
      </c>
      <c r="F101" s="59">
        <f>E101*B101</f>
        <v/>
      </c>
      <c r="G101" s="77" t="n"/>
      <c r="H101" s="538" t="n"/>
      <c r="I101" s="194" t="n"/>
      <c r="J101" s="77" t="n"/>
      <c r="K101" s="1153" t="n"/>
    </row>
    <row r="102" outlineLevel="1" ht="15" customHeight="1" s="955">
      <c r="A102" s="3" t="inlineStr">
        <is>
          <t>O.POLES</t>
        </is>
      </c>
      <c r="B102" s="4" t="n"/>
      <c r="C102" s="24" t="n">
        <v>290</v>
      </c>
      <c r="D102" s="25" t="inlineStr">
        <is>
          <t>Remove Span Guy</t>
        </is>
      </c>
      <c r="E102" s="1152" t="n">
        <v>37</v>
      </c>
      <c r="F102" s="59">
        <f>E102*B102</f>
        <v/>
      </c>
      <c r="G102" s="77" t="n"/>
      <c r="H102" s="538" t="n"/>
      <c r="I102" s="194" t="n"/>
      <c r="J102" s="77" t="n"/>
      <c r="K102" s="1153" t="n"/>
    </row>
    <row r="103" outlineLevel="1" ht="15" customHeight="1" s="955">
      <c r="A103" s="3" t="inlineStr">
        <is>
          <t>O.POLES</t>
        </is>
      </c>
      <c r="B103" s="4" t="n"/>
      <c r="C103" s="24" t="n">
        <v>295</v>
      </c>
      <c r="D103" s="25" t="inlineStr">
        <is>
          <t>Remove Sidewalk Guy Attachment</t>
        </is>
      </c>
      <c r="E103" s="1152" t="n">
        <v>47</v>
      </c>
      <c r="F103" s="59">
        <f>E103*B103</f>
        <v/>
      </c>
      <c r="G103" s="77" t="n"/>
      <c r="H103" s="538" t="n"/>
      <c r="I103" s="194" t="n"/>
      <c r="J103" s="77" t="n"/>
      <c r="K103" s="1153" t="n"/>
    </row>
    <row r="104" outlineLevel="1" ht="15" customHeight="1" s="955">
      <c r="A104" s="3" t="inlineStr">
        <is>
          <t>O.POLES</t>
        </is>
      </c>
      <c r="B104" s="4" t="n"/>
      <c r="C104" s="24" t="n">
        <v>300</v>
      </c>
      <c r="D104" s="25" t="inlineStr">
        <is>
          <t>Transfer Down Guy</t>
        </is>
      </c>
      <c r="E104" s="1152" t="n">
        <v>58</v>
      </c>
      <c r="F104" s="59">
        <f>E104*B104</f>
        <v/>
      </c>
      <c r="G104" s="77" t="n"/>
      <c r="H104" s="538" t="n"/>
      <c r="I104" s="194" t="n"/>
      <c r="J104" s="77" t="n"/>
      <c r="K104" s="1153" t="n"/>
    </row>
    <row r="105" outlineLevel="1" ht="15" customHeight="1" s="955">
      <c r="A105" s="3" t="inlineStr">
        <is>
          <t>O.POLES</t>
        </is>
      </c>
      <c r="B105" s="4" t="n"/>
      <c r="C105" s="24" t="n">
        <v>305</v>
      </c>
      <c r="D105" s="25" t="inlineStr">
        <is>
          <t>Transfer Span Guy</t>
        </is>
      </c>
      <c r="E105" s="1152" t="n">
        <v>58</v>
      </c>
      <c r="F105" s="59">
        <f>E105*B105</f>
        <v/>
      </c>
      <c r="G105" s="77" t="n"/>
      <c r="H105" s="538" t="n"/>
      <c r="I105" s="194" t="n"/>
      <c r="J105" s="77" t="n"/>
      <c r="K105" s="1153" t="n"/>
    </row>
    <row r="106" outlineLevel="1" ht="15" customHeight="1" s="955">
      <c r="A106" s="3" t="inlineStr">
        <is>
          <t>O.POLES</t>
        </is>
      </c>
      <c r="B106" s="4" t="n"/>
      <c r="C106" s="24" t="n">
        <v>310</v>
      </c>
      <c r="D106" s="25" t="inlineStr">
        <is>
          <t>Transfer Sidewalk Guy Attachment</t>
        </is>
      </c>
      <c r="E106" s="1152" t="n">
        <v>63</v>
      </c>
      <c r="F106" s="59">
        <f>E106*B106</f>
        <v/>
      </c>
      <c r="G106" s="77" t="n"/>
      <c r="H106" s="538" t="n"/>
      <c r="I106" s="194" t="n"/>
      <c r="J106" s="77" t="n"/>
      <c r="K106" s="1153" t="n"/>
    </row>
    <row r="107" outlineLevel="1" ht="15" customHeight="1" s="955">
      <c r="A107" s="3" t="inlineStr">
        <is>
          <t>O.POLES</t>
        </is>
      </c>
      <c r="B107" s="4" t="n"/>
      <c r="C107" s="24" t="n">
        <v>315</v>
      </c>
      <c r="D107" s="25" t="inlineStr">
        <is>
          <t>Place Guy Shield</t>
        </is>
      </c>
      <c r="E107" s="1152" t="n">
        <v>10</v>
      </c>
      <c r="F107" s="59">
        <f>E107*B107</f>
        <v/>
      </c>
      <c r="G107" s="77" t="n"/>
      <c r="H107" s="538" t="n"/>
      <c r="I107" s="194" t="n"/>
      <c r="J107" s="77" t="n"/>
      <c r="K107" s="1153" t="n"/>
    </row>
    <row r="108" outlineLevel="1" ht="15" customHeight="1" s="955">
      <c r="A108" s="3" t="inlineStr">
        <is>
          <t>O.POLES</t>
        </is>
      </c>
      <c r="B108" s="4" t="n"/>
      <c r="C108" s="24" t="n">
        <v>320</v>
      </c>
      <c r="D108" s="25" t="inlineStr">
        <is>
          <t>Remove Guy Shield</t>
        </is>
      </c>
      <c r="E108" s="1152" t="n">
        <v>6</v>
      </c>
      <c r="F108" s="59">
        <f>E108*B108</f>
        <v/>
      </c>
      <c r="G108" s="77" t="n"/>
      <c r="H108" s="538" t="n"/>
      <c r="I108" s="194" t="n"/>
      <c r="J108" s="77" t="n"/>
      <c r="K108" s="1153" t="n"/>
    </row>
    <row r="109" outlineLevel="1" ht="15" customHeight="1" s="955">
      <c r="A109" s="3" t="inlineStr">
        <is>
          <t>O.POLES</t>
        </is>
      </c>
      <c r="B109" s="4" t="n"/>
      <c r="C109" s="24" t="n">
        <v>325</v>
      </c>
      <c r="D109" s="25" t="inlineStr">
        <is>
          <t>Transfer Guy Shield</t>
        </is>
      </c>
      <c r="E109" s="1152" t="n">
        <v>14</v>
      </c>
      <c r="F109" s="59">
        <f>E109*B109</f>
        <v/>
      </c>
      <c r="G109" s="77" t="n"/>
      <c r="H109" s="538" t="n"/>
      <c r="I109" s="194" t="n"/>
      <c r="J109" s="77" t="n"/>
      <c r="K109" s="1153" t="n"/>
    </row>
    <row r="110" outlineLevel="1" ht="15" customHeight="1" s="955">
      <c r="A110" s="3" t="inlineStr">
        <is>
          <t>O.POLES</t>
        </is>
      </c>
      <c r="B110" s="4" t="n"/>
      <c r="C110" s="24" t="n">
        <v>330</v>
      </c>
      <c r="D110" s="25" t="inlineStr">
        <is>
          <t>Place Extension Arm For Cable</t>
        </is>
      </c>
      <c r="E110" s="1152" t="n">
        <v>48</v>
      </c>
      <c r="F110" s="59">
        <f>E110*B110</f>
        <v/>
      </c>
      <c r="G110" s="77" t="n"/>
      <c r="H110" s="538" t="n"/>
      <c r="I110" s="194" t="n"/>
      <c r="J110" s="77" t="n"/>
      <c r="K110" s="1153" t="n"/>
    </row>
    <row r="111" outlineLevel="1" ht="15" customHeight="1" s="955">
      <c r="A111" s="3" t="inlineStr">
        <is>
          <t>O.POLES</t>
        </is>
      </c>
      <c r="B111" s="4" t="n"/>
      <c r="C111" s="24" t="n">
        <v>335</v>
      </c>
      <c r="D111" s="25" t="inlineStr">
        <is>
          <t>Place Vertical Ground (including 1 Ground Rod and 1 Strand Bond)</t>
        </is>
      </c>
      <c r="E111" s="1152" t="n">
        <v>63</v>
      </c>
      <c r="F111" s="59">
        <f>E111*B111</f>
        <v/>
      </c>
      <c r="G111" s="77" t="n"/>
      <c r="H111" s="538" t="n"/>
      <c r="I111" s="194" t="n"/>
      <c r="J111" s="77" t="n"/>
      <c r="K111" s="1153" t="n"/>
    </row>
    <row r="112" outlineLevel="1" ht="15" customHeight="1" s="955">
      <c r="A112" s="3" t="inlineStr">
        <is>
          <t>O.POLES</t>
        </is>
      </c>
      <c r="B112" s="4" t="n"/>
      <c r="C112" s="24" t="n">
        <v>340</v>
      </c>
      <c r="D112" s="25" t="inlineStr">
        <is>
          <t>Place Aerial Ground (per Strand Bond)</t>
        </is>
      </c>
      <c r="E112" s="1152" t="n">
        <v>11</v>
      </c>
      <c r="F112" s="59">
        <f>E112*B112</f>
        <v/>
      </c>
      <c r="G112" s="77" t="n"/>
      <c r="H112" s="538" t="n"/>
      <c r="I112" s="194" t="n"/>
      <c r="J112" s="77" t="n"/>
      <c r="K112" s="1153" t="n"/>
    </row>
    <row r="113" outlineLevel="1" ht="15" customHeight="1" s="955">
      <c r="A113" s="3" t="inlineStr">
        <is>
          <t>O.POLES</t>
        </is>
      </c>
      <c r="B113" s="4" t="n"/>
      <c r="C113" s="24" t="n">
        <v>345</v>
      </c>
      <c r="D113" s="25" t="inlineStr">
        <is>
          <t>Place Cable Attachment (Wood Pole)</t>
        </is>
      </c>
      <c r="E113" s="1152" t="n">
        <v>42</v>
      </c>
      <c r="F113" s="59">
        <f>E113*B113</f>
        <v/>
      </c>
      <c r="G113" s="77" t="n"/>
      <c r="H113" s="538" t="n"/>
      <c r="I113" s="194" t="n"/>
      <c r="J113" s="77" t="n"/>
      <c r="K113" s="1153" t="n"/>
    </row>
    <row r="114" outlineLevel="1" ht="15" customHeight="1" s="955">
      <c r="A114" s="3" t="inlineStr">
        <is>
          <t>O.POLES</t>
        </is>
      </c>
      <c r="B114" s="4" t="n"/>
      <c r="C114" s="24" t="n">
        <v>350</v>
      </c>
      <c r="D114" s="25" t="inlineStr">
        <is>
          <t>Remove Cable Attachment (Wood Pole)</t>
        </is>
      </c>
      <c r="E114" s="1152" t="n">
        <v>15</v>
      </c>
      <c r="F114" s="59">
        <f>E114*B114</f>
        <v/>
      </c>
      <c r="G114" s="77" t="n"/>
      <c r="H114" s="538" t="n"/>
      <c r="I114" s="194" t="n"/>
      <c r="J114" s="77" t="n"/>
      <c r="K114" s="1153" t="n"/>
    </row>
    <row r="115" outlineLevel="1" ht="15" customHeight="1" s="955">
      <c r="A115" s="3" t="inlineStr">
        <is>
          <t>O.POLES</t>
        </is>
      </c>
      <c r="B115" s="4" t="n"/>
      <c r="C115" s="24" t="n">
        <v>355</v>
      </c>
      <c r="D115" s="25" t="inlineStr">
        <is>
          <t>Transfer Cable Attachment (Wood Pole)</t>
        </is>
      </c>
      <c r="E115" s="1152" t="n">
        <v>80</v>
      </c>
      <c r="F115" s="59">
        <f>E115*B115</f>
        <v/>
      </c>
      <c r="G115" s="77" t="n"/>
      <c r="H115" s="538" t="n"/>
      <c r="I115" s="194" t="n"/>
      <c r="J115" s="77" t="n"/>
      <c r="K115" s="1153" t="n"/>
    </row>
    <row r="116" outlineLevel="1" ht="15" customHeight="1" s="955">
      <c r="A116" s="3" t="inlineStr">
        <is>
          <t>O.POLES</t>
        </is>
      </c>
      <c r="B116" s="4" t="n"/>
      <c r="C116" s="24" t="n">
        <v>356</v>
      </c>
      <c r="D116" s="25" t="inlineStr">
        <is>
          <t>Transfer Repeater/Doubler (Wood Pole)</t>
        </is>
      </c>
      <c r="E116" s="1152" t="n">
        <v>169</v>
      </c>
      <c r="F116" s="59">
        <f>E116*B116</f>
        <v/>
      </c>
      <c r="G116" s="77" t="n"/>
      <c r="H116" s="538" t="n"/>
      <c r="I116" s="194" t="n"/>
      <c r="J116" s="77" t="n"/>
      <c r="K116" s="1153" t="n"/>
    </row>
    <row r="117" outlineLevel="1" ht="15" customHeight="1" s="955">
      <c r="A117" s="3" t="inlineStr">
        <is>
          <t>O.POLES</t>
        </is>
      </c>
      <c r="B117" s="4" t="n"/>
      <c r="C117" s="24" t="n">
        <v>360</v>
      </c>
      <c r="D117" s="25" t="inlineStr">
        <is>
          <t>Place Cable Attachment (Metal/Conc. Pole)</t>
        </is>
      </c>
      <c r="E117" s="1152" t="n">
        <v>128</v>
      </c>
      <c r="F117" s="59">
        <f>E117*B117</f>
        <v/>
      </c>
      <c r="G117" s="77" t="n"/>
      <c r="H117" s="538" t="n"/>
      <c r="I117" s="194" t="n"/>
      <c r="J117" s="77" t="n"/>
      <c r="K117" s="1153" t="n"/>
    </row>
    <row r="118" outlineLevel="1" ht="15" customHeight="1" s="955">
      <c r="A118" s="3" t="inlineStr">
        <is>
          <t>O.POLES</t>
        </is>
      </c>
      <c r="B118" s="4" t="n"/>
      <c r="C118" s="24" t="n">
        <v>365</v>
      </c>
      <c r="D118" s="25" t="inlineStr">
        <is>
          <t>Remove Cable Attachment (Metal/Conc. Pole)</t>
        </is>
      </c>
      <c r="E118" s="1152" t="n">
        <v>23</v>
      </c>
      <c r="F118" s="59">
        <f>E118*B118</f>
        <v/>
      </c>
      <c r="G118" s="77" t="n"/>
      <c r="H118" s="538" t="n"/>
      <c r="I118" s="194" t="n"/>
      <c r="J118" s="77" t="n"/>
      <c r="K118" s="1153" t="n"/>
    </row>
    <row r="119" outlineLevel="1" ht="15" customHeight="1" s="955">
      <c r="A119" s="3" t="inlineStr">
        <is>
          <t>O.POLES</t>
        </is>
      </c>
      <c r="B119" s="4" t="n"/>
      <c r="C119" s="24" t="n">
        <v>370</v>
      </c>
      <c r="D119" s="25" t="inlineStr">
        <is>
          <t>Transfer Cable Attachment (Metal/Conc. Pole)</t>
        </is>
      </c>
      <c r="E119" s="1152" t="n">
        <v>138</v>
      </c>
      <c r="F119" s="59">
        <f>E119*B119</f>
        <v/>
      </c>
      <c r="G119" s="77" t="n"/>
      <c r="H119" s="538" t="n"/>
      <c r="I119" s="194" t="n"/>
      <c r="J119" s="77" t="n"/>
      <c r="K119" s="1153" t="n"/>
    </row>
    <row r="120" outlineLevel="1" ht="15" customHeight="1" s="955">
      <c r="A120" s="3" t="inlineStr">
        <is>
          <t>O.POLES</t>
        </is>
      </c>
      <c r="B120" s="4" t="n"/>
      <c r="C120" s="24" t="n">
        <v>371</v>
      </c>
      <c r="D120" s="25" t="inlineStr">
        <is>
          <t>Transfer Cable Attach. D.E.</t>
        </is>
      </c>
      <c r="E120" s="1152" t="n">
        <v>89</v>
      </c>
      <c r="F120" s="59">
        <f>E120*B120</f>
        <v/>
      </c>
      <c r="G120" s="77" t="n"/>
      <c r="H120" s="538" t="n"/>
      <c r="I120" s="194" t="n"/>
      <c r="J120" s="77" t="n"/>
      <c r="K120" s="1153" t="n"/>
    </row>
    <row r="121" outlineLevel="1" ht="15" customHeight="1" s="955">
      <c r="A121" s="3" t="inlineStr">
        <is>
          <t>O.POLES</t>
        </is>
      </c>
      <c r="B121" s="76" t="n"/>
      <c r="C121" s="24" t="n">
        <v>375</v>
      </c>
      <c r="D121" s="25" t="inlineStr">
        <is>
          <t>Transfer Cable Attach. Double D.E.</t>
        </is>
      </c>
      <c r="E121" s="1152" t="n">
        <v>169</v>
      </c>
      <c r="F121" s="59">
        <f>E121*B121</f>
        <v/>
      </c>
      <c r="G121" s="77" t="n"/>
      <c r="H121" s="538" t="n"/>
      <c r="I121" s="194" t="n"/>
      <c r="J121" s="77" t="n"/>
      <c r="K121" s="1153" t="n"/>
    </row>
    <row r="122" outlineLevel="1" ht="15" customHeight="1" s="955">
      <c r="A122" s="3" t="inlineStr">
        <is>
          <t>O.POLES</t>
        </is>
      </c>
      <c r="B122" s="4" t="n"/>
      <c r="C122" s="24" t="n">
        <v>380</v>
      </c>
      <c r="D122" s="25" t="inlineStr">
        <is>
          <t>Place Cable "U" Guard</t>
        </is>
      </c>
      <c r="E122" s="1152" t="n">
        <v>17</v>
      </c>
      <c r="F122" s="59">
        <f>E122*B122</f>
        <v/>
      </c>
      <c r="G122" s="77" t="n"/>
      <c r="H122" s="538" t="n"/>
      <c r="I122" s="194" t="n"/>
      <c r="J122" s="77" t="n"/>
      <c r="K122" s="1153" t="n"/>
    </row>
    <row r="123" outlineLevel="1" ht="15" customHeight="1" s="955">
      <c r="A123" s="3" t="inlineStr">
        <is>
          <t>O.POLES</t>
        </is>
      </c>
      <c r="B123" s="4" t="n"/>
      <c r="C123" s="24" t="n">
        <v>385</v>
      </c>
      <c r="D123" s="25" t="inlineStr">
        <is>
          <t>Remove Cable "U" Guard</t>
        </is>
      </c>
      <c r="E123" s="1152" t="n">
        <v>9.5</v>
      </c>
      <c r="F123" s="59">
        <f>E123*B123</f>
        <v/>
      </c>
      <c r="G123" s="77" t="n"/>
      <c r="H123" s="538" t="n"/>
      <c r="I123" s="194" t="n"/>
      <c r="J123" s="77" t="n"/>
      <c r="K123" s="1153" t="n"/>
    </row>
    <row r="124" outlineLevel="1" ht="15" customHeight="1" s="955">
      <c r="A124" s="3" t="inlineStr">
        <is>
          <t>O.POLES</t>
        </is>
      </c>
      <c r="B124" s="4" t="n"/>
      <c r="C124" s="24" t="n">
        <v>390</v>
      </c>
      <c r="D124" s="25" t="inlineStr">
        <is>
          <t>Transfer Cable "U" Guard</t>
        </is>
      </c>
      <c r="E124" s="1152" t="n">
        <v>23</v>
      </c>
      <c r="F124" s="59">
        <f>E124*B124</f>
        <v/>
      </c>
      <c r="G124" s="77" t="n"/>
      <c r="H124" s="538" t="n"/>
      <c r="I124" s="194" t="n"/>
      <c r="J124" s="77" t="n"/>
      <c r="K124" s="1153" t="n"/>
    </row>
    <row r="125" outlineLevel="1" ht="15" customHeight="1" s="955">
      <c r="A125" s="3" t="inlineStr">
        <is>
          <t>O.POLES</t>
        </is>
      </c>
      <c r="B125" s="4" t="n"/>
      <c r="C125" s="24" t="n">
        <v>395</v>
      </c>
      <c r="D125" s="25" t="inlineStr">
        <is>
          <t>Place Strand (6M) (Includes Cable Attachment Wood Pole)</t>
        </is>
      </c>
      <c r="E125" s="1152" t="n">
        <v>1</v>
      </c>
      <c r="F125" s="59">
        <f>E125*B125</f>
        <v/>
      </c>
      <c r="G125" s="77" t="n"/>
      <c r="H125" s="538" t="n"/>
      <c r="I125" s="194" t="n"/>
      <c r="J125" s="77" t="n"/>
      <c r="K125" s="1153" t="n"/>
    </row>
    <row r="126" outlineLevel="1" ht="15" customHeight="1" s="955">
      <c r="A126" s="3" t="inlineStr">
        <is>
          <t>O.POLES</t>
        </is>
      </c>
      <c r="B126" s="4" t="n"/>
      <c r="C126" s="24" t="n">
        <v>400</v>
      </c>
      <c r="D126" s="25" t="inlineStr">
        <is>
          <t>Place Strand (10M) (Includes Cable Attachment Wood Pole)</t>
        </is>
      </c>
      <c r="E126" s="1152" t="n">
        <v>1.1</v>
      </c>
      <c r="F126" s="59">
        <f>E126*B126</f>
        <v/>
      </c>
      <c r="G126" s="77" t="n"/>
      <c r="H126" s="538" t="n"/>
      <c r="I126" s="194" t="n"/>
      <c r="J126" s="77" t="n"/>
      <c r="K126" s="1153" t="n"/>
    </row>
    <row r="127" outlineLevel="1" ht="15" customHeight="1" s="955">
      <c r="A127" s="3" t="inlineStr">
        <is>
          <t>O.POLES</t>
        </is>
      </c>
      <c r="B127" s="4" t="n"/>
      <c r="C127" s="24" t="n">
        <v>401</v>
      </c>
      <c r="D127" s="25" t="inlineStr">
        <is>
          <t>Place Strand (16M) (Includes Cable Attachment Wood Pole)</t>
        </is>
      </c>
      <c r="E127" s="1152" t="n">
        <v>1.15</v>
      </c>
      <c r="F127" s="59">
        <f>E127*B127</f>
        <v/>
      </c>
      <c r="G127" s="77" t="n"/>
      <c r="H127" s="538" t="n"/>
      <c r="I127" s="194" t="n"/>
      <c r="J127" s="77" t="n"/>
      <c r="K127" s="1153" t="n"/>
    </row>
    <row r="128" outlineLevel="1" ht="15" customHeight="1" s="955">
      <c r="A128" s="3" t="inlineStr">
        <is>
          <t>O.POLES</t>
        </is>
      </c>
      <c r="B128" s="4" t="n"/>
      <c r="C128" s="24" t="n">
        <v>402</v>
      </c>
      <c r="D128" s="25" t="inlineStr">
        <is>
          <t>Place Strand (26M) (Includes Cable Attachment Wood Pole)</t>
        </is>
      </c>
      <c r="E128" s="1152" t="n">
        <v>1.25</v>
      </c>
      <c r="F128" s="59">
        <f>E128*B128</f>
        <v/>
      </c>
      <c r="G128" s="77" t="n"/>
      <c r="H128" s="538" t="n"/>
      <c r="I128" s="194" t="n"/>
      <c r="J128" s="77" t="n"/>
      <c r="K128" s="1153" t="n"/>
    </row>
    <row r="129" outlineLevel="1" ht="15" customHeight="1" s="955">
      <c r="A129" s="3" t="inlineStr">
        <is>
          <t>O.POLES</t>
        </is>
      </c>
      <c r="B129" s="4" t="n"/>
      <c r="C129" s="24" t="n">
        <v>405</v>
      </c>
      <c r="D129" s="25" t="inlineStr">
        <is>
          <t>New Strand Cut to Existing</t>
        </is>
      </c>
      <c r="E129" s="1152" t="n">
        <v>58</v>
      </c>
      <c r="F129" s="59">
        <f>E129*B129</f>
        <v/>
      </c>
      <c r="G129" s="77" t="n"/>
      <c r="H129" s="538" t="n"/>
      <c r="I129" s="194" t="n"/>
      <c r="J129" s="77" t="n"/>
      <c r="K129" s="1153" t="n"/>
    </row>
    <row r="130" outlineLevel="1" ht="15" customHeight="1" s="955">
      <c r="A130" s="3" t="inlineStr">
        <is>
          <t>O.POLES</t>
        </is>
      </c>
      <c r="B130" s="4" t="n"/>
      <c r="C130" s="24" t="n">
        <v>410</v>
      </c>
      <c r="D130" s="25" t="inlineStr">
        <is>
          <t>Remove Strand (6M)</t>
        </is>
      </c>
      <c r="E130" s="1152" t="n">
        <v>0.32</v>
      </c>
      <c r="F130" s="59">
        <f>E130*B130</f>
        <v/>
      </c>
      <c r="G130" s="77" t="n"/>
      <c r="H130" s="538" t="n"/>
      <c r="I130" s="194" t="n"/>
      <c r="J130" s="77" t="n"/>
      <c r="K130" s="1153" t="n"/>
    </row>
    <row r="131" outlineLevel="1" ht="15" customHeight="1" s="955">
      <c r="A131" s="3" t="inlineStr">
        <is>
          <t>O.POLES</t>
        </is>
      </c>
      <c r="B131" s="4" t="n"/>
      <c r="C131" s="24" t="n">
        <v>415</v>
      </c>
      <c r="D131" s="25" t="inlineStr">
        <is>
          <t>Remove Strand (10M)</t>
        </is>
      </c>
      <c r="E131" s="1152" t="n">
        <v>0.34</v>
      </c>
      <c r="F131" s="59">
        <f>E131*B131</f>
        <v/>
      </c>
      <c r="G131" s="77" t="n"/>
      <c r="H131" s="538" t="n"/>
      <c r="I131" s="194" t="n"/>
      <c r="J131" s="77" t="n"/>
      <c r="K131" s="1153" t="n"/>
    </row>
    <row r="132" outlineLevel="1" ht="15" customHeight="1" s="955">
      <c r="A132" s="3" t="inlineStr">
        <is>
          <t>O.POLES</t>
        </is>
      </c>
      <c r="B132" s="4" t="n"/>
      <c r="C132" s="24" t="n">
        <v>416</v>
      </c>
      <c r="D132" s="25" t="inlineStr">
        <is>
          <t>Remove Strand (16M)</t>
        </is>
      </c>
      <c r="E132" s="1152" t="n">
        <v>0.4</v>
      </c>
      <c r="F132" s="59">
        <f>E132*B132</f>
        <v/>
      </c>
      <c r="G132" s="77" t="n"/>
      <c r="H132" s="538" t="n"/>
      <c r="I132" s="194" t="n"/>
      <c r="J132" s="77" t="n"/>
      <c r="K132" s="1153" t="n"/>
    </row>
    <row r="133" outlineLevel="1" ht="15" customHeight="1" s="955">
      <c r="A133" s="3" t="inlineStr">
        <is>
          <t>O.POLES</t>
        </is>
      </c>
      <c r="B133" s="4" t="n"/>
      <c r="C133" s="24" t="n">
        <v>417</v>
      </c>
      <c r="D133" s="25" t="inlineStr">
        <is>
          <t>Remove Strand (26M)</t>
        </is>
      </c>
      <c r="E133" s="1152" t="n">
        <v>0.42</v>
      </c>
      <c r="F133" s="59">
        <f>E133*B133</f>
        <v/>
      </c>
      <c r="G133" s="77" t="n"/>
      <c r="H133" s="538" t="n"/>
      <c r="I133" s="194" t="n"/>
      <c r="J133" s="77" t="n"/>
      <c r="K133" s="1153" t="n"/>
    </row>
    <row r="134" outlineLevel="1" ht="15" customHeight="1" s="955">
      <c r="A134" s="3" t="inlineStr">
        <is>
          <t>O.POLES</t>
        </is>
      </c>
      <c r="B134" s="4" t="n"/>
      <c r="C134" s="24" t="n">
        <v>625</v>
      </c>
      <c r="D134" s="27" t="inlineStr">
        <is>
          <t>Straighten Pole</t>
        </is>
      </c>
      <c r="E134" s="1152" t="n">
        <v>130</v>
      </c>
      <c r="F134" s="59">
        <f>E134*B134</f>
        <v/>
      </c>
    </row>
    <row r="135" outlineLevel="1" ht="15" customHeight="1" s="955">
      <c r="A135" s="3" t="inlineStr">
        <is>
          <t>O.POLES</t>
        </is>
      </c>
      <c r="B135" s="4" t="n"/>
      <c r="C135" s="24" t="n">
        <v>670</v>
      </c>
      <c r="D135" s="27" t="inlineStr">
        <is>
          <t>Right - Of - Way Clearing                                                                                  HOURLY</t>
        </is>
      </c>
      <c r="E135" s="26" t="n"/>
      <c r="F135" s="59">
        <f>E135*B135</f>
        <v/>
      </c>
    </row>
    <row r="136" outlineLevel="1" ht="15" customHeight="1" s="955">
      <c r="A136" s="3" t="inlineStr">
        <is>
          <t>O.POLES</t>
        </is>
      </c>
      <c r="B136" s="4" t="n"/>
      <c r="C136" s="24" t="n">
        <v>671</v>
      </c>
      <c r="D136" s="27" t="inlineStr">
        <is>
          <t>Cut/trim trees w/ Bucket Truck                                                                     HOURLY</t>
        </is>
      </c>
      <c r="E136" s="26" t="n"/>
      <c r="F136" s="59">
        <f>E136*B136</f>
        <v/>
      </c>
    </row>
    <row r="137" outlineLevel="1" ht="15" customHeight="1" s="955">
      <c r="A137" s="3" t="inlineStr">
        <is>
          <t>O.POLES</t>
        </is>
      </c>
      <c r="B137" s="4" t="n"/>
      <c r="C137" s="28" t="n">
        <v>672</v>
      </c>
      <c r="D137" s="27" t="inlineStr">
        <is>
          <t>Cut/trim trees w/ Bucket Truck &amp; Chipper                                                 HOURLY</t>
        </is>
      </c>
      <c r="E137" s="29" t="n"/>
      <c r="F137" s="59">
        <f>E137*B137</f>
        <v/>
      </c>
    </row>
    <row r="138" outlineLevel="1" ht="15" customHeight="1" s="955" thickBot="1">
      <c r="A138" s="3" t="inlineStr">
        <is>
          <t>O.POLES</t>
        </is>
      </c>
      <c r="B138" s="4" t="n"/>
      <c r="C138" s="28" t="n">
        <v>673</v>
      </c>
      <c r="D138" s="27" t="inlineStr">
        <is>
          <t>Remove large trees 8" or larger at per tree basis                                    HOURLY</t>
        </is>
      </c>
      <c r="E138" s="29" t="n"/>
      <c r="F138" s="59">
        <f>E138*B138</f>
        <v/>
      </c>
    </row>
    <row r="139" outlineLevel="1" ht="15" customHeight="1" s="955" thickBot="1">
      <c r="A139" s="202" t="n"/>
      <c r="B139" s="203" t="n"/>
      <c r="C139" s="204" t="n"/>
      <c r="D139" s="205" t="inlineStr">
        <is>
          <t>TOTAL - PLACE POLE</t>
        </is>
      </c>
      <c r="E139" s="206" t="n"/>
      <c r="F139" s="61">
        <f>SUM(F59:F138)</f>
        <v/>
      </c>
    </row>
    <row r="140" ht="15" customHeight="1" s="955" thickBot="1">
      <c r="A140" s="231" t="inlineStr">
        <is>
          <t>&lt;----Click the + to Expand or Collapse the "POLES" Section</t>
        </is>
      </c>
      <c r="B140" s="224" t="n"/>
      <c r="C140" s="224" t="n"/>
      <c r="D140" s="232" t="n"/>
      <c r="E140" s="152" t="n"/>
      <c r="F140" s="105" t="n"/>
    </row>
    <row r="141" ht="15" customHeight="1" s="955" thickBot="1">
      <c r="A141" s="1087" t="n"/>
      <c r="B141" s="97">
        <f>IF(SUM(F159)&gt;0,"-","")</f>
        <v/>
      </c>
      <c r="C141" s="1088" t="n"/>
      <c r="D141" s="1088" t="inlineStr">
        <is>
          <t>POLES</t>
        </is>
      </c>
      <c r="E141" s="1088" t="n"/>
      <c r="F141" s="1089" t="n"/>
    </row>
    <row r="142" outlineLevel="1" ht="15" customHeight="1" s="955">
      <c r="A142" s="3" t="inlineStr">
        <is>
          <t>O.POLES</t>
        </is>
      </c>
      <c r="B142" s="22" t="n"/>
      <c r="C142" s="22" t="n">
        <v>101</v>
      </c>
      <c r="D142" s="23" t="inlineStr">
        <is>
          <t>PLACE POLE - 25 TO 40 FT.</t>
        </is>
      </c>
      <c r="E142" s="207" t="n">
        <v>350</v>
      </c>
      <c r="F142" s="59">
        <f>E142*B142</f>
        <v/>
      </c>
    </row>
    <row r="143" outlineLevel="1" ht="15" customHeight="1" s="955">
      <c r="A143" s="3" t="inlineStr">
        <is>
          <t>O.POLES</t>
        </is>
      </c>
      <c r="B143" s="22" t="n"/>
      <c r="C143" s="22" t="n">
        <v>102</v>
      </c>
      <c r="D143" s="23" t="inlineStr">
        <is>
          <t>PLACE POLE - 45 TO 55 FT.</t>
        </is>
      </c>
      <c r="E143" s="207" t="n">
        <v>425</v>
      </c>
      <c r="F143" s="59">
        <f>E143*B143</f>
        <v/>
      </c>
    </row>
    <row r="144" outlineLevel="1" ht="15" customHeight="1" s="955">
      <c r="A144" s="3" t="inlineStr">
        <is>
          <t>O.POLES</t>
        </is>
      </c>
      <c r="B144" s="24" t="n"/>
      <c r="C144" s="24" t="n">
        <v>103</v>
      </c>
      <c r="D144" s="25" t="inlineStr">
        <is>
          <t>PLACE POLE - &gt; 55 FT</t>
        </is>
      </c>
      <c r="E144" s="207" t="n">
        <v>515</v>
      </c>
      <c r="F144" s="59">
        <f>E144*B144</f>
        <v/>
      </c>
    </row>
    <row r="145" outlineLevel="1" ht="15" customHeight="1" s="955">
      <c r="A145" s="3" t="inlineStr">
        <is>
          <t>O.POLES</t>
        </is>
      </c>
      <c r="B145" s="24" t="n"/>
      <c r="C145" s="24" t="n">
        <v>106</v>
      </c>
      <c r="D145" s="25" t="inlineStr">
        <is>
          <t>REMOVE POLE 30 TO 40 FT.</t>
        </is>
      </c>
      <c r="E145" s="207" t="n">
        <v>215</v>
      </c>
      <c r="F145" s="59">
        <f>E145*B145</f>
        <v/>
      </c>
    </row>
    <row r="146" outlineLevel="1" ht="15" customHeight="1" s="955">
      <c r="A146" s="3" t="inlineStr">
        <is>
          <t>O.POLES</t>
        </is>
      </c>
      <c r="B146" s="24" t="n"/>
      <c r="C146" s="24" t="n">
        <v>108</v>
      </c>
      <c r="D146" s="25" t="inlineStr">
        <is>
          <t>REMOVE POLE 45 TO 55 FT.</t>
        </is>
      </c>
      <c r="E146" s="207" t="n">
        <v>215</v>
      </c>
      <c r="F146" s="59">
        <f>E146*B146</f>
        <v/>
      </c>
    </row>
    <row r="147" outlineLevel="1" ht="15" customHeight="1" s="955">
      <c r="A147" s="3" t="inlineStr">
        <is>
          <t>O.POLES</t>
        </is>
      </c>
      <c r="B147" s="24" t="n"/>
      <c r="C147" s="24" t="n">
        <v>110</v>
      </c>
      <c r="D147" s="935" t="inlineStr">
        <is>
          <t>PLACE STRAND (PRE-APPROVED)</t>
        </is>
      </c>
      <c r="E147" s="207" t="n">
        <v>2.5</v>
      </c>
      <c r="F147" s="59">
        <f>E147*B147</f>
        <v/>
      </c>
    </row>
    <row r="148" outlineLevel="1" ht="15" customHeight="1" s="955">
      <c r="A148" s="3" t="inlineStr">
        <is>
          <t>O.POLES</t>
        </is>
      </c>
      <c r="B148" s="24" t="n"/>
      <c r="C148" s="24" t="n">
        <v>111</v>
      </c>
      <c r="D148" s="25" t="inlineStr">
        <is>
          <t>ADDITIONAL CHARGE POLE SET IN POWER</t>
        </is>
      </c>
      <c r="E148" s="207" t="n">
        <v>175</v>
      </c>
      <c r="F148" s="59">
        <f>E148*B148</f>
        <v/>
      </c>
    </row>
    <row r="149" outlineLevel="1" ht="15" customHeight="1" s="955">
      <c r="A149" s="3" t="inlineStr">
        <is>
          <t>O.POLES</t>
        </is>
      </c>
      <c r="B149" s="24" t="n"/>
      <c r="C149" s="24" t="n">
        <v>112</v>
      </c>
      <c r="D149" s="25" t="inlineStr">
        <is>
          <t>HAND SET POLE</t>
        </is>
      </c>
      <c r="E149" s="207" t="n">
        <v>600</v>
      </c>
      <c r="F149" s="59">
        <f>E149*B149</f>
        <v/>
      </c>
    </row>
    <row r="150" outlineLevel="1" ht="15" customHeight="1" s="955">
      <c r="A150" s="3" t="inlineStr">
        <is>
          <t>O.POLES</t>
        </is>
      </c>
      <c r="B150" s="24" t="n"/>
      <c r="C150" s="24" t="n">
        <v>113</v>
      </c>
      <c r="D150" s="25" t="inlineStr">
        <is>
          <t xml:space="preserve">RESTORE PAVEMENT AT POLE PLACE </t>
        </is>
      </c>
      <c r="E150" s="207" t="n">
        <v>75</v>
      </c>
      <c r="F150" s="59">
        <f>E150*B150</f>
        <v/>
      </c>
    </row>
    <row r="151" outlineLevel="1" ht="15" customHeight="1" s="955">
      <c r="A151" s="3" t="inlineStr">
        <is>
          <t>O.POLES</t>
        </is>
      </c>
      <c r="B151" s="24" t="n"/>
      <c r="C151" s="24" t="n">
        <v>114</v>
      </c>
      <c r="D151" s="25" t="inlineStr">
        <is>
          <t>REPLACE PAVEMENT AT POLE REMOVAL</t>
        </is>
      </c>
      <c r="E151" s="207" t="n">
        <v>75</v>
      </c>
      <c r="F151" s="59">
        <f>E151*B151</f>
        <v/>
      </c>
    </row>
    <row r="152" outlineLevel="1" ht="15" customHeight="1" s="955">
      <c r="A152" s="3" t="inlineStr">
        <is>
          <t>O.POLES</t>
        </is>
      </c>
      <c r="B152" s="24" t="n"/>
      <c r="C152" s="24" t="n">
        <v>115</v>
      </c>
      <c r="D152" s="25" t="inlineStr">
        <is>
          <t>ROCK REMOVAL POLE   CU FT PRICE</t>
        </is>
      </c>
      <c r="E152" s="207" t="n">
        <v>100</v>
      </c>
      <c r="F152" s="59">
        <f>E152*B152</f>
        <v/>
      </c>
    </row>
    <row r="153" outlineLevel="1" ht="15" customHeight="1" s="955">
      <c r="A153" s="3" t="inlineStr">
        <is>
          <t>O.POLES</t>
        </is>
      </c>
      <c r="B153" s="24" t="n"/>
      <c r="C153" s="24" t="n">
        <v>116</v>
      </c>
      <c r="D153" s="25" t="inlineStr">
        <is>
          <t>HAND DIG POLE</t>
        </is>
      </c>
      <c r="E153" s="207" t="n">
        <v>165</v>
      </c>
      <c r="F153" s="59">
        <f>E153*B153</f>
        <v/>
      </c>
    </row>
    <row r="154" outlineLevel="1" ht="15" customHeight="1" s="955">
      <c r="A154" s="3" t="inlineStr">
        <is>
          <t>O.POLES</t>
        </is>
      </c>
      <c r="B154" s="24" t="n"/>
      <c r="C154" s="24" t="n">
        <v>117</v>
      </c>
      <c r="D154" s="935" t="inlineStr">
        <is>
          <t>PLACE ANCHOR AND GUYS</t>
        </is>
      </c>
      <c r="E154" s="207" t="n">
        <v>225</v>
      </c>
      <c r="F154" s="59">
        <f>E154*B154</f>
        <v/>
      </c>
    </row>
    <row r="155" outlineLevel="1" ht="15" customHeight="1" s="955">
      <c r="A155" s="3" t="inlineStr">
        <is>
          <t>O.POLES</t>
        </is>
      </c>
      <c r="B155" s="24" t="n"/>
      <c r="C155" s="24" t="n">
        <v>118</v>
      </c>
      <c r="D155" s="25" t="inlineStr">
        <is>
          <t>RE-SAG LINE   (PER SPAN) 6 ATTACHMENTS SPANS BOTH DIRECTIONS</t>
        </is>
      </c>
      <c r="E155" s="207" t="n">
        <v>115</v>
      </c>
      <c r="F155" s="59">
        <f>E155*B155</f>
        <v/>
      </c>
    </row>
    <row r="156" outlineLevel="1" ht="15" customHeight="1" s="955">
      <c r="A156" s="3" t="inlineStr">
        <is>
          <t>O.POLES</t>
        </is>
      </c>
      <c r="B156" s="28" t="n"/>
      <c r="C156" s="28" t="n">
        <v>144</v>
      </c>
      <c r="D156" s="27" t="inlineStr">
        <is>
          <t xml:space="preserve">Hand Set Push Brace </t>
        </is>
      </c>
      <c r="E156" s="207" t="n">
        <v>220</v>
      </c>
      <c r="F156" s="59">
        <f>E156*B156</f>
        <v/>
      </c>
    </row>
    <row r="157" outlineLevel="1" ht="15" customHeight="1" s="955">
      <c r="A157" s="3" t="inlineStr">
        <is>
          <t>O.POLES</t>
        </is>
      </c>
      <c r="B157" s="28" t="n"/>
      <c r="C157" s="27" t="inlineStr">
        <is>
          <t>MISC</t>
        </is>
      </c>
      <c r="D157" s="29" t="n"/>
      <c r="E157" s="209" t="n"/>
      <c r="F157" s="59" t="n"/>
    </row>
    <row r="158" outlineLevel="1" ht="15" customHeight="1" s="955" thickBot="1">
      <c r="A158" s="3" t="inlineStr">
        <is>
          <t>O.POLES</t>
        </is>
      </c>
      <c r="B158" s="28" t="n"/>
      <c r="C158" s="27" t="inlineStr">
        <is>
          <t>MISC</t>
        </is>
      </c>
      <c r="D158" s="29" t="n"/>
      <c r="E158" s="209" t="n"/>
      <c r="F158" s="208" t="n"/>
    </row>
    <row r="159" outlineLevel="1" ht="15" customHeight="1" s="955" thickBot="1">
      <c r="A159" s="202" t="n"/>
      <c r="B159" s="203" t="n"/>
      <c r="C159" s="204" t="n"/>
      <c r="D159" s="205" t="inlineStr">
        <is>
          <t>TOTAL - PLACE POLE</t>
        </is>
      </c>
      <c r="E159" s="206" t="n"/>
      <c r="F159" s="61">
        <f>SUM(F142:F158)</f>
        <v/>
      </c>
    </row>
    <row r="160" ht="15" customHeight="1" s="955" thickBot="1">
      <c r="A160" s="573" t="inlineStr">
        <is>
          <t>&lt;----Click the + to Expand or Collapse the "POLES" Section</t>
        </is>
      </c>
      <c r="B160" s="574" t="n"/>
      <c r="C160" s="575" t="n"/>
      <c r="D160" s="576" t="n"/>
      <c r="E160" s="571" t="n"/>
      <c r="F160" s="572" t="n"/>
    </row>
    <row r="161" ht="15" customFormat="1" customHeight="1" s="235" thickBot="1">
      <c r="A161" s="90" t="n"/>
      <c r="B161" s="185">
        <f>IF(SUM(F185)&gt;0,"-","")</f>
        <v/>
      </c>
      <c r="C161" s="91" t="n"/>
      <c r="D161" s="230" t="inlineStr">
        <is>
          <t xml:space="preserve">AERIAL </t>
        </is>
      </c>
      <c r="E161" s="119" t="n"/>
      <c r="F161" s="95" t="n"/>
      <c r="G161" s="234" t="n"/>
      <c r="H161" s="539" t="n"/>
      <c r="I161" s="559" t="n"/>
      <c r="J161" s="234" t="n"/>
      <c r="K161" s="1154"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74">
        <f>E162*B162</f>
        <v/>
      </c>
      <c r="G162" s="234" t="n"/>
      <c r="H162" s="539" t="n"/>
      <c r="I162" s="559" t="n"/>
      <c r="J162" s="234" t="n"/>
      <c r="K162" s="1154"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74">
        <f>E163*B163</f>
        <v/>
      </c>
      <c r="G163" s="234" t="n"/>
      <c r="H163" s="539" t="n"/>
      <c r="I163" s="559" t="n"/>
      <c r="J163" s="234" t="n"/>
      <c r="K163" s="1154"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74">
        <f>E164*B164</f>
        <v/>
      </c>
      <c r="G164" s="234" t="n"/>
      <c r="H164" s="539" t="n"/>
      <c r="I164" s="559" t="n"/>
      <c r="J164" s="234" t="n"/>
      <c r="K164" s="1154"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74">
        <f>E165*B165</f>
        <v/>
      </c>
      <c r="G165" s="234" t="n"/>
      <c r="H165" s="539" t="n"/>
      <c r="I165" s="559" t="n"/>
      <c r="J165" s="234" t="n"/>
      <c r="K165" s="1154" t="n"/>
    </row>
    <row r="166" outlineLevel="1" ht="15" customFormat="1" customHeight="1" s="235">
      <c r="A166" s="8" t="inlineStr">
        <is>
          <t>O.CBL.AERL</t>
        </is>
      </c>
      <c r="B166" s="52" t="n"/>
      <c r="C166" s="30" t="n">
        <v>435</v>
      </c>
      <c r="D166" s="32" t="inlineStr">
        <is>
          <t>Place Aerial Cable (12 to 200 Copper)</t>
        </is>
      </c>
      <c r="E166" s="31" t="n">
        <v>0.8</v>
      </c>
      <c r="F166" s="74">
        <f>E166*B166</f>
        <v/>
      </c>
      <c r="G166" s="234" t="n"/>
      <c r="H166" s="539" t="n"/>
      <c r="I166" s="559" t="n"/>
      <c r="J166" s="234" t="n"/>
      <c r="K166" s="1154"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74">
        <f>E167*B167</f>
        <v/>
      </c>
      <c r="G167" s="234" t="n"/>
      <c r="H167" s="539" t="n"/>
      <c r="I167" s="559" t="n"/>
      <c r="J167" s="234" t="n"/>
      <c r="K167" s="1154" t="n"/>
    </row>
    <row r="168" outlineLevel="1" ht="15" customFormat="1" customHeight="1" s="235">
      <c r="A168" s="8" t="inlineStr">
        <is>
          <t>O.CBL.AERL</t>
        </is>
      </c>
      <c r="B168" s="52" t="n"/>
      <c r="C168" s="30" t="n">
        <v>440</v>
      </c>
      <c r="D168" s="32" t="inlineStr">
        <is>
          <t>Place Aerial Cable (300 to 600)</t>
        </is>
      </c>
      <c r="E168" s="31" t="n">
        <v>0.9</v>
      </c>
      <c r="F168" s="74">
        <f>E168*B168</f>
        <v/>
      </c>
      <c r="G168" s="234" t="n"/>
      <c r="H168" s="539" t="n"/>
      <c r="I168" s="559" t="n"/>
      <c r="J168" s="234" t="n"/>
      <c r="K168" s="1154" t="n"/>
    </row>
    <row r="169" outlineLevel="1" ht="15" customFormat="1" customHeight="1" s="235">
      <c r="A169" s="8" t="inlineStr">
        <is>
          <t>O.CBL.AERL</t>
        </is>
      </c>
      <c r="B169" s="52" t="n"/>
      <c r="C169" s="30" t="n">
        <v>445</v>
      </c>
      <c r="D169" s="32" t="inlineStr">
        <is>
          <t>Place Aerial Cable (900 to 1200)</t>
        </is>
      </c>
      <c r="E169" s="31" t="n">
        <v>1.16</v>
      </c>
      <c r="F169" s="74">
        <f>E169*B169</f>
        <v/>
      </c>
      <c r="G169" s="234" t="n"/>
      <c r="H169" s="539" t="n"/>
      <c r="I169" s="559" t="n"/>
      <c r="J169" s="234" t="n"/>
      <c r="K169" s="1154" t="n"/>
    </row>
    <row r="170" outlineLevel="1" ht="15" customFormat="1" customHeight="1" s="235">
      <c r="A170" s="8" t="inlineStr">
        <is>
          <t>O.CBL.AERL</t>
        </is>
      </c>
      <c r="B170" s="52" t="n"/>
      <c r="C170" s="30" t="n">
        <v>450</v>
      </c>
      <c r="D170" s="33" t="inlineStr">
        <is>
          <t>Place Aerial Cable (1300 to 1800)</t>
        </is>
      </c>
      <c r="E170" s="31" t="n">
        <v>1.42</v>
      </c>
      <c r="F170" s="74">
        <f>E170*B170</f>
        <v/>
      </c>
      <c r="G170" s="234" t="n"/>
      <c r="H170" s="539" t="n"/>
      <c r="I170" s="559" t="n"/>
      <c r="J170" s="234" t="n"/>
      <c r="K170" s="1154" t="n"/>
    </row>
    <row r="171" outlineLevel="1" ht="15" customFormat="1" customHeight="1" s="235">
      <c r="A171" s="8" t="inlineStr">
        <is>
          <t>O.FBR.AERL</t>
        </is>
      </c>
      <c r="B171" s="1082" t="n"/>
      <c r="C171" s="30" t="n">
        <v>451</v>
      </c>
      <c r="D171" s="33" t="inlineStr">
        <is>
          <t>De-lash/Re-lash Fiber/Copper Facility (Combined Unit)</t>
        </is>
      </c>
      <c r="E171" s="31" t="n">
        <v>0.95</v>
      </c>
      <c r="F171" s="74">
        <f>E171*B171</f>
        <v/>
      </c>
      <c r="G171" s="234" t="n"/>
      <c r="H171" s="539" t="n"/>
      <c r="I171" s="559" t="n"/>
      <c r="J171" s="234" t="n"/>
      <c r="K171" s="1154" t="n"/>
    </row>
    <row r="172" outlineLevel="1" ht="15" customFormat="1" customHeight="1" s="235">
      <c r="A172" s="8" t="inlineStr">
        <is>
          <t>O.CBL.AERL</t>
        </is>
      </c>
      <c r="B172" s="1082" t="n"/>
      <c r="C172" s="30" t="n">
        <v>455</v>
      </c>
      <c r="D172" s="33" t="inlineStr">
        <is>
          <t>Remove Aerial Cable - All Fiber (Junk)</t>
        </is>
      </c>
      <c r="E172" s="31" t="n">
        <v>0.44</v>
      </c>
      <c r="F172" s="74">
        <f>E172*B172</f>
        <v/>
      </c>
      <c r="G172" s="234" t="n"/>
      <c r="H172" s="539" t="n"/>
      <c r="I172" s="559" t="n"/>
      <c r="J172" s="236" t="n"/>
      <c r="K172" s="237" t="n"/>
      <c r="L172" s="238" t="n"/>
    </row>
    <row r="173" outlineLevel="1" ht="15" customFormat="1" customHeight="1" s="235">
      <c r="A173" s="8" t="inlineStr">
        <is>
          <t>O.CBL.AERL</t>
        </is>
      </c>
      <c r="B173" s="1082" t="n"/>
      <c r="C173" s="30" t="n">
        <v>460</v>
      </c>
      <c r="D173" s="33" t="inlineStr">
        <is>
          <t>Remove Aerial Cable - 12 to 600 Copper (Junk)</t>
        </is>
      </c>
      <c r="E173" s="31" t="n">
        <v>0.6</v>
      </c>
      <c r="F173" s="74">
        <f>E173*B173</f>
        <v/>
      </c>
      <c r="G173" s="234" t="n"/>
      <c r="H173" s="539" t="n"/>
      <c r="I173" s="559" t="n"/>
      <c r="J173" s="236" t="n"/>
      <c r="K173" s="237" t="n"/>
      <c r="L173" s="238" t="n"/>
    </row>
    <row r="174" outlineLevel="1" ht="15" customFormat="1" customHeight="1" s="235">
      <c r="A174" s="8" t="inlineStr">
        <is>
          <t>O.CBL.AERL</t>
        </is>
      </c>
      <c r="B174" s="1082" t="n"/>
      <c r="C174" s="34" t="n">
        <v>465</v>
      </c>
      <c r="D174" s="33" t="inlineStr">
        <is>
          <t>Remove Aerial Cable 900 to 1800 (Junk)</t>
        </is>
      </c>
      <c r="E174" s="31" t="n">
        <v>0.82</v>
      </c>
      <c r="F174" s="74">
        <f>E174*B174</f>
        <v/>
      </c>
      <c r="G174" s="234" t="n"/>
      <c r="H174" s="539" t="n"/>
      <c r="I174" s="559" t="n"/>
      <c r="J174" s="236" t="n"/>
      <c r="K174" s="237" t="n"/>
      <c r="L174" s="238" t="n"/>
    </row>
    <row r="175" outlineLevel="1" ht="15" customFormat="1" customHeight="1" s="235">
      <c r="A175" s="8" t="inlineStr">
        <is>
          <t>O.FBR.AERL</t>
        </is>
      </c>
      <c r="B175" s="1082" t="n"/>
      <c r="C175" s="34" t="n">
        <v>485</v>
      </c>
      <c r="D175" s="2" t="inlineStr">
        <is>
          <t>Remove Aerial Cable - All Fiber (Salvage)</t>
        </is>
      </c>
      <c r="E175" s="31" t="n">
        <v>0.85</v>
      </c>
      <c r="F175" s="74">
        <f>E175*B175</f>
        <v/>
      </c>
      <c r="G175" s="234" t="n"/>
      <c r="H175" s="539" t="n"/>
      <c r="I175" s="559" t="n"/>
      <c r="J175" s="236" t="n"/>
      <c r="K175" s="237" t="n"/>
      <c r="L175" s="238" t="n"/>
    </row>
    <row r="176" outlineLevel="1" ht="15" customFormat="1" customHeight="1" s="235">
      <c r="A176" s="8" t="inlineStr">
        <is>
          <t>O.FBR.AERL</t>
        </is>
      </c>
      <c r="B176" s="1082" t="n"/>
      <c r="C176" s="34" t="n">
        <v>500</v>
      </c>
      <c r="D176" s="2" t="inlineStr">
        <is>
          <t>Place Aerial Ca. to Ex. Ca. or Strand (Overlash All Cable Sizes)</t>
        </is>
      </c>
      <c r="E176" s="31" t="n">
        <v>1.28</v>
      </c>
      <c r="F176" s="74">
        <f>E176*B176</f>
        <v/>
      </c>
      <c r="G176" s="234" t="n"/>
      <c r="H176" s="539" t="n"/>
      <c r="I176" s="559" t="n"/>
      <c r="J176" s="234" t="n"/>
      <c r="K176" s="1154" t="n"/>
    </row>
    <row r="177" outlineLevel="1" ht="15" customFormat="1" customHeight="1" s="235">
      <c r="A177" s="8" t="inlineStr">
        <is>
          <t>O.FBR.AERL</t>
        </is>
      </c>
      <c r="B177" s="1082" t="n"/>
      <c r="C177" s="34" t="n">
        <v>620</v>
      </c>
      <c r="D177" s="2" t="inlineStr">
        <is>
          <t>Place Crossover Clamp</t>
        </is>
      </c>
      <c r="E177" s="31" t="n">
        <v>41</v>
      </c>
      <c r="F177" s="74">
        <f>E177*B177</f>
        <v/>
      </c>
      <c r="G177" s="234" t="n"/>
      <c r="H177" s="539" t="n"/>
      <c r="I177" s="559" t="n"/>
      <c r="J177" s="234" t="n"/>
      <c r="K177" s="1154" t="n"/>
    </row>
    <row r="178" outlineLevel="1" ht="15" customFormat="1" customHeight="1" s="235">
      <c r="A178" s="8" t="inlineStr">
        <is>
          <t>O.FBR.AERL</t>
        </is>
      </c>
      <c r="B178" s="1082" t="n"/>
      <c r="C178" s="34" t="n">
        <v>685</v>
      </c>
      <c r="D178" s="2" t="inlineStr">
        <is>
          <t>Lower Cable Attachment</t>
        </is>
      </c>
      <c r="E178" s="31" t="n">
        <v>42</v>
      </c>
      <c r="F178" s="74">
        <f>E178*B178</f>
        <v/>
      </c>
      <c r="H178" s="540" t="n"/>
      <c r="I178" s="560" t="n"/>
    </row>
    <row r="179" outlineLevel="1" ht="15" customFormat="1" customHeight="1" s="235">
      <c r="A179" s="8" t="inlineStr">
        <is>
          <t>O.FBR.AERL</t>
        </is>
      </c>
      <c r="B179" s="1082" t="n"/>
      <c r="C179" s="34" t="n">
        <v>690</v>
      </c>
      <c r="D179" s="2" t="inlineStr">
        <is>
          <t>Raise Cable Attachment</t>
        </is>
      </c>
      <c r="E179" s="31" t="n">
        <v>42</v>
      </c>
      <c r="F179" s="74">
        <f>E179*B179</f>
        <v/>
      </c>
      <c r="H179" s="540" t="n"/>
      <c r="I179" s="560" t="n"/>
    </row>
    <row r="180" outlineLevel="1" ht="15" customFormat="1" customHeight="1" s="235">
      <c r="A180" s="8" t="inlineStr">
        <is>
          <t>O.FBR.AERL</t>
        </is>
      </c>
      <c r="B180" s="1082" t="n"/>
      <c r="C180" s="34" t="n">
        <v>691</v>
      </c>
      <c r="D180" s="2" t="inlineStr">
        <is>
          <t>Resag span</t>
        </is>
      </c>
      <c r="E180" s="31" t="n">
        <v>242</v>
      </c>
      <c r="F180" s="74">
        <f>E180*B180</f>
        <v/>
      </c>
      <c r="H180" s="540" t="n"/>
      <c r="I180" s="560" t="n"/>
    </row>
    <row r="181" outlineLevel="1" ht="15" customFormat="1" customHeight="1" s="235">
      <c r="A181" s="8" t="inlineStr">
        <is>
          <t>O.FBR.AERL</t>
        </is>
      </c>
      <c r="B181" s="1082" t="n"/>
      <c r="C181" s="34" t="n">
        <v>695</v>
      </c>
      <c r="D181" s="2" t="inlineStr">
        <is>
          <t>Change A-Bolt to B-Bolt</t>
        </is>
      </c>
      <c r="E181" s="31" t="n">
        <v>42</v>
      </c>
      <c r="F181" s="74">
        <f>E181*B181</f>
        <v/>
      </c>
      <c r="H181" s="540" t="n"/>
      <c r="I181" s="560" t="n"/>
    </row>
    <row r="182" outlineLevel="1" ht="15" customFormat="1" customHeight="1" s="235">
      <c r="A182" s="8" t="inlineStr">
        <is>
          <t>O.FBR.AERL</t>
        </is>
      </c>
      <c r="B182" s="1082" t="n"/>
      <c r="C182" s="34" t="n">
        <v>700</v>
      </c>
      <c r="D182" s="2" t="inlineStr">
        <is>
          <t>Place Bolt Extension</t>
        </is>
      </c>
      <c r="E182" s="31" t="n">
        <v>42</v>
      </c>
      <c r="F182" s="74">
        <f>E182*B182</f>
        <v/>
      </c>
      <c r="H182" s="540" t="n"/>
      <c r="I182" s="560" t="n"/>
    </row>
    <row r="183" outlineLevel="1" ht="15" customFormat="1" customHeight="1" s="235">
      <c r="A183" s="8" t="inlineStr">
        <is>
          <t>O.FBR.AERL</t>
        </is>
      </c>
      <c r="B183" s="1082" t="n"/>
      <c r="C183" s="34" t="n">
        <v>705</v>
      </c>
      <c r="D183" s="2" t="inlineStr">
        <is>
          <t>Place "B" Support Bracket</t>
        </is>
      </c>
      <c r="E183" s="31" t="n">
        <v>37</v>
      </c>
      <c r="F183" s="63">
        <f>E183*B183</f>
        <v/>
      </c>
      <c r="H183" s="540" t="n"/>
      <c r="I183" s="560" t="n"/>
    </row>
    <row r="184" outlineLevel="1" ht="15" customFormat="1" customHeight="1" s="235" thickBot="1">
      <c r="A184" s="8" t="n"/>
      <c r="B184" s="1082" t="n"/>
      <c r="C184" s="34" t="n"/>
      <c r="D184" s="2" t="n"/>
      <c r="E184" s="31" t="n"/>
      <c r="F184" s="63" t="n"/>
      <c r="H184" s="540" t="n"/>
      <c r="I184" s="560" t="n"/>
    </row>
    <row r="185" outlineLevel="1" ht="15" customFormat="1" customHeight="1" s="235" thickBot="1">
      <c r="A185" s="89" t="n"/>
      <c r="B185" s="112" t="n"/>
      <c r="C185" s="9" t="n"/>
      <c r="D185" s="9" t="inlineStr">
        <is>
          <t>TOTAL - PLACE AERIAL FIBER</t>
        </is>
      </c>
      <c r="E185" s="135" t="n"/>
      <c r="F185" s="62">
        <f>SUM(F162:F183)</f>
        <v/>
      </c>
      <c r="H185" s="540" t="n"/>
      <c r="I185" s="560" t="n"/>
    </row>
    <row r="186" ht="15" customFormat="1" customHeight="1" s="235" thickBot="1">
      <c r="A186" s="151" t="inlineStr">
        <is>
          <t>&lt;----Click the + to Expand or Collapse the "AERIAL" Section</t>
        </is>
      </c>
      <c r="B186" s="185" t="n"/>
      <c r="C186" s="91" t="n"/>
      <c r="D186" s="91" t="n"/>
      <c r="E186" s="119" t="n"/>
      <c r="F186" s="95"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s="955">
      <c r="A189" s="8" t="inlineStr">
        <is>
          <t>O.FBR.AERL</t>
        </is>
      </c>
      <c r="B189" s="1" t="n"/>
      <c r="C189" s="30" t="n">
        <v>122</v>
      </c>
      <c r="D189" s="32" t="inlineStr">
        <is>
          <t>Place ADSS Fiber 24 count TTH or Equivalent</t>
        </is>
      </c>
      <c r="E189" s="198" t="n">
        <v>1.25</v>
      </c>
      <c r="F189" s="216">
        <f>E189*B189</f>
        <v/>
      </c>
    </row>
    <row r="190" outlineLevel="1" ht="15" customHeight="1" s="955">
      <c r="A190" s="8" t="inlineStr">
        <is>
          <t>O.FBR.AERL</t>
        </is>
      </c>
      <c r="B190" s="1" t="n"/>
      <c r="C190" s="30" t="n">
        <v>123</v>
      </c>
      <c r="D190" s="32" t="inlineStr">
        <is>
          <t>Place ADSS fiber 48 count</t>
        </is>
      </c>
      <c r="E190" s="198" t="n">
        <v>1.25</v>
      </c>
      <c r="F190" s="216">
        <f>E190*B190</f>
        <v/>
      </c>
    </row>
    <row r="191" outlineLevel="1" ht="15" customHeight="1" s="955">
      <c r="A191" s="8" t="inlineStr">
        <is>
          <t>O.FBR.AERL</t>
        </is>
      </c>
      <c r="B191" s="1" t="n"/>
      <c r="C191" s="30" t="n">
        <v>124</v>
      </c>
      <c r="D191" s="32" t="inlineStr">
        <is>
          <t>Place ADSS fiber &gt; 48 count</t>
        </is>
      </c>
      <c r="E191" s="198" t="n">
        <v>1.25</v>
      </c>
      <c r="F191" s="216">
        <f>E191*B191</f>
        <v/>
      </c>
    </row>
    <row r="192" outlineLevel="1" ht="15" customHeight="1" s="955">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s="955">
      <c r="A194" s="8" t="inlineStr">
        <is>
          <t>O.FBR.AERL</t>
        </is>
      </c>
      <c r="B194" s="1">
        <f>'LABOR SPAN SHEET'!AN2</f>
        <v/>
      </c>
      <c r="C194" s="30" t="n">
        <v>127</v>
      </c>
      <c r="D194" s="521" t="inlineStr">
        <is>
          <t>ROW Clearing   (per linear ft)</t>
        </is>
      </c>
      <c r="E194" s="198" t="n">
        <v>0.45</v>
      </c>
      <c r="F194" s="216">
        <f>E194*B194</f>
        <v/>
      </c>
    </row>
    <row r="195" outlineLevel="1" ht="15" customHeight="1" s="955">
      <c r="A195" s="8" t="inlineStr">
        <is>
          <t>O.FBR.AERL</t>
        </is>
      </c>
      <c r="B195" s="1" t="n"/>
      <c r="C195" s="30" t="n">
        <v>128</v>
      </c>
      <c r="D195" s="32" t="inlineStr">
        <is>
          <t>Place ADSS Fiber 96 &amp; 144 count (composit rate)</t>
        </is>
      </c>
      <c r="E195" s="198" t="n">
        <v>2.25</v>
      </c>
      <c r="F195" s="216">
        <f>E195*B195</f>
        <v/>
      </c>
    </row>
    <row r="196" outlineLevel="1" ht="15" customHeight="1" s="955">
      <c r="A196" s="8" t="inlineStr">
        <is>
          <t>O.FBR.AERL</t>
        </is>
      </c>
      <c r="B196" s="1" t="n"/>
      <c r="C196" s="30" t="n">
        <v>129</v>
      </c>
      <c r="D196" s="32" t="inlineStr">
        <is>
          <t>Place ADSS Fiber 288 &amp; above (composit rate)</t>
        </is>
      </c>
      <c r="E196" s="198" t="n">
        <v>2.25</v>
      </c>
      <c r="F196" s="216">
        <f>E196*B196</f>
        <v/>
      </c>
    </row>
    <row r="197" outlineLevel="1" ht="15" customHeight="1" s="955">
      <c r="A197" s="8" t="inlineStr">
        <is>
          <t>O.FBR.AERL</t>
        </is>
      </c>
      <c r="B197" s="1" t="n"/>
      <c r="C197" s="30" t="n">
        <v>130</v>
      </c>
      <c r="D197" s="32" t="inlineStr">
        <is>
          <t>Wreck out fiber (junk)</t>
        </is>
      </c>
      <c r="E197" s="198" t="n">
        <v>0.55</v>
      </c>
      <c r="F197" s="216">
        <f>E197*B197</f>
        <v/>
      </c>
    </row>
    <row r="198" outlineLevel="1" ht="15" customHeight="1" s="955">
      <c r="A198" s="8" t="inlineStr">
        <is>
          <t>O.FBR.AERL</t>
        </is>
      </c>
      <c r="B198" s="1" t="n"/>
      <c r="C198" s="30" t="n">
        <v>131</v>
      </c>
      <c r="D198" s="32" t="inlineStr">
        <is>
          <t>Wreck out Fiber (salveage)</t>
        </is>
      </c>
      <c r="E198" s="198" t="n">
        <v>0.95</v>
      </c>
      <c r="F198" s="216">
        <f>E198*B198</f>
        <v/>
      </c>
    </row>
    <row r="199" outlineLevel="1" ht="15" customHeight="1" s="955">
      <c r="A199" s="8" t="inlineStr">
        <is>
          <t>O.FBR.AERL</t>
        </is>
      </c>
      <c r="B199" s="1" t="n"/>
      <c r="C199" s="30" t="n">
        <v>132</v>
      </c>
      <c r="D199" s="32" t="inlineStr">
        <is>
          <t>Delash / Relash fiber</t>
        </is>
      </c>
      <c r="E199" s="198" t="n">
        <v>1.9</v>
      </c>
      <c r="F199" s="216">
        <f>E199*B199</f>
        <v/>
      </c>
    </row>
    <row r="200" outlineLevel="1" ht="15" customHeight="1" s="955">
      <c r="A200" s="8" t="inlineStr">
        <is>
          <t>O.FBR.AERL</t>
        </is>
      </c>
      <c r="B200" s="1">
        <f>'LABOR SPAN SHEET'!J2</f>
        <v/>
      </c>
      <c r="C200" s="30" t="n">
        <v>140</v>
      </c>
      <c r="D200" s="520" t="inlineStr">
        <is>
          <t xml:space="preserve">NEW Aerial Composit (FTTP)          </t>
        </is>
      </c>
      <c r="E200" s="198" t="n">
        <v>2.5</v>
      </c>
      <c r="F200" s="216">
        <f>E200*B200</f>
        <v/>
      </c>
    </row>
    <row r="201" outlineLevel="1" ht="15" customHeight="1" s="955">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s="955">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6" t="inlineStr">
        <is>
          <t>Place, Remove or Transfer Down Guy                                                                                     (stand alone unit when not in conjuction with 140 or 141)</t>
        </is>
      </c>
      <c r="E203" s="198" t="n">
        <v>100</v>
      </c>
      <c r="F203" s="216">
        <f>E203*B203</f>
        <v/>
      </c>
      <c r="H203" s="541" t="n"/>
      <c r="I203" s="561" t="n"/>
    </row>
    <row r="204" outlineLevel="1" ht="15" customHeight="1" s="955">
      <c r="A204" s="8" t="inlineStr">
        <is>
          <t>O.FBR.AERL</t>
        </is>
      </c>
      <c r="B204" s="1" t="n"/>
      <c r="C204" s="30" t="n">
        <v>145</v>
      </c>
      <c r="D204" s="32" t="inlineStr">
        <is>
          <t>REMOVE STRAND OR RDW   (ALL SIZES)</t>
        </is>
      </c>
      <c r="E204" s="198" t="n">
        <v>0.25</v>
      </c>
      <c r="F204" s="216">
        <f>E204*B204</f>
        <v/>
      </c>
    </row>
    <row r="205" outlineLevel="1" ht="15" customHeight="1" s="955">
      <c r="A205" s="8" t="inlineStr">
        <is>
          <t>O.FBR.AERL</t>
        </is>
      </c>
      <c r="B205" s="1" t="n"/>
      <c r="C205" s="30" t="n">
        <v>146</v>
      </c>
      <c r="D205" s="521" t="inlineStr">
        <is>
          <t>Overlash single Multiport only</t>
        </is>
      </c>
      <c r="E205" s="198" t="n">
        <v>1.2</v>
      </c>
      <c r="F205" s="216">
        <f>E205*B205</f>
        <v/>
      </c>
    </row>
    <row r="206" outlineLevel="1" ht="15" customHeight="1" s="955">
      <c r="A206" s="8" t="inlineStr">
        <is>
          <t>O.FBR.AERL</t>
        </is>
      </c>
      <c r="B206" s="1" t="n"/>
      <c r="C206" s="30" t="n">
        <v>147</v>
      </c>
      <c r="D206" s="521" t="inlineStr">
        <is>
          <t>Overlash Additional Multiports (used with units 140 and 141)</t>
        </is>
      </c>
      <c r="E206" s="198" t="n">
        <v>1.2</v>
      </c>
      <c r="F206" s="216">
        <f>E206*B206</f>
        <v/>
      </c>
    </row>
    <row r="207" outlineLevel="1" ht="15" customHeight="1" s="955">
      <c r="A207" s="8" t="inlineStr">
        <is>
          <t>O.FBR.AERL</t>
        </is>
      </c>
      <c r="B207" s="1">
        <f>'LABOR SPAN SHEET'!O2</f>
        <v/>
      </c>
      <c r="C207" s="30" t="n">
        <v>148</v>
      </c>
      <c r="D207" s="521" t="inlineStr">
        <is>
          <t>PLACE RDF WIRE  or selfsupporting multiport</t>
        </is>
      </c>
      <c r="E207" s="198" t="n">
        <v>0.83</v>
      </c>
      <c r="F207" s="216">
        <f>E207*B207</f>
        <v/>
      </c>
    </row>
    <row r="208" outlineLevel="1" ht="15" customHeight="1" s="955">
      <c r="A208" s="8" t="inlineStr">
        <is>
          <t>O.FBR.AERL</t>
        </is>
      </c>
      <c r="B208" s="1" t="n"/>
      <c r="C208" s="30" t="n">
        <v>150</v>
      </c>
      <c r="D208" s="522" t="inlineStr">
        <is>
          <t>Place or Transfer Riser on Pole (unit 200 for hand-dig as required)</t>
        </is>
      </c>
      <c r="E208" s="198" t="n">
        <v>100</v>
      </c>
      <c r="F208" s="216">
        <f>E208*B208</f>
        <v/>
      </c>
    </row>
    <row r="209" outlineLevel="1" ht="15" customHeight="1" s="955">
      <c r="A209" s="8" t="inlineStr">
        <is>
          <t>O.FBR.AERL</t>
        </is>
      </c>
      <c r="B209" s="1" t="n"/>
      <c r="C209" s="30" t="n">
        <v>151</v>
      </c>
      <c r="D209" s="522" t="inlineStr">
        <is>
          <t>Mount CORNING  Multiport to Strand or in Pedestal, all sizes</t>
        </is>
      </c>
      <c r="E209" s="198" t="n">
        <v>16.5</v>
      </c>
      <c r="F209" s="216">
        <f>E209*B209</f>
        <v/>
      </c>
    </row>
    <row r="210" outlineLevel="1" ht="15" customHeight="1" s="955">
      <c r="A210" s="8" t="inlineStr">
        <is>
          <t>O.FBR.AERL</t>
        </is>
      </c>
      <c r="B210" s="1" t="n"/>
      <c r="C210" s="30" t="n">
        <v>152</v>
      </c>
      <c r="D210" s="33" t="inlineStr">
        <is>
          <t>Place LCP OR MDU BOX  Pole or Ground</t>
        </is>
      </c>
      <c r="E210" s="198" t="n">
        <v>202</v>
      </c>
      <c r="F210" s="216">
        <f>E210*B210</f>
        <v/>
      </c>
    </row>
    <row r="211" outlineLevel="1" ht="15" customHeight="1" s="955">
      <c r="A211" s="8" t="inlineStr">
        <is>
          <t>O.FBR.AERL</t>
        </is>
      </c>
      <c r="B211" s="1" t="n"/>
      <c r="C211" s="34" t="n">
        <v>155</v>
      </c>
      <c r="D211" s="35" t="inlineStr">
        <is>
          <t xml:space="preserve">Wreckout cables (junk) per strand </t>
        </is>
      </c>
      <c r="E211" s="198" t="n">
        <v>0.55</v>
      </c>
      <c r="F211" s="216">
        <f>E211*B211</f>
        <v/>
      </c>
    </row>
    <row r="212" outlineLevel="1" ht="15" customHeight="1" s="955">
      <c r="A212" s="8" t="inlineStr">
        <is>
          <t>O.FBR.AERL</t>
        </is>
      </c>
      <c r="B212" s="1" t="n"/>
      <c r="C212" s="34" t="n">
        <v>156</v>
      </c>
      <c r="D212" s="934" t="inlineStr">
        <is>
          <t>ROW Clearing  for cable placement (PATH) (Pre-Approved) (per linear ft)</t>
        </is>
      </c>
      <c r="E212" s="198" t="n">
        <v>2.25</v>
      </c>
      <c r="F212" s="216">
        <f>E212*B212</f>
        <v/>
      </c>
    </row>
    <row r="213" outlineLevel="1" ht="15" customHeight="1" s="955">
      <c r="A213" s="8" t="inlineStr">
        <is>
          <t>O.FBR.AERL</t>
        </is>
      </c>
      <c r="B213" s="1" t="n"/>
      <c r="C213" s="34" t="n"/>
      <c r="D213" s="35" t="inlineStr">
        <is>
          <t>MISC</t>
        </is>
      </c>
      <c r="E213" s="31" t="n"/>
      <c r="F213" s="216">
        <f>E213*B213</f>
        <v/>
      </c>
    </row>
    <row r="214" outlineLevel="1" ht="15" customHeight="1" s="955">
      <c r="A214" s="8" t="inlineStr">
        <is>
          <t>O.FBR.AERL</t>
        </is>
      </c>
      <c r="B214" s="1" t="n"/>
      <c r="C214" s="34" t="n"/>
      <c r="D214" s="35" t="inlineStr">
        <is>
          <t>MISC</t>
        </is>
      </c>
      <c r="E214" s="31" t="n"/>
      <c r="F214" s="216">
        <f>E214*B214</f>
        <v/>
      </c>
    </row>
    <row r="215" outlineLevel="1" ht="15" customHeight="1" s="955" thickBot="1">
      <c r="A215" s="217" t="n"/>
      <c r="B215" s="218" t="n"/>
      <c r="C215" s="219" t="n"/>
      <c r="D215" s="220" t="n"/>
      <c r="E215" s="221" t="n"/>
      <c r="F215" s="222" t="n"/>
    </row>
    <row r="216" outlineLevel="1" ht="15" customHeight="1" s="955" thickBot="1">
      <c r="A216" s="121" t="n"/>
      <c r="B216" s="122" t="n"/>
      <c r="C216" s="147" t="n"/>
      <c r="D216" s="229" t="inlineStr">
        <is>
          <t>TOTAL - PLACE AERIAL FIBER</t>
        </is>
      </c>
      <c r="E216" s="213" t="n"/>
      <c r="F216" s="62">
        <f>SUM(F188:F214)</f>
        <v/>
      </c>
    </row>
    <row r="217" ht="15" customHeight="1" s="955" thickBot="1">
      <c r="A217" s="577" t="inlineStr">
        <is>
          <t>&lt;----Click the + to Expand or Collapse the "AERIAL" Section</t>
        </is>
      </c>
      <c r="B217" s="578" t="n"/>
      <c r="C217" s="579" t="n"/>
      <c r="D217" s="579" t="n"/>
      <c r="E217" s="580" t="n"/>
      <c r="F217" s="581" t="n"/>
    </row>
    <row r="218" ht="15" customHeight="1" s="955" thickBot="1">
      <c r="A218" s="126" t="n"/>
      <c r="B218" s="98">
        <f>IF(SUM(F243)&gt;0,"-","")</f>
        <v/>
      </c>
      <c r="C218" s="100" t="n"/>
      <c r="D218" s="136" t="inlineStr">
        <is>
          <t>UNDERGROUND FIBER</t>
        </is>
      </c>
      <c r="E218" s="118" t="n"/>
      <c r="F218" s="102" t="n"/>
    </row>
    <row r="219" outlineLevel="1" ht="15" customHeight="1" s="955">
      <c r="A219" s="3" t="inlineStr">
        <is>
          <t>O.CBL.UNDG</t>
        </is>
      </c>
      <c r="B219" s="54" t="n"/>
      <c r="C219" s="22" t="n">
        <v>470</v>
      </c>
      <c r="D219" s="141" t="inlineStr">
        <is>
          <t>Remove Underground Cable - All Fiber (Junk)</t>
        </is>
      </c>
      <c r="E219" s="39" t="n">
        <v>0.58</v>
      </c>
      <c r="F219" s="64">
        <f>E219*B219</f>
        <v/>
      </c>
    </row>
    <row r="220" outlineLevel="1" ht="15" customHeight="1" s="955">
      <c r="A220" s="14" t="inlineStr">
        <is>
          <t>O.CBL.UNDG</t>
        </is>
      </c>
      <c r="B220" s="4" t="n"/>
      <c r="C220" s="24" t="n">
        <v>475</v>
      </c>
      <c r="D220" s="38" t="inlineStr">
        <is>
          <t>Remove Underground Cable - 12 to 600 (Junk)</t>
        </is>
      </c>
      <c r="E220" s="39" t="n">
        <v>0.82</v>
      </c>
      <c r="F220" s="59">
        <f>E220*B220</f>
        <v/>
      </c>
    </row>
    <row r="221" outlineLevel="1" ht="15" customHeight="1" s="955">
      <c r="A221" s="14" t="inlineStr">
        <is>
          <t>O.CBL.UNDG</t>
        </is>
      </c>
      <c r="B221" s="4" t="n"/>
      <c r="C221" s="24" t="n">
        <v>480</v>
      </c>
      <c r="D221" s="38" t="inlineStr">
        <is>
          <t>Remove Underground Cable - 900 to 1800 (Junk)</t>
        </is>
      </c>
      <c r="E221" s="39" t="n">
        <v>1.14</v>
      </c>
      <c r="F221" s="59">
        <f>E221*B221</f>
        <v/>
      </c>
    </row>
    <row r="222" outlineLevel="1" ht="15" customHeight="1" s="955">
      <c r="A222" s="14" t="inlineStr">
        <is>
          <t>O.CBL.UNDG</t>
        </is>
      </c>
      <c r="B222" s="4" t="n"/>
      <c r="C222" s="24" t="n">
        <v>481</v>
      </c>
      <c r="D222" s="38" t="inlineStr">
        <is>
          <t>Remove Underground Cable - 2100 to 3600 (Junk)</t>
        </is>
      </c>
      <c r="E222" s="39" t="n">
        <v>1.58</v>
      </c>
      <c r="F222" s="59">
        <f>E222*B222</f>
        <v/>
      </c>
    </row>
    <row r="223" outlineLevel="1" ht="15" customHeight="1" s="955">
      <c r="A223" s="14" t="inlineStr">
        <is>
          <t>O.CBL.UNDG</t>
        </is>
      </c>
      <c r="B223" s="4" t="n"/>
      <c r="C223" s="24" t="n">
        <v>490</v>
      </c>
      <c r="D223" s="38" t="inlineStr">
        <is>
          <t>Remove Underground Cable - 12 to 600 (Salvage)</t>
        </is>
      </c>
      <c r="E223" s="39" t="n">
        <v>1.38</v>
      </c>
      <c r="F223" s="59">
        <f>E223*B223</f>
        <v/>
      </c>
    </row>
    <row r="224" outlineLevel="1" ht="15" customHeight="1" s="955">
      <c r="A224" s="14" t="inlineStr">
        <is>
          <t>O.CBL.UNDG</t>
        </is>
      </c>
      <c r="B224" s="4" t="n"/>
      <c r="C224" s="24" t="n">
        <v>495</v>
      </c>
      <c r="D224" s="38" t="inlineStr">
        <is>
          <t>Remove Underground Cable - 900 to 1800 (Salvage)</t>
        </is>
      </c>
      <c r="E224" s="39" t="n">
        <v>1.55</v>
      </c>
      <c r="F224" s="59">
        <f>E224*B224</f>
        <v/>
      </c>
    </row>
    <row r="225" outlineLevel="1" ht="15" customHeight="1" s="955">
      <c r="A225" s="14" t="inlineStr">
        <is>
          <t>O.FBR.UNDG</t>
        </is>
      </c>
      <c r="B225" s="4" t="n"/>
      <c r="C225" s="24" t="n">
        <v>505</v>
      </c>
      <c r="D225" s="38" t="inlineStr">
        <is>
          <t>Place  1 Inner-Duct in Existing Conduit</t>
        </is>
      </c>
      <c r="E225" s="39" t="n">
        <v>1.2</v>
      </c>
      <c r="F225" s="59">
        <f>E225*B225</f>
        <v/>
      </c>
    </row>
    <row r="226" outlineLevel="1" ht="15" customHeight="1" s="955">
      <c r="A226" s="14" t="inlineStr">
        <is>
          <t>O.FBR.UNDG</t>
        </is>
      </c>
      <c r="B226" s="4" t="n"/>
      <c r="C226" s="24" t="n">
        <v>506</v>
      </c>
      <c r="D226" s="38" t="inlineStr">
        <is>
          <t>Place 2 Inner-Ducts in Existing Conduit</t>
        </is>
      </c>
      <c r="E226" s="39" t="n">
        <v>1.6</v>
      </c>
      <c r="F226" s="59">
        <f>E226*B226</f>
        <v/>
      </c>
    </row>
    <row r="227" outlineLevel="1" ht="15" customHeight="1" s="955">
      <c r="A227" s="14" t="inlineStr">
        <is>
          <t>O.FBR.UNDG</t>
        </is>
      </c>
      <c r="B227" s="4" t="n"/>
      <c r="C227" s="24" t="n">
        <v>507</v>
      </c>
      <c r="D227" s="38" t="inlineStr">
        <is>
          <t>Place Additional Inner-Ducts ( Same Operation ) ea.</t>
        </is>
      </c>
      <c r="E227" s="39" t="n">
        <v>0.8</v>
      </c>
      <c r="F227" s="59">
        <f>E227*B227</f>
        <v/>
      </c>
    </row>
    <row r="228" outlineLevel="1" ht="15" customHeight="1" s="955">
      <c r="A228" s="14" t="inlineStr">
        <is>
          <t>O.FBR.UNDG</t>
        </is>
      </c>
      <c r="B228" s="4" t="n"/>
      <c r="C228" s="24" t="n">
        <v>510</v>
      </c>
      <c r="D228" s="38" t="inlineStr">
        <is>
          <t>Pull Multiport or Drop in Conduit (Conduit length)</t>
        </is>
      </c>
      <c r="E228" s="39" t="n">
        <v>0.9</v>
      </c>
      <c r="F228" s="59">
        <f>E228*B228</f>
        <v/>
      </c>
    </row>
    <row r="229" outlineLevel="1" ht="15" customHeight="1" s="955">
      <c r="A229" s="14" t="inlineStr">
        <is>
          <t>O.FBR.UNDG</t>
        </is>
      </c>
      <c r="B229" s="4" t="n"/>
      <c r="C229" s="24" t="n">
        <v>515</v>
      </c>
      <c r="D229" s="38" t="inlineStr">
        <is>
          <t>Place Cable on Riser Pole</t>
        </is>
      </c>
      <c r="E229" s="39" t="n">
        <v>57</v>
      </c>
      <c r="F229" s="59">
        <f>E229*B229</f>
        <v/>
      </c>
    </row>
    <row r="230" outlineLevel="1" ht="15" customHeight="1" s="955">
      <c r="A230" s="14" t="inlineStr">
        <is>
          <t>O.FBR.UNDG</t>
        </is>
      </c>
      <c r="B230" s="4" t="n"/>
      <c r="C230" s="24" t="n">
        <v>520</v>
      </c>
      <c r="D230" s="38" t="inlineStr">
        <is>
          <t>Hand Dig and Place Cable in Existing Pedestal</t>
        </is>
      </c>
      <c r="E230" s="39" t="n">
        <v>5.51</v>
      </c>
      <c r="F230" s="59">
        <f>E230*B230</f>
        <v/>
      </c>
    </row>
    <row r="231" outlineLevel="1" ht="15" customHeight="1" s="955">
      <c r="A231" s="14" t="inlineStr">
        <is>
          <t>O.FBR.UNDG</t>
        </is>
      </c>
      <c r="B231" s="4" t="n"/>
      <c r="C231" s="24" t="n">
        <v>525</v>
      </c>
      <c r="D231" s="38" t="inlineStr">
        <is>
          <t>Place Pedestal (Any Size)</t>
        </is>
      </c>
      <c r="E231" s="39" t="n">
        <v>42</v>
      </c>
      <c r="F231" s="59">
        <f>E231*B231</f>
        <v/>
      </c>
    </row>
    <row r="232" outlineLevel="1" ht="15" customHeight="1" s="955">
      <c r="A232" s="14" t="inlineStr">
        <is>
          <t>O.FBR.UNDG</t>
        </is>
      </c>
      <c r="B232" s="4" t="n"/>
      <c r="C232" s="24" t="n">
        <v>526</v>
      </c>
      <c r="D232" s="38" t="inlineStr">
        <is>
          <t>Place Ground Rod</t>
        </is>
      </c>
      <c r="E232" s="39" t="n">
        <v>23</v>
      </c>
      <c r="F232" s="59">
        <f>E232*B232</f>
        <v/>
      </c>
    </row>
    <row r="233" outlineLevel="1" ht="15" customHeight="1" s="955">
      <c r="A233" s="14" t="inlineStr">
        <is>
          <t>O.CBL.UNDG</t>
        </is>
      </c>
      <c r="B233" s="4" t="n"/>
      <c r="C233" s="24" t="n">
        <v>630</v>
      </c>
      <c r="D233" s="38" t="inlineStr">
        <is>
          <t>Remove Pedestal (All Size)</t>
        </is>
      </c>
      <c r="E233" s="39" t="n">
        <v>25</v>
      </c>
      <c r="F233" s="59">
        <f>E233*B233</f>
        <v/>
      </c>
    </row>
    <row r="234" outlineLevel="1" ht="15" customHeight="1" s="955">
      <c r="A234" s="14" t="inlineStr">
        <is>
          <t>O.FBR.BURD</t>
        </is>
      </c>
      <c r="B234" s="4" t="n"/>
      <c r="C234" s="24" t="n">
        <v>610</v>
      </c>
      <c r="D234" s="25" t="inlineStr">
        <is>
          <t>Rod &amp; Clean Conduit (Truck)</t>
        </is>
      </c>
      <c r="E234" s="39" t="n">
        <v>1.9</v>
      </c>
      <c r="F234" s="59">
        <f>E234*B234</f>
        <v/>
      </c>
    </row>
    <row r="235" outlineLevel="1" ht="15" customFormat="1" customHeight="1" s="157">
      <c r="A235" s="14" t="inlineStr">
        <is>
          <t>O.FBR.BURD</t>
        </is>
      </c>
      <c r="B235" s="4" t="n"/>
      <c r="C235" s="24" t="n">
        <v>611</v>
      </c>
      <c r="D235" s="25" t="inlineStr">
        <is>
          <t>Rod &amp; Clean Conduit (Manual)</t>
        </is>
      </c>
      <c r="E235" s="39" t="n">
        <v>1.2</v>
      </c>
      <c r="F235" s="59">
        <f>E235*B235</f>
        <v/>
      </c>
      <c r="H235" s="542" t="n"/>
      <c r="I235" s="562" t="n"/>
      <c r="J235" s="48" t="n"/>
      <c r="K235" s="48" t="n"/>
      <c r="L235" s="158"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s="955">
      <c r="A236" s="14" t="inlineStr">
        <is>
          <t>O.FBR.BURD</t>
        </is>
      </c>
      <c r="B236" s="4" t="n"/>
      <c r="C236" s="28" t="n">
        <v>210</v>
      </c>
      <c r="D236" s="27" t="inlineStr">
        <is>
          <t>PULL FIBER IN EXISTING CONDUIT</t>
        </is>
      </c>
      <c r="E236" s="39" t="n">
        <v>24</v>
      </c>
      <c r="F236" s="59">
        <f>E236*B236</f>
        <v/>
      </c>
    </row>
    <row r="237" outlineLevel="1" ht="15" customHeight="1" s="955">
      <c r="A237" s="14" t="inlineStr">
        <is>
          <t>O.FBR.BURD</t>
        </is>
      </c>
      <c r="B237" s="107" t="n"/>
      <c r="C237" s="28" t="n">
        <v>220</v>
      </c>
      <c r="D237" s="27" t="inlineStr">
        <is>
          <t>PULL ADDITIONAL FIBER IN EXISTING CONDUIT</t>
        </is>
      </c>
      <c r="E237" s="39" t="n">
        <v>182</v>
      </c>
      <c r="F237" s="59">
        <f>E237*B237</f>
        <v/>
      </c>
    </row>
    <row r="238" outlineLevel="1" ht="15" customHeight="1" s="955">
      <c r="A238" s="14" t="inlineStr">
        <is>
          <t>O.FBR.BURD</t>
        </is>
      </c>
      <c r="B238" s="4" t="n"/>
      <c r="C238" s="24" t="n">
        <v>615</v>
      </c>
      <c r="D238" s="25" t="inlineStr">
        <is>
          <t>Remove Cable From Conduit</t>
        </is>
      </c>
      <c r="E238" s="39" t="n">
        <v>0.9</v>
      </c>
      <c r="F238" s="59">
        <f>E238*B238</f>
        <v/>
      </c>
    </row>
    <row r="239" outlineLevel="1" ht="15" customHeight="1" s="955">
      <c r="A239" s="14" t="inlineStr">
        <is>
          <t>O.FBR.BURD</t>
        </is>
      </c>
      <c r="B239" s="4" t="n"/>
      <c r="C239" s="24" t="n">
        <v>635</v>
      </c>
      <c r="D239" s="25" t="inlineStr">
        <is>
          <t>Place Ground Wire</t>
        </is>
      </c>
      <c r="E239" s="39" t="n">
        <v>1.8</v>
      </c>
      <c r="F239" s="59">
        <f>E239*B239</f>
        <v/>
      </c>
    </row>
    <row r="240" outlineLevel="1" ht="15" customHeight="1" s="955">
      <c r="A240" s="65" t="inlineStr">
        <is>
          <t>O.FBR.BURD</t>
        </is>
      </c>
      <c r="B240" s="107" t="n"/>
      <c r="C240" s="138" t="n">
        <v>636</v>
      </c>
      <c r="D240" s="139" t="inlineStr">
        <is>
          <t>Place Tracer Wire</t>
        </is>
      </c>
      <c r="E240" s="39" t="n">
        <v>0.45</v>
      </c>
      <c r="F240" s="59">
        <f>E240*B240</f>
        <v/>
      </c>
    </row>
    <row r="241" outlineLevel="1" ht="15" customHeight="1" s="955">
      <c r="A241" s="14" t="inlineStr">
        <is>
          <t>O.FBR.BURD</t>
        </is>
      </c>
      <c r="B241" s="4" t="n"/>
      <c r="C241" s="5" t="n">
        <v>804</v>
      </c>
      <c r="D241" s="70" t="inlineStr">
        <is>
          <t>Pull Fiber in Conduit</t>
        </is>
      </c>
      <c r="E241" s="39" t="n">
        <v>1.2</v>
      </c>
      <c r="F241" s="59">
        <f>E241*B241</f>
        <v/>
      </c>
    </row>
    <row r="242" outlineLevel="1" ht="15" customHeight="1" s="955" thickBot="1">
      <c r="A242" s="14" t="inlineStr">
        <is>
          <t>O.FBR.BURD</t>
        </is>
      </c>
      <c r="B242" s="4" t="n"/>
      <c r="C242" s="5" t="inlineStr">
        <is>
          <t>804A</t>
        </is>
      </c>
      <c r="D242" s="70" t="inlineStr">
        <is>
          <t>Pull Additional Fibers in Conduit ea.</t>
        </is>
      </c>
      <c r="E242" s="39" t="n">
        <v>0.45</v>
      </c>
      <c r="F242" s="59">
        <f>E242*B242</f>
        <v/>
      </c>
    </row>
    <row r="243" outlineLevel="1" ht="15" customHeight="1" s="955" thickBot="1">
      <c r="A243" s="1087" t="n"/>
      <c r="B243" s="97" t="n"/>
      <c r="C243" s="1088" t="n"/>
      <c r="D243" s="1089" t="inlineStr">
        <is>
          <t>TOTAL - PLACE UNDERGROUND FIBER</t>
        </is>
      </c>
      <c r="E243" s="125" t="n"/>
      <c r="F243" s="58">
        <f>SUM(F219:F242)</f>
        <v/>
      </c>
    </row>
    <row r="244" ht="15" customHeight="1" s="955" thickBot="1">
      <c r="A244" s="94" t="inlineStr">
        <is>
          <t>&lt;----Click the + to Expand or Collapse the "UNDERGROUND FIBER" Section</t>
        </is>
      </c>
      <c r="B244" s="97" t="n"/>
      <c r="C244" s="1088" t="n"/>
      <c r="D244" s="1088" t="n"/>
      <c r="E244" s="1085" t="n"/>
      <c r="F244" s="83" t="n"/>
    </row>
    <row r="245" ht="15" customHeight="1" s="955" thickBot="1">
      <c r="A245" s="123" t="n"/>
      <c r="B245" s="142">
        <f>IF(SUM(F262)&gt;0,"-","")</f>
        <v/>
      </c>
      <c r="C245" s="124" t="n"/>
      <c r="D245" s="140" t="inlineStr">
        <is>
          <t>UNDERGROUND FIBER</t>
        </is>
      </c>
      <c r="E245" s="128" t="n"/>
      <c r="F245" s="129" t="n"/>
    </row>
    <row r="246" outlineLevel="1" ht="15" customHeight="1" s="955">
      <c r="A246" s="259" t="inlineStr">
        <is>
          <t>O.FBR.BURD</t>
        </is>
      </c>
      <c r="B246" s="261">
        <f>'LABOR SPAN SHEET'!AB2</f>
        <v/>
      </c>
      <c r="C246" s="272" t="n">
        <v>210</v>
      </c>
      <c r="D246" s="523" t="inlineStr">
        <is>
          <t>PULL FIBER IN CONDUIT (ADDITIONAL FIBER, NOT INCLUDED IN UNIT 200)</t>
        </is>
      </c>
      <c r="E246" s="274" t="n">
        <v>1.3</v>
      </c>
      <c r="F246" s="264">
        <f>E246*B246</f>
        <v/>
      </c>
    </row>
    <row r="247" outlineLevel="1" ht="15" customHeight="1" s="955">
      <c r="A247" s="259" t="inlineStr">
        <is>
          <t>O.FBR.BURD</t>
        </is>
      </c>
      <c r="B247" s="261">
        <f>'LABOR SPAN SHEET'!AA2</f>
        <v/>
      </c>
      <c r="C247" s="272" t="n">
        <v>220</v>
      </c>
      <c r="D247" s="523" t="inlineStr">
        <is>
          <t>PULL ADDITIONAL FIBER IN EXISTING CONDUIT</t>
        </is>
      </c>
      <c r="E247" s="274" t="n">
        <v>1.3</v>
      </c>
      <c r="F247" s="264">
        <f>E247*B247</f>
        <v/>
      </c>
    </row>
    <row r="248" outlineLevel="1" ht="15" customHeight="1" s="955">
      <c r="A248" s="259" t="inlineStr">
        <is>
          <t>O.FBR.BURD</t>
        </is>
      </c>
      <c r="B248" s="260" t="n"/>
      <c r="C248" s="272" t="n">
        <v>1</v>
      </c>
      <c r="D248" s="273" t="inlineStr">
        <is>
          <t>Place Hand Hole when not in conjuction with unit 200 (Urban)</t>
        </is>
      </c>
      <c r="E248" s="274" t="n">
        <v>550</v>
      </c>
      <c r="F248" s="264">
        <f>E248*B248</f>
        <v/>
      </c>
    </row>
    <row r="249" outlineLevel="1" ht="15" customHeight="1" s="955">
      <c r="A249" s="259" t="inlineStr">
        <is>
          <t>O.FBR.BURD</t>
        </is>
      </c>
      <c r="B249" s="260" t="n"/>
      <c r="C249" s="272" t="n">
        <v>2</v>
      </c>
      <c r="D249" s="273" t="inlineStr">
        <is>
          <t>Place Hand Hole when not in conjuction with unit 200 (Rural)</t>
        </is>
      </c>
      <c r="E249" s="274" t="n">
        <v>550</v>
      </c>
      <c r="F249" s="264">
        <f>E249*B249</f>
        <v/>
      </c>
    </row>
    <row r="250" outlineLevel="1" ht="15" customHeight="1" s="955">
      <c r="A250" s="259" t="inlineStr">
        <is>
          <t>O.FBR.BURD</t>
        </is>
      </c>
      <c r="B250" s="260" t="n"/>
      <c r="C250" s="272" t="n">
        <v>3</v>
      </c>
      <c r="D250" s="273" t="inlineStr">
        <is>
          <t>Place 1 Inner-Duct in Existing Conduit</t>
        </is>
      </c>
      <c r="E250" s="274" t="n">
        <v>1.09</v>
      </c>
      <c r="F250" s="264">
        <f>E250*B250</f>
        <v/>
      </c>
    </row>
    <row r="251" outlineLevel="1" ht="15" customHeight="1" s="955">
      <c r="A251" s="259" t="inlineStr">
        <is>
          <t>O.FBR.BURD</t>
        </is>
      </c>
      <c r="B251" s="260" t="n"/>
      <c r="C251" s="272" t="n">
        <v>4</v>
      </c>
      <c r="D251" s="273" t="inlineStr">
        <is>
          <t>PLACE 2 INNER-DUCTS IN EXISTING CONDUIT</t>
        </is>
      </c>
      <c r="E251" s="274" t="n">
        <v>1.66</v>
      </c>
      <c r="F251" s="264">
        <f>E251*B251</f>
        <v/>
      </c>
    </row>
    <row r="252" outlineLevel="1" ht="15" customHeight="1" s="955">
      <c r="A252" s="259" t="inlineStr">
        <is>
          <t>O.FBR.BURD</t>
        </is>
      </c>
      <c r="B252" s="260" t="n"/>
      <c r="C252" s="272" t="n">
        <v>5</v>
      </c>
      <c r="D252" s="273" t="inlineStr">
        <is>
          <t>PLACE ADDITIONAL INNER-DUCTS ( SAME OPEARATION ) up to 2 ducts.</t>
        </is>
      </c>
      <c r="E252" s="274" t="n">
        <v>2.32</v>
      </c>
      <c r="F252" s="264">
        <f>E252*B252</f>
        <v/>
      </c>
    </row>
    <row r="253" outlineLevel="1" ht="15" customHeight="1" s="955">
      <c r="A253" s="259" t="inlineStr">
        <is>
          <t>O.FBR.BURD</t>
        </is>
      </c>
      <c r="B253" s="260" t="n"/>
      <c r="C253" s="272" t="n">
        <v>6</v>
      </c>
      <c r="D253" s="273" t="inlineStr">
        <is>
          <t>Concrete Encase conduit  (Per ft)</t>
        </is>
      </c>
      <c r="E253" s="274" t="n">
        <v>16</v>
      </c>
      <c r="F253" s="264">
        <f>E253*B253</f>
        <v/>
      </c>
    </row>
    <row r="254" outlineLevel="1" ht="15" customHeight="1" s="955">
      <c r="A254" s="259" t="inlineStr">
        <is>
          <t>O.FBR.BURD</t>
        </is>
      </c>
      <c r="B254" s="260" t="n"/>
      <c r="C254" s="272" t="n">
        <v>7</v>
      </c>
      <c r="D254" s="273" t="inlineStr">
        <is>
          <t>ROD &amp; CLEAN CONDUIT (TRUCK)</t>
        </is>
      </c>
      <c r="E254" s="274" t="n">
        <v>2.25</v>
      </c>
      <c r="F254" s="264">
        <f>E254*B254</f>
        <v/>
      </c>
    </row>
    <row r="255" outlineLevel="1" ht="15" customHeight="1" s="955">
      <c r="A255" s="259" t="inlineStr">
        <is>
          <t>O.FBR.BURD</t>
        </is>
      </c>
      <c r="B255" s="260" t="n"/>
      <c r="C255" s="272" t="n">
        <v>8</v>
      </c>
      <c r="D255" s="273" t="inlineStr">
        <is>
          <t>ROD &amp; CLEAN CONDUIT (MANUAL)</t>
        </is>
      </c>
      <c r="E255" s="274" t="n">
        <v>0.95</v>
      </c>
      <c r="F255" s="264">
        <f>E255*B255</f>
        <v/>
      </c>
    </row>
    <row r="256" outlineLevel="1" ht="15" customHeight="1" s="955">
      <c r="A256" s="259" t="inlineStr">
        <is>
          <t>O.FBR.BURD</t>
        </is>
      </c>
      <c r="B256" s="260" t="n"/>
      <c r="C256" s="272" t="n">
        <v>9</v>
      </c>
      <c r="D256" s="273" t="inlineStr">
        <is>
          <t>REMOVE UNDERGROUND CABLE from Conduit</t>
        </is>
      </c>
      <c r="E256" s="274" t="n">
        <v>0.95</v>
      </c>
      <c r="F256" s="264">
        <f>E256*B256</f>
        <v/>
      </c>
    </row>
    <row r="257" outlineLevel="1" ht="15" customHeight="1" s="955">
      <c r="A257" s="259" t="inlineStr">
        <is>
          <t>O.FBR.BURD</t>
        </is>
      </c>
      <c r="B257" s="260" t="n"/>
      <c r="C257" s="272" t="n">
        <v>11</v>
      </c>
      <c r="D257" s="523" t="inlineStr">
        <is>
          <t>Building Entrance</t>
        </is>
      </c>
      <c r="E257" s="274" t="n">
        <v>425</v>
      </c>
      <c r="F257" s="264">
        <f>E257*B257</f>
        <v/>
      </c>
    </row>
    <row r="258" outlineLevel="1" ht="15" customHeight="1" s="955">
      <c r="A258" s="267" t="inlineStr">
        <is>
          <t>O.FBR.BURD</t>
        </is>
      </c>
      <c r="B258" s="265" t="n"/>
      <c r="C258" s="275" t="n">
        <v>153</v>
      </c>
      <c r="D258" s="524" t="inlineStr">
        <is>
          <t>PLACE ADDITIONAL MULTIPORTS IN DUCT (AFTER FIRST CABLE)</t>
        </is>
      </c>
      <c r="E258" s="274" t="n">
        <v>0.29</v>
      </c>
      <c r="F258" s="268">
        <f>E258*B258</f>
        <v/>
      </c>
    </row>
    <row r="259" outlineLevel="1" ht="15" customHeight="1" s="955">
      <c r="A259" s="259" t="n"/>
      <c r="B259" s="260" t="n"/>
      <c r="C259" s="272" t="n"/>
      <c r="D259" s="276" t="inlineStr">
        <is>
          <t>MISC</t>
        </is>
      </c>
      <c r="E259" s="277" t="n"/>
      <c r="F259" s="278" t="n"/>
    </row>
    <row r="260" outlineLevel="1" ht="15" customHeight="1" s="955">
      <c r="A260" s="259" t="n"/>
      <c r="B260" s="260" t="n"/>
      <c r="C260" s="261" t="n"/>
      <c r="D260" s="276" t="inlineStr">
        <is>
          <t>MISC</t>
        </is>
      </c>
      <c r="E260" s="263" t="n"/>
      <c r="F260" s="278" t="n"/>
    </row>
    <row r="261" outlineLevel="1" ht="15" customHeight="1" s="955" thickBot="1">
      <c r="A261" s="259" t="n"/>
      <c r="B261" s="260" t="n"/>
      <c r="C261" s="272" t="n"/>
      <c r="D261" s="276" t="inlineStr">
        <is>
          <t>MISC</t>
        </is>
      </c>
      <c r="E261" s="279" t="n"/>
      <c r="F261" s="278" t="n"/>
    </row>
    <row r="262" outlineLevel="1" ht="15" customHeight="1" s="955" thickBot="1">
      <c r="A262" s="90" t="n"/>
      <c r="B262" s="185" t="n"/>
      <c r="C262" s="91" t="n"/>
      <c r="D262" s="269" t="inlineStr">
        <is>
          <t>TOTAL - PLACE UNDERGROUND FIBER</t>
        </is>
      </c>
      <c r="E262" s="280" t="n"/>
      <c r="F262" s="131">
        <f>SUM(F246:F261)</f>
        <v/>
      </c>
    </row>
    <row r="263" ht="15" customHeight="1" s="955" thickBot="1">
      <c r="A263" s="573" t="inlineStr">
        <is>
          <t>&lt;----Click the + to Expand or Collapse the "UNDERGROUND FIBER" Section</t>
        </is>
      </c>
      <c r="B263" s="578" t="n"/>
      <c r="C263" s="579" t="n"/>
      <c r="D263" s="579" t="n"/>
      <c r="E263" s="580" t="n"/>
      <c r="F263" s="581" t="n"/>
    </row>
    <row r="264" ht="15" customHeight="1" s="955" thickBot="1">
      <c r="A264" s="126" t="n"/>
      <c r="B264" s="98">
        <f>IF(SUM(F307)&gt;0,"-","")</f>
        <v/>
      </c>
      <c r="C264" s="100" t="n"/>
      <c r="D264" s="136" t="inlineStr">
        <is>
          <t>BURIED FIBER</t>
        </is>
      </c>
      <c r="E264" s="1085" t="n"/>
      <c r="F264" s="83" t="n"/>
    </row>
    <row r="265" outlineLevel="1" ht="15" customHeight="1" s="955">
      <c r="A265" s="14" t="inlineStr">
        <is>
          <t>O.FBR.UNDG</t>
        </is>
      </c>
      <c r="B265" s="4" t="n"/>
      <c r="C265" s="24" t="n">
        <v>525</v>
      </c>
      <c r="D265" s="38" t="inlineStr">
        <is>
          <t>Place Pedestal (Any Size)</t>
        </is>
      </c>
      <c r="E265" s="39" t="n">
        <v>42</v>
      </c>
      <c r="F265" s="59">
        <f>E265*B265</f>
        <v/>
      </c>
    </row>
    <row r="266" outlineLevel="1" ht="15" customHeight="1" s="955">
      <c r="A266" s="14" t="inlineStr">
        <is>
          <t>O.FBR.UNDG</t>
        </is>
      </c>
      <c r="B266" s="4" t="n"/>
      <c r="C266" s="24" t="n">
        <v>526</v>
      </c>
      <c r="D266" s="38" t="inlineStr">
        <is>
          <t>Place Ground Rod</t>
        </is>
      </c>
      <c r="E266" s="39" t="n">
        <v>23</v>
      </c>
      <c r="F266" s="59">
        <f>E266*B266</f>
        <v/>
      </c>
    </row>
    <row r="267" outlineLevel="1" ht="15" customHeight="1" s="955">
      <c r="A267" s="3" t="inlineStr">
        <is>
          <t>O.FBR.BURD</t>
        </is>
      </c>
      <c r="B267" s="54" t="n"/>
      <c r="C267" s="22" t="n">
        <v>527</v>
      </c>
      <c r="D267" s="141" t="inlineStr">
        <is>
          <t>Trench 12" to 18" Depth (1st cable or empty conduit included)</t>
        </is>
      </c>
      <c r="E267" s="39" t="n">
        <v>5.46</v>
      </c>
      <c r="F267" s="64">
        <f>E267*B267</f>
        <v/>
      </c>
    </row>
    <row r="268" outlineLevel="1" ht="15" customHeight="1" s="955">
      <c r="A268" s="14" t="inlineStr">
        <is>
          <t>O.FBR.BURD</t>
        </is>
      </c>
      <c r="B268" s="4" t="n"/>
      <c r="C268" s="24" t="n">
        <v>528</v>
      </c>
      <c r="D268" s="25" t="inlineStr">
        <is>
          <t>Trench 18" to 24" Depth (1st cable or empty conduit included)</t>
        </is>
      </c>
      <c r="E268" s="39" t="n">
        <v>6.06</v>
      </c>
      <c r="F268" s="59">
        <f>E268*B268</f>
        <v/>
      </c>
    </row>
    <row r="269" outlineLevel="1" ht="15" customHeight="1" s="955">
      <c r="A269" s="14" t="inlineStr">
        <is>
          <t>O.FBR.BURD</t>
        </is>
      </c>
      <c r="B269" s="4" t="n"/>
      <c r="C269" s="24" t="n">
        <v>530</v>
      </c>
      <c r="D269" s="25" t="inlineStr">
        <is>
          <t>Trench 24" to 36"  Depth (1st cable or empty conduit included)</t>
        </is>
      </c>
      <c r="E269" s="39" t="n">
        <v>6.26</v>
      </c>
      <c r="F269" s="59">
        <f>E269*B269</f>
        <v/>
      </c>
    </row>
    <row r="270" outlineLevel="1" ht="15" customHeight="1" s="955">
      <c r="A270" s="14" t="inlineStr">
        <is>
          <t>O.FBR.BURD</t>
        </is>
      </c>
      <c r="B270" s="4" t="n"/>
      <c r="C270" s="24" t="n">
        <v>534</v>
      </c>
      <c r="D270" s="25" t="inlineStr">
        <is>
          <t>Backhoe 24" to 36" Depth (1st cable or empty conduit included)</t>
        </is>
      </c>
      <c r="E270" s="39" t="n">
        <v>6.46</v>
      </c>
      <c r="F270" s="59">
        <f>E270*B270</f>
        <v/>
      </c>
    </row>
    <row r="271" outlineLevel="1" ht="15" customHeight="1" s="955">
      <c r="A271" s="14" t="inlineStr">
        <is>
          <t>O.FBR.BURD</t>
        </is>
      </c>
      <c r="B271" s="4" t="n"/>
      <c r="C271" s="24" t="n">
        <v>535</v>
      </c>
      <c r="D271" s="38" t="inlineStr">
        <is>
          <t>Backhoe 42" to 60" Depth (1st cable of empty conduit included)</t>
        </is>
      </c>
      <c r="E271" s="39" t="n">
        <v>6.7</v>
      </c>
      <c r="F271" s="59">
        <f>E271*B271</f>
        <v/>
      </c>
    </row>
    <row r="272" outlineLevel="1" ht="15" customHeight="1" s="955">
      <c r="A272" s="14" t="inlineStr">
        <is>
          <t>O.FBR.BURD</t>
        </is>
      </c>
      <c r="B272" s="4" t="n"/>
      <c r="C272" s="24" t="n">
        <v>540</v>
      </c>
      <c r="D272" s="38" t="inlineStr">
        <is>
          <t>Place Cond. in Trench (All Size PVC and 4" HDPE)</t>
        </is>
      </c>
      <c r="E272" s="39" t="n">
        <v>1</v>
      </c>
      <c r="F272" s="59">
        <f>E272*B272</f>
        <v/>
      </c>
    </row>
    <row r="273" outlineLevel="1" ht="15" customHeight="1" s="955">
      <c r="A273" s="14" t="inlineStr">
        <is>
          <t>O.FBR.BURD</t>
        </is>
      </c>
      <c r="B273" s="4" t="n"/>
      <c r="C273" s="24" t="n">
        <v>541</v>
      </c>
      <c r="D273" s="38" t="inlineStr">
        <is>
          <t>Place Cond. In Trench (HDPE 1" to 2")</t>
        </is>
      </c>
      <c r="E273" s="39" t="n">
        <v>1</v>
      </c>
      <c r="F273" s="59">
        <f>E273*B273</f>
        <v/>
      </c>
    </row>
    <row r="274" outlineLevel="1" ht="15" customHeight="1" s="955">
      <c r="A274" s="14" t="inlineStr">
        <is>
          <t>O.FBR.BURD</t>
        </is>
      </c>
      <c r="B274" s="4" t="n"/>
      <c r="C274" s="24" t="n">
        <v>545</v>
      </c>
      <c r="D274" s="38" t="inlineStr">
        <is>
          <t>Place Cond. in Trench (All Size Split)</t>
        </is>
      </c>
      <c r="E274" s="39" t="n">
        <v>1.1</v>
      </c>
      <c r="F274" s="59">
        <f>E274*B274</f>
        <v/>
      </c>
    </row>
    <row r="275" outlineLevel="1" ht="15" customHeight="1" s="955">
      <c r="A275" s="14" t="inlineStr">
        <is>
          <t>O.FBR.BURD</t>
        </is>
      </c>
      <c r="B275" s="4" t="n"/>
      <c r="C275" s="24" t="n">
        <v>550</v>
      </c>
      <c r="D275" s="38" t="inlineStr">
        <is>
          <t>Place Cond. in Trench ( All size GIP)</t>
        </is>
      </c>
      <c r="E275" s="39" t="n">
        <v>2.4</v>
      </c>
      <c r="F275" s="59">
        <f>E275*B275</f>
        <v/>
      </c>
    </row>
    <row r="276" outlineLevel="1" ht="15" customHeight="1" s="955">
      <c r="A276" s="14" t="inlineStr">
        <is>
          <t>O.FBR.BURD</t>
        </is>
      </c>
      <c r="B276" s="4" t="n"/>
      <c r="C276" s="24" t="n">
        <v>555</v>
      </c>
      <c r="D276" s="38" t="inlineStr">
        <is>
          <t>Concrete Encase Cond. (Exhibit I)</t>
        </is>
      </c>
      <c r="E276" s="39" t="n">
        <v>13.98</v>
      </c>
      <c r="F276" s="59">
        <f>E276*B276</f>
        <v/>
      </c>
    </row>
    <row r="277" outlineLevel="1" ht="15" customHeight="1" s="955">
      <c r="A277" s="14" t="inlineStr">
        <is>
          <t>O.FBR.BURD</t>
        </is>
      </c>
      <c r="B277" s="4" t="n"/>
      <c r="C277" s="24" t="n">
        <v>558</v>
      </c>
      <c r="D277" s="38" t="inlineStr">
        <is>
          <t>Plow Drop, Cable 12-18" Depth</t>
        </is>
      </c>
      <c r="E277" s="39" t="n">
        <v>2.25</v>
      </c>
      <c r="F277" s="59">
        <f>E277*B277</f>
        <v/>
      </c>
    </row>
    <row r="278" outlineLevel="1" ht="15" customHeight="1" s="955">
      <c r="A278" s="14" t="inlineStr">
        <is>
          <t>O.FBR.BURD</t>
        </is>
      </c>
      <c r="B278" s="4" t="n"/>
      <c r="C278" s="24" t="n">
        <v>562</v>
      </c>
      <c r="D278" s="38" t="inlineStr">
        <is>
          <t>Plow 3/4" Conduit 18" Depth</t>
        </is>
      </c>
      <c r="E278" s="39" t="n">
        <v>2.75</v>
      </c>
      <c r="F278" s="59">
        <f>E278*B278</f>
        <v/>
      </c>
    </row>
    <row r="279" outlineLevel="1" ht="15" customHeight="1" s="955">
      <c r="A279" s="14" t="inlineStr">
        <is>
          <t>O.FBR.BURD</t>
        </is>
      </c>
      <c r="B279" s="4" t="n"/>
      <c r="C279" s="24" t="n">
        <v>570</v>
      </c>
      <c r="D279" s="38" t="inlineStr">
        <is>
          <t>Cut &amp; Remove Asphalt     SQ FT</t>
        </is>
      </c>
      <c r="E279" s="39" t="inlineStr">
        <is>
          <t>Lab./Mat.</t>
        </is>
      </c>
      <c r="F279" s="59" t="n"/>
    </row>
    <row r="280" outlineLevel="1" ht="15" customHeight="1" s="955">
      <c r="A280" s="14" t="inlineStr">
        <is>
          <t>O.FBR.BURD</t>
        </is>
      </c>
      <c r="B280" s="4" t="n"/>
      <c r="C280" s="24" t="n">
        <v>575</v>
      </c>
      <c r="D280" s="38" t="inlineStr">
        <is>
          <t>Replace Asphalt         SQ FT</t>
        </is>
      </c>
      <c r="E280" s="39" t="inlineStr">
        <is>
          <t>Lab./Mat.</t>
        </is>
      </c>
      <c r="F280" s="59" t="n"/>
    </row>
    <row r="281" outlineLevel="1" ht="15" customHeight="1" s="955">
      <c r="A281" s="14" t="inlineStr">
        <is>
          <t>O.FBR.BURD</t>
        </is>
      </c>
      <c r="B281" s="4" t="n"/>
      <c r="C281" s="24" t="n">
        <v>590</v>
      </c>
      <c r="D281" s="38" t="inlineStr">
        <is>
          <t>Non- Directional Bore 4" (40' Maximum Distance) (includes conduit placement in bore)</t>
        </is>
      </c>
      <c r="E281" s="39" t="n">
        <v>17</v>
      </c>
      <c r="F281" s="59">
        <f>E281*B281</f>
        <v/>
      </c>
    </row>
    <row r="282" outlineLevel="1" ht="15" customHeight="1" s="955">
      <c r="A282" s="14" t="inlineStr">
        <is>
          <t>O.FBR.BURD</t>
        </is>
      </c>
      <c r="B282" s="4" t="n"/>
      <c r="C282" s="24" t="n">
        <v>595</v>
      </c>
      <c r="D282" s="38" t="inlineStr">
        <is>
          <t>Cut &amp; Remove Concrete          CU FT</t>
        </is>
      </c>
      <c r="E282" s="39" t="inlineStr">
        <is>
          <t>Lab./Mat.</t>
        </is>
      </c>
      <c r="F282" s="59" t="n"/>
    </row>
    <row r="283" outlineLevel="1" ht="15" customHeight="1" s="955">
      <c r="A283" s="14" t="inlineStr">
        <is>
          <t>O.FBR.BURD</t>
        </is>
      </c>
      <c r="B283" s="4" t="n"/>
      <c r="C283" s="24" t="n">
        <v>600</v>
      </c>
      <c r="D283" s="38" t="inlineStr">
        <is>
          <t>Replace Concrete Street (includes doweling, expansion joints and caulking if required)  SQ FT</t>
        </is>
      </c>
      <c r="E283" s="39" t="inlineStr">
        <is>
          <t>Lab./Mat.</t>
        </is>
      </c>
      <c r="F283" s="59" t="n"/>
    </row>
    <row r="284" outlineLevel="1" ht="15" customHeight="1" s="955">
      <c r="A284" s="14" t="inlineStr">
        <is>
          <t>O.FBR.BURD</t>
        </is>
      </c>
      <c r="B284" s="4" t="n"/>
      <c r="C284" s="24" t="n">
        <v>601</v>
      </c>
      <c r="D284" s="38" t="inlineStr">
        <is>
          <t>Replace Sidewalk                        BID</t>
        </is>
      </c>
      <c r="E284" s="39" t="inlineStr">
        <is>
          <t>LABOR /MAT.</t>
        </is>
      </c>
      <c r="F284" s="59" t="n"/>
    </row>
    <row r="285" outlineLevel="1" ht="15" customHeight="1" s="955">
      <c r="A285" s="14" t="inlineStr">
        <is>
          <t>O.FBR.BURD</t>
        </is>
      </c>
      <c r="B285" s="4" t="n"/>
      <c r="C285" s="24" t="n">
        <v>602</v>
      </c>
      <c r="D285" s="38" t="inlineStr">
        <is>
          <t>Replace Driveway Apron           BID</t>
        </is>
      </c>
      <c r="E285" s="39" t="inlineStr">
        <is>
          <t>LABOR/MAT.</t>
        </is>
      </c>
      <c r="F285" s="59" t="n"/>
    </row>
    <row r="286" outlineLevel="1" ht="15" customHeight="1" s="955">
      <c r="A286" s="14" t="inlineStr">
        <is>
          <t>O.FBR.BURD</t>
        </is>
      </c>
      <c r="B286" s="4" t="n"/>
      <c r="C286" s="24" t="n">
        <v>605</v>
      </c>
      <c r="D286" s="38" t="inlineStr">
        <is>
          <t xml:space="preserve">Place Hand Hole (30" X 48" X 24")  ( gravel included) </t>
        </is>
      </c>
      <c r="E286" s="39" t="n">
        <v>280</v>
      </c>
      <c r="F286" s="59">
        <f>E286*B286</f>
        <v/>
      </c>
    </row>
    <row r="287" outlineLevel="1" ht="15" customHeight="1" s="955">
      <c r="A287" s="14" t="inlineStr">
        <is>
          <t>O.FBR.BURD</t>
        </is>
      </c>
      <c r="B287" s="4" t="n"/>
      <c r="C287" s="24" t="n">
        <v>606</v>
      </c>
      <c r="D287" s="38" t="inlineStr">
        <is>
          <t xml:space="preserve">Place Hand Hole (17" X 30") (gravel included) </t>
        </is>
      </c>
      <c r="E287" s="39" t="n">
        <v>260</v>
      </c>
      <c r="F287" s="59">
        <f>E287*B287</f>
        <v/>
      </c>
    </row>
    <row r="288" outlineLevel="1" ht="15" customHeight="1" s="955">
      <c r="A288" s="14" t="inlineStr">
        <is>
          <t>O.FBR.BURD</t>
        </is>
      </c>
      <c r="B288" s="4" t="n"/>
      <c r="C288" s="24" t="n">
        <v>607</v>
      </c>
      <c r="D288" s="25" t="inlineStr">
        <is>
          <t>Place Hand Hole "Flower Pot"  (12" X 17")  (gravel included)</t>
        </is>
      </c>
      <c r="E288" s="39" t="n">
        <v>60</v>
      </c>
      <c r="F288" s="59">
        <f>E288*B288</f>
        <v/>
      </c>
    </row>
    <row r="289" outlineLevel="1" ht="15" customHeight="1" s="955">
      <c r="A289" s="14" t="inlineStr">
        <is>
          <t>O.FBR.BURD</t>
        </is>
      </c>
      <c r="B289" s="4" t="n"/>
      <c r="C289" s="24" t="n">
        <v>608</v>
      </c>
      <c r="D289" s="25" t="inlineStr">
        <is>
          <t>Place Wall Mount Terminal / MP Box</t>
        </is>
      </c>
      <c r="E289" s="39" t="n">
        <v>60</v>
      </c>
      <c r="F289" s="59">
        <f>E289*B289</f>
        <v/>
      </c>
    </row>
    <row r="290" outlineLevel="1" ht="15" customHeight="1" s="955">
      <c r="A290" s="14" t="inlineStr">
        <is>
          <t>O.FBR.BURD</t>
        </is>
      </c>
      <c r="B290" s="4" t="n"/>
      <c r="C290" s="24" t="n">
        <v>610</v>
      </c>
      <c r="D290" s="25" t="inlineStr">
        <is>
          <t>Rod &amp; Clean Conduit (Truck)</t>
        </is>
      </c>
      <c r="E290" s="39" t="n">
        <v>1.9</v>
      </c>
      <c r="F290" s="59">
        <f>E290*B290</f>
        <v/>
      </c>
    </row>
    <row r="291" outlineLevel="1" ht="15" customHeight="1" s="955">
      <c r="A291" s="14" t="inlineStr">
        <is>
          <t>O.FBR.BURD</t>
        </is>
      </c>
      <c r="B291" s="4" t="n"/>
      <c r="C291" s="24" t="n">
        <v>611</v>
      </c>
      <c r="D291" s="25" t="inlineStr">
        <is>
          <t>Rod &amp; Clean Conduit (Manual)</t>
        </is>
      </c>
      <c r="E291" s="39" t="n">
        <v>1.2</v>
      </c>
      <c r="F291" s="59">
        <f>E291*B291</f>
        <v/>
      </c>
    </row>
    <row r="292" outlineLevel="1" ht="15" customHeight="1" s="955">
      <c r="A292" s="14" t="inlineStr">
        <is>
          <t>O.FBR.BURD</t>
        </is>
      </c>
      <c r="B292" s="4" t="n"/>
      <c r="C292" s="24" t="n">
        <v>615</v>
      </c>
      <c r="D292" s="25" t="inlineStr">
        <is>
          <t>Remove Cable From Conduit</t>
        </is>
      </c>
      <c r="E292" s="39" t="n">
        <v>0.9</v>
      </c>
      <c r="F292" s="59">
        <f>E292*B292</f>
        <v/>
      </c>
    </row>
    <row r="293" outlineLevel="1" ht="15" customHeight="1" s="955">
      <c r="A293" s="14" t="inlineStr">
        <is>
          <t>O.FBR.BURD</t>
        </is>
      </c>
      <c r="B293" s="4" t="n"/>
      <c r="C293" s="24" t="n">
        <v>635</v>
      </c>
      <c r="D293" s="25" t="inlineStr">
        <is>
          <t>Place Ground Wire</t>
        </is>
      </c>
      <c r="E293" s="39" t="n">
        <v>1.8</v>
      </c>
      <c r="F293" s="59">
        <f>E293*B293</f>
        <v/>
      </c>
    </row>
    <row r="294" outlineLevel="1" ht="15" customHeight="1" s="955">
      <c r="A294" s="14" t="inlineStr">
        <is>
          <t>O.FBR.BURD</t>
        </is>
      </c>
      <c r="B294" s="4" t="n"/>
      <c r="C294" s="24" t="n">
        <v>636</v>
      </c>
      <c r="D294" s="25" t="inlineStr">
        <is>
          <t>Place Tracer Wire</t>
        </is>
      </c>
      <c r="E294" s="39" t="n">
        <v>0.45</v>
      </c>
      <c r="F294" s="59">
        <f>E294*B294</f>
        <v/>
      </c>
    </row>
    <row r="295" outlineLevel="1" ht="15" customHeight="1" s="955">
      <c r="A295" s="14" t="inlineStr">
        <is>
          <t>O.FBR.BURD</t>
        </is>
      </c>
      <c r="B295" s="4" t="n"/>
      <c r="C295" s="24" t="n">
        <v>645</v>
      </c>
      <c r="D295" s="25" t="inlineStr">
        <is>
          <t>*Rock Removal*                       CU FT</t>
        </is>
      </c>
      <c r="E295" s="39" t="n">
        <v>15</v>
      </c>
      <c r="F295" s="59">
        <f>E295*B295</f>
        <v/>
      </c>
    </row>
    <row r="296" outlineLevel="1" ht="15" customHeight="1" s="955">
      <c r="A296" s="14" t="inlineStr">
        <is>
          <t>O.FBR.BURD</t>
        </is>
      </c>
      <c r="B296" s="4" t="n"/>
      <c r="C296" s="24" t="n">
        <v>660</v>
      </c>
      <c r="D296" s="25" t="inlineStr">
        <is>
          <t>Place 21A Stone                  TON</t>
        </is>
      </c>
      <c r="E296" s="39" t="n">
        <v>45</v>
      </c>
      <c r="F296" s="59">
        <f>E296*B296</f>
        <v/>
      </c>
    </row>
    <row r="297" outlineLevel="1" ht="15" customHeight="1" s="955">
      <c r="A297" s="14" t="inlineStr">
        <is>
          <t>O.FBR.BURD</t>
        </is>
      </c>
      <c r="B297" s="4" t="n"/>
      <c r="C297" s="24" t="n">
        <v>665</v>
      </c>
      <c r="D297" s="25" t="inlineStr">
        <is>
          <t xml:space="preserve">Place Splice Box </t>
        </is>
      </c>
      <c r="E297" s="39" t="n">
        <v>125</v>
      </c>
      <c r="F297" s="59">
        <f>E297*B297</f>
        <v/>
      </c>
    </row>
    <row r="298" outlineLevel="1" ht="15" customHeight="1" s="955">
      <c r="A298" s="14" t="inlineStr">
        <is>
          <t>O.FBR.BURD</t>
        </is>
      </c>
      <c r="B298" s="4" t="n"/>
      <c r="C298" s="24" t="n">
        <v>675</v>
      </c>
      <c r="D298" s="25" t="inlineStr">
        <is>
          <t>Place Manhole (Pre-Cast Concrete)</t>
        </is>
      </c>
      <c r="E298" s="39" t="n">
        <v>1900</v>
      </c>
      <c r="F298" s="59">
        <f>E298*B298</f>
        <v/>
      </c>
    </row>
    <row r="299" outlineLevel="1" ht="15" customHeight="1" s="955">
      <c r="A299" s="14" t="inlineStr">
        <is>
          <t>O.FBR.BURD</t>
        </is>
      </c>
      <c r="B299" s="4" t="n"/>
      <c r="C299" s="28" t="n">
        <v>676</v>
      </c>
      <c r="D299" s="27" t="inlineStr">
        <is>
          <t>Build Manhole (Pour in Place)             BID</t>
        </is>
      </c>
      <c r="E299" s="39" t="inlineStr">
        <is>
          <t>BID</t>
        </is>
      </c>
      <c r="F299" s="59" t="n"/>
    </row>
    <row r="300" outlineLevel="1" ht="15" customHeight="1" s="955">
      <c r="A300" s="14" t="inlineStr">
        <is>
          <t>O.FBR.BURD</t>
        </is>
      </c>
      <c r="B300" s="107" t="n"/>
      <c r="C300" s="28" t="n">
        <v>680</v>
      </c>
      <c r="D300" s="27" t="inlineStr">
        <is>
          <t xml:space="preserve">Make Conduit Entrance in Manhole </t>
        </is>
      </c>
      <c r="E300" s="39" t="n">
        <v>320</v>
      </c>
      <c r="F300" s="59">
        <f>E300*B300</f>
        <v/>
      </c>
    </row>
    <row r="301" outlineLevel="1" ht="15" customHeight="1" s="955">
      <c r="A301" s="14" t="inlineStr">
        <is>
          <t>O.FBR.BURD</t>
        </is>
      </c>
      <c r="B301" s="107" t="n"/>
      <c r="C301" s="28" t="n">
        <v>710</v>
      </c>
      <c r="D301" s="27" t="inlineStr">
        <is>
          <t>Place Rigid 4" Cond. in/on Bldg.</t>
        </is>
      </c>
      <c r="E301" s="39" t="n">
        <v>14</v>
      </c>
      <c r="F301" s="59">
        <f>E301*B301</f>
        <v/>
      </c>
    </row>
    <row r="302" outlineLevel="1" ht="15" customHeight="1" s="955">
      <c r="A302" s="14" t="inlineStr">
        <is>
          <t>O.FBR.BURD</t>
        </is>
      </c>
      <c r="B302" s="107" t="n"/>
      <c r="C302" s="28" t="n">
        <v>715</v>
      </c>
      <c r="D302" s="27" t="inlineStr">
        <is>
          <t>Bldg. Entrance</t>
        </is>
      </c>
      <c r="E302" s="39" t="n">
        <v>315</v>
      </c>
      <c r="F302" s="59">
        <f>E302*B302</f>
        <v/>
      </c>
    </row>
    <row r="303" outlineLevel="1" ht="15" customHeight="1" s="955">
      <c r="A303" s="14" t="inlineStr">
        <is>
          <t>O.FBR.BURD</t>
        </is>
      </c>
      <c r="B303" s="107" t="n"/>
      <c r="C303" s="28" t="n">
        <v>730</v>
      </c>
      <c r="D303" s="27" t="inlineStr">
        <is>
          <t>Cut over buried drop</t>
        </is>
      </c>
      <c r="E303" s="39" t="n">
        <v>15</v>
      </c>
      <c r="F303" s="59">
        <f>E303*B303</f>
        <v/>
      </c>
    </row>
    <row r="304" outlineLevel="1" ht="15" customFormat="1" customHeight="1" s="157">
      <c r="A304" s="14" t="inlineStr">
        <is>
          <t>O.FBR.BURD</t>
        </is>
      </c>
      <c r="B304" s="4" t="n"/>
      <c r="C304" s="28" t="n">
        <v>735</v>
      </c>
      <c r="D304" s="27" t="inlineStr">
        <is>
          <t>Hand trench buried fiber or copper drop</t>
        </is>
      </c>
      <c r="E304" s="39" t="n">
        <v>5.51</v>
      </c>
      <c r="F304" s="59">
        <f>E304*B304</f>
        <v/>
      </c>
      <c r="H304" s="542" t="n"/>
      <c r="I304" s="562" t="n"/>
      <c r="J304" s="48" t="n"/>
      <c r="K304" s="48" t="n"/>
      <c r="L304" s="158"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s="955">
      <c r="A305" s="14" t="inlineStr">
        <is>
          <t>O.FBR.BURD</t>
        </is>
      </c>
      <c r="B305" s="4" t="n"/>
      <c r="C305" s="28" t="n">
        <v>740</v>
      </c>
      <c r="D305" s="27" t="inlineStr">
        <is>
          <t>Place nid ( buried drop )</t>
        </is>
      </c>
      <c r="E305" s="39" t="n">
        <v>35</v>
      </c>
      <c r="F305" s="59">
        <f>E305*B305</f>
        <v/>
      </c>
    </row>
    <row r="306" outlineLevel="1" ht="15" customHeight="1" s="955" thickBot="1">
      <c r="A306" s="14" t="inlineStr">
        <is>
          <t>O.FBR.BURD</t>
        </is>
      </c>
      <c r="B306" s="107" t="n"/>
      <c r="C306" s="28" t="n"/>
      <c r="D306" s="27" t="n"/>
      <c r="E306" s="29" t="n"/>
      <c r="F306" s="59" t="n"/>
    </row>
    <row r="307" outlineLevel="1" ht="15" customHeight="1" s="955" thickBot="1">
      <c r="A307" s="43" t="n"/>
      <c r="B307" s="130" t="n"/>
      <c r="C307" s="7" t="n"/>
      <c r="D307" s="281" t="inlineStr">
        <is>
          <t>TOTAL - PLACE BURIED FIBER</t>
        </is>
      </c>
      <c r="E307" s="44" t="n"/>
      <c r="F307" s="58">
        <f>SUM(F265:F305)</f>
        <v/>
      </c>
    </row>
    <row r="308" ht="15" customHeight="1" s="955" thickBot="1">
      <c r="A308" s="92" t="inlineStr">
        <is>
          <t>&lt;----Click the + to Expand or Collapse the "BURIED FIBER" Section</t>
        </is>
      </c>
      <c r="B308" s="185" t="n"/>
      <c r="C308" s="91" t="n"/>
      <c r="D308" s="137" t="n"/>
      <c r="E308" s="119" t="n"/>
      <c r="F308" s="95" t="n"/>
    </row>
    <row r="309" ht="15" customHeight="1" s="955" thickBot="1">
      <c r="A309" s="123" t="n"/>
      <c r="B309" s="185">
        <f>IF(SUM(F339)&gt;0,"-","")</f>
        <v/>
      </c>
      <c r="C309" s="124" t="n"/>
      <c r="D309" s="140" t="inlineStr">
        <is>
          <t>BURIED FIBER</t>
        </is>
      </c>
      <c r="E309" s="119" t="n"/>
      <c r="F309" s="95" t="n"/>
    </row>
    <row r="310" outlineLevel="1" ht="15" customHeight="1" s="955">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63">
        <f>E310*B310</f>
        <v/>
      </c>
    </row>
    <row r="311" outlineLevel="1" ht="15" customHeight="1" s="955">
      <c r="A311" s="8" t="n"/>
      <c r="B311" s="79">
        <f>'LABOR SPAN SHEET'!AE2+'LABOR SPAN SHEET'!AF2</f>
        <v/>
      </c>
      <c r="C311" s="199" t="n">
        <v>5</v>
      </c>
      <c r="D311" s="776" t="inlineStr">
        <is>
          <t>PLACE ADDITIONAL DUCTS (SAME OPERATION) PER DUCT</t>
        </is>
      </c>
      <c r="E311" s="274" t="n">
        <v>1.2</v>
      </c>
      <c r="F311" s="63">
        <f>E311*B311</f>
        <v/>
      </c>
    </row>
    <row r="312" outlineLevel="1" ht="15" customHeight="1" s="955">
      <c r="A312" s="8" t="n"/>
      <c r="B312" s="55" t="n"/>
      <c r="C312" s="40" t="n">
        <v>201</v>
      </c>
      <c r="D312" s="526" t="inlineStr">
        <is>
          <t>Open Cut in Asphalt / Concrete</t>
        </is>
      </c>
      <c r="E312" s="274" t="n">
        <v>52</v>
      </c>
      <c r="F312" s="63">
        <f>E312*B312</f>
        <v/>
      </c>
    </row>
    <row r="313" outlineLevel="1" ht="15" customHeight="1" s="955">
      <c r="A313" s="8" t="n"/>
      <c r="B313" s="55" t="n"/>
      <c r="C313" s="40" t="n">
        <v>202</v>
      </c>
      <c r="D313" s="41" t="inlineStr">
        <is>
          <t>Special Handling of Fiber</t>
        </is>
      </c>
      <c r="E313" s="274" t="n">
        <v>0.75</v>
      </c>
      <c r="F313" s="63">
        <f>E313*B313</f>
        <v/>
      </c>
    </row>
    <row r="314" outlineLevel="1" ht="15" customHeight="1" s="955">
      <c r="A314" s="8" t="n"/>
      <c r="B314" s="55" t="n"/>
      <c r="C314" s="40" t="n">
        <v>203</v>
      </c>
      <c r="D314" s="41" t="inlineStr">
        <is>
          <t>Open Trench or Plow</t>
        </is>
      </c>
      <c r="E314" s="274" t="n">
        <v>7.5</v>
      </c>
      <c r="F314" s="63">
        <f>E314*B314</f>
        <v/>
      </c>
    </row>
    <row r="315" outlineLevel="1" ht="15" customHeight="1" s="955">
      <c r="A315" s="8" t="n"/>
      <c r="B315" s="55" t="n"/>
      <c r="C315" s="527" t="n">
        <v>210</v>
      </c>
      <c r="D315" s="528" t="inlineStr">
        <is>
          <t>PULL FIBER IN EXISTING CONDUIT</t>
        </is>
      </c>
      <c r="E315" s="529" t="n">
        <v>1.2</v>
      </c>
      <c r="F315" s="530">
        <f>E315*B315</f>
        <v/>
      </c>
    </row>
    <row r="316" outlineLevel="1" ht="15" customHeight="1" s="955">
      <c r="A316" s="8" t="n"/>
      <c r="B316" s="55" t="n"/>
      <c r="C316" s="531" t="n">
        <v>220</v>
      </c>
      <c r="D316" s="528" t="inlineStr">
        <is>
          <t>PULL ADDITIONAL FIBER IN EXISTING CONDUIT</t>
        </is>
      </c>
      <c r="E316" s="529" t="n">
        <v>0.5</v>
      </c>
      <c r="F316" s="530">
        <f>E316*B316</f>
        <v/>
      </c>
    </row>
    <row r="317" outlineLevel="1" ht="15" customHeight="1" s="955">
      <c r="A317" s="8" t="n"/>
      <c r="B317" s="55" t="n"/>
      <c r="C317" s="40" t="n">
        <v>225</v>
      </c>
      <c r="D317" s="41" t="inlineStr">
        <is>
          <t>Chunk / Semi Rock Adder must be pre-approved  (only for required footage)</t>
        </is>
      </c>
      <c r="E317" s="274" t="n">
        <v>35</v>
      </c>
      <c r="F317" s="63">
        <f>E317*B317</f>
        <v/>
      </c>
    </row>
    <row r="318" outlineLevel="1" ht="15" customHeight="1" s="955">
      <c r="A318" s="8" t="n"/>
      <c r="B318" s="55" t="n"/>
      <c r="C318" s="40" t="n">
        <v>226</v>
      </c>
      <c r="D318" s="41" t="inlineStr">
        <is>
          <t>Hard / Solid Rock Adder must be pre-approved  (requires use of hammer or rock bit)</t>
        </is>
      </c>
      <c r="E318" s="274" t="n">
        <v>50</v>
      </c>
      <c r="F318" s="63">
        <f>E318*B318</f>
        <v/>
      </c>
    </row>
    <row r="319" outlineLevel="1" ht="15" customHeight="1" s="955">
      <c r="A319" s="8" t="n"/>
      <c r="B319" s="79" t="n"/>
      <c r="C319" s="531" t="n">
        <v>153</v>
      </c>
      <c r="D319" s="528" t="inlineStr">
        <is>
          <t>PLACE ADDITIONAL MULTIPORTS IN DUCT (AFTER FIRST CABLE)</t>
        </is>
      </c>
      <c r="E319" s="529" t="n">
        <v>0.29</v>
      </c>
      <c r="F319" s="530">
        <f>E319*B319</f>
        <v/>
      </c>
    </row>
    <row r="320" outlineLevel="1" ht="15" customHeight="1" s="955">
      <c r="A320" s="8" t="n"/>
      <c r="B320" s="55" t="n"/>
      <c r="C320" s="531" t="n">
        <v>1</v>
      </c>
      <c r="D320" s="528" t="inlineStr">
        <is>
          <t>Place Hand Hole when not in conjuction with unit 200 (Urban)</t>
        </is>
      </c>
      <c r="E320" s="529" t="n">
        <v>550</v>
      </c>
      <c r="F320" s="530">
        <f>E320*B320</f>
        <v/>
      </c>
    </row>
    <row r="321" outlineLevel="1" ht="15" customHeight="1" s="955">
      <c r="A321" s="8" t="n"/>
      <c r="B321" s="55" t="n"/>
      <c r="C321" s="531" t="n">
        <v>2</v>
      </c>
      <c r="D321" s="528" t="inlineStr">
        <is>
          <t>Place Hand Hole when not in conjuction with unit 200 (Rural)</t>
        </is>
      </c>
      <c r="E321" s="529" t="n">
        <v>550</v>
      </c>
      <c r="F321" s="530">
        <f>E321*B321</f>
        <v/>
      </c>
    </row>
    <row r="322" outlineLevel="1" ht="15" customHeight="1" s="955">
      <c r="A322" s="8" t="n"/>
      <c r="B322" s="55" t="n"/>
      <c r="C322" s="531" t="n">
        <v>3</v>
      </c>
      <c r="D322" s="528" t="inlineStr">
        <is>
          <t>Place 1 Inner-Duct in Existing Conduit</t>
        </is>
      </c>
      <c r="E322" s="529" t="n">
        <v>1.09</v>
      </c>
      <c r="F322" s="530">
        <f>E322*B322</f>
        <v/>
      </c>
    </row>
    <row r="323" outlineLevel="1" ht="15" customHeight="1" s="955">
      <c r="A323" s="8" t="n"/>
      <c r="B323" s="55" t="n"/>
      <c r="C323" s="531" t="n">
        <v>4</v>
      </c>
      <c r="D323" s="528" t="inlineStr">
        <is>
          <t>PLACE 2 INNER-DUCTS IN EXISTING CONDUIT</t>
        </is>
      </c>
      <c r="E323" s="529" t="n">
        <v>1.66</v>
      </c>
      <c r="F323" s="530">
        <f>E323*B323</f>
        <v/>
      </c>
    </row>
    <row r="324" outlineLevel="1" ht="15" customHeight="1" s="955">
      <c r="A324" s="8" t="n"/>
      <c r="B324" s="55" t="n"/>
      <c r="C324" s="531" t="n">
        <v>5</v>
      </c>
      <c r="D324" s="528" t="inlineStr">
        <is>
          <t>PLACE ADDITIONAL INNER-DUCTS ( SAME OPEARATION ) up to 2 ducts.</t>
        </is>
      </c>
      <c r="E324" s="529" t="n">
        <v>2.32</v>
      </c>
      <c r="F324" s="530">
        <f>E324*B324</f>
        <v/>
      </c>
    </row>
    <row r="325" outlineLevel="1" ht="15" customHeight="1" s="955">
      <c r="A325" s="8" t="n"/>
      <c r="B325" s="55" t="n"/>
      <c r="C325" s="531" t="n">
        <v>6</v>
      </c>
      <c r="D325" s="528" t="inlineStr">
        <is>
          <t>Concrete Encase conduit  (Per ft)</t>
        </is>
      </c>
      <c r="E325" s="529" t="n">
        <v>16</v>
      </c>
      <c r="F325" s="530">
        <f>E325*B325</f>
        <v/>
      </c>
    </row>
    <row r="326" outlineLevel="1" ht="15" customHeight="1" s="955">
      <c r="A326" s="8" t="n"/>
      <c r="B326" s="55" t="n"/>
      <c r="C326" s="531" t="n">
        <v>7</v>
      </c>
      <c r="D326" s="528" t="inlineStr">
        <is>
          <t>ROD &amp; CLEAN CONDUIT (TRUCK)</t>
        </is>
      </c>
      <c r="E326" s="529" t="n">
        <v>2.25</v>
      </c>
      <c r="F326" s="530">
        <f>E326*B326</f>
        <v/>
      </c>
    </row>
    <row r="327" outlineLevel="1" ht="15" customHeight="1" s="955">
      <c r="A327" s="8" t="n"/>
      <c r="B327" s="55" t="n"/>
      <c r="C327" s="531" t="n">
        <v>8</v>
      </c>
      <c r="D327" s="528" t="inlineStr">
        <is>
          <t>ROD &amp; CLEAN CONDUIT (MANUAL)</t>
        </is>
      </c>
      <c r="E327" s="529" t="n">
        <v>0.95</v>
      </c>
      <c r="F327" s="530">
        <f>E327*B327</f>
        <v/>
      </c>
    </row>
    <row r="328" outlineLevel="1" ht="15" customHeight="1" s="955">
      <c r="A328" s="8" t="n"/>
      <c r="B328" s="55" t="n"/>
      <c r="C328" s="531" t="n">
        <v>9</v>
      </c>
      <c r="D328" s="528" t="inlineStr">
        <is>
          <t>REMOVE UNDERGROUND CABLE from Conduit</t>
        </is>
      </c>
      <c r="E328" s="529" t="n">
        <v>0.95</v>
      </c>
      <c r="F328" s="530">
        <f>E328*B328</f>
        <v/>
      </c>
    </row>
    <row r="329" outlineLevel="1" ht="15" customHeight="1" s="955">
      <c r="A329" s="8" t="n"/>
      <c r="B329" s="55" t="n"/>
      <c r="C329" s="531" t="n">
        <v>11</v>
      </c>
      <c r="D329" s="528" t="inlineStr">
        <is>
          <t>Building Entrance</t>
        </is>
      </c>
      <c r="E329" s="529" t="n">
        <v>425</v>
      </c>
      <c r="F329" s="530">
        <f>E329*B329</f>
        <v/>
      </c>
    </row>
    <row r="330" outlineLevel="1" ht="15" customHeight="1" s="955">
      <c r="A330" s="8" t="n"/>
      <c r="B330" s="55" t="n"/>
      <c r="C330" s="531" t="n">
        <v>153</v>
      </c>
      <c r="D330" s="528" t="inlineStr">
        <is>
          <t>PLACE ADDITIONAL MULTIPORTS IN DUCT (AFTER FIRST CABLE)</t>
        </is>
      </c>
      <c r="E330" s="529" t="n">
        <v>0.29</v>
      </c>
      <c r="F330" s="530">
        <f>E330*B330</f>
        <v/>
      </c>
    </row>
    <row r="331" outlineLevel="1" ht="15" customHeight="1" s="955">
      <c r="A331" s="8" t="n"/>
      <c r="B331" s="55" t="n"/>
      <c r="C331" s="34" t="n">
        <v>149</v>
      </c>
      <c r="D331" s="523" t="inlineStr">
        <is>
          <t>Place Pedestal (Any Size)</t>
        </is>
      </c>
      <c r="E331" s="274" t="n">
        <v>100</v>
      </c>
      <c r="F331" s="63">
        <f>E331*B331</f>
        <v/>
      </c>
    </row>
    <row r="332" outlineLevel="1" ht="15" customHeight="1" s="955">
      <c r="A332" s="8" t="n"/>
      <c r="B332" s="55" t="n"/>
      <c r="C332" s="34" t="n">
        <v>412</v>
      </c>
      <c r="D332" s="42" t="inlineStr">
        <is>
          <t>PLACE 21A STONE  (Per Ton)</t>
        </is>
      </c>
      <c r="E332" s="274" t="n">
        <v>22.54</v>
      </c>
      <c r="F332" s="63">
        <f>E332*B332</f>
        <v/>
      </c>
    </row>
    <row r="333" outlineLevel="1" ht="15" customHeight="1" s="955">
      <c r="A333" s="8" t="n"/>
      <c r="B333" s="55" t="n"/>
      <c r="C333" s="532" t="n">
        <v>152</v>
      </c>
      <c r="D333" s="533" t="inlineStr">
        <is>
          <t>Place LCP OR MDU BOX  Pole or Ground</t>
        </is>
      </c>
      <c r="E333" s="529" t="n">
        <v>202</v>
      </c>
      <c r="F333" s="530">
        <f>E333*B333</f>
        <v/>
      </c>
    </row>
    <row r="334" outlineLevel="1" ht="15" customHeight="1" s="955">
      <c r="A334" s="8" t="n"/>
      <c r="B334" s="55" t="n"/>
      <c r="C334" s="30" t="n">
        <v>998</v>
      </c>
      <c r="D334" s="35" t="inlineStr">
        <is>
          <t>LABEL NEW PED</t>
        </is>
      </c>
      <c r="E334" s="274" t="n">
        <v>7</v>
      </c>
      <c r="F334" s="63">
        <f>E334*B334</f>
        <v/>
      </c>
    </row>
    <row r="335" outlineLevel="1" ht="15" customHeight="1" s="955">
      <c r="A335" s="8" t="n"/>
      <c r="B335" s="55" t="n"/>
      <c r="C335" s="36" t="n">
        <v>154</v>
      </c>
      <c r="D335" s="35" t="inlineStr">
        <is>
          <t>Place HH (12" x 17" Flower Pot) when not in conjuction with unit 200</t>
        </is>
      </c>
      <c r="E335" s="274" t="n">
        <v>55</v>
      </c>
      <c r="F335" s="63">
        <f>E335*B335</f>
        <v/>
      </c>
    </row>
    <row r="336" outlineLevel="1" ht="15" customHeight="1" s="955">
      <c r="A336" s="8" t="n"/>
      <c r="B336" s="55" t="n"/>
      <c r="C336" s="36" t="n"/>
      <c r="D336" s="35" t="inlineStr">
        <is>
          <t>MISC</t>
        </is>
      </c>
      <c r="E336" s="215" t="n"/>
      <c r="F336" s="63" t="n"/>
    </row>
    <row r="337" outlineLevel="1" ht="15" customHeight="1" s="955">
      <c r="A337" s="8" t="n"/>
      <c r="B337" s="55" t="n"/>
      <c r="C337" s="36" t="n"/>
      <c r="D337" s="35" t="inlineStr">
        <is>
          <t>MISC</t>
        </is>
      </c>
      <c r="E337" s="215" t="n"/>
      <c r="F337" s="63" t="n"/>
    </row>
    <row r="338" outlineLevel="1" ht="15" customHeight="1" s="955" thickBot="1">
      <c r="A338" s="8" t="n"/>
      <c r="B338" s="55" t="n"/>
      <c r="C338" s="36" t="n"/>
      <c r="D338" s="35" t="inlineStr">
        <is>
          <t>MISC</t>
        </is>
      </c>
      <c r="E338" s="37" t="n"/>
      <c r="F338" s="63" t="n"/>
    </row>
    <row r="339" outlineLevel="1" ht="15" customHeight="1" s="955" thickBot="1">
      <c r="A339" s="210" t="n"/>
      <c r="B339" s="211" t="n"/>
      <c r="C339" s="212" t="n"/>
      <c r="D339" s="134" t="inlineStr">
        <is>
          <t>TOTAL - PLACE BURIED FIBER</t>
        </is>
      </c>
      <c r="E339" s="135" t="n"/>
      <c r="F339" s="62">
        <f>SUM(F310:F338)</f>
        <v/>
      </c>
    </row>
    <row r="340" ht="15" customHeight="1" s="955" thickBot="1">
      <c r="A340" s="582" t="inlineStr">
        <is>
          <t>&lt;----Click the + to Expand or Collapse the "BURIED FIBER" Section</t>
        </is>
      </c>
      <c r="B340" s="583" t="n"/>
      <c r="C340" s="584" t="n"/>
      <c r="D340" s="585" t="n"/>
      <c r="E340" s="586" t="n"/>
      <c r="F340" s="587" t="n"/>
    </row>
    <row r="341" ht="15" customHeight="1" s="955" thickBot="1">
      <c r="A341" s="93" t="n"/>
      <c r="B341" s="97">
        <f>IF(SUM(F386)&gt;0,"-","")</f>
        <v/>
      </c>
      <c r="C341" s="1088" t="n"/>
      <c r="D341" s="136" t="inlineStr">
        <is>
          <t>AERIAL SPLCING UNITS</t>
        </is>
      </c>
      <c r="E341" s="118" t="n"/>
      <c r="F341" s="102" t="n"/>
    </row>
    <row r="342" hidden="1" outlineLevel="1" ht="15" customHeight="1" s="955">
      <c r="A342" s="3" t="inlineStr">
        <is>
          <t>O.FBR.AERL</t>
        </is>
      </c>
      <c r="B342" s="54" t="n"/>
      <c r="C342" s="85" t="n">
        <v>100</v>
      </c>
      <c r="D342" s="86" t="inlineStr">
        <is>
          <t>In Room Set-up @ Panel 1-48 Fibers</t>
        </is>
      </c>
      <c r="E342" s="87" t="n">
        <v>250</v>
      </c>
      <c r="F342" s="64">
        <f>E342*B342</f>
        <v/>
      </c>
    </row>
    <row r="343" hidden="1" outlineLevel="1" ht="15" customHeight="1" s="955">
      <c r="A343" s="14" t="inlineStr">
        <is>
          <t>O.FBR.AERL</t>
        </is>
      </c>
      <c r="B343" s="4" t="n"/>
      <c r="C343" s="5" t="n">
        <v>101</v>
      </c>
      <c r="D343" s="46" t="inlineStr">
        <is>
          <t>In Room Set-up @ Panel 49 - ≥ Fibers</t>
        </is>
      </c>
      <c r="E343" s="16" t="n">
        <v>300</v>
      </c>
      <c r="F343" s="59">
        <f>E343*B343</f>
        <v/>
      </c>
    </row>
    <row r="344" hidden="1" outlineLevel="1" ht="15" customHeight="1" s="955">
      <c r="A344" s="14" t="inlineStr">
        <is>
          <t>O.FBR.AERL</t>
        </is>
      </c>
      <c r="B344" s="4" t="n"/>
      <c r="C344" s="5" t="n">
        <v>102</v>
      </c>
      <c r="D344" s="46" t="inlineStr">
        <is>
          <t>Mount/Label FDP with Coupling Panels (Rack/Wall/WIC)</t>
        </is>
      </c>
      <c r="E344" s="16" t="n">
        <v>200</v>
      </c>
      <c r="F344" s="59">
        <f>E344*B344</f>
        <v/>
      </c>
    </row>
    <row r="345" hidden="1" outlineLevel="1" ht="15" customHeight="1" s="955">
      <c r="A345" s="14" t="inlineStr">
        <is>
          <t>O.FBR.AERL</t>
        </is>
      </c>
      <c r="B345" s="4" t="n"/>
      <c r="C345" s="5" t="n">
        <v>103</v>
      </c>
      <c r="D345" s="46" t="inlineStr">
        <is>
          <t>Install Grounding Closure</t>
        </is>
      </c>
      <c r="E345" s="16" t="n">
        <v>125</v>
      </c>
      <c r="F345" s="59">
        <f>E345*B345</f>
        <v/>
      </c>
    </row>
    <row r="346" hidden="1" outlineLevel="1" ht="15" customHeight="1" s="955">
      <c r="A346" s="14" t="inlineStr">
        <is>
          <t>O.FBR.AERL</t>
        </is>
      </c>
      <c r="B346" s="4" t="n"/>
      <c r="C346" s="5" t="n">
        <v>104</v>
      </c>
      <c r="D346" s="46" t="inlineStr">
        <is>
          <t>Install Fan Out Kit (6 Fiber)</t>
        </is>
      </c>
      <c r="E346" s="16" t="n">
        <v>35</v>
      </c>
      <c r="F346" s="59">
        <f>E346*B346</f>
        <v/>
      </c>
    </row>
    <row r="347" hidden="1" outlineLevel="1" ht="15" customHeight="1" s="955">
      <c r="A347" s="14" t="inlineStr">
        <is>
          <t>O.FBR.AERL</t>
        </is>
      </c>
      <c r="B347" s="4" t="n"/>
      <c r="C347" s="5" t="n">
        <v>105</v>
      </c>
      <c r="D347" s="46" t="inlineStr">
        <is>
          <t>Install Fan Out Kit (12 Fiber)</t>
        </is>
      </c>
      <c r="E347" s="16" t="n">
        <v>45</v>
      </c>
      <c r="F347" s="59">
        <f>E347*B347</f>
        <v/>
      </c>
    </row>
    <row r="348" hidden="1" outlineLevel="1" ht="15" customHeight="1" s="955">
      <c r="A348" s="14" t="inlineStr">
        <is>
          <t>O.FBR.AERL</t>
        </is>
      </c>
      <c r="B348" s="4" t="n"/>
      <c r="C348" s="5" t="n">
        <v>106</v>
      </c>
      <c r="D348" s="46" t="inlineStr">
        <is>
          <t>Install Unicam Connector (900um Cabling)</t>
        </is>
      </c>
      <c r="E348" s="16" t="n">
        <v>15</v>
      </c>
      <c r="F348" s="59">
        <f>E348*B348</f>
        <v/>
      </c>
    </row>
    <row r="349" hidden="1" outlineLevel="1" ht="15" customHeight="1" s="955">
      <c r="A349" s="14" t="inlineStr">
        <is>
          <t>O.FBR.AERL</t>
        </is>
      </c>
      <c r="B349" s="4" t="n"/>
      <c r="C349" s="5" t="n">
        <v>107</v>
      </c>
      <c r="D349" s="46" t="inlineStr">
        <is>
          <t>Install Unicam Connector (2mm - 3mm Cabling)</t>
        </is>
      </c>
      <c r="E349" s="16" t="n">
        <v>20</v>
      </c>
      <c r="F349" s="59">
        <f>E349*B349</f>
        <v/>
      </c>
    </row>
    <row r="350" hidden="1" outlineLevel="1" ht="15" customHeight="1" s="955">
      <c r="A350" s="14" t="inlineStr">
        <is>
          <t>O.FBR.AERL</t>
        </is>
      </c>
      <c r="B350" s="4" t="n"/>
      <c r="C350" s="5" t="n">
        <v>108</v>
      </c>
      <c r="D350" s="46" t="inlineStr">
        <is>
          <t>Hard Splice Termination</t>
        </is>
      </c>
      <c r="E350" s="16" t="n">
        <v>30</v>
      </c>
      <c r="F350" s="59">
        <f>E350*B350</f>
        <v/>
      </c>
    </row>
    <row r="351" hidden="1" outlineLevel="1" ht="15" customHeight="1" s="955">
      <c r="A351" s="14" t="inlineStr">
        <is>
          <t>O.FBR.AERL</t>
        </is>
      </c>
      <c r="B351" s="4" t="n"/>
      <c r="C351" s="5" t="n">
        <v>111</v>
      </c>
      <c r="D351" s="46" t="inlineStr">
        <is>
          <t>Install Closure - One (1) Cable</t>
        </is>
      </c>
      <c r="E351" s="16" t="n">
        <v>125</v>
      </c>
      <c r="F351" s="59">
        <f>E351*B351</f>
        <v/>
      </c>
    </row>
    <row r="352" hidden="1" outlineLevel="1" ht="15" customHeight="1" s="955">
      <c r="A352" s="14" t="inlineStr">
        <is>
          <t>O.FBR.AERL</t>
        </is>
      </c>
      <c r="B352" s="4" t="n"/>
      <c r="C352" s="5" t="n">
        <v>112</v>
      </c>
      <c r="D352" s="46" t="inlineStr">
        <is>
          <t>Install Closure  - Two (2) Cables</t>
        </is>
      </c>
      <c r="E352" s="16" t="n">
        <v>150</v>
      </c>
      <c r="F352" s="59">
        <f>E352*B352</f>
        <v/>
      </c>
    </row>
    <row r="353" hidden="1" outlineLevel="1" ht="15" customHeight="1" s="955">
      <c r="A353" s="14" t="inlineStr">
        <is>
          <t>O.FBR.AERL</t>
        </is>
      </c>
      <c r="B353" s="4" t="n"/>
      <c r="C353" s="5" t="n">
        <v>113</v>
      </c>
      <c r="D353" s="46" t="inlineStr">
        <is>
          <t>Cut In Loop/Ring Cut (Closure Install Included)</t>
        </is>
      </c>
      <c r="E353" s="16" t="n">
        <v>200</v>
      </c>
      <c r="F353" s="59">
        <f>E353*B353</f>
        <v/>
      </c>
    </row>
    <row r="354" hidden="1" outlineLevel="1" ht="15" customHeight="1" s="955">
      <c r="A354" s="14" t="inlineStr">
        <is>
          <t>O.FBR.AERL</t>
        </is>
      </c>
      <c r="B354" s="4" t="n"/>
      <c r="C354" s="5" t="n">
        <v>114</v>
      </c>
      <c r="D354" s="46" t="inlineStr">
        <is>
          <t>Add/Prep One (1) Additional Cable to Closure</t>
        </is>
      </c>
      <c r="E354" s="16" t="n">
        <v>100</v>
      </c>
      <c r="F354" s="59">
        <f>E354*B354</f>
        <v/>
      </c>
    </row>
    <row r="355" hidden="1" outlineLevel="1" ht="15" customHeight="1" s="955">
      <c r="A355" s="14" t="inlineStr">
        <is>
          <t>O.FBR.AERL</t>
        </is>
      </c>
      <c r="B355" s="4" t="n"/>
      <c r="C355" s="5" t="n">
        <v>115</v>
      </c>
      <c r="D355" s="46" t="inlineStr">
        <is>
          <t>Remove One (1) Cable from Closure</t>
        </is>
      </c>
      <c r="E355" s="16" t="n">
        <v>75</v>
      </c>
      <c r="F355" s="59">
        <f>E355*B355</f>
        <v/>
      </c>
    </row>
    <row r="356" hidden="1" outlineLevel="1" ht="15" customHeight="1" s="955">
      <c r="A356" s="14" t="inlineStr">
        <is>
          <t>O.FBR.AERL</t>
        </is>
      </c>
      <c r="B356" s="4" t="n"/>
      <c r="C356" s="5" t="n">
        <v>116</v>
      </c>
      <c r="D356" s="46" t="inlineStr">
        <is>
          <t>Install One (1) Multiport to Closure</t>
        </is>
      </c>
      <c r="E356" s="16" t="n">
        <v>75</v>
      </c>
      <c r="F356" s="59">
        <f>E356*B356</f>
        <v/>
      </c>
    </row>
    <row r="357" hidden="1" outlineLevel="1" ht="15" customHeight="1" s="955">
      <c r="A357" s="14" t="inlineStr">
        <is>
          <t>O.FBR.AERL</t>
        </is>
      </c>
      <c r="B357" s="4" t="n"/>
      <c r="C357" s="5" t="n">
        <v>117</v>
      </c>
      <c r="D357" s="46" t="inlineStr">
        <is>
          <t>Remove One (1) Multiport from Closure</t>
        </is>
      </c>
      <c r="E357" s="16" t="n">
        <v>75</v>
      </c>
      <c r="F357" s="59">
        <f>E357*B357</f>
        <v/>
      </c>
    </row>
    <row r="358" hidden="1" outlineLevel="1" ht="15" customHeight="1" s="955">
      <c r="A358" s="14" t="inlineStr">
        <is>
          <t>O.FBR.AERL</t>
        </is>
      </c>
      <c r="B358" s="4" t="n"/>
      <c r="C358" s="5" t="n">
        <v>118</v>
      </c>
      <c r="D358" s="46" t="inlineStr">
        <is>
          <t>Change Out Existing Closure (Non-Preform)</t>
        </is>
      </c>
      <c r="E358" s="16" t="n">
        <v>900</v>
      </c>
      <c r="F358" s="59">
        <f>E358*B358</f>
        <v/>
      </c>
    </row>
    <row r="359" hidden="1" outlineLevel="1" ht="15" customHeight="1" s="955">
      <c r="A359" s="14" t="inlineStr">
        <is>
          <t>O.FBR.AERL</t>
        </is>
      </c>
      <c r="B359" s="4" t="n"/>
      <c r="C359" s="5" t="n">
        <v>119</v>
      </c>
      <c r="D359" s="46" t="inlineStr">
        <is>
          <t>Change Out Existing Closure (Preform: End Plate Setup Included)</t>
        </is>
      </c>
      <c r="E359" s="16" t="n">
        <v>600</v>
      </c>
      <c r="F359" s="59">
        <f>E359*B359</f>
        <v/>
      </c>
    </row>
    <row r="360" hidden="1" outlineLevel="1" ht="15" customHeight="1" s="955">
      <c r="A360" s="14" t="inlineStr">
        <is>
          <t>O.FBR.AERL</t>
        </is>
      </c>
      <c r="B360" s="4" t="n"/>
      <c r="C360" s="5" t="n">
        <v>120</v>
      </c>
      <c r="D360" s="46" t="inlineStr">
        <is>
          <t>Replace/Re-Cut End Plate for Existing Preform Closure</t>
        </is>
      </c>
      <c r="E360" s="16" t="n">
        <v>250</v>
      </c>
      <c r="F360" s="59">
        <f>E360*B360</f>
        <v/>
      </c>
    </row>
    <row r="361" hidden="1" outlineLevel="1" ht="15" customHeight="1" s="955">
      <c r="A361" s="14" t="inlineStr">
        <is>
          <t>O.FBR.AERL</t>
        </is>
      </c>
      <c r="B361" s="4" t="n"/>
      <c r="C361" s="5" t="n">
        <v>121</v>
      </c>
      <c r="D361" s="46" t="inlineStr">
        <is>
          <t>Minimum Trip Charge (one per job; adder when units are below this amount)</t>
        </is>
      </c>
      <c r="E361" s="16" t="n">
        <v>250</v>
      </c>
      <c r="F361" s="59">
        <f>E361*B361</f>
        <v/>
      </c>
    </row>
    <row r="362" hidden="1" outlineLevel="1" ht="15" customHeight="1" s="955">
      <c r="A362" s="14" t="inlineStr">
        <is>
          <t>O.FBR.AERL</t>
        </is>
      </c>
      <c r="B362" s="4" t="n"/>
      <c r="C362" s="5" t="n">
        <v>122</v>
      </c>
      <c r="D362" s="46" t="inlineStr">
        <is>
          <t>Fusion Splice (Testing Included): 1 - 36 Fibers</t>
        </is>
      </c>
      <c r="E362" s="16" t="n">
        <v>32</v>
      </c>
      <c r="F362" s="59">
        <f>E362*B362</f>
        <v/>
      </c>
    </row>
    <row r="363" hidden="1" outlineLevel="1" ht="15" customHeight="1" s="955">
      <c r="A363" s="14" t="inlineStr">
        <is>
          <t>O.FBR.AERL</t>
        </is>
      </c>
      <c r="B363" s="4" t="n"/>
      <c r="C363" s="5" t="n">
        <v>123</v>
      </c>
      <c r="D363" s="46" t="inlineStr">
        <is>
          <t>Fusion Splice (Testing Included): 37 - 96 Fibers</t>
        </is>
      </c>
      <c r="E363" s="16" t="n">
        <v>30</v>
      </c>
      <c r="F363" s="59">
        <f>E363*B363</f>
        <v/>
      </c>
    </row>
    <row r="364" hidden="1" outlineLevel="1" ht="15" customHeight="1" s="955">
      <c r="A364" s="14" t="inlineStr">
        <is>
          <t>O.FBR.AERL</t>
        </is>
      </c>
      <c r="B364" s="4" t="n"/>
      <c r="C364" s="5" t="n">
        <v>124</v>
      </c>
      <c r="D364" s="46" t="inlineStr">
        <is>
          <t>Fusion Splice (Testing Included): 97 - ≥ Fibers</t>
        </is>
      </c>
      <c r="E364" s="16" t="n">
        <v>28</v>
      </c>
      <c r="F364" s="59">
        <f>E364*B364</f>
        <v/>
      </c>
    </row>
    <row r="365" hidden="1" outlineLevel="1" ht="15" customHeight="1" s="955">
      <c r="A365" s="14" t="inlineStr">
        <is>
          <t>O.FBR.AERL</t>
        </is>
      </c>
      <c r="B365" s="4" t="n"/>
      <c r="C365" s="5" t="n">
        <v>127</v>
      </c>
      <c r="D365" s="46" t="inlineStr">
        <is>
          <t>FTTP Fusion Splice (Testing Included)</t>
        </is>
      </c>
      <c r="E365" s="16" t="n">
        <v>30</v>
      </c>
      <c r="F365" s="59">
        <f>E365*B365</f>
        <v/>
      </c>
    </row>
    <row r="366" hidden="1" outlineLevel="1" ht="15" customHeight="1" s="955">
      <c r="A366" s="14" t="inlineStr">
        <is>
          <t>O.FBR.AERL</t>
        </is>
      </c>
      <c r="B366" s="4" t="n"/>
      <c r="C366" s="5" t="n">
        <v>128</v>
      </c>
      <c r="D366" s="46" t="inlineStr">
        <is>
          <t>Install Mechanical Splice</t>
        </is>
      </c>
      <c r="E366" s="16" t="n">
        <v>35</v>
      </c>
      <c r="F366" s="59">
        <f>E366*B366</f>
        <v/>
      </c>
    </row>
    <row r="367" hidden="1" outlineLevel="1" ht="15" customHeight="1" s="955">
      <c r="A367" s="14" t="inlineStr">
        <is>
          <t>O.FBR.AERL</t>
        </is>
      </c>
      <c r="B367" s="4" t="n"/>
      <c r="C367" s="5" t="n">
        <v>129</v>
      </c>
      <c r="D367" s="46" t="inlineStr">
        <is>
          <t>Lower Aerial Cable/Closure/Loop from Strand (Bucket Truck)</t>
        </is>
      </c>
      <c r="E367" s="16" t="n">
        <v>75</v>
      </c>
      <c r="F367" s="59">
        <f>E367*B367</f>
        <v/>
      </c>
    </row>
    <row r="368" hidden="1" outlineLevel="1" ht="15" customHeight="1" s="955">
      <c r="A368" s="14" t="inlineStr">
        <is>
          <t>O.FBR.AERL</t>
        </is>
      </c>
      <c r="B368" s="4" t="n"/>
      <c r="C368" s="5" t="n">
        <v>130</v>
      </c>
      <c r="D368" s="46" t="inlineStr">
        <is>
          <t>Raise Aerial Cable/Closure/Loop on Strand (Bucket Truck)</t>
        </is>
      </c>
      <c r="E368" s="16" t="n">
        <v>75</v>
      </c>
      <c r="F368" s="59">
        <f>E368*B368</f>
        <v/>
      </c>
    </row>
    <row r="369" hidden="1" outlineLevel="1" ht="15" customHeight="1" s="955">
      <c r="A369" s="14" t="inlineStr">
        <is>
          <t>O.FBR.AERL</t>
        </is>
      </c>
      <c r="B369" s="4" t="n"/>
      <c r="C369" s="5" t="n">
        <v>131</v>
      </c>
      <c r="D369" s="46" t="inlineStr">
        <is>
          <t>OTDR: Per Trace (Hard-Copy Printout on Request)</t>
        </is>
      </c>
      <c r="E369" s="16" t="n">
        <v>6</v>
      </c>
      <c r="F369" s="59">
        <f>E369*B369</f>
        <v/>
      </c>
    </row>
    <row r="370" hidden="1" outlineLevel="1" ht="15" customHeight="1" s="955">
      <c r="A370" s="14" t="inlineStr">
        <is>
          <t>O.FBR.AERL</t>
        </is>
      </c>
      <c r="B370" s="4" t="n"/>
      <c r="C370" s="5" t="n">
        <v>132</v>
      </c>
      <c r="D370" s="46" t="inlineStr">
        <is>
          <t>OTDR: Non-Fusion Event  (Hard-Copy Printout on Request)</t>
        </is>
      </c>
      <c r="E370" s="16" t="n">
        <v>6</v>
      </c>
      <c r="F370" s="59">
        <f>E370*B370</f>
        <v/>
      </c>
    </row>
    <row r="371" hidden="1" outlineLevel="1" ht="15" customHeight="1" s="955">
      <c r="A371" s="14" t="inlineStr">
        <is>
          <t>O.FBR.AERL</t>
        </is>
      </c>
      <c r="B371" s="4" t="n"/>
      <c r="C371" s="5" t="n">
        <v>133</v>
      </c>
      <c r="D371" s="46" t="inlineStr">
        <is>
          <t>Test Reel Cable - Per Fiber (Hardcopy Printout upon Request)</t>
        </is>
      </c>
      <c r="E371" s="16" t="n">
        <v>8</v>
      </c>
      <c r="F371" s="59">
        <f>E371*B371</f>
        <v/>
      </c>
    </row>
    <row r="372" hidden="1" outlineLevel="1" ht="15" customHeight="1" s="955">
      <c r="A372" s="14" t="inlineStr">
        <is>
          <t>O.FBR.AERL</t>
        </is>
      </c>
      <c r="B372" s="4" t="n"/>
      <c r="C372" s="5" t="n">
        <v>134</v>
      </c>
      <c r="D372" s="46" t="inlineStr">
        <is>
          <t>Return Trip Fee - CLEC (Per Incidence)</t>
        </is>
      </c>
      <c r="E372" s="16" t="n">
        <v>250</v>
      </c>
      <c r="F372" s="59">
        <f>E372*B372</f>
        <v/>
      </c>
    </row>
    <row r="373" hidden="1" outlineLevel="1" ht="15" customHeight="1" s="955">
      <c r="A373" s="14" t="inlineStr">
        <is>
          <t>O.FBR.AERL</t>
        </is>
      </c>
      <c r="B373" s="4" t="n"/>
      <c r="C373" s="5" t="n">
        <v>135</v>
      </c>
      <c r="D373" s="46" t="inlineStr">
        <is>
          <t>Return Trip Fee - FTTP (Per Incidence)</t>
        </is>
      </c>
      <c r="E373" s="16" t="n">
        <v>250</v>
      </c>
      <c r="F373" s="59">
        <f>E373*B373</f>
        <v/>
      </c>
    </row>
    <row r="374" hidden="1" outlineLevel="1" ht="15" customHeight="1" s="955">
      <c r="A374" s="14" t="inlineStr">
        <is>
          <t>O.FBR.AERL</t>
        </is>
      </c>
      <c r="B374" s="4" t="n"/>
      <c r="C374" s="5" t="n">
        <v>136</v>
      </c>
      <c r="D374" s="46" t="inlineStr">
        <is>
          <t>Manhole Set-Up</t>
        </is>
      </c>
      <c r="E374" s="16" t="n">
        <v>125</v>
      </c>
      <c r="F374" s="59">
        <f>E374*B374</f>
        <v/>
      </c>
    </row>
    <row r="375" hidden="1" outlineLevel="1" ht="15" customHeight="1" s="955">
      <c r="A375" s="14" t="inlineStr">
        <is>
          <t>O.FBR.AERL</t>
        </is>
      </c>
      <c r="B375" s="4" t="n"/>
      <c r="C375" s="5" t="n">
        <v>141</v>
      </c>
      <c r="D375" s="46" t="inlineStr">
        <is>
          <t>Hourly Rate Per Fiber Splicer: Daily</t>
        </is>
      </c>
      <c r="E375" s="16" t="n">
        <v>125</v>
      </c>
      <c r="F375" s="59">
        <f>E375*B375</f>
        <v/>
      </c>
    </row>
    <row r="376" hidden="1" outlineLevel="1" ht="15" customHeight="1" s="955">
      <c r="A376" s="14" t="inlineStr">
        <is>
          <t>O.FBR.AERL</t>
        </is>
      </c>
      <c r="B376" s="4" t="n"/>
      <c r="C376" s="5" t="n">
        <v>142</v>
      </c>
      <c r="D376" s="46" t="inlineStr">
        <is>
          <t>Hourly Rate Per Fiber Splicer: Premium (MOP Window)</t>
        </is>
      </c>
      <c r="E376" s="16" t="n">
        <v>187.5</v>
      </c>
      <c r="F376" s="59">
        <f>E376*B376</f>
        <v/>
      </c>
    </row>
    <row r="377" hidden="1" outlineLevel="1" ht="15" customHeight="1" s="955">
      <c r="A377" s="14" t="inlineStr">
        <is>
          <t>O.FBR.AERL</t>
        </is>
      </c>
      <c r="B377" s="4" t="n"/>
      <c r="C377" s="5" t="n">
        <v>143</v>
      </c>
      <c r="D377" s="46" t="inlineStr">
        <is>
          <t>Emergency Call Out: Splicer with Truck/Tools</t>
        </is>
      </c>
      <c r="E377" s="16" t="n">
        <v>187.5</v>
      </c>
      <c r="F377" s="59">
        <f>E377*B377</f>
        <v/>
      </c>
    </row>
    <row r="378" hidden="1" outlineLevel="1" ht="15" customHeight="1" s="955">
      <c r="A378" s="14" t="inlineStr">
        <is>
          <t>O.FBR.AERL</t>
        </is>
      </c>
      <c r="B378" s="4" t="n"/>
      <c r="C378" s="5" t="n">
        <v>144</v>
      </c>
      <c r="D378" s="46" t="inlineStr">
        <is>
          <t>Traffic Control Laborer</t>
        </is>
      </c>
      <c r="E378" s="16" t="n">
        <v>75</v>
      </c>
      <c r="F378" s="59">
        <f>E378*B378</f>
        <v/>
      </c>
    </row>
    <row r="379" hidden="1" outlineLevel="1" ht="15" customHeight="1" s="955">
      <c r="A379" s="14" t="inlineStr">
        <is>
          <t>O.FBR.AERL</t>
        </is>
      </c>
      <c r="B379" s="4" t="n"/>
      <c r="C379" s="5" t="n">
        <v>148</v>
      </c>
      <c r="D379" s="46" t="inlineStr">
        <is>
          <t>Place Aerial Fiber SLIC Closure Accessible (Bucket Truck)</t>
        </is>
      </c>
      <c r="E379" s="16" t="n">
        <v>250</v>
      </c>
      <c r="F379" s="59">
        <f>E379*B379</f>
        <v/>
      </c>
    </row>
    <row r="380" hidden="1" outlineLevel="1" ht="15" customHeight="1" s="955">
      <c r="A380" s="14" t="inlineStr">
        <is>
          <t>O.FBR.AERL</t>
        </is>
      </c>
      <c r="B380" s="4" t="n"/>
      <c r="C380" s="5" t="n">
        <v>149</v>
      </c>
      <c r="D380" s="46" t="inlineStr">
        <is>
          <t>Place Aerial Fiber SLIC Closure Non Accessible (Ladder)</t>
        </is>
      </c>
      <c r="E380" s="16" t="n">
        <v>300</v>
      </c>
      <c r="F380" s="59">
        <f>E380*B380</f>
        <v/>
      </c>
    </row>
    <row r="381" hidden="1" outlineLevel="1" ht="15" customHeight="1" s="955">
      <c r="A381" s="14" t="inlineStr">
        <is>
          <t>O.FBR.AERL</t>
        </is>
      </c>
      <c r="B381" s="4" t="n"/>
      <c r="C381" s="6" t="n">
        <v>150</v>
      </c>
      <c r="D381" s="66" t="inlineStr">
        <is>
          <t>Place Fiber Closure (For RDF)</t>
        </is>
      </c>
      <c r="E381" s="108" t="n">
        <v>200</v>
      </c>
      <c r="F381" s="59">
        <f>E381*B381</f>
        <v/>
      </c>
    </row>
    <row r="382" hidden="1" outlineLevel="1" ht="15" customHeight="1" s="955">
      <c r="A382" s="14" t="inlineStr">
        <is>
          <t>O.FBR.AERL</t>
        </is>
      </c>
      <c r="B382" s="4" t="n"/>
      <c r="C382" s="5" t="n"/>
      <c r="D382" s="46" t="n"/>
      <c r="E382" s="16" t="n"/>
      <c r="F382" s="59">
        <f>E382*B382</f>
        <v/>
      </c>
    </row>
    <row r="383" hidden="1" outlineLevel="1" ht="15" customHeight="1" s="955" thickBot="1">
      <c r="A383" s="65" t="inlineStr">
        <is>
          <t>O.FBR.AERL</t>
        </is>
      </c>
      <c r="B383" s="107" t="n"/>
      <c r="C383" s="6" t="n"/>
      <c r="D383" s="66" t="n"/>
      <c r="E383" s="108" t="n"/>
      <c r="F383" s="60">
        <f>E383*B383</f>
        <v/>
      </c>
    </row>
    <row r="384" hidden="1" outlineLevel="1" ht="15" customHeight="1" s="955" thickBot="1">
      <c r="A384" s="93" t="n"/>
      <c r="B384" s="97" t="n"/>
      <c r="C384" s="97" t="n"/>
      <c r="D384" s="1088" t="inlineStr">
        <is>
          <t>AERIAL COPPER SPLICING LABOR</t>
        </is>
      </c>
      <c r="E384" s="1085" t="n"/>
      <c r="F384" s="83" t="n"/>
    </row>
    <row r="385" hidden="1" outlineLevel="1" ht="15" customHeight="1" s="955" thickBot="1">
      <c r="A385" s="67" t="inlineStr">
        <is>
          <t>O.CBL.AERL</t>
        </is>
      </c>
      <c r="B385" s="103" t="n"/>
      <c r="C385" s="103" t="n">
        <v>100</v>
      </c>
      <c r="D385" s="106" t="inlineStr">
        <is>
          <t>MISC. COPPER SPLICING LABOR</t>
        </is>
      </c>
      <c r="E385" s="200" t="n">
        <v>100</v>
      </c>
      <c r="F385" s="96">
        <f>B385*E385</f>
        <v/>
      </c>
    </row>
    <row r="386" hidden="1" outlineLevel="1" ht="15" customHeight="1" s="955" thickBot="1">
      <c r="A386" s="1087" t="n"/>
      <c r="B386" s="97" t="n"/>
      <c r="C386" s="1088" t="n"/>
      <c r="D386" s="1089" t="inlineStr">
        <is>
          <t>TOTAL - SPLICING AERIAL - LUMOS</t>
        </is>
      </c>
      <c r="E386" s="133" t="n"/>
      <c r="F386" s="61">
        <f>SUM(F342:F383)</f>
        <v/>
      </c>
    </row>
    <row r="387" collapsed="1" ht="15" customHeight="1" s="955" thickBot="1">
      <c r="A387" s="94" t="inlineStr">
        <is>
          <t>&lt;----Click the + to Expand or Collapse the "SPLCING UNITS" Section</t>
        </is>
      </c>
      <c r="B387" s="98" t="n"/>
      <c r="C387" s="98" t="n"/>
      <c r="D387" s="100" t="n"/>
      <c r="E387" s="1085" t="n"/>
      <c r="F387" s="83" t="n"/>
    </row>
    <row r="388" ht="15" customHeight="1" s="955" thickBot="1">
      <c r="A388" s="252" t="n"/>
      <c r="B388" s="185">
        <f>IF(SUM(F426)&gt;0,"-","")</f>
        <v/>
      </c>
      <c r="C388" s="91" t="n"/>
      <c r="D388" s="137" t="inlineStr">
        <is>
          <t>AERIAL SPLCING UNITS</t>
        </is>
      </c>
      <c r="E388" s="119" t="n"/>
      <c r="F388" s="95" t="n"/>
    </row>
    <row r="389" hidden="1" outlineLevel="1" ht="15" customHeight="1" s="955">
      <c r="A389" s="253" t="inlineStr">
        <is>
          <t>O.FBR.AERL</t>
        </is>
      </c>
      <c r="B389" s="254" t="n"/>
      <c r="C389" s="255" t="n">
        <v>820</v>
      </c>
      <c r="D389" s="256" t="inlineStr">
        <is>
          <t>Hard Splice Termination</t>
        </is>
      </c>
      <c r="E389" s="257" t="n">
        <v>36</v>
      </c>
      <c r="F389" s="258">
        <f>E389*B389</f>
        <v/>
      </c>
    </row>
    <row r="390" hidden="1" outlineLevel="1" ht="15" customHeight="1" s="955">
      <c r="A390" s="259" t="inlineStr">
        <is>
          <t>O.FBR.AERL</t>
        </is>
      </c>
      <c r="B390" s="260" t="n"/>
      <c r="C390" s="261" t="n">
        <v>803</v>
      </c>
      <c r="D390" s="262" t="inlineStr">
        <is>
          <t>Place Simplex Jumper</t>
        </is>
      </c>
      <c r="E390" s="263" t="n">
        <v>7.25</v>
      </c>
      <c r="F390" s="264">
        <f>E390*B390</f>
        <v/>
      </c>
    </row>
    <row r="391" hidden="1" outlineLevel="1" ht="15" customHeight="1" s="955">
      <c r="A391" s="259" t="inlineStr">
        <is>
          <t>O.FBR.AERL</t>
        </is>
      </c>
      <c r="B391" s="260" t="n"/>
      <c r="C391" s="261" t="n">
        <v>804</v>
      </c>
      <c r="D391" s="262" t="inlineStr">
        <is>
          <t>Place Duplex Jumper</t>
        </is>
      </c>
      <c r="E391" s="263" t="n">
        <v>7.25</v>
      </c>
      <c r="F391" s="264">
        <f>E391*B391</f>
        <v/>
      </c>
    </row>
    <row r="392" hidden="1" outlineLevel="1" ht="15" customHeight="1" s="955">
      <c r="A392" s="259" t="inlineStr">
        <is>
          <t>O.FBR.AERL</t>
        </is>
      </c>
      <c r="B392" s="260" t="n"/>
      <c r="C392" s="261" t="n">
        <v>805</v>
      </c>
      <c r="D392" s="534" t="inlineStr">
        <is>
          <t>Install Closure - One (1) Cable</t>
        </is>
      </c>
      <c r="E392" s="263" t="n">
        <v>135</v>
      </c>
      <c r="F392" s="63">
        <f>E392*B392</f>
        <v/>
      </c>
      <c r="H392" s="500" t="inlineStr">
        <is>
          <t>CLOSURE - 1 CABLE</t>
        </is>
      </c>
      <c r="I392" s="554">
        <f>SUM(J392:AF392)</f>
        <v/>
      </c>
    </row>
    <row r="393" hidden="1" outlineLevel="1" ht="15" customHeight="1" s="955">
      <c r="A393" s="259" t="inlineStr">
        <is>
          <t>O.FBR.AERL</t>
        </is>
      </c>
      <c r="B393" s="260" t="n"/>
      <c r="C393" s="261" t="n">
        <v>806</v>
      </c>
      <c r="D393" s="534" t="inlineStr">
        <is>
          <t>Install Closure  - Two (2) Cables</t>
        </is>
      </c>
      <c r="E393" s="263" t="n">
        <v>155</v>
      </c>
      <c r="F393" s="264">
        <f>E393*B393</f>
        <v/>
      </c>
      <c r="H393" s="500" t="inlineStr">
        <is>
          <t>CLOSURE - 2 CABLE</t>
        </is>
      </c>
      <c r="I393" s="554">
        <f>SUM(J393:AF393)</f>
        <v/>
      </c>
    </row>
    <row r="394" hidden="1" outlineLevel="1" ht="15" customHeight="1" s="955">
      <c r="A394" s="259" t="inlineStr">
        <is>
          <t>O.FBR.AERL</t>
        </is>
      </c>
      <c r="B394" s="260" t="n"/>
      <c r="C394" s="261" t="n">
        <v>807</v>
      </c>
      <c r="D394" s="534" t="inlineStr">
        <is>
          <t>Cut In Loop/Ring Cut (Closure Install Included)</t>
        </is>
      </c>
      <c r="E394" s="263" t="n">
        <v>190</v>
      </c>
      <c r="F394" s="264">
        <f>E394*B394</f>
        <v/>
      </c>
      <c r="H394" s="500" t="inlineStr">
        <is>
          <t>CLOSURE - RING CUT</t>
        </is>
      </c>
      <c r="I394" s="554">
        <f>SUM(J394:AF394)</f>
        <v/>
      </c>
    </row>
    <row r="395" hidden="1" outlineLevel="1" ht="15" customHeight="1" s="955">
      <c r="A395" s="259" t="inlineStr">
        <is>
          <t>O.FBR.AERL</t>
        </is>
      </c>
      <c r="B395" s="260" t="n"/>
      <c r="C395" s="261" t="n">
        <v>808</v>
      </c>
      <c r="D395" s="534" t="inlineStr">
        <is>
          <t>Add/Prep One (1) Additional Cable or Multi-Port to Closure</t>
        </is>
      </c>
      <c r="E395" s="263" t="n">
        <v>80</v>
      </c>
      <c r="F395" s="264">
        <f>E395*B395</f>
        <v/>
      </c>
      <c r="H395" s="500" t="inlineStr">
        <is>
          <t>ADD FOC 3+/MP</t>
        </is>
      </c>
      <c r="I395" s="554">
        <f>SUM(J395:AF395)</f>
        <v/>
      </c>
    </row>
    <row r="396" hidden="1" outlineLevel="1" ht="15" customHeight="1" s="955">
      <c r="A396" s="259" t="inlineStr">
        <is>
          <t>O.FBR.AERL</t>
        </is>
      </c>
      <c r="B396" s="260" t="n"/>
      <c r="C396" s="261" t="n">
        <v>809</v>
      </c>
      <c r="D396" s="262" t="inlineStr">
        <is>
          <t>Remove One (1) Cable from Closure</t>
        </is>
      </c>
      <c r="E396" s="263" t="n">
        <v>78</v>
      </c>
      <c r="F396" s="264">
        <f>E396*B396</f>
        <v/>
      </c>
    </row>
    <row r="397" hidden="1" outlineLevel="1" ht="15" customHeight="1" s="955">
      <c r="A397" s="259" t="inlineStr">
        <is>
          <t>O.FBR.AERL</t>
        </is>
      </c>
      <c r="B397" s="260" t="n"/>
      <c r="C397" s="261" t="n">
        <v>812</v>
      </c>
      <c r="D397" s="262" t="inlineStr">
        <is>
          <t>Change Out Existing Closure (Non-Preform)</t>
        </is>
      </c>
      <c r="E397" s="263" t="n">
        <v>185</v>
      </c>
      <c r="F397" s="264">
        <f>E397*B397</f>
        <v/>
      </c>
      <c r="H397" s="500" t="inlineStr">
        <is>
          <t>1X4</t>
        </is>
      </c>
      <c r="I397" s="554">
        <f>SUM(J397:AF397)</f>
        <v/>
      </c>
      <c r="J397" s="939" t="n"/>
      <c r="K397" s="939" t="n"/>
      <c r="L397" s="939" t="n"/>
      <c r="M397" s="939" t="n"/>
      <c r="N397" s="939" t="n"/>
      <c r="O397" s="939" t="n"/>
      <c r="P397" s="939" t="n"/>
      <c r="Q397" s="939" t="n"/>
      <c r="R397" s="939" t="n"/>
      <c r="S397" s="939" t="n"/>
      <c r="T397" s="939" t="n"/>
      <c r="U397" s="939" t="n"/>
      <c r="V397" s="939" t="n"/>
      <c r="W397" s="939" t="n"/>
      <c r="X397" s="939" t="n"/>
      <c r="Y397" s="939" t="n"/>
      <c r="Z397" s="939" t="n"/>
      <c r="AA397" s="939" t="n"/>
      <c r="AB397" s="939" t="n"/>
      <c r="AC397" s="939" t="n"/>
      <c r="AD397" s="939" t="n"/>
      <c r="AE397" s="939" t="n"/>
      <c r="AF397" s="939" t="n"/>
      <c r="AG397" s="939" t="n"/>
      <c r="AH397" s="939" t="n"/>
      <c r="AI397" s="939" t="n"/>
      <c r="AJ397" s="939" t="n"/>
      <c r="AK397" s="939" t="n"/>
      <c r="AL397" s="939" t="n"/>
      <c r="AM397" s="939" t="n"/>
      <c r="AN397" s="939" t="n"/>
      <c r="AO397" s="939" t="n"/>
      <c r="AP397" s="939" t="n"/>
      <c r="AQ397" s="939" t="n"/>
      <c r="AR397" s="939" t="n"/>
    </row>
    <row r="398" hidden="1" outlineLevel="1" ht="15" customHeight="1" s="955">
      <c r="A398" s="259" t="inlineStr">
        <is>
          <t>O.FBR.AERL</t>
        </is>
      </c>
      <c r="B398" s="260" t="n"/>
      <c r="C398" s="261" t="n">
        <v>813</v>
      </c>
      <c r="D398" s="534" t="inlineStr">
        <is>
          <t>Loose Tube Fusion Splice (Testing Included): 1 - 24 Fibers</t>
        </is>
      </c>
      <c r="E398" s="263" t="n">
        <v>31</v>
      </c>
      <c r="F398" s="264">
        <f>E398*B398</f>
        <v/>
      </c>
      <c r="H398" s="500" t="inlineStr">
        <is>
          <t xml:space="preserve">Loose Tube Fusion Splice </t>
        </is>
      </c>
      <c r="I398" s="554" t="n"/>
      <c r="J398" s="939" t="n"/>
      <c r="K398" s="939" t="n"/>
      <c r="L398" s="939" t="n"/>
      <c r="M398" s="939" t="n"/>
      <c r="N398" s="939" t="n"/>
      <c r="O398" s="939" t="n"/>
      <c r="P398" s="939" t="n"/>
      <c r="Q398" s="939" t="n"/>
      <c r="R398" s="939" t="n"/>
      <c r="S398" s="939" t="n"/>
      <c r="T398" s="939" t="n"/>
      <c r="U398" s="939" t="n"/>
      <c r="V398" s="939" t="n"/>
      <c r="W398" s="939" t="n"/>
      <c r="X398" s="939" t="n"/>
      <c r="Y398" s="939" t="n"/>
      <c r="Z398" s="939" t="n"/>
      <c r="AA398" s="939" t="n"/>
      <c r="AB398" s="939" t="n"/>
      <c r="AC398" s="939" t="n"/>
      <c r="AD398" s="939" t="n"/>
      <c r="AE398" s="939" t="n"/>
      <c r="AF398" s="939" t="n"/>
      <c r="AG398" s="939" t="n"/>
      <c r="AH398" s="939" t="n"/>
      <c r="AI398" s="939" t="n"/>
      <c r="AJ398" s="939" t="n"/>
      <c r="AK398" s="939" t="n"/>
      <c r="AL398" s="939" t="n"/>
      <c r="AM398" s="939" t="n"/>
      <c r="AN398" s="939" t="n"/>
      <c r="AO398" s="939" t="n"/>
      <c r="AP398" s="939" t="n"/>
      <c r="AQ398" s="939" t="n"/>
      <c r="AR398" s="939" t="n"/>
    </row>
    <row r="399" hidden="1" outlineLevel="1" ht="15" customHeight="1" s="955">
      <c r="A399" s="259" t="inlineStr">
        <is>
          <t>O.FBR.AERL</t>
        </is>
      </c>
      <c r="B399" s="260" t="n"/>
      <c r="C399" s="261" t="n">
        <v>814</v>
      </c>
      <c r="D399" s="534" t="inlineStr">
        <is>
          <t>Loose Tube Fusion Splice (Testing Included): 25 - 72 Fibers</t>
        </is>
      </c>
      <c r="E399" s="263" t="n">
        <v>29</v>
      </c>
      <c r="F399" s="264">
        <f>E399*B399</f>
        <v/>
      </c>
      <c r="H399" s="500" t="inlineStr">
        <is>
          <t>Ribbon Splice</t>
        </is>
      </c>
      <c r="I399" s="554" t="n"/>
      <c r="J399" s="939" t="n"/>
      <c r="K399" s="939" t="n"/>
      <c r="L399" s="939" t="n"/>
      <c r="M399" s="939" t="n"/>
      <c r="N399" s="939" t="n"/>
      <c r="O399" s="939" t="n"/>
      <c r="P399" s="939" t="n"/>
      <c r="Q399" s="939" t="n"/>
      <c r="R399" s="939" t="n"/>
      <c r="S399" s="939" t="n"/>
      <c r="T399" s="939" t="n"/>
      <c r="U399" s="939" t="n"/>
      <c r="V399" s="939" t="n"/>
      <c r="W399" s="939" t="n"/>
      <c r="X399" s="939" t="n"/>
      <c r="Y399" s="939" t="n"/>
      <c r="Z399" s="939" t="n"/>
      <c r="AA399" s="939" t="n"/>
      <c r="AB399" s="939" t="n"/>
      <c r="AC399" s="939" t="n"/>
      <c r="AD399" s="939" t="n"/>
      <c r="AE399" s="939" t="n"/>
      <c r="AF399" s="939" t="n"/>
      <c r="AG399" s="939" t="n"/>
      <c r="AH399" s="939" t="n"/>
      <c r="AI399" s="939" t="n"/>
      <c r="AJ399" s="939" t="n"/>
      <c r="AK399" s="939" t="n"/>
      <c r="AL399" s="939" t="n"/>
      <c r="AM399" s="939" t="n"/>
      <c r="AN399" s="939" t="n"/>
      <c r="AO399" s="939" t="n"/>
      <c r="AP399" s="939" t="n"/>
      <c r="AQ399" s="939" t="n"/>
      <c r="AR399" s="939" t="n"/>
    </row>
    <row r="400" hidden="1" outlineLevel="1" ht="15" customHeight="1" s="955">
      <c r="A400" s="259" t="inlineStr">
        <is>
          <t>O.FBR.AERL</t>
        </is>
      </c>
      <c r="B400" s="260" t="n"/>
      <c r="C400" s="261" t="n">
        <v>815</v>
      </c>
      <c r="D400" s="534" t="inlineStr">
        <is>
          <t>Loose Tube Fusion Splice (Testing Included): 73 - 144 Fibers</t>
        </is>
      </c>
      <c r="E400" s="263" t="n">
        <v>28</v>
      </c>
      <c r="F400" s="264">
        <f>E400*B400</f>
        <v/>
      </c>
      <c r="H400" s="500" t="inlineStr">
        <is>
          <t>Splice_Number</t>
        </is>
      </c>
      <c r="I400" s="554" t="n"/>
      <c r="J400" s="1155" t="n">
        <v>1</v>
      </c>
      <c r="K400" s="1155">
        <f>J400+1</f>
        <v/>
      </c>
      <c r="L400" s="1155">
        <f>K400+1</f>
        <v/>
      </c>
      <c r="M400" s="1155">
        <f>L400+1</f>
        <v/>
      </c>
      <c r="N400" s="1155">
        <f>M400+1</f>
        <v/>
      </c>
      <c r="O400" s="1155">
        <f>N400+1</f>
        <v/>
      </c>
      <c r="P400" s="1155">
        <f>O400+1</f>
        <v/>
      </c>
      <c r="Q400" s="1155">
        <f>P400+1</f>
        <v/>
      </c>
      <c r="R400" s="1155">
        <f>Q400+1</f>
        <v/>
      </c>
      <c r="S400" s="1155">
        <f>R400+1</f>
        <v/>
      </c>
      <c r="T400" s="1155">
        <f>S400+1</f>
        <v/>
      </c>
      <c r="U400" s="1155">
        <f>T400+1</f>
        <v/>
      </c>
      <c r="V400" s="1155">
        <f>U400+1</f>
        <v/>
      </c>
      <c r="W400" s="1155">
        <f>V400+1</f>
        <v/>
      </c>
      <c r="X400" s="1155">
        <f>W400+1</f>
        <v/>
      </c>
      <c r="Y400" s="1155">
        <f>X400+1</f>
        <v/>
      </c>
      <c r="Z400" s="1155">
        <f>Y400+1</f>
        <v/>
      </c>
      <c r="AA400" s="1155">
        <f>Z400+1</f>
        <v/>
      </c>
      <c r="AB400" s="1155">
        <f>AA400+1</f>
        <v/>
      </c>
      <c r="AC400" s="1155">
        <f>AB400+1</f>
        <v/>
      </c>
      <c r="AD400" s="1155">
        <f>AC400+1</f>
        <v/>
      </c>
      <c r="AE400" s="1155">
        <f>AD400+1</f>
        <v/>
      </c>
      <c r="AF400" s="1155">
        <f>AE400+1</f>
        <v/>
      </c>
      <c r="AG400" s="1155">
        <f>AF400+1</f>
        <v/>
      </c>
      <c r="AH400" s="1155">
        <f>AG400+1</f>
        <v/>
      </c>
      <c r="AI400" s="1155">
        <f>AH400+1</f>
        <v/>
      </c>
      <c r="AJ400" s="1155">
        <f>AI400+1</f>
        <v/>
      </c>
      <c r="AK400" s="1155">
        <f>AJ400+1</f>
        <v/>
      </c>
      <c r="AL400" s="1155">
        <f>AK400+1</f>
        <v/>
      </c>
      <c r="AM400" s="1155">
        <f>AL400+1</f>
        <v/>
      </c>
      <c r="AN400" s="1155">
        <f>AM400+1</f>
        <v/>
      </c>
      <c r="AO400" s="1155">
        <f>AN400+1</f>
        <v/>
      </c>
      <c r="AP400" s="1155">
        <f>AO400+1</f>
        <v/>
      </c>
      <c r="AQ400" s="1155">
        <f>AP400+1</f>
        <v/>
      </c>
      <c r="AR400" s="1155">
        <f>AQ400+1</f>
        <v/>
      </c>
    </row>
    <row r="401" hidden="1" outlineLevel="1" ht="15" customHeight="1" s="955">
      <c r="A401" s="259" t="inlineStr">
        <is>
          <t>O.FBR.AERL</t>
        </is>
      </c>
      <c r="B401" s="260" t="n"/>
      <c r="C401" s="261" t="n">
        <v>816</v>
      </c>
      <c r="D401" s="534" t="inlineStr">
        <is>
          <t>Loose Tube Fusion Splice (Testing Included): 145 + Fibers</t>
        </is>
      </c>
      <c r="E401" s="263" t="n">
        <v>25</v>
      </c>
      <c r="F401" s="264">
        <f>E401*B401</f>
        <v/>
      </c>
      <c r="H401" s="500" t="n"/>
      <c r="I401" s="554" t="n"/>
    </row>
    <row r="402" hidden="1" outlineLevel="1" ht="15" customHeight="1" s="955">
      <c r="A402" s="259" t="inlineStr">
        <is>
          <t>O.FBR.AERL</t>
        </is>
      </c>
      <c r="B402" s="260" t="n"/>
      <c r="C402" s="261" t="n">
        <v>817</v>
      </c>
      <c r="D402" s="262" t="inlineStr">
        <is>
          <t>Fiber Termination &amp; Splcing in FDP (Loose Tube): 1 - 24 Fibers</t>
        </is>
      </c>
      <c r="E402" s="263" t="n">
        <v>36</v>
      </c>
      <c r="F402" s="264">
        <f>E402*B402</f>
        <v/>
      </c>
    </row>
    <row r="403" hidden="1" outlineLevel="1" ht="15" customHeight="1" s="955">
      <c r="A403" s="259" t="inlineStr">
        <is>
          <t>O.FBR.AERL</t>
        </is>
      </c>
      <c r="B403" s="260" t="n"/>
      <c r="C403" s="261" t="n">
        <v>818</v>
      </c>
      <c r="D403" s="262" t="inlineStr">
        <is>
          <t>Fiber Termination &amp; Splcing in FDP (Loose Tube): 25-72 Fibers</t>
        </is>
      </c>
      <c r="E403" s="263" t="n">
        <v>24</v>
      </c>
      <c r="F403" s="264">
        <f>E403*B403</f>
        <v/>
      </c>
    </row>
    <row r="404" hidden="1" outlineLevel="1" ht="15" customHeight="1" s="955">
      <c r="A404" s="259" t="inlineStr">
        <is>
          <t>O.FBR.AERL</t>
        </is>
      </c>
      <c r="B404" s="260" t="n"/>
      <c r="C404" s="261" t="n">
        <v>819</v>
      </c>
      <c r="D404" s="262" t="inlineStr">
        <is>
          <t>Fiber Termination &amp; Splcing in FDP (Loose Tube): 73-144 Fibers</t>
        </is>
      </c>
      <c r="E404" s="263" t="n">
        <v>33</v>
      </c>
      <c r="F404" s="264">
        <f>E404*B404</f>
        <v/>
      </c>
    </row>
    <row r="405" hidden="1" outlineLevel="1" ht="15" customHeight="1" s="955">
      <c r="A405" s="259" t="inlineStr">
        <is>
          <t>O.FBR.AERL</t>
        </is>
      </c>
      <c r="B405" s="260" t="n"/>
      <c r="C405" s="261" t="n">
        <v>820</v>
      </c>
      <c r="D405" s="262" t="inlineStr">
        <is>
          <t>Fiber Termination &amp; Splcing in FDP (Loose Tube): 145 + Fibers</t>
        </is>
      </c>
      <c r="E405" s="263" t="n">
        <v>30</v>
      </c>
      <c r="F405" s="264">
        <f>E405*B405</f>
        <v/>
      </c>
    </row>
    <row r="406" hidden="1" outlineLevel="1" ht="15" customHeight="1" s="955">
      <c r="A406" s="259" t="inlineStr">
        <is>
          <t>O.FBR.AERL</t>
        </is>
      </c>
      <c r="B406" s="260" t="n"/>
      <c r="C406" s="261" t="n">
        <v>822</v>
      </c>
      <c r="D406" s="262" t="inlineStr">
        <is>
          <t>OTDR: Per Trace (Hard-Copy Printout on Request)</t>
        </is>
      </c>
      <c r="E406" s="263" t="n">
        <v>16</v>
      </c>
      <c r="F406" s="264">
        <f>E406*B406</f>
        <v/>
      </c>
    </row>
    <row r="407" hidden="1" outlineLevel="1" ht="15" customHeight="1" s="955">
      <c r="A407" s="259" t="inlineStr">
        <is>
          <t>O.FBR.AERL</t>
        </is>
      </c>
      <c r="B407" s="260" t="n"/>
      <c r="C407" s="261" t="n">
        <v>823</v>
      </c>
      <c r="D407" s="262" t="inlineStr">
        <is>
          <t>OTDR: Non-Fusion Event  (Hard-Copy Printout on Request)</t>
        </is>
      </c>
      <c r="E407" s="263" t="n">
        <v>12</v>
      </c>
      <c r="F407" s="264">
        <f>E407*B407</f>
        <v/>
      </c>
    </row>
    <row r="408" hidden="1" outlineLevel="1" ht="15" customHeight="1" s="955">
      <c r="A408" s="259" t="inlineStr">
        <is>
          <t>O.FBR.AERL</t>
        </is>
      </c>
      <c r="B408" s="260" t="n"/>
      <c r="C408" s="261" t="n">
        <v>824</v>
      </c>
      <c r="D408" s="262" t="inlineStr">
        <is>
          <t>Test Reel Cable - Per Fiber (Hardcopy Printout upon Request)</t>
        </is>
      </c>
      <c r="E408" s="263" t="n">
        <v>9</v>
      </c>
      <c r="F408" s="264">
        <f>E408*B408</f>
        <v/>
      </c>
    </row>
    <row r="409" hidden="1" outlineLevel="1" ht="15" customHeight="1" s="955">
      <c r="A409" s="259" t="inlineStr">
        <is>
          <t>O.FBR.AERL</t>
        </is>
      </c>
      <c r="B409" s="260" t="n"/>
      <c r="C409" s="261" t="n">
        <v>827</v>
      </c>
      <c r="D409" s="262" t="inlineStr">
        <is>
          <t>Manhole Set-Up</t>
        </is>
      </c>
      <c r="E409" s="263" t="n">
        <v>165</v>
      </c>
      <c r="F409" s="264">
        <f>E409*B409</f>
        <v/>
      </c>
    </row>
    <row r="410" hidden="1" outlineLevel="1" ht="15" customHeight="1" s="955">
      <c r="A410" s="259" t="inlineStr">
        <is>
          <t>O.FBR.AERL</t>
        </is>
      </c>
      <c r="B410" s="260" t="n"/>
      <c r="C410" s="261" t="n">
        <v>828</v>
      </c>
      <c r="D410" s="262" t="inlineStr">
        <is>
          <t>Special Handling of Fiber</t>
        </is>
      </c>
      <c r="E410" s="263" t="n">
        <v>100</v>
      </c>
      <c r="F410" s="264">
        <f>E410*B410</f>
        <v/>
      </c>
    </row>
    <row r="411" hidden="1" outlineLevel="1" ht="15" customHeight="1" s="955">
      <c r="A411" s="259" t="inlineStr">
        <is>
          <t>O.FBR.AERL</t>
        </is>
      </c>
      <c r="B411" s="260" t="n"/>
      <c r="C411" s="261" t="n">
        <v>830</v>
      </c>
      <c r="D411" s="262" t="inlineStr">
        <is>
          <t>Hourly Rate Per Fiber Splicer: Daily</t>
        </is>
      </c>
      <c r="E411" s="263" t="n">
        <v>100</v>
      </c>
      <c r="F411" s="264">
        <f>E411*B411</f>
        <v/>
      </c>
    </row>
    <row r="412" hidden="1" outlineLevel="1" ht="15" customHeight="1" s="955">
      <c r="A412" s="259" t="inlineStr">
        <is>
          <t>O.FBR.AERL</t>
        </is>
      </c>
      <c r="B412" s="260" t="n"/>
      <c r="C412" s="261" t="n">
        <v>833</v>
      </c>
      <c r="D412" s="262" t="inlineStr">
        <is>
          <t>Traffic Control Laborer</t>
        </is>
      </c>
      <c r="E412" s="263" t="n">
        <v>55</v>
      </c>
      <c r="F412" s="264">
        <f>E412*B412</f>
        <v/>
      </c>
    </row>
    <row r="413" hidden="1" outlineLevel="1" ht="15" customHeight="1" s="955">
      <c r="A413" s="259" t="inlineStr">
        <is>
          <t>O.FBR.AERL</t>
        </is>
      </c>
      <c r="B413" s="260" t="n"/>
      <c r="C413" s="261" t="n">
        <v>836</v>
      </c>
      <c r="D413" s="262" t="inlineStr">
        <is>
          <t>Place Aerial Fiber SLIC Closure Accessible (Bucket Truck)</t>
        </is>
      </c>
      <c r="E413" s="263" t="n">
        <v>250</v>
      </c>
      <c r="F413" s="264">
        <f>E413*B413</f>
        <v/>
      </c>
    </row>
    <row r="414" hidden="1" outlineLevel="1" ht="15" customHeight="1" s="955">
      <c r="A414" s="259" t="inlineStr">
        <is>
          <t>O.FBR.AERL</t>
        </is>
      </c>
      <c r="B414" s="260" t="n"/>
      <c r="C414" s="261" t="n">
        <v>837</v>
      </c>
      <c r="D414" s="262" t="inlineStr">
        <is>
          <t>Place Aerial Fiber SLIC Closure Non Accessible (Ladder)</t>
        </is>
      </c>
      <c r="E414" s="263" t="n">
        <v>285</v>
      </c>
      <c r="F414" s="264">
        <f>E414*B414</f>
        <v/>
      </c>
    </row>
    <row r="415" hidden="1" outlineLevel="1" ht="15" customHeight="1" s="955">
      <c r="A415" s="259" t="inlineStr">
        <is>
          <t>O.FBR.AERL</t>
        </is>
      </c>
      <c r="B415" s="260" t="n"/>
      <c r="C415" s="261" t="n">
        <v>838</v>
      </c>
      <c r="D415" s="534" t="inlineStr">
        <is>
          <t>Splice Ribbon Fiber 1-288</t>
        </is>
      </c>
      <c r="E415" s="263" t="n">
        <v>125</v>
      </c>
      <c r="F415" s="264">
        <f>E415*B415</f>
        <v/>
      </c>
    </row>
    <row r="416" hidden="1" outlineLevel="1" ht="15" customHeight="1" s="955">
      <c r="A416" s="259" t="inlineStr">
        <is>
          <t>O.FBR.AERL</t>
        </is>
      </c>
      <c r="B416" s="260" t="n"/>
      <c r="C416" s="1" t="n">
        <v>839</v>
      </c>
      <c r="D416" s="534" t="inlineStr">
        <is>
          <t>Splice Ribbon Fiber 289-432</t>
        </is>
      </c>
      <c r="E416" s="263" t="n">
        <v>120</v>
      </c>
      <c r="F416" s="264">
        <f>E406*B416</f>
        <v/>
      </c>
    </row>
    <row r="417" hidden="1" outlineLevel="1" ht="15" customHeight="1" s="955">
      <c r="A417" s="259" t="inlineStr">
        <is>
          <t>O.FBR.AERL</t>
        </is>
      </c>
      <c r="B417" s="260" t="n"/>
      <c r="C417" s="1" t="n">
        <v>840</v>
      </c>
      <c r="D417" s="534" t="inlineStr">
        <is>
          <t>Splice Ribbon Fiber 432 +</t>
        </is>
      </c>
      <c r="E417" s="263" t="n">
        <v>115</v>
      </c>
      <c r="F417" s="264">
        <f>E407*B417</f>
        <v/>
      </c>
    </row>
    <row r="418" hidden="1" outlineLevel="1" ht="15" customHeight="1" s="955">
      <c r="A418" s="259" t="inlineStr">
        <is>
          <t>O.FBR.AERL</t>
        </is>
      </c>
      <c r="B418" s="261" t="n"/>
      <c r="C418" s="1" t="n">
        <v>850</v>
      </c>
      <c r="D418" s="534" t="inlineStr">
        <is>
          <t>Install and Test Splitter</t>
        </is>
      </c>
      <c r="E418" s="263" t="n">
        <v>125</v>
      </c>
      <c r="F418" s="264">
        <f>E418*B418</f>
        <v/>
      </c>
    </row>
    <row r="419" hidden="1" outlineLevel="1" ht="15" customHeight="1" s="955">
      <c r="A419" s="259" t="inlineStr">
        <is>
          <t>O.FBR.AERL</t>
        </is>
      </c>
      <c r="B419" s="260" t="n"/>
      <c r="C419" s="261" t="n"/>
      <c r="D419" s="262" t="n"/>
      <c r="E419" s="263" t="n"/>
      <c r="F419" s="264" t="n"/>
    </row>
    <row r="420" hidden="1" outlineLevel="1" ht="15" customHeight="1" s="955">
      <c r="A420" s="259" t="inlineStr">
        <is>
          <t>O.FBR.AERL</t>
        </is>
      </c>
      <c r="B420" s="260" t="n"/>
      <c r="C420" s="261" t="n">
        <v>999</v>
      </c>
      <c r="D420" s="262" t="inlineStr">
        <is>
          <t>Misc. Material Cost +12%</t>
        </is>
      </c>
      <c r="E420" s="263" t="n"/>
      <c r="F420" s="264">
        <f>E420*B420</f>
        <v/>
      </c>
    </row>
    <row r="421" hidden="1" outlineLevel="1" ht="15" customHeight="1" s="955">
      <c r="A421" s="259" t="inlineStr">
        <is>
          <t>O.FBR.AERL</t>
        </is>
      </c>
      <c r="B421" s="260" t="n"/>
      <c r="C421" s="1" t="n"/>
      <c r="D421" s="534" t="inlineStr">
        <is>
          <t>Raise Install and Ground Closure</t>
        </is>
      </c>
      <c r="E421" s="263" t="n">
        <v>100</v>
      </c>
      <c r="F421" s="264">
        <f>E410*B421</f>
        <v/>
      </c>
    </row>
    <row r="422" hidden="1" outlineLevel="1" ht="15" customHeight="1" s="955">
      <c r="A422" s="259" t="inlineStr">
        <is>
          <t>O.FBR.AERL</t>
        </is>
      </c>
      <c r="B422" s="260" t="n"/>
      <c r="C422" s="1" t="n"/>
      <c r="D422" s="287" t="inlineStr">
        <is>
          <t>Prep FDP 1-72</t>
        </is>
      </c>
      <c r="E422" s="263" t="n">
        <v>85</v>
      </c>
      <c r="F422" s="264">
        <f>E411*B422</f>
        <v/>
      </c>
    </row>
    <row r="423" hidden="1" outlineLevel="1" ht="15" customHeight="1" s="955">
      <c r="A423" s="259" t="inlineStr">
        <is>
          <t>O.FBR.AERL</t>
        </is>
      </c>
      <c r="B423" s="260" t="n"/>
      <c r="C423" s="261" t="n"/>
      <c r="D423" s="287" t="inlineStr">
        <is>
          <t>Prep FDP 72-288</t>
        </is>
      </c>
      <c r="E423" s="263" t="n">
        <v>135</v>
      </c>
      <c r="F423" s="264">
        <f>E423*B423</f>
        <v/>
      </c>
    </row>
    <row r="424" hidden="1" outlineLevel="1" ht="15" customHeight="1" s="955">
      <c r="A424" s="259" t="inlineStr">
        <is>
          <t>O.FBR.AERL</t>
        </is>
      </c>
      <c r="B424" s="260" t="n"/>
      <c r="C424" s="261" t="n"/>
      <c r="D424" s="262" t="inlineStr">
        <is>
          <t>Mount, Label, Install adapter panels in FDP</t>
        </is>
      </c>
      <c r="E424" s="263" t="n">
        <v>45</v>
      </c>
      <c r="F424" s="264">
        <f>E424*B424</f>
        <v/>
      </c>
    </row>
    <row r="425" hidden="1" outlineLevel="1" ht="15" customHeight="1" s="955" thickBot="1">
      <c r="A425" s="259" t="inlineStr">
        <is>
          <t>O.FBR.AERL</t>
        </is>
      </c>
      <c r="B425" s="260" t="n"/>
      <c r="C425" s="265" t="n"/>
      <c r="D425" s="266" t="n"/>
      <c r="E425" s="263" t="n"/>
      <c r="F425" s="264">
        <f>E425*B425</f>
        <v/>
      </c>
    </row>
    <row r="426" hidden="1" outlineLevel="1" ht="15" customHeight="1" s="955" thickBot="1">
      <c r="A426" s="90" t="n"/>
      <c r="B426" s="185" t="n"/>
      <c r="C426" s="91" t="n"/>
      <c r="D426" s="269" t="inlineStr">
        <is>
          <t>TOTAL - SPLICING AERIAL - LUMOS</t>
        </is>
      </c>
      <c r="E426" s="270" t="n"/>
      <c r="F426" s="271">
        <f>SUM(F389:F425)</f>
        <v/>
      </c>
    </row>
    <row r="427" collapsed="1" ht="15" customHeight="1" s="955" thickBot="1">
      <c r="A427" s="573" t="inlineStr">
        <is>
          <t>&lt;----Click the + to Expand or Collapse the "AERIAL SPLCING UNITS" Section</t>
        </is>
      </c>
      <c r="B427" s="588" t="n"/>
      <c r="C427" s="588" t="n"/>
      <c r="D427" s="589" t="n"/>
      <c r="E427" s="580" t="n"/>
      <c r="F427" s="581" t="n"/>
    </row>
    <row r="428" ht="15" customHeight="1" s="955" thickBot="1">
      <c r="A428" s="126" t="n"/>
      <c r="B428" s="98">
        <f>IF(SUM(F439)&gt;0,"-","")</f>
        <v/>
      </c>
      <c r="C428" s="100" t="n"/>
      <c r="D428" s="100" t="inlineStr">
        <is>
          <t>FTTP UNIT PRICING</t>
        </is>
      </c>
      <c r="E428" s="118" t="n"/>
      <c r="F428" s="102" t="n"/>
    </row>
    <row r="429" outlineLevel="1" ht="15" customHeight="1" s="955">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64">
        <f>E429*B429</f>
        <v/>
      </c>
    </row>
    <row r="430" outlineLevel="1" ht="15" customHeight="1" s="955">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64">
        <f>E430*B430</f>
        <v/>
      </c>
    </row>
    <row r="431" outlineLevel="1" ht="15" customHeight="1" s="955">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64">
        <f>E431*B431</f>
        <v/>
      </c>
    </row>
    <row r="432" outlineLevel="1" ht="15" customHeight="1" s="955">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64">
        <f>E432*B432</f>
        <v/>
      </c>
    </row>
    <row r="433" outlineLevel="1" ht="15" customHeight="1" s="955">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64">
        <f>E433*B433</f>
        <v/>
      </c>
    </row>
    <row r="434" outlineLevel="1" ht="15" customHeight="1" s="955">
      <c r="A434" s="3" t="inlineStr">
        <is>
          <t>O.FBR.BURD</t>
        </is>
      </c>
      <c r="B434" s="54" t="n"/>
      <c r="C434" s="143" t="n">
        <v>801</v>
      </c>
      <c r="D434" s="240" t="inlineStr">
        <is>
          <t>Rock Adder</t>
        </is>
      </c>
      <c r="E434" s="87" t="n">
        <v>7.95</v>
      </c>
      <c r="F434" s="64">
        <f>E434*B434</f>
        <v/>
      </c>
    </row>
    <row r="435" outlineLevel="1" ht="15" customHeight="1" s="955">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75">
        <f>E435*B435</f>
        <v/>
      </c>
    </row>
    <row r="436" outlineLevel="1" ht="15" customHeight="1" s="955">
      <c r="A436" s="14" t="inlineStr">
        <is>
          <t>O.FBR.AERL</t>
        </is>
      </c>
      <c r="B436" s="4" t="n"/>
      <c r="C436" s="15" t="n">
        <v>803</v>
      </c>
      <c r="D436" s="241" t="inlineStr">
        <is>
          <t>Mount Multi Port Tap to Strand</t>
        </is>
      </c>
      <c r="E436" s="16" t="n">
        <v>16.5</v>
      </c>
      <c r="F436" s="59">
        <f>E436*B436</f>
        <v/>
      </c>
    </row>
    <row r="437" outlineLevel="1" ht="15" customHeight="1" s="955">
      <c r="A437" s="14" t="inlineStr">
        <is>
          <t>O.FBR.BURD</t>
        </is>
      </c>
      <c r="B437" s="4" t="n"/>
      <c r="C437" s="15" t="inlineStr">
        <is>
          <t>804A</t>
        </is>
      </c>
      <c r="D437" s="241" t="inlineStr">
        <is>
          <t>Pull Additional Fibers in Conduit (Same Operation) ea.</t>
        </is>
      </c>
      <c r="E437" s="108" t="n">
        <v>0.35</v>
      </c>
      <c r="F437" s="59">
        <f>E437*B437</f>
        <v/>
      </c>
    </row>
    <row r="438" outlineLevel="1" ht="15" customHeight="1" s="955" thickBot="1">
      <c r="A438" s="14" t="inlineStr">
        <is>
          <t>O.FBR.BURD</t>
        </is>
      </c>
      <c r="B438" s="4" t="n"/>
      <c r="C438" s="15" t="n">
        <v>815</v>
      </c>
      <c r="D438" s="241" t="inlineStr">
        <is>
          <t>Place/Remove or Transfer Fiber Term/LCP (Pole or Handhole installation)</t>
        </is>
      </c>
      <c r="E438" s="16" t="n">
        <v>202</v>
      </c>
      <c r="F438" s="59">
        <f>E438*B438</f>
        <v/>
      </c>
    </row>
    <row r="439" outlineLevel="1" ht="15" customHeight="1" s="955" thickBot="1">
      <c r="A439" s="117" t="n"/>
      <c r="B439" s="186" t="n"/>
      <c r="C439" s="99" t="n"/>
      <c r="D439" s="127" t="inlineStr">
        <is>
          <t>TOTAL - FTTH UNIT PRICING</t>
        </is>
      </c>
      <c r="E439" s="125" t="n"/>
      <c r="F439" s="58">
        <f>SUM(F429:F438)</f>
        <v/>
      </c>
    </row>
    <row r="440" ht="15" customHeight="1" s="955" thickBot="1">
      <c r="A440" s="94" t="inlineStr">
        <is>
          <t>&lt;----Click the + to Expand or Collapse the "FTTP UNIT PRICING" Section</t>
        </is>
      </c>
      <c r="B440" s="97" t="n"/>
      <c r="C440" s="1088" t="n"/>
      <c r="D440" s="1088" t="n"/>
      <c r="E440" s="1085" t="n"/>
      <c r="F440" s="83" t="n"/>
    </row>
    <row r="441" ht="15" customHeight="1" s="955" thickBot="1">
      <c r="A441" s="123" t="n"/>
      <c r="B441" s="142">
        <f>IF(SUM(F466)&gt;0,"-","")</f>
        <v/>
      </c>
      <c r="C441" s="124" t="n"/>
      <c r="D441" s="124" t="inlineStr">
        <is>
          <t>MISCELLANEOUS LABOR</t>
        </is>
      </c>
      <c r="E441" s="128" t="n"/>
      <c r="F441" s="129" t="n"/>
    </row>
    <row r="442" outlineLevel="1" ht="15" customHeight="1" s="955">
      <c r="A442" s="10" t="inlineStr">
        <is>
          <t>MISC.</t>
        </is>
      </c>
      <c r="B442" s="52" t="n"/>
      <c r="C442" s="17" t="n">
        <v>756</v>
      </c>
      <c r="D442" s="18" t="inlineStr">
        <is>
          <t>Lineman Regular Time</t>
        </is>
      </c>
      <c r="E442" s="82" t="n">
        <v>40</v>
      </c>
      <c r="F442" s="74">
        <f>E442*B442</f>
        <v/>
      </c>
    </row>
    <row r="443" outlineLevel="1" ht="15" customHeight="1" s="955">
      <c r="A443" s="8" t="inlineStr">
        <is>
          <t>MISC.</t>
        </is>
      </c>
      <c r="B443" s="1082" t="n"/>
      <c r="C443" s="1" t="n">
        <v>757</v>
      </c>
      <c r="D443" s="20" t="inlineStr">
        <is>
          <t>Lineman Overtime</t>
        </is>
      </c>
      <c r="E443" s="82" t="n">
        <v>60</v>
      </c>
      <c r="F443" s="63">
        <f>E443*B443</f>
        <v/>
      </c>
    </row>
    <row r="444" outlineLevel="1" ht="15" customHeight="1" s="955">
      <c r="A444" s="8" t="inlineStr">
        <is>
          <t>MISC.</t>
        </is>
      </c>
      <c r="B444" s="1082" t="n"/>
      <c r="C444" s="1" t="n">
        <v>758</v>
      </c>
      <c r="D444" s="20" t="inlineStr">
        <is>
          <t>Equipment Operator Regular Time</t>
        </is>
      </c>
      <c r="E444" s="82" t="n">
        <v>35</v>
      </c>
      <c r="F444" s="63">
        <f>E444*B444</f>
        <v/>
      </c>
    </row>
    <row r="445" outlineLevel="1" ht="15" customHeight="1" s="955">
      <c r="A445" s="8" t="inlineStr">
        <is>
          <t>MISC.</t>
        </is>
      </c>
      <c r="B445" s="1082" t="n"/>
      <c r="C445" s="1" t="n">
        <v>759</v>
      </c>
      <c r="D445" s="20" t="inlineStr">
        <is>
          <t>Equipment Operator Overtime</t>
        </is>
      </c>
      <c r="E445" s="82" t="n">
        <v>52.5</v>
      </c>
      <c r="F445" s="63">
        <f>E445*B445</f>
        <v/>
      </c>
    </row>
    <row r="446" outlineLevel="1" ht="15" customHeight="1" s="955">
      <c r="A446" s="8" t="inlineStr">
        <is>
          <t>MISC.</t>
        </is>
      </c>
      <c r="B446" s="1082" t="n"/>
      <c r="C446" s="1" t="n">
        <v>760</v>
      </c>
      <c r="D446" s="20" t="inlineStr">
        <is>
          <t>Groundman / Laborer / Flagger Regular Time</t>
        </is>
      </c>
      <c r="E446" s="82" t="n">
        <v>30</v>
      </c>
      <c r="F446" s="63">
        <f>E446*B446</f>
        <v/>
      </c>
    </row>
    <row r="447" outlineLevel="1" ht="15" customHeight="1" s="955">
      <c r="A447" s="8" t="inlineStr">
        <is>
          <t>MISC.</t>
        </is>
      </c>
      <c r="B447" s="1082" t="n"/>
      <c r="C447" s="1" t="n">
        <v>761</v>
      </c>
      <c r="D447" s="20" t="inlineStr">
        <is>
          <t>Groundman / Laborer / Flagger Overtime</t>
        </is>
      </c>
      <c r="E447" s="82" t="n">
        <v>45</v>
      </c>
      <c r="F447" s="63">
        <f>E447*B447</f>
        <v/>
      </c>
    </row>
    <row r="448" outlineLevel="1" ht="15" customHeight="1" s="955">
      <c r="A448" s="8" t="inlineStr">
        <is>
          <t>MISC.</t>
        </is>
      </c>
      <c r="B448" s="1082" t="n"/>
      <c r="C448" s="1" t="n">
        <v>762</v>
      </c>
      <c r="D448" s="20" t="inlineStr">
        <is>
          <t>Line truck</t>
        </is>
      </c>
      <c r="E448" s="82" t="n">
        <v>60</v>
      </c>
      <c r="F448" s="63">
        <f>E448*B448</f>
        <v/>
      </c>
    </row>
    <row r="449" outlineLevel="1" ht="15" customHeight="1" s="955">
      <c r="A449" s="8" t="inlineStr">
        <is>
          <t>MISC.</t>
        </is>
      </c>
      <c r="B449" s="1082" t="n"/>
      <c r="C449" s="1" t="n">
        <v>763</v>
      </c>
      <c r="D449" s="20" t="inlineStr">
        <is>
          <t>Bucket truck</t>
        </is>
      </c>
      <c r="E449" s="82" t="n">
        <v>60</v>
      </c>
      <c r="F449" s="63">
        <f>E449*B449</f>
        <v/>
      </c>
    </row>
    <row r="450" outlineLevel="1" ht="15" customHeight="1" s="955">
      <c r="A450" s="8" t="inlineStr">
        <is>
          <t>MISC.</t>
        </is>
      </c>
      <c r="B450" s="1082" t="n"/>
      <c r="C450" s="1" t="n">
        <v>764</v>
      </c>
      <c r="D450" s="20" t="inlineStr">
        <is>
          <t>Pickup</t>
        </is>
      </c>
      <c r="E450" s="82" t="n">
        <v>35</v>
      </c>
      <c r="F450" s="63">
        <f>E450*B450</f>
        <v/>
      </c>
    </row>
    <row r="451" outlineLevel="1" ht="15" customHeight="1" s="955">
      <c r="A451" s="8" t="inlineStr">
        <is>
          <t>MISC.</t>
        </is>
      </c>
      <c r="B451" s="1082" t="n"/>
      <c r="C451" s="1" t="n">
        <v>765</v>
      </c>
      <c r="D451" s="20" t="inlineStr">
        <is>
          <t>Trailer; Cable /Pole / Equipment</t>
        </is>
      </c>
      <c r="E451" s="82" t="n">
        <v>12</v>
      </c>
      <c r="F451" s="63">
        <f>E451*B451</f>
        <v/>
      </c>
    </row>
    <row r="452" outlineLevel="1" ht="15" customHeight="1" s="955">
      <c r="A452" s="8" t="inlineStr">
        <is>
          <t>MISC.</t>
        </is>
      </c>
      <c r="B452" s="1082" t="n"/>
      <c r="C452" s="1" t="n">
        <v>767</v>
      </c>
      <c r="D452" s="20" t="inlineStr">
        <is>
          <t xml:space="preserve">Backhoe  </t>
        </is>
      </c>
      <c r="E452" s="82" t="n">
        <v>55</v>
      </c>
      <c r="F452" s="63">
        <f>E452*B452</f>
        <v/>
      </c>
    </row>
    <row r="453" outlineLevel="1" ht="15" customHeight="1" s="955">
      <c r="A453" s="8" t="inlineStr">
        <is>
          <t>MISC.</t>
        </is>
      </c>
      <c r="B453" s="1082" t="n"/>
      <c r="C453" s="1" t="n">
        <v>768</v>
      </c>
      <c r="D453" s="20" t="inlineStr">
        <is>
          <t>Cable Plow</t>
        </is>
      </c>
      <c r="E453" s="82" t="n">
        <v>40</v>
      </c>
      <c r="F453" s="63">
        <f>E453*B453</f>
        <v/>
      </c>
    </row>
    <row r="454" outlineLevel="1" ht="15" customHeight="1" s="955">
      <c r="A454" s="8" t="inlineStr">
        <is>
          <t>MISC.</t>
        </is>
      </c>
      <c r="B454" s="1082" t="n"/>
      <c r="C454" s="1" t="n">
        <v>769</v>
      </c>
      <c r="D454" s="20" t="inlineStr">
        <is>
          <t>Drop Plow</t>
        </is>
      </c>
      <c r="E454" s="82" t="n">
        <v>30</v>
      </c>
      <c r="F454" s="63">
        <f>E454*B454</f>
        <v/>
      </c>
    </row>
    <row r="455" outlineLevel="1" ht="15" customHeight="1" s="955">
      <c r="A455" s="8" t="inlineStr">
        <is>
          <t>MISC.</t>
        </is>
      </c>
      <c r="B455" s="1082" t="n"/>
      <c r="C455" s="1" t="n">
        <v>770</v>
      </c>
      <c r="D455" s="20" t="inlineStr">
        <is>
          <t>Utility Truck</t>
        </is>
      </c>
      <c r="E455" s="82" t="n">
        <v>35</v>
      </c>
      <c r="F455" s="63">
        <f>E455*B455</f>
        <v/>
      </c>
    </row>
    <row r="456" outlineLevel="1" ht="15" customHeight="1" s="955">
      <c r="A456" s="8" t="inlineStr">
        <is>
          <t>MISC.</t>
        </is>
      </c>
      <c r="B456" s="1082" t="n"/>
      <c r="C456" s="1" t="n">
        <v>771</v>
      </c>
      <c r="D456" s="20" t="inlineStr">
        <is>
          <t>Directional Boring Machine</t>
        </is>
      </c>
      <c r="E456" s="82" t="n">
        <v>85</v>
      </c>
      <c r="F456" s="63">
        <f>E456*B456</f>
        <v/>
      </c>
    </row>
    <row r="457" outlineLevel="1" ht="15" customHeight="1" s="955">
      <c r="A457" s="8" t="inlineStr">
        <is>
          <t>MISC.</t>
        </is>
      </c>
      <c r="B457" s="1082" t="n"/>
      <c r="C457" s="1" t="n">
        <v>772</v>
      </c>
      <c r="D457" s="20" t="inlineStr">
        <is>
          <t>Splicer w/ pick-up, ladder &amp; tools</t>
        </is>
      </c>
      <c r="E457" s="82" t="n">
        <v>76</v>
      </c>
      <c r="F457" s="63">
        <f>E457*B457</f>
        <v/>
      </c>
    </row>
    <row r="458" outlineLevel="1" ht="15" customHeight="1" s="955">
      <c r="A458" s="8" t="inlineStr">
        <is>
          <t>MISC.</t>
        </is>
      </c>
      <c r="B458" s="1082" t="n"/>
      <c r="C458" s="1" t="n">
        <v>773</v>
      </c>
      <c r="D458" s="20" t="inlineStr">
        <is>
          <t>Splicer w/ bucket truck &amp; tools</t>
        </is>
      </c>
      <c r="E458" s="82" t="n">
        <v>100</v>
      </c>
      <c r="F458" s="63">
        <f>E458*B458</f>
        <v/>
      </c>
    </row>
    <row r="459" outlineLevel="1" ht="15" customHeight="1" s="955">
      <c r="A459" s="8" t="inlineStr">
        <is>
          <t>MISC.</t>
        </is>
      </c>
      <c r="B459" s="1082" t="n"/>
      <c r="C459" s="1" t="n">
        <v>774</v>
      </c>
      <c r="D459" s="20" t="inlineStr">
        <is>
          <t>Chipper</t>
        </is>
      </c>
      <c r="E459" s="82" t="n">
        <v>35</v>
      </c>
      <c r="F459" s="63">
        <f>E459*B459</f>
        <v/>
      </c>
    </row>
    <row r="460" outlineLevel="1" ht="15" customHeight="1" s="955">
      <c r="A460" s="8" t="inlineStr">
        <is>
          <t>MISC.</t>
        </is>
      </c>
      <c r="B460" s="1082" t="n"/>
      <c r="C460" s="1" t="n">
        <v>775</v>
      </c>
      <c r="D460" s="20" t="inlineStr">
        <is>
          <t>Chainsaw</t>
        </is>
      </c>
      <c r="E460" s="82" t="n">
        <v>8</v>
      </c>
      <c r="F460" s="63">
        <f>E460*B460</f>
        <v/>
      </c>
    </row>
    <row r="461" outlineLevel="1" ht="15" customHeight="1" s="955">
      <c r="A461" s="88" t="inlineStr">
        <is>
          <t>MISC.</t>
        </is>
      </c>
      <c r="B461" s="55" t="n"/>
      <c r="C461" s="79" t="n">
        <v>776</v>
      </c>
      <c r="D461" s="80" t="inlineStr">
        <is>
          <t>Tractor</t>
        </is>
      </c>
      <c r="E461" s="82" t="n">
        <v>35</v>
      </c>
      <c r="F461" s="84">
        <f>E461*B461</f>
        <v/>
      </c>
    </row>
    <row r="462" outlineLevel="1" ht="15" customHeight="1" s="955">
      <c r="A462" s="88" t="n"/>
      <c r="B462" s="55" t="n"/>
      <c r="C462" s="79" t="n"/>
      <c r="D462" s="80" t="n"/>
      <c r="E462" s="81" t="n"/>
      <c r="F462" s="63" t="n"/>
    </row>
    <row r="463" outlineLevel="1" ht="15" customHeight="1" s="955">
      <c r="A463" s="88" t="n"/>
      <c r="B463" s="55" t="n"/>
      <c r="C463" s="79" t="n"/>
      <c r="D463" s="80" t="n"/>
      <c r="E463" s="81" t="n"/>
      <c r="F463" s="63" t="n"/>
    </row>
    <row r="464" outlineLevel="1" ht="15" customHeight="1" s="955">
      <c r="A464" s="88" t="n"/>
      <c r="B464" s="55" t="n"/>
      <c r="C464" s="79" t="n"/>
      <c r="D464" s="80" t="n"/>
      <c r="E464" s="81" t="n"/>
      <c r="F464" s="63" t="n"/>
    </row>
    <row r="465" outlineLevel="1" ht="15" customHeight="1" s="955" thickBot="1">
      <c r="A465" s="88" t="n"/>
      <c r="B465" s="55" t="n"/>
      <c r="C465" s="79" t="n"/>
      <c r="D465" s="80" t="n"/>
      <c r="E465" s="81" t="n"/>
      <c r="F465" s="63" t="n"/>
    </row>
    <row r="466" outlineLevel="1" ht="15" customHeight="1" s="955" thickBot="1">
      <c r="A466" s="110" t="n"/>
      <c r="B466" s="111" t="n"/>
      <c r="C466" s="112" t="n"/>
      <c r="D466" s="113" t="inlineStr">
        <is>
          <t>Total - MISCELLANEOUS LABOR</t>
        </is>
      </c>
      <c r="E466" s="114" t="n"/>
      <c r="F466" s="115">
        <f>SUM(F442:F465)</f>
        <v/>
      </c>
    </row>
    <row r="467" ht="15" customHeight="1" s="955" thickBot="1">
      <c r="A467" s="92" t="inlineStr">
        <is>
          <t>&lt;----Click the + to Expand or Collapse the "MISCELLANEOUS LABOR" Section</t>
        </is>
      </c>
      <c r="B467" s="247" t="n"/>
      <c r="C467" s="185" t="n"/>
      <c r="D467" s="248" t="n"/>
      <c r="E467" s="249" t="n"/>
      <c r="F467" s="116" t="n"/>
    </row>
    <row r="468" ht="15" customHeight="1" s="955" thickBot="1">
      <c r="A468" s="123" t="n"/>
      <c r="B468" s="142">
        <f>IF(SUM(F487)&gt;0,"-","")</f>
        <v/>
      </c>
      <c r="C468" s="124" t="n"/>
      <c r="D468" s="124" t="inlineStr">
        <is>
          <t>MISCELLANEOUS LABOR</t>
        </is>
      </c>
      <c r="E468" s="128" t="n"/>
      <c r="F468" s="129" t="n"/>
    </row>
    <row r="469" outlineLevel="1" ht="15" customHeight="1" s="955">
      <c r="A469" s="10" t="inlineStr">
        <is>
          <t>MISC.</t>
        </is>
      </c>
      <c r="B469" s="52" t="n"/>
      <c r="C469" s="17" t="n">
        <v>700</v>
      </c>
      <c r="D469" s="18" t="inlineStr">
        <is>
          <t>Lineman Regular Time</t>
        </is>
      </c>
      <c r="E469" s="274" t="n">
        <v>45.36</v>
      </c>
      <c r="F469" s="74">
        <f>E469*B469</f>
        <v/>
      </c>
    </row>
    <row r="470" outlineLevel="1" ht="15" customHeight="1" s="955">
      <c r="A470" s="8" t="inlineStr">
        <is>
          <t>MISC.</t>
        </is>
      </c>
      <c r="B470" s="1082" t="n"/>
      <c r="C470" s="1" t="n">
        <v>701</v>
      </c>
      <c r="D470" s="20" t="inlineStr">
        <is>
          <t>Lineman Overtime</t>
        </is>
      </c>
      <c r="E470" s="274" t="n">
        <v>68.04000000000001</v>
      </c>
      <c r="F470" s="63">
        <f>E470*B470</f>
        <v/>
      </c>
    </row>
    <row r="471" outlineLevel="1" ht="15" customHeight="1" s="955">
      <c r="A471" s="8" t="inlineStr">
        <is>
          <t>MISC.</t>
        </is>
      </c>
      <c r="B471" s="1082" t="n"/>
      <c r="C471" s="1" t="n">
        <v>702</v>
      </c>
      <c r="D471" s="20" t="inlineStr">
        <is>
          <t>Equipment Operator Regular Time</t>
        </is>
      </c>
      <c r="E471" s="274" t="n">
        <v>42.53</v>
      </c>
      <c r="F471" s="63">
        <f>E471*B471</f>
        <v/>
      </c>
    </row>
    <row r="472" outlineLevel="1" ht="15" customHeight="1" s="955">
      <c r="A472" s="8" t="inlineStr">
        <is>
          <t>MISC.</t>
        </is>
      </c>
      <c r="B472" s="1082" t="n"/>
      <c r="C472" s="1" t="n">
        <v>703</v>
      </c>
      <c r="D472" s="20" t="inlineStr">
        <is>
          <t>Equipment Operator Overtime</t>
        </is>
      </c>
      <c r="E472" s="274" t="n">
        <v>63.79</v>
      </c>
      <c r="F472" s="63">
        <f>E472*B472</f>
        <v/>
      </c>
    </row>
    <row r="473" outlineLevel="1" ht="15" customHeight="1" s="955">
      <c r="A473" s="8" t="inlineStr">
        <is>
          <t>MISC.</t>
        </is>
      </c>
      <c r="B473" s="1082" t="n"/>
      <c r="C473" s="1" t="n">
        <v>704</v>
      </c>
      <c r="D473" s="20" t="inlineStr">
        <is>
          <t>Groundman / Laborer / Flagger Regular Time</t>
        </is>
      </c>
      <c r="E473" s="274" t="n">
        <v>35.44</v>
      </c>
      <c r="F473" s="63">
        <f>E473*B473</f>
        <v/>
      </c>
    </row>
    <row r="474" outlineLevel="1" ht="15" customHeight="1" s="955">
      <c r="A474" s="8" t="inlineStr">
        <is>
          <t>MISC.</t>
        </is>
      </c>
      <c r="B474" s="1082" t="n"/>
      <c r="C474" s="1" t="n">
        <v>705</v>
      </c>
      <c r="D474" s="20" t="inlineStr">
        <is>
          <t>Groundman / Laborer / Flagger Overtime</t>
        </is>
      </c>
      <c r="E474" s="274" t="n">
        <v>53.16</v>
      </c>
      <c r="F474" s="63">
        <f>E474*B474</f>
        <v/>
      </c>
    </row>
    <row r="475" outlineLevel="1" ht="15" customHeight="1" s="955">
      <c r="A475" s="8" t="inlineStr">
        <is>
          <t>MISC.</t>
        </is>
      </c>
      <c r="B475" s="1082" t="n"/>
      <c r="C475" s="1" t="n">
        <v>706</v>
      </c>
      <c r="D475" s="20" t="inlineStr">
        <is>
          <t>Line truck</t>
        </is>
      </c>
      <c r="E475" s="274" t="n">
        <v>49.61</v>
      </c>
      <c r="F475" s="63">
        <f>E475*B475</f>
        <v/>
      </c>
    </row>
    <row r="476" outlineLevel="1" ht="15" customHeight="1" s="955">
      <c r="A476" s="8" t="inlineStr">
        <is>
          <t>MISC.</t>
        </is>
      </c>
      <c r="B476" s="1082" t="n"/>
      <c r="C476" s="1" t="n">
        <v>707</v>
      </c>
      <c r="D476" s="20" t="inlineStr">
        <is>
          <t>Bucket truck</t>
        </is>
      </c>
      <c r="E476" s="274" t="n">
        <v>49.61</v>
      </c>
      <c r="F476" s="63">
        <f>E476*B476</f>
        <v/>
      </c>
    </row>
    <row r="477" outlineLevel="1" ht="15" customHeight="1" s="955">
      <c r="A477" s="8" t="inlineStr">
        <is>
          <t>MISC.</t>
        </is>
      </c>
      <c r="B477" s="1082" t="n"/>
      <c r="C477" s="1" t="n">
        <v>708</v>
      </c>
      <c r="D477" s="20" t="inlineStr">
        <is>
          <t>Pickup</t>
        </is>
      </c>
      <c r="E477" s="274" t="n">
        <v>16.91</v>
      </c>
      <c r="F477" s="63">
        <f>E477*B477</f>
        <v/>
      </c>
    </row>
    <row r="478" outlineLevel="1" ht="15" customHeight="1" s="955">
      <c r="A478" s="8" t="inlineStr">
        <is>
          <t>MISC.</t>
        </is>
      </c>
      <c r="B478" s="1082" t="n"/>
      <c r="C478" s="1" t="n">
        <v>709</v>
      </c>
      <c r="D478" s="20" t="inlineStr">
        <is>
          <t>Trailer; Cable /Pole / Equipment</t>
        </is>
      </c>
      <c r="E478" s="274" t="n">
        <v>9.66</v>
      </c>
      <c r="F478" s="63">
        <f>E478*B478</f>
        <v/>
      </c>
    </row>
    <row r="479" outlineLevel="1" ht="15" customHeight="1" s="955">
      <c r="A479" s="8" t="inlineStr">
        <is>
          <t>MISC.</t>
        </is>
      </c>
      <c r="B479" s="1082" t="n"/>
      <c r="C479" s="1" t="n">
        <v>711</v>
      </c>
      <c r="D479" s="20" t="inlineStr">
        <is>
          <t xml:space="preserve">Backhoe  </t>
        </is>
      </c>
      <c r="E479" s="274" t="n">
        <v>39.24</v>
      </c>
      <c r="F479" s="63">
        <f>E479*B479</f>
        <v/>
      </c>
    </row>
    <row r="480" outlineLevel="1" ht="15" customHeight="1" s="955">
      <c r="A480" s="8" t="inlineStr">
        <is>
          <t>MISC.</t>
        </is>
      </c>
      <c r="B480" s="1082" t="n"/>
      <c r="C480" s="1" t="n">
        <v>712</v>
      </c>
      <c r="D480" s="20" t="inlineStr">
        <is>
          <t>Cable Plow</t>
        </is>
      </c>
      <c r="E480" s="274" t="n">
        <v>33.81</v>
      </c>
      <c r="F480" s="63">
        <f>E480*B480</f>
        <v/>
      </c>
    </row>
    <row r="481" outlineLevel="1" ht="15" customHeight="1" s="955">
      <c r="A481" s="8" t="inlineStr">
        <is>
          <t>MISC.</t>
        </is>
      </c>
      <c r="B481" s="1082" t="n"/>
      <c r="C481" s="1" t="n">
        <v>713</v>
      </c>
      <c r="D481" s="20" t="inlineStr">
        <is>
          <t>Drop Plow</t>
        </is>
      </c>
      <c r="E481" s="274" t="n">
        <v>21.73</v>
      </c>
      <c r="F481" s="63">
        <f>E481*B481</f>
        <v/>
      </c>
    </row>
    <row r="482" outlineLevel="1" ht="15" customHeight="1" s="955">
      <c r="A482" s="8" t="inlineStr">
        <is>
          <t>MISC.</t>
        </is>
      </c>
      <c r="B482" s="1082" t="n"/>
      <c r="C482" s="1" t="n">
        <v>714</v>
      </c>
      <c r="D482" s="20" t="inlineStr">
        <is>
          <t>Utility Truck</t>
        </is>
      </c>
      <c r="E482" s="274" t="n">
        <v>24.15</v>
      </c>
      <c r="F482" s="63">
        <f>E482*B482</f>
        <v/>
      </c>
    </row>
    <row r="483" outlineLevel="1" ht="15" customHeight="1" s="955">
      <c r="A483" s="8" t="inlineStr">
        <is>
          <t>MISC.</t>
        </is>
      </c>
      <c r="B483" s="1082" t="n"/>
      <c r="C483" s="1" t="n">
        <v>715</v>
      </c>
      <c r="D483" s="20" t="inlineStr">
        <is>
          <t>Directional Boring Machine</t>
        </is>
      </c>
      <c r="E483" s="274" t="n">
        <v>82.11</v>
      </c>
      <c r="F483" s="63">
        <f>E483*B483</f>
        <v/>
      </c>
    </row>
    <row r="484" outlineLevel="1" ht="15" customHeight="1" s="955">
      <c r="A484" s="8" t="inlineStr">
        <is>
          <t>MISC.</t>
        </is>
      </c>
      <c r="B484" s="1082" t="n"/>
      <c r="C484" s="1" t="n">
        <v>999</v>
      </c>
      <c r="D484" s="20" t="inlineStr">
        <is>
          <t>Miscellaneous Material Cost +% to inlcude taxes, is applicable, and applied in accordance with section 14 of the Agreement, and freight</t>
        </is>
      </c>
      <c r="E484" s="274" t="n">
        <v>0</v>
      </c>
      <c r="F484" s="63" t="n"/>
    </row>
    <row r="485" outlineLevel="1" ht="15" customHeight="1" s="955">
      <c r="A485" s="8" t="inlineStr">
        <is>
          <t>MISC.</t>
        </is>
      </c>
      <c r="B485" s="1082" t="n"/>
      <c r="C485" s="1" t="n"/>
      <c r="D485" s="20" t="inlineStr">
        <is>
          <t>In-House Copper Splicing</t>
        </is>
      </c>
      <c r="E485" s="274" t="n">
        <v>100</v>
      </c>
      <c r="F485" s="63">
        <f>B485*E485</f>
        <v/>
      </c>
    </row>
    <row r="486" outlineLevel="1" ht="15" customHeight="1" s="955" thickBot="1">
      <c r="A486" s="8" t="n"/>
      <c r="B486" s="1082" t="n"/>
      <c r="C486" s="1" t="n"/>
      <c r="D486" s="20" t="n"/>
      <c r="E486" s="82" t="n"/>
      <c r="F486" s="63" t="n"/>
    </row>
    <row r="487" outlineLevel="1" ht="15" customHeight="1" s="955" thickBot="1">
      <c r="A487" s="282" t="n"/>
      <c r="B487" s="283" t="n"/>
      <c r="C487" s="211" t="n"/>
      <c r="D487" s="284" t="inlineStr">
        <is>
          <t>Total - MISCELLANEOUS LABOR</t>
        </is>
      </c>
      <c r="E487" s="285" t="n"/>
      <c r="F487" s="286">
        <f>SUM(F469:F486)</f>
        <v/>
      </c>
    </row>
    <row r="488" ht="15" customHeight="1" s="955" thickBot="1">
      <c r="A488" s="214" t="inlineStr">
        <is>
          <t>&lt;----Click the + to Expand or Collapse the "MISCELLANEOUS LABOR" Section</t>
        </is>
      </c>
      <c r="B488" s="49" t="n"/>
      <c r="F488" s="251" t="n"/>
    </row>
    <row r="489" ht="15" customHeight="1" s="955" thickBot="1">
      <c r="A489" s="159" t="n"/>
      <c r="B489" s="97" t="inlineStr">
        <is>
          <t>TOTAL LABOR COST</t>
        </is>
      </c>
      <c r="C489" s="1088" t="n"/>
      <c r="D489" s="1088" t="n"/>
      <c r="E489" s="1088" t="n"/>
      <c r="F489" s="102">
        <f>SUM(F29,F35,F56,F139,F159,F185,F216,F243,F262,F307,F339,F386,F426,F439,F466,F487)</f>
        <v/>
      </c>
    </row>
    <row r="490" ht="15" customHeight="1" s="955">
      <c r="A490" s="48" t="n"/>
      <c r="B490" s="47" t="n"/>
      <c r="D490" s="56" t="n"/>
      <c r="E490" s="13" t="n"/>
      <c r="G490" s="12" t="n"/>
      <c r="H490" s="543" t="n"/>
    </row>
    <row r="491" ht="15" customHeight="1" s="955">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8" defaultColWidth="9" defaultRowHeight="15"/>
  <cols>
    <col width="12.140625" customWidth="1" style="109" min="1" max="1"/>
    <col width="53.140625" customWidth="1" style="57" min="2" max="2"/>
    <col width="9.85546875" customWidth="1" style="693" min="3" max="3"/>
  </cols>
  <sheetData>
    <row r="1">
      <c r="A1" s="1017" t="inlineStr">
        <is>
          <t>NAME</t>
        </is>
      </c>
      <c r="B1" s="665">
        <f>'COVER SHEET'!B2:D2</f>
        <v/>
      </c>
      <c r="C1" s="666" t="n"/>
    </row>
    <row r="2">
      <c r="A2" s="1017" t="inlineStr">
        <is>
          <t>LOCATION</t>
        </is>
      </c>
      <c r="B2" s="665">
        <f>'COVER SHEET'!B3:D3</f>
        <v/>
      </c>
      <c r="C2" s="667" t="n"/>
    </row>
    <row r="3">
      <c r="A3" s="1017" t="inlineStr">
        <is>
          <t>Project #</t>
        </is>
      </c>
      <c r="B3" s="665">
        <f>'COVER SHEET'!F4</f>
        <v/>
      </c>
      <c r="C3" s="667" t="n"/>
    </row>
    <row r="4">
      <c r="A4" s="1017" t="inlineStr">
        <is>
          <t>MetaSolv #</t>
        </is>
      </c>
      <c r="B4" s="665">
        <f>'COVER SHEET'!B9</f>
        <v/>
      </c>
      <c r="C4" s="666" t="n"/>
    </row>
    <row r="5">
      <c r="A5" s="1017" t="inlineStr">
        <is>
          <t>DDID #</t>
        </is>
      </c>
      <c r="B5" s="665">
        <f>RIGHT(B3,5)</f>
        <v/>
      </c>
      <c r="C5" s="666" t="n"/>
    </row>
    <row r="6" ht="15.75" customHeight="1" s="955" thickBot="1">
      <c r="A6" s="1017" t="inlineStr">
        <is>
          <t>CODE</t>
        </is>
      </c>
      <c r="B6" s="665" t="inlineStr">
        <is>
          <t>DESCRIPTION</t>
        </is>
      </c>
      <c r="C6" s="667" t="inlineStr">
        <is>
          <t>AMOUNT</t>
        </is>
      </c>
    </row>
    <row r="7" ht="15.75" customHeight="1" s="955" thickBot="1">
      <c r="A7" s="121" t="n"/>
      <c r="B7" s="122" t="inlineStr">
        <is>
          <t>ENGINEERING</t>
        </is>
      </c>
      <c r="C7" s="668" t="n"/>
    </row>
    <row r="8">
      <c r="A8" s="669" t="n"/>
      <c r="B8" s="670" t="inlineStr">
        <is>
          <t>PROJECT PLANNING / DESIGN</t>
        </is>
      </c>
      <c r="C8" s="671" t="n"/>
    </row>
    <row r="9">
      <c r="A9" s="672" t="n"/>
      <c r="B9" s="49" t="inlineStr">
        <is>
          <t>Project Planning / Design - Contract Labor</t>
        </is>
      </c>
      <c r="C9" s="673">
        <f>SUM(LABOR!F8:F27)</f>
        <v/>
      </c>
    </row>
    <row r="10">
      <c r="A10" s="672" t="n"/>
      <c r="B10" s="49" t="inlineStr">
        <is>
          <t>Project Planning / Design - Company Labor</t>
        </is>
      </c>
      <c r="C10" s="673">
        <f>LABOR!F7</f>
        <v/>
      </c>
    </row>
    <row r="11">
      <c r="A11" s="672" t="n"/>
      <c r="B11" s="49" t="inlineStr">
        <is>
          <t>Misc. Copper Splicing Labor</t>
        </is>
      </c>
      <c r="C11" s="673">
        <f>LABOR!F385</f>
        <v/>
      </c>
    </row>
    <row r="12" ht="15.75" customHeight="1" s="955" thickBot="1">
      <c r="A12" s="674" t="n"/>
      <c r="B12" s="675" t="inlineStr">
        <is>
          <t>Job Coordination/Lumos Labor</t>
        </is>
      </c>
      <c r="C12" s="676">
        <f>LABOR!F28</f>
        <v/>
      </c>
    </row>
    <row r="13">
      <c r="A13" s="677" t="n"/>
      <c r="B13" s="678" t="inlineStr">
        <is>
          <t>JOB PRINTS / DRAFTING</t>
        </is>
      </c>
      <c r="C13" s="679" t="n"/>
    </row>
    <row r="14">
      <c r="A14" s="672" t="n"/>
      <c r="B14" s="49" t="inlineStr">
        <is>
          <t>Job Prints / Mapping - Contract Labor</t>
        </is>
      </c>
      <c r="C14" s="673">
        <f>SUM(LABOR!F32,LABOR!F34)</f>
        <v/>
      </c>
    </row>
    <row r="15" ht="15.75" customHeight="1" s="955" thickBot="1">
      <c r="A15" s="674" t="n"/>
      <c r="B15" s="675" t="inlineStr">
        <is>
          <t>Job Prints/ Mapping - Company Labor</t>
        </is>
      </c>
      <c r="C15" s="676">
        <f>LABOR!F33</f>
        <v/>
      </c>
    </row>
    <row r="16">
      <c r="A16" s="680" t="n"/>
      <c r="B16" s="678" t="inlineStr">
        <is>
          <t>PERMITS AND AUTHORIZATION</t>
        </is>
      </c>
      <c r="C16" s="679" t="n"/>
      <c r="H16" s="681" t="n"/>
    </row>
    <row r="17">
      <c r="A17" s="672" t="n"/>
      <c r="B17" s="49" t="inlineStr">
        <is>
          <t>Permits / Authorization - Contract Labor</t>
        </is>
      </c>
      <c r="C17" s="673">
        <f>LABOR!F44</f>
        <v/>
      </c>
    </row>
    <row r="18">
      <c r="A18" s="672" t="n"/>
      <c r="B18" s="49" t="inlineStr">
        <is>
          <t>Permits / Authorization - Company Labor</t>
        </is>
      </c>
      <c r="C18" s="673">
        <f>LABOR!F43</f>
        <v/>
      </c>
    </row>
    <row r="19">
      <c r="A19" s="669" t="n"/>
      <c r="B19" s="49" t="inlineStr">
        <is>
          <t>Easements / Acquisition - Contract Labor</t>
        </is>
      </c>
      <c r="C19" s="673">
        <f>LABOR!F39</f>
        <v/>
      </c>
    </row>
    <row r="20">
      <c r="A20" s="682" t="n"/>
      <c r="B20" s="49" t="inlineStr">
        <is>
          <t>Easements / Acquisition - Company Labor</t>
        </is>
      </c>
      <c r="C20" s="673">
        <f>LABOR!F38</f>
        <v/>
      </c>
    </row>
    <row r="21">
      <c r="A21" s="682" t="n"/>
      <c r="B21" s="49" t="inlineStr">
        <is>
          <t>CONTRACTOR - NEGOTIATION OF EASEMENT BEYOND FIRST ATTEMPT</t>
        </is>
      </c>
      <c r="C21" s="673">
        <f>LABOR!F40</f>
        <v/>
      </c>
    </row>
    <row r="22">
      <c r="A22" s="682" t="n"/>
      <c r="B22" s="49" t="inlineStr">
        <is>
          <t>CONTRACTOR - NEGOTIATION OF BUILDING LICENSE AGREEMENTS</t>
        </is>
      </c>
      <c r="C22" s="673">
        <f>LABOR!F41</f>
        <v/>
      </c>
    </row>
    <row r="23">
      <c r="A23" s="682" t="n"/>
      <c r="B23" s="49" t="inlineStr">
        <is>
          <t>CONTRACTOR - SPECIALIZED PERMITS</t>
        </is>
      </c>
      <c r="C23" s="673">
        <f>LABOR!F47</f>
        <v/>
      </c>
    </row>
    <row r="24">
      <c r="A24" s="682" t="n"/>
      <c r="B24" s="49" t="inlineStr">
        <is>
          <t>CONTRACTOR - PE STAMP - PLUS 15% OF COST</t>
        </is>
      </c>
      <c r="C24" s="673">
        <f>LABOR!F48</f>
        <v/>
      </c>
    </row>
    <row r="25">
      <c r="A25" s="682" t="n"/>
      <c r="B25" s="49" t="inlineStr">
        <is>
          <t>Administration Permitting Time - Company Labor</t>
        </is>
      </c>
      <c r="C25" s="673">
        <f>LABOR!F45</f>
        <v/>
      </c>
    </row>
    <row r="26">
      <c r="A26" s="682" t="n"/>
      <c r="B26" s="49" t="inlineStr">
        <is>
          <t>Administration Permitting Time - Contract Labor</t>
        </is>
      </c>
      <c r="C26" s="673">
        <f>LABOR!F46</f>
        <v/>
      </c>
      <c r="E26" s="681" t="n"/>
    </row>
    <row r="27">
      <c r="A27" s="672" t="n"/>
      <c r="B27" s="49" t="inlineStr">
        <is>
          <t>Easement Fees</t>
        </is>
      </c>
      <c r="C27" s="673">
        <f>LABOR!F42</f>
        <v/>
      </c>
    </row>
    <row r="28" ht="15.75" customHeight="1" s="955" thickBot="1">
      <c r="A28" s="674" t="n"/>
      <c r="B28" s="675" t="inlineStr">
        <is>
          <t>Permit Fees</t>
        </is>
      </c>
      <c r="C28" s="676">
        <f>SUM(LABOR!F49:F54)</f>
        <v/>
      </c>
    </row>
    <row r="29">
      <c r="A29" s="680" t="n"/>
      <c r="B29" s="678" t="inlineStr">
        <is>
          <t>PROJECT PLANNING / CONSTRUCTION / ADMIN</t>
        </is>
      </c>
      <c r="C29" s="683" t="n"/>
    </row>
    <row r="30" ht="15.75" customHeight="1" s="955" thickBot="1">
      <c r="A30" s="684" t="n"/>
      <c r="B30" s="685" t="inlineStr">
        <is>
          <t>TRAFFIC CONTROL</t>
        </is>
      </c>
      <c r="C30" s="676">
        <f>PERMITS!P88</f>
        <v/>
      </c>
    </row>
    <row r="31">
      <c r="A31" s="680" t="n"/>
      <c r="B31" s="678" t="inlineStr">
        <is>
          <t>PLACE POLE</t>
        </is>
      </c>
      <c r="C31" s="683" t="n"/>
      <c r="E31" s="681" t="n"/>
    </row>
    <row r="32">
      <c r="A32" s="672" t="inlineStr">
        <is>
          <t>O.POLES</t>
        </is>
      </c>
      <c r="B32" s="49" t="inlineStr">
        <is>
          <t>Contractor Labor</t>
        </is>
      </c>
      <c r="C32" s="673">
        <f>SUM(LABOR!F139,LABOR!F159)</f>
        <v/>
      </c>
    </row>
    <row r="33">
      <c r="A33" s="672" t="inlineStr">
        <is>
          <t>O.POLES</t>
        </is>
      </c>
      <c r="B33" s="49" t="inlineStr">
        <is>
          <t>Material - Pole</t>
        </is>
      </c>
      <c r="C33" s="673">
        <f>MATERIAL!H26</f>
        <v/>
      </c>
    </row>
    <row r="34">
      <c r="A34" s="672" t="inlineStr">
        <is>
          <t>O.POLES</t>
        </is>
      </c>
      <c r="B34" s="686" t="inlineStr">
        <is>
          <t>Provisioning - Pole Material</t>
        </is>
      </c>
      <c r="C34" s="673">
        <f>MATERIAL!H27</f>
        <v/>
      </c>
      <c r="G34" s="681" t="n"/>
    </row>
    <row r="35" ht="15.75" customHeight="1" s="955" thickBot="1">
      <c r="A35" s="674" t="inlineStr">
        <is>
          <t>O.POLES</t>
        </is>
      </c>
      <c r="B35" s="685" t="inlineStr">
        <is>
          <t>Total + Tax - Pole Material</t>
        </is>
      </c>
      <c r="C35" s="676">
        <f>MATERIAL!H28</f>
        <v/>
      </c>
    </row>
    <row r="36">
      <c r="A36" s="680" t="n"/>
      <c r="B36" s="687" t="inlineStr">
        <is>
          <t>PLACE CABLE</t>
        </is>
      </c>
      <c r="C36" s="683" t="n"/>
    </row>
    <row r="37">
      <c r="A37" s="672" t="inlineStr">
        <is>
          <t>O.FBR.AERL</t>
        </is>
      </c>
      <c r="B37" s="49" t="inlineStr">
        <is>
          <t>Contractor Labor - Aerial Fiber</t>
        </is>
      </c>
      <c r="C37" s="673">
        <f>SUM(LABOR!F185,LABOR!F216)</f>
        <v/>
      </c>
    </row>
    <row r="38">
      <c r="A38" s="672" t="inlineStr">
        <is>
          <t>O.FBR.AERL</t>
        </is>
      </c>
      <c r="B38" s="49" t="inlineStr">
        <is>
          <t>Material - Aerial Fiber</t>
        </is>
      </c>
      <c r="C38" s="673">
        <f>MATERIAL!H102</f>
        <v/>
      </c>
      <c r="G38" s="681" t="n"/>
    </row>
    <row r="39">
      <c r="A39" s="672" t="inlineStr">
        <is>
          <t>O.FBR.AERL</t>
        </is>
      </c>
      <c r="B39" s="686" t="inlineStr">
        <is>
          <t>Provisioning - Aerial Material</t>
        </is>
      </c>
      <c r="C39" s="673">
        <f>MATERIAL!H103</f>
        <v/>
      </c>
    </row>
    <row r="40">
      <c r="A40" s="688" t="inlineStr">
        <is>
          <t>O.FBR.AERL</t>
        </is>
      </c>
      <c r="B40" s="689" t="inlineStr">
        <is>
          <t>Total + Tax - Aerial Material</t>
        </is>
      </c>
      <c r="C40" s="690">
        <f>MATERIAL!H104</f>
        <v/>
      </c>
    </row>
    <row r="41">
      <c r="A41" s="672" t="inlineStr">
        <is>
          <t>O.FBR.UNDG</t>
        </is>
      </c>
      <c r="B41" s="49" t="inlineStr">
        <is>
          <t>Contractor Labor - Underground</t>
        </is>
      </c>
      <c r="C41" s="673">
        <f>SUM(LABOR!F243,LABOR!F262)</f>
        <v/>
      </c>
    </row>
    <row r="42">
      <c r="A42" s="672" t="inlineStr">
        <is>
          <t>O.FBR.UNDG</t>
        </is>
      </c>
      <c r="B42" s="49" t="inlineStr">
        <is>
          <t>Material - Underground</t>
        </is>
      </c>
      <c r="C42" s="673">
        <f>MATERIAL!H170</f>
        <v/>
      </c>
    </row>
    <row r="43">
      <c r="A43" s="672" t="inlineStr">
        <is>
          <t>O.FBR.UNDG</t>
        </is>
      </c>
      <c r="B43" s="686" t="inlineStr">
        <is>
          <t>Provisioning - Underground Material</t>
        </is>
      </c>
      <c r="C43" s="673">
        <f>MATERIAL!H171</f>
        <v/>
      </c>
    </row>
    <row r="44">
      <c r="A44" s="688" t="inlineStr">
        <is>
          <t>O.FBR.UNDG</t>
        </is>
      </c>
      <c r="B44" s="689" t="inlineStr">
        <is>
          <t>Total + Tax - Underground Material</t>
        </is>
      </c>
      <c r="C44" s="690">
        <f>MATERIAL!H172</f>
        <v/>
      </c>
      <c r="E44" s="681" t="n"/>
    </row>
    <row r="45">
      <c r="A45" s="672" t="inlineStr">
        <is>
          <t>O.FBR.BURD</t>
        </is>
      </c>
      <c r="B45" s="49" t="inlineStr">
        <is>
          <t>Contractor Labor - Buried</t>
        </is>
      </c>
      <c r="C45" s="673">
        <f>SUM(LABOR!F307,LABOR!F339)</f>
        <v/>
      </c>
      <c r="E45" s="681" t="n"/>
    </row>
    <row r="46">
      <c r="A46" s="672" t="inlineStr">
        <is>
          <t>O.FBR.BURD</t>
        </is>
      </c>
      <c r="B46" s="49" t="inlineStr">
        <is>
          <t>Material - Buried</t>
        </is>
      </c>
      <c r="C46" s="673">
        <f>MATERIAL!H238</f>
        <v/>
      </c>
    </row>
    <row r="47">
      <c r="A47" s="672" t="inlineStr">
        <is>
          <t>O.FBR.BURD</t>
        </is>
      </c>
      <c r="B47" s="686" t="inlineStr">
        <is>
          <t>Provisioning - Buried Material</t>
        </is>
      </c>
      <c r="C47" s="673">
        <f>MATERIAL!H239</f>
        <v/>
      </c>
    </row>
    <row r="48" ht="15.75" customHeight="1" s="955" thickBot="1">
      <c r="A48" s="674" t="inlineStr">
        <is>
          <t>O.FBR.BURD</t>
        </is>
      </c>
      <c r="B48" s="685" t="inlineStr">
        <is>
          <t>Total + Tax - Buried Material</t>
        </is>
      </c>
      <c r="C48" s="676">
        <f>MATERIAL!H240</f>
        <v/>
      </c>
    </row>
    <row r="49">
      <c r="A49" s="680" t="n"/>
      <c r="B49" s="678" t="inlineStr">
        <is>
          <t>PLACE CONDUIT</t>
        </is>
      </c>
      <c r="C49" s="683" t="n"/>
    </row>
    <row r="50">
      <c r="A50" s="672" t="inlineStr">
        <is>
          <t>O.CONDUIT</t>
        </is>
      </c>
      <c r="B50" s="49" t="inlineStr">
        <is>
          <t>Material - Buried Fiber</t>
        </is>
      </c>
      <c r="C50" s="673">
        <f>MATERIAL!H268</f>
        <v/>
      </c>
    </row>
    <row r="51">
      <c r="A51" s="672" t="inlineStr">
        <is>
          <t>O.CONDUIT</t>
        </is>
      </c>
      <c r="B51" s="686" t="inlineStr">
        <is>
          <t>Provisioning - Conduit Material</t>
        </is>
      </c>
      <c r="C51" s="673">
        <f>MATERIAL!H269</f>
        <v/>
      </c>
    </row>
    <row r="52" ht="15.75" customHeight="1" s="955" thickBot="1">
      <c r="A52" s="674" t="inlineStr">
        <is>
          <t>O.CONDUIT</t>
        </is>
      </c>
      <c r="B52" s="685" t="inlineStr">
        <is>
          <t>Total + Tax - Conduit Material</t>
        </is>
      </c>
      <c r="C52" s="676">
        <f>MATERIAL!H270</f>
        <v/>
      </c>
    </row>
    <row r="53">
      <c r="A53" s="680" t="n"/>
      <c r="B53" s="678" t="inlineStr">
        <is>
          <t>AFO SPLICE</t>
        </is>
      </c>
      <c r="C53" s="683" t="n"/>
    </row>
    <row r="54">
      <c r="A54" s="672" t="inlineStr">
        <is>
          <t>O.FBR.AERL</t>
        </is>
      </c>
      <c r="B54" s="49" t="inlineStr">
        <is>
          <t>Lumos Labor - Splice Aerial Fiber</t>
        </is>
      </c>
      <c r="C54" s="673">
        <f>LABOR!F386</f>
        <v/>
      </c>
    </row>
    <row r="55">
      <c r="A55" s="672" t="inlineStr">
        <is>
          <t>O.FBR.AERL</t>
        </is>
      </c>
      <c r="B55" s="49" t="inlineStr">
        <is>
          <t>Material - Aerial Fiber</t>
        </is>
      </c>
      <c r="C55" s="673">
        <f>MATERIAL!H292</f>
        <v/>
      </c>
    </row>
    <row r="56">
      <c r="A56" s="672" t="inlineStr">
        <is>
          <t>O.FBR.AERL</t>
        </is>
      </c>
      <c r="B56" s="686" t="inlineStr">
        <is>
          <t>Provisioning - Aerial Splicing Material</t>
        </is>
      </c>
      <c r="C56" s="673">
        <f>MATERIAL!H293</f>
        <v/>
      </c>
    </row>
    <row r="57" ht="15.75" customHeight="1" s="955" thickBot="1">
      <c r="A57" s="674" t="inlineStr">
        <is>
          <t>O.FBR.AERL</t>
        </is>
      </c>
      <c r="B57" s="685" t="inlineStr">
        <is>
          <t>Total + Tax - Aerial Splicing Material</t>
        </is>
      </c>
      <c r="C57" s="676">
        <f>MATERIAL!H294</f>
        <v/>
      </c>
    </row>
    <row r="58">
      <c r="A58" s="672" t="n"/>
      <c r="B58" s="678" t="inlineStr">
        <is>
          <t>ONE COMM SPLICE</t>
        </is>
      </c>
      <c r="C58" s="673" t="n"/>
    </row>
    <row r="59">
      <c r="A59" s="672" t="inlineStr">
        <is>
          <t>O.FBR.UNDG</t>
        </is>
      </c>
      <c r="B59" s="49" t="inlineStr">
        <is>
          <t>Lumos Labor - Splice Underground Fiber</t>
        </is>
      </c>
      <c r="C59" s="673">
        <f>LABOR!F426</f>
        <v/>
      </c>
    </row>
    <row r="60">
      <c r="A60" s="672" t="inlineStr">
        <is>
          <t>O.FBR.UNDG</t>
        </is>
      </c>
      <c r="B60" s="49" t="inlineStr">
        <is>
          <t>Material - Underground Fiber</t>
        </is>
      </c>
      <c r="C60" s="673">
        <f>MATERIAL!H319</f>
        <v/>
      </c>
    </row>
    <row r="61">
      <c r="A61" s="672" t="inlineStr">
        <is>
          <t>O.FBR.UNDG</t>
        </is>
      </c>
      <c r="B61" s="686" t="inlineStr">
        <is>
          <t>Provisioning - Underground Splicing  Material</t>
        </is>
      </c>
      <c r="C61" s="673">
        <f>MATERIAL!H320</f>
        <v/>
      </c>
    </row>
    <row r="62" ht="15.75" customHeight="1" s="955" thickBot="1">
      <c r="A62" s="674" t="inlineStr">
        <is>
          <t>O.FBR.UNDG</t>
        </is>
      </c>
      <c r="B62" s="685" t="inlineStr">
        <is>
          <t>Total + Tax - Underground Splicing Material</t>
        </is>
      </c>
      <c r="C62" s="673">
        <f>MATERIAL!H321</f>
        <v/>
      </c>
    </row>
    <row r="63">
      <c r="A63" s="677" t="n"/>
      <c r="B63" s="678" t="inlineStr">
        <is>
          <t>MISCELLANEOUS LABOR</t>
        </is>
      </c>
      <c r="C63" s="679" t="n"/>
    </row>
    <row r="64" ht="15.75" customHeight="1" s="955" thickBot="1">
      <c r="A64" s="674" t="inlineStr">
        <is>
          <t>MISC.</t>
        </is>
      </c>
      <c r="B64" s="685" t="inlineStr">
        <is>
          <t>Total - MISCELLANEOUS LABOR</t>
        </is>
      </c>
      <c r="C64" s="676">
        <f>LABOR!F466</f>
        <v/>
      </c>
    </row>
    <row r="65">
      <c r="A65" s="680" t="n"/>
      <c r="B65" s="678" t="inlineStr">
        <is>
          <t>ACCESS EQUIPMENT</t>
        </is>
      </c>
      <c r="C65" s="683" t="n"/>
    </row>
    <row r="66">
      <c r="A66" s="669" t="n"/>
      <c r="B66" s="686" t="inlineStr">
        <is>
          <t>PLACE FTTP EQUIP</t>
        </is>
      </c>
      <c r="C66" s="671">
        <f>LABOR!F438</f>
        <v/>
      </c>
    </row>
    <row r="67">
      <c r="A67" s="669" t="n"/>
      <c r="B67" s="686" t="inlineStr">
        <is>
          <t>HLE ACCESS EQUIP.</t>
        </is>
      </c>
      <c r="C67" s="671">
        <f>PERMITS!G70</f>
        <v/>
      </c>
    </row>
    <row r="68">
      <c r="A68" s="669" t="n"/>
      <c r="B68" s="686" t="inlineStr">
        <is>
          <t>DROPS</t>
        </is>
      </c>
      <c r="C68" s="671">
        <f>SUM(MATERIAL!H157:H158,MATERIAL!H84:H85,MATERIAL!H225:H226)</f>
        <v/>
      </c>
    </row>
    <row r="69" ht="15.75" customHeight="1" s="955" thickBot="1">
      <c r="A69" s="684" t="n"/>
      <c r="B69" s="685" t="inlineStr">
        <is>
          <t>ONT'S</t>
        </is>
      </c>
      <c r="C69" s="691">
        <f>SUM(MATERIAL!H338:H340)</f>
        <v/>
      </c>
      <c r="E69" s="681" t="n"/>
    </row>
    <row r="70" ht="15.75" customHeight="1" s="955" thickBot="1">
      <c r="A70" s="101" t="inlineStr">
        <is>
          <t>S.D.EQ</t>
        </is>
      </c>
      <c r="B70" s="692" t="inlineStr">
        <is>
          <t>TOTAL ACCESS EQUIPMENT</t>
        </is>
      </c>
      <c r="C70" s="668">
        <f>MATERIAL!H346</f>
        <v/>
      </c>
      <c r="E70" s="681" t="n"/>
    </row>
    <row r="71" ht="15.75" customHeight="1" s="955" thickBot="1">
      <c r="A71" s="121" t="n"/>
      <c r="B71" s="692" t="inlineStr">
        <is>
          <t>TOTAL JOB COST</t>
        </is>
      </c>
      <c r="C71" s="668">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1"/>
  <sheetViews>
    <sheetView workbookViewId="0">
      <selection activeCell="I30" sqref="I30"/>
    </sheetView>
  </sheetViews>
  <sheetFormatPr baseColWidth="8" defaultColWidth="9.42578125" defaultRowHeight="15"/>
  <cols>
    <col width="2.7109375" customWidth="1" style="757" min="1" max="1"/>
    <col width="10.42578125" customWidth="1" style="757" min="2" max="2"/>
    <col width="12.5703125" customWidth="1" style="772" min="3" max="3"/>
    <col width="9.28515625" customWidth="1" style="772" min="4" max="4"/>
    <col width="5.85546875" customWidth="1" style="772" min="5" max="5"/>
    <col width="9.42578125" customWidth="1" style="757" min="6" max="6"/>
    <col width="10.42578125" customWidth="1" style="757" min="7" max="7"/>
    <col width="12.5703125" customWidth="1" style="764" min="8" max="8"/>
    <col width="9.28515625" customWidth="1" style="764" min="9" max="9"/>
    <col width="5.85546875" customWidth="1" style="764" min="10" max="10"/>
    <col width="9.42578125" customWidth="1" style="757" min="11" max="11"/>
    <col width="10.42578125" customWidth="1" style="757" min="12" max="12"/>
    <col width="13.5703125" customWidth="1" style="764" min="13" max="13"/>
    <col width="9.28515625" customWidth="1" style="764" min="14" max="14"/>
    <col width="5.85546875" customWidth="1" style="764" min="15" max="15"/>
    <col width="8.140625" customWidth="1" style="764" min="16" max="16"/>
    <col width="10.7109375" customWidth="1" style="764" min="17" max="17"/>
    <col width="9" customWidth="1" style="764" min="18" max="18"/>
    <col width="8.5703125" customWidth="1" style="764" min="19" max="20"/>
    <col width="9.42578125" customWidth="1" style="763" min="21" max="21"/>
    <col width="10.42578125" customWidth="1" style="757" min="22" max="22"/>
    <col width="12.5703125" customWidth="1" style="764" min="23" max="23"/>
    <col width="9.28515625" customWidth="1" style="764" min="24" max="24"/>
    <col width="5.85546875" customWidth="1" style="764" min="25" max="25"/>
    <col width="9.42578125" customWidth="1" style="757" min="26" max="26"/>
    <col width="10.42578125" customWidth="1" style="757" min="27" max="27"/>
    <col width="12.5703125" customWidth="1" style="764" min="28" max="28"/>
    <col width="9.28515625" customWidth="1" style="764" min="29" max="29"/>
    <col width="5.85546875" customWidth="1" style="764" min="30" max="30"/>
    <col width="9.42578125" customWidth="1" style="757" min="31" max="31"/>
    <col width="10.42578125" customWidth="1" style="757" min="32" max="32"/>
    <col width="12.5703125" customWidth="1" style="764" min="33" max="33"/>
    <col width="9.28515625" customWidth="1" style="764" min="34" max="34"/>
    <col width="5.85546875" customWidth="1" style="764" min="35" max="35"/>
    <col width="9.42578125" customWidth="1" style="757" min="36" max="36"/>
    <col width="10.42578125" customWidth="1" style="757" min="37" max="37"/>
    <col width="12.5703125" customWidth="1" style="764" min="38" max="38"/>
    <col width="9.28515625" customWidth="1" style="764" min="39" max="39"/>
    <col width="5.85546875" customWidth="1" style="764" min="40" max="40"/>
    <col width="9.42578125" customWidth="1" style="757" min="41" max="41"/>
    <col width="10.42578125" customWidth="1" style="757" min="42" max="42"/>
    <col width="12.5703125" customWidth="1" style="764" min="43" max="43"/>
    <col width="9.28515625" customWidth="1" style="764" min="44" max="44"/>
    <col width="5.85546875" customWidth="1" style="764" min="45" max="45"/>
    <col width="9.42578125" customWidth="1" style="757" min="46" max="46"/>
    <col width="10.42578125" customWidth="1" style="757" min="47" max="47"/>
    <col width="12.5703125" customWidth="1" style="764" min="48" max="48"/>
    <col width="9.28515625" customWidth="1" style="764" min="49" max="49"/>
    <col width="5.85546875" customWidth="1" style="764" min="50" max="50"/>
    <col width="9.42578125" customWidth="1" style="757" min="51" max="51"/>
    <col width="10.42578125" customWidth="1" style="757" min="52" max="52"/>
    <col width="12.5703125" customWidth="1" style="764" min="53" max="53"/>
    <col width="9.28515625" customWidth="1" style="764" min="54" max="54"/>
    <col width="5.85546875" customWidth="1" style="764" min="55" max="55"/>
    <col width="9.42578125" customWidth="1" style="757" min="56" max="56"/>
    <col width="10.42578125" customWidth="1" style="757" min="57" max="57"/>
    <col width="12.5703125" customWidth="1" style="764" min="58" max="58"/>
    <col width="9.28515625" customWidth="1" style="764" min="59" max="59"/>
    <col width="5.85546875" customWidth="1" style="764" min="60" max="60"/>
    <col width="10.85546875" customWidth="1" style="764" min="61" max="64"/>
    <col width="9" customWidth="1" style="764" min="65" max="65"/>
    <col width="10.85546875" customWidth="1" style="764" min="66" max="66"/>
    <col width="10.42578125" customWidth="1" style="757" min="67" max="67"/>
    <col width="12.5703125" customWidth="1" style="764" min="68" max="68"/>
    <col width="9.28515625" customWidth="1" style="764" min="69" max="69"/>
    <col width="5.85546875" customWidth="1" style="764" min="70" max="70"/>
    <col width="9.42578125" customWidth="1" style="757" min="71" max="71"/>
    <col width="10.42578125" customWidth="1" style="757" min="72" max="72"/>
    <col width="12.5703125" customWidth="1" style="764" min="73" max="73"/>
    <col width="9.28515625" customWidth="1" style="764" min="74" max="74"/>
    <col width="5.85546875" customWidth="1" style="764" min="75" max="75"/>
    <col width="9.42578125" customWidth="1" style="757" min="76" max="76"/>
    <col width="10.42578125" customWidth="1" style="757" min="77" max="77"/>
    <col width="12.5703125" customWidth="1" style="764" min="78" max="78"/>
    <col width="9.28515625" customWidth="1" style="764" min="79" max="79"/>
    <col width="5.85546875" customWidth="1" style="764" min="80" max="80"/>
    <col width="9.42578125" customWidth="1" style="757" min="81" max="81"/>
    <col width="10.42578125" customWidth="1" style="757" min="82" max="82"/>
    <col width="12.5703125" customWidth="1" style="764" min="83" max="83"/>
    <col width="9.28515625" customWidth="1" style="764" min="84" max="84"/>
    <col width="5.85546875" customWidth="1" style="764" min="85" max="85"/>
    <col width="9.42578125" customWidth="1" style="757" min="86" max="86"/>
    <col width="10.42578125" customWidth="1" style="757" min="87" max="87"/>
    <col width="12.5703125" customWidth="1" style="764" min="88" max="88"/>
    <col width="9.28515625" customWidth="1" style="764" min="89" max="89"/>
    <col width="5.85546875" customWidth="1" style="764" min="90" max="90"/>
    <col width="9.42578125" customWidth="1" style="757" min="91" max="91"/>
    <col width="10.42578125" customWidth="1" style="764" min="92" max="92"/>
    <col width="9.42578125" customWidth="1" style="764" min="93" max="95"/>
    <col width="9.42578125" customWidth="1" style="757" min="96" max="96"/>
    <col width="10.42578125" customWidth="1" style="764" min="97" max="97"/>
    <col width="9.42578125" customWidth="1" style="764" min="98" max="100"/>
    <col width="9.42578125" customWidth="1" style="757" min="101" max="101"/>
    <col width="10.42578125" customWidth="1" style="764" min="102" max="102"/>
    <col width="9.42578125" customWidth="1" style="764" min="103" max="104"/>
    <col width="9.42578125" customWidth="1" style="764" min="105" max="105"/>
    <col width="9.42578125" customWidth="1" style="757" min="106" max="106"/>
    <col width="10.42578125" customWidth="1" style="764" min="107" max="107"/>
    <col width="9.42578125" customWidth="1" style="764" min="108" max="110"/>
    <col width="9.42578125" customWidth="1" style="757" min="111" max="111"/>
    <col width="10.42578125" customWidth="1" style="764" min="112" max="112"/>
    <col width="9.42578125" customWidth="1" style="764" min="113" max="115"/>
    <col width="9.42578125" customWidth="1" style="757" min="116" max="116"/>
    <col width="10.42578125" customWidth="1" style="764" min="117" max="117"/>
    <col width="9.42578125" customWidth="1" style="764" min="118" max="120"/>
    <col width="9.42578125" customWidth="1" style="757" min="121" max="121"/>
    <col width="10.42578125" customWidth="1" style="764" min="122" max="122"/>
    <col width="9.42578125" customWidth="1" style="764" min="123" max="125"/>
    <col width="9.42578125" customWidth="1" style="757" min="126" max="126"/>
    <col width="9.42578125" customWidth="1" style="764" min="127" max="16384"/>
  </cols>
  <sheetData>
    <row r="1" ht="12.6"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6" customFormat="1" customHeight="1" s="550">
      <c r="B2" s="1156" t="inlineStr">
        <is>
          <t>Cable Size</t>
        </is>
      </c>
      <c r="C2" s="789" t="n">
        <v>24</v>
      </c>
      <c r="D2" s="790">
        <f>SUMIFS($C$13:$DV$13,$C$9:$DV$9,C1,$C$12:$DV$12,C2)</f>
        <v/>
      </c>
      <c r="E2" s="783" t="n"/>
      <c r="F2" s="784" t="n"/>
      <c r="G2" s="1156" t="inlineStr">
        <is>
          <t>Cable Size</t>
        </is>
      </c>
      <c r="H2" s="789" t="n">
        <v>24</v>
      </c>
      <c r="I2" s="791">
        <f>SUMIFS($C$13:$BD$13,$C$9:$BD$9,H1,$C$12:$BD$12,H2)</f>
        <v/>
      </c>
      <c r="J2" s="784" t="n"/>
      <c r="K2" s="784" t="n"/>
      <c r="L2" s="1156" t="inlineStr">
        <is>
          <t>Cable Size</t>
        </is>
      </c>
      <c r="M2" s="792" t="n">
        <v>24</v>
      </c>
      <c r="N2" s="790">
        <f>SUMIFS($C$13:$BD$13,$C$9:$BD$9,M1,$C$12:$BD$12,M2)</f>
        <v/>
      </c>
      <c r="U2" s="752" t="n"/>
    </row>
    <row r="3" ht="12.6"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U3" s="752" t="n"/>
    </row>
    <row r="4" ht="12.6"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U4" s="752" t="n"/>
    </row>
    <row r="5" ht="12.6"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6"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6" customFormat="1" customHeight="1" s="550">
      <c r="B7" s="1157" t="n"/>
      <c r="C7" s="926" t="n">
        <v>432</v>
      </c>
      <c r="D7" s="927">
        <f>SUMIFS($C$13:$DF$13,$C$9:$DF$9,C1,$C$12:$DF$12,C7)</f>
        <v/>
      </c>
      <c r="E7" s="784" t="n"/>
      <c r="F7" s="784" t="n"/>
      <c r="G7" s="1157" t="n"/>
      <c r="H7" s="926" t="n">
        <v>432</v>
      </c>
      <c r="I7" s="927">
        <f>SUMIFS($C$13:$DF$13,$C$9:$DF$9,H1,$C$12:$DF$12,H7)</f>
        <v/>
      </c>
      <c r="J7" s="784" t="n"/>
      <c r="K7" s="784" t="n"/>
      <c r="L7" s="1157" t="n"/>
      <c r="M7" s="926" t="n">
        <v>432</v>
      </c>
      <c r="N7" s="927">
        <f>SUMIFS($C$13:$DF$13,$C$9:$DF$9,M1,$C$12:$DF$12,M7)</f>
        <v/>
      </c>
      <c r="U7" s="752" t="n"/>
    </row>
    <row r="8" customFormat="1" s="550">
      <c r="C8" s="551" t="n"/>
      <c r="D8" s="549" t="n"/>
      <c r="E8" s="551" t="n"/>
      <c r="U8" s="752" t="n"/>
      <c r="BU8" s="797" t="n"/>
      <c r="BV8" s="798" t="n"/>
      <c r="BW8" s="798" t="n"/>
    </row>
    <row r="9" ht="15" customHeight="1" s="955">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n"/>
      <c r="DO9" s="754" t="n"/>
      <c r="DP9" s="755" t="n"/>
      <c r="DQ9" s="550" t="n"/>
      <c r="DR9" s="800" t="inlineStr">
        <is>
          <t>SEG 25</t>
        </is>
      </c>
      <c r="DS9" s="756" t="n"/>
      <c r="DT9" s="754" t="n"/>
      <c r="DU9" s="755" t="n"/>
      <c r="DV9" s="550" t="n"/>
    </row>
    <row r="10" ht="15" customHeight="1" s="955">
      <c r="A10" s="550" t="n"/>
      <c r="B10" s="801" t="inlineStr">
        <is>
          <t>START</t>
        </is>
      </c>
      <c r="C10" s="1158" t="inlineStr">
        <is>
          <t>6913 OLD MILLS RD</t>
        </is>
      </c>
      <c r="D10" s="1140" t="n"/>
      <c r="E10" s="1141" t="n"/>
      <c r="F10" s="550" t="n"/>
      <c r="G10" s="801" t="inlineStr">
        <is>
          <t>START</t>
        </is>
      </c>
      <c r="H10" s="1158" t="inlineStr">
        <is>
          <t>6949 OLD MILLS RD</t>
        </is>
      </c>
      <c r="I10" s="1140" t="n"/>
      <c r="J10" s="1141" t="n"/>
      <c r="K10" s="550" t="n"/>
      <c r="L10" s="801" t="inlineStr">
        <is>
          <t>START</t>
        </is>
      </c>
      <c r="M10" s="1158" t="inlineStr">
        <is>
          <t>5701 ACCIPITER CT</t>
        </is>
      </c>
      <c r="N10" s="1140" t="n"/>
      <c r="O10" s="1141" t="n"/>
      <c r="P10" s="550" t="n"/>
      <c r="Q10" s="801" t="inlineStr">
        <is>
          <t>START</t>
        </is>
      </c>
      <c r="R10" s="1159" t="inlineStr">
        <is>
          <t>5717 BUTEO CT</t>
        </is>
      </c>
      <c r="S10" s="1160" t="n"/>
      <c r="T10" s="1161" t="n"/>
      <c r="U10" s="802" t="n"/>
      <c r="V10" s="801" t="inlineStr">
        <is>
          <t>START</t>
        </is>
      </c>
      <c r="W10" s="1162" t="inlineStr">
        <is>
          <t>3812 FAIRWAY VIEW DR</t>
        </is>
      </c>
      <c r="X10" s="1140" t="n"/>
      <c r="Y10" s="1141" t="n"/>
      <c r="Z10" s="550" t="n"/>
      <c r="AA10" s="801" t="inlineStr">
        <is>
          <t>START</t>
        </is>
      </c>
      <c r="AB10" s="1159" t="inlineStr">
        <is>
          <t>2400 EAGLE SHOT CT</t>
        </is>
      </c>
      <c r="AC10" s="1160" t="n"/>
      <c r="AD10" s="1161" t="n"/>
      <c r="AE10" s="550" t="n"/>
      <c r="AF10" s="801" t="inlineStr">
        <is>
          <t>START</t>
        </is>
      </c>
      <c r="AG10" s="1159" t="inlineStr">
        <is>
          <t>2329 EAGLE SHOT CT</t>
        </is>
      </c>
      <c r="AH10" s="1160" t="n"/>
      <c r="AI10" s="1161" t="n"/>
      <c r="AJ10" s="550" t="n"/>
      <c r="AK10" s="801" t="inlineStr">
        <is>
          <t>START</t>
        </is>
      </c>
      <c r="AL10" s="1162" t="inlineStr">
        <is>
          <t>3425 BENTWINDS BLUFFS LN</t>
        </is>
      </c>
      <c r="AM10" s="1140" t="n"/>
      <c r="AN10" s="1141" t="n"/>
      <c r="AO10" s="550" t="n"/>
      <c r="AP10" s="801" t="inlineStr">
        <is>
          <t>START</t>
        </is>
      </c>
      <c r="AQ10" s="1162" t="inlineStr">
        <is>
          <t>3632 BENTWINDS BLUFFS LN</t>
        </is>
      </c>
      <c r="AR10" s="1140" t="n"/>
      <c r="AS10" s="1141" t="n"/>
      <c r="AT10" s="550" t="n"/>
      <c r="AU10" s="801" t="inlineStr">
        <is>
          <t>START</t>
        </is>
      </c>
      <c r="AV10" s="1159" t="inlineStr">
        <is>
          <t>7801 ST ANNES WAY</t>
        </is>
      </c>
      <c r="AW10" s="1160" t="n"/>
      <c r="AX10" s="1161" t="n"/>
      <c r="AY10" s="550" t="n"/>
      <c r="AZ10" s="801" t="inlineStr">
        <is>
          <t>START</t>
        </is>
      </c>
      <c r="BA10" s="1159" t="inlineStr">
        <is>
          <t>6528 OLD MILLS RD</t>
        </is>
      </c>
      <c r="BB10" s="1160" t="n"/>
      <c r="BC10" s="1161" t="n"/>
      <c r="BD10" s="550" t="n"/>
      <c r="BE10" s="801" t="inlineStr">
        <is>
          <t>START</t>
        </is>
      </c>
      <c r="BF10" s="1162" t="inlineStr">
        <is>
          <t>6604 VARDON CT</t>
        </is>
      </c>
      <c r="BG10" s="1140" t="n"/>
      <c r="BH10" s="1141" t="n"/>
      <c r="BI10" s="550" t="n"/>
      <c r="BJ10" s="801" t="inlineStr">
        <is>
          <t>START</t>
        </is>
      </c>
      <c r="BK10" s="1162" t="inlineStr">
        <is>
          <t>5009 NORTHRIDING CT</t>
        </is>
      </c>
      <c r="BL10" s="1140" t="n"/>
      <c r="BM10" s="1141" t="n"/>
      <c r="BN10" s="550" t="n"/>
      <c r="BO10" s="801" t="inlineStr">
        <is>
          <t>START</t>
        </is>
      </c>
      <c r="BP10" s="1162" t="inlineStr">
        <is>
          <t>5000 ALLANBROOKE LN</t>
        </is>
      </c>
      <c r="BQ10" s="1140" t="n"/>
      <c r="BR10" s="1141" t="n"/>
      <c r="BS10" s="550" t="n"/>
      <c r="BT10" s="801" t="inlineStr">
        <is>
          <t>START</t>
        </is>
      </c>
      <c r="BU10" s="1162" t="inlineStr">
        <is>
          <t>5120 HILLTOP NEEDMORE RD</t>
        </is>
      </c>
      <c r="BV10" s="1140" t="n"/>
      <c r="BW10" s="1141" t="n"/>
      <c r="BX10" s="550" t="n"/>
      <c r="BY10" s="801" t="inlineStr">
        <is>
          <t>START</t>
        </is>
      </c>
      <c r="BZ10" s="1162" t="inlineStr">
        <is>
          <t>5001 HILLTOP NEEDMORE RD</t>
        </is>
      </c>
      <c r="CA10" s="1140" t="n"/>
      <c r="CB10" s="1141" t="n"/>
      <c r="CC10" s="550" t="n"/>
      <c r="CD10" s="801" t="inlineStr">
        <is>
          <t>START</t>
        </is>
      </c>
      <c r="CE10" s="1162" t="inlineStr">
        <is>
          <t>5716 ACCIPITER CT</t>
        </is>
      </c>
      <c r="CF10" s="1140" t="n"/>
      <c r="CG10" s="1141" t="n"/>
      <c r="CH10" s="550" t="n"/>
      <c r="CI10" s="801" t="inlineStr">
        <is>
          <t>START</t>
        </is>
      </c>
      <c r="CJ10" s="1163" t="n"/>
      <c r="CK10" s="1140" t="n"/>
      <c r="CL10" s="1141" t="n"/>
      <c r="CM10" s="550" t="n"/>
      <c r="CN10" s="801" t="inlineStr">
        <is>
          <t>START</t>
        </is>
      </c>
      <c r="CO10" s="1163" t="n"/>
      <c r="CP10" s="1140" t="n"/>
      <c r="CQ10" s="1141" t="n"/>
      <c r="CR10" s="550" t="n"/>
      <c r="CS10" s="801" t="inlineStr">
        <is>
          <t>START</t>
        </is>
      </c>
      <c r="CT10" s="1163" t="n"/>
      <c r="CU10" s="1140" t="n"/>
      <c r="CV10" s="1141" t="n"/>
      <c r="CW10" s="550" t="n"/>
      <c r="CX10" s="801" t="inlineStr">
        <is>
          <t>START</t>
        </is>
      </c>
      <c r="CY10" s="1163" t="n"/>
      <c r="CZ10" s="1140" t="n"/>
      <c r="DA10" s="1141" t="n"/>
      <c r="DB10" s="550" t="n"/>
      <c r="DC10" s="801" t="inlineStr">
        <is>
          <t>START</t>
        </is>
      </c>
      <c r="DD10" s="1164" t="n"/>
      <c r="DE10" s="1160" t="n"/>
      <c r="DF10" s="1161" t="n"/>
      <c r="DG10" s="550" t="n"/>
      <c r="DH10" s="801" t="inlineStr">
        <is>
          <t>START</t>
        </is>
      </c>
      <c r="DI10" s="1163" t="n"/>
      <c r="DJ10" s="1140" t="n"/>
      <c r="DK10" s="1141" t="n"/>
      <c r="DL10" s="550" t="n"/>
      <c r="DM10" s="801" t="inlineStr">
        <is>
          <t>START</t>
        </is>
      </c>
      <c r="DN10" s="1164" t="n"/>
      <c r="DO10" s="1160" t="n"/>
      <c r="DP10" s="1161" t="n"/>
      <c r="DQ10" s="550" t="n"/>
      <c r="DR10" s="801" t="inlineStr">
        <is>
          <t>START</t>
        </is>
      </c>
      <c r="DS10" s="1164" t="n"/>
      <c r="DT10" s="1160" t="n"/>
      <c r="DU10" s="1161" t="n"/>
      <c r="DV10" s="550" t="n"/>
    </row>
    <row r="11" ht="15" customHeight="1" s="955">
      <c r="A11" s="550" t="n"/>
      <c r="B11" s="801" t="inlineStr">
        <is>
          <t>END</t>
        </is>
      </c>
      <c r="C11" s="1165" t="inlineStr">
        <is>
          <t>4844 BENTCREEK DR</t>
        </is>
      </c>
      <c r="D11" s="1160" t="n"/>
      <c r="E11" s="1161" t="n"/>
      <c r="F11" s="550" t="n"/>
      <c r="G11" s="801" t="inlineStr">
        <is>
          <t>END</t>
        </is>
      </c>
      <c r="H11" s="1165" t="inlineStr">
        <is>
          <t>5717 ACCIPITER CT</t>
        </is>
      </c>
      <c r="I11" s="1160" t="n"/>
      <c r="J11" s="1161" t="n"/>
      <c r="K11" s="550" t="n"/>
      <c r="L11" s="801" t="inlineStr">
        <is>
          <t>END</t>
        </is>
      </c>
      <c r="M11" s="1158" t="inlineStr">
        <is>
          <t>5709 ACCIPITER CT</t>
        </is>
      </c>
      <c r="N11" s="1140" t="n"/>
      <c r="O11" s="1141" t="n"/>
      <c r="P11" s="550" t="n"/>
      <c r="Q11" s="801" t="inlineStr">
        <is>
          <t>END</t>
        </is>
      </c>
      <c r="R11" s="1166" t="inlineStr">
        <is>
          <t>5700 BUTEO CT</t>
        </is>
      </c>
      <c r="S11" s="1167" t="n"/>
      <c r="T11" s="1168" t="n"/>
      <c r="U11" s="802" t="n"/>
      <c r="V11" s="801" t="inlineStr">
        <is>
          <t>END</t>
        </is>
      </c>
      <c r="W11" s="1164" t="inlineStr">
        <is>
          <t>2329 EAGLE SHOT CT</t>
        </is>
      </c>
      <c r="X11" s="1160" t="n"/>
      <c r="Y11" s="1161" t="n"/>
      <c r="Z11" s="550" t="n"/>
      <c r="AA11" s="801" t="inlineStr">
        <is>
          <t>END</t>
        </is>
      </c>
      <c r="AB11" s="1166" t="inlineStr">
        <is>
          <t>2329 EAGLE SHOT CT</t>
        </is>
      </c>
      <c r="AC11" s="1167" t="n"/>
      <c r="AD11" s="1168" t="n"/>
      <c r="AE11" s="550" t="n"/>
      <c r="AF11" s="801" t="inlineStr">
        <is>
          <t>END</t>
        </is>
      </c>
      <c r="AG11" s="1164" t="inlineStr">
        <is>
          <t>2301 EAGLE SHOT CT</t>
        </is>
      </c>
      <c r="AH11" s="1160" t="n"/>
      <c r="AI11" s="1161" t="n"/>
      <c r="AJ11" s="550" t="n"/>
      <c r="AK11" s="801" t="inlineStr">
        <is>
          <t>END</t>
        </is>
      </c>
      <c r="AL11" s="1166" t="inlineStr">
        <is>
          <t>5709 MIZUNO DR</t>
        </is>
      </c>
      <c r="AM11" s="1167" t="n"/>
      <c r="AN11" s="1168" t="n"/>
      <c r="AO11" s="550" t="n"/>
      <c r="AP11" s="801" t="inlineStr">
        <is>
          <t>END</t>
        </is>
      </c>
      <c r="AQ11" s="1162" t="inlineStr">
        <is>
          <t>3625 BENTWINDS BLUFFS LN</t>
        </is>
      </c>
      <c r="AR11" s="1140" t="n"/>
      <c r="AS11" s="1141" t="n"/>
      <c r="AT11" s="550" t="n"/>
      <c r="AU11" s="801" t="inlineStr">
        <is>
          <t>END</t>
        </is>
      </c>
      <c r="AV11" s="1164" t="inlineStr">
        <is>
          <t>8005 MUIRFIELD DR</t>
        </is>
      </c>
      <c r="AW11" s="1160" t="n"/>
      <c r="AX11" s="1161" t="n"/>
      <c r="AY11" s="550" t="n"/>
      <c r="AZ11" s="801" t="inlineStr">
        <is>
          <t>END</t>
        </is>
      </c>
      <c r="BA11" s="1159" t="inlineStr">
        <is>
          <t>6528 OLD MILLS RD</t>
        </is>
      </c>
      <c r="BB11" s="1160" t="n"/>
      <c r="BC11" s="1161" t="n"/>
      <c r="BD11" s="550" t="n"/>
      <c r="BE11" s="801" t="inlineStr">
        <is>
          <t>END</t>
        </is>
      </c>
      <c r="BF11" s="1164" t="inlineStr">
        <is>
          <t>7813 ST ANNES WAY</t>
        </is>
      </c>
      <c r="BG11" s="1160" t="n"/>
      <c r="BH11" s="1161" t="n"/>
      <c r="BI11" s="550" t="n"/>
      <c r="BJ11" s="801" t="inlineStr">
        <is>
          <t>END</t>
        </is>
      </c>
      <c r="BK11" s="1164" t="inlineStr">
        <is>
          <t>5000 NORTHRIDING CT</t>
        </is>
      </c>
      <c r="BL11" s="1160" t="n"/>
      <c r="BM11" s="1161" t="n"/>
      <c r="BN11" s="550" t="n"/>
      <c r="BO11" s="801" t="inlineStr">
        <is>
          <t>END</t>
        </is>
      </c>
      <c r="BP11" s="1164" t="inlineStr">
        <is>
          <t>5017 ALLANBROOKE LN</t>
        </is>
      </c>
      <c r="BQ11" s="1160" t="n"/>
      <c r="BR11" s="1161" t="n"/>
      <c r="BS11" s="550" t="n"/>
      <c r="BT11" s="801" t="inlineStr">
        <is>
          <t>END</t>
        </is>
      </c>
      <c r="BU11" s="1164" t="inlineStr">
        <is>
          <t>5009 HILLTOP NEEDMORE RD</t>
        </is>
      </c>
      <c r="BV11" s="1160" t="n"/>
      <c r="BW11" s="1161" t="n"/>
      <c r="BX11" s="550" t="n"/>
      <c r="BY11" s="801" t="inlineStr">
        <is>
          <t>END</t>
        </is>
      </c>
      <c r="BZ11" s="1164" t="inlineStr">
        <is>
          <t>4844 FRANKIE RD</t>
        </is>
      </c>
      <c r="CA11" s="1160" t="n"/>
      <c r="CB11" s="1161" t="n"/>
      <c r="CC11" s="550" t="n"/>
      <c r="CD11" s="801" t="inlineStr">
        <is>
          <t>END</t>
        </is>
      </c>
      <c r="CE11" s="1162" t="inlineStr">
        <is>
          <t>5716 ACCIPITER CT</t>
        </is>
      </c>
      <c r="CF11" s="1140" t="n"/>
      <c r="CG11" s="1141" t="n"/>
      <c r="CH11" s="550" t="n"/>
      <c r="CI11" s="801" t="inlineStr">
        <is>
          <t>END</t>
        </is>
      </c>
      <c r="CJ11" s="1164" t="n"/>
      <c r="CK11" s="1160" t="n"/>
      <c r="CL11" s="1161" t="n"/>
      <c r="CM11" s="550" t="n"/>
      <c r="CN11" s="801" t="inlineStr">
        <is>
          <t>END</t>
        </is>
      </c>
      <c r="CO11" s="1164" t="n"/>
      <c r="CP11" s="1160" t="n"/>
      <c r="CQ11" s="1161" t="n"/>
      <c r="CR11" s="550" t="n"/>
      <c r="CS11" s="801" t="inlineStr">
        <is>
          <t>END</t>
        </is>
      </c>
      <c r="CT11" s="1163" t="n"/>
      <c r="CU11" s="1140" t="n"/>
      <c r="CV11" s="1141" t="n"/>
      <c r="CW11" s="550" t="n"/>
      <c r="CX11" s="801" t="inlineStr">
        <is>
          <t>END</t>
        </is>
      </c>
      <c r="CY11" s="1163" t="n"/>
      <c r="CZ11" s="1140" t="n"/>
      <c r="DA11" s="1141" t="n"/>
      <c r="DB11" s="550" t="n"/>
      <c r="DC11" s="801" t="inlineStr">
        <is>
          <t>END</t>
        </is>
      </c>
      <c r="DD11" s="1164" t="n"/>
      <c r="DE11" s="1160" t="n"/>
      <c r="DF11" s="1161" t="n"/>
      <c r="DG11" s="550" t="n"/>
      <c r="DH11" s="801" t="inlineStr">
        <is>
          <t>END</t>
        </is>
      </c>
      <c r="DI11" s="1163" t="n"/>
      <c r="DJ11" s="1140" t="n"/>
      <c r="DK11" s="1141" t="n"/>
      <c r="DL11" s="550" t="n"/>
      <c r="DM11" s="801" t="inlineStr">
        <is>
          <t>END</t>
        </is>
      </c>
      <c r="DN11" s="1164" t="n"/>
      <c r="DO11" s="1160" t="n"/>
      <c r="DP11" s="1161" t="n"/>
      <c r="DQ11" s="550" t="n"/>
      <c r="DR11" s="801" t="inlineStr">
        <is>
          <t>END</t>
        </is>
      </c>
      <c r="DS11" s="1164" t="n"/>
      <c r="DT11" s="1160" t="n"/>
      <c r="DU11" s="1161"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c r="CK12" s="760" t="n"/>
      <c r="CL12" s="805" t="n"/>
      <c r="CM12" s="803" t="n"/>
      <c r="CN12" s="758" t="inlineStr">
        <is>
          <t>CABLE SIZE</t>
        </is>
      </c>
      <c r="CO12" s="759" t="n"/>
      <c r="CP12" s="760" t="n"/>
      <c r="CQ12" s="805" t="n"/>
      <c r="CR12" s="803" t="n"/>
      <c r="CS12" s="758" t="inlineStr">
        <is>
          <t>CABLE SIZE</t>
        </is>
      </c>
      <c r="CT12" s="759" t="n"/>
      <c r="CU12" s="760" t="n"/>
      <c r="CV12" s="805" t="n"/>
      <c r="CW12" s="803" t="n"/>
      <c r="CX12" s="758" t="inlineStr">
        <is>
          <t>CABLE SIZE</t>
        </is>
      </c>
      <c r="CY12" s="759" t="n"/>
      <c r="CZ12" s="760" t="n"/>
      <c r="DA12" s="805" t="n"/>
      <c r="DB12" s="803" t="n"/>
      <c r="DC12" s="758" t="inlineStr">
        <is>
          <t>CABLE SIZE</t>
        </is>
      </c>
      <c r="DD12" s="759" t="n"/>
      <c r="DE12" s="760" t="n"/>
      <c r="DF12" s="805" t="n"/>
      <c r="DG12" s="803" t="n"/>
      <c r="DH12" s="758" t="inlineStr">
        <is>
          <t>CABLE SIZE</t>
        </is>
      </c>
      <c r="DI12" s="759" t="n"/>
      <c r="DJ12" s="760" t="n"/>
      <c r="DK12" s="805" t="n"/>
      <c r="DL12" s="803" t="n"/>
      <c r="DM12" s="758" t="inlineStr">
        <is>
          <t>CABLE SIZE</t>
        </is>
      </c>
      <c r="DN12" s="759" t="n"/>
      <c r="DO12" s="760" t="n"/>
      <c r="DP12" s="805" t="n"/>
      <c r="DQ12" s="803" t="n"/>
      <c r="DR12" s="758" t="inlineStr">
        <is>
          <t>CABLE SIZE</t>
        </is>
      </c>
      <c r="DS12" s="759" t="n"/>
      <c r="DT12" s="760" t="n"/>
      <c r="DU12" s="805" t="n"/>
      <c r="DV12" s="803" t="n"/>
    </row>
    <row r="13" s="955">
      <c r="A13" s="550" t="n"/>
      <c r="B13" s="807" t="inlineStr">
        <is>
          <t>TOTAL</t>
        </is>
      </c>
      <c r="C13" s="808">
        <f>SUM(C15:E199)</f>
        <v/>
      </c>
      <c r="D13" s="809" t="n"/>
      <c r="E13" s="810" t="n"/>
      <c r="F13" s="798" t="n"/>
      <c r="G13" s="807" t="inlineStr">
        <is>
          <t>TOTAL</t>
        </is>
      </c>
      <c r="H13" s="808">
        <f>SUM(H15:J199)</f>
        <v/>
      </c>
      <c r="I13" s="811" t="n"/>
      <c r="J13" s="765" t="n"/>
      <c r="K13" s="550" t="n"/>
      <c r="L13" s="807" t="inlineStr">
        <is>
          <t>TOTAL</t>
        </is>
      </c>
      <c r="M13" s="808">
        <f>SUM(M15:O199)</f>
        <v/>
      </c>
      <c r="N13" s="811" t="n"/>
      <c r="O13" s="765" t="n"/>
      <c r="P13" s="550" t="n"/>
      <c r="Q13" s="807" t="inlineStr">
        <is>
          <t>TOTAL</t>
        </is>
      </c>
      <c r="R13" s="808">
        <f>SUM(R15:T199)</f>
        <v/>
      </c>
      <c r="S13" s="811" t="n"/>
      <c r="T13" s="765" t="n"/>
      <c r="U13" s="752" t="n"/>
      <c r="V13" s="807" t="inlineStr">
        <is>
          <t>TOTAL</t>
        </is>
      </c>
      <c r="W13" s="808">
        <f>SUM(W15:Y199)</f>
        <v/>
      </c>
      <c r="X13" s="811" t="n"/>
      <c r="Y13" s="765" t="n"/>
      <c r="Z13" s="550" t="n"/>
      <c r="AA13" s="807" t="inlineStr">
        <is>
          <t>TOTAL</t>
        </is>
      </c>
      <c r="AB13" s="808">
        <f>SUM(AB15:AD199)</f>
        <v/>
      </c>
      <c r="AC13" s="811" t="n"/>
      <c r="AD13" s="765" t="n"/>
      <c r="AE13" s="550" t="n"/>
      <c r="AF13" s="807" t="inlineStr">
        <is>
          <t>TOTAL</t>
        </is>
      </c>
      <c r="AG13" s="808">
        <f>SUM(AG15:AI199)</f>
        <v/>
      </c>
      <c r="AH13" s="811" t="n"/>
      <c r="AI13" s="765" t="n"/>
      <c r="AJ13" s="550" t="n"/>
      <c r="AK13" s="807" t="inlineStr">
        <is>
          <t>TOTAL</t>
        </is>
      </c>
      <c r="AL13" s="808">
        <f>SUM(AL15:AN199)</f>
        <v/>
      </c>
      <c r="AM13" s="811" t="n"/>
      <c r="AN13" s="765" t="n"/>
      <c r="AO13" s="550" t="n"/>
      <c r="AP13" s="807" t="inlineStr">
        <is>
          <t>TOTAL</t>
        </is>
      </c>
      <c r="AQ13" s="808">
        <f>SUM(AQ15:AS199)</f>
        <v/>
      </c>
      <c r="AR13" s="811" t="n"/>
      <c r="AS13" s="765" t="n"/>
      <c r="AT13" s="550" t="n"/>
      <c r="AU13" s="807" t="inlineStr">
        <is>
          <t>TOTAL</t>
        </is>
      </c>
      <c r="AV13" s="808">
        <f>SUM(AV15:AX199)</f>
        <v/>
      </c>
      <c r="AW13" s="811" t="n"/>
      <c r="AX13" s="765" t="n"/>
      <c r="AY13" s="550" t="n"/>
      <c r="AZ13" s="807" t="inlineStr">
        <is>
          <t>TOTAL</t>
        </is>
      </c>
      <c r="BA13" s="808">
        <f>SUM(BA15:BC199)</f>
        <v/>
      </c>
      <c r="BB13" s="811" t="n"/>
      <c r="BC13" s="765" t="n"/>
      <c r="BD13" s="550" t="n"/>
      <c r="BE13" s="807" t="inlineStr">
        <is>
          <t>TOTAL</t>
        </is>
      </c>
      <c r="BF13" s="808">
        <f>SUM(BF15:BH199)</f>
        <v/>
      </c>
      <c r="BG13" s="811" t="n"/>
      <c r="BH13" s="765" t="n"/>
      <c r="BI13" s="550" t="n"/>
      <c r="BJ13" s="807" t="inlineStr">
        <is>
          <t>TOTAL</t>
        </is>
      </c>
      <c r="BK13" s="808">
        <f>SUM(BK15:BM199)</f>
        <v/>
      </c>
      <c r="BL13" s="811" t="n"/>
      <c r="BM13" s="765" t="n"/>
      <c r="BN13" s="550" t="n"/>
      <c r="BO13" s="807" t="inlineStr">
        <is>
          <t>TOTAL</t>
        </is>
      </c>
      <c r="BP13" s="808">
        <f>SUM(BP15:BR199)</f>
        <v/>
      </c>
      <c r="BQ13" s="811" t="n"/>
      <c r="BR13" s="765" t="n"/>
      <c r="BS13" s="550" t="n"/>
      <c r="BT13" s="807" t="inlineStr">
        <is>
          <t>TOTAL</t>
        </is>
      </c>
      <c r="BU13" s="808">
        <f>SUM(BU15:BW199)</f>
        <v/>
      </c>
      <c r="BV13" s="811" t="n"/>
      <c r="BW13" s="765" t="n"/>
      <c r="BX13" s="550" t="n"/>
      <c r="BY13" s="807" t="inlineStr">
        <is>
          <t>TOTAL</t>
        </is>
      </c>
      <c r="BZ13" s="808">
        <f>SUM(BZ15:CB199)</f>
        <v/>
      </c>
      <c r="CA13" s="811" t="n"/>
      <c r="CB13" s="765" t="n"/>
      <c r="CC13" s="550" t="n"/>
      <c r="CD13" s="807" t="inlineStr">
        <is>
          <t>TOTAL</t>
        </is>
      </c>
      <c r="CE13" s="808">
        <f>SUM(CE15:CG199)</f>
        <v/>
      </c>
      <c r="CF13" s="811" t="n"/>
      <c r="CG13" s="765" t="n"/>
      <c r="CH13" s="550" t="n"/>
      <c r="CI13" s="807" t="inlineStr">
        <is>
          <t>TOTAL</t>
        </is>
      </c>
      <c r="CJ13" s="808">
        <f>SUM(CJ15:CL199)</f>
        <v/>
      </c>
      <c r="CK13" s="811" t="n"/>
      <c r="CL13" s="765" t="n"/>
      <c r="CM13" s="550" t="n"/>
      <c r="CN13" s="807" t="inlineStr">
        <is>
          <t>TOTAL</t>
        </is>
      </c>
      <c r="CO13" s="808">
        <f>SUM(CO15:CQ199)</f>
        <v/>
      </c>
      <c r="CP13" s="811" t="n"/>
      <c r="CQ13" s="765" t="n"/>
      <c r="CR13" s="550" t="n"/>
      <c r="CS13" s="807" t="inlineStr">
        <is>
          <t>TOTAL</t>
        </is>
      </c>
      <c r="CT13" s="808">
        <f>SUM(CT15:CV199)</f>
        <v/>
      </c>
      <c r="CU13" s="811" t="n"/>
      <c r="CV13" s="765" t="n"/>
      <c r="CW13" s="550" t="n"/>
      <c r="CX13" s="807" t="inlineStr">
        <is>
          <t>TOTAL</t>
        </is>
      </c>
      <c r="CY13" s="808">
        <f>SUM(CY15:DA199)</f>
        <v/>
      </c>
      <c r="CZ13" s="811" t="n"/>
      <c r="DA13" s="765" t="n"/>
      <c r="DB13" s="550" t="n"/>
      <c r="DC13" s="807" t="inlineStr">
        <is>
          <t>TOTAL</t>
        </is>
      </c>
      <c r="DD13" s="808">
        <f>SUM(DD15:DF199)</f>
        <v/>
      </c>
      <c r="DE13" s="811" t="n"/>
      <c r="DF13" s="765" t="n"/>
      <c r="DG13" s="550" t="n"/>
      <c r="DH13" s="807" t="inlineStr">
        <is>
          <t>TOTAL</t>
        </is>
      </c>
      <c r="DI13" s="808">
        <f>SUM(DI15:DK199)</f>
        <v/>
      </c>
      <c r="DJ13" s="811" t="n"/>
      <c r="DK13" s="765" t="n"/>
      <c r="DL13" s="550" t="n"/>
      <c r="DM13" s="807" t="inlineStr">
        <is>
          <t>TOTAL</t>
        </is>
      </c>
      <c r="DN13" s="808">
        <f>SUM(DN15:DP199)</f>
        <v/>
      </c>
      <c r="DO13" s="811" t="n"/>
      <c r="DP13" s="765" t="n"/>
      <c r="DQ13" s="550" t="n"/>
      <c r="DR13" s="807" t="inlineStr">
        <is>
          <t>TOTAL</t>
        </is>
      </c>
      <c r="DS13" s="808">
        <f>SUM(DS15:DU199)</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v>0</v>
      </c>
      <c r="CF15" s="821" t="n">
        <v>50</v>
      </c>
      <c r="CG15" s="822" t="n"/>
      <c r="CH15" s="803" t="n"/>
      <c r="CI15" s="824" t="n"/>
      <c r="CJ15" s="820" t="n"/>
      <c r="CK15" s="821" t="n"/>
      <c r="CL15" s="822" t="n"/>
      <c r="CM15" s="803" t="n"/>
      <c r="CN15" s="823" t="n"/>
      <c r="CO15" s="820" t="n"/>
      <c r="CP15" s="821" t="n"/>
      <c r="CQ15" s="822" t="n"/>
      <c r="CR15" s="803" t="n"/>
      <c r="CS15" s="823" t="n"/>
      <c r="CT15" s="820" t="n"/>
      <c r="CU15" s="821" t="n"/>
      <c r="CV15" s="822" t="n"/>
      <c r="CW15" s="803" t="n"/>
      <c r="CX15" s="823" t="n"/>
      <c r="CY15" s="820" t="n"/>
      <c r="CZ15" s="821" t="n"/>
      <c r="DA15" s="822" t="n"/>
      <c r="DB15" s="803" t="n"/>
      <c r="DC15" s="823" t="n"/>
      <c r="DD15" s="1042" t="n"/>
      <c r="DE15" s="821" t="n"/>
      <c r="DF15" s="822" t="n"/>
      <c r="DG15" s="803" t="n"/>
      <c r="DH15" s="823" t="n"/>
      <c r="DI15" s="1042" t="n"/>
      <c r="DJ15" s="821" t="n"/>
      <c r="DK15" s="822" t="n"/>
      <c r="DL15" s="803" t="n"/>
      <c r="DM15" s="823" t="n"/>
      <c r="DN15" s="1042" t="n"/>
      <c r="DO15" s="821" t="n"/>
      <c r="DP15" s="822" t="n"/>
      <c r="DQ15" s="803" t="n"/>
      <c r="DR15" s="823" t="n"/>
      <c r="DS15" s="1042" t="n"/>
      <c r="DT15" s="821" t="n"/>
      <c r="DU15" s="822" t="n"/>
      <c r="DV15" s="803" t="n"/>
    </row>
    <row r="16">
      <c r="C16" s="832" t="n">
        <v>364</v>
      </c>
      <c r="D16" s="1169" t="n">
        <v>2</v>
      </c>
      <c r="E16" s="1170" t="n"/>
      <c r="F16" s="823" t="n"/>
      <c r="G16" s="824" t="n"/>
      <c r="H16" s="832" t="n">
        <v>265</v>
      </c>
      <c r="I16" s="1169" t="n">
        <v>2</v>
      </c>
      <c r="J16" s="1170" t="n"/>
      <c r="K16" s="823" t="n"/>
      <c r="L16" s="824" t="n"/>
      <c r="M16" s="832" t="n">
        <v>94</v>
      </c>
      <c r="N16" s="1169" t="n">
        <v>3</v>
      </c>
      <c r="O16" s="1170" t="n"/>
      <c r="P16" s="823" t="n"/>
      <c r="Q16" s="824" t="n"/>
      <c r="R16" s="832" t="n">
        <v>210</v>
      </c>
      <c r="S16" s="1169" t="n">
        <v>6</v>
      </c>
      <c r="T16" s="1170" t="n"/>
      <c r="U16" s="827" t="n"/>
      <c r="V16" s="824" t="n"/>
      <c r="W16" s="832" t="n">
        <v>41</v>
      </c>
      <c r="X16" s="1169" t="n">
        <v>15</v>
      </c>
      <c r="Y16" s="1170" t="n"/>
      <c r="Z16" s="823" t="n"/>
      <c r="AA16" s="824" t="n"/>
      <c r="AB16" s="832" t="n">
        <v>67</v>
      </c>
      <c r="AC16" s="1169" t="n">
        <v>8</v>
      </c>
      <c r="AD16" s="1170" t="n"/>
      <c r="AE16" s="803" t="n"/>
      <c r="AF16" s="824" t="n"/>
      <c r="AG16" s="832" t="n">
        <v>104</v>
      </c>
      <c r="AH16" s="1169" t="n">
        <v>8</v>
      </c>
      <c r="AI16" s="1170" t="n"/>
      <c r="AJ16" s="803" t="n"/>
      <c r="AK16" s="824" t="n"/>
      <c r="AL16" s="1042" t="n">
        <v>84</v>
      </c>
      <c r="AM16" s="1169" t="n">
        <v>8</v>
      </c>
      <c r="AN16" s="1170" t="n"/>
      <c r="AO16" s="803" t="n"/>
      <c r="AP16" s="824" t="n"/>
      <c r="AQ16" s="832" t="n">
        <v>115</v>
      </c>
      <c r="AR16" s="1169" t="n">
        <v>7</v>
      </c>
      <c r="AS16" s="1170" t="n"/>
      <c r="AT16" s="803" t="n"/>
      <c r="AU16" s="824" t="n"/>
      <c r="AV16" s="832" t="n">
        <v>267</v>
      </c>
      <c r="AW16" s="1169" t="n">
        <v>9</v>
      </c>
      <c r="AX16" s="1170" t="n"/>
      <c r="AY16" s="803" t="n"/>
      <c r="AZ16" s="824" t="n"/>
      <c r="BA16" s="832" t="n">
        <v>305</v>
      </c>
      <c r="BB16" s="1169" t="n">
        <v>10</v>
      </c>
      <c r="BC16" s="1170" t="n"/>
      <c r="BD16" s="803" t="n"/>
      <c r="BE16" s="823" t="n"/>
      <c r="BF16" s="832" t="n">
        <v>90</v>
      </c>
      <c r="BG16" s="1169" t="n">
        <v>9</v>
      </c>
      <c r="BH16" s="1170" t="n"/>
      <c r="BI16" s="803" t="n"/>
      <c r="BJ16" s="824" t="n"/>
      <c r="BK16" s="832" t="n">
        <v>164</v>
      </c>
      <c r="BL16" s="1169" t="n">
        <v>13</v>
      </c>
      <c r="BM16" s="1170" t="n"/>
      <c r="BN16" s="803" t="n"/>
      <c r="BO16" s="824" t="n"/>
      <c r="BP16" s="832" t="n">
        <v>60</v>
      </c>
      <c r="BQ16" s="1169" t="n">
        <v>14</v>
      </c>
      <c r="BR16" s="1170" t="n"/>
      <c r="BS16" s="803" t="n"/>
      <c r="BT16" s="824" t="n"/>
      <c r="BU16" s="832" t="n">
        <v>140</v>
      </c>
      <c r="BV16" s="1169" t="n">
        <v>17</v>
      </c>
      <c r="BW16" s="1170" t="n"/>
      <c r="BX16" s="803" t="n"/>
      <c r="BY16" s="824" t="n"/>
      <c r="BZ16" s="832" t="n">
        <v>0</v>
      </c>
      <c r="CA16" s="1169" t="n">
        <v>20</v>
      </c>
      <c r="CB16" s="1170" t="n"/>
      <c r="CC16" s="803" t="n"/>
      <c r="CD16" s="824" t="n"/>
      <c r="CE16" s="832" t="n">
        <v>302</v>
      </c>
      <c r="CF16" s="1169" t="n">
        <v>2</v>
      </c>
      <c r="CG16" s="1170" t="n"/>
      <c r="CH16" s="803" t="n"/>
      <c r="CI16" s="824" t="n"/>
      <c r="CJ16" s="1042" t="n"/>
      <c r="CK16" s="821" t="n"/>
      <c r="CL16" s="822" t="n"/>
      <c r="CM16" s="803" t="n"/>
      <c r="CN16" s="823" t="n"/>
      <c r="CO16" s="828" t="n"/>
      <c r="CP16" s="821" t="n"/>
      <c r="CQ16" s="822" t="n"/>
      <c r="CR16" s="803" t="n"/>
      <c r="CS16" s="823" t="n"/>
      <c r="CT16" s="828" t="n"/>
      <c r="CU16" s="821" t="n"/>
      <c r="CV16" s="822" t="n"/>
      <c r="CW16" s="803" t="n"/>
      <c r="CX16" s="823" t="n"/>
      <c r="CY16" s="828" t="n"/>
      <c r="CZ16" s="821" t="n"/>
      <c r="DA16" s="822" t="n"/>
      <c r="DB16" s="803" t="n"/>
      <c r="DC16" s="823" t="n"/>
      <c r="DD16" s="828" t="n"/>
      <c r="DE16" s="821" t="n"/>
      <c r="DF16" s="822" t="n"/>
      <c r="DG16" s="803" t="n"/>
      <c r="DH16" s="823" t="n"/>
      <c r="DI16" s="1042" t="n"/>
      <c r="DJ16" s="821" t="n"/>
      <c r="DK16" s="822" t="n"/>
      <c r="DL16" s="803" t="n"/>
      <c r="DM16" s="823" t="n"/>
      <c r="DN16" s="828" t="n"/>
      <c r="DO16" s="821" t="n"/>
      <c r="DP16" s="822" t="n"/>
      <c r="DQ16" s="803" t="n"/>
      <c r="DR16" s="823" t="n"/>
      <c r="DS16" s="1042" t="n"/>
      <c r="DT16" s="821" t="n"/>
      <c r="DU16" s="822" t="n"/>
    </row>
    <row r="17">
      <c r="C17" s="832" t="n">
        <v>229</v>
      </c>
      <c r="D17" s="1169" t="n">
        <v>9</v>
      </c>
      <c r="E17" s="1170" t="n"/>
      <c r="F17" s="823" t="n"/>
      <c r="G17" s="824" t="n"/>
      <c r="H17" s="832" t="n">
        <v>316</v>
      </c>
      <c r="I17" s="1169" t="n">
        <v>4</v>
      </c>
      <c r="J17" s="1170" t="n"/>
      <c r="K17" s="823" t="n"/>
      <c r="L17" s="824" t="n"/>
      <c r="M17" s="832" t="n">
        <v>331</v>
      </c>
      <c r="N17" s="1169" t="n">
        <v>3</v>
      </c>
      <c r="O17" s="1170" t="n"/>
      <c r="P17" s="823" t="n"/>
      <c r="Q17" s="824" t="n"/>
      <c r="R17" s="832" t="n">
        <v>218</v>
      </c>
      <c r="S17" s="1169" t="n">
        <v>6</v>
      </c>
      <c r="T17" s="1170" t="n"/>
      <c r="U17" s="827" t="n"/>
      <c r="V17" s="824" t="n"/>
      <c r="W17" s="1042" t="n">
        <v>133</v>
      </c>
      <c r="X17" s="1169" t="n">
        <v>15</v>
      </c>
      <c r="Y17" s="1170" t="n"/>
      <c r="Z17" s="823" t="n"/>
      <c r="AA17" s="824" t="n"/>
      <c r="AB17" s="832" t="n">
        <v>67</v>
      </c>
      <c r="AC17" s="1169" t="n">
        <v>8</v>
      </c>
      <c r="AD17" s="1170" t="n"/>
      <c r="AE17" s="803" t="n"/>
      <c r="AF17" s="824" t="n"/>
      <c r="AG17" s="832" t="n">
        <v>138</v>
      </c>
      <c r="AH17" s="1169" t="n">
        <v>8</v>
      </c>
      <c r="AI17" s="1170" t="n"/>
      <c r="AJ17" s="803" t="n"/>
      <c r="AK17" s="824" t="n"/>
      <c r="AL17" s="1042" t="n">
        <v>82</v>
      </c>
      <c r="AM17" s="1169" t="n">
        <v>8</v>
      </c>
      <c r="AN17" s="1170" t="n"/>
      <c r="AO17" s="803" t="n"/>
      <c r="AP17" s="824" t="n"/>
      <c r="AQ17" s="832" t="n">
        <v>157</v>
      </c>
      <c r="AR17" s="1169" t="n">
        <v>7</v>
      </c>
      <c r="AS17" s="1170" t="n"/>
      <c r="AT17" s="803" t="n"/>
      <c r="AU17" s="824" t="n"/>
      <c r="AV17" s="832" t="n">
        <v>197</v>
      </c>
      <c r="AW17" s="1169" t="n">
        <v>9</v>
      </c>
      <c r="AX17" s="1170" t="n"/>
      <c r="AY17" s="803" t="n"/>
      <c r="AZ17" s="824" t="n"/>
      <c r="BA17" s="832" t="n">
        <v>305</v>
      </c>
      <c r="BB17" s="1169" t="n">
        <v>11</v>
      </c>
      <c r="BC17" s="1170" t="n"/>
      <c r="BD17" s="803" t="n"/>
      <c r="BE17" s="823" t="n"/>
      <c r="BF17" s="832" t="n">
        <v>100</v>
      </c>
      <c r="BG17" s="1169" t="n">
        <v>9</v>
      </c>
      <c r="BH17" s="1170" t="n"/>
      <c r="BI17" s="803" t="n"/>
      <c r="BJ17" s="824" t="n"/>
      <c r="BK17" s="832" t="n">
        <v>332</v>
      </c>
      <c r="BL17" s="1169" t="n">
        <v>14</v>
      </c>
      <c r="BM17" s="1170" t="n"/>
      <c r="BN17" s="803" t="n"/>
      <c r="BO17" s="824" t="n"/>
      <c r="BP17" s="832" t="n">
        <v>155</v>
      </c>
      <c r="BQ17" s="1169" t="n">
        <v>14</v>
      </c>
      <c r="BR17" s="1170" t="n"/>
      <c r="BS17" s="803" t="n"/>
      <c r="BT17" s="824" t="n"/>
      <c r="BU17" s="832" t="n">
        <v>173</v>
      </c>
      <c r="BV17" s="1169" t="n">
        <v>17</v>
      </c>
      <c r="BW17" s="1170" t="n"/>
      <c r="BX17" s="803" t="n"/>
      <c r="BY17" s="824" t="n"/>
      <c r="BZ17" s="832" t="n">
        <v>41</v>
      </c>
      <c r="CA17" s="1169" t="n">
        <v>18</v>
      </c>
      <c r="CB17" s="1170" t="n"/>
      <c r="CC17" s="803" t="n"/>
      <c r="CD17" s="824" t="n"/>
      <c r="CE17" s="828" t="n"/>
      <c r="CF17" s="821" t="n"/>
      <c r="CG17" s="822" t="n"/>
      <c r="CH17" s="803" t="n"/>
      <c r="CI17" s="824" t="n"/>
      <c r="CJ17" s="1042" t="n"/>
      <c r="CK17" s="821" t="n"/>
      <c r="CL17" s="822" t="n"/>
      <c r="CM17" s="803" t="n"/>
      <c r="CN17" s="823" t="n"/>
      <c r="CO17" s="1042" t="n"/>
      <c r="CP17" s="821" t="n"/>
      <c r="CQ17" s="822" t="n"/>
      <c r="CR17" s="803" t="n"/>
      <c r="CS17" s="823" t="n"/>
      <c r="CT17" s="1042" t="n"/>
      <c r="CU17" s="821" t="n"/>
      <c r="CV17" s="822" t="n"/>
      <c r="CW17" s="803" t="n"/>
      <c r="CX17" s="823" t="n"/>
      <c r="CY17" s="828" t="n"/>
      <c r="CZ17" s="821" t="n"/>
      <c r="DA17" s="822" t="n"/>
      <c r="DB17" s="803" t="n"/>
      <c r="DC17" s="823" t="n"/>
      <c r="DD17" s="828" t="n"/>
      <c r="DE17" s="821" t="n"/>
      <c r="DF17" s="822" t="n"/>
      <c r="DG17" s="803" t="n"/>
      <c r="DH17" s="823" t="n"/>
      <c r="DI17" s="828" t="n"/>
      <c r="DJ17" s="821" t="n"/>
      <c r="DK17" s="822" t="n"/>
      <c r="DL17" s="803" t="n"/>
      <c r="DM17" s="823" t="n"/>
      <c r="DN17" s="828" t="n"/>
      <c r="DO17" s="821" t="n"/>
      <c r="DP17" s="822" t="n"/>
      <c r="DQ17" s="803" t="n"/>
      <c r="DR17" s="823" t="n"/>
      <c r="DS17" s="828" t="n"/>
      <c r="DT17" s="821" t="n"/>
      <c r="DU17" s="822" t="n"/>
    </row>
    <row r="18">
      <c r="C18" s="832" t="n">
        <v>78</v>
      </c>
      <c r="D18" s="1169" t="n">
        <v>6</v>
      </c>
      <c r="E18" s="1170" t="n"/>
      <c r="F18" s="823" t="n"/>
      <c r="G18" s="824" t="n"/>
      <c r="H18" s="832" t="n">
        <v>57</v>
      </c>
      <c r="I18" s="1169" t="n">
        <v>1</v>
      </c>
      <c r="J18" s="1170" t="n"/>
      <c r="K18" s="823" t="n"/>
      <c r="L18" s="824" t="n"/>
      <c r="M18" s="832" t="n">
        <v>46</v>
      </c>
      <c r="N18" s="1169" t="n">
        <v>3</v>
      </c>
      <c r="O18" s="1170" t="n"/>
      <c r="P18" s="823" t="n"/>
      <c r="Q18" s="824" t="n"/>
      <c r="R18" s="832" t="n">
        <v>102</v>
      </c>
      <c r="S18" s="1169" t="n">
        <v>6</v>
      </c>
      <c r="T18" s="1170" t="n"/>
      <c r="U18" s="827" t="n"/>
      <c r="V18" s="824" t="n"/>
      <c r="W18" s="1042" t="n">
        <v>38</v>
      </c>
      <c r="X18" s="1169" t="n">
        <v>15</v>
      </c>
      <c r="Y18" s="1170" t="n"/>
      <c r="Z18" s="823" t="n"/>
      <c r="AA18" s="824" t="n"/>
      <c r="AB18" s="832" t="n">
        <v>63</v>
      </c>
      <c r="AC18" s="1169" t="n">
        <v>8</v>
      </c>
      <c r="AD18" s="1170" t="n"/>
      <c r="AE18" s="803" t="n"/>
      <c r="AF18" s="824" t="n"/>
      <c r="AG18" s="832" t="n">
        <v>24</v>
      </c>
      <c r="AH18" s="1169" t="n">
        <v>7</v>
      </c>
      <c r="AI18" s="1170" t="n"/>
      <c r="AJ18" s="803" t="n"/>
      <c r="AK18" s="824" t="n"/>
      <c r="AL18" s="832" t="n">
        <v>141</v>
      </c>
      <c r="AM18" s="1169" t="n">
        <v>8</v>
      </c>
      <c r="AN18" s="1170" t="n"/>
      <c r="AO18" s="803" t="n"/>
      <c r="AP18" s="824" t="n"/>
      <c r="AQ18" s="832" t="n">
        <v>140</v>
      </c>
      <c r="AR18" s="1169" t="n">
        <v>8</v>
      </c>
      <c r="AS18" s="1170" t="n"/>
      <c r="AT18" s="803" t="n"/>
      <c r="AU18" s="824" t="n"/>
      <c r="AV18" s="832" t="n">
        <v>142</v>
      </c>
      <c r="AW18" s="1169" t="n">
        <v>9</v>
      </c>
      <c r="AX18" s="1170" t="n"/>
      <c r="AY18" s="803" t="n"/>
      <c r="AZ18" s="824" t="n"/>
      <c r="BA18" s="832" t="n">
        <v>152</v>
      </c>
      <c r="BB18" s="1169" t="n">
        <v>11</v>
      </c>
      <c r="BC18" s="1170" t="n"/>
      <c r="BD18" s="803" t="n"/>
      <c r="BE18" s="830" t="n"/>
      <c r="BF18" s="832" t="n">
        <v>220</v>
      </c>
      <c r="BG18" s="1169" t="n">
        <v>9</v>
      </c>
      <c r="BH18" s="1170" t="n"/>
      <c r="BI18" s="803" t="n"/>
      <c r="BJ18" s="831" t="n"/>
      <c r="BK18" s="1042" t="n">
        <v>44</v>
      </c>
      <c r="BL18" s="1169" t="n">
        <v>14</v>
      </c>
      <c r="BM18" s="1170" t="n"/>
      <c r="BN18" s="803" t="n"/>
      <c r="BO18" s="831" t="n"/>
      <c r="BP18" s="832" t="n">
        <v>50</v>
      </c>
      <c r="BQ18" s="1169" t="n">
        <v>14</v>
      </c>
      <c r="BR18" s="1170" t="n"/>
      <c r="BS18" s="803" t="n"/>
      <c r="BT18" s="831" t="n"/>
      <c r="BU18" s="832" t="n">
        <v>55</v>
      </c>
      <c r="BV18" s="1169" t="n">
        <v>21</v>
      </c>
      <c r="BW18" s="1170" t="n"/>
      <c r="BX18" s="803" t="n"/>
      <c r="BY18" s="831" t="n"/>
      <c r="BZ18" s="832" t="n">
        <v>36</v>
      </c>
      <c r="CA18" s="1169" t="n">
        <v>19</v>
      </c>
      <c r="CB18" s="1170" t="n"/>
      <c r="CC18" s="803" t="n"/>
      <c r="CD18" s="831" t="n"/>
      <c r="CE18" s="828" t="n"/>
      <c r="CF18" s="821" t="n"/>
      <c r="CG18" s="822" t="n"/>
      <c r="CH18" s="803" t="n"/>
      <c r="CI18" s="831" t="n"/>
      <c r="CJ18" s="828" t="n"/>
      <c r="CK18" s="821" t="n"/>
      <c r="CL18" s="822" t="n"/>
      <c r="CM18" s="803" t="n"/>
      <c r="CN18" s="830" t="n"/>
      <c r="CO18" s="1042" t="n"/>
      <c r="CP18" s="821" t="n"/>
      <c r="CQ18" s="822" t="n"/>
      <c r="CR18" s="803" t="n"/>
      <c r="CS18" s="830" t="n"/>
      <c r="CT18" s="1171" t="n"/>
      <c r="CU18" s="821" t="n"/>
      <c r="CV18" s="822" t="n"/>
      <c r="CW18" s="803" t="n"/>
      <c r="CX18" s="830" t="n"/>
      <c r="CY18" s="828" t="n"/>
      <c r="CZ18" s="821" t="n"/>
      <c r="DA18" s="822" t="n"/>
      <c r="DB18" s="803" t="n"/>
      <c r="DC18" s="830" t="n"/>
      <c r="DD18" s="828" t="n"/>
      <c r="DE18" s="821" t="n"/>
      <c r="DF18" s="822" t="n"/>
      <c r="DG18" s="803" t="n"/>
      <c r="DH18" s="830" t="n"/>
      <c r="DI18" s="828" t="n"/>
      <c r="DJ18" s="821" t="n"/>
      <c r="DK18" s="822" t="n"/>
      <c r="DL18" s="803" t="n"/>
      <c r="DM18" s="830" t="n"/>
      <c r="DN18" s="828" t="n"/>
      <c r="DO18" s="821" t="n"/>
      <c r="DP18" s="822" t="n"/>
      <c r="DQ18" s="803" t="n"/>
      <c r="DR18" s="830" t="n"/>
      <c r="DS18" s="828" t="n"/>
      <c r="DT18" s="821" t="n"/>
      <c r="DU18" s="822" t="n"/>
    </row>
    <row r="19">
      <c r="C19" s="832" t="n">
        <v>271</v>
      </c>
      <c r="D19" s="1169" t="n">
        <v>6</v>
      </c>
      <c r="E19" s="1170" t="n"/>
      <c r="F19" s="823" t="n"/>
      <c r="G19" s="824" t="n"/>
      <c r="H19" s="832" t="n">
        <v>386</v>
      </c>
      <c r="I19" s="1169" t="n">
        <v>1</v>
      </c>
      <c r="J19" s="1170" t="n"/>
      <c r="K19" s="823" t="n"/>
      <c r="L19" s="824" t="n"/>
      <c r="M19" s="832" t="n">
        <v>156</v>
      </c>
      <c r="N19" s="1169" t="n">
        <v>3</v>
      </c>
      <c r="O19" s="1170" t="n"/>
      <c r="P19" s="823" t="n"/>
      <c r="Q19" s="824" t="n"/>
      <c r="R19" s="832" t="n">
        <v>87</v>
      </c>
      <c r="S19" s="1169" t="n">
        <v>6</v>
      </c>
      <c r="T19" s="1170" t="n"/>
      <c r="U19" s="827" t="n"/>
      <c r="V19" s="824" t="n"/>
      <c r="W19" s="832" t="n">
        <v>24</v>
      </c>
      <c r="X19" s="1169" t="n">
        <v>15</v>
      </c>
      <c r="Y19" s="1170" t="n"/>
      <c r="Z19" s="823" t="n"/>
      <c r="AA19" s="824" t="n"/>
      <c r="AB19" s="832" t="n">
        <v>61</v>
      </c>
      <c r="AC19" s="1169" t="n">
        <v>8</v>
      </c>
      <c r="AD19" s="1170" t="n"/>
      <c r="AE19" s="803" t="n"/>
      <c r="AF19" s="824" t="n"/>
      <c r="AG19" s="832" t="n">
        <v>125</v>
      </c>
      <c r="AH19" s="1169" t="n">
        <v>7</v>
      </c>
      <c r="AI19" s="1170" t="n"/>
      <c r="AJ19" s="803" t="n"/>
      <c r="AK19" s="824" t="n"/>
      <c r="AL19" s="832" t="n">
        <v>145</v>
      </c>
      <c r="AM19" s="1169" t="n">
        <v>8</v>
      </c>
      <c r="AN19" s="1170" t="n"/>
      <c r="AO19" s="803" t="n"/>
      <c r="AP19" s="824" t="n"/>
      <c r="AQ19" s="1042" t="n">
        <v>80</v>
      </c>
      <c r="AR19" s="1169" t="n">
        <v>8</v>
      </c>
      <c r="AS19" s="1170" t="n"/>
      <c r="AT19" s="803" t="n"/>
      <c r="AU19" s="824" t="n"/>
      <c r="AV19" s="832" t="n">
        <v>67</v>
      </c>
      <c r="AW19" s="1169" t="n">
        <v>10</v>
      </c>
      <c r="AX19" s="1170" t="n"/>
      <c r="AY19" s="803" t="n"/>
      <c r="AZ19" s="824" t="n"/>
      <c r="BA19" s="832" t="n">
        <v>305</v>
      </c>
      <c r="BB19" s="1169" t="n">
        <v>10</v>
      </c>
      <c r="BC19" s="1170" t="n"/>
      <c r="BD19" s="803" t="n"/>
      <c r="BE19" s="830" t="n"/>
      <c r="BF19" s="828" t="n"/>
      <c r="BG19" s="821" t="n"/>
      <c r="BH19" s="822" t="n"/>
      <c r="BI19" s="803" t="n"/>
      <c r="BJ19" s="830" t="n"/>
      <c r="BK19" s="1042" t="n">
        <v>95</v>
      </c>
      <c r="BL19" s="1169" t="n">
        <v>14</v>
      </c>
      <c r="BM19" s="1170" t="n"/>
      <c r="BN19" s="803" t="n"/>
      <c r="BO19" s="830" t="n"/>
      <c r="BP19" s="832" t="n">
        <v>221</v>
      </c>
      <c r="BQ19" s="1169" t="n">
        <v>14</v>
      </c>
      <c r="BR19" s="1170" t="n"/>
      <c r="BS19" s="803" t="n"/>
      <c r="BT19" s="830" t="n"/>
      <c r="BU19" s="832" t="n">
        <v>28</v>
      </c>
      <c r="BV19" s="1169" t="n">
        <v>18</v>
      </c>
      <c r="BW19" s="1172" t="n"/>
      <c r="BX19" s="803" t="n"/>
      <c r="BY19" s="830" t="n"/>
      <c r="BZ19" s="832" t="n">
        <v>32</v>
      </c>
      <c r="CA19" s="1169" t="n">
        <v>19</v>
      </c>
      <c r="CB19" s="1170" t="n"/>
      <c r="CC19" s="803" t="n"/>
      <c r="CD19" s="830" t="n"/>
      <c r="CE19" s="828" t="n"/>
      <c r="CF19" s="821" t="n"/>
      <c r="CG19" s="822" t="n"/>
      <c r="CH19" s="803" t="n"/>
      <c r="CI19" s="830" t="n"/>
      <c r="CJ19" s="828" t="n"/>
      <c r="CK19" s="821" t="n"/>
      <c r="CL19" s="822" t="n"/>
      <c r="CM19" s="803" t="n"/>
      <c r="CN19" s="830" t="n"/>
      <c r="CO19" s="828" t="n"/>
      <c r="CP19" s="821" t="n"/>
      <c r="CQ19" s="822" t="n"/>
      <c r="CR19" s="803" t="n"/>
      <c r="CS19" s="830" t="n"/>
      <c r="CT19" s="828" t="n"/>
      <c r="CU19" s="821" t="n"/>
      <c r="CV19" s="822" t="n"/>
      <c r="CW19" s="803" t="n"/>
      <c r="CX19" s="830" t="n"/>
      <c r="CY19" s="828" t="n"/>
      <c r="CZ19" s="821" t="n"/>
      <c r="DA19" s="822" t="n"/>
      <c r="DB19" s="803" t="n"/>
      <c r="DC19" s="830" t="n"/>
      <c r="DD19" s="828" t="n"/>
      <c r="DE19" s="821" t="n"/>
      <c r="DF19" s="822" t="n"/>
      <c r="DG19" s="803" t="n"/>
      <c r="DH19" s="830" t="n"/>
      <c r="DI19" s="828" t="n"/>
      <c r="DJ19" s="821" t="n"/>
      <c r="DK19" s="822" t="n"/>
      <c r="DL19" s="803" t="n"/>
      <c r="DM19" s="830" t="n"/>
      <c r="DN19" s="828" t="n"/>
      <c r="DO19" s="821" t="n"/>
      <c r="DP19" s="822" t="n"/>
      <c r="DQ19" s="803" t="n"/>
      <c r="DR19" s="830" t="n"/>
      <c r="DS19" s="1042" t="n"/>
      <c r="DT19" s="821" t="n"/>
      <c r="DU19" s="822" t="n"/>
    </row>
    <row r="20">
      <c r="C20" s="832" t="n">
        <v>63</v>
      </c>
      <c r="D20" s="1169" t="n">
        <v>6</v>
      </c>
      <c r="E20" s="1170" t="n"/>
      <c r="F20" s="768" t="n"/>
      <c r="G20" s="769" t="n"/>
      <c r="H20" s="832" t="n">
        <v>369</v>
      </c>
      <c r="I20" s="1169" t="n">
        <v>2</v>
      </c>
      <c r="J20" s="1170" t="n"/>
      <c r="K20" s="768" t="n"/>
      <c r="L20" s="769" t="n"/>
      <c r="M20" s="832" t="n">
        <v>197</v>
      </c>
      <c r="N20" s="1169" t="n">
        <v>3</v>
      </c>
      <c r="O20" s="1170" t="n"/>
      <c r="P20" s="768" t="n"/>
      <c r="Q20" s="769" t="n"/>
      <c r="R20" s="828" t="n"/>
      <c r="S20" s="821" t="n"/>
      <c r="T20" s="822" t="n"/>
      <c r="U20" s="827" t="n"/>
      <c r="V20" s="824" t="n"/>
      <c r="W20" s="832" t="n">
        <v>70</v>
      </c>
      <c r="X20" s="1169" t="n">
        <v>15</v>
      </c>
      <c r="Y20" s="1170" t="n"/>
      <c r="Z20" s="770" t="n"/>
      <c r="AA20" s="771" t="n"/>
      <c r="AB20" s="828" t="n"/>
      <c r="AC20" s="821" t="n"/>
      <c r="AD20" s="822" t="n"/>
      <c r="AE20" s="803" t="n"/>
      <c r="AF20" s="824" t="n"/>
      <c r="AG20" s="832" t="n">
        <v>117</v>
      </c>
      <c r="AH20" s="1169" t="n">
        <v>7</v>
      </c>
      <c r="AI20" s="1170" t="n"/>
      <c r="AJ20" s="803" t="n"/>
      <c r="AK20" s="824" t="n"/>
      <c r="AL20" s="1042" t="n">
        <v>99</v>
      </c>
      <c r="AM20" s="1169" t="n">
        <v>8</v>
      </c>
      <c r="AN20" s="1170" t="n"/>
      <c r="AO20" s="803" t="n"/>
      <c r="AP20" s="824" t="n"/>
      <c r="AQ20" s="1042" t="n">
        <v>51</v>
      </c>
      <c r="AR20" s="1169" t="n">
        <v>7</v>
      </c>
      <c r="AS20" s="1170" t="n"/>
      <c r="AT20" s="803" t="n"/>
      <c r="AU20" s="824" t="n"/>
      <c r="AV20" s="832" t="n">
        <v>201</v>
      </c>
      <c r="AW20" s="1169" t="n">
        <v>10</v>
      </c>
      <c r="AX20" s="1170" t="n"/>
      <c r="AY20" s="803" t="n"/>
      <c r="AZ20" s="824" t="n"/>
      <c r="BA20" s="828" t="n"/>
      <c r="BB20" s="821" t="n"/>
      <c r="BC20" s="822" t="n"/>
      <c r="BD20" s="803" t="n"/>
      <c r="BE20" s="830" t="n"/>
      <c r="BF20" s="828" t="n"/>
      <c r="BG20" s="821" t="n"/>
      <c r="BH20" s="822" t="n"/>
      <c r="BI20" s="803" t="n"/>
      <c r="BJ20" s="834" t="n"/>
      <c r="BK20" s="832" t="n">
        <v>46</v>
      </c>
      <c r="BL20" s="1169" t="n">
        <v>13</v>
      </c>
      <c r="BM20" s="1170" t="n"/>
      <c r="BN20" s="803" t="n"/>
      <c r="BO20" s="834" t="n"/>
      <c r="BP20" s="832" t="n">
        <v>94</v>
      </c>
      <c r="BQ20" s="1169" t="n">
        <v>15</v>
      </c>
      <c r="BR20" s="1170" t="n"/>
      <c r="BS20" s="803" t="n"/>
      <c r="BT20" s="834" t="n"/>
      <c r="BU20" s="832" t="n">
        <v>250</v>
      </c>
      <c r="BV20" s="1169" t="n">
        <v>17</v>
      </c>
      <c r="BW20" s="1172" t="n"/>
      <c r="BX20" s="803" t="n"/>
      <c r="BY20" s="834" t="n"/>
      <c r="BZ20" s="832" t="n">
        <v>222</v>
      </c>
      <c r="CA20" s="1169" t="n">
        <v>19</v>
      </c>
      <c r="CB20" s="1170" t="n"/>
      <c r="CC20" s="803" t="n"/>
      <c r="CD20" s="834" t="n"/>
      <c r="CE20" s="828" t="n"/>
      <c r="CF20" s="821" t="n"/>
      <c r="CG20" s="833" t="n"/>
      <c r="CH20" s="803" t="n"/>
      <c r="CI20" s="835" t="n"/>
      <c r="CJ20" s="1042" t="n"/>
      <c r="CK20" s="821" t="n"/>
      <c r="CL20" s="822" t="n"/>
      <c r="CM20" s="803" t="n"/>
      <c r="CN20" s="830" t="n"/>
      <c r="CO20" s="828" t="n"/>
      <c r="CP20" s="821" t="n"/>
      <c r="CQ20" s="822" t="n"/>
      <c r="CR20" s="803" t="n"/>
      <c r="CS20" s="830" t="n"/>
      <c r="CT20" s="1042"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1171" t="n"/>
      <c r="DT20" s="821" t="n"/>
      <c r="DU20" s="822" t="n"/>
    </row>
    <row r="21">
      <c r="C21" s="832" t="n">
        <v>31</v>
      </c>
      <c r="D21" s="1169" t="n">
        <v>6</v>
      </c>
      <c r="E21" s="1170" t="n"/>
      <c r="F21" s="823" t="n"/>
      <c r="G21" s="824" t="n"/>
      <c r="H21" s="832" t="n">
        <v>354</v>
      </c>
      <c r="I21" s="1169" t="n">
        <v>3</v>
      </c>
      <c r="J21" s="1170" t="n"/>
      <c r="K21" s="823" t="n"/>
      <c r="L21" s="824" t="n"/>
      <c r="M21" s="832" t="n">
        <v>41</v>
      </c>
      <c r="N21" s="1169" t="n">
        <v>3</v>
      </c>
      <c r="O21" s="1170" t="n"/>
      <c r="P21" s="823" t="n"/>
      <c r="Q21" s="824" t="n"/>
      <c r="R21" s="828" t="n"/>
      <c r="S21" s="821" t="n"/>
      <c r="T21" s="822" t="n"/>
      <c r="U21" s="827" t="n"/>
      <c r="V21" s="824" t="n"/>
      <c r="W21" s="832" t="n">
        <v>39</v>
      </c>
      <c r="X21" s="1169" t="n">
        <v>15</v>
      </c>
      <c r="Y21" s="1170" t="n"/>
      <c r="Z21" s="823" t="n"/>
      <c r="AA21" s="824" t="n"/>
      <c r="AB21" s="828" t="n"/>
      <c r="AC21" s="821" t="n"/>
      <c r="AD21" s="822" t="n"/>
      <c r="AE21" s="803" t="n"/>
      <c r="AF21" s="824" t="n"/>
      <c r="AG21" s="832" t="n">
        <v>16</v>
      </c>
      <c r="AH21" s="1169" t="n">
        <v>7</v>
      </c>
      <c r="AI21" s="1170" t="n"/>
      <c r="AJ21" s="803" t="n"/>
      <c r="AK21" s="824" t="n"/>
      <c r="AL21" s="1042" t="n">
        <v>222</v>
      </c>
      <c r="AM21" s="1169" t="n">
        <v>8</v>
      </c>
      <c r="AN21" s="1170" t="n"/>
      <c r="AO21" s="803" t="n"/>
      <c r="AP21" s="824" t="n"/>
      <c r="AQ21" s="832" t="n">
        <v>13</v>
      </c>
      <c r="AR21" s="1169" t="n">
        <v>8</v>
      </c>
      <c r="AS21" s="1170" t="n"/>
      <c r="AT21" s="803" t="n"/>
      <c r="AU21" s="824" t="n"/>
      <c r="AV21" s="832" t="n">
        <v>150</v>
      </c>
      <c r="AW21" s="1169" t="n">
        <v>9</v>
      </c>
      <c r="AX21" s="1170" t="n"/>
      <c r="AY21" s="803" t="n"/>
      <c r="AZ21" s="824" t="n"/>
      <c r="BA21" s="828" t="n"/>
      <c r="BB21" s="821" t="n"/>
      <c r="BC21" s="822" t="n"/>
      <c r="BD21" s="803" t="n"/>
      <c r="BE21" s="830" t="n"/>
      <c r="BF21" s="828" t="n"/>
      <c r="BG21" s="821" t="n"/>
      <c r="BH21" s="822" t="n"/>
      <c r="BI21" s="803" t="n"/>
      <c r="BJ21" s="830" t="n"/>
      <c r="BK21" s="832" t="n">
        <v>201</v>
      </c>
      <c r="BL21" s="1169" t="n">
        <v>13</v>
      </c>
      <c r="BM21" s="1170" t="n"/>
      <c r="BN21" s="803" t="n"/>
      <c r="BO21" s="830" t="n"/>
      <c r="BP21" s="832" t="n">
        <v>128</v>
      </c>
      <c r="BQ21" s="1169" t="n">
        <v>15</v>
      </c>
      <c r="BR21" s="1170" t="n"/>
      <c r="BS21" s="803" t="n"/>
      <c r="BT21" s="830" t="n"/>
      <c r="BU21" s="832" t="n">
        <v>462</v>
      </c>
      <c r="BV21" s="1169" t="n">
        <v>21</v>
      </c>
      <c r="BW21" s="1172" t="n"/>
      <c r="BX21" s="803" t="n"/>
      <c r="BY21" s="830" t="n"/>
      <c r="BZ21" s="832" t="n">
        <v>199</v>
      </c>
      <c r="CA21" s="1169" t="n">
        <v>18</v>
      </c>
      <c r="CB21" s="1170" t="n"/>
      <c r="CC21" s="803" t="n"/>
      <c r="CD21" s="830" t="n"/>
      <c r="CE21" s="828" t="n"/>
      <c r="CF21" s="821" t="n"/>
      <c r="CG21" s="833" t="n"/>
      <c r="CH21" s="803" t="n"/>
      <c r="CI21" s="830" t="n"/>
      <c r="CJ21" s="1042" t="n"/>
      <c r="CK21" s="821" t="n"/>
      <c r="CL21" s="822" t="n"/>
      <c r="CM21" s="803" t="n"/>
      <c r="CN21" s="830" t="n"/>
      <c r="CO21" s="828" t="n"/>
      <c r="CP21" s="821" t="n"/>
      <c r="CQ21" s="822" t="n"/>
      <c r="CR21" s="803" t="n"/>
      <c r="CS21" s="830" t="n"/>
      <c r="CT21" s="1171"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828" t="n"/>
      <c r="DT21" s="821" t="n"/>
      <c r="DU21" s="822" t="n"/>
    </row>
    <row r="22">
      <c r="C22" s="832" t="n">
        <v>211</v>
      </c>
      <c r="D22" s="1169" t="n">
        <v>5</v>
      </c>
      <c r="E22" s="1170" t="n"/>
      <c r="F22" s="768" t="n"/>
      <c r="G22" s="769" t="n"/>
      <c r="H22" s="832" t="n">
        <v>325</v>
      </c>
      <c r="I22" s="1169" t="n">
        <v>3</v>
      </c>
      <c r="J22" s="1170" t="n"/>
      <c r="K22" s="823" t="n"/>
      <c r="L22" s="769" t="n"/>
      <c r="M22" s="828" t="n"/>
      <c r="N22" s="821" t="n"/>
      <c r="O22" s="822" t="n"/>
      <c r="P22" s="823" t="n"/>
      <c r="Q22" s="824" t="n"/>
      <c r="R22" s="828" t="n"/>
      <c r="S22" s="821" t="n"/>
      <c r="T22" s="822" t="n"/>
      <c r="U22" s="827" t="n"/>
      <c r="V22" s="824" t="n"/>
      <c r="W22" s="832" t="n">
        <v>44</v>
      </c>
      <c r="X22" s="1169" t="n">
        <v>15</v>
      </c>
      <c r="Y22" s="1170" t="n"/>
      <c r="Z22" s="823" t="n"/>
      <c r="AA22" s="824" t="n"/>
      <c r="AB22" s="828" t="n"/>
      <c r="AC22" s="821" t="n"/>
      <c r="AD22" s="822" t="n"/>
      <c r="AE22" s="803" t="n"/>
      <c r="AF22" s="824" t="n"/>
      <c r="AG22" s="832" t="n">
        <v>44</v>
      </c>
      <c r="AH22" s="1169" t="n">
        <v>8</v>
      </c>
      <c r="AI22" s="1170" t="n"/>
      <c r="AJ22" s="803" t="n"/>
      <c r="AK22" s="824" t="n"/>
      <c r="AL22" s="832" t="n">
        <v>11</v>
      </c>
      <c r="AM22" s="1169" t="n">
        <v>7</v>
      </c>
      <c r="AN22" s="1170" t="n"/>
      <c r="AO22" s="803" t="n"/>
      <c r="AP22" s="824" t="n"/>
      <c r="AQ22" s="832" t="n">
        <v>19</v>
      </c>
      <c r="AR22" s="1169" t="n">
        <v>7</v>
      </c>
      <c r="AS22" s="1170" t="n"/>
      <c r="AT22" s="803" t="n"/>
      <c r="AU22" s="824" t="n"/>
      <c r="AV22" s="832" t="n">
        <v>364</v>
      </c>
      <c r="AW22" s="1169" t="n">
        <v>9</v>
      </c>
      <c r="AX22" s="1170" t="n"/>
      <c r="AY22" s="803" t="n"/>
      <c r="AZ22" s="824" t="n"/>
      <c r="BA22" s="828" t="n"/>
      <c r="BB22" s="821" t="n"/>
      <c r="BC22" s="822" t="n"/>
      <c r="BD22" s="803" t="n"/>
      <c r="BE22" s="823" t="n"/>
      <c r="BF22" s="828" t="n"/>
      <c r="BG22" s="821" t="n"/>
      <c r="BH22" s="822" t="n"/>
      <c r="BI22" s="803" t="n"/>
      <c r="BJ22" s="824" t="n"/>
      <c r="BK22" s="832" t="n"/>
      <c r="BL22" s="821" t="n"/>
      <c r="BM22" s="822" t="n"/>
      <c r="BN22" s="803" t="n"/>
      <c r="BO22" s="824" t="n"/>
      <c r="BP22" s="832" t="n">
        <v>285</v>
      </c>
      <c r="BQ22" s="1169" t="n">
        <v>15</v>
      </c>
      <c r="BR22" s="1170" t="n"/>
      <c r="BS22" s="803" t="n"/>
      <c r="BT22" s="824" t="n"/>
      <c r="BU22" s="1042" t="n">
        <v>181</v>
      </c>
      <c r="BV22" s="1169" t="n">
        <v>21</v>
      </c>
      <c r="BW22" s="1170" t="n"/>
      <c r="BX22" s="803" t="n"/>
      <c r="BY22" s="824" t="n"/>
      <c r="BZ22" s="832" t="n">
        <v>45</v>
      </c>
      <c r="CA22" s="1169" t="n">
        <v>18</v>
      </c>
      <c r="CB22" s="1170" t="n"/>
      <c r="CC22" s="803" t="n"/>
      <c r="CD22" s="824" t="n"/>
      <c r="CE22" s="828" t="n"/>
      <c r="CF22" s="821" t="n"/>
      <c r="CG22" s="822" t="n"/>
      <c r="CH22" s="803" t="n"/>
      <c r="CI22" s="824" t="n"/>
      <c r="CJ22" s="828" t="n"/>
      <c r="CK22" s="821" t="n"/>
      <c r="CL22" s="822" t="n"/>
      <c r="CM22" s="803" t="n"/>
      <c r="CN22" s="823" t="n"/>
      <c r="CO22" s="828" t="n"/>
      <c r="CP22" s="821" t="n"/>
      <c r="CQ22" s="822" t="n"/>
      <c r="CR22" s="803" t="n"/>
      <c r="CS22" s="823" t="n"/>
      <c r="CT22" s="828" t="n"/>
      <c r="CU22" s="821" t="n"/>
      <c r="CV22" s="822" t="n"/>
      <c r="CW22" s="803" t="n"/>
      <c r="CX22" s="823" t="n"/>
      <c r="CY22" s="828" t="n"/>
      <c r="CZ22" s="821" t="n"/>
      <c r="DA22" s="822" t="n"/>
      <c r="DB22" s="803" t="n"/>
      <c r="DC22" s="823" t="n"/>
      <c r="DD22" s="828" t="n"/>
      <c r="DE22" s="821" t="n"/>
      <c r="DF22" s="822" t="n"/>
      <c r="DG22" s="803" t="n"/>
      <c r="DH22" s="823" t="n"/>
      <c r="DI22" s="828" t="n"/>
      <c r="DJ22" s="821" t="n"/>
      <c r="DK22" s="822" t="n"/>
      <c r="DL22" s="803" t="n"/>
      <c r="DM22" s="823" t="n"/>
      <c r="DN22" s="828" t="n"/>
      <c r="DO22" s="821" t="n"/>
      <c r="DP22" s="822" t="n"/>
      <c r="DQ22" s="803" t="n"/>
      <c r="DR22" s="823" t="n"/>
      <c r="DS22" s="1042" t="n"/>
      <c r="DT22" s="821" t="n"/>
      <c r="DU22" s="822" t="n"/>
    </row>
    <row r="23">
      <c r="C23" s="832" t="n">
        <v>288</v>
      </c>
      <c r="D23" s="1169" t="n">
        <v>5</v>
      </c>
      <c r="E23" s="1170" t="n"/>
      <c r="F23" s="768" t="n"/>
      <c r="G23" s="769" t="n"/>
      <c r="H23" s="828" t="n"/>
      <c r="I23" s="821" t="n"/>
      <c r="J23" s="822" t="n"/>
      <c r="K23" s="823" t="n"/>
      <c r="L23" s="769" t="n"/>
      <c r="M23" s="828" t="n"/>
      <c r="N23" s="821" t="n"/>
      <c r="O23" s="822" t="n"/>
      <c r="P23" s="823" t="n"/>
      <c r="Q23" s="824" t="n"/>
      <c r="R23" s="828" t="n"/>
      <c r="S23" s="821" t="n"/>
      <c r="T23" s="822" t="n"/>
      <c r="U23" s="827" t="n"/>
      <c r="V23" s="824" t="n"/>
      <c r="W23" s="832" t="n">
        <v>119</v>
      </c>
      <c r="X23" s="1169" t="n">
        <v>15</v>
      </c>
      <c r="Y23" s="1170" t="n"/>
      <c r="Z23" s="823" t="n"/>
      <c r="AA23" s="824" t="n"/>
      <c r="AB23" s="828" t="n"/>
      <c r="AC23" s="821" t="n"/>
      <c r="AD23" s="822" t="n"/>
      <c r="AE23" s="803" t="n"/>
      <c r="AF23" s="824" t="n"/>
      <c r="AG23" s="832" t="n">
        <v>44</v>
      </c>
      <c r="AH23" s="1169" t="n">
        <v>7</v>
      </c>
      <c r="AI23" s="1170" t="n"/>
      <c r="AJ23" s="803" t="n"/>
      <c r="AK23" s="824" t="n"/>
      <c r="AL23" s="832" t="n">
        <v>120</v>
      </c>
      <c r="AM23" s="1169" t="n">
        <v>7</v>
      </c>
      <c r="AN23" s="1170" t="n"/>
      <c r="AO23" s="803" t="n"/>
      <c r="AP23" s="824" t="n"/>
      <c r="AQ23" s="832" t="n">
        <v>9</v>
      </c>
      <c r="AR23" s="1169" t="n">
        <v>7</v>
      </c>
      <c r="AS23" s="1170" t="n"/>
      <c r="AT23" s="803" t="n"/>
      <c r="AU23" s="824" t="n"/>
      <c r="AV23" s="832" t="n">
        <v>206</v>
      </c>
      <c r="AW23" s="1169" t="n">
        <v>9</v>
      </c>
      <c r="AX23" s="1170" t="n"/>
      <c r="AY23" s="803" t="n"/>
      <c r="AZ23" s="824" t="n"/>
      <c r="BA23" s="828" t="n"/>
      <c r="BB23" s="821" t="n"/>
      <c r="BC23" s="822" t="n"/>
      <c r="BD23" s="803" t="n"/>
      <c r="BE23" s="823" t="n"/>
      <c r="BF23" s="828" t="n"/>
      <c r="BG23" s="821" t="n"/>
      <c r="BH23" s="822" t="n"/>
      <c r="BI23" s="803" t="n"/>
      <c r="BJ23" s="824" t="n"/>
      <c r="BK23" s="1042" t="n"/>
      <c r="BL23" s="821" t="n"/>
      <c r="BM23" s="822" t="n"/>
      <c r="BN23" s="803" t="n"/>
      <c r="BO23" s="824" t="n"/>
      <c r="BP23" s="832" t="n">
        <v>110</v>
      </c>
      <c r="BQ23" s="1169" t="n">
        <v>15</v>
      </c>
      <c r="BR23" s="1170" t="n"/>
      <c r="BS23" s="803" t="n"/>
      <c r="BT23" s="824" t="n"/>
      <c r="BU23" s="1171" t="n"/>
      <c r="BV23" s="821" t="n"/>
      <c r="BW23" s="822" t="n"/>
      <c r="BX23" s="803" t="n"/>
      <c r="BY23" s="824" t="n"/>
      <c r="BZ23" s="832" t="n">
        <v>200</v>
      </c>
      <c r="CA23" s="1169" t="n">
        <v>18</v>
      </c>
      <c r="CB23" s="1170" t="n"/>
      <c r="CC23" s="803" t="n"/>
      <c r="CD23" s="824" t="n"/>
      <c r="CE23" s="828" t="n"/>
      <c r="CF23" s="821" t="n"/>
      <c r="CG23" s="822" t="n"/>
      <c r="CH23" s="803" t="n"/>
      <c r="CI23" s="824" t="n"/>
      <c r="CJ23" s="1042" t="n"/>
      <c r="CK23" s="821" t="n"/>
      <c r="CL23" s="822" t="n"/>
      <c r="CM23" s="803" t="n"/>
      <c r="CN23" s="823" t="n"/>
      <c r="CO23" s="828" t="n"/>
      <c r="CP23" s="821" t="n"/>
      <c r="CQ23" s="822" t="n"/>
      <c r="CR23" s="803" t="n"/>
      <c r="CS23" s="823" t="n"/>
      <c r="CT23" s="1042" t="n"/>
      <c r="CU23" s="821" t="n"/>
      <c r="CV23" s="822" t="n"/>
      <c r="CW23" s="803" t="n"/>
      <c r="CX23" s="823" t="n"/>
      <c r="CY23" s="828" t="n"/>
      <c r="CZ23" s="821" t="n"/>
      <c r="DA23" s="822" t="n"/>
      <c r="DB23" s="803" t="n"/>
      <c r="DC23" s="823" t="n"/>
      <c r="DD23" s="828" t="n"/>
      <c r="DE23" s="821" t="n"/>
      <c r="DF23" s="822" t="n"/>
      <c r="DG23" s="803" t="n"/>
      <c r="DH23" s="823" t="n"/>
      <c r="DI23" s="828" t="n"/>
      <c r="DJ23" s="821" t="n"/>
      <c r="DK23" s="822" t="n"/>
      <c r="DL23" s="803" t="n"/>
      <c r="DM23" s="823" t="n"/>
      <c r="DN23" s="828" t="n"/>
      <c r="DO23" s="821" t="n"/>
      <c r="DP23" s="822" t="n"/>
      <c r="DQ23" s="803" t="n"/>
      <c r="DR23" s="823" t="n"/>
      <c r="DS23" s="1171" t="n"/>
      <c r="DT23" s="821" t="n"/>
      <c r="DU23" s="822" t="n"/>
    </row>
    <row r="24">
      <c r="C24" s="832" t="n">
        <v>93</v>
      </c>
      <c r="D24" s="1169" t="n">
        <v>5</v>
      </c>
      <c r="E24" s="1170" t="n"/>
      <c r="F24" s="768" t="n"/>
      <c r="G24" s="769" t="n"/>
      <c r="H24" s="828" t="n"/>
      <c r="I24" s="821" t="n"/>
      <c r="J24" s="822" t="n"/>
      <c r="K24" s="823" t="n"/>
      <c r="L24" s="769" t="n"/>
      <c r="M24" s="828" t="n"/>
      <c r="N24" s="821" t="n"/>
      <c r="O24" s="822" t="n"/>
      <c r="P24" s="823" t="n"/>
      <c r="Q24" s="824" t="n"/>
      <c r="R24" s="828" t="n"/>
      <c r="S24" s="821" t="n"/>
      <c r="T24" s="822" t="n"/>
      <c r="U24" s="827" t="n"/>
      <c r="V24" s="824" t="n"/>
      <c r="W24" s="832" t="n">
        <v>199</v>
      </c>
      <c r="X24" s="1169" t="n">
        <v>8</v>
      </c>
      <c r="Y24" s="1170" t="n"/>
      <c r="Z24" s="823" t="n"/>
      <c r="AA24" s="824" t="n"/>
      <c r="AB24" s="828" t="n"/>
      <c r="AC24" s="821" t="n"/>
      <c r="AD24" s="822" t="n"/>
      <c r="AE24" s="803" t="n"/>
      <c r="AF24" s="824" t="n"/>
      <c r="AG24" s="832" t="n">
        <v>41</v>
      </c>
      <c r="AH24" s="1169" t="n">
        <v>7</v>
      </c>
      <c r="AI24" s="1170" t="n"/>
      <c r="AJ24" s="803" t="n"/>
      <c r="AK24" s="824" t="n"/>
      <c r="AL24" s="1042" t="n">
        <v>148</v>
      </c>
      <c r="AM24" s="1169" t="n">
        <v>8</v>
      </c>
      <c r="AN24" s="1170" t="n"/>
      <c r="AO24" s="803" t="n"/>
      <c r="AP24" s="824" t="n"/>
      <c r="AQ24" s="832" t="n">
        <v>45</v>
      </c>
      <c r="AR24" s="1169" t="n">
        <v>7</v>
      </c>
      <c r="AS24" s="1170" t="n"/>
      <c r="AT24" s="803" t="n"/>
      <c r="AU24" s="824" t="n"/>
      <c r="AV24" s="832" t="n">
        <v>18</v>
      </c>
      <c r="AW24" s="1169" t="n">
        <v>9</v>
      </c>
      <c r="AX24" s="1170" t="n"/>
      <c r="AY24" s="803" t="n"/>
      <c r="AZ24" s="824" t="n"/>
      <c r="BA24" s="828" t="n"/>
      <c r="BB24" s="821" t="n"/>
      <c r="BC24" s="822" t="n"/>
      <c r="BD24" s="803" t="n"/>
      <c r="BE24" s="830" t="n"/>
      <c r="BF24" s="828" t="n"/>
      <c r="BG24" s="821" t="n"/>
      <c r="BH24" s="822" t="n"/>
      <c r="BI24" s="803" t="n"/>
      <c r="BJ24" s="831" t="n"/>
      <c r="BK24" s="1042" t="n"/>
      <c r="BL24" s="821" t="n"/>
      <c r="BM24" s="822" t="n"/>
      <c r="BN24" s="803" t="n"/>
      <c r="BO24" s="831" t="n"/>
      <c r="BP24" s="832" t="n">
        <v>141</v>
      </c>
      <c r="BQ24" s="1169" t="n">
        <v>15</v>
      </c>
      <c r="BR24" s="1170" t="n"/>
      <c r="BS24" s="803" t="n"/>
      <c r="BT24" s="831" t="n"/>
      <c r="BU24" s="828" t="n"/>
      <c r="BV24" s="821" t="n"/>
      <c r="BW24" s="822" t="n"/>
      <c r="BX24" s="803" t="n"/>
      <c r="BY24" s="831" t="n"/>
      <c r="BZ24" s="832" t="n">
        <v>232</v>
      </c>
      <c r="CA24" s="1169" t="n">
        <v>18</v>
      </c>
      <c r="CB24" s="1170" t="n"/>
      <c r="CC24" s="803" t="n"/>
      <c r="CD24" s="831" t="n"/>
      <c r="CE24" s="828" t="n"/>
      <c r="CF24" s="821" t="n"/>
      <c r="CG24" s="822" t="n"/>
      <c r="CH24" s="803" t="n"/>
      <c r="CI24" s="831" t="n"/>
      <c r="CJ24" s="1042" t="n"/>
      <c r="CK24" s="821" t="n"/>
      <c r="CL24" s="822" t="n"/>
      <c r="CM24" s="803" t="n"/>
      <c r="CN24" s="830" t="n"/>
      <c r="CO24" s="828" t="n"/>
      <c r="CP24" s="821" t="n"/>
      <c r="CQ24" s="822" t="n"/>
      <c r="CR24" s="803" t="n"/>
      <c r="CS24" s="830" t="n"/>
      <c r="CT24" s="1171" t="n"/>
      <c r="CU24" s="821" t="n"/>
      <c r="CV24" s="822" t="n"/>
      <c r="CW24" s="803" t="n"/>
      <c r="CX24" s="830" t="n"/>
      <c r="CY24" s="828" t="n"/>
      <c r="CZ24" s="821" t="n"/>
      <c r="DA24" s="822" t="n"/>
      <c r="DB24" s="803" t="n"/>
      <c r="DC24" s="830" t="n"/>
      <c r="DD24" s="828" t="n"/>
      <c r="DE24" s="821" t="n"/>
      <c r="DF24" s="822" t="n"/>
      <c r="DG24" s="803" t="n"/>
      <c r="DH24" s="830" t="n"/>
      <c r="DI24" s="828" t="n"/>
      <c r="DJ24" s="821" t="n"/>
      <c r="DK24" s="822" t="n"/>
      <c r="DL24" s="803" t="n"/>
      <c r="DM24" s="830" t="n"/>
      <c r="DN24" s="828" t="n"/>
      <c r="DO24" s="821" t="n"/>
      <c r="DP24" s="822" t="n"/>
      <c r="DQ24" s="803" t="n"/>
      <c r="DR24" s="830" t="n"/>
      <c r="DS24" s="828" t="n"/>
      <c r="DT24" s="821" t="n"/>
      <c r="DU24" s="822" t="n"/>
    </row>
    <row r="25">
      <c r="C25" s="832" t="n">
        <v>162</v>
      </c>
      <c r="D25" s="1169" t="n">
        <v>2</v>
      </c>
      <c r="E25" s="1170" t="n"/>
      <c r="F25" s="768" t="n"/>
      <c r="G25" s="769" t="n"/>
      <c r="H25" s="828" t="n"/>
      <c r="I25" s="821" t="n"/>
      <c r="J25" s="822" t="n"/>
      <c r="K25" s="823" t="n"/>
      <c r="L25" s="769" t="n"/>
      <c r="M25" s="828" t="n"/>
      <c r="N25" s="821" t="n"/>
      <c r="O25" s="822" t="n"/>
      <c r="P25" s="823" t="n"/>
      <c r="Q25" s="824" t="n"/>
      <c r="R25" s="828" t="n"/>
      <c r="S25" s="821" t="n"/>
      <c r="T25" s="822" t="n"/>
      <c r="U25" s="827" t="n"/>
      <c r="V25" s="824" t="n"/>
      <c r="W25" s="828" t="n"/>
      <c r="X25" s="821" t="n"/>
      <c r="Y25" s="822" t="n"/>
      <c r="Z25" s="823" t="n"/>
      <c r="AA25" s="824" t="n"/>
      <c r="AB25" s="828" t="n"/>
      <c r="AC25" s="821" t="n"/>
      <c r="AD25" s="822" t="n"/>
      <c r="AE25" s="803" t="n"/>
      <c r="AF25" s="824" t="n"/>
      <c r="AG25" s="832" t="n">
        <v>241</v>
      </c>
      <c r="AH25" s="1169" t="n">
        <v>8</v>
      </c>
      <c r="AI25" s="1170" t="n"/>
      <c r="AJ25" s="803" t="n"/>
      <c r="AK25" s="824" t="n"/>
      <c r="AL25" s="1042" t="n">
        <v>12</v>
      </c>
      <c r="AM25" s="1169" t="n">
        <v>8</v>
      </c>
      <c r="AN25" s="1170" t="n"/>
      <c r="AO25" s="803" t="n"/>
      <c r="AP25" s="824" t="n"/>
      <c r="AQ25" s="832" t="n">
        <v>41</v>
      </c>
      <c r="AR25" s="1169" t="n">
        <v>7</v>
      </c>
      <c r="AS25" s="1170" t="n"/>
      <c r="AT25" s="803" t="n"/>
      <c r="AU25" s="824" t="n"/>
      <c r="AV25" s="832" t="n">
        <v>358</v>
      </c>
      <c r="AW25" s="1169" t="n">
        <v>9</v>
      </c>
      <c r="AX25" s="1170" t="n"/>
      <c r="AY25" s="803" t="n"/>
      <c r="AZ25" s="824" t="n"/>
      <c r="BA25" s="828" t="n"/>
      <c r="BB25" s="821" t="n"/>
      <c r="BC25" s="822" t="n"/>
      <c r="BD25" s="803" t="n"/>
      <c r="BE25" s="824" t="n"/>
      <c r="BF25" s="828" t="n"/>
      <c r="BG25" s="821" t="n"/>
      <c r="BH25" s="822" t="n"/>
      <c r="BI25" s="830" t="n"/>
      <c r="BJ25" s="824" t="n"/>
      <c r="BK25" s="828" t="n"/>
      <c r="BL25" s="821" t="n"/>
      <c r="BM25" s="822" t="n"/>
      <c r="BN25" s="830" t="n"/>
      <c r="BO25" s="824" t="n"/>
      <c r="BP25" s="832" t="n">
        <v>40</v>
      </c>
      <c r="BQ25" s="1169" t="n">
        <v>15</v>
      </c>
      <c r="BR25" s="1170" t="n"/>
      <c r="BS25" s="803" t="n"/>
      <c r="BT25" s="824" t="n"/>
      <c r="BU25" s="828" t="n"/>
      <c r="BV25" s="821" t="n"/>
      <c r="BW25" s="822" t="n"/>
      <c r="BX25" s="803" t="n"/>
      <c r="BY25" s="824" t="n"/>
      <c r="BZ25" s="832" t="n">
        <v>157</v>
      </c>
      <c r="CA25" s="1169" t="n">
        <v>18</v>
      </c>
      <c r="CB25" s="1170" t="n"/>
      <c r="CC25" s="803" t="n"/>
      <c r="CD25" s="824" t="n"/>
      <c r="CE25" s="828" t="n"/>
      <c r="CF25" s="821" t="n"/>
      <c r="CG25" s="822" t="n"/>
      <c r="CH25" s="803" t="n"/>
      <c r="CI25" s="824" t="n"/>
      <c r="CJ25" s="836" t="n"/>
      <c r="CK25" s="821" t="n"/>
      <c r="CL25" s="822" t="n"/>
      <c r="CM25" s="803" t="n"/>
      <c r="CN25" s="823" t="n"/>
      <c r="CO25" s="836" t="n"/>
      <c r="CP25" s="821" t="n"/>
      <c r="CQ25" s="822" t="n"/>
      <c r="CR25" s="803" t="n"/>
      <c r="CS25" s="823" t="n"/>
      <c r="CT25" s="836" t="n"/>
      <c r="CU25" s="821" t="n"/>
      <c r="CV25" s="822" t="n"/>
      <c r="CW25" s="803" t="n"/>
      <c r="CX25" s="823" t="n"/>
      <c r="CY25" s="836" t="n"/>
      <c r="CZ25" s="821" t="n"/>
      <c r="DA25" s="822" t="n"/>
      <c r="DB25" s="803" t="n"/>
      <c r="DC25" s="823" t="n"/>
      <c r="DD25" s="836" t="n"/>
      <c r="DE25" s="821" t="n"/>
      <c r="DF25" s="822" t="n"/>
      <c r="DG25" s="803" t="n"/>
      <c r="DH25" s="823" t="n"/>
      <c r="DI25" s="836" t="n"/>
      <c r="DJ25" s="821" t="n"/>
      <c r="DK25" s="822" t="n"/>
      <c r="DL25" s="803" t="n"/>
      <c r="DM25" s="823" t="n"/>
      <c r="DN25" s="836" t="n"/>
      <c r="DO25" s="821" t="n"/>
      <c r="DP25" s="822" t="n"/>
      <c r="DQ25" s="803" t="n"/>
      <c r="DR25" s="823" t="n"/>
      <c r="DS25" s="836" t="n"/>
      <c r="DT25" s="821" t="n"/>
      <c r="DU25" s="822" t="n"/>
    </row>
    <row r="26">
      <c r="C26" s="832" t="n">
        <v>296</v>
      </c>
      <c r="D26" s="1169" t="n">
        <v>2</v>
      </c>
      <c r="E26" s="1170" t="n"/>
      <c r="F26" s="768" t="n"/>
      <c r="G26" s="769" t="n"/>
      <c r="H26" s="828" t="n"/>
      <c r="I26" s="821" t="n"/>
      <c r="J26" s="822" t="n"/>
      <c r="K26" s="823" t="n"/>
      <c r="L26" s="769" t="n"/>
      <c r="M26" s="828" t="n"/>
      <c r="N26" s="821" t="n"/>
      <c r="O26" s="822" t="n"/>
      <c r="P26" s="823" t="n"/>
      <c r="Q26" s="824" t="n"/>
      <c r="R26" s="828" t="n"/>
      <c r="S26" s="821" t="n"/>
      <c r="T26" s="822" t="n"/>
      <c r="U26" s="827" t="n"/>
      <c r="V26" s="824" t="n"/>
      <c r="W26" s="828" t="n"/>
      <c r="X26" s="821" t="n"/>
      <c r="Y26" s="822" t="n"/>
      <c r="Z26" s="823" t="n"/>
      <c r="AA26" s="824" t="n"/>
      <c r="AB26" s="828" t="n"/>
      <c r="AC26" s="821" t="n"/>
      <c r="AD26" s="822" t="n"/>
      <c r="AE26" s="803" t="n"/>
      <c r="AF26" s="824" t="n"/>
      <c r="AG26" s="832" t="n">
        <v>76</v>
      </c>
      <c r="AH26" s="1169" t="n">
        <v>7</v>
      </c>
      <c r="AI26" s="1170" t="n"/>
      <c r="AJ26" s="803" t="n"/>
      <c r="AK26" s="824" t="n"/>
      <c r="AL26" s="832" t="n">
        <v>162</v>
      </c>
      <c r="AM26" s="1169" t="n">
        <v>8</v>
      </c>
      <c r="AN26" s="1170" t="n"/>
      <c r="AO26" s="803" t="n"/>
      <c r="AP26" s="824" t="n"/>
      <c r="AQ26" s="832" t="n">
        <v>44</v>
      </c>
      <c r="AR26" s="1169" t="n">
        <v>7</v>
      </c>
      <c r="AS26" s="1170" t="n"/>
      <c r="AT26" s="803" t="n"/>
      <c r="AU26" s="824" t="n"/>
      <c r="AV26" s="832" t="n">
        <v>361</v>
      </c>
      <c r="AW26" s="1169" t="n">
        <v>9</v>
      </c>
      <c r="AX26" s="1170" t="n"/>
      <c r="AY26" s="803" t="n"/>
      <c r="AZ26" s="824" t="n"/>
      <c r="BA26" s="828" t="n"/>
      <c r="BB26" s="821" t="n"/>
      <c r="BC26" s="822" t="n"/>
      <c r="BD26" s="803" t="n"/>
      <c r="BE26" s="824" t="n"/>
      <c r="BF26" s="828" t="n"/>
      <c r="BG26" s="821" t="n"/>
      <c r="BH26" s="822" t="n"/>
      <c r="BI26" s="803" t="n"/>
      <c r="BJ26" s="824" t="n"/>
      <c r="BK26" s="828" t="n"/>
      <c r="BL26" s="821" t="n"/>
      <c r="BM26" s="822" t="n"/>
      <c r="BN26" s="803" t="n"/>
      <c r="BO26" s="824" t="n"/>
      <c r="BP26" s="832" t="n">
        <v>55</v>
      </c>
      <c r="BQ26" s="1169" t="n">
        <v>15</v>
      </c>
      <c r="BR26" s="1170" t="n"/>
      <c r="BS26" s="803" t="n"/>
      <c r="BT26" s="824" t="n"/>
      <c r="BU26" s="828" t="n"/>
      <c r="BV26" s="821" t="n"/>
      <c r="BW26" s="822" t="n"/>
      <c r="BX26" s="803" t="n"/>
      <c r="BY26" s="824" t="n"/>
      <c r="BZ26" s="832" t="n">
        <v>177</v>
      </c>
      <c r="CA26" s="1169" t="n">
        <v>17</v>
      </c>
      <c r="CB26" s="1170" t="n"/>
      <c r="CC26" s="803" t="n"/>
      <c r="CD26" s="824" t="n"/>
      <c r="CE26" s="828" t="n"/>
      <c r="CF26" s="821" t="n"/>
      <c r="CG26" s="822" t="n"/>
      <c r="CH26" s="803" t="n"/>
      <c r="CI26" s="824" t="n"/>
      <c r="CJ26" s="836" t="n"/>
      <c r="CK26" s="821" t="n"/>
      <c r="CL26" s="822" t="n"/>
      <c r="CM26" s="803" t="n"/>
      <c r="CN26" s="823" t="n"/>
      <c r="CO26" s="836" t="n"/>
      <c r="CP26" s="821" t="n"/>
      <c r="CQ26" s="822" t="n"/>
      <c r="CR26" s="803" t="n"/>
      <c r="CS26" s="823" t="n"/>
      <c r="CT26" s="836" t="n"/>
      <c r="CU26" s="821" t="n"/>
      <c r="CV26" s="822" t="n"/>
      <c r="CW26" s="803" t="n"/>
      <c r="CX26" s="823" t="n"/>
      <c r="CY26" s="836" t="n"/>
      <c r="CZ26" s="821" t="n"/>
      <c r="DA26" s="822" t="n"/>
      <c r="DB26" s="803" t="n"/>
      <c r="DC26" s="823" t="n"/>
      <c r="DD26" s="836" t="n"/>
      <c r="DE26" s="821" t="n"/>
      <c r="DF26" s="822" t="n"/>
      <c r="DG26" s="803" t="n"/>
      <c r="DH26" s="823" t="n"/>
      <c r="DI26" s="836" t="n"/>
      <c r="DJ26" s="821" t="n"/>
      <c r="DK26" s="822" t="n"/>
      <c r="DL26" s="803" t="n"/>
      <c r="DM26" s="823" t="n"/>
      <c r="DN26" s="836" t="n"/>
      <c r="DO26" s="821" t="n"/>
      <c r="DP26" s="822" t="n"/>
      <c r="DQ26" s="803" t="n"/>
      <c r="DR26" s="823" t="n"/>
      <c r="DS26" s="836" t="n"/>
      <c r="DT26" s="821" t="n"/>
      <c r="DU26" s="822" t="n"/>
    </row>
    <row r="27">
      <c r="C27" s="832" t="n">
        <v>9</v>
      </c>
      <c r="D27" s="1169" t="n">
        <v>13</v>
      </c>
      <c r="E27" s="1170" t="n"/>
      <c r="F27" s="768" t="n"/>
      <c r="G27" s="769" t="n"/>
      <c r="H27" s="828" t="n"/>
      <c r="I27" s="821" t="n"/>
      <c r="J27" s="822" t="n"/>
      <c r="K27" s="823" t="n"/>
      <c r="L27" s="769" t="n"/>
      <c r="M27" s="828" t="n"/>
      <c r="N27" s="821" t="n"/>
      <c r="O27" s="822" t="n"/>
      <c r="P27" s="823" t="n"/>
      <c r="Q27" s="824" t="n"/>
      <c r="R27" s="828" t="n"/>
      <c r="S27" s="821" t="n"/>
      <c r="T27" s="822" t="n"/>
      <c r="U27" s="827" t="n"/>
      <c r="V27" s="824" t="n"/>
      <c r="W27" s="828" t="n"/>
      <c r="X27" s="821" t="n"/>
      <c r="Y27" s="822" t="n"/>
      <c r="Z27" s="823" t="n"/>
      <c r="AA27" s="824" t="n"/>
      <c r="AB27" s="828" t="n"/>
      <c r="AC27" s="821" t="n"/>
      <c r="AD27" s="822" t="n"/>
      <c r="AE27" s="803" t="n"/>
      <c r="AF27" s="824" t="n"/>
      <c r="AG27" s="828" t="n"/>
      <c r="AH27" s="821" t="n"/>
      <c r="AI27" s="822" t="n"/>
      <c r="AJ27" s="803" t="n"/>
      <c r="AK27" s="824" t="n"/>
      <c r="AL27" s="832" t="n">
        <v>82</v>
      </c>
      <c r="AM27" s="1169" t="n">
        <v>8</v>
      </c>
      <c r="AN27" s="1170" t="n"/>
      <c r="AO27" s="803" t="n"/>
      <c r="AP27" s="824" t="n"/>
      <c r="AQ27" s="832" t="n">
        <v>44</v>
      </c>
      <c r="AR27" s="1169" t="n">
        <v>8</v>
      </c>
      <c r="AS27" s="1170" t="n"/>
      <c r="AT27" s="803" t="n"/>
      <c r="AU27" s="824" t="n"/>
      <c r="AV27" s="832" t="n">
        <v>89</v>
      </c>
      <c r="AW27" s="1169" t="n">
        <v>10</v>
      </c>
      <c r="AX27" s="1170" t="n"/>
      <c r="AY27" s="803" t="n"/>
      <c r="AZ27" s="824" t="n"/>
      <c r="BA27" s="828" t="n"/>
      <c r="BB27" s="821" t="n"/>
      <c r="BC27" s="822" t="n"/>
      <c r="BD27" s="803" t="n"/>
      <c r="BE27" s="824" t="n"/>
      <c r="BF27" s="828" t="n"/>
      <c r="BG27" s="821" t="n"/>
      <c r="BH27" s="822" t="n"/>
      <c r="BI27" s="803" t="n"/>
      <c r="BJ27" s="824" t="n"/>
      <c r="BK27" s="1042" t="n"/>
      <c r="BL27" s="821" t="n"/>
      <c r="BM27" s="822" t="n"/>
      <c r="BN27" s="803" t="n"/>
      <c r="BO27" s="824" t="n"/>
      <c r="BP27" s="832" t="n">
        <v>38</v>
      </c>
      <c r="BQ27" s="1169" t="n">
        <v>15</v>
      </c>
      <c r="BR27" s="1170" t="n"/>
      <c r="BS27" s="803" t="n"/>
      <c r="BT27" s="824" t="n"/>
      <c r="BU27" s="828" t="n"/>
      <c r="BV27" s="821" t="n"/>
      <c r="BW27" s="822" t="n"/>
      <c r="BX27" s="803" t="n"/>
      <c r="BY27" s="824" t="n"/>
      <c r="BZ27" s="832" t="n">
        <v>44</v>
      </c>
      <c r="CA27" s="1169" t="n">
        <v>19</v>
      </c>
      <c r="CB27" s="1170"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12</v>
      </c>
      <c r="D28" s="1169" t="n">
        <v>13</v>
      </c>
      <c r="E28" s="1170" t="n"/>
      <c r="F28" s="768" t="n"/>
      <c r="G28" s="769" t="n"/>
      <c r="H28" s="828" t="n"/>
      <c r="I28" s="821" t="n"/>
      <c r="J28" s="822" t="n"/>
      <c r="K28" s="823" t="n"/>
      <c r="L28" s="769" t="n"/>
      <c r="M28" s="828" t="n"/>
      <c r="N28" s="821" t="n"/>
      <c r="O28" s="822" t="n"/>
      <c r="P28" s="823" t="n"/>
      <c r="Q28" s="824" t="n"/>
      <c r="R28" s="1042"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111</v>
      </c>
      <c r="AM28" s="1169" t="n">
        <v>8</v>
      </c>
      <c r="AN28" s="1170" t="n"/>
      <c r="AO28" s="803" t="n"/>
      <c r="AP28" s="824" t="n"/>
      <c r="AQ28" s="832" t="n">
        <v>41</v>
      </c>
      <c r="AR28" s="1169" t="n">
        <v>7</v>
      </c>
      <c r="AS28" s="1170" t="n"/>
      <c r="AT28" s="803" t="n"/>
      <c r="AU28" s="824" t="n"/>
      <c r="AV28" s="832" t="n">
        <v>120</v>
      </c>
      <c r="AW28" s="1169" t="n">
        <v>10</v>
      </c>
      <c r="AX28" s="1170" t="n"/>
      <c r="AY28" s="803" t="n"/>
      <c r="AZ28" s="824" t="n"/>
      <c r="BA28" s="828" t="n"/>
      <c r="BB28" s="821" t="n"/>
      <c r="BC28" s="822" t="n"/>
      <c r="BD28" s="803" t="n"/>
      <c r="BE28" s="824" t="n"/>
      <c r="BF28" s="828" t="n"/>
      <c r="BG28" s="821" t="n"/>
      <c r="BH28" s="822" t="n"/>
      <c r="BI28" s="803" t="n"/>
      <c r="BJ28" s="824" t="n"/>
      <c r="BK28" s="1042" t="n"/>
      <c r="BL28" s="821" t="n"/>
      <c r="BM28" s="822" t="n"/>
      <c r="BN28" s="803" t="n"/>
      <c r="BO28" s="824" t="n"/>
      <c r="BP28" s="832" t="n">
        <v>5</v>
      </c>
      <c r="BQ28" s="1169" t="n">
        <v>15</v>
      </c>
      <c r="BR28" s="1170" t="n"/>
      <c r="BS28" s="803" t="n"/>
      <c r="BT28" s="824" t="n"/>
      <c r="BU28" s="828" t="n"/>
      <c r="BV28" s="821" t="n"/>
      <c r="BW28" s="822" t="n"/>
      <c r="BX28" s="803" t="n"/>
      <c r="BY28" s="824" t="n"/>
      <c r="BZ28" s="832" t="n">
        <v>44</v>
      </c>
      <c r="CA28" s="1169" t="n">
        <v>19</v>
      </c>
      <c r="CB28" s="1170"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1042" t="n">
        <v>53</v>
      </c>
      <c r="D29" s="1169" t="n">
        <v>17</v>
      </c>
      <c r="E29" s="1170" t="n"/>
      <c r="F29" s="768" t="n"/>
      <c r="G29" s="769" t="n"/>
      <c r="H29" s="828" t="n"/>
      <c r="I29" s="821" t="n"/>
      <c r="J29" s="822" t="n"/>
      <c r="K29" s="823" t="n"/>
      <c r="L29" s="769" t="n"/>
      <c r="M29" s="828" t="n"/>
      <c r="N29" s="821" t="n"/>
      <c r="O29" s="822" t="n"/>
      <c r="P29" s="823" t="n"/>
      <c r="Q29" s="824" t="n"/>
      <c r="R29" s="1042"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72</v>
      </c>
      <c r="AM29" s="1169" t="n">
        <v>8</v>
      </c>
      <c r="AN29" s="1170" t="n"/>
      <c r="AO29" s="803" t="n"/>
      <c r="AP29" s="824" t="n"/>
      <c r="AQ29" s="832" t="n">
        <v>136</v>
      </c>
      <c r="AR29" s="1169" t="n">
        <v>7</v>
      </c>
      <c r="AS29" s="1170" t="n"/>
      <c r="AT29" s="803" t="n"/>
      <c r="AU29" s="824" t="n"/>
      <c r="AV29" s="832" t="n">
        <v>226</v>
      </c>
      <c r="AW29" s="1169" t="n">
        <v>10</v>
      </c>
      <c r="AX29" s="1170" t="n"/>
      <c r="AY29" s="803" t="n"/>
      <c r="AZ29" s="824" t="n"/>
      <c r="BA29" s="828" t="n"/>
      <c r="BB29" s="821" t="n"/>
      <c r="BC29" s="822" t="n"/>
      <c r="BD29" s="803" t="n"/>
      <c r="BE29" s="824" t="n"/>
      <c r="BF29" s="828" t="n"/>
      <c r="BG29" s="821" t="n"/>
      <c r="BH29" s="822" t="n"/>
      <c r="BI29" s="803" t="n"/>
      <c r="BJ29" s="824" t="n"/>
      <c r="BK29" s="828" t="n"/>
      <c r="BL29" s="821" t="n"/>
      <c r="BM29" s="822" t="n"/>
      <c r="BN29" s="803" t="n"/>
      <c r="BO29" s="824" t="n"/>
      <c r="BP29" s="832" t="n">
        <v>198</v>
      </c>
      <c r="BQ29" s="1169" t="n">
        <v>16</v>
      </c>
      <c r="BR29" s="1170" t="n"/>
      <c r="BS29" s="803" t="n"/>
      <c r="BT29" s="824" t="n"/>
      <c r="BU29" s="828" t="n"/>
      <c r="BV29" s="821" t="n"/>
      <c r="BW29" s="822" t="n"/>
      <c r="BX29" s="803" t="n"/>
      <c r="BY29" s="824" t="n"/>
      <c r="BZ29" s="832" t="n">
        <v>44</v>
      </c>
      <c r="CA29" s="1169" t="n">
        <v>18</v>
      </c>
      <c r="CB29" s="1170" t="n"/>
      <c r="CC29" s="803" t="n"/>
      <c r="CD29" s="824" t="n"/>
      <c r="CE29" s="828" t="n"/>
      <c r="CF29" s="821" t="n"/>
      <c r="CG29" s="822" t="n"/>
      <c r="CH29" s="803" t="n"/>
      <c r="CI29" s="824" t="n"/>
      <c r="CJ29" s="828" t="n"/>
      <c r="CK29" s="821" t="n"/>
      <c r="CL29" s="822" t="n"/>
      <c r="CM29" s="803" t="n"/>
      <c r="CN29" s="823" t="n"/>
      <c r="CO29" s="836" t="n"/>
      <c r="CP29" s="821" t="n"/>
      <c r="CQ29" s="822" t="n"/>
      <c r="CR29" s="803" t="n"/>
      <c r="CS29" s="823" t="n"/>
      <c r="CT29" s="828"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1042" t="n">
        <v>20</v>
      </c>
      <c r="D30" s="1169" t="n">
        <v>17</v>
      </c>
      <c r="E30" s="1170" t="n"/>
      <c r="F30" s="768" t="n"/>
      <c r="G30" s="769" t="n"/>
      <c r="H30" s="828" t="n"/>
      <c r="I30" s="821" t="n"/>
      <c r="J30" s="822" t="n"/>
      <c r="K30" s="823" t="n"/>
      <c r="L30" s="769" t="n"/>
      <c r="M30" s="828" t="n"/>
      <c r="N30" s="821" t="n"/>
      <c r="O30" s="822" t="n"/>
      <c r="P30" s="823" t="n"/>
      <c r="Q30" s="824" t="n"/>
      <c r="R30" s="828"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36</v>
      </c>
      <c r="AM30" s="1169" t="n">
        <v>8</v>
      </c>
      <c r="AN30" s="1170" t="n"/>
      <c r="AO30" s="803" t="n"/>
      <c r="AP30" s="824" t="n"/>
      <c r="AQ30" s="832" t="n">
        <v>126</v>
      </c>
      <c r="AR30" s="1169" t="n">
        <v>7</v>
      </c>
      <c r="AS30" s="1170" t="n"/>
      <c r="AT30" s="803" t="n"/>
      <c r="AU30" s="824" t="n"/>
      <c r="AV30" s="832" t="n">
        <v>55</v>
      </c>
      <c r="AW30" s="1169" t="n">
        <v>10</v>
      </c>
      <c r="AX30" s="1170" t="n"/>
      <c r="AY30" s="803" t="n"/>
      <c r="AZ30" s="824" t="n"/>
      <c r="BA30" s="828" t="n"/>
      <c r="BB30" s="821" t="n"/>
      <c r="BC30" s="822" t="n"/>
      <c r="BD30" s="803" t="n"/>
      <c r="BE30" s="824" t="n"/>
      <c r="BF30" s="828" t="n"/>
      <c r="BG30" s="821" t="n"/>
      <c r="BH30" s="822" t="n"/>
      <c r="BI30" s="803" t="n"/>
      <c r="BJ30" s="824" t="n"/>
      <c r="BK30" s="828" t="n"/>
      <c r="BL30" s="821" t="n"/>
      <c r="BM30" s="822" t="n"/>
      <c r="BN30" s="803" t="n"/>
      <c r="BO30" s="824" t="n"/>
      <c r="BP30" s="832" t="n">
        <v>39</v>
      </c>
      <c r="BQ30" s="1169" t="n">
        <v>14</v>
      </c>
      <c r="BR30" s="1170" t="n"/>
      <c r="BS30" s="803" t="n"/>
      <c r="BT30" s="824" t="n"/>
      <c r="BU30" s="828" t="n"/>
      <c r="BV30" s="821" t="n"/>
      <c r="BW30" s="822" t="n"/>
      <c r="BX30" s="803" t="n"/>
      <c r="BY30" s="824" t="n"/>
      <c r="BZ30" s="832" t="n">
        <v>44</v>
      </c>
      <c r="CA30" s="1169" t="n">
        <v>18</v>
      </c>
      <c r="CB30" s="1170" t="n"/>
      <c r="CC30" s="803" t="n"/>
      <c r="CD30" s="824" t="n"/>
      <c r="CE30" s="828" t="n"/>
      <c r="CF30" s="821" t="n"/>
      <c r="CG30" s="822" t="n"/>
      <c r="CH30" s="803" t="n"/>
      <c r="CI30" s="824" t="n"/>
      <c r="CJ30" s="828" t="n"/>
      <c r="CK30" s="821" t="n"/>
      <c r="CL30" s="822" t="n"/>
      <c r="CM30" s="803" t="n"/>
      <c r="CN30" s="823" t="n"/>
      <c r="CO30" s="836" t="n"/>
      <c r="CP30" s="821" t="n"/>
      <c r="CQ30" s="822" t="n"/>
      <c r="CR30" s="803" t="n"/>
      <c r="CS30" s="823" t="n"/>
      <c r="CT30" s="828"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832" t="n">
        <v>71</v>
      </c>
      <c r="D31" s="1169" t="n">
        <v>2</v>
      </c>
      <c r="E31" s="1170" t="n"/>
      <c r="F31" s="768" t="n"/>
      <c r="G31" s="769" t="n"/>
      <c r="H31" s="828" t="n"/>
      <c r="I31" s="821" t="n"/>
      <c r="J31" s="822" t="n"/>
      <c r="K31" s="823" t="n"/>
      <c r="L31" s="769" t="n"/>
      <c r="M31" s="828" t="n"/>
      <c r="N31" s="821" t="n"/>
      <c r="O31" s="822" t="n"/>
      <c r="P31" s="823" t="n"/>
      <c r="Q31" s="824" t="n"/>
      <c r="R31" s="828"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115</v>
      </c>
      <c r="AM31" s="1169" t="n">
        <v>8</v>
      </c>
      <c r="AN31" s="1170" t="n"/>
      <c r="AO31" s="803" t="n"/>
      <c r="AP31" s="824" t="n"/>
      <c r="AQ31" s="832" t="n">
        <v>136</v>
      </c>
      <c r="AR31" s="1169" t="n">
        <v>7</v>
      </c>
      <c r="AS31" s="1170" t="n"/>
      <c r="AT31" s="803" t="n"/>
      <c r="AU31" s="824" t="n"/>
      <c r="AV31" s="832" t="n">
        <v>100</v>
      </c>
      <c r="AW31" s="1169" t="n">
        <v>12</v>
      </c>
      <c r="AX31" s="117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32" t="n">
        <v>41</v>
      </c>
      <c r="BQ31" s="1169" t="n">
        <v>14</v>
      </c>
      <c r="BR31" s="1170" t="n"/>
      <c r="BS31" s="803" t="n"/>
      <c r="BT31" s="824" t="n"/>
      <c r="BU31" s="828" t="n"/>
      <c r="BV31" s="821" t="n"/>
      <c r="BW31" s="822" t="n"/>
      <c r="BX31" s="803" t="n"/>
      <c r="BY31" s="824" t="n"/>
      <c r="BZ31" s="832" t="n">
        <v>16</v>
      </c>
      <c r="CA31" s="1169" t="n">
        <v>18</v>
      </c>
      <c r="CB31" s="1170" t="n"/>
      <c r="CC31" s="803" t="n"/>
      <c r="CD31" s="824" t="n"/>
      <c r="CE31" s="828" t="n"/>
      <c r="CF31" s="821" t="n"/>
      <c r="CG31" s="822" t="n"/>
      <c r="CH31" s="803" t="n"/>
      <c r="CI31" s="824" t="n"/>
      <c r="CJ31" s="836" t="n"/>
      <c r="CK31" s="821" t="n"/>
      <c r="CL31" s="822" t="n"/>
      <c r="CM31" s="803" t="n"/>
      <c r="CN31" s="823" t="n"/>
      <c r="CO31" s="836" t="n"/>
      <c r="CP31" s="821" t="n"/>
      <c r="CQ31" s="822" t="n"/>
      <c r="CR31" s="803" t="n"/>
      <c r="CS31" s="823" t="n"/>
      <c r="CT31" s="836"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B32" s="803" t="n"/>
      <c r="C32" s="832" t="n">
        <v>257</v>
      </c>
      <c r="D32" s="1169" t="n">
        <v>17</v>
      </c>
      <c r="E32" s="117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16</v>
      </c>
      <c r="AM32" s="1169" t="n">
        <v>8</v>
      </c>
      <c r="AN32" s="1170" t="n"/>
      <c r="AO32" s="803" t="n"/>
      <c r="AP32" s="824" t="n"/>
      <c r="AQ32" s="832" t="n">
        <v>154</v>
      </c>
      <c r="AR32" s="1169" t="n">
        <v>7</v>
      </c>
      <c r="AS32" s="1170" t="n"/>
      <c r="AT32" s="803" t="n"/>
      <c r="AU32" s="824" t="n"/>
      <c r="AV32" s="832" t="n">
        <v>49</v>
      </c>
      <c r="AW32" s="1169" t="n">
        <v>12</v>
      </c>
      <c r="AX32" s="117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32" t="n">
        <v>41</v>
      </c>
      <c r="BQ32" s="1169" t="n">
        <v>14</v>
      </c>
      <c r="BR32" s="1170" t="n"/>
      <c r="BS32" s="803" t="n"/>
      <c r="BT32" s="823" t="n"/>
      <c r="BU32" s="828" t="n"/>
      <c r="BV32" s="821" t="n"/>
      <c r="BW32" s="822" t="n"/>
      <c r="BX32" s="803" t="n"/>
      <c r="BY32" s="824" t="n"/>
      <c r="BZ32" s="832" t="n">
        <v>54</v>
      </c>
      <c r="CA32" s="1169" t="n">
        <v>17</v>
      </c>
      <c r="CB32" s="1170" t="n"/>
      <c r="CC32" s="803" t="n"/>
      <c r="CD32" s="824" t="n"/>
      <c r="CE32" s="828" t="n"/>
      <c r="CF32" s="821" t="n"/>
      <c r="CG32" s="822" t="n"/>
      <c r="CH32" s="803" t="n"/>
      <c r="CI32" s="824" t="n"/>
      <c r="CJ32" s="836" t="n"/>
      <c r="CK32" s="821" t="n"/>
      <c r="CL32" s="822" t="n"/>
      <c r="CM32" s="803" t="n"/>
      <c r="CN32" s="835" t="n"/>
      <c r="CO32" s="836" t="n"/>
      <c r="CP32" s="821" t="n"/>
      <c r="CQ32" s="822" t="n"/>
      <c r="CR32" s="803" t="n"/>
      <c r="CS32" s="835" t="n"/>
      <c r="CT32" s="836" t="n"/>
      <c r="CU32" s="821" t="n"/>
      <c r="CV32" s="822" t="n"/>
      <c r="CW32" s="803" t="n"/>
      <c r="CX32" s="835" t="n"/>
      <c r="CY32" s="836" t="n"/>
      <c r="CZ32" s="821" t="n"/>
      <c r="DA32" s="822" t="n"/>
      <c r="DB32" s="803" t="n"/>
      <c r="DC32" s="835" t="n"/>
      <c r="DD32" s="836" t="n"/>
      <c r="DE32" s="821" t="n"/>
      <c r="DF32" s="822" t="n"/>
      <c r="DG32" s="803" t="n"/>
      <c r="DH32" s="835" t="n"/>
      <c r="DI32" s="836" t="n"/>
      <c r="DJ32" s="821" t="n"/>
      <c r="DK32" s="822" t="n"/>
      <c r="DL32" s="803" t="n"/>
      <c r="DM32" s="835" t="n"/>
      <c r="DN32" s="836" t="n"/>
      <c r="DO32" s="821" t="n"/>
      <c r="DP32" s="822" t="n"/>
      <c r="DQ32" s="803" t="n"/>
      <c r="DR32" s="835" t="n"/>
      <c r="DS32" s="836" t="n"/>
      <c r="DT32" s="821" t="n"/>
      <c r="DU32" s="822" t="n"/>
    </row>
    <row r="33">
      <c r="B33" s="803" t="n"/>
      <c r="C33" s="832" t="n">
        <v>35</v>
      </c>
      <c r="D33" s="1169" t="n">
        <v>17</v>
      </c>
      <c r="E33" s="117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41</v>
      </c>
      <c r="AM33" s="1169" t="n">
        <v>8</v>
      </c>
      <c r="AN33" s="1170" t="n"/>
      <c r="AO33" s="803" t="n"/>
      <c r="AP33" s="824" t="n"/>
      <c r="AQ33" s="832" t="n">
        <v>140</v>
      </c>
      <c r="AR33" s="1169" t="n">
        <v>7</v>
      </c>
      <c r="AS33" s="1170" t="n"/>
      <c r="AT33" s="803" t="n"/>
      <c r="AU33" s="824" t="n"/>
      <c r="AV33" s="832" t="n">
        <v>419</v>
      </c>
      <c r="AW33" s="1169" t="n">
        <v>10</v>
      </c>
      <c r="AX33" s="117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32" t="n">
        <v>41</v>
      </c>
      <c r="BQ33" s="1169" t="n">
        <v>15</v>
      </c>
      <c r="BR33" s="1170" t="n"/>
      <c r="BS33" s="803" t="n"/>
      <c r="BT33" s="823" t="n"/>
      <c r="BU33" s="828" t="n"/>
      <c r="BV33" s="821" t="n"/>
      <c r="BW33" s="822" t="n"/>
      <c r="BX33" s="803" t="n"/>
      <c r="BY33" s="824" t="n"/>
      <c r="BZ33" s="828" t="n"/>
      <c r="CA33" s="821" t="n"/>
      <c r="CB33" s="822" t="n"/>
      <c r="CC33" s="803" t="n"/>
      <c r="CD33" s="824" t="n"/>
      <c r="CE33" s="828" t="n"/>
      <c r="CF33" s="821" t="n"/>
      <c r="CG33" s="822" t="n"/>
      <c r="CH33" s="803" t="n"/>
      <c r="CI33" s="824" t="n"/>
      <c r="CJ33" s="828" t="n"/>
      <c r="CK33" s="821" t="n"/>
      <c r="CL33" s="833"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101</v>
      </c>
      <c r="D34" s="1169" t="n">
        <v>16</v>
      </c>
      <c r="E34" s="1170" t="n"/>
      <c r="F34" s="823" t="n"/>
      <c r="G34" s="824" t="n"/>
      <c r="H34" s="828" t="n"/>
      <c r="I34" s="821" t="n"/>
      <c r="J34" s="822" t="n"/>
      <c r="K34" s="823" t="n"/>
      <c r="L34" s="824"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41</v>
      </c>
      <c r="AM34" s="1169" t="n">
        <v>8</v>
      </c>
      <c r="AN34" s="1170" t="n"/>
      <c r="AO34" s="803" t="n"/>
      <c r="AP34" s="824" t="n"/>
      <c r="AQ34" s="832" t="n">
        <v>75</v>
      </c>
      <c r="AR34" s="1169" t="n">
        <v>7</v>
      </c>
      <c r="AS34" s="1170" t="n"/>
      <c r="AT34" s="803" t="n"/>
      <c r="AU34" s="824" t="n"/>
      <c r="AV34" s="832" t="n">
        <v>54</v>
      </c>
      <c r="AW34" s="1169" t="n">
        <v>10</v>
      </c>
      <c r="AX34" s="117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32" t="n">
        <v>41</v>
      </c>
      <c r="BQ34" s="1169" t="n">
        <v>15</v>
      </c>
      <c r="BR34" s="1170"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28" t="n"/>
      <c r="CK34" s="821" t="n"/>
      <c r="CL34" s="822" t="n"/>
      <c r="CM34" s="803" t="n"/>
      <c r="CN34" s="823" t="n"/>
      <c r="CO34" s="836" t="n"/>
      <c r="CP34" s="821" t="n"/>
      <c r="CQ34" s="822" t="n"/>
      <c r="CR34" s="803" t="n"/>
      <c r="CS34" s="823" t="n"/>
      <c r="CT34" s="836" t="n"/>
      <c r="CU34" s="821" t="n"/>
      <c r="CV34" s="822" t="n"/>
      <c r="CW34" s="803" t="n"/>
      <c r="CX34" s="823" t="n"/>
      <c r="CY34" s="836" t="n"/>
      <c r="CZ34" s="821" t="n"/>
      <c r="DA34" s="822" t="n"/>
      <c r="DB34" s="803" t="n"/>
      <c r="DC34" s="823" t="n"/>
      <c r="DD34" s="836" t="n"/>
      <c r="DE34" s="821" t="n"/>
      <c r="DF34" s="822" t="n"/>
      <c r="DG34" s="803" t="n"/>
      <c r="DH34" s="823" t="n"/>
      <c r="DI34" s="836" t="n"/>
      <c r="DJ34" s="821" t="n"/>
      <c r="DK34" s="822" t="n"/>
      <c r="DL34" s="803" t="n"/>
      <c r="DM34" s="823" t="n"/>
      <c r="DN34" s="836" t="n"/>
      <c r="DO34" s="821" t="n"/>
      <c r="DP34" s="822" t="n"/>
      <c r="DQ34" s="803" t="n"/>
      <c r="DR34" s="823" t="n"/>
      <c r="DS34" s="836" t="n"/>
      <c r="DT34" s="821" t="n"/>
      <c r="DU34" s="822" t="n"/>
    </row>
    <row r="35">
      <c r="B35" s="803" t="n"/>
      <c r="C35" s="832" t="n">
        <v>207</v>
      </c>
      <c r="D35" s="1169" t="n">
        <v>16</v>
      </c>
      <c r="E35" s="1170" t="n"/>
      <c r="F35" s="823" t="n"/>
      <c r="G35" s="824" t="n"/>
      <c r="H35" s="828" t="n"/>
      <c r="I35" s="821" t="n"/>
      <c r="J35" s="822" t="n"/>
      <c r="K35" s="823" t="n"/>
      <c r="L35" s="824"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44</v>
      </c>
      <c r="AM35" s="1169" t="n">
        <v>8</v>
      </c>
      <c r="AN35" s="1170" t="n"/>
      <c r="AO35" s="803" t="n"/>
      <c r="AP35" s="824" t="n"/>
      <c r="AQ35" s="832" t="n">
        <v>8</v>
      </c>
      <c r="AR35" s="1169" t="n">
        <v>7</v>
      </c>
      <c r="AS35" s="1170" t="n"/>
      <c r="AT35" s="803" t="n"/>
      <c r="AU35" s="824" t="n"/>
      <c r="AV35" s="832" t="n">
        <v>51</v>
      </c>
      <c r="AW35" s="1169" t="n">
        <v>10</v>
      </c>
      <c r="AX35" s="117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32" t="n">
        <v>44</v>
      </c>
      <c r="BQ35" s="1169" t="n">
        <v>15</v>
      </c>
      <c r="BR35" s="1170" t="n"/>
      <c r="BS35" s="803" t="n"/>
      <c r="BT35" s="80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22"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64</v>
      </c>
      <c r="D36" s="1169" t="n">
        <v>16</v>
      </c>
      <c r="E36" s="117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58</v>
      </c>
      <c r="AM36" s="1169" t="n">
        <v>8</v>
      </c>
      <c r="AN36" s="1170" t="n"/>
      <c r="AO36" s="803" t="n"/>
      <c r="AP36" s="824" t="n"/>
      <c r="AQ36" s="828" t="n"/>
      <c r="AR36" s="821" t="n"/>
      <c r="AS36" s="822" t="n"/>
      <c r="AT36" s="803" t="n"/>
      <c r="AU36" s="824" t="n"/>
      <c r="AV36" s="832" t="n">
        <v>54</v>
      </c>
      <c r="AW36" s="1169" t="n">
        <v>9</v>
      </c>
      <c r="AX36" s="1170"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32" t="n">
        <v>41</v>
      </c>
      <c r="BQ36" s="1169" t="n">
        <v>15</v>
      </c>
      <c r="BR36" s="1170" t="n"/>
      <c r="BS36" s="803" t="n"/>
      <c r="BT36" s="80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28" t="n"/>
      <c r="CP36" s="821" t="n"/>
      <c r="CQ36" s="822" t="n"/>
      <c r="CR36" s="803" t="n"/>
      <c r="CS36" s="823" t="n"/>
      <c r="CT36" s="828" t="n"/>
      <c r="CU36" s="821" t="n"/>
      <c r="CV36" s="822" t="n"/>
      <c r="CW36" s="803" t="n"/>
      <c r="CX36" s="823" t="n"/>
      <c r="CY36" s="828" t="n"/>
      <c r="CZ36" s="821" t="n"/>
      <c r="DA36" s="822" t="n"/>
      <c r="DB36" s="803" t="n"/>
      <c r="DC36" s="823" t="n"/>
      <c r="DD36" s="828" t="n"/>
      <c r="DE36" s="821" t="n"/>
      <c r="DF36" s="822" t="n"/>
      <c r="DG36" s="803" t="n"/>
      <c r="DH36" s="823" t="n"/>
      <c r="DI36" s="828" t="n"/>
      <c r="DJ36" s="821" t="n"/>
      <c r="DK36" s="822" t="n"/>
      <c r="DL36" s="803" t="n"/>
      <c r="DM36" s="823" t="n"/>
      <c r="DN36" s="828" t="n"/>
      <c r="DO36" s="821" t="n"/>
      <c r="DP36" s="822" t="n"/>
      <c r="DQ36" s="803" t="n"/>
      <c r="DR36" s="823" t="n"/>
      <c r="DS36" s="828" t="n"/>
      <c r="DT36" s="821" t="n"/>
      <c r="DU36" s="822" t="n"/>
    </row>
    <row r="37">
      <c r="B37" s="803" t="n"/>
      <c r="C37" s="832" t="n">
        <v>189</v>
      </c>
      <c r="D37" s="1169" t="n">
        <v>16</v>
      </c>
      <c r="E37" s="117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41</v>
      </c>
      <c r="AM37" s="1169" t="n">
        <v>8</v>
      </c>
      <c r="AN37" s="1170" t="n"/>
      <c r="AO37" s="803" t="n"/>
      <c r="AP37" s="824" t="n"/>
      <c r="AQ37" s="828" t="n"/>
      <c r="AR37" s="821" t="n"/>
      <c r="AS37" s="822" t="n"/>
      <c r="AT37" s="803" t="n"/>
      <c r="AU37" s="824" t="n"/>
      <c r="AV37" s="832" t="n">
        <v>49</v>
      </c>
      <c r="AW37" s="1169" t="n">
        <v>9</v>
      </c>
      <c r="AX37" s="1170"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32" t="n">
        <v>130</v>
      </c>
      <c r="BQ37" s="1169" t="n">
        <v>14</v>
      </c>
      <c r="BR37" s="1170"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28" t="n"/>
      <c r="CP37" s="821" t="n"/>
      <c r="CQ37" s="822" t="n"/>
      <c r="CR37" s="803" t="n"/>
      <c r="CS37" s="823" t="n"/>
      <c r="CT37" s="828" t="n"/>
      <c r="CU37" s="821" t="n"/>
      <c r="CV37" s="822" t="n"/>
      <c r="CW37" s="803" t="n"/>
      <c r="CX37" s="823" t="n"/>
      <c r="CY37" s="828" t="n"/>
      <c r="CZ37" s="821" t="n"/>
      <c r="DA37" s="822" t="n"/>
      <c r="DB37" s="803" t="n"/>
      <c r="DC37" s="823" t="n"/>
      <c r="DD37" s="828" t="n"/>
      <c r="DE37" s="821" t="n"/>
      <c r="DF37" s="822" t="n"/>
      <c r="DG37" s="803" t="n"/>
      <c r="DH37" s="823" t="n"/>
      <c r="DI37" s="828" t="n"/>
      <c r="DJ37" s="821" t="n"/>
      <c r="DK37" s="822" t="n"/>
      <c r="DL37" s="803" t="n"/>
      <c r="DM37" s="823" t="n"/>
      <c r="DN37" s="828" t="n"/>
      <c r="DO37" s="821" t="n"/>
      <c r="DP37" s="822" t="n"/>
      <c r="DQ37" s="803" t="n"/>
      <c r="DR37" s="823" t="n"/>
      <c r="DS37" s="828" t="n"/>
      <c r="DT37" s="821" t="n"/>
      <c r="DU37" s="822" t="n"/>
    </row>
    <row r="38">
      <c r="B38" s="803" t="n"/>
      <c r="C38" s="832" t="n">
        <v>174</v>
      </c>
      <c r="D38" s="1169" t="n">
        <v>16</v>
      </c>
      <c r="E38" s="117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41</v>
      </c>
      <c r="AM38" s="1169" t="n">
        <v>8</v>
      </c>
      <c r="AN38" s="1170" t="n"/>
      <c r="AO38" s="803" t="n"/>
      <c r="AP38" s="824" t="n"/>
      <c r="AQ38" s="828" t="n"/>
      <c r="AR38" s="821" t="n"/>
      <c r="AS38" s="822" t="n"/>
      <c r="AT38" s="803" t="n"/>
      <c r="AU38" s="824" t="n"/>
      <c r="AV38" s="832" t="n">
        <v>53</v>
      </c>
      <c r="AW38" s="1169" t="n">
        <v>9</v>
      </c>
      <c r="AX38" s="1170"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32" t="n">
        <v>130</v>
      </c>
      <c r="BQ38" s="1169" t="n">
        <v>14</v>
      </c>
      <c r="BR38" s="1170"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308</v>
      </c>
      <c r="D39" s="1169" t="n">
        <v>13</v>
      </c>
      <c r="E39" s="117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169" t="n">
        <v>8</v>
      </c>
      <c r="AN39" s="1170" t="n"/>
      <c r="AO39" s="803" t="n"/>
      <c r="AP39" s="824" t="n"/>
      <c r="AQ39" s="828" t="n"/>
      <c r="AR39" s="821" t="n"/>
      <c r="AS39" s="822" t="n"/>
      <c r="AT39" s="803" t="n"/>
      <c r="AU39" s="824" t="n"/>
      <c r="AV39" s="832" t="n">
        <v>50</v>
      </c>
      <c r="AW39" s="1169" t="n">
        <v>10</v>
      </c>
      <c r="AX39" s="1170"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22</v>
      </c>
      <c r="D40" s="1169" t="n">
        <v>13</v>
      </c>
      <c r="E40" s="117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38</v>
      </c>
      <c r="AM40" s="1169" t="n">
        <v>8</v>
      </c>
      <c r="AN40" s="1170" t="n"/>
      <c r="AO40" s="803" t="n"/>
      <c r="AP40" s="824" t="n"/>
      <c r="AQ40" s="828" t="n"/>
      <c r="AR40" s="821" t="n"/>
      <c r="AS40" s="822" t="n"/>
      <c r="AT40" s="803" t="n"/>
      <c r="AU40" s="824" t="n"/>
      <c r="AV40" s="832" t="n">
        <v>55</v>
      </c>
      <c r="AW40" s="1169" t="n">
        <v>9</v>
      </c>
      <c r="AX40" s="1170"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148</v>
      </c>
      <c r="D41" s="1169" t="n">
        <v>13</v>
      </c>
      <c r="E41" s="117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44</v>
      </c>
      <c r="AM41" s="1169" t="n">
        <v>7</v>
      </c>
      <c r="AN41" s="1170" t="n"/>
      <c r="AO41" s="803" t="n"/>
      <c r="AP41" s="824" t="n"/>
      <c r="AQ41" s="828" t="n"/>
      <c r="AR41" s="821" t="n"/>
      <c r="AS41" s="822" t="n"/>
      <c r="AT41" s="803" t="n"/>
      <c r="AU41" s="824" t="n"/>
      <c r="AV41" s="832" t="n">
        <v>51</v>
      </c>
      <c r="AW41" s="1169" t="n">
        <v>9</v>
      </c>
      <c r="AX41" s="1170"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111</v>
      </c>
      <c r="D42" s="1169" t="n">
        <v>13</v>
      </c>
      <c r="E42" s="117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41</v>
      </c>
      <c r="AM42" s="1169" t="n">
        <v>8</v>
      </c>
      <c r="AN42" s="1170" t="n"/>
      <c r="AO42" s="803" t="n"/>
      <c r="AP42" s="824" t="n"/>
      <c r="AQ42" s="828" t="n"/>
      <c r="AR42" s="821" t="n"/>
      <c r="AS42" s="822" t="n"/>
      <c r="AT42" s="803" t="n"/>
      <c r="AU42" s="824" t="n"/>
      <c r="AV42" s="832" t="n">
        <v>148</v>
      </c>
      <c r="AW42" s="1169" t="n">
        <v>9</v>
      </c>
      <c r="AX42" s="1170"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185</v>
      </c>
      <c r="D43" s="1169" t="n">
        <v>13</v>
      </c>
      <c r="E43" s="117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59</v>
      </c>
      <c r="AM43" s="1169" t="n">
        <v>8</v>
      </c>
      <c r="AN43" s="1170" t="n"/>
      <c r="AO43" s="803" t="n"/>
      <c r="AP43" s="824" t="n"/>
      <c r="AQ43" s="828" t="n"/>
      <c r="AR43" s="821" t="n"/>
      <c r="AS43" s="822" t="n"/>
      <c r="AT43" s="803" t="n"/>
      <c r="AU43" s="824" t="n"/>
      <c r="AV43" s="832" t="n">
        <v>214</v>
      </c>
      <c r="AW43" s="1169" t="n">
        <v>10</v>
      </c>
      <c r="AX43" s="1170" t="n"/>
      <c r="AY43" s="803" t="n"/>
      <c r="AZ43" s="823"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191</v>
      </c>
      <c r="D44" s="1169" t="n">
        <v>13</v>
      </c>
      <c r="E44" s="117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152</v>
      </c>
      <c r="AM44" s="1169" t="n">
        <v>8</v>
      </c>
      <c r="AN44" s="1170" t="n"/>
      <c r="AO44" s="803" t="n"/>
      <c r="AP44" s="824" t="n"/>
      <c r="AQ44" s="828" t="n"/>
      <c r="AR44" s="821" t="n"/>
      <c r="AS44" s="822" t="n"/>
      <c r="AT44" s="803" t="n"/>
      <c r="AU44" s="824" t="n"/>
      <c r="AV44" s="832" t="n">
        <v>38</v>
      </c>
      <c r="AW44" s="1169" t="n">
        <v>9</v>
      </c>
      <c r="AX44" s="1170" t="n"/>
      <c r="AY44" s="803" t="n"/>
      <c r="AZ44" s="823"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133</v>
      </c>
      <c r="D45" s="1169" t="n">
        <v>13</v>
      </c>
      <c r="E45" s="117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169" t="n">
        <v>8</v>
      </c>
      <c r="AN45" s="1170" t="n"/>
      <c r="AO45" s="803" t="n"/>
      <c r="AP45" s="824" t="n"/>
      <c r="AQ45" s="828" t="n"/>
      <c r="AR45" s="821" t="n"/>
      <c r="AS45" s="822" t="n"/>
      <c r="AT45" s="803" t="n"/>
      <c r="AU45" s="824" t="n"/>
      <c r="AV45" s="832" t="n">
        <v>174</v>
      </c>
      <c r="AW45" s="1169" t="n">
        <v>10</v>
      </c>
      <c r="AX45" s="1170"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236</v>
      </c>
      <c r="D46" s="1169" t="n">
        <v>9</v>
      </c>
      <c r="E46" s="117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32" t="n">
        <v>41</v>
      </c>
      <c r="AM46" s="1169" t="n">
        <v>7</v>
      </c>
      <c r="AN46" s="1170" t="n"/>
      <c r="AO46" s="803" t="n"/>
      <c r="AP46" s="824" t="n"/>
      <c r="AQ46" s="828" t="n"/>
      <c r="AR46" s="821" t="n"/>
      <c r="AS46" s="822" t="n"/>
      <c r="AT46" s="803" t="n"/>
      <c r="AU46" s="824" t="n"/>
      <c r="AV46" s="832" t="n">
        <v>68</v>
      </c>
      <c r="AW46" s="1169" t="n">
        <v>9</v>
      </c>
      <c r="AX46" s="1170"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37" t="n"/>
      <c r="C47" s="832" t="n">
        <v>52</v>
      </c>
      <c r="D47" s="1169" t="n">
        <v>2</v>
      </c>
      <c r="E47" s="1170" t="n"/>
      <c r="F47" s="1043" t="n"/>
      <c r="G47" s="1043" t="n"/>
      <c r="H47" s="828" t="n"/>
      <c r="I47" s="821" t="n"/>
      <c r="J47" s="822" t="n"/>
      <c r="K47" s="1043" t="n"/>
      <c r="L47" s="1043" t="n"/>
      <c r="M47" s="828" t="n"/>
      <c r="N47" s="821" t="n"/>
      <c r="O47" s="822" t="n"/>
      <c r="P47" s="1043" t="n"/>
      <c r="Q47" s="1043" t="n"/>
      <c r="R47" s="828" t="n"/>
      <c r="S47" s="821" t="n"/>
      <c r="T47" s="822" t="n"/>
      <c r="U47" s="827" t="n"/>
      <c r="V47" s="1043" t="n"/>
      <c r="W47" s="828" t="n"/>
      <c r="X47" s="821" t="n"/>
      <c r="Y47" s="822" t="n"/>
      <c r="Z47" s="1043" t="n"/>
      <c r="AA47" s="1043" t="n"/>
      <c r="AB47" s="828" t="n"/>
      <c r="AC47" s="821" t="n"/>
      <c r="AD47" s="822" t="n"/>
      <c r="AE47" s="803" t="n"/>
      <c r="AF47" s="1043" t="n"/>
      <c r="AG47" s="828" t="n"/>
      <c r="AH47" s="821" t="n"/>
      <c r="AI47" s="822" t="n"/>
      <c r="AJ47" s="803" t="n"/>
      <c r="AK47" s="1043" t="n"/>
      <c r="AL47" s="832" t="n">
        <v>17</v>
      </c>
      <c r="AM47" s="1169" t="n">
        <v>7</v>
      </c>
      <c r="AN47" s="1170" t="n"/>
      <c r="AO47" s="803" t="n"/>
      <c r="AP47" s="1043" t="n"/>
      <c r="AQ47" s="828" t="n"/>
      <c r="AR47" s="821" t="n"/>
      <c r="AS47" s="822" t="n"/>
      <c r="AT47" s="803" t="n"/>
      <c r="AU47" s="1043" t="n"/>
      <c r="AV47" s="828" t="n"/>
      <c r="AW47" s="821" t="n"/>
      <c r="AX47" s="822" t="n"/>
      <c r="AY47" s="803" t="n"/>
      <c r="AZ47" s="1043" t="n"/>
      <c r="BA47" s="828" t="n"/>
      <c r="BB47" s="821" t="n"/>
      <c r="BC47" s="822" t="n"/>
      <c r="BD47" s="803" t="n"/>
      <c r="BE47" s="1043" t="n"/>
      <c r="BF47" s="828" t="n"/>
      <c r="BG47" s="821" t="n"/>
      <c r="BH47" s="822" t="n"/>
      <c r="BI47" s="803" t="n"/>
      <c r="BJ47" s="1043" t="n"/>
      <c r="BK47" s="828" t="n"/>
      <c r="BL47" s="821" t="n"/>
      <c r="BM47" s="822" t="n"/>
      <c r="BN47" s="803" t="n"/>
      <c r="BO47" s="1043"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37" t="n"/>
      <c r="C48" s="832" t="n">
        <v>53</v>
      </c>
      <c r="D48" s="1169" t="n">
        <v>5</v>
      </c>
      <c r="E48" s="1170" t="n"/>
      <c r="F48" s="1043" t="n"/>
      <c r="G48" s="1043" t="n"/>
      <c r="H48" s="828" t="n"/>
      <c r="I48" s="821" t="n"/>
      <c r="J48" s="822" t="n"/>
      <c r="K48" s="1043" t="n"/>
      <c r="L48" s="1043" t="n"/>
      <c r="M48" s="828" t="n"/>
      <c r="N48" s="821" t="n"/>
      <c r="O48" s="822" t="n"/>
      <c r="P48" s="1043" t="n"/>
      <c r="Q48" s="1043" t="n"/>
      <c r="R48" s="828" t="n"/>
      <c r="S48" s="821" t="n"/>
      <c r="T48" s="822" t="n"/>
      <c r="U48" s="827" t="n"/>
      <c r="V48" s="1043" t="n"/>
      <c r="W48" s="828" t="n"/>
      <c r="X48" s="821" t="n"/>
      <c r="Y48" s="822" t="n"/>
      <c r="Z48" s="1043" t="n"/>
      <c r="AA48" s="1043" t="n"/>
      <c r="AB48" s="828" t="n"/>
      <c r="AC48" s="821" t="n"/>
      <c r="AD48" s="822" t="n"/>
      <c r="AE48" s="803" t="n"/>
      <c r="AF48" s="1043" t="n"/>
      <c r="AG48" s="828" t="n"/>
      <c r="AH48" s="821" t="n"/>
      <c r="AI48" s="822" t="n"/>
      <c r="AJ48" s="803" t="n"/>
      <c r="AK48" s="1043" t="n"/>
      <c r="AL48" s="832" t="n">
        <v>8</v>
      </c>
      <c r="AM48" s="1169" t="n">
        <v>7</v>
      </c>
      <c r="AN48" s="1170" t="n"/>
      <c r="AO48" s="803" t="n"/>
      <c r="AP48" s="1043" t="n"/>
      <c r="AQ48" s="828" t="n"/>
      <c r="AR48" s="821" t="n"/>
      <c r="AS48" s="822" t="n"/>
      <c r="AT48" s="803" t="n"/>
      <c r="AU48" s="1043" t="n"/>
      <c r="AV48" s="828" t="n"/>
      <c r="AW48" s="821" t="n"/>
      <c r="AX48" s="822" t="n"/>
      <c r="AY48" s="803" t="n"/>
      <c r="AZ48" s="1043" t="n"/>
      <c r="BA48" s="828" t="n"/>
      <c r="BB48" s="821" t="n"/>
      <c r="BC48" s="822" t="n"/>
      <c r="BD48" s="803" t="n"/>
      <c r="BE48" s="1043" t="n"/>
      <c r="BF48" s="828" t="n"/>
      <c r="BG48" s="821" t="n"/>
      <c r="BH48" s="822" t="n"/>
      <c r="BI48" s="803" t="n"/>
      <c r="BJ48" s="1043" t="n"/>
      <c r="BK48" s="828" t="n"/>
      <c r="BL48" s="821" t="n"/>
      <c r="BM48" s="822" t="n"/>
      <c r="BN48" s="803" t="n"/>
      <c r="BO48" s="1043"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52</v>
      </c>
      <c r="D49" s="1169" t="n">
        <v>6</v>
      </c>
      <c r="E49" s="1170" t="n"/>
      <c r="F49" s="1043" t="n"/>
      <c r="G49" s="1043" t="n"/>
      <c r="H49" s="828" t="n"/>
      <c r="I49" s="821" t="n"/>
      <c r="J49" s="822" t="n"/>
      <c r="K49" s="1043" t="n"/>
      <c r="L49" s="1043" t="n"/>
      <c r="M49" s="828" t="n"/>
      <c r="N49" s="821" t="n"/>
      <c r="O49" s="822" t="n"/>
      <c r="P49" s="1043" t="n"/>
      <c r="Q49" s="1043" t="n"/>
      <c r="R49" s="828" t="n"/>
      <c r="S49" s="821" t="n"/>
      <c r="T49" s="822" t="n"/>
      <c r="U49" s="827" t="n"/>
      <c r="V49" s="1043" t="n"/>
      <c r="W49" s="828" t="n"/>
      <c r="X49" s="821" t="n"/>
      <c r="Y49" s="822" t="n"/>
      <c r="Z49" s="1043" t="n"/>
      <c r="AA49" s="1043" t="n"/>
      <c r="AB49" s="828" t="n"/>
      <c r="AC49" s="821" t="n"/>
      <c r="AD49" s="822" t="n"/>
      <c r="AE49" s="803" t="n"/>
      <c r="AF49" s="1043" t="n"/>
      <c r="AG49" s="828" t="n"/>
      <c r="AH49" s="821" t="n"/>
      <c r="AI49" s="822" t="n"/>
      <c r="AJ49" s="803" t="n"/>
      <c r="AK49" s="1043" t="n"/>
      <c r="AL49" s="832" t="n">
        <v>150</v>
      </c>
      <c r="AM49" s="1169" t="n">
        <v>8</v>
      </c>
      <c r="AN49" s="1170" t="n"/>
      <c r="AO49" s="803" t="n"/>
      <c r="AP49" s="1043" t="n"/>
      <c r="AQ49" s="828" t="n"/>
      <c r="AR49" s="821" t="n"/>
      <c r="AS49" s="822" t="n"/>
      <c r="AT49" s="803" t="n"/>
      <c r="AU49" s="1043" t="n"/>
      <c r="AV49" s="828" t="n"/>
      <c r="AW49" s="821" t="n"/>
      <c r="AX49" s="822" t="n"/>
      <c r="AY49" s="803" t="n"/>
      <c r="AZ49" s="1043" t="n"/>
      <c r="BA49" s="828" t="n"/>
      <c r="BB49" s="821" t="n"/>
      <c r="BC49" s="822" t="n"/>
      <c r="BD49" s="803" t="n"/>
      <c r="BE49" s="1043" t="n"/>
      <c r="BF49" s="828" t="n"/>
      <c r="BG49" s="821" t="n"/>
      <c r="BH49" s="822" t="n"/>
      <c r="BI49" s="803" t="n"/>
      <c r="BJ49" s="1043" t="n"/>
      <c r="BK49" s="828" t="n"/>
      <c r="BL49" s="821" t="n"/>
      <c r="BM49" s="822" t="n"/>
      <c r="BN49" s="803" t="n"/>
      <c r="BO49" s="1043"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44</v>
      </c>
      <c r="D50" s="1169" t="n">
        <v>17</v>
      </c>
      <c r="E50" s="1170" t="n"/>
      <c r="F50" s="1043" t="n"/>
      <c r="G50" s="1043" t="n"/>
      <c r="H50" s="828" t="n"/>
      <c r="I50" s="821" t="n"/>
      <c r="J50" s="822" t="n"/>
      <c r="K50" s="1043" t="n"/>
      <c r="L50" s="1043" t="n"/>
      <c r="M50" s="828" t="n"/>
      <c r="N50" s="821" t="n"/>
      <c r="O50" s="822" t="n"/>
      <c r="P50" s="1043" t="n"/>
      <c r="Q50" s="1043" t="n"/>
      <c r="R50" s="828" t="n"/>
      <c r="S50" s="821" t="n"/>
      <c r="T50" s="822" t="n"/>
      <c r="U50" s="827" t="n"/>
      <c r="V50" s="1043" t="n"/>
      <c r="W50" s="828" t="n"/>
      <c r="X50" s="821" t="n"/>
      <c r="Y50" s="822" t="n"/>
      <c r="Z50" s="1043" t="n"/>
      <c r="AA50" s="1043" t="n"/>
      <c r="AB50" s="828" t="n"/>
      <c r="AC50" s="821" t="n"/>
      <c r="AD50" s="822" t="n"/>
      <c r="AE50" s="803" t="n"/>
      <c r="AF50" s="1043" t="n"/>
      <c r="AG50" s="828" t="n"/>
      <c r="AH50" s="821" t="n"/>
      <c r="AI50" s="822" t="n"/>
      <c r="AJ50" s="803" t="n"/>
      <c r="AK50" s="1043" t="n"/>
      <c r="AL50" s="832" t="n">
        <v>47</v>
      </c>
      <c r="AM50" s="1169" t="n">
        <v>8</v>
      </c>
      <c r="AN50" s="1170" t="n"/>
      <c r="AO50" s="803" t="n"/>
      <c r="AP50" s="1043" t="n"/>
      <c r="AQ50" s="828" t="n"/>
      <c r="AR50" s="821" t="n"/>
      <c r="AS50" s="822" t="n"/>
      <c r="AT50" s="803" t="n"/>
      <c r="AU50" s="1043" t="n"/>
      <c r="AV50" s="828" t="n"/>
      <c r="AW50" s="821" t="n"/>
      <c r="AX50" s="822" t="n"/>
      <c r="AY50" s="803" t="n"/>
      <c r="AZ50" s="1043" t="n"/>
      <c r="BA50" s="828" t="n"/>
      <c r="BB50" s="821" t="n"/>
      <c r="BC50" s="822" t="n"/>
      <c r="BD50" s="803" t="n"/>
      <c r="BE50" s="1043" t="n"/>
      <c r="BF50" s="828" t="n"/>
      <c r="BG50" s="821" t="n"/>
      <c r="BH50" s="822" t="n"/>
      <c r="BI50" s="803" t="n"/>
      <c r="BJ50" s="1043" t="n"/>
      <c r="BK50" s="828" t="n"/>
      <c r="BL50" s="821" t="n"/>
      <c r="BM50" s="822" t="n"/>
      <c r="BN50" s="803" t="n"/>
      <c r="BO50" s="1043"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38</v>
      </c>
      <c r="D51" s="1169" t="n">
        <v>17</v>
      </c>
      <c r="E51" s="1170" t="n"/>
      <c r="F51" s="1043" t="n"/>
      <c r="G51" s="1043" t="n"/>
      <c r="H51" s="828" t="n"/>
      <c r="I51" s="821" t="n"/>
      <c r="J51" s="822" t="n"/>
      <c r="K51" s="1043" t="n"/>
      <c r="L51" s="1043" t="n"/>
      <c r="M51" s="828" t="n"/>
      <c r="N51" s="821" t="n"/>
      <c r="O51" s="822" t="n"/>
      <c r="P51" s="1043" t="n"/>
      <c r="Q51" s="1043" t="n"/>
      <c r="R51" s="828" t="n"/>
      <c r="S51" s="821" t="n"/>
      <c r="T51" s="822" t="n"/>
      <c r="U51" s="827" t="n"/>
      <c r="V51" s="1043" t="n"/>
      <c r="W51" s="828" t="n"/>
      <c r="X51" s="821" t="n"/>
      <c r="Y51" s="822" t="n"/>
      <c r="Z51" s="1043" t="n"/>
      <c r="AA51" s="1043" t="n"/>
      <c r="AB51" s="828" t="n"/>
      <c r="AC51" s="821" t="n"/>
      <c r="AD51" s="822" t="n"/>
      <c r="AE51" s="803" t="n"/>
      <c r="AF51" s="1043" t="n"/>
      <c r="AG51" s="828" t="n"/>
      <c r="AH51" s="821" t="n"/>
      <c r="AI51" s="822" t="n"/>
      <c r="AJ51" s="803" t="n"/>
      <c r="AK51" s="1043" t="n"/>
      <c r="AL51" s="828" t="n"/>
      <c r="AM51" s="821" t="n"/>
      <c r="AN51" s="822" t="n"/>
      <c r="AO51" s="803" t="n"/>
      <c r="AP51" s="1043" t="n"/>
      <c r="AQ51" s="828" t="n"/>
      <c r="AR51" s="821" t="n"/>
      <c r="AS51" s="822" t="n"/>
      <c r="AT51" s="803" t="n"/>
      <c r="AU51" s="1043" t="n"/>
      <c r="AV51" s="828" t="n"/>
      <c r="AW51" s="821" t="n"/>
      <c r="AX51" s="822" t="n"/>
      <c r="AY51" s="803" t="n"/>
      <c r="AZ51" s="1043" t="n"/>
      <c r="BA51" s="828" t="n"/>
      <c r="BB51" s="821" t="n"/>
      <c r="BC51" s="822" t="n"/>
      <c r="BD51" s="803" t="n"/>
      <c r="BE51" s="1043" t="n"/>
      <c r="BF51" s="828" t="n"/>
      <c r="BG51" s="821" t="n"/>
      <c r="BH51" s="822" t="n"/>
      <c r="BI51" s="803" t="n"/>
      <c r="BJ51" s="1043" t="n"/>
      <c r="BK51" s="828" t="n"/>
      <c r="BL51" s="821" t="n"/>
      <c r="BM51" s="822" t="n"/>
      <c r="BN51" s="803" t="n"/>
      <c r="BO51" s="1043"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41</v>
      </c>
      <c r="D52" s="1169" t="n">
        <v>16</v>
      </c>
      <c r="E52" s="1170" t="n"/>
      <c r="F52" s="1043" t="n"/>
      <c r="G52" s="1043" t="n"/>
      <c r="H52" s="828" t="n"/>
      <c r="I52" s="821" t="n"/>
      <c r="J52" s="822" t="n"/>
      <c r="K52" s="1043" t="n"/>
      <c r="L52" s="1043" t="n"/>
      <c r="M52" s="828" t="n"/>
      <c r="N52" s="821" t="n"/>
      <c r="O52" s="822" t="n"/>
      <c r="P52" s="1043" t="n"/>
      <c r="Q52" s="1043" t="n"/>
      <c r="R52" s="828" t="n"/>
      <c r="S52" s="821" t="n"/>
      <c r="T52" s="822" t="n"/>
      <c r="U52" s="827" t="n"/>
      <c r="V52" s="1043" t="n"/>
      <c r="W52" s="828" t="n"/>
      <c r="X52" s="821" t="n"/>
      <c r="Y52" s="822" t="n"/>
      <c r="Z52" s="1043" t="n"/>
      <c r="AA52" s="1043" t="n"/>
      <c r="AB52" s="828" t="n"/>
      <c r="AC52" s="821" t="n"/>
      <c r="AD52" s="822" t="n"/>
      <c r="AE52" s="803" t="n"/>
      <c r="AF52" s="1043" t="n"/>
      <c r="AG52" s="828" t="n"/>
      <c r="AH52" s="821" t="n"/>
      <c r="AI52" s="822" t="n"/>
      <c r="AJ52" s="803" t="n"/>
      <c r="AK52" s="1043" t="n"/>
      <c r="AL52" s="828" t="n"/>
      <c r="AM52" s="821" t="n"/>
      <c r="AN52" s="822" t="n"/>
      <c r="AO52" s="803" t="n"/>
      <c r="AP52" s="1043" t="n"/>
      <c r="AQ52" s="828" t="n"/>
      <c r="AR52" s="821" t="n"/>
      <c r="AS52" s="822" t="n"/>
      <c r="AT52" s="803" t="n"/>
      <c r="AU52" s="1043" t="n"/>
      <c r="AV52" s="828" t="n"/>
      <c r="AW52" s="821" t="n"/>
      <c r="AX52" s="822" t="n"/>
      <c r="AY52" s="803" t="n"/>
      <c r="AZ52" s="1043" t="n"/>
      <c r="BA52" s="828" t="n"/>
      <c r="BB52" s="821" t="n"/>
      <c r="BC52" s="822" t="n"/>
      <c r="BD52" s="803" t="n"/>
      <c r="BE52" s="1043" t="n"/>
      <c r="BF52" s="828" t="n"/>
      <c r="BG52" s="821" t="n"/>
      <c r="BH52" s="822" t="n"/>
      <c r="BI52" s="803" t="n"/>
      <c r="BJ52" s="1043" t="n"/>
      <c r="BK52" s="828" t="n"/>
      <c r="BL52" s="821" t="n"/>
      <c r="BM52" s="822" t="n"/>
      <c r="BN52" s="803" t="n"/>
      <c r="BO52" s="1043"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41</v>
      </c>
      <c r="D53" s="1169" t="n">
        <v>16</v>
      </c>
      <c r="E53" s="1170" t="n"/>
      <c r="F53" s="1043" t="n"/>
      <c r="G53" s="1043" t="n"/>
      <c r="H53" s="828" t="n"/>
      <c r="I53" s="821" t="n"/>
      <c r="J53" s="822" t="n"/>
      <c r="K53" s="1043" t="n"/>
      <c r="L53" s="1043" t="n"/>
      <c r="M53" s="828" t="n"/>
      <c r="N53" s="821" t="n"/>
      <c r="O53" s="822" t="n"/>
      <c r="P53" s="1043" t="n"/>
      <c r="Q53" s="1043" t="n"/>
      <c r="R53" s="828" t="n"/>
      <c r="S53" s="821" t="n"/>
      <c r="T53" s="822" t="n"/>
      <c r="U53" s="827" t="n"/>
      <c r="V53" s="1043" t="n"/>
      <c r="W53" s="828" t="n"/>
      <c r="X53" s="821" t="n"/>
      <c r="Y53" s="822" t="n"/>
      <c r="Z53" s="1043" t="n"/>
      <c r="AA53" s="1043" t="n"/>
      <c r="AB53" s="828" t="n"/>
      <c r="AC53" s="821" t="n"/>
      <c r="AD53" s="822" t="n"/>
      <c r="AE53" s="803" t="n"/>
      <c r="AF53" s="1043" t="n"/>
      <c r="AG53" s="828" t="n"/>
      <c r="AH53" s="821" t="n"/>
      <c r="AI53" s="822" t="n"/>
      <c r="AJ53" s="803" t="n"/>
      <c r="AK53" s="1043" t="n"/>
      <c r="AL53" s="828" t="n"/>
      <c r="AM53" s="821" t="n"/>
      <c r="AN53" s="822" t="n"/>
      <c r="AO53" s="803" t="n"/>
      <c r="AP53" s="1043" t="n"/>
      <c r="AQ53" s="828" t="n"/>
      <c r="AR53" s="821" t="n"/>
      <c r="AS53" s="822" t="n"/>
      <c r="AT53" s="803" t="n"/>
      <c r="AU53" s="1043" t="n"/>
      <c r="AV53" s="828" t="n"/>
      <c r="AW53" s="821" t="n"/>
      <c r="AX53" s="822" t="n"/>
      <c r="AY53" s="803" t="n"/>
      <c r="AZ53" s="1043" t="n"/>
      <c r="BA53" s="828" t="n"/>
      <c r="BB53" s="821" t="n"/>
      <c r="BC53" s="822" t="n"/>
      <c r="BD53" s="803" t="n"/>
      <c r="BE53" s="1043" t="n"/>
      <c r="BF53" s="828" t="n"/>
      <c r="BG53" s="821" t="n"/>
      <c r="BH53" s="822" t="n"/>
      <c r="BI53" s="803" t="n"/>
      <c r="BJ53" s="1043" t="n"/>
      <c r="BK53" s="828" t="n"/>
      <c r="BL53" s="821" t="n"/>
      <c r="BM53" s="822" t="n"/>
      <c r="BN53" s="803" t="n"/>
      <c r="BO53" s="1043"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41</v>
      </c>
      <c r="D54" s="1169" t="n">
        <v>16</v>
      </c>
      <c r="E54" s="1170" t="n"/>
      <c r="F54" s="1043" t="n"/>
      <c r="G54" s="1043" t="n"/>
      <c r="H54" s="828" t="n"/>
      <c r="I54" s="821" t="n"/>
      <c r="J54" s="822" t="n"/>
      <c r="K54" s="1043" t="n"/>
      <c r="L54" s="1043" t="n"/>
      <c r="M54" s="828" t="n"/>
      <c r="N54" s="821" t="n"/>
      <c r="O54" s="822" t="n"/>
      <c r="P54" s="1043" t="n"/>
      <c r="Q54" s="1043" t="n"/>
      <c r="R54" s="828" t="n"/>
      <c r="S54" s="821" t="n"/>
      <c r="T54" s="822" t="n"/>
      <c r="U54" s="827" t="n"/>
      <c r="V54" s="1043" t="n"/>
      <c r="W54" s="828" t="n"/>
      <c r="X54" s="821" t="n"/>
      <c r="Y54" s="822" t="n"/>
      <c r="Z54" s="1043" t="n"/>
      <c r="AA54" s="1043" t="n"/>
      <c r="AB54" s="828" t="n"/>
      <c r="AC54" s="821" t="n"/>
      <c r="AD54" s="822" t="n"/>
      <c r="AE54" s="803" t="n"/>
      <c r="AF54" s="1043" t="n"/>
      <c r="AG54" s="828" t="n"/>
      <c r="AH54" s="821" t="n"/>
      <c r="AI54" s="822" t="n"/>
      <c r="AJ54" s="803" t="n"/>
      <c r="AK54" s="1043" t="n"/>
      <c r="AL54" s="828" t="n"/>
      <c r="AM54" s="821" t="n"/>
      <c r="AN54" s="822" t="n"/>
      <c r="AO54" s="803" t="n"/>
      <c r="AP54" s="1043" t="n"/>
      <c r="AQ54" s="828" t="n"/>
      <c r="AR54" s="821" t="n"/>
      <c r="AS54" s="822" t="n"/>
      <c r="AT54" s="803" t="n"/>
      <c r="AU54" s="1043" t="n"/>
      <c r="AV54" s="828" t="n"/>
      <c r="AW54" s="821" t="n"/>
      <c r="AX54" s="822" t="n"/>
      <c r="AY54" s="803" t="n"/>
      <c r="AZ54" s="1043" t="n"/>
      <c r="BA54" s="828" t="n"/>
      <c r="BB54" s="821" t="n"/>
      <c r="BC54" s="822" t="n"/>
      <c r="BD54" s="803" t="n"/>
      <c r="BE54" s="1043" t="n"/>
      <c r="BF54" s="828" t="n"/>
      <c r="BG54" s="821" t="n"/>
      <c r="BH54" s="822" t="n"/>
      <c r="BI54" s="803" t="n"/>
      <c r="BJ54" s="1043" t="n"/>
      <c r="BK54" s="828" t="n"/>
      <c r="BL54" s="821" t="n"/>
      <c r="BM54" s="822" t="n"/>
      <c r="BN54" s="803" t="n"/>
      <c r="BO54" s="1043"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42</v>
      </c>
      <c r="D55" s="1169" t="n">
        <v>13</v>
      </c>
      <c r="E55" s="1170" t="n"/>
      <c r="F55" s="1043" t="n"/>
      <c r="G55" s="1043" t="n"/>
      <c r="H55" s="828" t="n"/>
      <c r="I55" s="821" t="n"/>
      <c r="J55" s="822" t="n"/>
      <c r="K55" s="1043" t="n"/>
      <c r="L55" s="1043" t="n"/>
      <c r="M55" s="828" t="n"/>
      <c r="N55" s="821" t="n"/>
      <c r="O55" s="822" t="n"/>
      <c r="P55" s="1043" t="n"/>
      <c r="Q55" s="1043" t="n"/>
      <c r="R55" s="828" t="n"/>
      <c r="S55" s="821" t="n"/>
      <c r="T55" s="822" t="n"/>
      <c r="U55" s="827" t="n"/>
      <c r="V55" s="1043" t="n"/>
      <c r="W55" s="828" t="n"/>
      <c r="X55" s="821" t="n"/>
      <c r="Y55" s="822" t="n"/>
      <c r="Z55" s="1043" t="n"/>
      <c r="AA55" s="1043" t="n"/>
      <c r="AB55" s="828" t="n"/>
      <c r="AC55" s="821" t="n"/>
      <c r="AD55" s="822" t="n"/>
      <c r="AE55" s="803" t="n"/>
      <c r="AF55" s="1043" t="n"/>
      <c r="AG55" s="828" t="n"/>
      <c r="AH55" s="821" t="n"/>
      <c r="AI55" s="822" t="n"/>
      <c r="AJ55" s="803" t="n"/>
      <c r="AK55" s="1043" t="n"/>
      <c r="AL55" s="828" t="n"/>
      <c r="AM55" s="821" t="n"/>
      <c r="AN55" s="822" t="n"/>
      <c r="AO55" s="803" t="n"/>
      <c r="AP55" s="1043" t="n"/>
      <c r="AQ55" s="828" t="n"/>
      <c r="AR55" s="821" t="n"/>
      <c r="AS55" s="822" t="n"/>
      <c r="AT55" s="803" t="n"/>
      <c r="AU55" s="1043" t="n"/>
      <c r="AV55" s="828" t="n"/>
      <c r="AW55" s="821" t="n"/>
      <c r="AX55" s="822" t="n"/>
      <c r="AY55" s="803" t="n"/>
      <c r="AZ55" s="1043" t="n"/>
      <c r="BA55" s="828" t="n"/>
      <c r="BB55" s="821" t="n"/>
      <c r="BC55" s="822" t="n"/>
      <c r="BD55" s="803" t="n"/>
      <c r="BE55" s="1043" t="n"/>
      <c r="BF55" s="828" t="n"/>
      <c r="BG55" s="821" t="n"/>
      <c r="BH55" s="822" t="n"/>
      <c r="BI55" s="803" t="n"/>
      <c r="BJ55" s="1043" t="n"/>
      <c r="BK55" s="828" t="n"/>
      <c r="BL55" s="821" t="n"/>
      <c r="BM55" s="822" t="n"/>
      <c r="BN55" s="803" t="n"/>
      <c r="BO55" s="1043"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39</v>
      </c>
      <c r="D56" s="1169" t="n">
        <v>13</v>
      </c>
      <c r="E56" s="1170" t="n"/>
      <c r="F56" s="1043" t="n"/>
      <c r="G56" s="1043" t="n"/>
      <c r="H56" s="828" t="n"/>
      <c r="I56" s="821" t="n"/>
      <c r="J56" s="822" t="n"/>
      <c r="K56" s="1043" t="n"/>
      <c r="L56" s="1043" t="n"/>
      <c r="M56" s="828" t="n"/>
      <c r="N56" s="821" t="n"/>
      <c r="O56" s="822" t="n"/>
      <c r="P56" s="1043" t="n"/>
      <c r="Q56" s="1043" t="n"/>
      <c r="R56" s="828" t="n"/>
      <c r="S56" s="821" t="n"/>
      <c r="T56" s="822" t="n"/>
      <c r="U56" s="827" t="n"/>
      <c r="V56" s="1043" t="n"/>
      <c r="W56" s="828" t="n"/>
      <c r="X56" s="821" t="n"/>
      <c r="Y56" s="822" t="n"/>
      <c r="Z56" s="1043" t="n"/>
      <c r="AA56" s="1043" t="n"/>
      <c r="AB56" s="828" t="n"/>
      <c r="AC56" s="821" t="n"/>
      <c r="AD56" s="822" t="n"/>
      <c r="AE56" s="803" t="n"/>
      <c r="AF56" s="1043" t="n"/>
      <c r="AG56" s="828" t="n"/>
      <c r="AH56" s="821" t="n"/>
      <c r="AI56" s="822" t="n"/>
      <c r="AJ56" s="803" t="n"/>
      <c r="AK56" s="1043" t="n"/>
      <c r="AL56" s="828" t="n"/>
      <c r="AM56" s="821" t="n"/>
      <c r="AN56" s="822" t="n"/>
      <c r="AO56" s="803" t="n"/>
      <c r="AP56" s="1043" t="n"/>
      <c r="AQ56" s="828" t="n"/>
      <c r="AR56" s="821" t="n"/>
      <c r="AS56" s="822" t="n"/>
      <c r="AT56" s="803" t="n"/>
      <c r="AU56" s="1043" t="n"/>
      <c r="AV56" s="828" t="n"/>
      <c r="AW56" s="821" t="n"/>
      <c r="AX56" s="822" t="n"/>
      <c r="AY56" s="803" t="n"/>
      <c r="AZ56" s="1043" t="n"/>
      <c r="BA56" s="828" t="n"/>
      <c r="BB56" s="821" t="n"/>
      <c r="BC56" s="822" t="n"/>
      <c r="BD56" s="803" t="n"/>
      <c r="BE56" s="1043" t="n"/>
      <c r="BF56" s="828" t="n"/>
      <c r="BG56" s="821" t="n"/>
      <c r="BH56" s="822" t="n"/>
      <c r="BI56" s="803" t="n"/>
      <c r="BJ56" s="1043" t="n"/>
      <c r="BK56" s="828" t="n"/>
      <c r="BL56" s="821" t="n"/>
      <c r="BM56" s="822" t="n"/>
      <c r="BN56" s="803" t="n"/>
      <c r="BO56" s="1043"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45</v>
      </c>
      <c r="D57" s="1169" t="n">
        <v>13</v>
      </c>
      <c r="E57" s="1170" t="n"/>
      <c r="F57" s="1043" t="n"/>
      <c r="G57" s="1043" t="n"/>
      <c r="H57" s="828" t="n"/>
      <c r="I57" s="821" t="n"/>
      <c r="J57" s="822" t="n"/>
      <c r="K57" s="1043" t="n"/>
      <c r="L57" s="1043" t="n"/>
      <c r="M57" s="828" t="n"/>
      <c r="N57" s="821" t="n"/>
      <c r="O57" s="822" t="n"/>
      <c r="P57" s="1043" t="n"/>
      <c r="Q57" s="1043" t="n"/>
      <c r="R57" s="828" t="n"/>
      <c r="S57" s="821" t="n"/>
      <c r="T57" s="822" t="n"/>
      <c r="U57" s="827" t="n"/>
      <c r="V57" s="1043" t="n"/>
      <c r="W57" s="828" t="n"/>
      <c r="X57" s="821" t="n"/>
      <c r="Y57" s="822" t="n"/>
      <c r="Z57" s="1043" t="n"/>
      <c r="AA57" s="1043" t="n"/>
      <c r="AB57" s="828" t="n"/>
      <c r="AC57" s="821" t="n"/>
      <c r="AD57" s="822" t="n"/>
      <c r="AE57" s="803" t="n"/>
      <c r="AF57" s="1043" t="n"/>
      <c r="AG57" s="828" t="n"/>
      <c r="AH57" s="821" t="n"/>
      <c r="AI57" s="822" t="n"/>
      <c r="AJ57" s="803" t="n"/>
      <c r="AK57" s="1043" t="n"/>
      <c r="AL57" s="828" t="n"/>
      <c r="AM57" s="821" t="n"/>
      <c r="AN57" s="822" t="n"/>
      <c r="AO57" s="803" t="n"/>
      <c r="AP57" s="1043" t="n"/>
      <c r="AQ57" s="828" t="n"/>
      <c r="AR57" s="821" t="n"/>
      <c r="AS57" s="822" t="n"/>
      <c r="AT57" s="803" t="n"/>
      <c r="AU57" s="1043" t="n"/>
      <c r="AV57" s="828" t="n"/>
      <c r="AW57" s="821" t="n"/>
      <c r="AX57" s="822" t="n"/>
      <c r="AY57" s="803" t="n"/>
      <c r="AZ57" s="1043" t="n"/>
      <c r="BA57" s="828" t="n"/>
      <c r="BB57" s="821" t="n"/>
      <c r="BC57" s="822" t="n"/>
      <c r="BD57" s="803" t="n"/>
      <c r="BE57" s="1043" t="n"/>
      <c r="BF57" s="828" t="n"/>
      <c r="BG57" s="821" t="n"/>
      <c r="BH57" s="822" t="n"/>
      <c r="BI57" s="803" t="n"/>
      <c r="BJ57" s="1043" t="n"/>
      <c r="BK57" s="828" t="n"/>
      <c r="BL57" s="821" t="n"/>
      <c r="BM57" s="822" t="n"/>
      <c r="BN57" s="803" t="n"/>
      <c r="BO57" s="1043"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54</v>
      </c>
      <c r="D58" s="1169" t="n">
        <v>17</v>
      </c>
      <c r="E58" s="1170" t="n"/>
      <c r="F58" s="1043" t="n"/>
      <c r="G58" s="1043" t="n"/>
      <c r="H58" s="828" t="n"/>
      <c r="I58" s="821" t="n"/>
      <c r="J58" s="822" t="n"/>
      <c r="K58" s="1043" t="n"/>
      <c r="L58" s="1043" t="n"/>
      <c r="M58" s="828" t="n"/>
      <c r="N58" s="821" t="n"/>
      <c r="O58" s="822" t="n"/>
      <c r="P58" s="1043" t="n"/>
      <c r="Q58" s="1043" t="n"/>
      <c r="R58" s="828" t="n"/>
      <c r="S58" s="821" t="n"/>
      <c r="T58" s="822" t="n"/>
      <c r="U58" s="827" t="n"/>
      <c r="V58" s="1043" t="n"/>
      <c r="W58" s="828" t="n"/>
      <c r="X58" s="821" t="n"/>
      <c r="Y58" s="822" t="n"/>
      <c r="Z58" s="1043" t="n"/>
      <c r="AA58" s="1043" t="n"/>
      <c r="AB58" s="828" t="n"/>
      <c r="AC58" s="821" t="n"/>
      <c r="AD58" s="822" t="n"/>
      <c r="AE58" s="803" t="n"/>
      <c r="AF58" s="1043" t="n"/>
      <c r="AG58" s="828" t="n"/>
      <c r="AH58" s="821" t="n"/>
      <c r="AI58" s="822" t="n"/>
      <c r="AJ58" s="803" t="n"/>
      <c r="AK58" s="1043" t="n"/>
      <c r="AL58" s="828" t="n"/>
      <c r="AM58" s="821" t="n"/>
      <c r="AN58" s="822" t="n"/>
      <c r="AO58" s="803" t="n"/>
      <c r="AP58" s="1043" t="n"/>
      <c r="AQ58" s="828" t="n"/>
      <c r="AR58" s="821" t="n"/>
      <c r="AS58" s="822" t="n"/>
      <c r="AT58" s="803" t="n"/>
      <c r="AU58" s="1043" t="n"/>
      <c r="AV58" s="828" t="n"/>
      <c r="AW58" s="821" t="n"/>
      <c r="AX58" s="822" t="n"/>
      <c r="AY58" s="803" t="n"/>
      <c r="AZ58" s="1043" t="n"/>
      <c r="BA58" s="828" t="n"/>
      <c r="BB58" s="821" t="n"/>
      <c r="BC58" s="822" t="n"/>
      <c r="BD58" s="803" t="n"/>
      <c r="BE58" s="1043" t="n"/>
      <c r="BF58" s="828" t="n"/>
      <c r="BG58" s="821" t="n"/>
      <c r="BH58" s="822" t="n"/>
      <c r="BI58" s="803" t="n"/>
      <c r="BJ58" s="1043" t="n"/>
      <c r="BK58" s="828" t="n"/>
      <c r="BL58" s="821" t="n"/>
      <c r="BM58" s="822" t="n"/>
      <c r="BN58" s="803" t="n"/>
      <c r="BO58" s="1043"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440</v>
      </c>
      <c r="D59" s="1169" t="n">
        <v>6</v>
      </c>
      <c r="E59" s="1170" t="n"/>
      <c r="F59" s="1043" t="n"/>
      <c r="G59" s="1043" t="n"/>
      <c r="H59" s="828" t="n"/>
      <c r="I59" s="821" t="n"/>
      <c r="J59" s="822" t="n"/>
      <c r="K59" s="1043" t="n"/>
      <c r="L59" s="1043" t="n"/>
      <c r="M59" s="828" t="n"/>
      <c r="N59" s="821" t="n"/>
      <c r="O59" s="822" t="n"/>
      <c r="P59" s="1043" t="n"/>
      <c r="Q59" s="1043" t="n"/>
      <c r="R59" s="828" t="n"/>
      <c r="S59" s="821" t="n"/>
      <c r="T59" s="822" t="n"/>
      <c r="U59" s="827" t="n"/>
      <c r="V59" s="1043" t="n"/>
      <c r="W59" s="828" t="n"/>
      <c r="X59" s="821" t="n"/>
      <c r="Y59" s="822" t="n"/>
      <c r="Z59" s="1043" t="n"/>
      <c r="AA59" s="1043" t="n"/>
      <c r="AB59" s="828" t="n"/>
      <c r="AC59" s="821" t="n"/>
      <c r="AD59" s="822" t="n"/>
      <c r="AE59" s="803" t="n"/>
      <c r="AF59" s="1043" t="n"/>
      <c r="AG59" s="828" t="n"/>
      <c r="AH59" s="821" t="n"/>
      <c r="AI59" s="822" t="n"/>
      <c r="AJ59" s="803" t="n"/>
      <c r="AK59" s="1043" t="n"/>
      <c r="AL59" s="828" t="n"/>
      <c r="AM59" s="821" t="n"/>
      <c r="AN59" s="822" t="n"/>
      <c r="AO59" s="803" t="n"/>
      <c r="AP59" s="1043" t="n"/>
      <c r="AQ59" s="828" t="n"/>
      <c r="AR59" s="821" t="n"/>
      <c r="AS59" s="822" t="n"/>
      <c r="AT59" s="803" t="n"/>
      <c r="AU59" s="1043" t="n"/>
      <c r="AV59" s="828" t="n"/>
      <c r="AW59" s="821" t="n"/>
      <c r="AX59" s="822" t="n"/>
      <c r="AY59" s="803" t="n"/>
      <c r="AZ59" s="1043" t="n"/>
      <c r="BA59" s="828" t="n"/>
      <c r="BB59" s="821" t="n"/>
      <c r="BC59" s="822" t="n"/>
      <c r="BD59" s="803" t="n"/>
      <c r="BE59" s="1043" t="n"/>
      <c r="BF59" s="828" t="n"/>
      <c r="BG59" s="821" t="n"/>
      <c r="BH59" s="822" t="n"/>
      <c r="BI59" s="803" t="n"/>
      <c r="BJ59" s="1043" t="n"/>
      <c r="BK59" s="828" t="n"/>
      <c r="BL59" s="821" t="n"/>
      <c r="BM59" s="822" t="n"/>
      <c r="BN59" s="803" t="n"/>
      <c r="BO59" s="1043"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70</v>
      </c>
      <c r="D60" s="1169" t="n">
        <v>17</v>
      </c>
      <c r="E60" s="1170" t="n"/>
      <c r="F60" s="1043" t="n"/>
      <c r="G60" s="1043" t="n"/>
      <c r="H60" s="828" t="n"/>
      <c r="I60" s="821" t="n"/>
      <c r="J60" s="822" t="n"/>
      <c r="K60" s="1043" t="n"/>
      <c r="L60" s="1043" t="n"/>
      <c r="M60" s="828" t="n"/>
      <c r="N60" s="821" t="n"/>
      <c r="O60" s="822" t="n"/>
      <c r="P60" s="1043" t="n"/>
      <c r="Q60" s="1043" t="n"/>
      <c r="R60" s="828" t="n"/>
      <c r="S60" s="821" t="n"/>
      <c r="T60" s="822" t="n"/>
      <c r="U60" s="827" t="n"/>
      <c r="V60" s="1043" t="n"/>
      <c r="W60" s="828" t="n"/>
      <c r="X60" s="821" t="n"/>
      <c r="Y60" s="822" t="n"/>
      <c r="Z60" s="1043" t="n"/>
      <c r="AA60" s="1043" t="n"/>
      <c r="AB60" s="828" t="n"/>
      <c r="AC60" s="821" t="n"/>
      <c r="AD60" s="822" t="n"/>
      <c r="AE60" s="803" t="n"/>
      <c r="AF60" s="1043" t="n"/>
      <c r="AG60" s="828" t="n"/>
      <c r="AH60" s="821" t="n"/>
      <c r="AI60" s="822" t="n"/>
      <c r="AJ60" s="803" t="n"/>
      <c r="AK60" s="1043" t="n"/>
      <c r="AL60" s="828" t="n"/>
      <c r="AM60" s="821" t="n"/>
      <c r="AN60" s="822" t="n"/>
      <c r="AO60" s="803" t="n"/>
      <c r="AP60" s="1043" t="n"/>
      <c r="AQ60" s="828" t="n"/>
      <c r="AR60" s="821" t="n"/>
      <c r="AS60" s="822" t="n"/>
      <c r="AT60" s="803" t="n"/>
      <c r="AU60" s="1043" t="n"/>
      <c r="AV60" s="828" t="n"/>
      <c r="AW60" s="821" t="n"/>
      <c r="AX60" s="822" t="n"/>
      <c r="AY60" s="803" t="n"/>
      <c r="AZ60" s="1043" t="n"/>
      <c r="BA60" s="828" t="n"/>
      <c r="BB60" s="821" t="n"/>
      <c r="BC60" s="822" t="n"/>
      <c r="BD60" s="803" t="n"/>
      <c r="BE60" s="1043" t="n"/>
      <c r="BF60" s="828" t="n"/>
      <c r="BG60" s="821" t="n"/>
      <c r="BH60" s="822" t="n"/>
      <c r="BI60" s="803" t="n"/>
      <c r="BJ60" s="1043" t="n"/>
      <c r="BK60" s="828" t="n"/>
      <c r="BL60" s="821" t="n"/>
      <c r="BM60" s="822" t="n"/>
      <c r="BN60" s="803" t="n"/>
      <c r="BO60" s="1043"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55</v>
      </c>
      <c r="D61" s="1169" t="n">
        <v>9</v>
      </c>
      <c r="E61" s="1170" t="n"/>
      <c r="F61" s="1043" t="n"/>
      <c r="G61" s="1043" t="n"/>
      <c r="H61" s="828" t="n"/>
      <c r="I61" s="821" t="n"/>
      <c r="J61" s="822" t="n"/>
      <c r="K61" s="1043" t="n"/>
      <c r="L61" s="1043" t="n"/>
      <c r="M61" s="828" t="n"/>
      <c r="N61" s="821" t="n"/>
      <c r="O61" s="822" t="n"/>
      <c r="P61" s="1043" t="n"/>
      <c r="Q61" s="1043" t="n"/>
      <c r="R61" s="828" t="n"/>
      <c r="S61" s="821" t="n"/>
      <c r="T61" s="822" t="n"/>
      <c r="U61" s="827" t="n"/>
      <c r="V61" s="1043" t="n"/>
      <c r="W61" s="828" t="n"/>
      <c r="X61" s="821" t="n"/>
      <c r="Y61" s="822" t="n"/>
      <c r="Z61" s="1043" t="n"/>
      <c r="AA61" s="1043" t="n"/>
      <c r="AB61" s="828" t="n"/>
      <c r="AC61" s="821" t="n"/>
      <c r="AD61" s="822" t="n"/>
      <c r="AE61" s="803" t="n"/>
      <c r="AF61" s="1043" t="n"/>
      <c r="AG61" s="828" t="n"/>
      <c r="AH61" s="821" t="n"/>
      <c r="AI61" s="822" t="n"/>
      <c r="AJ61" s="803" t="n"/>
      <c r="AK61" s="1043" t="n"/>
      <c r="AL61" s="828" t="n"/>
      <c r="AM61" s="821" t="n"/>
      <c r="AN61" s="822" t="n"/>
      <c r="AO61" s="803" t="n"/>
      <c r="AP61" s="1043" t="n"/>
      <c r="AQ61" s="828" t="n"/>
      <c r="AR61" s="821" t="n"/>
      <c r="AS61" s="822" t="n"/>
      <c r="AT61" s="803" t="n"/>
      <c r="AU61" s="1043" t="n"/>
      <c r="AV61" s="828" t="n"/>
      <c r="AW61" s="821" t="n"/>
      <c r="AX61" s="822" t="n"/>
      <c r="AY61" s="803" t="n"/>
      <c r="AZ61" s="1043" t="n"/>
      <c r="BA61" s="828" t="n"/>
      <c r="BB61" s="821" t="n"/>
      <c r="BC61" s="822" t="n"/>
      <c r="BD61" s="803" t="n"/>
      <c r="BE61" s="1043" t="n"/>
      <c r="BF61" s="828" t="n"/>
      <c r="BG61" s="821" t="n"/>
      <c r="BH61" s="822" t="n"/>
      <c r="BI61" s="803" t="n"/>
      <c r="BJ61" s="1043" t="n"/>
      <c r="BK61" s="828" t="n"/>
      <c r="BL61" s="821" t="n"/>
      <c r="BM61" s="822" t="n"/>
      <c r="BN61" s="803" t="n"/>
      <c r="BO61" s="1043"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428</v>
      </c>
      <c r="D62" s="1169" t="n">
        <v>8</v>
      </c>
      <c r="E62" s="1170" t="n"/>
      <c r="F62" s="1043" t="n"/>
      <c r="G62" s="1043" t="n"/>
      <c r="H62" s="828" t="n"/>
      <c r="I62" s="821" t="n"/>
      <c r="J62" s="822" t="n"/>
      <c r="K62" s="1043" t="n"/>
      <c r="L62" s="1043" t="n"/>
      <c r="M62" s="828" t="n"/>
      <c r="N62" s="821" t="n"/>
      <c r="O62" s="822" t="n"/>
      <c r="P62" s="1043" t="n"/>
      <c r="Q62" s="1043" t="n"/>
      <c r="R62" s="828" t="n"/>
      <c r="S62" s="821" t="n"/>
      <c r="T62" s="822" t="n"/>
      <c r="U62" s="827" t="n"/>
      <c r="V62" s="1043" t="n"/>
      <c r="W62" s="828" t="n"/>
      <c r="X62" s="821" t="n"/>
      <c r="Y62" s="822" t="n"/>
      <c r="Z62" s="1043" t="n"/>
      <c r="AA62" s="1043" t="n"/>
      <c r="AB62" s="828" t="n"/>
      <c r="AC62" s="821" t="n"/>
      <c r="AD62" s="822" t="n"/>
      <c r="AE62" s="803" t="n"/>
      <c r="AF62" s="1043" t="n"/>
      <c r="AG62" s="828" t="n"/>
      <c r="AH62" s="821" t="n"/>
      <c r="AI62" s="822" t="n"/>
      <c r="AJ62" s="803" t="n"/>
      <c r="AK62" s="1043" t="n"/>
      <c r="AL62" s="828" t="n"/>
      <c r="AM62" s="821" t="n"/>
      <c r="AN62" s="822" t="n"/>
      <c r="AO62" s="803" t="n"/>
      <c r="AP62" s="1043" t="n"/>
      <c r="AQ62" s="828" t="n"/>
      <c r="AR62" s="821" t="n"/>
      <c r="AS62" s="822" t="n"/>
      <c r="AT62" s="803" t="n"/>
      <c r="AU62" s="1043" t="n"/>
      <c r="AV62" s="828" t="n"/>
      <c r="AW62" s="821" t="n"/>
      <c r="AX62" s="822" t="n"/>
      <c r="AY62" s="803" t="n"/>
      <c r="AZ62" s="1043" t="n"/>
      <c r="BA62" s="828" t="n"/>
      <c r="BB62" s="821" t="n"/>
      <c r="BC62" s="822" t="n"/>
      <c r="BD62" s="803" t="n"/>
      <c r="BE62" s="1043" t="n"/>
      <c r="BF62" s="828" t="n"/>
      <c r="BG62" s="821" t="n"/>
      <c r="BH62" s="822" t="n"/>
      <c r="BI62" s="803" t="n"/>
      <c r="BJ62" s="1043" t="n"/>
      <c r="BK62" s="828" t="n"/>
      <c r="BL62" s="821" t="n"/>
      <c r="BM62" s="822" t="n"/>
      <c r="BN62" s="803" t="n"/>
      <c r="BO62" s="1043"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13</v>
      </c>
      <c r="D63" s="1169" t="n">
        <v>9</v>
      </c>
      <c r="E63" s="1170" t="n"/>
      <c r="F63" s="1043" t="n"/>
      <c r="G63" s="1043" t="n"/>
      <c r="H63" s="828" t="n"/>
      <c r="I63" s="821" t="n"/>
      <c r="J63" s="822" t="n"/>
      <c r="K63" s="1043" t="n"/>
      <c r="L63" s="1043" t="n"/>
      <c r="M63" s="828" t="n"/>
      <c r="N63" s="821" t="n"/>
      <c r="O63" s="822" t="n"/>
      <c r="P63" s="1043" t="n"/>
      <c r="Q63" s="1043" t="n"/>
      <c r="R63" s="828" t="n"/>
      <c r="S63" s="821" t="n"/>
      <c r="T63" s="822" t="n"/>
      <c r="U63" s="827" t="n"/>
      <c r="V63" s="1043" t="n"/>
      <c r="W63" s="828" t="n"/>
      <c r="X63" s="821" t="n"/>
      <c r="Y63" s="822" t="n"/>
      <c r="Z63" s="1043" t="n"/>
      <c r="AA63" s="1043" t="n"/>
      <c r="AB63" s="828" t="n"/>
      <c r="AC63" s="821" t="n"/>
      <c r="AD63" s="822" t="n"/>
      <c r="AE63" s="803" t="n"/>
      <c r="AF63" s="1043" t="n"/>
      <c r="AG63" s="828" t="n"/>
      <c r="AH63" s="821" t="n"/>
      <c r="AI63" s="822" t="n"/>
      <c r="AJ63" s="803" t="n"/>
      <c r="AK63" s="1043" t="n"/>
      <c r="AL63" s="828" t="n"/>
      <c r="AM63" s="821" t="n"/>
      <c r="AN63" s="822" t="n"/>
      <c r="AO63" s="803" t="n"/>
      <c r="AP63" s="1043" t="n"/>
      <c r="AQ63" s="828" t="n"/>
      <c r="AR63" s="821" t="n"/>
      <c r="AS63" s="822" t="n"/>
      <c r="AT63" s="803" t="n"/>
      <c r="AU63" s="1043" t="n"/>
      <c r="AV63" s="828" t="n"/>
      <c r="AW63" s="821" t="n"/>
      <c r="AX63" s="822" t="n"/>
      <c r="AY63" s="803" t="n"/>
      <c r="AZ63" s="1043" t="n"/>
      <c r="BA63" s="828" t="n"/>
      <c r="BB63" s="821" t="n"/>
      <c r="BC63" s="822" t="n"/>
      <c r="BD63" s="803" t="n"/>
      <c r="BE63" s="1043" t="n"/>
      <c r="BF63" s="828" t="n"/>
      <c r="BG63" s="821" t="n"/>
      <c r="BH63" s="822" t="n"/>
      <c r="BI63" s="803" t="n"/>
      <c r="BJ63" s="1043" t="n"/>
      <c r="BK63" s="828" t="n"/>
      <c r="BL63" s="821" t="n"/>
      <c r="BM63" s="822" t="n"/>
      <c r="BN63" s="803" t="n"/>
      <c r="BO63" s="1043"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206</v>
      </c>
      <c r="D64" s="1169" t="n">
        <v>8</v>
      </c>
      <c r="E64" s="1170" t="n"/>
      <c r="F64" s="1043" t="n"/>
      <c r="G64" s="1043" t="n"/>
      <c r="H64" s="828" t="n"/>
      <c r="I64" s="821" t="n"/>
      <c r="J64" s="822" t="n"/>
      <c r="K64" s="1043" t="n"/>
      <c r="L64" s="1043" t="n"/>
      <c r="M64" s="828" t="n"/>
      <c r="N64" s="821" t="n"/>
      <c r="O64" s="822" t="n"/>
      <c r="P64" s="1043" t="n"/>
      <c r="Q64" s="1043" t="n"/>
      <c r="R64" s="828" t="n"/>
      <c r="S64" s="821" t="n"/>
      <c r="T64" s="822" t="n"/>
      <c r="U64" s="827" t="n"/>
      <c r="V64" s="1043" t="n"/>
      <c r="W64" s="828" t="n"/>
      <c r="X64" s="821" t="n"/>
      <c r="Y64" s="822" t="n"/>
      <c r="Z64" s="1043" t="n"/>
      <c r="AA64" s="1043" t="n"/>
      <c r="AB64" s="828" t="n"/>
      <c r="AC64" s="821" t="n"/>
      <c r="AD64" s="822" t="n"/>
      <c r="AE64" s="803" t="n"/>
      <c r="AF64" s="1043" t="n"/>
      <c r="AG64" s="828" t="n"/>
      <c r="AH64" s="821" t="n"/>
      <c r="AI64" s="822" t="n"/>
      <c r="AJ64" s="803" t="n"/>
      <c r="AK64" s="1043" t="n"/>
      <c r="AL64" s="828" t="n"/>
      <c r="AM64" s="821" t="n"/>
      <c r="AN64" s="822" t="n"/>
      <c r="AO64" s="803" t="n"/>
      <c r="AP64" s="1043" t="n"/>
      <c r="AQ64" s="828" t="n"/>
      <c r="AR64" s="821" t="n"/>
      <c r="AS64" s="822" t="n"/>
      <c r="AT64" s="803" t="n"/>
      <c r="AU64" s="1043" t="n"/>
      <c r="AV64" s="828" t="n"/>
      <c r="AW64" s="821" t="n"/>
      <c r="AX64" s="822" t="n"/>
      <c r="AY64" s="803" t="n"/>
      <c r="AZ64" s="1043" t="n"/>
      <c r="BA64" s="828" t="n"/>
      <c r="BB64" s="821" t="n"/>
      <c r="BC64" s="822" t="n"/>
      <c r="BD64" s="803" t="n"/>
      <c r="BE64" s="1043" t="n"/>
      <c r="BF64" s="828" t="n"/>
      <c r="BG64" s="821" t="n"/>
      <c r="BH64" s="822" t="n"/>
      <c r="BI64" s="803" t="n"/>
      <c r="BJ64" s="1043" t="n"/>
      <c r="BK64" s="828" t="n"/>
      <c r="BL64" s="821" t="n"/>
      <c r="BM64" s="822" t="n"/>
      <c r="BN64" s="803" t="n"/>
      <c r="BO64" s="1043"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141</v>
      </c>
      <c r="D65" s="1169" t="n">
        <v>17</v>
      </c>
      <c r="E65" s="1170" t="n"/>
      <c r="F65" s="1043" t="n"/>
      <c r="G65" s="1043" t="n"/>
      <c r="H65" s="828" t="n"/>
      <c r="I65" s="821" t="n"/>
      <c r="J65" s="822" t="n"/>
      <c r="K65" s="1043" t="n"/>
      <c r="L65" s="1043" t="n"/>
      <c r="M65" s="828" t="n"/>
      <c r="N65" s="821" t="n"/>
      <c r="O65" s="822" t="n"/>
      <c r="P65" s="1043" t="n"/>
      <c r="Q65" s="1043" t="n"/>
      <c r="R65" s="828" t="n"/>
      <c r="S65" s="821" t="n"/>
      <c r="T65" s="822" t="n"/>
      <c r="U65" s="827" t="n"/>
      <c r="V65" s="1043" t="n"/>
      <c r="W65" s="828" t="n"/>
      <c r="X65" s="821" t="n"/>
      <c r="Y65" s="822" t="n"/>
      <c r="Z65" s="1043" t="n"/>
      <c r="AA65" s="1043" t="n"/>
      <c r="AB65" s="828" t="n"/>
      <c r="AC65" s="821" t="n"/>
      <c r="AD65" s="822" t="n"/>
      <c r="AE65" s="803" t="n"/>
      <c r="AF65" s="1043" t="n"/>
      <c r="AG65" s="828" t="n"/>
      <c r="AH65" s="821" t="n"/>
      <c r="AI65" s="822" t="n"/>
      <c r="AJ65" s="803" t="n"/>
      <c r="AK65" s="1043" t="n"/>
      <c r="AL65" s="828" t="n"/>
      <c r="AM65" s="821" t="n"/>
      <c r="AN65" s="822" t="n"/>
      <c r="AO65" s="803" t="n"/>
      <c r="AP65" s="1043" t="n"/>
      <c r="AQ65" s="828" t="n"/>
      <c r="AR65" s="821" t="n"/>
      <c r="AS65" s="822" t="n"/>
      <c r="AT65" s="803" t="n"/>
      <c r="AU65" s="1043" t="n"/>
      <c r="AV65" s="828" t="n"/>
      <c r="AW65" s="821" t="n"/>
      <c r="AX65" s="822" t="n"/>
      <c r="AY65" s="803" t="n"/>
      <c r="AZ65" s="1043" t="n"/>
      <c r="BA65" s="828" t="n"/>
      <c r="BB65" s="821" t="n"/>
      <c r="BC65" s="822" t="n"/>
      <c r="BD65" s="803" t="n"/>
      <c r="BE65" s="1043" t="n"/>
      <c r="BF65" s="828" t="n"/>
      <c r="BG65" s="821" t="n"/>
      <c r="BH65" s="822" t="n"/>
      <c r="BI65" s="803" t="n"/>
      <c r="BJ65" s="1043" t="n"/>
      <c r="BK65" s="828" t="n"/>
      <c r="BL65" s="821" t="n"/>
      <c r="BM65" s="822" t="n"/>
      <c r="BN65" s="803" t="n"/>
      <c r="BO65" s="1043"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217</v>
      </c>
      <c r="D66" s="1169" t="n">
        <v>18</v>
      </c>
      <c r="E66" s="1170" t="n"/>
      <c r="F66" s="1043" t="n"/>
      <c r="G66" s="1043" t="n"/>
      <c r="H66" s="828" t="n"/>
      <c r="I66" s="821" t="n"/>
      <c r="J66" s="822" t="n"/>
      <c r="K66" s="1043" t="n"/>
      <c r="L66" s="1043" t="n"/>
      <c r="M66" s="828" t="n"/>
      <c r="N66" s="821" t="n"/>
      <c r="O66" s="822" t="n"/>
      <c r="P66" s="1043" t="n"/>
      <c r="R66" s="828" t="n"/>
      <c r="S66" s="821" t="n"/>
      <c r="T66" s="822" t="n"/>
      <c r="U66" s="827" t="n"/>
      <c r="V66" s="1043" t="n"/>
      <c r="W66" s="828" t="n"/>
      <c r="X66" s="821" t="n"/>
      <c r="Y66" s="822" t="n"/>
      <c r="Z66" s="1043" t="n"/>
      <c r="AA66" s="1043" t="n"/>
      <c r="AB66" s="828" t="n"/>
      <c r="AC66" s="821" t="n"/>
      <c r="AD66" s="822" t="n"/>
      <c r="AE66" s="803" t="n"/>
      <c r="AF66" s="1043" t="n"/>
      <c r="AG66" s="828" t="n"/>
      <c r="AH66" s="821" t="n"/>
      <c r="AI66" s="822" t="n"/>
      <c r="AJ66" s="803" t="n"/>
      <c r="AK66" s="1043" t="n"/>
      <c r="AL66" s="828" t="n"/>
      <c r="AM66" s="821" t="n"/>
      <c r="AN66" s="822" t="n"/>
      <c r="AO66" s="803" t="n"/>
      <c r="AP66" s="1043" t="n"/>
      <c r="AQ66" s="828" t="n"/>
      <c r="AR66" s="821" t="n"/>
      <c r="AS66" s="822" t="n"/>
      <c r="AT66" s="803" t="n"/>
      <c r="AU66" s="1043" t="n"/>
      <c r="AV66" s="828" t="n"/>
      <c r="AW66" s="821" t="n"/>
      <c r="AX66" s="822" t="n"/>
      <c r="AY66" s="803" t="n"/>
      <c r="AZ66" s="1043" t="n"/>
      <c r="BA66" s="828" t="n"/>
      <c r="BB66" s="821" t="n"/>
      <c r="BC66" s="822" t="n"/>
      <c r="BD66" s="803" t="n"/>
      <c r="BE66" s="1043" t="n"/>
      <c r="BF66" s="828" t="n"/>
      <c r="BG66" s="821" t="n"/>
      <c r="BH66" s="822" t="n"/>
      <c r="BI66" s="803" t="n"/>
      <c r="BJ66" s="1043" t="n"/>
      <c r="BK66" s="828" t="n"/>
      <c r="BL66" s="821" t="n"/>
      <c r="BM66" s="822" t="n"/>
      <c r="BN66" s="803" t="n"/>
      <c r="BO66" s="1043"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215</v>
      </c>
      <c r="D67" s="1169" t="n">
        <v>18</v>
      </c>
      <c r="E67" s="1170" t="n"/>
      <c r="F67" s="1043" t="n"/>
      <c r="G67" s="1043" t="n"/>
      <c r="H67" s="828" t="n"/>
      <c r="I67" s="821" t="n"/>
      <c r="J67" s="822" t="n"/>
      <c r="K67" s="1043" t="n"/>
      <c r="L67" s="1043" t="n"/>
      <c r="M67" s="828" t="n"/>
      <c r="N67" s="821" t="n"/>
      <c r="O67" s="822" t="n"/>
      <c r="R67" s="828" t="n"/>
      <c r="S67" s="821" t="n"/>
      <c r="T67" s="822" t="n"/>
      <c r="U67" s="827" t="n"/>
      <c r="V67" s="1043" t="n"/>
      <c r="W67" s="828" t="n"/>
      <c r="X67" s="821" t="n"/>
      <c r="Y67" s="822" t="n"/>
      <c r="Z67" s="1043" t="n"/>
      <c r="AA67" s="1043" t="n"/>
      <c r="AB67" s="828" t="n"/>
      <c r="AC67" s="821" t="n"/>
      <c r="AD67" s="822" t="n"/>
      <c r="AE67" s="803" t="n"/>
      <c r="AF67" s="1043" t="n"/>
      <c r="AG67" s="828" t="n"/>
      <c r="AH67" s="821" t="n"/>
      <c r="AI67" s="822" t="n"/>
      <c r="AJ67" s="803" t="n"/>
      <c r="AK67" s="1043" t="n"/>
      <c r="AL67" s="828" t="n"/>
      <c r="AM67" s="821" t="n"/>
      <c r="AN67" s="822" t="n"/>
      <c r="AO67" s="803" t="n"/>
      <c r="AP67" s="1043" t="n"/>
      <c r="AQ67" s="828" t="n"/>
      <c r="AR67" s="821" t="n"/>
      <c r="AS67" s="822" t="n"/>
      <c r="AT67" s="803" t="n"/>
      <c r="AU67" s="1043" t="n"/>
      <c r="AV67" s="828" t="n"/>
      <c r="AW67" s="821" t="n"/>
      <c r="AX67" s="822" t="n"/>
      <c r="AY67" s="803" t="n"/>
      <c r="AZ67" s="1043" t="n"/>
      <c r="BA67" s="828" t="n"/>
      <c r="BB67" s="821" t="n"/>
      <c r="BC67" s="822" t="n"/>
      <c r="BD67" s="803" t="n"/>
      <c r="BE67" s="1043" t="n"/>
      <c r="BF67" s="828" t="n"/>
      <c r="BG67" s="821" t="n"/>
      <c r="BH67" s="822" t="n"/>
      <c r="BI67" s="803" t="n"/>
      <c r="BJ67" s="1043" t="n"/>
      <c r="BK67" s="828" t="n"/>
      <c r="BL67" s="821" t="n"/>
      <c r="BM67" s="822" t="n"/>
      <c r="BN67" s="803" t="n"/>
      <c r="BO67" s="1043"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252</v>
      </c>
      <c r="D68" s="1169" t="n">
        <v>18</v>
      </c>
      <c r="E68" s="1170" t="n"/>
      <c r="F68" s="1043" t="n"/>
      <c r="G68" s="1043" t="n"/>
      <c r="H68" s="828" t="n"/>
      <c r="I68" s="821" t="n"/>
      <c r="J68" s="822" t="n"/>
      <c r="K68" s="1043" t="n"/>
      <c r="L68" s="1043" t="n"/>
      <c r="M68" s="828" t="n"/>
      <c r="N68" s="821" t="n"/>
      <c r="O68" s="822" t="n"/>
      <c r="R68" s="828" t="n"/>
      <c r="S68" s="821" t="n"/>
      <c r="T68" s="822" t="n"/>
      <c r="U68" s="827" t="n"/>
      <c r="V68" s="1043" t="n"/>
      <c r="W68" s="828" t="n"/>
      <c r="X68" s="821" t="n"/>
      <c r="Y68" s="822" t="n"/>
      <c r="Z68" s="1043" t="n"/>
      <c r="AA68" s="1043" t="n"/>
      <c r="AB68" s="828" t="n"/>
      <c r="AC68" s="821" t="n"/>
      <c r="AD68" s="822" t="n"/>
      <c r="AE68" s="803" t="n"/>
      <c r="AF68" s="1043" t="n"/>
      <c r="AG68" s="828" t="n"/>
      <c r="AH68" s="821" t="n"/>
      <c r="AI68" s="822" t="n"/>
      <c r="AJ68" s="803" t="n"/>
      <c r="AK68" s="1043" t="n"/>
      <c r="AL68" s="828" t="n"/>
      <c r="AM68" s="821" t="n"/>
      <c r="AN68" s="822" t="n"/>
      <c r="AO68" s="803" t="n"/>
      <c r="AP68" s="1043" t="n"/>
      <c r="AQ68" s="828" t="n"/>
      <c r="AR68" s="821" t="n"/>
      <c r="AS68" s="822" t="n"/>
      <c r="AT68" s="803" t="n"/>
      <c r="AU68" s="1043" t="n"/>
      <c r="AV68" s="828" t="n"/>
      <c r="AW68" s="821" t="n"/>
      <c r="AX68" s="822" t="n"/>
      <c r="AY68" s="803" t="n"/>
      <c r="AZ68" s="1043" t="n"/>
      <c r="BA68" s="828" t="n"/>
      <c r="BB68" s="821" t="n"/>
      <c r="BC68" s="822" t="n"/>
      <c r="BD68" s="803" t="n"/>
      <c r="BE68" s="1043" t="n"/>
      <c r="BF68" s="828" t="n"/>
      <c r="BG68" s="821" t="n"/>
      <c r="BH68" s="822" t="n"/>
      <c r="BI68" s="803" t="n"/>
      <c r="BJ68" s="1043" t="n"/>
      <c r="BK68" s="828" t="n"/>
      <c r="BL68" s="821" t="n"/>
      <c r="BM68" s="822" t="n"/>
      <c r="BN68" s="803" t="n"/>
      <c r="BO68" s="1043"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1173" t="n">
        <v>384</v>
      </c>
      <c r="D69" s="1173" t="n">
        <v>19</v>
      </c>
      <c r="E69" s="1173" t="n"/>
      <c r="F69" s="1043" t="n"/>
      <c r="G69" s="1043" t="n"/>
      <c r="H69" s="828" t="n"/>
      <c r="I69" s="821" t="n"/>
      <c r="J69" s="822" t="n"/>
      <c r="K69" s="1043" t="n"/>
      <c r="L69" s="1043" t="n"/>
      <c r="M69" s="828" t="n"/>
      <c r="N69" s="821" t="n"/>
      <c r="O69" s="822" t="n"/>
      <c r="R69" s="828" t="n"/>
      <c r="S69" s="821" t="n"/>
      <c r="T69" s="822" t="n"/>
      <c r="U69" s="827" t="n"/>
      <c r="V69" s="1043" t="n"/>
      <c r="W69" s="828" t="n"/>
      <c r="X69" s="821" t="n"/>
      <c r="Y69" s="822" t="n"/>
      <c r="Z69" s="1043" t="n"/>
      <c r="AA69" s="1043" t="n"/>
      <c r="AB69" s="828" t="n"/>
      <c r="AC69" s="821" t="n"/>
      <c r="AD69" s="822" t="n"/>
      <c r="AE69" s="803" t="n"/>
      <c r="AF69" s="1043" t="n"/>
      <c r="AG69" s="828" t="n"/>
      <c r="AH69" s="821" t="n"/>
      <c r="AI69" s="822" t="n"/>
      <c r="AJ69" s="803" t="n"/>
      <c r="AK69" s="1043" t="n"/>
      <c r="AL69" s="828" t="n"/>
      <c r="AM69" s="821" t="n"/>
      <c r="AN69" s="822" t="n"/>
      <c r="AO69" s="803" t="n"/>
      <c r="AP69" s="1043" t="n"/>
      <c r="AQ69" s="828" t="n"/>
      <c r="AR69" s="821" t="n"/>
      <c r="AS69" s="822" t="n"/>
      <c r="AT69" s="803" t="n"/>
      <c r="AU69" s="1043" t="n"/>
      <c r="AV69" s="828" t="n"/>
      <c r="AW69" s="821" t="n"/>
      <c r="AX69" s="822" t="n"/>
      <c r="AY69" s="803" t="n"/>
      <c r="AZ69" s="1043" t="n"/>
      <c r="BA69" s="828" t="n"/>
      <c r="BB69" s="821" t="n"/>
      <c r="BC69" s="822" t="n"/>
      <c r="BD69" s="803" t="n"/>
      <c r="BE69" s="1043" t="n"/>
      <c r="BF69" s="828" t="n"/>
      <c r="BG69" s="821" t="n"/>
      <c r="BH69" s="822" t="n"/>
      <c r="BI69" s="803" t="n"/>
      <c r="BJ69" s="1043" t="n"/>
      <c r="BK69" s="828" t="n"/>
      <c r="BL69" s="821" t="n"/>
      <c r="BM69" s="822" t="n"/>
      <c r="BN69" s="803" t="n"/>
      <c r="BO69" s="1043"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03" t="n"/>
      <c r="C70" s="1173" t="n">
        <v>54</v>
      </c>
      <c r="D70" s="1173" t="n">
        <v>19</v>
      </c>
      <c r="E70" s="1173" t="n"/>
      <c r="F70" s="823" t="n"/>
      <c r="G70" s="823" t="n"/>
      <c r="H70" s="828" t="n"/>
      <c r="I70" s="821" t="n"/>
      <c r="J70" s="835" t="n"/>
      <c r="K70" s="823" t="n"/>
      <c r="L70" s="823" t="n"/>
      <c r="M70" s="835" t="n"/>
      <c r="N70" s="835" t="n"/>
      <c r="O70" s="835" t="n"/>
      <c r="R70" s="823" t="n"/>
      <c r="S70" s="823" t="n"/>
      <c r="T70" s="823" t="n"/>
      <c r="U70" s="840" t="n"/>
      <c r="V70" s="823" t="n"/>
      <c r="W70" s="828" t="n"/>
      <c r="X70" s="821" t="n"/>
      <c r="Y70" s="839" t="n"/>
      <c r="Z70" s="823" t="n"/>
      <c r="AA70" s="823" t="n"/>
      <c r="AB70" s="828" t="n"/>
      <c r="AC70" s="821" t="n"/>
      <c r="AD70" s="839" t="n"/>
      <c r="AE70" s="803" t="n"/>
      <c r="AF70" s="823" t="n"/>
      <c r="AG70" s="839" t="n"/>
      <c r="AH70" s="839" t="n"/>
      <c r="AI70" s="839" t="n"/>
      <c r="AJ70" s="803" t="n"/>
      <c r="AK70" s="803" t="n"/>
      <c r="AL70" s="841" t="n"/>
      <c r="AM70" s="841" t="n"/>
      <c r="AN70" s="841" t="n"/>
      <c r="AO70" s="803" t="n"/>
      <c r="AP70" s="803" t="n"/>
      <c r="AQ70" s="841" t="n"/>
      <c r="AR70" s="841" t="n"/>
      <c r="AS70" s="841" t="n"/>
      <c r="AT70" s="803" t="n"/>
      <c r="AU70" s="803" t="n"/>
      <c r="AV70" s="841" t="n"/>
      <c r="AW70" s="841" t="n"/>
      <c r="AX70" s="841" t="n"/>
      <c r="AY70" s="803" t="n"/>
      <c r="AZ70" s="803" t="n"/>
      <c r="BA70" s="835" t="n"/>
      <c r="BB70" s="835" t="n"/>
      <c r="BC70" s="841" t="n"/>
      <c r="BD70" s="803" t="n"/>
      <c r="BE70" s="803" t="n"/>
      <c r="BF70" s="841" t="n"/>
      <c r="BG70" s="841" t="n"/>
      <c r="BH70" s="841" t="n"/>
      <c r="BI70" s="803" t="n"/>
      <c r="BJ70" s="803" t="n"/>
      <c r="BK70" s="841" t="n"/>
      <c r="BL70" s="841" t="n"/>
      <c r="BM70" s="841" t="n"/>
      <c r="BN70" s="803" t="n"/>
      <c r="BO70" s="841" t="n"/>
      <c r="BP70" s="841" t="n"/>
      <c r="BQ70" s="841" t="n"/>
      <c r="BR70" s="841" t="n"/>
      <c r="BS70" s="803" t="n"/>
      <c r="BT70" s="803" t="n"/>
      <c r="BU70" s="841" t="n"/>
      <c r="BV70" s="841" t="n"/>
      <c r="BW70" s="841" t="n"/>
      <c r="BX70" s="803" t="n"/>
      <c r="BY70" s="803" t="n"/>
      <c r="BZ70" s="841" t="n"/>
      <c r="CA70" s="841" t="n"/>
      <c r="CB70" s="841" t="n"/>
      <c r="CC70" s="803" t="n"/>
      <c r="CD70" s="803" t="n"/>
      <c r="CE70" s="841" t="n"/>
      <c r="CF70" s="841" t="n"/>
      <c r="CG70" s="841" t="n"/>
      <c r="CH70" s="803" t="n"/>
      <c r="CI70" s="803" t="n"/>
      <c r="CJ70" s="841" t="n"/>
      <c r="CK70" s="841" t="n"/>
      <c r="CL70" s="841" t="n"/>
      <c r="CM70" s="803" t="n"/>
      <c r="CN70" s="803" t="n"/>
      <c r="CO70" s="841" t="n"/>
      <c r="CP70" s="841" t="n"/>
      <c r="CQ70" s="841" t="n"/>
      <c r="CR70" s="803" t="n"/>
      <c r="CS70" s="803" t="n"/>
      <c r="CT70" s="841" t="n"/>
      <c r="CU70" s="841" t="n"/>
      <c r="CV70" s="841" t="n"/>
      <c r="CW70" s="803" t="n"/>
      <c r="CX70" s="803" t="n"/>
      <c r="CY70" s="841" t="n"/>
      <c r="CZ70" s="841" t="n"/>
      <c r="DA70" s="841" t="n"/>
      <c r="DB70" s="803" t="n"/>
      <c r="DC70" s="803" t="n"/>
      <c r="DD70" s="841" t="n"/>
      <c r="DE70" s="841" t="n"/>
      <c r="DF70" s="841" t="n"/>
      <c r="DG70" s="803" t="n"/>
      <c r="DH70" s="803" t="n"/>
      <c r="DI70" s="841" t="n"/>
      <c r="DJ70" s="841" t="n"/>
      <c r="DK70" s="841" t="n"/>
      <c r="DL70" s="803" t="n"/>
      <c r="DM70" s="803" t="n"/>
      <c r="DN70" s="841" t="n"/>
      <c r="DO70" s="841" t="n"/>
      <c r="DP70" s="841" t="n"/>
      <c r="DQ70" s="803" t="n"/>
      <c r="DR70" s="803" t="n"/>
      <c r="DS70" s="841" t="n"/>
      <c r="DT70" s="841" t="n"/>
      <c r="DU70" s="841" t="n"/>
    </row>
    <row r="71">
      <c r="B71" s="803" t="n"/>
      <c r="C71" s="1173" t="n">
        <v>363</v>
      </c>
      <c r="D71" s="1173" t="n">
        <v>19</v>
      </c>
      <c r="E71" s="1173" t="n"/>
      <c r="F71" s="823" t="n"/>
      <c r="G71" s="823" t="n"/>
      <c r="H71" s="828" t="n"/>
      <c r="I71" s="821" t="n"/>
      <c r="J71" s="835" t="n"/>
      <c r="K71" s="823" t="n"/>
      <c r="L71" s="823" t="n"/>
      <c r="M71" s="835" t="n"/>
      <c r="N71" s="835" t="n"/>
      <c r="O71" s="835" t="n"/>
      <c r="R71" s="823" t="n"/>
      <c r="S71" s="823" t="n"/>
      <c r="T71" s="823" t="n"/>
      <c r="U71" s="840" t="n"/>
      <c r="V71" s="823" t="n"/>
      <c r="W71" s="828" t="n"/>
      <c r="X71" s="821" t="n"/>
      <c r="Y71" s="823" t="n"/>
      <c r="Z71" s="823" t="n"/>
      <c r="AA71" s="823" t="n"/>
      <c r="AB71" s="839" t="n"/>
      <c r="AC71" s="839" t="n"/>
      <c r="AD71" s="839" t="n"/>
      <c r="AE71" s="803" t="n"/>
      <c r="AF71" s="823" t="n"/>
      <c r="AG71" s="839" t="n"/>
      <c r="AH71" s="839" t="n"/>
      <c r="AI71" s="839" t="n"/>
      <c r="AJ71" s="803" t="n"/>
      <c r="AK71" s="803" t="n"/>
      <c r="AL71" s="841" t="n"/>
      <c r="AM71" s="841" t="n"/>
      <c r="AN71" s="841" t="n"/>
      <c r="AO71" s="803" t="n"/>
      <c r="AP71" s="803" t="n"/>
      <c r="AQ71" s="841" t="n"/>
      <c r="AR71" s="841" t="n"/>
      <c r="AS71" s="841" t="n"/>
      <c r="AT71" s="803" t="n"/>
      <c r="AU71" s="803" t="n"/>
      <c r="AV71" s="841" t="n"/>
      <c r="AW71" s="841" t="n"/>
      <c r="AX71" s="841" t="n"/>
      <c r="AY71" s="803" t="n"/>
      <c r="AZ71" s="803" t="n"/>
      <c r="BA71" s="841" t="n"/>
      <c r="BB71" s="841" t="n"/>
      <c r="BC71" s="841" t="n"/>
      <c r="BD71" s="803" t="n"/>
      <c r="BE71" s="803" t="n"/>
      <c r="BF71" s="841" t="n"/>
      <c r="BG71" s="841" t="n"/>
      <c r="BH71" s="841" t="n"/>
      <c r="BI71" s="803" t="n"/>
      <c r="BJ71" s="803" t="n"/>
      <c r="BK71" s="841" t="n"/>
      <c r="BL71" s="841" t="n"/>
      <c r="BM71" s="841" t="n"/>
      <c r="BN71" s="803" t="n"/>
      <c r="BO71" s="841" t="n"/>
      <c r="BP71" s="841" t="n"/>
      <c r="BQ71" s="841" t="n"/>
      <c r="BR71" s="841" t="n"/>
      <c r="BS71" s="803" t="n"/>
      <c r="BT71" s="803" t="n"/>
      <c r="BU71" s="841" t="n"/>
      <c r="BV71" s="841" t="n"/>
      <c r="BW71" s="841" t="n"/>
      <c r="BX71" s="803" t="n"/>
      <c r="BY71" s="803" t="n"/>
      <c r="BZ71" s="841" t="n"/>
      <c r="CA71" s="841" t="n"/>
      <c r="CB71" s="841" t="n"/>
      <c r="CC71" s="803" t="n"/>
      <c r="CD71" s="803" t="n"/>
      <c r="CE71" s="841" t="n"/>
      <c r="CF71" s="841" t="n"/>
      <c r="CG71" s="841" t="n"/>
      <c r="CH71" s="803" t="n"/>
      <c r="CI71" s="803" t="n"/>
      <c r="CJ71" s="841" t="n"/>
      <c r="CK71" s="841" t="n"/>
      <c r="CL71" s="841" t="n"/>
      <c r="CM71" s="803" t="n"/>
      <c r="CN71" s="803" t="n"/>
      <c r="CO71" s="841" t="n"/>
      <c r="CP71" s="841" t="n"/>
      <c r="CQ71" s="841" t="n"/>
      <c r="CR71" s="803" t="n"/>
      <c r="CS71" s="803" t="n"/>
      <c r="CT71" s="841" t="n"/>
      <c r="CU71" s="841" t="n"/>
      <c r="CV71" s="841" t="n"/>
      <c r="CW71" s="803" t="n"/>
      <c r="CX71" s="803" t="n"/>
      <c r="CY71" s="841" t="n"/>
      <c r="CZ71" s="841" t="n"/>
      <c r="DA71" s="841" t="n"/>
      <c r="DB71" s="803" t="n"/>
      <c r="DC71" s="803" t="n"/>
      <c r="DD71" s="841" t="n"/>
      <c r="DE71" s="841" t="n"/>
      <c r="DF71" s="841" t="n"/>
      <c r="DG71" s="803" t="n"/>
      <c r="DH71" s="803" t="n"/>
      <c r="DI71" s="841" t="n"/>
      <c r="DJ71" s="841" t="n"/>
      <c r="DK71" s="841" t="n"/>
      <c r="DL71" s="803" t="n"/>
      <c r="DM71" s="803" t="n"/>
      <c r="DN71" s="841" t="n"/>
      <c r="DO71" s="841" t="n"/>
      <c r="DP71" s="841" t="n"/>
      <c r="DQ71" s="803" t="n"/>
      <c r="DR71" s="803" t="n"/>
      <c r="DS71" s="841" t="n"/>
      <c r="DT71" s="841" t="n"/>
      <c r="DU71" s="841" t="n"/>
    </row>
    <row r="72">
      <c r="B72" s="803" t="n"/>
      <c r="C72" s="1173" t="n">
        <v>146</v>
      </c>
      <c r="D72" s="1173" t="n">
        <v>20</v>
      </c>
      <c r="E72" s="1173" t="n"/>
      <c r="F72" s="823" t="n"/>
      <c r="G72" s="823" t="n"/>
      <c r="H72" s="828" t="n"/>
      <c r="I72" s="821" t="n"/>
      <c r="J72" s="835" t="n"/>
      <c r="K72" s="823" t="n"/>
      <c r="L72" s="823" t="n"/>
      <c r="M72" s="839" t="n"/>
      <c r="N72" s="839" t="n"/>
      <c r="O72" s="839" t="n"/>
      <c r="R72" s="839" t="n"/>
      <c r="S72" s="839" t="n"/>
      <c r="T72" s="839" t="n"/>
      <c r="U72" s="840" t="n"/>
      <c r="V72" s="823" t="n"/>
      <c r="W72" s="828" t="n"/>
      <c r="X72" s="821" t="n"/>
      <c r="Y72" s="839" t="n"/>
      <c r="Z72" s="803" t="n"/>
      <c r="AA72" s="823" t="n"/>
      <c r="AB72" s="839" t="n"/>
      <c r="AC72" s="839" t="n"/>
      <c r="AD72" s="839" t="n"/>
      <c r="AE72" s="803" t="n"/>
      <c r="AF72" s="803" t="n"/>
      <c r="AG72" s="841" t="n"/>
      <c r="AH72" s="841" t="n"/>
      <c r="AI72" s="841"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41" t="n"/>
      <c r="BB72" s="841" t="n"/>
      <c r="BC72" s="841" t="n"/>
      <c r="BD72" s="803" t="n"/>
      <c r="BE72" s="803" t="n"/>
      <c r="BF72" s="841" t="n"/>
      <c r="BG72" s="841" t="n"/>
      <c r="BH72" s="841" t="n"/>
      <c r="BI72" s="841" t="n"/>
      <c r="BJ72" s="841" t="n"/>
      <c r="BK72" s="841" t="n"/>
      <c r="BL72" s="841" t="n"/>
      <c r="BM72" s="841" t="n"/>
      <c r="BN72" s="841" t="n"/>
      <c r="BO72" s="803"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1173" t="n">
        <v>54</v>
      </c>
      <c r="D73" s="1173" t="n">
        <v>20</v>
      </c>
      <c r="E73" s="1173" t="n"/>
      <c r="F73" s="823" t="n"/>
      <c r="G73" s="823" t="n"/>
      <c r="H73" s="835" t="n"/>
      <c r="I73" s="835" t="n"/>
      <c r="J73" s="835" t="n"/>
      <c r="K73" s="823" t="n"/>
      <c r="L73" s="823" t="n"/>
      <c r="M73" s="839" t="n"/>
      <c r="N73" s="839" t="n"/>
      <c r="O73" s="839" t="n"/>
      <c r="R73" s="839" t="n"/>
      <c r="S73" s="839" t="n"/>
      <c r="T73" s="839" t="n"/>
      <c r="U73" s="840" t="n"/>
      <c r="V73" s="823" t="n"/>
      <c r="W73" s="839" t="n"/>
      <c r="X73" s="839" t="n"/>
      <c r="Y73" s="839" t="n"/>
      <c r="Z73" s="803" t="n"/>
      <c r="AA73" s="823" t="n"/>
      <c r="AB73" s="839" t="n"/>
      <c r="AC73" s="839" t="n"/>
      <c r="AD73" s="839" t="n"/>
      <c r="AE73" s="803" t="n"/>
      <c r="AF73" s="803" t="n"/>
      <c r="AG73" s="841" t="n"/>
      <c r="AH73" s="841" t="n"/>
      <c r="AI73" s="841"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41" t="n"/>
      <c r="BJ73" s="841" t="n"/>
      <c r="BK73" s="841" t="n"/>
      <c r="BL73" s="841" t="n"/>
      <c r="BM73" s="841" t="n"/>
      <c r="BN73" s="841" t="n"/>
      <c r="BO73" s="803"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1173" t="n">
        <v>293</v>
      </c>
      <c r="D74" s="1173" t="n">
        <v>20</v>
      </c>
      <c r="E74" s="1173" t="n"/>
      <c r="F74" s="823" t="n"/>
      <c r="G74" s="823" t="n"/>
      <c r="H74" s="835" t="n"/>
      <c r="I74" s="835" t="n"/>
      <c r="J74" s="835" t="n"/>
      <c r="K74" s="823" t="n"/>
      <c r="L74" s="823" t="n"/>
      <c r="M74" s="839" t="n"/>
      <c r="N74" s="839" t="n"/>
      <c r="O74" s="839" t="n"/>
      <c r="R74" s="839" t="n"/>
      <c r="S74" s="839" t="n"/>
      <c r="T74" s="839" t="n"/>
      <c r="U74" s="840" t="n"/>
      <c r="V74" s="823" t="n"/>
      <c r="W74" s="823" t="n"/>
      <c r="X74" s="823"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1173" t="n">
        <v>175</v>
      </c>
      <c r="D75" s="1173" t="n">
        <v>20</v>
      </c>
      <c r="E75" s="1173"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1173" t="n">
        <v>88</v>
      </c>
      <c r="D76" s="1173" t="n">
        <v>20</v>
      </c>
      <c r="E76" s="1173" t="n"/>
      <c r="F76" s="823" t="n"/>
      <c r="G76" s="823" t="n"/>
      <c r="H76" s="835" t="n"/>
      <c r="I76" s="835" t="n"/>
      <c r="J76" s="835" t="n"/>
      <c r="K76" s="823" t="n"/>
      <c r="L76" s="823" t="n"/>
      <c r="M76" s="839" t="n"/>
      <c r="N76" s="839" t="n"/>
      <c r="O76" s="839" t="n"/>
      <c r="R76" s="839" t="n"/>
      <c r="S76" s="839" t="n"/>
      <c r="T76" s="839" t="n"/>
      <c r="U76" s="840" t="n"/>
      <c r="V76" s="823" t="n"/>
      <c r="W76" s="839" t="n"/>
      <c r="X76" s="839"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1173" t="n">
        <v>54</v>
      </c>
      <c r="D77" s="1173" t="n">
        <v>20</v>
      </c>
      <c r="E77" s="1173"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1173" t="n">
        <v>19</v>
      </c>
      <c r="D78" s="1173" t="n">
        <v>20</v>
      </c>
      <c r="E78" s="1173" t="n"/>
      <c r="F78" s="803" t="n"/>
      <c r="G78" s="803" t="n"/>
      <c r="H78" s="835" t="n"/>
      <c r="I78" s="835" t="n"/>
      <c r="J78" s="835" t="n"/>
      <c r="K78" s="803" t="n"/>
      <c r="L78" s="803" t="n"/>
      <c r="M78" s="841" t="n"/>
      <c r="N78" s="841" t="n"/>
      <c r="O78" s="841" t="n"/>
      <c r="R78" s="841" t="n"/>
      <c r="S78" s="841" t="n"/>
      <c r="T78" s="841" t="n"/>
      <c r="U78" s="806" t="n"/>
      <c r="V78" s="803" t="n"/>
      <c r="W78" s="839" t="n"/>
      <c r="X78" s="839" t="n"/>
      <c r="Y78" s="841" t="n"/>
      <c r="Z78" s="803" t="n"/>
      <c r="AA78" s="803" t="n"/>
      <c r="AB78" s="839" t="n"/>
      <c r="AC78" s="839" t="n"/>
      <c r="AD78" s="841"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1173" t="n">
        <v>11</v>
      </c>
      <c r="D79" s="1173" t="n">
        <v>19</v>
      </c>
      <c r="E79" s="1173" t="n"/>
      <c r="F79" s="803" t="n"/>
      <c r="G79" s="803" t="n"/>
      <c r="H79" s="835" t="n"/>
      <c r="I79" s="835" t="n"/>
      <c r="J79" s="835" t="n"/>
      <c r="K79" s="803" t="n"/>
      <c r="L79" s="803" t="n"/>
      <c r="M79" s="841" t="n"/>
      <c r="N79" s="841" t="n"/>
      <c r="O79" s="841" t="n"/>
      <c r="R79" s="841" t="n"/>
      <c r="S79" s="841" t="n"/>
      <c r="T79" s="841" t="n"/>
      <c r="U79" s="806" t="n"/>
      <c r="V79" s="803" t="n"/>
      <c r="W79" s="839" t="n"/>
      <c r="X79" s="839" t="n"/>
      <c r="Y79" s="841" t="n"/>
      <c r="Z79" s="803" t="n"/>
      <c r="AA79" s="803" t="n"/>
      <c r="AB79" s="841" t="n"/>
      <c r="AC79" s="841" t="n"/>
      <c r="AD79" s="841"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C80" s="1174" t="n">
        <v>49</v>
      </c>
      <c r="D80" s="1174" t="n">
        <v>18</v>
      </c>
      <c r="E80" s="1174" t="n"/>
      <c r="H80" s="835" t="n"/>
      <c r="I80" s="835" t="n"/>
      <c r="J80" s="841" t="n"/>
      <c r="K80" s="803" t="n"/>
      <c r="L80" s="803" t="n"/>
      <c r="M80" s="841" t="n"/>
      <c r="N80" s="841" t="n"/>
      <c r="O80" s="841" t="n"/>
      <c r="R80" s="841" t="n"/>
      <c r="S80" s="841" t="n"/>
      <c r="T80" s="841" t="n"/>
      <c r="U80" s="806" t="n"/>
      <c r="V80" s="803" t="n"/>
      <c r="W80" s="839" t="n"/>
      <c r="X80" s="839" t="n"/>
      <c r="Y80" s="841" t="n"/>
      <c r="Z80" s="803" t="n"/>
      <c r="AA80" s="803" t="n"/>
      <c r="AB80" s="841" t="n"/>
      <c r="AC80" s="841"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row>
    <row r="81">
      <c r="C81" s="1174" t="n">
        <v>50</v>
      </c>
      <c r="D81" s="1174" t="n">
        <v>18</v>
      </c>
      <c r="E81" s="1174" t="n"/>
      <c r="H81" s="835" t="n"/>
      <c r="I81" s="835" t="n"/>
      <c r="J81" s="841" t="n"/>
      <c r="K81" s="803" t="n"/>
      <c r="L81" s="803" t="n"/>
      <c r="M81" s="841" t="n"/>
      <c r="N81" s="841" t="n"/>
      <c r="O81" s="841" t="n"/>
      <c r="R81" s="841" t="n"/>
      <c r="S81" s="841" t="n"/>
      <c r="T81" s="841" t="n"/>
      <c r="U81" s="806" t="n"/>
      <c r="V81" s="803" t="n"/>
      <c r="W81" s="841" t="n"/>
      <c r="X81" s="841"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41" t="n"/>
      <c r="CT81" s="841" t="n"/>
      <c r="CU81" s="841" t="n"/>
      <c r="CV81" s="841" t="n"/>
      <c r="CW81" s="803" t="n"/>
      <c r="CX81" s="841" t="n"/>
      <c r="CY81" s="841" t="n"/>
      <c r="CZ81" s="841" t="n"/>
      <c r="DA81" s="841" t="n"/>
      <c r="DB81" s="803" t="n"/>
      <c r="DC81" s="841" t="n"/>
      <c r="DD81" s="841" t="n"/>
      <c r="DE81" s="841" t="n"/>
      <c r="DF81" s="841" t="n"/>
      <c r="DG81" s="803" t="n"/>
      <c r="DH81" s="841" t="n"/>
      <c r="DI81" s="841" t="n"/>
      <c r="DJ81" s="841" t="n"/>
      <c r="DK81" s="841" t="n"/>
      <c r="DL81" s="803" t="n"/>
      <c r="DM81" s="841" t="n"/>
      <c r="DN81" s="841" t="n"/>
      <c r="DO81" s="841" t="n"/>
      <c r="DP81" s="841" t="n"/>
      <c r="DQ81" s="803" t="n"/>
      <c r="DR81" s="841" t="n"/>
    </row>
    <row r="82">
      <c r="C82" s="1174" t="n">
        <v>50</v>
      </c>
      <c r="D82" s="1174" t="n">
        <v>18</v>
      </c>
      <c r="E82" s="1174" t="n"/>
      <c r="H82" s="841" t="n"/>
      <c r="I82" s="841" t="n"/>
      <c r="J82" s="841" t="n"/>
      <c r="K82" s="803" t="n"/>
      <c r="L82" s="803" t="n"/>
      <c r="M82" s="841" t="n"/>
      <c r="N82" s="841" t="n"/>
      <c r="O82" s="841" t="n"/>
      <c r="R82" s="841" t="n"/>
      <c r="S82" s="841" t="n"/>
      <c r="T82" s="841" t="n"/>
      <c r="U82" s="806" t="n"/>
      <c r="V82" s="803" t="n"/>
      <c r="W82" s="841" t="n"/>
      <c r="X82" s="841"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41" t="n"/>
      <c r="CO82" s="841" t="n"/>
      <c r="CP82" s="841" t="n"/>
      <c r="CQ82" s="841" t="n"/>
      <c r="CR82" s="803" t="n"/>
      <c r="CS82" s="841" t="n"/>
      <c r="CT82" s="841" t="n"/>
      <c r="CU82" s="841" t="n"/>
      <c r="CV82" s="841" t="n"/>
      <c r="CW82" s="803" t="n"/>
      <c r="CX82" s="841" t="n"/>
      <c r="CY82" s="841" t="n"/>
      <c r="CZ82" s="841" t="n"/>
      <c r="DA82" s="841" t="n"/>
      <c r="DB82" s="803" t="n"/>
      <c r="DC82" s="841" t="n"/>
      <c r="DD82" s="841" t="n"/>
      <c r="DE82" s="841" t="n"/>
      <c r="DF82" s="841" t="n"/>
      <c r="DG82" s="803" t="n"/>
      <c r="DH82" s="841" t="n"/>
      <c r="DI82" s="841" t="n"/>
      <c r="DJ82" s="841" t="n"/>
      <c r="DK82" s="841" t="n"/>
      <c r="DL82" s="803" t="n"/>
      <c r="DM82" s="841" t="n"/>
      <c r="DN82" s="841" t="n"/>
      <c r="DO82" s="841" t="n"/>
      <c r="DP82" s="841" t="n"/>
      <c r="DQ82" s="803" t="n"/>
      <c r="DR82" s="841" t="n"/>
    </row>
    <row r="83">
      <c r="C83" s="1174" t="n">
        <v>77</v>
      </c>
      <c r="D83" s="1174" t="n">
        <v>5</v>
      </c>
      <c r="E83" s="1174" t="n"/>
      <c r="H83" s="841" t="n"/>
      <c r="I83" s="841"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41"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C84" s="1174" t="n">
        <v>40</v>
      </c>
      <c r="D84" s="1174" t="n">
        <v>5</v>
      </c>
      <c r="E84" s="1174" t="n"/>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C85" s="1174" t="n">
        <v>336</v>
      </c>
      <c r="D85" s="1174" t="n">
        <v>2</v>
      </c>
      <c r="E85" s="1174" t="n"/>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C86" s="1174" t="n">
        <v>49</v>
      </c>
      <c r="D86" s="1174" t="n">
        <v>2</v>
      </c>
      <c r="E86" s="1174" t="n"/>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C87" s="1174" t="n">
        <v>150</v>
      </c>
      <c r="D87" s="1174" t="n">
        <v>13</v>
      </c>
      <c r="E87" s="1174" t="n"/>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C88" s="1174" t="n">
        <v>159</v>
      </c>
      <c r="D88" s="1174" t="n">
        <v>6</v>
      </c>
      <c r="E88" s="1174" t="n"/>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C89" s="1174" t="n">
        <v>348</v>
      </c>
      <c r="D89" s="1174" t="n">
        <v>7</v>
      </c>
      <c r="E89" s="1174" t="n"/>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C90" s="1174" t="n">
        <v>233</v>
      </c>
      <c r="D90" s="1174" t="n">
        <v>17</v>
      </c>
      <c r="E90" s="1174" t="n"/>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C91" s="1174" t="n">
        <v>149</v>
      </c>
      <c r="D91" s="1174" t="n">
        <v>16</v>
      </c>
      <c r="E91" s="1174" t="n"/>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C92" s="1174" t="n">
        <v>91</v>
      </c>
      <c r="D92" s="1174" t="n">
        <v>5</v>
      </c>
      <c r="E92" s="1174" t="n"/>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C93" s="1174" t="n">
        <v>257</v>
      </c>
      <c r="D93" s="1174" t="n">
        <v>13</v>
      </c>
      <c r="E93" s="1174" t="n"/>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C94" s="1174" t="n">
        <v>404</v>
      </c>
      <c r="D94" s="1174" t="n">
        <v>17</v>
      </c>
      <c r="E94" s="1174" t="n"/>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C95" s="1174" t="n">
        <v>391</v>
      </c>
      <c r="D95" s="1174" t="n">
        <v>6</v>
      </c>
      <c r="E95" s="1174" t="n"/>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C96" s="1174" t="n">
        <v>78</v>
      </c>
      <c r="D96" s="1174" t="n">
        <v>18</v>
      </c>
      <c r="E96" s="1174" t="n"/>
    </row>
    <row r="97">
      <c r="C97" s="1174" t="n">
        <v>78</v>
      </c>
      <c r="D97" s="1174" t="n">
        <v>18</v>
      </c>
      <c r="E97" s="1174" t="n"/>
    </row>
    <row r="98">
      <c r="C98" s="1174" t="n">
        <v>115</v>
      </c>
      <c r="D98" s="1174" t="n">
        <v>17</v>
      </c>
      <c r="E98" s="1174" t="n"/>
    </row>
    <row r="99">
      <c r="C99" s="1174" t="n">
        <v>200</v>
      </c>
      <c r="D99" s="1174" t="n">
        <v>17</v>
      </c>
      <c r="E99" s="1174" t="n"/>
    </row>
    <row r="100">
      <c r="C100" s="1174" t="n">
        <v>187</v>
      </c>
      <c r="D100" s="1174" t="n">
        <v>17</v>
      </c>
      <c r="E100" s="1174" t="n"/>
    </row>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sheetData>
  <mergeCells count="60">
    <mergeCell ref="M11:O11"/>
    <mergeCell ref="BU22:BU23"/>
    <mergeCell ref="AV11:AX11"/>
    <mergeCell ref="DS19:DS20"/>
    <mergeCell ref="M10:O10"/>
    <mergeCell ref="BA10:BC10"/>
    <mergeCell ref="AG11:AI11"/>
    <mergeCell ref="BZ10:CB10"/>
    <mergeCell ref="DI10:DK10"/>
    <mergeCell ref="CJ10:CL10"/>
    <mergeCell ref="DD11:DF11"/>
    <mergeCell ref="BU10:BW10"/>
    <mergeCell ref="G2:G7"/>
    <mergeCell ref="DD10:DF10"/>
    <mergeCell ref="DN11:DP11"/>
    <mergeCell ref="H11:J11"/>
    <mergeCell ref="AB11:AD11"/>
    <mergeCell ref="AV10:AX10"/>
    <mergeCell ref="C11:E11"/>
    <mergeCell ref="CO11:CQ11"/>
    <mergeCell ref="AQ10:AS10"/>
    <mergeCell ref="CE10:CG10"/>
    <mergeCell ref="CY11:DA11"/>
    <mergeCell ref="BP10:BR10"/>
    <mergeCell ref="CJ11:CL11"/>
    <mergeCell ref="B2:B7"/>
    <mergeCell ref="DS11:DU11"/>
    <mergeCell ref="DI11:DK11"/>
    <mergeCell ref="CT20:CT21"/>
    <mergeCell ref="W11:Y11"/>
    <mergeCell ref="BK11:BM11"/>
    <mergeCell ref="DS22:DS23"/>
    <mergeCell ref="AL10:AN10"/>
    <mergeCell ref="AB10:AD10"/>
    <mergeCell ref="CT11:CV11"/>
    <mergeCell ref="BK10:BM10"/>
    <mergeCell ref="CE11:CG11"/>
    <mergeCell ref="BF11:BH11"/>
    <mergeCell ref="BP11:BR11"/>
    <mergeCell ref="BF10:BH10"/>
    <mergeCell ref="DS10:DU10"/>
    <mergeCell ref="P66:Q211"/>
    <mergeCell ref="W10:Y10"/>
    <mergeCell ref="AQ11:AS11"/>
    <mergeCell ref="H10:J10"/>
    <mergeCell ref="R11:T11"/>
    <mergeCell ref="CT23:CT24"/>
    <mergeCell ref="BZ11:CB11"/>
    <mergeCell ref="BA11:BC11"/>
    <mergeCell ref="AG10:AI10"/>
    <mergeCell ref="AL11:AN11"/>
    <mergeCell ref="R10:T10"/>
    <mergeCell ref="CT17:CT18"/>
    <mergeCell ref="CT10:CV10"/>
    <mergeCell ref="BU11:BW11"/>
    <mergeCell ref="DN10:DP10"/>
    <mergeCell ref="CO10:CQ10"/>
    <mergeCell ref="CY10:DA10"/>
    <mergeCell ref="L2:L7"/>
    <mergeCell ref="C10:E10"/>
  </mergeCells>
  <conditionalFormatting sqref="C9:C12">
    <cfRule type="containsBlanks" priority="152" dxfId="361">
      <formula>LEN(TRIM(C9))=0</formula>
    </cfRule>
  </conditionalFormatting>
  <conditionalFormatting sqref="D15:D68 I15:I81 N15:N71 S15:S69 X15:X72 AC15:AC70 AH15:AH69 AM15:AM69 AR15:AR69 AW15:AW70 BB15:BB70 BG15:BG69 BL15:BL69 BQ15:BQ69 BV15:BV69 CA15:CA69 CF15:CF69 CK15:CK69 CP15:CP69 CU15:CU69 CZ15:CZ69 DE15:DE69 DJ15:DJ69 DO15:DO69 DT15:DT69">
    <cfRule type="expression" priority="81" dxfId="362">
      <formula>D15&gt;50</formula>
    </cfRule>
  </conditionalFormatting>
  <conditionalFormatting sqref="H9:H12">
    <cfRule type="containsBlanks" priority="28" dxfId="361">
      <formula>LEN(TRIM(H9))=0</formula>
    </cfRule>
  </conditionalFormatting>
  <conditionalFormatting sqref="J70:J79">
    <cfRule type="expression" priority="153" dxfId="362">
      <formula>J70&gt;50</formula>
    </cfRule>
  </conditionalFormatting>
  <conditionalFormatting sqref="M9:M12">
    <cfRule type="containsBlanks" priority="27" dxfId="361">
      <formula>LEN(TRIM(M9))=0</formula>
    </cfRule>
  </conditionalFormatting>
  <conditionalFormatting sqref="O70:O71">
    <cfRule type="expression" priority="150" dxfId="362">
      <formula>O70&gt;50</formula>
    </cfRule>
  </conditionalFormatting>
  <conditionalFormatting sqref="R9:R12">
    <cfRule type="containsBlanks" priority="26" dxfId="361">
      <formula>LEN(TRIM(R9))=0</formula>
    </cfRule>
  </conditionalFormatting>
  <conditionalFormatting sqref="W9:W12">
    <cfRule type="containsBlanks" priority="25" dxfId="361">
      <formula>LEN(TRIM(W9))=0</formula>
    </cfRule>
  </conditionalFormatting>
  <conditionalFormatting sqref="AB9:AB12">
    <cfRule type="containsBlanks" priority="24" dxfId="361">
      <formula>LEN(TRIM(AB9))=0</formula>
    </cfRule>
  </conditionalFormatting>
  <conditionalFormatting sqref="AG9:AG12">
    <cfRule type="containsBlanks" priority="4" dxfId="361">
      <formula>LEN(TRIM(AG9))=0</formula>
    </cfRule>
  </conditionalFormatting>
  <conditionalFormatting sqref="AL9:AL12">
    <cfRule type="containsBlanks" priority="3" dxfId="361">
      <formula>LEN(TRIM(AL9))=0</formula>
    </cfRule>
  </conditionalFormatting>
  <conditionalFormatting sqref="AQ9:AQ12">
    <cfRule type="containsBlanks" priority="21" dxfId="361">
      <formula>LEN(TRIM(AQ9))=0</formula>
    </cfRule>
  </conditionalFormatting>
  <conditionalFormatting sqref="AV9:AV12">
    <cfRule type="containsBlanks" priority="2" dxfId="361">
      <formula>LEN(TRIM(AV9))=0</formula>
    </cfRule>
  </conditionalFormatting>
  <conditionalFormatting sqref="AZ18">
    <cfRule type="expression" priority="136" dxfId="362">
      <formula>AZ18&gt;50</formula>
    </cfRule>
  </conditionalFormatting>
  <conditionalFormatting sqref="AZ24">
    <cfRule type="expression" priority="135" dxfId="362">
      <formula>AZ24&gt;50</formula>
    </cfRule>
  </conditionalFormatting>
  <conditionalFormatting sqref="BA9:BA12">
    <cfRule type="containsBlanks" priority="19" dxfId="361">
      <formula>LEN(TRIM(BA9))=0</formula>
    </cfRule>
  </conditionalFormatting>
  <conditionalFormatting sqref="BE18">
    <cfRule type="expression" priority="119" dxfId="362">
      <formula>BE18&gt;50</formula>
    </cfRule>
  </conditionalFormatting>
  <conditionalFormatting sqref="BE24">
    <cfRule type="expression" priority="118" dxfId="362">
      <formula>BE24&gt;50</formula>
    </cfRule>
  </conditionalFormatting>
  <conditionalFormatting sqref="BF9:BF12">
    <cfRule type="containsBlanks" priority="18" dxfId="361">
      <formula>LEN(TRIM(BF9))=0</formula>
    </cfRule>
  </conditionalFormatting>
  <conditionalFormatting sqref="BJ18">
    <cfRule type="expression" priority="117" dxfId="362">
      <formula>BJ18&gt;50</formula>
    </cfRule>
  </conditionalFormatting>
  <conditionalFormatting sqref="BJ24">
    <cfRule type="expression" priority="116" dxfId="362">
      <formula>BJ24&gt;50</formula>
    </cfRule>
  </conditionalFormatting>
  <conditionalFormatting sqref="BK9:BK12">
    <cfRule type="containsBlanks" priority="1" dxfId="361">
      <formula>LEN(TRIM(BK9))=0</formula>
    </cfRule>
  </conditionalFormatting>
  <conditionalFormatting sqref="BO18">
    <cfRule type="expression" priority="90" dxfId="362">
      <formula>BO18&gt;50</formula>
    </cfRule>
  </conditionalFormatting>
  <conditionalFormatting sqref="BO24">
    <cfRule type="expression" priority="89" dxfId="362">
      <formula>BO24&gt;50</formula>
    </cfRule>
  </conditionalFormatting>
  <conditionalFormatting sqref="BO52">
    <cfRule type="expression" priority="134" dxfId="362">
      <formula>BO52&gt;50</formula>
    </cfRule>
  </conditionalFormatting>
  <conditionalFormatting sqref="BP9:BP12">
    <cfRule type="containsBlanks" priority="16" dxfId="361">
      <formula>LEN(TRIM(BP9))=0</formula>
    </cfRule>
  </conditionalFormatting>
  <conditionalFormatting sqref="BT18">
    <cfRule type="expression" priority="115" dxfId="362">
      <formula>BT18&gt;50</formula>
    </cfRule>
  </conditionalFormatting>
  <conditionalFormatting sqref="BT24 BT52">
    <cfRule type="expression" priority="114" dxfId="362">
      <formula>BT24&gt;50</formula>
    </cfRule>
  </conditionalFormatting>
  <conditionalFormatting sqref="BU9:BU12">
    <cfRule type="containsBlanks" priority="15" dxfId="361">
      <formula>LEN(TRIM(BU9))=0</formula>
    </cfRule>
  </conditionalFormatting>
  <conditionalFormatting sqref="BY18">
    <cfRule type="expression" priority="126" dxfId="362">
      <formula>BY18&gt;50</formula>
    </cfRule>
  </conditionalFormatting>
  <conditionalFormatting sqref="BY24">
    <cfRule type="expression" priority="125" dxfId="362">
      <formula>BY24&gt;50</formula>
    </cfRule>
  </conditionalFormatting>
  <conditionalFormatting sqref="BZ9:BZ12">
    <cfRule type="containsBlanks" priority="14" dxfId="361">
      <formula>LEN(TRIM(BZ9))=0</formula>
    </cfRule>
  </conditionalFormatting>
  <conditionalFormatting sqref="CD18">
    <cfRule type="expression" priority="132" dxfId="362">
      <formula>CD18&gt;50</formula>
    </cfRule>
  </conditionalFormatting>
  <conditionalFormatting sqref="CD24">
    <cfRule type="expression" priority="131" dxfId="362">
      <formula>CD24&gt;50</formula>
    </cfRule>
  </conditionalFormatting>
  <conditionalFormatting sqref="CE9:CE12">
    <cfRule type="containsBlanks" priority="13" dxfId="361">
      <formula>LEN(TRIM(CE9))=0</formula>
    </cfRule>
  </conditionalFormatting>
  <conditionalFormatting sqref="CI18">
    <cfRule type="expression" priority="130" dxfId="362">
      <formula>CI18&gt;50</formula>
    </cfRule>
  </conditionalFormatting>
  <conditionalFormatting sqref="CI24">
    <cfRule type="expression" priority="129" dxfId="362">
      <formula>CI24&gt;50</formula>
    </cfRule>
  </conditionalFormatting>
  <conditionalFormatting sqref="CJ9:CJ12">
    <cfRule type="containsBlanks" priority="12" dxfId="361">
      <formula>LEN(TRIM(CJ9))=0</formula>
    </cfRule>
  </conditionalFormatting>
  <conditionalFormatting sqref="CN18">
    <cfRule type="expression" priority="128" dxfId="362">
      <formula>CN18&gt;50</formula>
    </cfRule>
  </conditionalFormatting>
  <conditionalFormatting sqref="CN24">
    <cfRule type="expression" priority="127" dxfId="362">
      <formula>CN24&gt;50</formula>
    </cfRule>
  </conditionalFormatting>
  <conditionalFormatting sqref="CO9:CO12">
    <cfRule type="containsBlanks" priority="11" dxfId="361">
      <formula>LEN(TRIM(CO9))=0</formula>
    </cfRule>
  </conditionalFormatting>
  <conditionalFormatting sqref="CS18">
    <cfRule type="expression" priority="108" dxfId="362">
      <formula>CS18&gt;50</formula>
    </cfRule>
  </conditionalFormatting>
  <conditionalFormatting sqref="CS24">
    <cfRule type="expression" priority="107" dxfId="362">
      <formula>CS24&gt;50</formula>
    </cfRule>
  </conditionalFormatting>
  <conditionalFormatting sqref="CT9:CT12">
    <cfRule type="containsBlanks" priority="10" dxfId="361">
      <formula>LEN(TRIM(CT9))=0</formula>
    </cfRule>
  </conditionalFormatting>
  <conditionalFormatting sqref="CX18">
    <cfRule type="expression" priority="105" dxfId="362">
      <formula>CX18&gt;50</formula>
    </cfRule>
  </conditionalFormatting>
  <conditionalFormatting sqref="CX24">
    <cfRule type="expression" priority="104" dxfId="362">
      <formula>CX24&gt;50</formula>
    </cfRule>
  </conditionalFormatting>
  <conditionalFormatting sqref="CY9:CY12">
    <cfRule type="containsBlanks" priority="9" dxfId="361">
      <formula>LEN(TRIM(CY9))=0</formula>
    </cfRule>
  </conditionalFormatting>
  <conditionalFormatting sqref="DC18">
    <cfRule type="expression" priority="102" dxfId="362">
      <formula>DC18&gt;50</formula>
    </cfRule>
  </conditionalFormatting>
  <conditionalFormatting sqref="DC24">
    <cfRule type="expression" priority="101" dxfId="362">
      <formula>DC24&gt;50</formula>
    </cfRule>
  </conditionalFormatting>
  <conditionalFormatting sqref="DD9:DD12">
    <cfRule type="containsBlanks" priority="8" dxfId="361">
      <formula>LEN(TRIM(DD9))=0</formula>
    </cfRule>
  </conditionalFormatting>
  <conditionalFormatting sqref="DH18">
    <cfRule type="expression" priority="99" dxfId="362">
      <formula>DH18&gt;50</formula>
    </cfRule>
  </conditionalFormatting>
  <conditionalFormatting sqref="DH24">
    <cfRule type="expression" priority="98" dxfId="362">
      <formula>DH24&gt;50</formula>
    </cfRule>
  </conditionalFormatting>
  <conditionalFormatting sqref="DI9:DI12">
    <cfRule type="containsBlanks" priority="7" dxfId="361">
      <formula>LEN(TRIM(DI9))=0</formula>
    </cfRule>
  </conditionalFormatting>
  <conditionalFormatting sqref="DM18">
    <cfRule type="expression" priority="96" dxfId="362">
      <formula>DM18&gt;50</formula>
    </cfRule>
  </conditionalFormatting>
  <conditionalFormatting sqref="DM24">
    <cfRule type="expression" priority="95" dxfId="362">
      <formula>DM24&gt;50</formula>
    </cfRule>
  </conditionalFormatting>
  <conditionalFormatting sqref="DN9:DN12">
    <cfRule type="containsBlanks" priority="6" dxfId="361">
      <formula>LEN(TRIM(DN9))=0</formula>
    </cfRule>
  </conditionalFormatting>
  <conditionalFormatting sqref="DR18">
    <cfRule type="expression" priority="93" dxfId="362">
      <formula>DR18&gt;50</formula>
    </cfRule>
  </conditionalFormatting>
  <conditionalFormatting sqref="DR24">
    <cfRule type="expression" priority="92" dxfId="362">
      <formula>DR24&gt;50</formula>
    </cfRule>
  </conditionalFormatting>
  <conditionalFormatting sqref="DS9:DS12">
    <cfRule type="containsBlanks" priority="5" dxfId="361">
      <formula>LEN(TRIM(DS9))=0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89"/>
  <sheetViews>
    <sheetView zoomScale="85" zoomScaleNormal="85" workbookViewId="0">
      <pane ySplit="6" topLeftCell="A7" activePane="bottomLeft" state="frozen"/>
      <selection pane="bottomLeft" activeCell="J7" sqref="J7"/>
    </sheetView>
  </sheetViews>
  <sheetFormatPr baseColWidth="8" defaultRowHeight="15"/>
  <cols>
    <col width="12" customWidth="1" style="192" min="1" max="1"/>
    <col width="14.5703125" customWidth="1" style="567" min="2" max="2"/>
    <col width="11.140625" customWidth="1" style="192" min="3" max="3"/>
    <col width="11.85546875" bestFit="1" customWidth="1" style="109" min="4" max="4"/>
    <col width="19.140625" customWidth="1" style="109" min="5" max="5"/>
    <col width="11.7109375" customWidth="1" style="109" min="6" max="6"/>
    <col width="17" customWidth="1" style="109" min="7" max="7"/>
    <col width="15.5703125" bestFit="1" customWidth="1" style="109" min="8" max="8"/>
    <col width="16.5703125" customWidth="1" style="109" min="9" max="9"/>
    <col outlineLevel="1" width="12" customWidth="1" style="109" min="10" max="10"/>
    <col outlineLevel="1" width="11.7109375" customWidth="1" style="109" min="11" max="11"/>
    <col hidden="1" outlineLevel="1" width="11.7109375" customWidth="1" style="109" min="12" max="13"/>
    <col hidden="1" outlineLevel="1" width="12.7109375" customWidth="1" style="109" min="14" max="15"/>
    <col hidden="1" outlineLevel="1" width="24.7109375" customWidth="1" style="57" min="16" max="16"/>
    <col hidden="1" outlineLevel="1" width="9.140625" customWidth="1" style="57" min="17" max="24"/>
    <col hidden="1" outlineLevel="1" width="6.7109375" customWidth="1" style="57" min="25" max="25"/>
    <col width="3.7109375" customWidth="1" style="955" min="26" max="26"/>
    <col outlineLevel="1" width="11.7109375" customWidth="1" style="192" min="27" max="27"/>
    <col outlineLevel="1" width="15.85546875" customWidth="1" style="192" min="28" max="28"/>
    <col width="9.28515625" customWidth="1" style="192" min="29" max="29"/>
    <col width="15.85546875" customWidth="1" style="192" min="30" max="30"/>
    <col outlineLevel="1" width="16.42578125" customWidth="1" style="109" min="31" max="31"/>
    <col outlineLevel="1" width="15.7109375" customWidth="1" style="109" min="32" max="32"/>
    <col outlineLevel="1" width="16.85546875" customWidth="1" style="109" min="33" max="33"/>
    <col outlineLevel="1" width="36.5703125" bestFit="1" customWidth="1" style="109" min="34" max="34"/>
    <col outlineLevel="1" width="12.7109375" customWidth="1" style="109" min="35" max="35"/>
    <col outlineLevel="1" width="9.140625" customWidth="1" style="109" min="36" max="38"/>
    <col outlineLevel="1" width="12.140625" customWidth="1" style="109" min="39" max="39"/>
    <col outlineLevel="1" width="10.28515625" customWidth="1" style="109" min="40" max="40"/>
    <col outlineLevel="1" width="9.85546875" customWidth="1" style="109" min="41" max="41"/>
    <col outlineLevel="1" width="10.42578125" customWidth="1" style="109" min="42" max="42"/>
    <col outlineLevel="1" width="9.140625" customWidth="1" style="109" min="43" max="43"/>
    <col outlineLevel="1" width="11" customWidth="1" style="109" min="44" max="44"/>
    <col hidden="1" style="955"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44" t="inlineStr">
        <is>
          <t>TOTAL FOOTAGE UNIT 147</t>
        </is>
      </c>
      <c r="R1" s="1124"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5.75" customHeight="1" s="955" thickBot="1">
      <c r="B2" s="566" t="n"/>
      <c r="C2" s="1175" t="inlineStr">
        <is>
          <t>TOTAL FOOTAGES</t>
        </is>
      </c>
      <c r="D2" s="1131" t="n"/>
      <c r="E2" s="1050" t="n"/>
      <c r="F2" s="639" t="n"/>
      <c r="G2" s="639" t="n"/>
      <c r="H2" s="639" t="n"/>
      <c r="I2" s="639" t="n"/>
      <c r="J2" s="509">
        <f>SUM(J7:J998)</f>
        <v/>
      </c>
      <c r="K2" s="509">
        <f>SUM(K7:K998)</f>
        <v/>
      </c>
      <c r="L2" s="509">
        <f>SUM(L7:L998)</f>
        <v/>
      </c>
      <c r="M2" s="509">
        <f>SUM(M7:M998)</f>
        <v/>
      </c>
      <c r="N2" s="509">
        <f>SUM(N7:N998)</f>
        <v/>
      </c>
      <c r="O2" s="509">
        <f>SUM(O7:O998)</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SUM(AA7:AA998)</f>
        <v/>
      </c>
      <c r="AB2" s="509">
        <f>SUM(AB7:AB998)</f>
        <v/>
      </c>
      <c r="AC2" s="509" t="n"/>
      <c r="AD2" s="509">
        <f>SUM(AD7:AD998)</f>
        <v/>
      </c>
      <c r="AE2" s="509">
        <f>SUM(AE7:AE998)</f>
        <v/>
      </c>
      <c r="AF2" s="509">
        <f>SUM(AF7:AF998)</f>
        <v/>
      </c>
      <c r="AG2" s="509">
        <f>SUM(AG7:AG998)</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948">
        <f>SUM(Q7:Q402)</f>
        <v/>
      </c>
      <c r="R3" s="948">
        <f>SUM(R7:R402)</f>
        <v/>
      </c>
      <c r="S3" s="948">
        <f>SUM(S7:S402)</f>
        <v/>
      </c>
      <c r="T3" s="948">
        <f>SUM(T7:T402)</f>
        <v/>
      </c>
      <c r="U3" s="948">
        <f>SUM(U7:U402)</f>
        <v/>
      </c>
      <c r="V3" s="948">
        <f>SUM(V7:V402)</f>
        <v/>
      </c>
      <c r="W3" s="948">
        <f>SUM(W7:W402)</f>
        <v/>
      </c>
      <c r="X3" s="948">
        <f>SUM(X7:X402)</f>
        <v/>
      </c>
      <c r="Y3" s="948">
        <f>SUM(Y7:Y402)</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948" t="n">
        <v>1</v>
      </c>
      <c r="R4" s="948" t="n">
        <v>2</v>
      </c>
      <c r="S4" s="948" t="n">
        <v>3</v>
      </c>
      <c r="T4" s="948" t="n">
        <v>4</v>
      </c>
      <c r="U4" s="948" t="n">
        <v>5</v>
      </c>
      <c r="V4" s="948" t="n">
        <v>6</v>
      </c>
      <c r="W4" s="948" t="n">
        <v>7</v>
      </c>
      <c r="X4" s="948" t="n">
        <v>8</v>
      </c>
      <c r="Y4" s="948"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s="955">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46" t="inlineStr">
        <is>
          <t>THESE COUNTS ARE AFTER SUBTRACTING 2 MP'S THAT WOULD BE INCLUDED WITH NEW BUILD OR OVBER LASH.  OR AFTER THE FIRST MP ONLY OVERLASH.    COUNTING ONLY UNIT 127</t>
        </is>
      </c>
      <c r="R5" s="1176" t="n"/>
      <c r="S5" s="1176" t="n"/>
      <c r="T5" s="1176" t="n"/>
      <c r="U5" s="1176" t="n"/>
      <c r="V5" s="1176" t="n"/>
      <c r="W5" s="1176" t="n"/>
      <c r="X5" s="1176" t="n"/>
      <c r="Y5" s="1177"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c r="A7" s="192" t="inlineStr">
        <is>
          <t>SP-1</t>
        </is>
      </c>
      <c r="B7" s="192" t="inlineStr">
        <is>
          <t>A</t>
        </is>
      </c>
      <c r="C7" s="192" t="n">
        <v>57</v>
      </c>
      <c r="E7" s="109" t="inlineStr">
        <is>
          <t>no</t>
        </is>
      </c>
      <c r="F7" s="192" t="n">
        <v>1</v>
      </c>
      <c r="G7" s="192" t="n">
        <v>1</v>
      </c>
      <c r="H7" t="n">
        <v>0</v>
      </c>
      <c r="J7" s="57" t="n"/>
      <c r="K7" s="57" t="n"/>
      <c r="L7" s="57" t="n"/>
      <c r="M7" s="57" t="n"/>
      <c r="N7" s="57" t="n"/>
      <c r="O7" s="57" t="n"/>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c r="A8" s="192" t="inlineStr">
        <is>
          <t>SP-1</t>
        </is>
      </c>
      <c r="B8" s="192" t="inlineStr">
        <is>
          <t xml:space="preserve">B </t>
        </is>
      </c>
      <c r="C8" s="192" t="n">
        <v>386</v>
      </c>
      <c r="E8" s="109" t="inlineStr">
        <is>
          <t>no</t>
        </is>
      </c>
      <c r="F8" s="192" t="n">
        <v>1</v>
      </c>
      <c r="G8" s="192" t="n">
        <v>1</v>
      </c>
      <c r="H8" t="n">
        <v>0</v>
      </c>
      <c r="J8" s="57" t="n"/>
      <c r="K8" s="57" t="n"/>
      <c r="L8" s="57" t="n"/>
      <c r="M8" s="57" t="n"/>
      <c r="N8" s="57" t="n"/>
      <c r="O8" s="57" t="n"/>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c r="A9" s="192" t="inlineStr">
        <is>
          <t>SP-2</t>
        </is>
      </c>
      <c r="B9" s="192" t="inlineStr">
        <is>
          <t>A</t>
        </is>
      </c>
      <c r="C9" s="192" t="n">
        <v>336</v>
      </c>
      <c r="E9" s="109" t="inlineStr">
        <is>
          <t>no</t>
        </is>
      </c>
      <c r="F9" s="192" t="n">
        <v>1</v>
      </c>
      <c r="G9" s="192" t="n">
        <v>1</v>
      </c>
      <c r="H9" t="n">
        <v>0</v>
      </c>
      <c r="J9" s="57" t="n"/>
      <c r="K9" s="57" t="n"/>
      <c r="L9" s="57" t="n"/>
      <c r="M9" s="57" t="n"/>
      <c r="N9" s="57" t="n"/>
      <c r="O9" s="57" t="n"/>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c r="A10" s="192" t="inlineStr">
        <is>
          <t>SP-2</t>
        </is>
      </c>
      <c r="B10" s="192" t="inlineStr">
        <is>
          <t xml:space="preserve">B </t>
        </is>
      </c>
      <c r="C10" s="192" t="n">
        <v>265</v>
      </c>
      <c r="E10" s="109" t="inlineStr">
        <is>
          <t>no</t>
        </is>
      </c>
      <c r="F10" s="192" t="n">
        <v>1</v>
      </c>
      <c r="G10" s="192" t="n">
        <v>1</v>
      </c>
      <c r="H10" t="n">
        <v>0</v>
      </c>
      <c r="J10" s="57" t="n"/>
      <c r="K10" s="57" t="n"/>
      <c r="L10" s="57" t="n"/>
      <c r="M10" s="57" t="n"/>
      <c r="N10" s="57" t="n"/>
      <c r="O10" s="57" t="n"/>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c r="A11" s="192" t="inlineStr">
        <is>
          <t>SP-2</t>
        </is>
      </c>
      <c r="B11" s="192" t="inlineStr">
        <is>
          <t>C</t>
        </is>
      </c>
      <c r="C11" s="192" t="n">
        <v>369</v>
      </c>
      <c r="E11" s="109" t="inlineStr">
        <is>
          <t>no</t>
        </is>
      </c>
      <c r="F11" s="192" t="n">
        <v>1</v>
      </c>
      <c r="G11" s="192" t="n">
        <v>1</v>
      </c>
      <c r="H11" t="n">
        <v>0</v>
      </c>
      <c r="J11" s="57" t="n"/>
      <c r="K11" s="57" t="n"/>
      <c r="L11" s="57" t="n"/>
      <c r="M11" s="57" t="n"/>
      <c r="N11" s="57" t="n"/>
      <c r="O11" s="57" t="n"/>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c r="A12" s="192" t="inlineStr">
        <is>
          <t>SP-2</t>
        </is>
      </c>
      <c r="B12" s="192" t="inlineStr">
        <is>
          <t>D</t>
        </is>
      </c>
      <c r="C12" s="192" t="n">
        <v>302</v>
      </c>
      <c r="E12" s="109" t="inlineStr">
        <is>
          <t>no</t>
        </is>
      </c>
      <c r="F12" s="192" t="n">
        <v>1</v>
      </c>
      <c r="G12" s="192" t="n">
        <v>1</v>
      </c>
      <c r="H12" t="n">
        <v>0</v>
      </c>
      <c r="J12" s="57" t="n"/>
      <c r="K12" s="57" t="n"/>
      <c r="L12" s="57" t="n"/>
      <c r="M12" s="57" t="n"/>
      <c r="N12" s="57" t="n"/>
      <c r="O12" s="57" t="n"/>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c r="A13" s="192" t="inlineStr">
        <is>
          <t>SP-2</t>
        </is>
      </c>
      <c r="B13" s="192" t="inlineStr">
        <is>
          <t>E</t>
        </is>
      </c>
      <c r="C13" s="192" t="n">
        <v>364</v>
      </c>
      <c r="E13" s="109" t="inlineStr">
        <is>
          <t>no</t>
        </is>
      </c>
      <c r="F13" s="192" t="n">
        <v>1</v>
      </c>
      <c r="G13" s="192" t="n">
        <v>1</v>
      </c>
      <c r="H13" t="n">
        <v>0</v>
      </c>
      <c r="J13" s="57" t="n"/>
      <c r="K13" s="57" t="n"/>
      <c r="L13" s="57" t="n"/>
      <c r="M13" s="57" t="n"/>
      <c r="N13" s="57" t="n"/>
      <c r="O13" s="57" t="n"/>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c r="A14" s="192" t="inlineStr">
        <is>
          <t>SP-2</t>
        </is>
      </c>
      <c r="B14" s="192" t="inlineStr">
        <is>
          <t>F</t>
        </is>
      </c>
      <c r="C14" s="192" t="n">
        <v>49</v>
      </c>
      <c r="E14" s="109" t="inlineStr">
        <is>
          <t>no</t>
        </is>
      </c>
      <c r="F14" s="192" t="n">
        <v>0</v>
      </c>
      <c r="G14" s="192" t="n">
        <v>1</v>
      </c>
      <c r="H14" t="n">
        <v>0</v>
      </c>
      <c r="J14" s="57" t="n"/>
      <c r="K14" s="57" t="n"/>
      <c r="L14" s="57" t="n"/>
      <c r="M14" s="57" t="n"/>
      <c r="N14" s="57" t="n"/>
      <c r="O14" s="57" t="n"/>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c r="A15" s="192" t="inlineStr">
        <is>
          <t>SP-2</t>
        </is>
      </c>
      <c r="B15" s="192" t="inlineStr">
        <is>
          <t>G</t>
        </is>
      </c>
      <c r="C15" s="192" t="n">
        <v>71</v>
      </c>
      <c r="E15" s="109" t="inlineStr">
        <is>
          <t>no</t>
        </is>
      </c>
      <c r="F15" s="192" t="n">
        <v>0</v>
      </c>
      <c r="G15" s="192" t="n">
        <v>1</v>
      </c>
      <c r="H15" t="n">
        <v>0</v>
      </c>
      <c r="J15" s="57" t="n"/>
      <c r="K15" s="57" t="n"/>
      <c r="L15" s="57" t="n"/>
      <c r="M15" s="57" t="n"/>
      <c r="N15" s="57" t="n"/>
      <c r="O15" s="57" t="n"/>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c r="A16" s="192" t="inlineStr">
        <is>
          <t>SP-2</t>
        </is>
      </c>
      <c r="B16" s="192" t="inlineStr">
        <is>
          <t>H</t>
        </is>
      </c>
      <c r="C16" s="192" t="n">
        <v>296</v>
      </c>
      <c r="E16" s="109" t="inlineStr">
        <is>
          <t>yes</t>
        </is>
      </c>
      <c r="F16" s="192" t="n">
        <v>1</v>
      </c>
      <c r="G16" s="192" t="n">
        <v>2</v>
      </c>
      <c r="H16" t="n">
        <v>0</v>
      </c>
      <c r="J16" s="57" t="n"/>
      <c r="K16" s="57" t="n"/>
      <c r="L16" s="57" t="n"/>
      <c r="M16" s="57" t="n"/>
      <c r="N16" s="57" t="n"/>
      <c r="O16" s="57" t="n"/>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c r="A17" s="192" t="inlineStr">
        <is>
          <t>SP-2</t>
        </is>
      </c>
      <c r="B17" s="192" t="inlineStr">
        <is>
          <t>I</t>
        </is>
      </c>
      <c r="C17" s="192" t="n">
        <v>52</v>
      </c>
      <c r="E17" s="109" t="inlineStr">
        <is>
          <t>no</t>
        </is>
      </c>
      <c r="F17" s="192" t="n">
        <v>0</v>
      </c>
      <c r="G17" s="192" t="n">
        <v>1</v>
      </c>
      <c r="H17" t="n">
        <v>0</v>
      </c>
      <c r="J17" s="57" t="n"/>
      <c r="K17" s="57" t="n"/>
      <c r="L17" s="57" t="n"/>
      <c r="M17" s="57" t="n"/>
      <c r="N17" s="57" t="n"/>
      <c r="O17" s="57" t="n"/>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c r="A18" s="192" t="inlineStr">
        <is>
          <t>SP-2</t>
        </is>
      </c>
      <c r="B18" s="192" t="inlineStr">
        <is>
          <t>J</t>
        </is>
      </c>
      <c r="C18" s="192" t="n">
        <v>162</v>
      </c>
      <c r="E18" s="109" t="inlineStr">
        <is>
          <t>yes</t>
        </is>
      </c>
      <c r="F18" s="192" t="n">
        <v>1</v>
      </c>
      <c r="G18" s="192" t="n">
        <v>2</v>
      </c>
      <c r="H18" t="n">
        <v>0</v>
      </c>
      <c r="J18" s="57" t="n"/>
      <c r="K18" s="57" t="n"/>
      <c r="L18" s="57" t="n"/>
      <c r="M18" s="57" t="n"/>
      <c r="N18" s="57" t="n"/>
      <c r="O18" s="57" t="n"/>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c r="A19" s="192" t="inlineStr">
        <is>
          <t>SP-3</t>
        </is>
      </c>
      <c r="B19" s="192" t="inlineStr">
        <is>
          <t>A</t>
        </is>
      </c>
      <c r="C19" s="192" t="n">
        <v>325</v>
      </c>
      <c r="E19" s="109" t="inlineStr">
        <is>
          <t>no</t>
        </is>
      </c>
      <c r="F19" s="192" t="n">
        <v>1</v>
      </c>
      <c r="G19" s="192" t="n">
        <v>1</v>
      </c>
      <c r="H19" t="n">
        <v>0</v>
      </c>
      <c r="J19" s="57" t="n"/>
      <c r="K19" s="57" t="n"/>
      <c r="L19" s="57" t="n"/>
      <c r="M19" s="57" t="n"/>
      <c r="N19" s="57" t="n"/>
      <c r="O19" s="57" t="n"/>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c r="A20" s="192" t="inlineStr">
        <is>
          <t>SP-3</t>
        </is>
      </c>
      <c r="B20" s="192" t="inlineStr">
        <is>
          <t xml:space="preserve">B </t>
        </is>
      </c>
      <c r="C20" s="192" t="n">
        <v>354</v>
      </c>
      <c r="E20" s="109" t="inlineStr">
        <is>
          <t>no</t>
        </is>
      </c>
      <c r="F20" s="192" t="n">
        <v>1</v>
      </c>
      <c r="G20" s="192" t="n">
        <v>1</v>
      </c>
      <c r="H20" t="n">
        <v>0</v>
      </c>
      <c r="J20" s="57" t="n"/>
      <c r="K20" s="57" t="n"/>
      <c r="L20" s="57" t="n"/>
      <c r="M20" s="57" t="n"/>
      <c r="N20" s="57" t="n"/>
      <c r="O20" s="57" t="n"/>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c r="A21" s="192" t="inlineStr">
        <is>
          <t>SP-3</t>
        </is>
      </c>
      <c r="B21" s="192" t="inlineStr">
        <is>
          <t>C</t>
        </is>
      </c>
      <c r="C21" s="192" t="n">
        <v>197</v>
      </c>
      <c r="E21" s="109" t="inlineStr">
        <is>
          <t>no</t>
        </is>
      </c>
      <c r="F21" s="192" t="n">
        <v>1</v>
      </c>
      <c r="G21" s="192" t="n">
        <v>1</v>
      </c>
      <c r="H21" t="n">
        <v>0</v>
      </c>
      <c r="J21" s="57" t="n"/>
      <c r="K21" s="57" t="n"/>
      <c r="L21" s="57" t="n"/>
      <c r="M21" s="57" t="n"/>
      <c r="N21" s="57" t="n"/>
      <c r="O21" s="57" t="n"/>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c r="A22" s="192" t="inlineStr">
        <is>
          <t>SP-3</t>
        </is>
      </c>
      <c r="B22" s="192" t="inlineStr">
        <is>
          <t>D</t>
        </is>
      </c>
      <c r="C22" s="192" t="n">
        <v>156</v>
      </c>
      <c r="E22" s="109" t="inlineStr">
        <is>
          <t>yes</t>
        </is>
      </c>
      <c r="F22" s="192" t="n">
        <v>1</v>
      </c>
      <c r="G22" s="192" t="n">
        <v>2</v>
      </c>
      <c r="H22" t="n">
        <v>0</v>
      </c>
      <c r="J22" s="57" t="n"/>
      <c r="K22" s="57" t="n"/>
      <c r="L22" s="57" t="n"/>
      <c r="M22" s="57" t="n"/>
      <c r="N22" s="57" t="n"/>
      <c r="O22" s="57" t="n"/>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c r="A23" s="192" t="inlineStr">
        <is>
          <t>SP-3</t>
        </is>
      </c>
      <c r="B23" s="192" t="inlineStr">
        <is>
          <t>E</t>
        </is>
      </c>
      <c r="C23" s="192" t="n">
        <v>46</v>
      </c>
      <c r="E23" s="109" t="inlineStr">
        <is>
          <t>yes</t>
        </is>
      </c>
      <c r="F23" s="192" t="n">
        <v>1</v>
      </c>
      <c r="G23" s="192" t="n">
        <v>2</v>
      </c>
      <c r="H23" t="n">
        <v>0</v>
      </c>
      <c r="J23" s="57" t="n"/>
      <c r="K23" s="57" t="n"/>
      <c r="L23" s="57" t="n"/>
      <c r="M23" s="57" t="n"/>
      <c r="N23" s="57" t="n"/>
      <c r="O23" s="57" t="n"/>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c r="A24" s="192" t="inlineStr">
        <is>
          <t>SP-3</t>
        </is>
      </c>
      <c r="B24" s="192" t="inlineStr">
        <is>
          <t>F</t>
        </is>
      </c>
      <c r="C24" s="192" t="n">
        <v>41</v>
      </c>
      <c r="E24" s="109" t="inlineStr">
        <is>
          <t>no</t>
        </is>
      </c>
      <c r="F24" s="192" t="n">
        <v>0</v>
      </c>
      <c r="G24" s="192" t="n">
        <v>1</v>
      </c>
      <c r="H24" t="n">
        <v>0</v>
      </c>
      <c r="J24" s="57" t="n"/>
      <c r="K24" s="57" t="n"/>
      <c r="L24" s="57" t="n"/>
      <c r="M24" s="57" t="n"/>
      <c r="N24" s="57" t="n"/>
      <c r="O24" s="57" t="n"/>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c r="A25" s="192" t="inlineStr">
        <is>
          <t>SP-3</t>
        </is>
      </c>
      <c r="B25" s="192" t="inlineStr">
        <is>
          <t>G</t>
        </is>
      </c>
      <c r="C25" s="192" t="n">
        <v>331</v>
      </c>
      <c r="E25" s="109" t="inlineStr">
        <is>
          <t>no</t>
        </is>
      </c>
      <c r="F25" s="192" t="n">
        <v>1</v>
      </c>
      <c r="G25" s="192" t="n">
        <v>1</v>
      </c>
      <c r="H25" t="n">
        <v>0</v>
      </c>
      <c r="J25" s="57" t="n"/>
      <c r="K25" s="57" t="n"/>
      <c r="L25" s="57" t="n"/>
      <c r="M25" s="57" t="n"/>
      <c r="N25" s="57" t="n"/>
      <c r="O25" s="57" t="n"/>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c r="A26" s="192" t="inlineStr">
        <is>
          <t>SP-3</t>
        </is>
      </c>
      <c r="B26" s="192" t="inlineStr">
        <is>
          <t>H</t>
        </is>
      </c>
      <c r="C26" s="192" t="n">
        <v>94</v>
      </c>
      <c r="E26" s="109" t="inlineStr">
        <is>
          <t>no</t>
        </is>
      </c>
      <c r="F26" s="192" t="n">
        <v>0</v>
      </c>
      <c r="G26" s="192" t="n">
        <v>1</v>
      </c>
      <c r="H26" t="n">
        <v>0</v>
      </c>
      <c r="J26" s="57" t="n"/>
      <c r="K26" s="57" t="n"/>
      <c r="L26" s="57" t="n"/>
      <c r="M26" s="57" t="n"/>
      <c r="N26" s="57" t="n"/>
      <c r="O26" s="57" t="n"/>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c r="A27" s="192" t="inlineStr">
        <is>
          <t>SP-4</t>
        </is>
      </c>
      <c r="B27" s="192" t="inlineStr">
        <is>
          <t>A</t>
        </is>
      </c>
      <c r="C27" s="192" t="n">
        <v>316</v>
      </c>
      <c r="E27" s="109" t="inlineStr">
        <is>
          <t>no</t>
        </is>
      </c>
      <c r="F27" s="192" t="n">
        <v>1</v>
      </c>
      <c r="G27" s="192" t="n">
        <v>1</v>
      </c>
      <c r="H27" t="n">
        <v>0</v>
      </c>
      <c r="J27" s="57" t="n"/>
      <c r="K27" s="57" t="n"/>
      <c r="L27" s="57" t="n"/>
      <c r="M27" s="57" t="n"/>
      <c r="N27" s="57" t="n"/>
      <c r="O27" s="57" t="n"/>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c r="A28" s="192" t="inlineStr">
        <is>
          <t>SP-5</t>
        </is>
      </c>
      <c r="B28" s="192" t="inlineStr">
        <is>
          <t>A</t>
        </is>
      </c>
      <c r="C28" s="192" t="n">
        <v>91</v>
      </c>
      <c r="E28" s="109" t="inlineStr">
        <is>
          <t>no</t>
        </is>
      </c>
      <c r="F28" s="192" t="n">
        <v>1</v>
      </c>
      <c r="G28" s="192" t="n">
        <v>1</v>
      </c>
      <c r="H28" t="n">
        <v>0</v>
      </c>
      <c r="J28" s="57" t="n"/>
      <c r="K28" s="57" t="n"/>
      <c r="L28" s="57" t="n"/>
      <c r="M28" s="57" t="n"/>
      <c r="N28" s="57" t="n"/>
      <c r="O28" s="57" t="n"/>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c r="A29" s="192" t="inlineStr">
        <is>
          <t>SP-5</t>
        </is>
      </c>
      <c r="B29" s="192" t="inlineStr">
        <is>
          <t xml:space="preserve">B </t>
        </is>
      </c>
      <c r="C29" s="192" t="n">
        <v>53</v>
      </c>
      <c r="E29" s="109" t="inlineStr">
        <is>
          <t>no</t>
        </is>
      </c>
      <c r="F29" s="192" t="n">
        <v>0</v>
      </c>
      <c r="G29" s="192" t="n">
        <v>1</v>
      </c>
      <c r="H29" t="n">
        <v>0</v>
      </c>
      <c r="J29" s="57" t="n"/>
      <c r="K29" s="57" t="n"/>
      <c r="L29" s="57" t="n"/>
      <c r="M29" s="57" t="n"/>
      <c r="N29" s="57" t="n"/>
      <c r="O29" s="57" t="n"/>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c r="A30" s="192" t="inlineStr">
        <is>
          <t>SP-5</t>
        </is>
      </c>
      <c r="B30" s="192" t="inlineStr">
        <is>
          <t>C</t>
        </is>
      </c>
      <c r="C30" s="192" t="n">
        <v>77</v>
      </c>
      <c r="E30" s="109" t="inlineStr">
        <is>
          <t>yes</t>
        </is>
      </c>
      <c r="F30" s="192" t="n">
        <v>1</v>
      </c>
      <c r="G30" s="192" t="n">
        <v>2</v>
      </c>
      <c r="H30" t="n">
        <v>0</v>
      </c>
      <c r="J30" s="57" t="n"/>
      <c r="K30" s="57" t="n"/>
      <c r="L30" s="57" t="n"/>
      <c r="M30" s="57" t="n"/>
      <c r="N30" s="57" t="n"/>
      <c r="O30" s="57" t="n"/>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c r="A31" s="192" t="inlineStr">
        <is>
          <t>SP-5</t>
        </is>
      </c>
      <c r="B31" s="192" t="inlineStr">
        <is>
          <t>D</t>
        </is>
      </c>
      <c r="C31" s="192" t="n">
        <v>211</v>
      </c>
      <c r="E31" s="109" t="inlineStr">
        <is>
          <t>no</t>
        </is>
      </c>
      <c r="F31" s="192" t="n">
        <v>1</v>
      </c>
      <c r="G31" s="192" t="n">
        <v>1</v>
      </c>
      <c r="H31" t="n">
        <v>0</v>
      </c>
      <c r="J31" s="57" t="n"/>
      <c r="K31" s="57" t="n"/>
      <c r="L31" s="57" t="n"/>
      <c r="M31" s="57" t="n"/>
      <c r="N31" s="57" t="n"/>
      <c r="O31" s="57" t="n"/>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c r="A32" s="192" t="inlineStr">
        <is>
          <t>SP-5</t>
        </is>
      </c>
      <c r="B32" s="192" t="inlineStr">
        <is>
          <t>E</t>
        </is>
      </c>
      <c r="C32" s="192" t="n">
        <v>288</v>
      </c>
      <c r="E32" s="109" t="inlineStr">
        <is>
          <t>no</t>
        </is>
      </c>
      <c r="F32" s="192" t="n">
        <v>0</v>
      </c>
      <c r="G32" s="192" t="n">
        <v>1</v>
      </c>
      <c r="H32" t="n">
        <v>0</v>
      </c>
      <c r="J32" s="57" t="n"/>
      <c r="K32" s="57" t="n"/>
      <c r="L32" s="57" t="n"/>
      <c r="M32" s="57" t="n"/>
      <c r="N32" s="57" t="n"/>
      <c r="O32" s="57" t="n"/>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c r="A33" s="192" t="inlineStr">
        <is>
          <t>SP-5</t>
        </is>
      </c>
      <c r="B33" s="192" t="inlineStr">
        <is>
          <t>F</t>
        </is>
      </c>
      <c r="C33" s="192" t="n">
        <v>93</v>
      </c>
      <c r="E33" s="109" t="inlineStr">
        <is>
          <t>no</t>
        </is>
      </c>
      <c r="F33" s="192" t="n">
        <v>0</v>
      </c>
      <c r="G33" s="192" t="n">
        <v>1</v>
      </c>
      <c r="H33" t="n">
        <v>0</v>
      </c>
      <c r="J33" s="57" t="n"/>
      <c r="K33" s="57" t="n"/>
      <c r="L33" s="57" t="n"/>
      <c r="M33" s="57" t="n"/>
      <c r="N33" s="57" t="n"/>
      <c r="O33" s="57" t="n"/>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c r="A34" s="192" t="inlineStr">
        <is>
          <t>SP-5</t>
        </is>
      </c>
      <c r="B34" s="192" t="inlineStr">
        <is>
          <t>G</t>
        </is>
      </c>
      <c r="C34" s="192" t="n">
        <v>40</v>
      </c>
      <c r="E34" s="109" t="inlineStr">
        <is>
          <t>no</t>
        </is>
      </c>
      <c r="F34" s="192" t="n">
        <v>0</v>
      </c>
      <c r="G34" s="192" t="n">
        <v>1</v>
      </c>
      <c r="H34" t="n">
        <v>0</v>
      </c>
      <c r="J34" s="57" t="n"/>
      <c r="K34" s="57" t="n"/>
      <c r="L34" s="57" t="n"/>
      <c r="M34" s="57" t="n"/>
      <c r="N34" s="57" t="n"/>
      <c r="O34" s="57" t="n"/>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c r="A35" s="192" t="inlineStr">
        <is>
          <t>SP-6</t>
        </is>
      </c>
      <c r="B35" s="192" t="inlineStr">
        <is>
          <t>A</t>
        </is>
      </c>
      <c r="C35" s="192" t="n">
        <v>31</v>
      </c>
      <c r="E35" s="109" t="inlineStr">
        <is>
          <t>yes</t>
        </is>
      </c>
      <c r="F35" s="192" t="n">
        <v>1</v>
      </c>
      <c r="G35" s="192" t="n">
        <v>2</v>
      </c>
      <c r="H35" t="n">
        <v>0</v>
      </c>
      <c r="J35" s="57" t="n"/>
      <c r="K35" s="57" t="n"/>
      <c r="L35" s="57" t="n"/>
      <c r="M35" s="57" t="n"/>
      <c r="N35" s="57" t="n"/>
      <c r="O35" s="57" t="n"/>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c r="A36" s="192" t="inlineStr">
        <is>
          <t>SP-6</t>
        </is>
      </c>
      <c r="B36" s="192" t="inlineStr">
        <is>
          <t xml:space="preserve">B </t>
        </is>
      </c>
      <c r="C36" s="192" t="n">
        <v>391</v>
      </c>
      <c r="E36" s="109" t="inlineStr">
        <is>
          <t>no</t>
        </is>
      </c>
      <c r="F36" s="192" t="n">
        <v>1</v>
      </c>
      <c r="G36" s="192" t="n">
        <v>1</v>
      </c>
      <c r="H36" t="n">
        <v>0</v>
      </c>
      <c r="J36" s="57" t="n"/>
      <c r="K36" s="57" t="n"/>
      <c r="L36" s="57" t="n"/>
      <c r="M36" s="57" t="n"/>
      <c r="N36" s="57" t="n"/>
      <c r="O36" s="57" t="n"/>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c r="A37" s="192" t="inlineStr">
        <is>
          <t>SP-6</t>
        </is>
      </c>
      <c r="B37" s="192" t="inlineStr">
        <is>
          <t>C</t>
        </is>
      </c>
      <c r="C37" s="192" t="n">
        <v>63</v>
      </c>
      <c r="E37" s="109" t="inlineStr">
        <is>
          <t>yes</t>
        </is>
      </c>
      <c r="F37" s="192" t="n">
        <v>1</v>
      </c>
      <c r="G37" s="192" t="n">
        <v>2</v>
      </c>
      <c r="H37" t="n">
        <v>0</v>
      </c>
      <c r="J37" s="57" t="n"/>
      <c r="K37" s="57" t="n"/>
      <c r="L37" s="57" t="n"/>
      <c r="M37" s="57" t="n"/>
      <c r="N37" s="57" t="n"/>
      <c r="O37" s="57" t="n"/>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c r="A38" s="192" t="inlineStr">
        <is>
          <t>SP-6</t>
        </is>
      </c>
      <c r="B38" s="192" t="inlineStr">
        <is>
          <t>D</t>
        </is>
      </c>
      <c r="C38" s="192" t="n">
        <v>78</v>
      </c>
      <c r="E38" s="109" t="inlineStr">
        <is>
          <t>yes</t>
        </is>
      </c>
      <c r="F38" s="192" t="n">
        <v>1</v>
      </c>
      <c r="G38" s="192" t="n">
        <v>2</v>
      </c>
      <c r="H38" t="n">
        <v>0</v>
      </c>
      <c r="J38" s="57" t="n"/>
      <c r="K38" s="57" t="n"/>
      <c r="L38" s="57" t="n"/>
      <c r="M38" s="57" t="n"/>
      <c r="N38" s="57" t="n"/>
      <c r="O38" s="57" t="n"/>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c r="A39" s="192" t="inlineStr">
        <is>
          <t>SP-6</t>
        </is>
      </c>
      <c r="B39" s="192" t="inlineStr">
        <is>
          <t>E</t>
        </is>
      </c>
      <c r="C39" s="192" t="n">
        <v>52</v>
      </c>
      <c r="E39" s="109" t="inlineStr">
        <is>
          <t>no</t>
        </is>
      </c>
      <c r="F39" s="192" t="n">
        <v>0</v>
      </c>
      <c r="G39" s="192" t="n">
        <v>1</v>
      </c>
      <c r="H39" t="n">
        <v>0</v>
      </c>
      <c r="J39" s="57" t="n"/>
      <c r="K39" s="57" t="n"/>
      <c r="L39" s="57" t="n"/>
      <c r="M39" s="57" t="n"/>
      <c r="N39" s="57" t="n"/>
      <c r="O39" s="57" t="n"/>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c r="A40" s="192" t="inlineStr">
        <is>
          <t>SP-6</t>
        </is>
      </c>
      <c r="B40" s="192" t="inlineStr">
        <is>
          <t>F</t>
        </is>
      </c>
      <c r="C40" s="192" t="n">
        <v>440</v>
      </c>
      <c r="E40" s="109" t="inlineStr">
        <is>
          <t>no</t>
        </is>
      </c>
      <c r="F40" s="192" t="n">
        <v>1</v>
      </c>
      <c r="G40" s="192" t="n">
        <v>1</v>
      </c>
      <c r="H40" t="n">
        <v>0</v>
      </c>
      <c r="J40" s="57" t="n"/>
      <c r="K40" s="57" t="n"/>
      <c r="L40" s="57" t="n"/>
      <c r="M40" s="57" t="n"/>
      <c r="N40" s="57" t="n"/>
      <c r="O40" s="57" t="n"/>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c r="A41" s="192" t="inlineStr">
        <is>
          <t>SP-6</t>
        </is>
      </c>
      <c r="B41" s="192" t="inlineStr">
        <is>
          <t>G</t>
        </is>
      </c>
      <c r="C41" s="192" t="n">
        <v>271</v>
      </c>
      <c r="E41" s="109" t="inlineStr">
        <is>
          <t>no</t>
        </is>
      </c>
      <c r="F41" s="192" t="n">
        <v>0</v>
      </c>
      <c r="G41" s="192" t="n">
        <v>1</v>
      </c>
      <c r="H41" t="n">
        <v>0</v>
      </c>
      <c r="J41" s="57" t="n"/>
      <c r="K41" s="57" t="n"/>
      <c r="L41" s="57" t="n"/>
      <c r="M41" s="57" t="n"/>
      <c r="N41" s="57" t="n"/>
      <c r="O41" s="57" t="n"/>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c r="A42" s="192" t="inlineStr">
        <is>
          <t>SP-6</t>
        </is>
      </c>
      <c r="B42" s="192" t="inlineStr">
        <is>
          <t>H</t>
        </is>
      </c>
      <c r="C42" s="192" t="n">
        <v>104</v>
      </c>
      <c r="E42" s="109" t="inlineStr">
        <is>
          <t>no</t>
        </is>
      </c>
      <c r="F42" s="192" t="n">
        <v>0</v>
      </c>
      <c r="G42" s="192" t="n">
        <v>1</v>
      </c>
      <c r="H42" t="n">
        <v>0</v>
      </c>
      <c r="J42" s="57" t="n"/>
      <c r="K42" s="57" t="n"/>
      <c r="L42" s="57" t="n"/>
      <c r="M42" s="57" t="n"/>
      <c r="N42" s="57" t="n"/>
      <c r="O42" s="57" t="n"/>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c r="A43" s="192" t="inlineStr">
        <is>
          <t>SP-6</t>
        </is>
      </c>
      <c r="B43" s="192" t="inlineStr">
        <is>
          <t>I</t>
        </is>
      </c>
      <c r="C43" s="192" t="n">
        <v>87</v>
      </c>
      <c r="E43" s="109" t="inlineStr">
        <is>
          <t>no</t>
        </is>
      </c>
      <c r="F43" s="192" t="n">
        <v>0</v>
      </c>
      <c r="G43" s="192" t="n">
        <v>1</v>
      </c>
      <c r="H43" t="n">
        <v>0</v>
      </c>
      <c r="J43" s="57" t="n"/>
      <c r="K43" s="57" t="n"/>
      <c r="L43" s="57" t="n"/>
      <c r="M43" s="57" t="n"/>
      <c r="N43" s="57" t="n"/>
      <c r="O43" s="57" t="n"/>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c r="A44" s="192" t="inlineStr">
        <is>
          <t>SP-6</t>
        </is>
      </c>
      <c r="B44" s="192" t="inlineStr">
        <is>
          <t>J</t>
        </is>
      </c>
      <c r="C44" s="192" t="n">
        <v>210</v>
      </c>
      <c r="E44" s="109" t="inlineStr">
        <is>
          <t>no</t>
        </is>
      </c>
      <c r="F44" s="192" t="n">
        <v>1</v>
      </c>
      <c r="G44" s="192" t="n">
        <v>1</v>
      </c>
      <c r="H44" t="n">
        <v>0</v>
      </c>
      <c r="J44" s="57" t="n"/>
      <c r="K44" s="57" t="n"/>
      <c r="L44" s="57" t="n"/>
      <c r="M44" s="57" t="n"/>
      <c r="N44" s="57" t="n"/>
      <c r="O44" s="57" t="n"/>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c r="A45" s="192" t="inlineStr">
        <is>
          <t>SP-6</t>
        </is>
      </c>
      <c r="B45" s="192" t="inlineStr">
        <is>
          <t>K</t>
        </is>
      </c>
      <c r="C45" s="192" t="n">
        <v>218</v>
      </c>
      <c r="E45" s="109" t="inlineStr">
        <is>
          <t>no</t>
        </is>
      </c>
      <c r="F45" s="192" t="n">
        <v>0</v>
      </c>
      <c r="G45" s="192" t="n">
        <v>1</v>
      </c>
      <c r="H45" t="n">
        <v>0</v>
      </c>
      <c r="J45" s="57" t="n"/>
      <c r="K45" s="57" t="n"/>
      <c r="L45" s="57" t="n"/>
      <c r="M45" s="57" t="n"/>
      <c r="N45" s="57" t="n"/>
      <c r="O45" s="57" t="n"/>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c r="A46" s="192" t="inlineStr">
        <is>
          <t>SP-6</t>
        </is>
      </c>
      <c r="B46" s="192" t="inlineStr">
        <is>
          <t>L</t>
        </is>
      </c>
      <c r="C46" s="192" t="n">
        <v>102</v>
      </c>
      <c r="E46" s="109" t="inlineStr">
        <is>
          <t>no</t>
        </is>
      </c>
      <c r="F46" s="192" t="n">
        <v>0</v>
      </c>
      <c r="G46" s="192" t="n">
        <v>1</v>
      </c>
      <c r="H46" t="n">
        <v>0</v>
      </c>
      <c r="J46" s="57" t="n"/>
      <c r="K46" s="57" t="n"/>
      <c r="L46" s="57" t="n"/>
      <c r="M46" s="57" t="n"/>
      <c r="N46" s="57" t="n"/>
      <c r="O46" s="57" t="n"/>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c r="A47" s="192" t="inlineStr">
        <is>
          <t>SP-7</t>
        </is>
      </c>
      <c r="B47" s="192" t="inlineStr">
        <is>
          <t>A</t>
        </is>
      </c>
      <c r="C47" s="192" t="n">
        <v>348</v>
      </c>
      <c r="E47" s="109" t="inlineStr">
        <is>
          <t>no</t>
        </is>
      </c>
      <c r="F47" s="192" t="n">
        <v>1</v>
      </c>
      <c r="G47" s="192" t="n">
        <v>1</v>
      </c>
      <c r="H47" t="n">
        <v>0</v>
      </c>
      <c r="J47" s="57" t="n"/>
      <c r="K47" s="57" t="n"/>
      <c r="L47" s="57" t="n"/>
      <c r="M47" s="57" t="n"/>
      <c r="N47" s="57" t="n"/>
      <c r="O47" s="57" t="n"/>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c r="A48" s="192" t="inlineStr">
        <is>
          <t>SP-7</t>
        </is>
      </c>
      <c r="B48" s="192" t="inlineStr">
        <is>
          <t xml:space="preserve">B </t>
        </is>
      </c>
      <c r="C48" s="192" t="n">
        <v>76</v>
      </c>
      <c r="E48" s="109" t="inlineStr">
        <is>
          <t>no</t>
        </is>
      </c>
      <c r="F48" s="192" t="n">
        <v>0</v>
      </c>
      <c r="G48" s="192" t="n">
        <v>1</v>
      </c>
      <c r="H48" t="n">
        <v>0</v>
      </c>
      <c r="J48" s="57" t="n"/>
      <c r="K48" s="57" t="n"/>
      <c r="L48" s="57" t="n"/>
      <c r="M48" s="57" t="n"/>
      <c r="N48" s="57" t="n"/>
      <c r="O48" s="57" t="n"/>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c r="A49" s="192" t="inlineStr">
        <is>
          <t>SP-7</t>
        </is>
      </c>
      <c r="B49" s="192" t="inlineStr">
        <is>
          <t>C</t>
        </is>
      </c>
      <c r="C49" s="192" t="n">
        <v>117</v>
      </c>
      <c r="E49" s="109" t="inlineStr">
        <is>
          <t>no</t>
        </is>
      </c>
      <c r="F49" s="192" t="n">
        <v>0</v>
      </c>
      <c r="G49" s="192" t="n">
        <v>1</v>
      </c>
      <c r="H49" t="n">
        <v>0</v>
      </c>
      <c r="J49" s="57" t="n"/>
      <c r="K49" s="57" t="n"/>
      <c r="L49" s="57" t="n"/>
      <c r="M49" s="57" t="n"/>
      <c r="N49" s="57" t="n"/>
      <c r="O49" s="57" t="n"/>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c r="A50" s="192" t="inlineStr">
        <is>
          <t>SP-7</t>
        </is>
      </c>
      <c r="B50" s="192" t="inlineStr">
        <is>
          <t>D</t>
        </is>
      </c>
      <c r="C50" s="192" t="n">
        <v>44</v>
      </c>
      <c r="E50" s="109" t="inlineStr">
        <is>
          <t>no</t>
        </is>
      </c>
      <c r="F50" s="192" t="n">
        <v>0</v>
      </c>
      <c r="G50" s="192" t="n">
        <v>1</v>
      </c>
      <c r="H50" t="n">
        <v>0</v>
      </c>
      <c r="J50" s="57" t="n"/>
      <c r="K50" s="57" t="n"/>
      <c r="L50" s="57" t="n"/>
      <c r="M50" s="57" t="n"/>
      <c r="N50" s="57" t="n"/>
      <c r="O50" s="57" t="n"/>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c r="A51" s="192" t="inlineStr">
        <is>
          <t>SP-7</t>
        </is>
      </c>
      <c r="B51" s="192" t="inlineStr">
        <is>
          <t>E</t>
        </is>
      </c>
      <c r="C51" s="192" t="n">
        <v>16</v>
      </c>
      <c r="E51" s="109" t="inlineStr">
        <is>
          <t>no</t>
        </is>
      </c>
      <c r="F51" s="192" t="n">
        <v>0</v>
      </c>
      <c r="G51" s="192" t="n">
        <v>1</v>
      </c>
      <c r="H51" t="n">
        <v>0</v>
      </c>
      <c r="J51" s="57" t="n"/>
      <c r="K51" s="57" t="n"/>
      <c r="L51" s="57" t="n"/>
      <c r="M51" s="57" t="n"/>
      <c r="N51" s="57" t="n"/>
      <c r="O51" s="57" t="n"/>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c r="A52" s="192" t="inlineStr">
        <is>
          <t>SP-7</t>
        </is>
      </c>
      <c r="B52" s="192" t="inlineStr">
        <is>
          <t>F</t>
        </is>
      </c>
      <c r="C52" s="192" t="n">
        <v>125</v>
      </c>
      <c r="E52" s="109" t="inlineStr">
        <is>
          <t>no</t>
        </is>
      </c>
      <c r="F52" s="192" t="n">
        <v>1</v>
      </c>
      <c r="G52" s="192" t="n">
        <v>1</v>
      </c>
      <c r="H52" t="n">
        <v>0</v>
      </c>
      <c r="J52" s="57" t="n"/>
      <c r="K52" s="57" t="n"/>
      <c r="L52" s="57" t="n"/>
      <c r="M52" s="57" t="n"/>
      <c r="N52" s="57" t="n"/>
      <c r="O52" s="57" t="n"/>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c r="A53" s="192" t="inlineStr">
        <is>
          <t>SP-7</t>
        </is>
      </c>
      <c r="B53" s="192" t="inlineStr">
        <is>
          <t>G</t>
        </is>
      </c>
      <c r="C53" s="192" t="n">
        <v>24</v>
      </c>
      <c r="E53" s="109" t="inlineStr">
        <is>
          <t>no</t>
        </is>
      </c>
      <c r="F53" s="192" t="n">
        <v>1</v>
      </c>
      <c r="G53" s="192" t="n">
        <v>1</v>
      </c>
      <c r="H53" t="n">
        <v>0</v>
      </c>
      <c r="J53" s="57" t="n"/>
      <c r="K53" s="57" t="n"/>
      <c r="L53" s="57" t="n"/>
      <c r="M53" s="57" t="n"/>
      <c r="N53" s="57" t="n"/>
      <c r="O53" s="57" t="n"/>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c r="A54" s="192" t="inlineStr">
        <is>
          <t>SP-7</t>
        </is>
      </c>
      <c r="B54" s="192" t="inlineStr">
        <is>
          <t>H</t>
        </is>
      </c>
      <c r="C54" s="192" t="n">
        <v>41</v>
      </c>
      <c r="E54" s="109" t="inlineStr">
        <is>
          <t>no</t>
        </is>
      </c>
      <c r="F54" s="192" t="n">
        <v>0</v>
      </c>
      <c r="G54" s="192" t="n">
        <v>1</v>
      </c>
      <c r="H54" t="n">
        <v>0</v>
      </c>
      <c r="J54" s="57" t="n"/>
      <c r="K54" s="57" t="n"/>
      <c r="L54" s="57" t="n"/>
      <c r="M54" s="57" t="n"/>
      <c r="N54" s="57" t="n"/>
      <c r="O54" s="57" t="n"/>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c r="A55" s="192" t="inlineStr">
        <is>
          <t>SP-7</t>
        </is>
      </c>
      <c r="B55" s="192" t="inlineStr">
        <is>
          <t>I</t>
        </is>
      </c>
      <c r="C55" s="192" t="n">
        <v>115</v>
      </c>
      <c r="E55" s="109" t="inlineStr">
        <is>
          <t>no</t>
        </is>
      </c>
      <c r="F55" s="192" t="n">
        <v>0</v>
      </c>
      <c r="G55" s="192" t="n">
        <v>1</v>
      </c>
      <c r="H55" t="n">
        <v>0</v>
      </c>
      <c r="J55" s="57" t="n"/>
      <c r="K55" s="57" t="n"/>
      <c r="L55" s="57" t="n"/>
      <c r="M55" s="57" t="n"/>
      <c r="N55" s="57" t="n"/>
      <c r="O55" s="57" t="n"/>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c r="A56" s="192" t="inlineStr">
        <is>
          <t>SP-7</t>
        </is>
      </c>
      <c r="B56" s="192" t="inlineStr">
        <is>
          <t>J</t>
        </is>
      </c>
      <c r="C56" s="192" t="n">
        <v>45</v>
      </c>
      <c r="E56" s="109" t="inlineStr">
        <is>
          <t>no</t>
        </is>
      </c>
      <c r="F56" s="192" t="n">
        <v>0</v>
      </c>
      <c r="G56" s="192" t="n">
        <v>1</v>
      </c>
      <c r="H56" t="n">
        <v>0</v>
      </c>
      <c r="J56" s="57" t="n"/>
      <c r="K56" s="57" t="n"/>
      <c r="L56" s="57" t="n"/>
      <c r="M56" s="57" t="n"/>
      <c r="N56" s="57" t="n"/>
      <c r="O56" s="57" t="n"/>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c r="A57" s="192" t="inlineStr">
        <is>
          <t>SP-7</t>
        </is>
      </c>
      <c r="B57" s="192" t="inlineStr">
        <is>
          <t>K</t>
        </is>
      </c>
      <c r="C57" s="192" t="n">
        <v>136</v>
      </c>
      <c r="E57" s="109" t="inlineStr">
        <is>
          <t>no</t>
        </is>
      </c>
      <c r="F57" s="192" t="n">
        <v>0</v>
      </c>
      <c r="G57" s="192" t="n">
        <v>1</v>
      </c>
      <c r="H57" t="n">
        <v>0</v>
      </c>
      <c r="J57" s="57" t="n"/>
      <c r="K57" s="57" t="n"/>
      <c r="L57" s="57" t="n"/>
      <c r="M57" s="57" t="n"/>
      <c r="N57" s="57" t="n"/>
      <c r="O57" s="57" t="n"/>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c r="A58" s="192" t="inlineStr">
        <is>
          <t>SP-7</t>
        </is>
      </c>
      <c r="B58" s="192" t="inlineStr">
        <is>
          <t>L</t>
        </is>
      </c>
      <c r="C58" s="192" t="n">
        <v>8</v>
      </c>
      <c r="E58" s="109" t="inlineStr">
        <is>
          <t>yes</t>
        </is>
      </c>
      <c r="F58" s="192" t="n">
        <v>1</v>
      </c>
      <c r="G58" s="192" t="n">
        <v>2</v>
      </c>
      <c r="H58" t="n">
        <v>0</v>
      </c>
      <c r="J58" s="57" t="n"/>
      <c r="K58" s="57" t="n"/>
      <c r="L58" s="57" t="n"/>
      <c r="M58" s="57" t="n"/>
      <c r="N58" s="57" t="n"/>
      <c r="O58" s="57" t="n"/>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c r="A59" s="192" t="inlineStr">
        <is>
          <t>SP-7</t>
        </is>
      </c>
      <c r="B59" s="192" t="inlineStr">
        <is>
          <t>M</t>
        </is>
      </c>
      <c r="C59" s="192" t="n">
        <v>41</v>
      </c>
      <c r="E59" s="109" t="inlineStr">
        <is>
          <t>no</t>
        </is>
      </c>
      <c r="F59" s="192" t="n">
        <v>0</v>
      </c>
      <c r="G59" s="192" t="n">
        <v>1</v>
      </c>
      <c r="H59" t="n">
        <v>0</v>
      </c>
      <c r="J59" s="57" t="n"/>
      <c r="K59" s="57" t="n"/>
      <c r="L59" s="57" t="n"/>
      <c r="M59" s="57" t="n"/>
      <c r="N59" s="57" t="n"/>
      <c r="O59" s="57" t="n"/>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c r="A60" s="192" t="inlineStr">
        <is>
          <t>SP-7</t>
        </is>
      </c>
      <c r="B60" s="192" t="inlineStr">
        <is>
          <t>N</t>
        </is>
      </c>
      <c r="C60" s="192" t="n">
        <v>51</v>
      </c>
      <c r="E60" s="109" t="inlineStr">
        <is>
          <t>no</t>
        </is>
      </c>
      <c r="F60" s="192" t="n">
        <v>0</v>
      </c>
      <c r="G60" s="192" t="n">
        <v>1</v>
      </c>
      <c r="H60" t="n">
        <v>0</v>
      </c>
      <c r="J60" s="57" t="n"/>
      <c r="K60" s="57" t="n"/>
      <c r="L60" s="57" t="n"/>
      <c r="M60" s="57" t="n"/>
      <c r="N60" s="57" t="n"/>
      <c r="O60" s="57" t="n"/>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c r="A61" s="192" t="inlineStr">
        <is>
          <t>SP-7</t>
        </is>
      </c>
      <c r="B61" s="192" t="inlineStr">
        <is>
          <t>O</t>
        </is>
      </c>
      <c r="C61" s="192" t="n">
        <v>136</v>
      </c>
      <c r="E61" s="109" t="inlineStr">
        <is>
          <t>no</t>
        </is>
      </c>
      <c r="F61" s="192" t="n">
        <v>1</v>
      </c>
      <c r="G61" s="192" t="n">
        <v>1</v>
      </c>
      <c r="H61" t="n">
        <v>0</v>
      </c>
      <c r="J61" s="57" t="n"/>
      <c r="K61" s="57" t="n"/>
      <c r="L61" s="57" t="n"/>
      <c r="M61" s="57" t="n"/>
      <c r="N61" s="57" t="n"/>
      <c r="O61" s="57" t="n"/>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c r="A62" s="192" t="inlineStr">
        <is>
          <t>SP-7</t>
        </is>
      </c>
      <c r="B62" s="192" t="inlineStr">
        <is>
          <t>P</t>
        </is>
      </c>
      <c r="C62" s="192" t="n">
        <v>140</v>
      </c>
      <c r="E62" s="109" t="inlineStr">
        <is>
          <t>yes</t>
        </is>
      </c>
      <c r="F62" s="192" t="n">
        <v>1</v>
      </c>
      <c r="G62" s="192" t="n">
        <v>2</v>
      </c>
      <c r="H62" t="n">
        <v>0</v>
      </c>
      <c r="J62" s="57" t="n"/>
      <c r="K62" s="57" t="n"/>
      <c r="L62" s="57" t="n"/>
      <c r="M62" s="57" t="n"/>
      <c r="N62" s="57" t="n"/>
      <c r="O62" s="57" t="n"/>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c r="A63" s="192" t="inlineStr">
        <is>
          <t>SP-7</t>
        </is>
      </c>
      <c r="B63" s="192" t="inlineStr">
        <is>
          <t>Q</t>
        </is>
      </c>
      <c r="C63" s="192" t="n">
        <v>126</v>
      </c>
      <c r="E63" s="109" t="inlineStr">
        <is>
          <t>no</t>
        </is>
      </c>
      <c r="F63" s="192" t="n">
        <v>1</v>
      </c>
      <c r="G63" s="192" t="n">
        <v>1</v>
      </c>
      <c r="H63" t="n">
        <v>0</v>
      </c>
      <c r="J63" s="57" t="n"/>
      <c r="K63" s="57" t="n"/>
      <c r="L63" s="57" t="n"/>
      <c r="M63" s="57" t="n"/>
      <c r="N63" s="57" t="n"/>
      <c r="O63" s="57" t="n"/>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c r="A64" s="192" t="inlineStr">
        <is>
          <t>SP-7</t>
        </is>
      </c>
      <c r="B64" s="192" t="inlineStr">
        <is>
          <t>R</t>
        </is>
      </c>
      <c r="C64" s="192" t="n">
        <v>75</v>
      </c>
      <c r="E64" s="109" t="inlineStr">
        <is>
          <t>yes</t>
        </is>
      </c>
      <c r="F64" s="192" t="n">
        <v>1</v>
      </c>
      <c r="G64" s="192" t="n">
        <v>2</v>
      </c>
      <c r="H64" t="n">
        <v>0</v>
      </c>
      <c r="J64" s="57" t="n"/>
      <c r="K64" s="57" t="n"/>
      <c r="L64" s="57" t="n"/>
      <c r="M64" s="57" t="n"/>
      <c r="N64" s="57" t="n"/>
      <c r="O64" s="57" t="n"/>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c r="A65" s="192" t="inlineStr">
        <is>
          <t>SP-7</t>
        </is>
      </c>
      <c r="B65" s="192" t="inlineStr">
        <is>
          <t>S</t>
        </is>
      </c>
      <c r="C65" s="192" t="n">
        <v>154</v>
      </c>
      <c r="E65" s="109" t="inlineStr">
        <is>
          <t>no</t>
        </is>
      </c>
      <c r="F65" s="192" t="n">
        <v>1</v>
      </c>
      <c r="G65" s="192" t="n">
        <v>1</v>
      </c>
      <c r="H65" t="n">
        <v>0</v>
      </c>
      <c r="J65" s="57" t="n"/>
      <c r="K65" s="57" t="n"/>
      <c r="L65" s="57" t="n"/>
      <c r="M65" s="57" t="n"/>
      <c r="N65" s="57" t="n"/>
      <c r="O65" s="57" t="n"/>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c r="A66" s="192" t="inlineStr">
        <is>
          <t>SP-7</t>
        </is>
      </c>
      <c r="B66" s="192" t="inlineStr">
        <is>
          <t>T</t>
        </is>
      </c>
      <c r="C66" s="192" t="n">
        <v>44</v>
      </c>
      <c r="E66" s="109" t="inlineStr">
        <is>
          <t>no</t>
        </is>
      </c>
      <c r="F66" s="192" t="n">
        <v>0</v>
      </c>
      <c r="G66" s="192" t="n">
        <v>1</v>
      </c>
      <c r="H66" t="n">
        <v>0</v>
      </c>
      <c r="J66" s="57" t="n"/>
      <c r="K66" s="57" t="n"/>
      <c r="L66" s="57" t="n"/>
      <c r="M66" s="57" t="n"/>
      <c r="N66" s="57" t="n"/>
      <c r="O66" s="57" t="n"/>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c r="A67" s="192" t="inlineStr">
        <is>
          <t>SP-7</t>
        </is>
      </c>
      <c r="B67" s="192" t="inlineStr">
        <is>
          <t>U</t>
        </is>
      </c>
      <c r="C67" s="192" t="n">
        <v>9</v>
      </c>
      <c r="E67" s="109" t="inlineStr">
        <is>
          <t>no</t>
        </is>
      </c>
      <c r="F67" s="192" t="n">
        <v>0</v>
      </c>
      <c r="G67" s="192" t="n">
        <v>1</v>
      </c>
      <c r="H67" t="n">
        <v>0</v>
      </c>
      <c r="J67" s="57" t="n"/>
      <c r="K67" s="57" t="n"/>
      <c r="L67" s="57" t="n"/>
      <c r="M67" s="57" t="n"/>
      <c r="N67" s="57" t="n"/>
      <c r="O67" s="57" t="n"/>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c r="A68" s="192" t="inlineStr">
        <is>
          <t>SP-7</t>
        </is>
      </c>
      <c r="B68" s="192" t="inlineStr">
        <is>
          <t>V</t>
        </is>
      </c>
      <c r="C68" s="192" t="n">
        <v>157</v>
      </c>
      <c r="E68" s="109" t="inlineStr">
        <is>
          <t>no</t>
        </is>
      </c>
      <c r="F68" s="192" t="n">
        <v>1</v>
      </c>
      <c r="G68" s="192" t="n">
        <v>1</v>
      </c>
      <c r="H68" t="n">
        <v>0</v>
      </c>
      <c r="J68" s="57" t="n"/>
      <c r="K68" s="57" t="n"/>
      <c r="L68" s="57" t="n"/>
      <c r="M68" s="57" t="n"/>
      <c r="N68" s="57" t="n"/>
      <c r="O68" s="57" t="n"/>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c r="A69" s="192" t="inlineStr">
        <is>
          <t>SP-7</t>
        </is>
      </c>
      <c r="B69" s="192" t="inlineStr">
        <is>
          <t>W</t>
        </is>
      </c>
      <c r="C69" s="192" t="n">
        <v>41</v>
      </c>
      <c r="E69" s="109" t="inlineStr">
        <is>
          <t>no</t>
        </is>
      </c>
      <c r="F69" s="192" t="n">
        <v>0</v>
      </c>
      <c r="G69" s="192" t="n">
        <v>1</v>
      </c>
      <c r="H69" t="n">
        <v>0</v>
      </c>
      <c r="J69" s="57" t="n"/>
      <c r="K69" s="57" t="n"/>
      <c r="L69" s="57" t="n"/>
      <c r="M69" s="57" t="n"/>
      <c r="N69" s="57" t="n"/>
      <c r="O69" s="57" t="n"/>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c r="A70" s="192" t="inlineStr">
        <is>
          <t>SP-7</t>
        </is>
      </c>
      <c r="B70" s="192" t="inlineStr">
        <is>
          <t>X</t>
        </is>
      </c>
      <c r="C70" s="192" t="n">
        <v>19</v>
      </c>
      <c r="E70" s="109" t="inlineStr">
        <is>
          <t>no</t>
        </is>
      </c>
      <c r="F70" s="192" t="n">
        <v>0</v>
      </c>
      <c r="G70" s="192" t="n">
        <v>1</v>
      </c>
      <c r="H70" t="n">
        <v>0</v>
      </c>
      <c r="J70" s="57" t="n"/>
      <c r="K70" s="57" t="n"/>
      <c r="L70" s="57" t="n"/>
      <c r="M70" s="57" t="n"/>
      <c r="N70" s="57" t="n"/>
      <c r="O70" s="57" t="n"/>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c r="A71" s="192" t="inlineStr">
        <is>
          <t>SP-7</t>
        </is>
      </c>
      <c r="B71" s="192" t="inlineStr">
        <is>
          <t>Y</t>
        </is>
      </c>
      <c r="C71" s="192" t="n">
        <v>11</v>
      </c>
      <c r="E71" s="109" t="inlineStr">
        <is>
          <t>no</t>
        </is>
      </c>
      <c r="F71" s="192" t="n">
        <v>0</v>
      </c>
      <c r="G71" s="192" t="n">
        <v>1</v>
      </c>
      <c r="H71" t="n">
        <v>0</v>
      </c>
      <c r="J71" s="57" t="n"/>
      <c r="K71" s="57" t="n"/>
      <c r="L71" s="57" t="n"/>
      <c r="M71" s="57" t="n"/>
      <c r="N71" s="57" t="n"/>
      <c r="O71" s="57" t="n"/>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c r="A72" s="192" t="inlineStr">
        <is>
          <t>SP-7</t>
        </is>
      </c>
      <c r="B72" s="192" t="inlineStr">
        <is>
          <t>Z</t>
        </is>
      </c>
      <c r="C72" s="192" t="n">
        <v>44</v>
      </c>
      <c r="E72" s="109" t="inlineStr">
        <is>
          <t>no</t>
        </is>
      </c>
      <c r="F72" s="192" t="n">
        <v>0</v>
      </c>
      <c r="G72" s="192" t="n">
        <v>1</v>
      </c>
      <c r="H72" t="n">
        <v>0</v>
      </c>
      <c r="J72" s="57" t="n"/>
      <c r="K72" s="57" t="n"/>
      <c r="L72" s="57" t="n"/>
      <c r="M72" s="57" t="n"/>
      <c r="N72" s="57" t="n"/>
      <c r="O72" s="57" t="n"/>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c r="A73" s="192" t="inlineStr">
        <is>
          <t>SP-7</t>
        </is>
      </c>
      <c r="B73" s="192" t="inlineStr">
        <is>
          <t>AA</t>
        </is>
      </c>
      <c r="C73" s="192" t="n">
        <v>120</v>
      </c>
      <c r="E73" s="109" t="inlineStr">
        <is>
          <t>no</t>
        </is>
      </c>
      <c r="F73" s="192" t="n">
        <v>0</v>
      </c>
      <c r="G73" s="192" t="n">
        <v>1</v>
      </c>
      <c r="H73" t="n">
        <v>0</v>
      </c>
      <c r="J73" s="57" t="n"/>
      <c r="K73" s="57" t="n"/>
      <c r="L73" s="57" t="n"/>
      <c r="M73" s="57" t="n"/>
      <c r="N73" s="57" t="n"/>
      <c r="O73" s="57" t="n"/>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c r="A74" s="192" t="inlineStr">
        <is>
          <t>SP-7</t>
        </is>
      </c>
      <c r="B74" s="192" t="inlineStr">
        <is>
          <t>AB</t>
        </is>
      </c>
      <c r="C74" s="192" t="n">
        <v>17</v>
      </c>
      <c r="E74" s="109" t="inlineStr">
        <is>
          <t>yes</t>
        </is>
      </c>
      <c r="F74" s="192" t="n">
        <v>0</v>
      </c>
      <c r="G74" s="192" t="n">
        <v>2</v>
      </c>
      <c r="H74" t="n">
        <v>0</v>
      </c>
      <c r="J74" s="57" t="n"/>
      <c r="K74" s="57" t="n"/>
      <c r="L74" s="57" t="n"/>
      <c r="M74" s="57" t="n"/>
      <c r="N74" s="57" t="n"/>
      <c r="O74" s="57" t="n"/>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c r="A75" s="192" t="inlineStr">
        <is>
          <t>SP-7</t>
        </is>
      </c>
      <c r="B75" s="192" t="inlineStr">
        <is>
          <t>AC</t>
        </is>
      </c>
      <c r="C75" s="192" t="n">
        <v>41</v>
      </c>
      <c r="E75" s="109" t="inlineStr">
        <is>
          <t>no</t>
        </is>
      </c>
      <c r="F75" s="192" t="n">
        <v>0</v>
      </c>
      <c r="G75" s="192" t="n">
        <v>1</v>
      </c>
      <c r="H75" t="n">
        <v>0</v>
      </c>
      <c r="J75" s="57" t="n"/>
      <c r="K75" s="57" t="n"/>
      <c r="L75" s="57" t="n"/>
      <c r="M75" s="57" t="n"/>
      <c r="N75" s="57" t="n"/>
      <c r="O75" s="57" t="n"/>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c r="A76" s="192" t="inlineStr">
        <is>
          <t>SP-7</t>
        </is>
      </c>
      <c r="B76" s="192" t="inlineStr">
        <is>
          <t>AD</t>
        </is>
      </c>
      <c r="C76" s="192" t="n">
        <v>8</v>
      </c>
      <c r="E76" s="109" t="inlineStr">
        <is>
          <t>no</t>
        </is>
      </c>
      <c r="F76" s="192" t="n">
        <v>0</v>
      </c>
      <c r="G76" s="192" t="n">
        <v>1</v>
      </c>
      <c r="H76" t="n">
        <v>0</v>
      </c>
      <c r="J76" s="57" t="n"/>
      <c r="K76" s="57" t="n"/>
      <c r="L76" s="57" t="n"/>
      <c r="M76" s="57" t="n"/>
      <c r="N76" s="57" t="n"/>
      <c r="O76" s="57" t="n"/>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c r="A77" s="192" t="inlineStr">
        <is>
          <t>SP-8</t>
        </is>
      </c>
      <c r="B77" s="192" t="inlineStr">
        <is>
          <t>A</t>
        </is>
      </c>
      <c r="C77" s="192" t="n">
        <v>206</v>
      </c>
      <c r="E77" s="109" t="inlineStr">
        <is>
          <t>no</t>
        </is>
      </c>
      <c r="F77" s="192" t="n">
        <v>1</v>
      </c>
      <c r="G77" s="192" t="n">
        <v>1</v>
      </c>
      <c r="H77" t="n">
        <v>0</v>
      </c>
      <c r="J77" s="57" t="n"/>
      <c r="K77" s="57" t="n"/>
      <c r="L77" s="57" t="n"/>
      <c r="M77" s="57" t="n"/>
      <c r="N77" s="57" t="n"/>
      <c r="O77" s="57" t="n"/>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c r="A78" s="192" t="inlineStr">
        <is>
          <t>SP-8</t>
        </is>
      </c>
      <c r="B78" s="192" t="inlineStr">
        <is>
          <t xml:space="preserve">B </t>
        </is>
      </c>
      <c r="C78" s="192" t="n">
        <v>428</v>
      </c>
      <c r="E78" s="109" t="inlineStr">
        <is>
          <t>no</t>
        </is>
      </c>
      <c r="F78" s="192" t="n">
        <v>1</v>
      </c>
      <c r="G78" s="192" t="n">
        <v>1</v>
      </c>
      <c r="H78" t="n">
        <v>0</v>
      </c>
      <c r="J78" s="57" t="n"/>
      <c r="K78" s="57" t="n"/>
      <c r="L78" s="57" t="n"/>
      <c r="M78" s="57" t="n"/>
      <c r="N78" s="57" t="n"/>
      <c r="O78" s="57" t="n"/>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c r="A79" s="192" t="inlineStr">
        <is>
          <t>SP-8</t>
        </is>
      </c>
      <c r="B79" s="192" t="inlineStr">
        <is>
          <t>C</t>
        </is>
      </c>
      <c r="C79" s="192" t="n">
        <v>199</v>
      </c>
      <c r="E79" s="109" t="inlineStr">
        <is>
          <t>no</t>
        </is>
      </c>
      <c r="F79" s="192" t="n">
        <v>1</v>
      </c>
      <c r="G79" s="192" t="n">
        <v>1</v>
      </c>
      <c r="H79" t="n">
        <v>0</v>
      </c>
      <c r="J79" s="57" t="n"/>
      <c r="K79" s="57" t="n"/>
      <c r="L79" s="57" t="n"/>
      <c r="M79" s="57" t="n"/>
      <c r="N79" s="57" t="n"/>
      <c r="O79" s="57" t="n"/>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c r="A80" s="192" t="inlineStr">
        <is>
          <t>SP-8</t>
        </is>
      </c>
      <c r="B80" s="192" t="inlineStr">
        <is>
          <t>D</t>
        </is>
      </c>
      <c r="C80" s="192" t="n">
        <v>104</v>
      </c>
      <c r="E80" s="109" t="inlineStr">
        <is>
          <t>no</t>
        </is>
      </c>
      <c r="F80" s="192" t="n">
        <v>1</v>
      </c>
      <c r="G80" s="192" t="n">
        <v>1</v>
      </c>
      <c r="H80" t="n">
        <v>0</v>
      </c>
      <c r="J80" s="57" t="n"/>
      <c r="K80" s="57" t="n"/>
      <c r="L80" s="57" t="n"/>
      <c r="M80" s="57" t="n"/>
      <c r="N80" s="57" t="n"/>
      <c r="O80" s="57" t="n"/>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c r="A81" s="192" t="inlineStr">
        <is>
          <t>SP-8</t>
        </is>
      </c>
      <c r="B81" s="192" t="inlineStr">
        <is>
          <t>E</t>
        </is>
      </c>
      <c r="C81" s="192" t="n">
        <v>44</v>
      </c>
      <c r="E81" s="109" t="inlineStr">
        <is>
          <t>no</t>
        </is>
      </c>
      <c r="F81" s="192" t="n">
        <v>0</v>
      </c>
      <c r="G81" s="192" t="n">
        <v>1</v>
      </c>
      <c r="H81" t="n">
        <v>0</v>
      </c>
      <c r="J81" s="57" t="n"/>
      <c r="K81" s="57" t="n"/>
      <c r="L81" s="57" t="n"/>
      <c r="M81" s="57" t="n"/>
      <c r="N81" s="57" t="n"/>
      <c r="O81" s="57" t="n"/>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c r="A82" s="192" t="inlineStr">
        <is>
          <t>SP-8</t>
        </is>
      </c>
      <c r="B82" s="192" t="inlineStr">
        <is>
          <t>F</t>
        </is>
      </c>
      <c r="C82" s="192" t="n">
        <v>138</v>
      </c>
      <c r="E82" s="109" t="inlineStr">
        <is>
          <t>no</t>
        </is>
      </c>
      <c r="F82" s="192" t="n">
        <v>1</v>
      </c>
      <c r="G82" s="192" t="n">
        <v>1</v>
      </c>
      <c r="H82" t="n">
        <v>0</v>
      </c>
      <c r="J82" s="57" t="n"/>
      <c r="K82" s="57" t="n"/>
      <c r="L82" s="57" t="n"/>
      <c r="M82" s="57" t="n"/>
      <c r="N82" s="57" t="n"/>
      <c r="O82" s="57" t="n"/>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c r="A83" s="192" t="inlineStr">
        <is>
          <t>SP-8</t>
        </is>
      </c>
      <c r="B83" s="192" t="inlineStr">
        <is>
          <t>G</t>
        </is>
      </c>
      <c r="C83" s="192" t="n">
        <v>61</v>
      </c>
      <c r="E83" s="109" t="inlineStr">
        <is>
          <t>no</t>
        </is>
      </c>
      <c r="F83" s="192" t="n">
        <v>1</v>
      </c>
      <c r="G83" s="192" t="n">
        <v>1</v>
      </c>
      <c r="H83" t="n">
        <v>0</v>
      </c>
      <c r="J83" s="57" t="n"/>
      <c r="K83" s="57" t="n"/>
      <c r="L83" s="57" t="n"/>
      <c r="M83" s="57" t="n"/>
      <c r="N83" s="57" t="n"/>
      <c r="O83" s="57" t="n"/>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c r="A84" s="192" t="inlineStr">
        <is>
          <t>SP-8</t>
        </is>
      </c>
      <c r="B84" s="192" t="inlineStr">
        <is>
          <t>H</t>
        </is>
      </c>
      <c r="C84" s="192" t="n">
        <v>63</v>
      </c>
      <c r="E84" s="109" t="inlineStr">
        <is>
          <t>no</t>
        </is>
      </c>
      <c r="F84" s="192" t="n">
        <v>1</v>
      </c>
      <c r="G84" s="192" t="n">
        <v>1</v>
      </c>
      <c r="H84" t="n">
        <v>0</v>
      </c>
      <c r="J84" s="57" t="n"/>
      <c r="K84" s="57" t="n"/>
      <c r="L84" s="57" t="n"/>
      <c r="M84" s="57" t="n"/>
      <c r="N84" s="57" t="n"/>
      <c r="O84" s="57" t="n"/>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c r="A85" s="192" t="inlineStr">
        <is>
          <t>SP-8</t>
        </is>
      </c>
      <c r="B85" s="192" t="inlineStr">
        <is>
          <t>I</t>
        </is>
      </c>
      <c r="C85" s="192" t="n">
        <v>67</v>
      </c>
      <c r="E85" s="109" t="inlineStr">
        <is>
          <t>no</t>
        </is>
      </c>
      <c r="F85" s="192" t="n">
        <v>0</v>
      </c>
      <c r="G85" s="192" t="n">
        <v>1</v>
      </c>
      <c r="H85" t="n">
        <v>0</v>
      </c>
      <c r="J85" s="57" t="n"/>
      <c r="K85" s="57" t="n"/>
      <c r="L85" s="57" t="n"/>
      <c r="M85" s="57" t="n"/>
      <c r="N85" s="57" t="n"/>
      <c r="O85" s="57" t="n"/>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c r="A86" s="192" t="inlineStr">
        <is>
          <t>SP-8</t>
        </is>
      </c>
      <c r="B86" s="192" t="inlineStr">
        <is>
          <t>J</t>
        </is>
      </c>
      <c r="C86" s="192" t="n">
        <v>67</v>
      </c>
      <c r="E86" s="109" t="inlineStr">
        <is>
          <t>no</t>
        </is>
      </c>
      <c r="F86" s="192" t="n">
        <v>0</v>
      </c>
      <c r="G86" s="192" t="n">
        <v>1</v>
      </c>
      <c r="H86" t="n">
        <v>0</v>
      </c>
      <c r="J86" s="57" t="n"/>
      <c r="K86" s="57" t="n"/>
      <c r="L86" s="57" t="n"/>
      <c r="M86" s="57" t="n"/>
      <c r="N86" s="57" t="n"/>
      <c r="O86" s="57" t="n"/>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c r="A87" s="192" t="inlineStr">
        <is>
          <t>SP-8</t>
        </is>
      </c>
      <c r="B87" s="192" t="inlineStr">
        <is>
          <t>K</t>
        </is>
      </c>
      <c r="C87" s="192" t="n">
        <v>241</v>
      </c>
      <c r="E87" s="109" t="inlineStr">
        <is>
          <t>no</t>
        </is>
      </c>
      <c r="F87" s="192" t="n">
        <v>1</v>
      </c>
      <c r="G87" s="192" t="n">
        <v>1</v>
      </c>
      <c r="H87" t="n">
        <v>0</v>
      </c>
      <c r="J87" s="57" t="n"/>
      <c r="K87" s="57" t="n"/>
      <c r="L87" s="57" t="n"/>
      <c r="M87" s="57" t="n"/>
      <c r="N87" s="57" t="n"/>
      <c r="O87" s="57" t="n"/>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c r="A88" s="192" t="inlineStr">
        <is>
          <t>SP-8</t>
        </is>
      </c>
      <c r="B88" s="192" t="inlineStr">
        <is>
          <t>L</t>
        </is>
      </c>
      <c r="C88" s="192" t="n">
        <v>152</v>
      </c>
      <c r="E88" s="109" t="inlineStr">
        <is>
          <t>no</t>
        </is>
      </c>
      <c r="F88" s="192" t="n">
        <v>1</v>
      </c>
      <c r="G88" s="192" t="n">
        <v>1</v>
      </c>
      <c r="H88" t="n">
        <v>0</v>
      </c>
      <c r="J88" s="57" t="n"/>
      <c r="K88" s="57" t="n"/>
      <c r="L88" s="57" t="n"/>
      <c r="M88" s="57" t="n"/>
      <c r="N88" s="57" t="n"/>
      <c r="O88" s="57" t="n"/>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c r="A89" s="192" t="inlineStr">
        <is>
          <t>SP-8</t>
        </is>
      </c>
      <c r="B89" s="192" t="inlineStr">
        <is>
          <t>M</t>
        </is>
      </c>
      <c r="C89" s="192" t="n">
        <v>80</v>
      </c>
      <c r="E89" s="109" t="inlineStr">
        <is>
          <t>no</t>
        </is>
      </c>
      <c r="F89" s="192" t="n">
        <v>1</v>
      </c>
      <c r="G89" s="192" t="n">
        <v>1</v>
      </c>
      <c r="H89" t="n">
        <v>0</v>
      </c>
      <c r="J89" s="57" t="n"/>
      <c r="K89" s="57" t="n"/>
      <c r="L89" s="57" t="n"/>
      <c r="M89" s="57" t="n"/>
      <c r="N89" s="57" t="n"/>
      <c r="O89" s="57" t="n"/>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c r="A90" s="192" t="inlineStr">
        <is>
          <t>SP-8</t>
        </is>
      </c>
      <c r="B90" s="192" t="inlineStr">
        <is>
          <t>N</t>
        </is>
      </c>
      <c r="C90" s="192" t="n">
        <v>13</v>
      </c>
      <c r="E90" s="109" t="inlineStr">
        <is>
          <t>no</t>
        </is>
      </c>
      <c r="F90" s="192" t="n">
        <v>0</v>
      </c>
      <c r="G90" s="192" t="n">
        <v>1</v>
      </c>
      <c r="H90" t="n">
        <v>0</v>
      </c>
      <c r="J90" s="57" t="n"/>
      <c r="K90" s="57" t="n"/>
      <c r="L90" s="57" t="n"/>
      <c r="M90" s="57" t="n"/>
      <c r="N90" s="57" t="n"/>
      <c r="O90" s="57" t="n"/>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c r="A91" s="192" t="inlineStr">
        <is>
          <t>SP-8</t>
        </is>
      </c>
      <c r="B91" s="192" t="inlineStr">
        <is>
          <t>O</t>
        </is>
      </c>
      <c r="C91" s="192" t="n">
        <v>44</v>
      </c>
      <c r="E91" s="109" t="inlineStr">
        <is>
          <t>no</t>
        </is>
      </c>
      <c r="F91" s="192" t="n">
        <v>0</v>
      </c>
      <c r="G91" s="192" t="n">
        <v>1</v>
      </c>
      <c r="H91" t="n">
        <v>0</v>
      </c>
      <c r="J91" s="57" t="n"/>
      <c r="K91" s="57" t="n"/>
      <c r="L91" s="57" t="n"/>
      <c r="M91" s="57" t="n"/>
      <c r="N91" s="57" t="n"/>
      <c r="O91" s="57" t="n"/>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c r="A92" s="192" t="inlineStr">
        <is>
          <t>SP-8</t>
        </is>
      </c>
      <c r="B92" s="192" t="inlineStr">
        <is>
          <t>P</t>
        </is>
      </c>
      <c r="C92" s="192" t="n">
        <v>140</v>
      </c>
      <c r="E92" s="109" t="inlineStr">
        <is>
          <t>yes</t>
        </is>
      </c>
      <c r="F92" s="192" t="n">
        <v>1</v>
      </c>
      <c r="G92" s="192" t="n">
        <v>2</v>
      </c>
      <c r="H92" t="n">
        <v>0</v>
      </c>
      <c r="J92" s="57" t="n"/>
      <c r="K92" s="57" t="n"/>
      <c r="L92" s="57" t="n"/>
      <c r="M92" s="57" t="n"/>
      <c r="N92" s="57" t="n"/>
      <c r="O92" s="57" t="n"/>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c r="A93" s="192" t="inlineStr">
        <is>
          <t>SP-8</t>
        </is>
      </c>
      <c r="B93" s="192" t="inlineStr">
        <is>
          <t>Q</t>
        </is>
      </c>
      <c r="C93" s="192" t="n">
        <v>84</v>
      </c>
      <c r="E93" s="109" t="inlineStr">
        <is>
          <t>no</t>
        </is>
      </c>
      <c r="F93" s="192" t="n">
        <v>1</v>
      </c>
      <c r="G93" s="192" t="n">
        <v>1</v>
      </c>
      <c r="H93" t="n">
        <v>0</v>
      </c>
      <c r="J93" s="57" t="n"/>
      <c r="K93" s="57" t="n"/>
      <c r="L93" s="57" t="n"/>
      <c r="M93" s="57" t="n"/>
      <c r="N93" s="57" t="n"/>
      <c r="O93" s="57" t="n"/>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c r="A94" s="192" t="inlineStr">
        <is>
          <t>SP-8</t>
        </is>
      </c>
      <c r="B94" s="192" t="inlineStr">
        <is>
          <t>R</t>
        </is>
      </c>
      <c r="C94" s="192" t="n">
        <v>41</v>
      </c>
      <c r="E94" s="109" t="inlineStr">
        <is>
          <t>no</t>
        </is>
      </c>
      <c r="F94" s="192" t="n">
        <v>0</v>
      </c>
      <c r="G94" s="192" t="n">
        <v>1</v>
      </c>
      <c r="H94" t="n">
        <v>0</v>
      </c>
      <c r="J94" s="57" t="n"/>
      <c r="K94" s="57" t="n"/>
      <c r="L94" s="57" t="n"/>
      <c r="M94" s="57" t="n"/>
      <c r="N94" s="57" t="n"/>
      <c r="O94" s="57" t="n"/>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c r="A95" s="192" t="inlineStr">
        <is>
          <t>SP-8</t>
        </is>
      </c>
      <c r="B95" s="192" t="inlineStr">
        <is>
          <t>S</t>
        </is>
      </c>
      <c r="C95" s="192" t="n">
        <v>47</v>
      </c>
      <c r="E95" s="109" t="inlineStr">
        <is>
          <t>yes</t>
        </is>
      </c>
      <c r="F95" s="192" t="n">
        <v>1</v>
      </c>
      <c r="G95" s="192" t="n">
        <v>2</v>
      </c>
      <c r="H95" t="n">
        <v>0</v>
      </c>
      <c r="J95" s="57" t="n"/>
      <c r="K95" s="57" t="n"/>
      <c r="L95" s="57" t="n"/>
      <c r="M95" s="57" t="n"/>
      <c r="N95" s="57" t="n"/>
      <c r="O95" s="57" t="n"/>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c r="A96" s="192" t="inlineStr">
        <is>
          <t>SP-8</t>
        </is>
      </c>
      <c r="B96" s="192" t="inlineStr">
        <is>
          <t>T</t>
        </is>
      </c>
      <c r="C96" s="192" t="n">
        <v>82</v>
      </c>
      <c r="E96" s="109" t="inlineStr">
        <is>
          <t>yes</t>
        </is>
      </c>
      <c r="F96" s="192" t="n">
        <v>1</v>
      </c>
      <c r="G96" s="192" t="n">
        <v>2</v>
      </c>
      <c r="H96" t="n">
        <v>0</v>
      </c>
      <c r="J96" s="57" t="n"/>
      <c r="K96" s="57" t="n"/>
      <c r="L96" s="57" t="n"/>
      <c r="M96" s="57" t="n"/>
      <c r="N96" s="57" t="n"/>
      <c r="O96" s="57" t="n"/>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c r="A97" s="192" t="inlineStr">
        <is>
          <t>SP-8</t>
        </is>
      </c>
      <c r="B97" s="192" t="inlineStr">
        <is>
          <t>U</t>
        </is>
      </c>
      <c r="C97" s="192" t="n">
        <v>41</v>
      </c>
      <c r="E97" s="109" t="inlineStr">
        <is>
          <t>no</t>
        </is>
      </c>
      <c r="F97" s="192" t="n">
        <v>0</v>
      </c>
      <c r="G97" s="192" t="n">
        <v>1</v>
      </c>
      <c r="H97" t="n">
        <v>0</v>
      </c>
      <c r="J97" s="57" t="n"/>
      <c r="K97" s="57" t="n"/>
      <c r="L97" s="57" t="n"/>
      <c r="M97" s="57" t="n"/>
      <c r="N97" s="57" t="n"/>
      <c r="O97" s="57" t="n"/>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c r="A98" s="192" t="inlineStr">
        <is>
          <t>SP-8</t>
        </is>
      </c>
      <c r="B98" s="192" t="inlineStr">
        <is>
          <t>V</t>
        </is>
      </c>
      <c r="C98" s="192" t="n">
        <v>141</v>
      </c>
      <c r="E98" s="109" t="inlineStr">
        <is>
          <t>no</t>
        </is>
      </c>
      <c r="F98" s="192" t="n">
        <v>1</v>
      </c>
      <c r="G98" s="192" t="n">
        <v>1</v>
      </c>
      <c r="H98" t="n">
        <v>0</v>
      </c>
      <c r="J98" s="57" t="n"/>
      <c r="K98" s="57" t="n"/>
      <c r="L98" s="57" t="n"/>
      <c r="M98" s="57" t="n"/>
      <c r="N98" s="57" t="n"/>
      <c r="O98" s="57" t="n"/>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c r="A99" s="192" t="inlineStr">
        <is>
          <t>SP-8</t>
        </is>
      </c>
      <c r="B99" s="192" t="inlineStr">
        <is>
          <t>W</t>
        </is>
      </c>
      <c r="C99" s="192" t="n">
        <v>44</v>
      </c>
      <c r="E99" s="109" t="inlineStr">
        <is>
          <t>no</t>
        </is>
      </c>
      <c r="F99" s="192" t="n">
        <v>0</v>
      </c>
      <c r="G99" s="192" t="n">
        <v>1</v>
      </c>
      <c r="H99" t="n">
        <v>0</v>
      </c>
      <c r="J99" s="57" t="n"/>
      <c r="K99" s="57" t="n"/>
      <c r="L99" s="57" t="n"/>
      <c r="M99" s="57" t="n"/>
      <c r="N99" s="57" t="n"/>
      <c r="O99" s="57" t="n"/>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c r="A100" s="192" t="inlineStr">
        <is>
          <t>SP-8</t>
        </is>
      </c>
      <c r="B100" s="192" t="inlineStr">
        <is>
          <t>X</t>
        </is>
      </c>
      <c r="C100" s="192" t="n">
        <v>16</v>
      </c>
      <c r="E100" s="109" t="inlineStr">
        <is>
          <t>no</t>
        </is>
      </c>
      <c r="F100" s="192" t="n">
        <v>0</v>
      </c>
      <c r="G100" s="192" t="n">
        <v>1</v>
      </c>
      <c r="H100" t="n">
        <v>0</v>
      </c>
      <c r="J100" s="57" t="n"/>
      <c r="K100" s="57" t="n"/>
      <c r="L100" s="57" t="n"/>
      <c r="M100" s="57" t="n"/>
      <c r="N100" s="57" t="n"/>
      <c r="O100" s="57" t="n"/>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c r="A101" s="192" t="inlineStr">
        <is>
          <t>SP-8</t>
        </is>
      </c>
      <c r="B101" s="192" t="inlineStr">
        <is>
          <t>Y</t>
        </is>
      </c>
      <c r="C101" s="192" t="n">
        <v>145</v>
      </c>
      <c r="E101" s="109" t="inlineStr">
        <is>
          <t>no</t>
        </is>
      </c>
      <c r="F101" s="192" t="n">
        <v>1</v>
      </c>
      <c r="G101" s="192" t="n">
        <v>1</v>
      </c>
      <c r="H101" t="n">
        <v>0</v>
      </c>
      <c r="J101" s="57" t="n"/>
      <c r="K101" s="57" t="n"/>
      <c r="L101" s="57" t="n"/>
      <c r="M101" s="57" t="n"/>
      <c r="N101" s="57" t="n"/>
      <c r="O101" s="57" t="n"/>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c r="A102" s="192" t="inlineStr">
        <is>
          <t>SP-8</t>
        </is>
      </c>
      <c r="B102" s="192" t="inlineStr">
        <is>
          <t>Z</t>
        </is>
      </c>
      <c r="C102" s="192" t="n">
        <v>56</v>
      </c>
      <c r="E102" s="109" t="inlineStr">
        <is>
          <t>no</t>
        </is>
      </c>
      <c r="F102" s="192" t="n">
        <v>1</v>
      </c>
      <c r="G102" s="192" t="n">
        <v>1</v>
      </c>
      <c r="H102" t="n">
        <v>0</v>
      </c>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c r="A103" s="192" t="inlineStr">
        <is>
          <t>SP-8</t>
        </is>
      </c>
      <c r="B103" s="192" t="inlineStr">
        <is>
          <t>AA</t>
        </is>
      </c>
      <c r="C103" s="192" t="n">
        <v>99</v>
      </c>
      <c r="E103" s="109" t="inlineStr">
        <is>
          <t>no</t>
        </is>
      </c>
      <c r="F103" s="192" t="n">
        <v>0</v>
      </c>
      <c r="G103" s="192" t="n">
        <v>1</v>
      </c>
      <c r="H103" t="n">
        <v>0</v>
      </c>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c r="A104" s="192" t="inlineStr">
        <is>
          <t>SP-8</t>
        </is>
      </c>
      <c r="B104" s="192" t="inlineStr">
        <is>
          <t>AB</t>
        </is>
      </c>
      <c r="C104" s="192" t="n">
        <v>115</v>
      </c>
      <c r="E104" s="109" t="inlineStr">
        <is>
          <t>no</t>
        </is>
      </c>
      <c r="F104" s="192" t="n">
        <v>1</v>
      </c>
      <c r="G104" s="192" t="n">
        <v>1</v>
      </c>
      <c r="H104" t="n">
        <v>0</v>
      </c>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c r="A105" s="192" t="inlineStr">
        <is>
          <t>SP-8</t>
        </is>
      </c>
      <c r="B105" s="192" t="inlineStr">
        <is>
          <t>AC</t>
        </is>
      </c>
      <c r="C105" s="192" t="n">
        <v>41</v>
      </c>
      <c r="E105" s="109" t="inlineStr">
        <is>
          <t>no</t>
        </is>
      </c>
      <c r="F105" s="192" t="n">
        <v>0</v>
      </c>
      <c r="G105" s="192" t="n">
        <v>1</v>
      </c>
      <c r="H105" t="n">
        <v>0</v>
      </c>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c r="A106" s="192" t="inlineStr">
        <is>
          <t>SP-8</t>
        </is>
      </c>
      <c r="B106" s="192" t="inlineStr">
        <is>
          <t>AD</t>
        </is>
      </c>
      <c r="C106" s="192" t="n">
        <v>36</v>
      </c>
      <c r="E106" s="109" t="inlineStr">
        <is>
          <t>no</t>
        </is>
      </c>
      <c r="F106" s="192" t="n">
        <v>1</v>
      </c>
      <c r="G106" s="192" t="n">
        <v>1</v>
      </c>
      <c r="H106" t="n">
        <v>0</v>
      </c>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c r="A107" s="192" t="inlineStr">
        <is>
          <t>SP-8</t>
        </is>
      </c>
      <c r="B107" s="192" t="inlineStr">
        <is>
          <t>AE</t>
        </is>
      </c>
      <c r="C107" s="192" t="n">
        <v>72</v>
      </c>
      <c r="E107" s="109" t="inlineStr">
        <is>
          <t>yes</t>
        </is>
      </c>
      <c r="F107" s="192" t="n">
        <v>1</v>
      </c>
      <c r="G107" s="192" t="n">
        <v>2</v>
      </c>
      <c r="H107" t="n">
        <v>0</v>
      </c>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c r="A108" s="192" t="inlineStr">
        <is>
          <t>SP-8</t>
        </is>
      </c>
      <c r="B108" s="192" t="inlineStr">
        <is>
          <t>AF</t>
        </is>
      </c>
      <c r="C108" s="192" t="n">
        <v>41</v>
      </c>
      <c r="E108" s="109" t="inlineStr">
        <is>
          <t>no</t>
        </is>
      </c>
      <c r="F108" s="192" t="n">
        <v>0</v>
      </c>
      <c r="G108" s="192" t="n">
        <v>1</v>
      </c>
      <c r="H108" t="n">
        <v>0</v>
      </c>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c r="A109" s="192" t="inlineStr">
        <is>
          <t>SP-8</t>
        </is>
      </c>
      <c r="B109" s="192" t="inlineStr">
        <is>
          <t>AG</t>
        </is>
      </c>
      <c r="C109" s="192" t="n">
        <v>111</v>
      </c>
      <c r="E109" s="109" t="inlineStr">
        <is>
          <t>no</t>
        </is>
      </c>
      <c r="F109" s="192" t="n">
        <v>1</v>
      </c>
      <c r="G109" s="192" t="n">
        <v>1</v>
      </c>
      <c r="H109" t="n">
        <v>0</v>
      </c>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c r="A110" s="192" t="inlineStr">
        <is>
          <t>SP-8</t>
        </is>
      </c>
      <c r="B110" s="192" t="inlineStr">
        <is>
          <t>AH</t>
        </is>
      </c>
      <c r="C110" s="192" t="n">
        <v>41</v>
      </c>
      <c r="E110" s="109" t="inlineStr">
        <is>
          <t>no</t>
        </is>
      </c>
      <c r="F110" s="192" t="n">
        <v>0</v>
      </c>
      <c r="G110" s="192" t="n">
        <v>1</v>
      </c>
      <c r="H110" t="n">
        <v>0</v>
      </c>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c r="A111" s="192" t="inlineStr">
        <is>
          <t>SP-8</t>
        </is>
      </c>
      <c r="B111" s="192" t="inlineStr">
        <is>
          <t>AI</t>
        </is>
      </c>
      <c r="C111" s="192" t="n">
        <v>82</v>
      </c>
      <c r="E111" s="109" t="inlineStr">
        <is>
          <t>yes</t>
        </is>
      </c>
      <c r="F111" s="192" t="n">
        <v>1</v>
      </c>
      <c r="G111" s="192" t="n">
        <v>2</v>
      </c>
      <c r="H111" t="n">
        <v>0</v>
      </c>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c r="A112" s="192" t="inlineStr">
        <is>
          <t>SP-8</t>
        </is>
      </c>
      <c r="B112" s="192" t="inlineStr">
        <is>
          <t>AJ</t>
        </is>
      </c>
      <c r="C112" s="192" t="n">
        <v>49</v>
      </c>
      <c r="E112" s="109" t="inlineStr">
        <is>
          <t>yes</t>
        </is>
      </c>
      <c r="F112" s="192" t="n">
        <v>0</v>
      </c>
      <c r="G112" s="192" t="n">
        <v>2</v>
      </c>
      <c r="H112" t="n">
        <v>0</v>
      </c>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c r="A113" s="192" t="inlineStr">
        <is>
          <t>SP-8</t>
        </is>
      </c>
      <c r="B113" s="192" t="inlineStr">
        <is>
          <t>AK</t>
        </is>
      </c>
      <c r="C113" s="192" t="n">
        <v>41</v>
      </c>
      <c r="E113" s="109" t="inlineStr">
        <is>
          <t>no</t>
        </is>
      </c>
      <c r="F113" s="192" t="n">
        <v>0</v>
      </c>
      <c r="G113" s="192" t="n">
        <v>1</v>
      </c>
      <c r="H113" t="n">
        <v>0</v>
      </c>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c r="A114" s="192" t="inlineStr">
        <is>
          <t>SP-8</t>
        </is>
      </c>
      <c r="B114" s="192" t="inlineStr">
        <is>
          <t>AL</t>
        </is>
      </c>
      <c r="C114" s="192" t="n">
        <v>222</v>
      </c>
      <c r="E114" s="109" t="inlineStr">
        <is>
          <t>no</t>
        </is>
      </c>
      <c r="F114" s="192" t="n">
        <v>0</v>
      </c>
      <c r="G114" s="192" t="n">
        <v>1</v>
      </c>
      <c r="H114" t="n">
        <v>0</v>
      </c>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c r="A115" s="192" t="inlineStr">
        <is>
          <t>SP-8</t>
        </is>
      </c>
      <c r="B115" s="192" t="inlineStr">
        <is>
          <t>AM</t>
        </is>
      </c>
      <c r="C115" s="192" t="n">
        <v>162</v>
      </c>
      <c r="E115" s="109" t="inlineStr">
        <is>
          <t>no</t>
        </is>
      </c>
      <c r="F115" s="192" t="n">
        <v>1</v>
      </c>
      <c r="G115" s="192" t="n">
        <v>1</v>
      </c>
      <c r="H115" t="n">
        <v>0</v>
      </c>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c r="A116" s="192" t="inlineStr">
        <is>
          <t>SP-8</t>
        </is>
      </c>
      <c r="B116" s="192" t="inlineStr">
        <is>
          <t>AN</t>
        </is>
      </c>
      <c r="C116" s="192" t="n">
        <v>47</v>
      </c>
      <c r="E116" s="109" t="inlineStr">
        <is>
          <t>no</t>
        </is>
      </c>
      <c r="F116" s="192" t="n">
        <v>0</v>
      </c>
      <c r="G116" s="192" t="n">
        <v>1</v>
      </c>
      <c r="H116" t="n">
        <v>0</v>
      </c>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c r="A117" s="192" t="inlineStr">
        <is>
          <t>SP-8</t>
        </is>
      </c>
      <c r="B117" s="192" t="inlineStr">
        <is>
          <t>AO</t>
        </is>
      </c>
      <c r="C117" s="192" t="n">
        <v>150</v>
      </c>
      <c r="E117" s="109" t="inlineStr">
        <is>
          <t>yes</t>
        </is>
      </c>
      <c r="F117" s="192" t="n">
        <v>1</v>
      </c>
      <c r="G117" s="192" t="n">
        <v>2</v>
      </c>
      <c r="H117" t="n">
        <v>0</v>
      </c>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c r="A118" s="192" t="inlineStr">
        <is>
          <t>SP-8</t>
        </is>
      </c>
      <c r="B118" s="192" t="inlineStr">
        <is>
          <t>AP</t>
        </is>
      </c>
      <c r="C118" s="192" t="n">
        <v>12</v>
      </c>
      <c r="E118" s="109" t="inlineStr">
        <is>
          <t>yes</t>
        </is>
      </c>
      <c r="F118" s="192" t="n">
        <v>1</v>
      </c>
      <c r="G118" s="192" t="n">
        <v>2</v>
      </c>
      <c r="H118" t="n">
        <v>0</v>
      </c>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c r="A119" s="192" t="inlineStr">
        <is>
          <t>SP-8</t>
        </is>
      </c>
      <c r="B119" s="192" t="inlineStr">
        <is>
          <t>AQ</t>
        </is>
      </c>
      <c r="C119" s="192" t="n">
        <v>38</v>
      </c>
      <c r="E119" s="109" t="inlineStr">
        <is>
          <t>no</t>
        </is>
      </c>
      <c r="F119" s="192" t="n">
        <v>0</v>
      </c>
      <c r="G119" s="192" t="n">
        <v>1</v>
      </c>
      <c r="H119" t="n">
        <v>0</v>
      </c>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c r="A120" s="192" t="inlineStr">
        <is>
          <t>SP-8</t>
        </is>
      </c>
      <c r="B120" s="192" t="inlineStr">
        <is>
          <t>AR</t>
        </is>
      </c>
      <c r="C120" s="192" t="n">
        <v>148</v>
      </c>
      <c r="E120" s="109" t="inlineStr">
        <is>
          <t>no</t>
        </is>
      </c>
      <c r="F120" s="192" t="n">
        <v>1</v>
      </c>
      <c r="G120" s="192" t="n">
        <v>1</v>
      </c>
      <c r="H120" t="n">
        <v>0</v>
      </c>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c r="A121" s="192" t="inlineStr">
        <is>
          <t>SP-9</t>
        </is>
      </c>
      <c r="B121" s="192" t="inlineStr">
        <is>
          <t>A</t>
        </is>
      </c>
      <c r="C121" s="192" t="n">
        <v>13</v>
      </c>
      <c r="E121" s="109" t="inlineStr">
        <is>
          <t>yes</t>
        </is>
      </c>
      <c r="F121" s="192" t="n">
        <v>1</v>
      </c>
      <c r="G121" s="192" t="n">
        <v>2</v>
      </c>
      <c r="H121" t="n">
        <v>0</v>
      </c>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c r="A122" s="192" t="inlineStr">
        <is>
          <t>SP-9</t>
        </is>
      </c>
      <c r="B122" s="192" t="inlineStr">
        <is>
          <t xml:space="preserve">B </t>
        </is>
      </c>
      <c r="C122" s="192" t="n">
        <v>55</v>
      </c>
      <c r="E122" s="109" t="inlineStr">
        <is>
          <t>no</t>
        </is>
      </c>
      <c r="F122" s="192" t="n">
        <v>0</v>
      </c>
      <c r="G122" s="192" t="n">
        <v>1</v>
      </c>
      <c r="H122" t="n">
        <v>0</v>
      </c>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c r="A123" s="192" t="inlineStr">
        <is>
          <t>SP-9</t>
        </is>
      </c>
      <c r="B123" s="192" t="inlineStr">
        <is>
          <t>C</t>
        </is>
      </c>
      <c r="C123" s="192" t="n">
        <v>229</v>
      </c>
      <c r="E123" s="109" t="inlineStr">
        <is>
          <t>no</t>
        </is>
      </c>
      <c r="F123" s="192" t="n">
        <v>1</v>
      </c>
      <c r="G123" s="192" t="n">
        <v>1</v>
      </c>
      <c r="H123" t="n">
        <v>0</v>
      </c>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c r="A124" s="192" t="inlineStr">
        <is>
          <t>SP-9</t>
        </is>
      </c>
      <c r="B124" s="192" t="inlineStr">
        <is>
          <t>D</t>
        </is>
      </c>
      <c r="C124" s="192" t="n">
        <v>90</v>
      </c>
      <c r="E124" s="109" t="inlineStr">
        <is>
          <t>no</t>
        </is>
      </c>
      <c r="F124" s="192" t="n">
        <v>1</v>
      </c>
      <c r="G124" s="192" t="n">
        <v>1</v>
      </c>
      <c r="H124" t="n">
        <v>0</v>
      </c>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c r="A125" s="192" t="inlineStr">
        <is>
          <t>SP-9</t>
        </is>
      </c>
      <c r="B125" s="192" t="inlineStr">
        <is>
          <t>E</t>
        </is>
      </c>
      <c r="C125" s="192" t="n">
        <v>177</v>
      </c>
      <c r="E125" s="109" t="inlineStr">
        <is>
          <t>no</t>
        </is>
      </c>
      <c r="F125" s="192" t="n">
        <v>1</v>
      </c>
      <c r="G125" s="192" t="n">
        <v>1</v>
      </c>
      <c r="H125" t="n">
        <v>0</v>
      </c>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c r="A126" s="192" t="inlineStr">
        <is>
          <t>SP-9</t>
        </is>
      </c>
      <c r="B126" s="192" t="inlineStr">
        <is>
          <t>F</t>
        </is>
      </c>
      <c r="C126" s="192" t="n">
        <v>142</v>
      </c>
      <c r="E126" s="109" t="inlineStr">
        <is>
          <t>no</t>
        </is>
      </c>
      <c r="F126" s="192" t="n">
        <v>1</v>
      </c>
      <c r="G126" s="192" t="n">
        <v>1</v>
      </c>
      <c r="H126" t="n">
        <v>0</v>
      </c>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c r="A127" s="192" t="inlineStr">
        <is>
          <t>SP-9</t>
        </is>
      </c>
      <c r="B127" s="192" t="inlineStr">
        <is>
          <t>G</t>
        </is>
      </c>
      <c r="C127" s="192" t="n">
        <v>197</v>
      </c>
      <c r="E127" s="109" t="inlineStr">
        <is>
          <t>yes</t>
        </is>
      </c>
      <c r="F127" s="192" t="n">
        <v>0</v>
      </c>
      <c r="G127" s="192" t="n">
        <v>2</v>
      </c>
      <c r="H127" t="n">
        <v>0</v>
      </c>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c r="A128" s="192" t="inlineStr">
        <is>
          <t>SP-9</t>
        </is>
      </c>
      <c r="B128" s="192" t="inlineStr">
        <is>
          <t>H</t>
        </is>
      </c>
      <c r="C128" s="192" t="n">
        <v>55</v>
      </c>
      <c r="E128" s="109" t="inlineStr">
        <is>
          <t>no</t>
        </is>
      </c>
      <c r="F128" s="192" t="n">
        <v>1</v>
      </c>
      <c r="G128" s="192" t="n">
        <v>1</v>
      </c>
      <c r="H128" t="n">
        <v>0</v>
      </c>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c r="A129" s="192" t="inlineStr">
        <is>
          <t>SP-9</t>
        </is>
      </c>
      <c r="B129" s="192" t="inlineStr">
        <is>
          <t>I</t>
        </is>
      </c>
      <c r="C129" s="192" t="n">
        <v>267</v>
      </c>
      <c r="E129" s="109" t="inlineStr">
        <is>
          <t>no</t>
        </is>
      </c>
      <c r="F129" s="192" t="n">
        <v>1</v>
      </c>
      <c r="G129" s="192" t="n">
        <v>1</v>
      </c>
      <c r="H129" t="n">
        <v>0</v>
      </c>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c r="A130" s="192" t="inlineStr">
        <is>
          <t>SP-9</t>
        </is>
      </c>
      <c r="B130" s="192" t="inlineStr">
        <is>
          <t>J</t>
        </is>
      </c>
      <c r="C130" s="192" t="n">
        <v>150</v>
      </c>
      <c r="E130" s="109" t="inlineStr">
        <is>
          <t>yes</t>
        </is>
      </c>
      <c r="F130" s="192" t="n">
        <v>1</v>
      </c>
      <c r="G130" s="192" t="n">
        <v>2</v>
      </c>
      <c r="H130" t="n">
        <v>0</v>
      </c>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c r="A131" s="192" t="inlineStr">
        <is>
          <t>SP-9</t>
        </is>
      </c>
      <c r="B131" s="192" t="inlineStr">
        <is>
          <t>K</t>
        </is>
      </c>
      <c r="C131" s="192" t="n">
        <v>53</v>
      </c>
      <c r="E131" s="109" t="inlineStr">
        <is>
          <t>no</t>
        </is>
      </c>
      <c r="F131" s="192" t="n">
        <v>1</v>
      </c>
      <c r="G131" s="192" t="n">
        <v>1</v>
      </c>
      <c r="H131" t="n">
        <v>0</v>
      </c>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c r="A132" s="192" t="inlineStr">
        <is>
          <t>SP-9</t>
        </is>
      </c>
      <c r="B132" s="192" t="inlineStr">
        <is>
          <t>L</t>
        </is>
      </c>
      <c r="C132" s="192" t="n">
        <v>364</v>
      </c>
      <c r="E132" s="109" t="inlineStr">
        <is>
          <t>no</t>
        </is>
      </c>
      <c r="F132" s="192" t="n">
        <v>1</v>
      </c>
      <c r="G132" s="192" t="n">
        <v>1</v>
      </c>
      <c r="H132" t="n">
        <v>0</v>
      </c>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c r="A133" s="192" t="inlineStr">
        <is>
          <t>SP-9</t>
        </is>
      </c>
      <c r="B133" s="192" t="inlineStr">
        <is>
          <t>M</t>
        </is>
      </c>
      <c r="C133" s="192" t="n">
        <v>51</v>
      </c>
      <c r="E133" s="109" t="inlineStr">
        <is>
          <t>no</t>
        </is>
      </c>
      <c r="F133" s="192" t="n">
        <v>0</v>
      </c>
      <c r="G133" s="192" t="n">
        <v>1</v>
      </c>
      <c r="H133" t="n">
        <v>0</v>
      </c>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c r="A134" s="192" t="inlineStr">
        <is>
          <t>SP-9</t>
        </is>
      </c>
      <c r="B134" s="192" t="inlineStr">
        <is>
          <t>N</t>
        </is>
      </c>
      <c r="C134" s="192" t="n">
        <v>206</v>
      </c>
      <c r="E134" s="109" t="inlineStr">
        <is>
          <t>yes</t>
        </is>
      </c>
      <c r="F134" s="192" t="n">
        <v>1</v>
      </c>
      <c r="G134" s="192" t="n">
        <v>2</v>
      </c>
      <c r="H134" t="n">
        <v>0</v>
      </c>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c r="A135" s="192" t="inlineStr">
        <is>
          <t>SP-9</t>
        </is>
      </c>
      <c r="B135" s="192" t="inlineStr">
        <is>
          <t>O</t>
        </is>
      </c>
      <c r="C135" s="192" t="n">
        <v>49</v>
      </c>
      <c r="E135" s="109" t="inlineStr">
        <is>
          <t>no</t>
        </is>
      </c>
      <c r="F135" s="192" t="n">
        <v>0</v>
      </c>
      <c r="G135" s="192" t="n">
        <v>1</v>
      </c>
      <c r="H135" t="n">
        <v>0</v>
      </c>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c r="A136" s="192" t="inlineStr">
        <is>
          <t>SP-9</t>
        </is>
      </c>
      <c r="B136" s="192" t="inlineStr">
        <is>
          <t>P</t>
        </is>
      </c>
      <c r="C136" s="109" t="n">
        <v>18</v>
      </c>
      <c r="E136" s="109" t="inlineStr">
        <is>
          <t>yes</t>
        </is>
      </c>
      <c r="F136" s="109" t="n">
        <v>1</v>
      </c>
      <c r="G136" s="192" t="n">
        <v>2</v>
      </c>
      <c r="H136" t="n">
        <v>0</v>
      </c>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c r="A137" s="192" t="inlineStr">
        <is>
          <t>SP-9</t>
        </is>
      </c>
      <c r="B137" s="192" t="inlineStr">
        <is>
          <t>Q</t>
        </is>
      </c>
      <c r="C137" s="109" t="n">
        <v>148</v>
      </c>
      <c r="E137" s="109" t="inlineStr">
        <is>
          <t>yes</t>
        </is>
      </c>
      <c r="F137" s="109" t="n">
        <v>1</v>
      </c>
      <c r="G137" s="192" t="n">
        <v>2</v>
      </c>
      <c r="H137" t="n">
        <v>0</v>
      </c>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c r="A138" s="192" t="inlineStr">
        <is>
          <t>SP-9</t>
        </is>
      </c>
      <c r="B138" s="192" t="inlineStr">
        <is>
          <t>R</t>
        </is>
      </c>
      <c r="C138" s="109" t="n">
        <v>68</v>
      </c>
      <c r="E138" s="109" t="inlineStr">
        <is>
          <t>no</t>
        </is>
      </c>
      <c r="F138" s="109" t="n">
        <v>0</v>
      </c>
      <c r="G138" s="192" t="n">
        <v>1</v>
      </c>
      <c r="H138" t="n">
        <v>0</v>
      </c>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c r="A139" s="192" t="inlineStr">
        <is>
          <t>SP-9</t>
        </is>
      </c>
      <c r="B139" s="192" t="inlineStr">
        <is>
          <t>S</t>
        </is>
      </c>
      <c r="C139" s="109" t="n">
        <v>358</v>
      </c>
      <c r="E139" s="109" t="inlineStr">
        <is>
          <t>no</t>
        </is>
      </c>
      <c r="F139" s="109" t="n">
        <v>1</v>
      </c>
      <c r="G139" s="192" t="n">
        <v>1</v>
      </c>
      <c r="H139" t="n">
        <v>0</v>
      </c>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c r="A140" s="192" t="inlineStr">
        <is>
          <t>SP-9</t>
        </is>
      </c>
      <c r="B140" s="192" t="inlineStr">
        <is>
          <t>T</t>
        </is>
      </c>
      <c r="C140" s="109" t="n">
        <v>54</v>
      </c>
      <c r="E140" s="109" t="inlineStr">
        <is>
          <t>no</t>
        </is>
      </c>
      <c r="F140" s="109" t="n">
        <v>0</v>
      </c>
      <c r="G140" s="192" t="n">
        <v>1</v>
      </c>
      <c r="H140" t="n">
        <v>0</v>
      </c>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c r="A141" s="192" t="inlineStr">
        <is>
          <t>SP-9</t>
        </is>
      </c>
      <c r="B141" s="192" t="inlineStr">
        <is>
          <t>U</t>
        </is>
      </c>
      <c r="C141" s="109" t="n">
        <v>38</v>
      </c>
      <c r="E141" s="109" t="inlineStr">
        <is>
          <t>no</t>
        </is>
      </c>
      <c r="F141" s="109" t="n">
        <v>0</v>
      </c>
      <c r="G141" s="192" t="n">
        <v>1</v>
      </c>
      <c r="H141" t="n">
        <v>0</v>
      </c>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c r="A142" s="192" t="inlineStr">
        <is>
          <t>SP-9</t>
        </is>
      </c>
      <c r="B142" s="192" t="inlineStr">
        <is>
          <t>V</t>
        </is>
      </c>
      <c r="C142" s="109" t="n">
        <v>361</v>
      </c>
      <c r="E142" s="109" t="inlineStr">
        <is>
          <t>no</t>
        </is>
      </c>
      <c r="F142" s="109" t="n">
        <v>1</v>
      </c>
      <c r="G142" s="192" t="n">
        <v>1</v>
      </c>
      <c r="H142" t="n">
        <v>0</v>
      </c>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c r="A143" s="192" t="inlineStr">
        <is>
          <t>SP-9</t>
        </is>
      </c>
      <c r="B143" s="192" t="inlineStr">
        <is>
          <t>W</t>
        </is>
      </c>
      <c r="C143" s="109" t="n">
        <v>220</v>
      </c>
      <c r="E143" s="109" t="inlineStr">
        <is>
          <t>no</t>
        </is>
      </c>
      <c r="F143" s="109" t="n">
        <v>1</v>
      </c>
      <c r="G143" s="192" t="n">
        <v>1</v>
      </c>
      <c r="H143" t="n">
        <v>0</v>
      </c>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c r="A144" s="192" t="inlineStr">
        <is>
          <t>SP-9</t>
        </is>
      </c>
      <c r="B144" s="192" t="inlineStr">
        <is>
          <t>X</t>
        </is>
      </c>
      <c r="C144" s="109" t="n">
        <v>100</v>
      </c>
      <c r="E144" s="109" t="inlineStr">
        <is>
          <t>no</t>
        </is>
      </c>
      <c r="F144" s="109" t="n">
        <v>0</v>
      </c>
      <c r="G144" s="192" t="n">
        <v>1</v>
      </c>
      <c r="H144" t="n">
        <v>0</v>
      </c>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c r="A145" s="192" t="inlineStr">
        <is>
          <t>SP-9</t>
        </is>
      </c>
      <c r="B145" s="192" t="inlineStr">
        <is>
          <t>Y</t>
        </is>
      </c>
      <c r="C145" s="109" t="n">
        <v>50</v>
      </c>
      <c r="E145" s="109" t="inlineStr">
        <is>
          <t>no</t>
        </is>
      </c>
      <c r="F145" s="109" t="n">
        <v>0</v>
      </c>
      <c r="G145" s="192" t="n">
        <v>1</v>
      </c>
      <c r="H145" t="n">
        <v>0</v>
      </c>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c r="A146" s="192" t="inlineStr">
        <is>
          <t>SP-9</t>
        </is>
      </c>
      <c r="B146" s="192" t="inlineStr">
        <is>
          <t>Z</t>
        </is>
      </c>
      <c r="C146" s="109" t="n">
        <v>201</v>
      </c>
      <c r="E146" s="109" t="inlineStr">
        <is>
          <t>no</t>
        </is>
      </c>
      <c r="F146" s="109" t="n">
        <v>1</v>
      </c>
      <c r="G146" s="192" t="n">
        <v>1</v>
      </c>
      <c r="H146" t="n">
        <v>0</v>
      </c>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c r="A147" s="109" t="inlineStr">
        <is>
          <t>SP-10</t>
        </is>
      </c>
      <c r="B147" s="192" t="inlineStr">
        <is>
          <t>A</t>
        </is>
      </c>
      <c r="C147" s="109" t="n">
        <v>89</v>
      </c>
      <c r="E147" s="109" t="inlineStr">
        <is>
          <t>yes</t>
        </is>
      </c>
      <c r="F147" s="109" t="n">
        <v>1</v>
      </c>
      <c r="G147" s="192" t="n">
        <v>2</v>
      </c>
      <c r="H147" t="n">
        <v>0</v>
      </c>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c r="A148" s="109" t="inlineStr">
        <is>
          <t>SP-10</t>
        </is>
      </c>
      <c r="B148" s="192" t="inlineStr">
        <is>
          <t xml:space="preserve">B </t>
        </is>
      </c>
      <c r="C148" s="109" t="n">
        <v>51</v>
      </c>
      <c r="E148" s="109" t="inlineStr">
        <is>
          <t>no</t>
        </is>
      </c>
      <c r="F148" s="109" t="n">
        <v>0</v>
      </c>
      <c r="G148" s="192" t="n">
        <v>1</v>
      </c>
      <c r="H148" t="n">
        <v>0</v>
      </c>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c r="A149" s="109" t="inlineStr">
        <is>
          <t>SP-10</t>
        </is>
      </c>
      <c r="B149" s="192" t="inlineStr">
        <is>
          <t>C</t>
        </is>
      </c>
      <c r="C149" s="109" t="n">
        <v>120</v>
      </c>
      <c r="E149" s="109" t="inlineStr">
        <is>
          <t>no</t>
        </is>
      </c>
      <c r="F149" s="109" t="n">
        <v>1</v>
      </c>
      <c r="G149" s="192" t="n">
        <v>1</v>
      </c>
      <c r="H149" t="n">
        <v>0</v>
      </c>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c r="A150" s="109" t="inlineStr">
        <is>
          <t>SP-10</t>
        </is>
      </c>
      <c r="B150" s="192" t="inlineStr">
        <is>
          <t>D</t>
        </is>
      </c>
      <c r="C150" s="109" t="n">
        <v>174</v>
      </c>
      <c r="E150" s="109" t="inlineStr">
        <is>
          <t>no</t>
        </is>
      </c>
      <c r="F150" s="109" t="n">
        <v>1</v>
      </c>
      <c r="G150" s="192" t="n">
        <v>1</v>
      </c>
      <c r="H150" t="n">
        <v>0</v>
      </c>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c r="A151" s="109" t="inlineStr">
        <is>
          <t>SP-10</t>
        </is>
      </c>
      <c r="B151" s="192" t="inlineStr">
        <is>
          <t>E</t>
        </is>
      </c>
      <c r="C151" s="109" t="n">
        <v>54</v>
      </c>
      <c r="E151" s="109" t="inlineStr">
        <is>
          <t>yes</t>
        </is>
      </c>
      <c r="F151" s="109" t="n">
        <v>1</v>
      </c>
      <c r="G151" s="192" t="n">
        <v>2</v>
      </c>
      <c r="H151" t="n">
        <v>0</v>
      </c>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c r="A152" s="109" t="inlineStr">
        <is>
          <t>SP-10</t>
        </is>
      </c>
      <c r="B152" s="192" t="inlineStr">
        <is>
          <t>F</t>
        </is>
      </c>
      <c r="C152" s="109" t="n">
        <v>226</v>
      </c>
      <c r="E152" s="109" t="inlineStr">
        <is>
          <t>no</t>
        </is>
      </c>
      <c r="F152" s="109" t="n">
        <v>0</v>
      </c>
      <c r="G152" s="192" t="n">
        <v>1</v>
      </c>
      <c r="H152" t="n">
        <v>0</v>
      </c>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c r="A153" s="109" t="inlineStr">
        <is>
          <t>SP-10</t>
        </is>
      </c>
      <c r="B153" s="192" t="inlineStr">
        <is>
          <t>G</t>
        </is>
      </c>
      <c r="C153" s="109" t="n">
        <v>55</v>
      </c>
      <c r="E153" s="109" t="inlineStr">
        <is>
          <t>no</t>
        </is>
      </c>
      <c r="F153" s="109" t="n">
        <v>0</v>
      </c>
      <c r="G153" s="192" t="n">
        <v>1</v>
      </c>
      <c r="H153" t="n">
        <v>0</v>
      </c>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c r="A154" s="109" t="inlineStr">
        <is>
          <t>SP-10</t>
        </is>
      </c>
      <c r="B154" s="192" t="inlineStr">
        <is>
          <t>H</t>
        </is>
      </c>
      <c r="C154" s="109" t="n">
        <v>419</v>
      </c>
      <c r="E154" s="109" t="inlineStr">
        <is>
          <t>no</t>
        </is>
      </c>
      <c r="F154" s="109" t="n">
        <v>1</v>
      </c>
      <c r="G154" s="192" t="n">
        <v>1</v>
      </c>
      <c r="H154" t="n">
        <v>0</v>
      </c>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c r="A155" s="109" t="inlineStr">
        <is>
          <t>SP-10</t>
        </is>
      </c>
      <c r="B155" s="192" t="inlineStr">
        <is>
          <t>I</t>
        </is>
      </c>
      <c r="C155" s="109" t="n">
        <v>214</v>
      </c>
      <c r="E155" s="109" t="inlineStr">
        <is>
          <t>no</t>
        </is>
      </c>
      <c r="F155" s="109" t="n">
        <v>1</v>
      </c>
      <c r="G155" s="192" t="n">
        <v>1</v>
      </c>
      <c r="H155" t="n">
        <v>0</v>
      </c>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c r="A156" s="109" t="inlineStr">
        <is>
          <t>SP-10</t>
        </is>
      </c>
      <c r="B156" s="192" t="inlineStr">
        <is>
          <t>J</t>
        </is>
      </c>
      <c r="C156" s="109" t="n">
        <v>67</v>
      </c>
      <c r="E156" s="109" t="inlineStr">
        <is>
          <t>yes</t>
        </is>
      </c>
      <c r="F156" s="109" t="n">
        <v>1</v>
      </c>
      <c r="G156" s="192" t="n">
        <v>2</v>
      </c>
      <c r="H156" t="n">
        <v>0</v>
      </c>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c r="A157" s="109" t="inlineStr">
        <is>
          <t>SP-10</t>
        </is>
      </c>
      <c r="B157" s="192" t="inlineStr">
        <is>
          <t>K</t>
        </is>
      </c>
      <c r="C157" s="109" t="n">
        <v>305</v>
      </c>
      <c r="E157" s="109" t="inlineStr">
        <is>
          <t>no</t>
        </is>
      </c>
      <c r="F157" s="109" t="n">
        <v>1</v>
      </c>
      <c r="G157" s="192" t="n">
        <v>1</v>
      </c>
      <c r="H157" t="n">
        <v>0</v>
      </c>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c r="A158" s="109" t="inlineStr">
        <is>
          <t>SP-11</t>
        </is>
      </c>
      <c r="B158" s="109" t="inlineStr">
        <is>
          <t>A</t>
        </is>
      </c>
      <c r="C158" s="109" t="n">
        <v>152</v>
      </c>
      <c r="E158" s="109" t="inlineStr">
        <is>
          <t>no</t>
        </is>
      </c>
      <c r="F158" s="109" t="n">
        <v>0</v>
      </c>
      <c r="G158" s="192" t="n">
        <v>1</v>
      </c>
      <c r="H158" t="n">
        <v>0</v>
      </c>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c r="A159" s="109" t="inlineStr">
        <is>
          <t>SP-11</t>
        </is>
      </c>
      <c r="B159" s="109" t="inlineStr">
        <is>
          <t xml:space="preserve">B </t>
        </is>
      </c>
      <c r="C159" s="109" t="n">
        <v>305</v>
      </c>
      <c r="E159" s="109" t="inlineStr">
        <is>
          <t>no</t>
        </is>
      </c>
      <c r="F159" s="109" t="n">
        <v>0</v>
      </c>
      <c r="G159" s="192" t="n">
        <v>1</v>
      </c>
      <c r="H159" t="n">
        <v>0</v>
      </c>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c r="A160" s="109" t="inlineStr">
        <is>
          <t>SP-12</t>
        </is>
      </c>
      <c r="B160" s="109" t="inlineStr">
        <is>
          <t>A</t>
        </is>
      </c>
      <c r="C160" s="109" t="n">
        <v>49</v>
      </c>
      <c r="E160" s="109" t="inlineStr">
        <is>
          <t>no</t>
        </is>
      </c>
      <c r="F160" s="109" t="n">
        <v>0</v>
      </c>
      <c r="G160" s="192" t="n">
        <v>1</v>
      </c>
      <c r="H160" t="n">
        <v>0</v>
      </c>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c r="A161" s="109" t="inlineStr">
        <is>
          <t>SP-12</t>
        </is>
      </c>
      <c r="B161" s="109" t="inlineStr">
        <is>
          <t xml:space="preserve">B </t>
        </is>
      </c>
      <c r="C161" s="109" t="n">
        <v>100</v>
      </c>
      <c r="E161" s="109" t="inlineStr">
        <is>
          <t>no</t>
        </is>
      </c>
      <c r="F161" s="109" t="n">
        <v>0</v>
      </c>
      <c r="G161" s="192" t="n">
        <v>1</v>
      </c>
      <c r="H161" t="n">
        <v>0</v>
      </c>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c r="A162" s="109" t="inlineStr">
        <is>
          <t>SP-13</t>
        </is>
      </c>
      <c r="B162" s="192" t="inlineStr">
        <is>
          <t>A</t>
        </is>
      </c>
      <c r="C162" s="109" t="n">
        <v>257</v>
      </c>
      <c r="E162" s="109" t="inlineStr">
        <is>
          <t>no</t>
        </is>
      </c>
      <c r="F162" s="109" t="n">
        <v>1</v>
      </c>
      <c r="G162" s="192" t="n">
        <v>1</v>
      </c>
      <c r="H162" t="n">
        <v>0</v>
      </c>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c r="A163" s="109" t="inlineStr">
        <is>
          <t>SP-13</t>
        </is>
      </c>
      <c r="B163" s="192" t="inlineStr">
        <is>
          <t xml:space="preserve">B </t>
        </is>
      </c>
      <c r="C163" s="109" t="n">
        <v>45</v>
      </c>
      <c r="E163" s="109" t="inlineStr">
        <is>
          <t>no</t>
        </is>
      </c>
      <c r="F163" s="109" t="n">
        <v>0</v>
      </c>
      <c r="G163" s="192" t="n">
        <v>1</v>
      </c>
      <c r="H163" t="n">
        <v>0</v>
      </c>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c r="A164" s="109" t="inlineStr">
        <is>
          <t>SP-13</t>
        </is>
      </c>
      <c r="B164" s="192" t="inlineStr">
        <is>
          <t>C</t>
        </is>
      </c>
      <c r="C164" s="109" t="n">
        <v>9</v>
      </c>
      <c r="E164" s="109" t="inlineStr">
        <is>
          <t>no</t>
        </is>
      </c>
      <c r="F164" s="109" t="n">
        <v>0</v>
      </c>
      <c r="G164" s="192" t="n">
        <v>1</v>
      </c>
      <c r="H164" t="n">
        <v>0</v>
      </c>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c r="A165" s="109" t="inlineStr">
        <is>
          <t>SP-13</t>
        </is>
      </c>
      <c r="B165" s="192" t="inlineStr">
        <is>
          <t>D</t>
        </is>
      </c>
      <c r="C165" s="109" t="n">
        <v>133</v>
      </c>
      <c r="E165" s="109" t="inlineStr">
        <is>
          <t>no</t>
        </is>
      </c>
      <c r="F165" s="109" t="n">
        <v>1</v>
      </c>
      <c r="G165" s="192" t="n">
        <v>1</v>
      </c>
      <c r="H165" t="n">
        <v>0</v>
      </c>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c r="A166" s="109" t="inlineStr">
        <is>
          <t>SP-13</t>
        </is>
      </c>
      <c r="B166" s="192" t="inlineStr">
        <is>
          <t>E</t>
        </is>
      </c>
      <c r="C166" s="109" t="n">
        <v>191</v>
      </c>
      <c r="E166" s="109" t="inlineStr">
        <is>
          <t>yes</t>
        </is>
      </c>
      <c r="F166" s="109" t="n">
        <v>1</v>
      </c>
      <c r="G166" s="192" t="n">
        <v>2</v>
      </c>
      <c r="H166" t="n">
        <v>0</v>
      </c>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c r="A167" s="109" t="inlineStr">
        <is>
          <t>SP-13</t>
        </is>
      </c>
      <c r="B167" s="192" t="inlineStr">
        <is>
          <t>F</t>
        </is>
      </c>
      <c r="C167" s="109" t="n">
        <v>185</v>
      </c>
      <c r="E167" s="109" t="inlineStr">
        <is>
          <t>no</t>
        </is>
      </c>
      <c r="F167" s="109" t="n">
        <v>1</v>
      </c>
      <c r="G167" s="192" t="n">
        <v>1</v>
      </c>
      <c r="H167" t="n">
        <v>0</v>
      </c>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c r="A168" s="109" t="inlineStr">
        <is>
          <t>SP-13</t>
        </is>
      </c>
      <c r="B168" s="192" t="inlineStr">
        <is>
          <t>G</t>
        </is>
      </c>
      <c r="C168" s="109" t="n">
        <v>111</v>
      </c>
      <c r="E168" s="109" t="inlineStr">
        <is>
          <t>yes</t>
        </is>
      </c>
      <c r="F168" s="109" t="n">
        <v>1</v>
      </c>
      <c r="G168" s="192" t="n">
        <v>2</v>
      </c>
      <c r="H168" t="n">
        <v>0</v>
      </c>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c r="A169" s="109" t="inlineStr">
        <is>
          <t>SP-13</t>
        </is>
      </c>
      <c r="B169" s="192" t="inlineStr">
        <is>
          <t>H</t>
        </is>
      </c>
      <c r="C169" s="109" t="n">
        <v>39</v>
      </c>
      <c r="E169" s="109" t="inlineStr">
        <is>
          <t>no</t>
        </is>
      </c>
      <c r="F169" s="109" t="n">
        <v>0</v>
      </c>
      <c r="G169" s="192" t="n">
        <v>1</v>
      </c>
      <c r="H169" t="n">
        <v>0</v>
      </c>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c r="A170" s="109" t="inlineStr">
        <is>
          <t>SP-13</t>
        </is>
      </c>
      <c r="B170" s="192" t="inlineStr">
        <is>
          <t>I</t>
        </is>
      </c>
      <c r="C170" s="109" t="n">
        <v>150</v>
      </c>
      <c r="E170" s="109" t="inlineStr">
        <is>
          <t>no</t>
        </is>
      </c>
      <c r="F170" s="109" t="n">
        <v>1</v>
      </c>
      <c r="G170" s="192" t="n">
        <v>1</v>
      </c>
      <c r="H170" t="n">
        <v>0</v>
      </c>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c r="A171" s="109" t="inlineStr">
        <is>
          <t>SP-13</t>
        </is>
      </c>
      <c r="B171" s="192" t="inlineStr">
        <is>
          <t>J</t>
        </is>
      </c>
      <c r="C171" s="109" t="n">
        <v>148</v>
      </c>
      <c r="E171" s="109" t="inlineStr">
        <is>
          <t>no</t>
        </is>
      </c>
      <c r="F171" s="109" t="n">
        <v>1</v>
      </c>
      <c r="G171" s="192" t="n">
        <v>1</v>
      </c>
      <c r="H171" t="n">
        <v>0</v>
      </c>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c r="A172" s="109" t="inlineStr">
        <is>
          <t>SP-13</t>
        </is>
      </c>
      <c r="B172" s="192" t="inlineStr">
        <is>
          <t>K</t>
        </is>
      </c>
      <c r="C172" s="109" t="n">
        <v>22</v>
      </c>
      <c r="E172" s="109" t="inlineStr">
        <is>
          <t>yes</t>
        </is>
      </c>
      <c r="F172" s="109" t="n">
        <v>1</v>
      </c>
      <c r="G172" s="192" t="n">
        <v>2</v>
      </c>
      <c r="H172" t="n">
        <v>0</v>
      </c>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c r="A173" s="109" t="inlineStr">
        <is>
          <t>SP-13</t>
        </is>
      </c>
      <c r="B173" s="192" t="inlineStr">
        <is>
          <t>L</t>
        </is>
      </c>
      <c r="C173" s="109" t="n">
        <v>42</v>
      </c>
      <c r="E173" s="109" t="inlineStr">
        <is>
          <t>no</t>
        </is>
      </c>
      <c r="F173" s="109" t="n">
        <v>0</v>
      </c>
      <c r="G173" s="192" t="n">
        <v>1</v>
      </c>
      <c r="H173" t="n">
        <v>0</v>
      </c>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c r="A174" s="109" t="inlineStr">
        <is>
          <t>SP-13</t>
        </is>
      </c>
      <c r="B174" s="192" t="inlineStr">
        <is>
          <t>M</t>
        </is>
      </c>
      <c r="C174" s="109" t="n">
        <v>12</v>
      </c>
      <c r="E174" s="109" t="inlineStr">
        <is>
          <t>no</t>
        </is>
      </c>
      <c r="F174" s="109" t="n">
        <v>0</v>
      </c>
      <c r="G174" s="192" t="n">
        <v>1</v>
      </c>
      <c r="H174" t="n">
        <v>0</v>
      </c>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c r="A175" s="109" t="inlineStr">
        <is>
          <t>SP-13</t>
        </is>
      </c>
      <c r="B175" s="192" t="inlineStr">
        <is>
          <t>N</t>
        </is>
      </c>
      <c r="C175" s="109" t="n">
        <v>164</v>
      </c>
      <c r="E175" s="109" t="inlineStr">
        <is>
          <t>no</t>
        </is>
      </c>
      <c r="F175" s="109" t="n">
        <v>1</v>
      </c>
      <c r="G175" s="192" t="n">
        <v>1</v>
      </c>
      <c r="H175" t="n">
        <v>0</v>
      </c>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c r="A176" s="109" t="inlineStr">
        <is>
          <t>SP-13</t>
        </is>
      </c>
      <c r="B176" s="192" t="inlineStr">
        <is>
          <t>O</t>
        </is>
      </c>
      <c r="C176" s="109" t="n">
        <v>201</v>
      </c>
      <c r="E176" s="109" t="inlineStr">
        <is>
          <t>no</t>
        </is>
      </c>
      <c r="F176" s="109" t="n">
        <v>1</v>
      </c>
      <c r="G176" s="192" t="n">
        <v>1</v>
      </c>
      <c r="H176" t="n">
        <v>0</v>
      </c>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c r="A177" s="109" t="inlineStr">
        <is>
          <t>SP-13</t>
        </is>
      </c>
      <c r="B177" s="192" t="inlineStr">
        <is>
          <t>P</t>
        </is>
      </c>
      <c r="C177" s="109" t="n">
        <v>46</v>
      </c>
      <c r="E177" s="109" t="inlineStr">
        <is>
          <t>no</t>
        </is>
      </c>
      <c r="F177" s="109" t="n">
        <v>0</v>
      </c>
      <c r="G177" s="192" t="n">
        <v>1</v>
      </c>
      <c r="H177" t="n">
        <v>0</v>
      </c>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c r="A178" s="109" t="inlineStr">
        <is>
          <t>SP-14</t>
        </is>
      </c>
      <c r="B178" s="192" t="inlineStr">
        <is>
          <t>A</t>
        </is>
      </c>
      <c r="C178" s="109" t="n">
        <v>332</v>
      </c>
      <c r="E178" s="109" t="inlineStr">
        <is>
          <t>no</t>
        </is>
      </c>
      <c r="F178" s="109" t="n">
        <v>0</v>
      </c>
      <c r="G178" s="192" t="n">
        <v>1</v>
      </c>
      <c r="H178" t="n">
        <v>0</v>
      </c>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c r="A179" s="109" t="inlineStr">
        <is>
          <t>SP-14</t>
        </is>
      </c>
      <c r="B179" s="192" t="inlineStr">
        <is>
          <t xml:space="preserve">B </t>
        </is>
      </c>
      <c r="C179" s="109" t="n">
        <v>44</v>
      </c>
      <c r="E179" s="109" t="inlineStr">
        <is>
          <t>no</t>
        </is>
      </c>
      <c r="F179" s="109" t="n">
        <v>0</v>
      </c>
      <c r="G179" s="192" t="n">
        <v>1</v>
      </c>
      <c r="H179" t="n">
        <v>0</v>
      </c>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c r="A180" s="109" t="inlineStr">
        <is>
          <t>SP-14</t>
        </is>
      </c>
      <c r="B180" s="192" t="inlineStr">
        <is>
          <t>C</t>
        </is>
      </c>
      <c r="C180" s="109" t="n">
        <v>95</v>
      </c>
      <c r="E180" s="109" t="inlineStr">
        <is>
          <t>no</t>
        </is>
      </c>
      <c r="F180" s="109" t="n">
        <v>0</v>
      </c>
      <c r="G180" s="192" t="n">
        <v>1</v>
      </c>
      <c r="H180" t="n">
        <v>0</v>
      </c>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c r="A181" s="109" t="inlineStr">
        <is>
          <t>SP-14</t>
        </is>
      </c>
      <c r="B181" s="192" t="inlineStr">
        <is>
          <t>D</t>
        </is>
      </c>
      <c r="C181" s="109" t="n">
        <v>221</v>
      </c>
      <c r="E181" s="109" t="inlineStr">
        <is>
          <t>no</t>
        </is>
      </c>
      <c r="F181" s="109" t="n">
        <v>1</v>
      </c>
      <c r="G181" s="192" t="n">
        <v>1</v>
      </c>
      <c r="H181" t="n">
        <v>0</v>
      </c>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c r="A182" s="109" t="inlineStr">
        <is>
          <t>SP-14</t>
        </is>
      </c>
      <c r="B182" s="192" t="inlineStr">
        <is>
          <t>E</t>
        </is>
      </c>
      <c r="C182" s="109" t="n">
        <v>41</v>
      </c>
      <c r="E182" s="109" t="inlineStr">
        <is>
          <t>no</t>
        </is>
      </c>
      <c r="F182" s="109" t="n">
        <v>0</v>
      </c>
      <c r="G182" s="192" t="n">
        <v>1</v>
      </c>
      <c r="H182" t="n">
        <v>0</v>
      </c>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c r="A183" s="109" t="inlineStr">
        <is>
          <t>SP-14</t>
        </is>
      </c>
      <c r="B183" s="192" t="inlineStr">
        <is>
          <t>F</t>
        </is>
      </c>
      <c r="C183" s="109" t="n">
        <v>130</v>
      </c>
      <c r="E183" s="109" t="inlineStr">
        <is>
          <t>yes</t>
        </is>
      </c>
      <c r="F183" s="109" t="n">
        <v>1</v>
      </c>
      <c r="G183" s="192" t="n">
        <v>2</v>
      </c>
      <c r="H183" t="n">
        <v>0</v>
      </c>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c r="A184" s="109" t="inlineStr">
        <is>
          <t>SP-14</t>
        </is>
      </c>
      <c r="B184" s="192" t="inlineStr">
        <is>
          <t>G</t>
        </is>
      </c>
      <c r="C184" s="109" t="n">
        <v>50</v>
      </c>
      <c r="E184" s="109" t="inlineStr">
        <is>
          <t>yes</t>
        </is>
      </c>
      <c r="F184" s="109" t="n">
        <v>1</v>
      </c>
      <c r="G184" s="192" t="n">
        <v>2</v>
      </c>
      <c r="H184" t="n">
        <v>0</v>
      </c>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c r="A185" s="109" t="inlineStr">
        <is>
          <t>SP-14</t>
        </is>
      </c>
      <c r="B185" s="192" t="inlineStr">
        <is>
          <t>H</t>
        </is>
      </c>
      <c r="C185" s="109" t="n">
        <v>41</v>
      </c>
      <c r="E185" s="109" t="inlineStr">
        <is>
          <t>no</t>
        </is>
      </c>
      <c r="F185" s="109" t="n">
        <v>0</v>
      </c>
      <c r="G185" s="192" t="n">
        <v>1</v>
      </c>
      <c r="H185" t="n">
        <v>0</v>
      </c>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c r="A186" s="109" t="inlineStr">
        <is>
          <t>SP-14</t>
        </is>
      </c>
      <c r="B186" s="192" t="inlineStr">
        <is>
          <t>I</t>
        </is>
      </c>
      <c r="C186" s="109" t="n">
        <v>155</v>
      </c>
      <c r="E186" s="109" t="inlineStr">
        <is>
          <t>no</t>
        </is>
      </c>
      <c r="F186" s="109" t="n">
        <v>1</v>
      </c>
      <c r="G186" s="192" t="n">
        <v>1</v>
      </c>
      <c r="H186" t="n">
        <v>0</v>
      </c>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c r="A187" s="109" t="inlineStr">
        <is>
          <t>SP-14</t>
        </is>
      </c>
      <c r="B187" s="192" t="inlineStr">
        <is>
          <t>J</t>
        </is>
      </c>
      <c r="C187" s="109" t="n">
        <v>60</v>
      </c>
      <c r="E187" s="109" t="inlineStr">
        <is>
          <t>yes</t>
        </is>
      </c>
      <c r="F187" s="109" t="n">
        <v>1</v>
      </c>
      <c r="G187" s="192" t="n">
        <v>2</v>
      </c>
      <c r="H187" t="n">
        <v>0</v>
      </c>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c r="A188" s="109" t="inlineStr">
        <is>
          <t>SP-14</t>
        </is>
      </c>
      <c r="B188" s="192" t="inlineStr">
        <is>
          <t>K</t>
        </is>
      </c>
      <c r="C188" s="109" t="n">
        <v>39</v>
      </c>
      <c r="E188" s="109" t="inlineStr">
        <is>
          <t>no</t>
        </is>
      </c>
      <c r="F188" s="109" t="n">
        <v>0</v>
      </c>
      <c r="G188" s="192" t="n">
        <v>1</v>
      </c>
      <c r="H188" t="n">
        <v>0</v>
      </c>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c r="A189" s="109" t="inlineStr">
        <is>
          <t>SP-14</t>
        </is>
      </c>
      <c r="B189" s="192" t="inlineStr">
        <is>
          <t>L</t>
        </is>
      </c>
      <c r="C189" s="109" t="n">
        <v>45</v>
      </c>
      <c r="E189" s="109" t="inlineStr">
        <is>
          <t>no</t>
        </is>
      </c>
      <c r="F189" s="109" t="n">
        <v>0</v>
      </c>
      <c r="G189" s="192" t="n">
        <v>1</v>
      </c>
      <c r="H189" t="n">
        <v>0</v>
      </c>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c r="A190" s="109" t="inlineStr">
        <is>
          <t>SP-15</t>
        </is>
      </c>
      <c r="B190" s="192" t="inlineStr">
        <is>
          <t>A</t>
        </is>
      </c>
      <c r="C190" s="109" t="n">
        <v>94</v>
      </c>
      <c r="E190" s="109" t="inlineStr">
        <is>
          <t>yes</t>
        </is>
      </c>
      <c r="F190" s="109" t="n">
        <v>1</v>
      </c>
      <c r="G190" s="192" t="n">
        <v>2</v>
      </c>
      <c r="H190" t="n">
        <v>0</v>
      </c>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c r="A191" s="109" t="inlineStr">
        <is>
          <t>SP-15</t>
        </is>
      </c>
      <c r="B191" s="192" t="inlineStr">
        <is>
          <t xml:space="preserve">B </t>
        </is>
      </c>
      <c r="C191" s="109" t="n">
        <v>41</v>
      </c>
      <c r="E191" s="109" t="inlineStr">
        <is>
          <t>no</t>
        </is>
      </c>
      <c r="F191" s="109" t="n">
        <v>0</v>
      </c>
      <c r="G191" s="192" t="n">
        <v>1</v>
      </c>
      <c r="H191" t="n">
        <v>0</v>
      </c>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c r="A192" s="109" t="inlineStr">
        <is>
          <t>SP-15</t>
        </is>
      </c>
      <c r="B192" s="192" t="inlineStr">
        <is>
          <t>C</t>
        </is>
      </c>
      <c r="C192" s="109" t="n">
        <v>44</v>
      </c>
      <c r="E192" s="109" t="inlineStr">
        <is>
          <t>no</t>
        </is>
      </c>
      <c r="F192" s="109" t="n">
        <v>0</v>
      </c>
      <c r="G192" s="192" t="n">
        <v>1</v>
      </c>
      <c r="H192" t="n">
        <v>0</v>
      </c>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c r="A193" s="109" t="inlineStr">
        <is>
          <t>SP-15</t>
        </is>
      </c>
      <c r="B193" s="192" t="inlineStr">
        <is>
          <t>D</t>
        </is>
      </c>
      <c r="C193" s="109" t="n">
        <v>5</v>
      </c>
      <c r="E193" s="109" t="inlineStr">
        <is>
          <t>no</t>
        </is>
      </c>
      <c r="F193" s="109" t="n">
        <v>0</v>
      </c>
      <c r="G193" s="192" t="n">
        <v>1</v>
      </c>
      <c r="H193" t="n">
        <v>0</v>
      </c>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c r="A194" s="109" t="inlineStr">
        <is>
          <t>SP-15</t>
        </is>
      </c>
      <c r="B194" s="192" t="inlineStr">
        <is>
          <t>E</t>
        </is>
      </c>
      <c r="C194" s="109" t="n">
        <v>128</v>
      </c>
      <c r="E194" s="109" t="inlineStr">
        <is>
          <t>yes</t>
        </is>
      </c>
      <c r="F194" s="109" t="n">
        <v>1</v>
      </c>
      <c r="G194" s="192" t="n">
        <v>2</v>
      </c>
      <c r="H194" t="n">
        <v>0</v>
      </c>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c r="A195" s="109" t="inlineStr">
        <is>
          <t>SP-15</t>
        </is>
      </c>
      <c r="B195" s="192" t="inlineStr">
        <is>
          <t>F</t>
        </is>
      </c>
      <c r="C195" s="109" t="n">
        <v>41</v>
      </c>
      <c r="E195" s="109" t="inlineStr">
        <is>
          <t>no</t>
        </is>
      </c>
      <c r="F195" s="109" t="n">
        <v>0</v>
      </c>
      <c r="G195" s="192" t="n">
        <v>1</v>
      </c>
      <c r="H195" t="n">
        <v>0</v>
      </c>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c r="A196" s="109" t="inlineStr">
        <is>
          <t>SP-15</t>
        </is>
      </c>
      <c r="B196" s="192" t="inlineStr">
        <is>
          <t>G</t>
        </is>
      </c>
      <c r="C196" s="109" t="n">
        <v>285</v>
      </c>
      <c r="E196" s="109" t="inlineStr">
        <is>
          <t>no</t>
        </is>
      </c>
      <c r="F196" s="109" t="n">
        <v>1</v>
      </c>
      <c r="G196" s="192" t="n">
        <v>1</v>
      </c>
      <c r="H196" t="n">
        <v>0</v>
      </c>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c r="A197" s="109" t="inlineStr">
        <is>
          <t>SP-15</t>
        </is>
      </c>
      <c r="B197" s="192" t="inlineStr">
        <is>
          <t>H</t>
        </is>
      </c>
      <c r="C197" s="109" t="n">
        <v>110</v>
      </c>
      <c r="E197" s="109" t="inlineStr">
        <is>
          <t>yes</t>
        </is>
      </c>
      <c r="F197" s="109" t="n">
        <v>1</v>
      </c>
      <c r="G197" s="192" t="n">
        <v>2</v>
      </c>
      <c r="H197" t="n">
        <v>0</v>
      </c>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c r="A198" s="109" t="inlineStr">
        <is>
          <t>SP-15</t>
        </is>
      </c>
      <c r="B198" s="192" t="inlineStr">
        <is>
          <t>I</t>
        </is>
      </c>
      <c r="C198" s="109" t="n">
        <v>41</v>
      </c>
      <c r="E198" s="109" t="inlineStr">
        <is>
          <t>no</t>
        </is>
      </c>
      <c r="F198" s="109" t="n">
        <v>0</v>
      </c>
      <c r="G198" s="192" t="n">
        <v>1</v>
      </c>
      <c r="H198" t="n">
        <v>0</v>
      </c>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c r="A199" s="109" t="inlineStr">
        <is>
          <t>SP-15</t>
        </is>
      </c>
      <c r="B199" s="192" t="inlineStr">
        <is>
          <t>J</t>
        </is>
      </c>
      <c r="C199" s="109" t="n">
        <v>141</v>
      </c>
      <c r="E199" s="109" t="inlineStr">
        <is>
          <t>no</t>
        </is>
      </c>
      <c r="F199" s="109" t="n">
        <v>1</v>
      </c>
      <c r="G199" s="192" t="n">
        <v>1</v>
      </c>
      <c r="H199" t="n">
        <v>0</v>
      </c>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c r="A200" s="109" t="inlineStr">
        <is>
          <t>SP-15</t>
        </is>
      </c>
      <c r="B200" s="192" t="inlineStr">
        <is>
          <t>K</t>
        </is>
      </c>
      <c r="C200" s="109" t="n">
        <v>40</v>
      </c>
      <c r="E200" s="109" t="inlineStr">
        <is>
          <t>no</t>
        </is>
      </c>
      <c r="F200" s="109" t="n">
        <v>0</v>
      </c>
      <c r="G200" s="192" t="n">
        <v>1</v>
      </c>
      <c r="H200" t="n">
        <v>0</v>
      </c>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c r="A201" s="109" t="inlineStr">
        <is>
          <t>SP-15</t>
        </is>
      </c>
      <c r="B201" s="192" t="inlineStr">
        <is>
          <t>L</t>
        </is>
      </c>
      <c r="C201" s="109" t="n">
        <v>55</v>
      </c>
      <c r="E201" s="109" t="inlineStr">
        <is>
          <t>no</t>
        </is>
      </c>
      <c r="F201" s="109" t="n">
        <v>0</v>
      </c>
      <c r="G201" s="192" t="n">
        <v>1</v>
      </c>
      <c r="H201" t="n">
        <v>0</v>
      </c>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c r="A202" s="109" t="inlineStr">
        <is>
          <t>SP-15</t>
        </is>
      </c>
      <c r="B202" s="192" t="inlineStr">
        <is>
          <t>M</t>
        </is>
      </c>
      <c r="C202" s="109" t="n">
        <v>38</v>
      </c>
      <c r="E202" s="109" t="inlineStr">
        <is>
          <t>no</t>
        </is>
      </c>
      <c r="F202" s="109" t="n">
        <v>0</v>
      </c>
      <c r="G202" s="192" t="n">
        <v>1</v>
      </c>
      <c r="H202" t="n">
        <v>0</v>
      </c>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c r="A203" s="109" t="inlineStr">
        <is>
          <t>SP-15</t>
        </is>
      </c>
      <c r="B203" s="192" t="inlineStr">
        <is>
          <t>N</t>
        </is>
      </c>
      <c r="C203" s="109" t="n">
        <v>41</v>
      </c>
      <c r="E203" s="109" t="inlineStr">
        <is>
          <t>no</t>
        </is>
      </c>
      <c r="F203" s="109" t="n">
        <v>0</v>
      </c>
      <c r="G203" s="192" t="n">
        <v>1</v>
      </c>
      <c r="H203" t="n">
        <v>0</v>
      </c>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c r="A204" s="109" t="inlineStr">
        <is>
          <t>SP-15</t>
        </is>
      </c>
      <c r="B204" s="192" t="inlineStr">
        <is>
          <t>O</t>
        </is>
      </c>
      <c r="C204" s="109" t="n">
        <v>133</v>
      </c>
      <c r="E204" s="109" t="inlineStr">
        <is>
          <t>no</t>
        </is>
      </c>
      <c r="F204" s="109" t="n">
        <v>1</v>
      </c>
      <c r="G204" s="192" t="n">
        <v>1</v>
      </c>
      <c r="H204" t="n">
        <v>0</v>
      </c>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c r="A205" s="109" t="inlineStr">
        <is>
          <t>SP-15</t>
        </is>
      </c>
      <c r="B205" s="192" t="inlineStr">
        <is>
          <t>P</t>
        </is>
      </c>
      <c r="C205" s="109" t="n">
        <v>39</v>
      </c>
      <c r="E205" s="109" t="inlineStr">
        <is>
          <t>no</t>
        </is>
      </c>
      <c r="F205" s="109" t="n">
        <v>0</v>
      </c>
      <c r="G205" s="192" t="n">
        <v>1</v>
      </c>
      <c r="H205" t="n">
        <v>0</v>
      </c>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c r="A206" s="109" t="inlineStr">
        <is>
          <t>SP-15</t>
        </is>
      </c>
      <c r="B206" s="192" t="inlineStr">
        <is>
          <t>Q</t>
        </is>
      </c>
      <c r="C206" s="109" t="n">
        <v>38</v>
      </c>
      <c r="E206" s="109" t="inlineStr">
        <is>
          <t>no</t>
        </is>
      </c>
      <c r="F206" s="109" t="n">
        <v>1</v>
      </c>
      <c r="G206" s="192" t="n">
        <v>1</v>
      </c>
      <c r="H206" t="n">
        <v>0</v>
      </c>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c r="A207" s="109" t="inlineStr">
        <is>
          <t>SP-15</t>
        </is>
      </c>
      <c r="B207" s="192" t="inlineStr">
        <is>
          <t>R</t>
        </is>
      </c>
      <c r="C207" s="109" t="n">
        <v>24</v>
      </c>
      <c r="E207" s="109" t="inlineStr">
        <is>
          <t>no</t>
        </is>
      </c>
      <c r="F207" s="109" t="n">
        <v>1</v>
      </c>
      <c r="G207" s="192" t="n">
        <v>1</v>
      </c>
      <c r="H207" t="n">
        <v>0</v>
      </c>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c r="A208" s="109" t="inlineStr">
        <is>
          <t>SP-15</t>
        </is>
      </c>
      <c r="B208" s="192" t="inlineStr">
        <is>
          <t>S</t>
        </is>
      </c>
      <c r="C208" s="109" t="n">
        <v>119</v>
      </c>
      <c r="E208" s="109" t="inlineStr">
        <is>
          <t>no</t>
        </is>
      </c>
      <c r="F208" s="109" t="n">
        <v>1</v>
      </c>
      <c r="G208" s="192" t="n">
        <v>1</v>
      </c>
      <c r="H208" t="n">
        <v>0</v>
      </c>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c r="A209" s="109" t="inlineStr">
        <is>
          <t>SP-15</t>
        </is>
      </c>
      <c r="B209" s="192" t="inlineStr">
        <is>
          <t>T</t>
        </is>
      </c>
      <c r="C209" s="109" t="n">
        <v>44</v>
      </c>
      <c r="E209" s="109" t="inlineStr">
        <is>
          <t>no</t>
        </is>
      </c>
      <c r="F209" s="109" t="n">
        <v>0</v>
      </c>
      <c r="G209" s="192" t="n">
        <v>1</v>
      </c>
      <c r="H209" t="n">
        <v>0</v>
      </c>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c r="A210" s="109" t="inlineStr">
        <is>
          <t>SP-15</t>
        </is>
      </c>
      <c r="B210" s="192" t="inlineStr">
        <is>
          <t>U</t>
        </is>
      </c>
      <c r="C210" s="109" t="n">
        <v>70</v>
      </c>
      <c r="E210" s="109" t="inlineStr">
        <is>
          <t>no</t>
        </is>
      </c>
      <c r="F210" s="109" t="n">
        <v>0</v>
      </c>
      <c r="G210" s="192" t="n">
        <v>1</v>
      </c>
      <c r="H210" t="n">
        <v>0</v>
      </c>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c r="A211" s="109" t="inlineStr">
        <is>
          <t>SP-15</t>
        </is>
      </c>
      <c r="B211" s="109" t="inlineStr">
        <is>
          <t>V</t>
        </is>
      </c>
      <c r="C211" s="109" t="n">
        <v>41</v>
      </c>
      <c r="E211" s="109" t="inlineStr">
        <is>
          <t>no</t>
        </is>
      </c>
      <c r="F211" s="109" t="n">
        <v>0</v>
      </c>
      <c r="G211" s="192" t="n">
        <v>1</v>
      </c>
      <c r="H211" t="n">
        <v>0</v>
      </c>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c r="A212" s="109" t="inlineStr">
        <is>
          <t>SP-16</t>
        </is>
      </c>
      <c r="B212" s="192" t="inlineStr">
        <is>
          <t>A</t>
        </is>
      </c>
      <c r="C212" s="109" t="n">
        <v>198</v>
      </c>
      <c r="E212" s="109" t="inlineStr">
        <is>
          <t>no</t>
        </is>
      </c>
      <c r="F212" s="109" t="n">
        <v>1</v>
      </c>
      <c r="G212" s="192" t="n">
        <v>1</v>
      </c>
      <c r="H212" t="n">
        <v>0</v>
      </c>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c r="A213" s="109" t="inlineStr">
        <is>
          <t>SP-16</t>
        </is>
      </c>
      <c r="B213" s="192" t="inlineStr">
        <is>
          <t xml:space="preserve">B </t>
        </is>
      </c>
      <c r="C213" s="109" t="n">
        <v>174</v>
      </c>
      <c r="E213" s="109" t="inlineStr">
        <is>
          <t>no</t>
        </is>
      </c>
      <c r="F213" s="109" t="n">
        <v>1</v>
      </c>
      <c r="G213" s="192" t="n">
        <v>1</v>
      </c>
      <c r="H213" t="n">
        <v>0</v>
      </c>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c r="A214" s="109" t="inlineStr">
        <is>
          <t>SP-16</t>
        </is>
      </c>
      <c r="B214" s="192" t="inlineStr">
        <is>
          <t>C</t>
        </is>
      </c>
      <c r="C214" s="109" t="n">
        <v>41</v>
      </c>
      <c r="E214" s="109" t="inlineStr">
        <is>
          <t>no</t>
        </is>
      </c>
      <c r="F214" s="109" t="n">
        <v>0</v>
      </c>
      <c r="G214" s="192" t="n">
        <v>1</v>
      </c>
      <c r="H214" t="n">
        <v>0</v>
      </c>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c r="A215" s="109" t="inlineStr">
        <is>
          <t>SP-16</t>
        </is>
      </c>
      <c r="B215" s="192" t="inlineStr">
        <is>
          <t>D</t>
        </is>
      </c>
      <c r="C215" s="109" t="n">
        <v>189</v>
      </c>
      <c r="E215" s="109" t="inlineStr">
        <is>
          <t>yes</t>
        </is>
      </c>
      <c r="F215" s="109" t="n">
        <v>1</v>
      </c>
      <c r="G215" s="192" t="n">
        <v>2</v>
      </c>
      <c r="H215" t="n">
        <v>0</v>
      </c>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c r="A216" s="109" t="inlineStr">
        <is>
          <t>SP-16</t>
        </is>
      </c>
      <c r="B216" s="192" t="inlineStr">
        <is>
          <t>E</t>
        </is>
      </c>
      <c r="C216" s="109" t="n">
        <v>64</v>
      </c>
      <c r="E216" s="109" t="inlineStr">
        <is>
          <t>yes</t>
        </is>
      </c>
      <c r="F216" s="109" t="n">
        <v>1</v>
      </c>
      <c r="G216" s="192" t="n">
        <v>2</v>
      </c>
      <c r="H216" t="n">
        <v>0</v>
      </c>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c r="A217" s="109" t="inlineStr">
        <is>
          <t>SP-16</t>
        </is>
      </c>
      <c r="B217" s="192" t="inlineStr">
        <is>
          <t>F</t>
        </is>
      </c>
      <c r="C217" s="109" t="n">
        <v>41</v>
      </c>
      <c r="E217" s="109" t="inlineStr">
        <is>
          <t>no</t>
        </is>
      </c>
      <c r="F217" s="109" t="n">
        <v>0</v>
      </c>
      <c r="G217" s="192" t="n">
        <v>1</v>
      </c>
      <c r="H217" t="n">
        <v>0</v>
      </c>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c r="A218" s="109" t="inlineStr">
        <is>
          <t>SP-16</t>
        </is>
      </c>
      <c r="B218" s="192" t="inlineStr">
        <is>
          <t>G</t>
        </is>
      </c>
      <c r="C218" s="109" t="n">
        <v>207</v>
      </c>
      <c r="E218" s="109" t="inlineStr">
        <is>
          <t>no</t>
        </is>
      </c>
      <c r="F218" s="109" t="n">
        <v>1</v>
      </c>
      <c r="G218" s="192" t="n">
        <v>1</v>
      </c>
      <c r="H218" t="n">
        <v>0</v>
      </c>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c r="A219" s="109" t="inlineStr">
        <is>
          <t>SP-16</t>
        </is>
      </c>
      <c r="B219" s="192" t="inlineStr">
        <is>
          <t>H</t>
        </is>
      </c>
      <c r="C219" s="109" t="n">
        <v>41</v>
      </c>
      <c r="E219" s="109" t="inlineStr">
        <is>
          <t>no</t>
        </is>
      </c>
      <c r="F219" s="109" t="n">
        <v>0</v>
      </c>
      <c r="G219" s="192" t="n">
        <v>1</v>
      </c>
      <c r="H219" t="n">
        <v>0</v>
      </c>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c r="A220" s="109" t="inlineStr">
        <is>
          <t>SP-16</t>
        </is>
      </c>
      <c r="B220" s="192" t="inlineStr">
        <is>
          <t>I</t>
        </is>
      </c>
      <c r="C220" s="109" t="n">
        <v>101</v>
      </c>
      <c r="E220" s="109" t="inlineStr">
        <is>
          <t>yes</t>
        </is>
      </c>
      <c r="F220" s="109" t="n">
        <v>1</v>
      </c>
      <c r="G220" s="192" t="n">
        <v>2</v>
      </c>
      <c r="H220" t="n">
        <v>0</v>
      </c>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c r="A221" s="109" t="inlineStr">
        <is>
          <t>SP-16</t>
        </is>
      </c>
      <c r="B221" s="192" t="inlineStr">
        <is>
          <t>J</t>
        </is>
      </c>
      <c r="C221" s="109" t="n">
        <v>149</v>
      </c>
      <c r="E221" s="109" t="inlineStr">
        <is>
          <t>yes</t>
        </is>
      </c>
      <c r="F221" s="109" t="n">
        <v>1</v>
      </c>
      <c r="G221" s="192" t="n">
        <v>2</v>
      </c>
      <c r="H221" t="n">
        <v>0</v>
      </c>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c r="A222" s="109" t="inlineStr">
        <is>
          <t>SP-16</t>
        </is>
      </c>
      <c r="B222" s="109" t="inlineStr">
        <is>
          <t>K</t>
        </is>
      </c>
      <c r="C222" s="109" t="n">
        <v>308</v>
      </c>
      <c r="E222" s="109" t="inlineStr">
        <is>
          <t>no</t>
        </is>
      </c>
      <c r="F222" s="109" t="n">
        <v>1</v>
      </c>
      <c r="G222" s="192" t="n">
        <v>1</v>
      </c>
      <c r="H222" t="n">
        <v>0</v>
      </c>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c r="A223" s="109" t="inlineStr">
        <is>
          <t>SP-17</t>
        </is>
      </c>
      <c r="B223" s="192" t="inlineStr">
        <is>
          <t>A</t>
        </is>
      </c>
      <c r="C223" s="109" t="n">
        <v>35</v>
      </c>
      <c r="E223" s="109" t="inlineStr">
        <is>
          <t>yes</t>
        </is>
      </c>
      <c r="F223" s="109" t="n">
        <v>1</v>
      </c>
      <c r="G223" s="192" t="n">
        <v>2</v>
      </c>
      <c r="H223" t="n">
        <v>1</v>
      </c>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c r="A224" s="109" t="inlineStr">
        <is>
          <t>SP-17</t>
        </is>
      </c>
      <c r="B224" s="192" t="inlineStr">
        <is>
          <t xml:space="preserve">B </t>
        </is>
      </c>
      <c r="C224" s="109" t="n">
        <v>38</v>
      </c>
      <c r="E224" s="109" t="inlineStr">
        <is>
          <t>no</t>
        </is>
      </c>
      <c r="F224" s="109" t="n">
        <v>0</v>
      </c>
      <c r="G224" s="192" t="n">
        <v>1</v>
      </c>
      <c r="H224" t="n">
        <v>0</v>
      </c>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c r="A225" s="109" t="inlineStr">
        <is>
          <t>SP-17</t>
        </is>
      </c>
      <c r="B225" s="192" t="inlineStr">
        <is>
          <t>C</t>
        </is>
      </c>
      <c r="C225" s="109" t="n">
        <v>257</v>
      </c>
      <c r="E225" s="109" t="inlineStr">
        <is>
          <t>no</t>
        </is>
      </c>
      <c r="F225" s="109" t="n">
        <v>1</v>
      </c>
      <c r="G225" s="192" t="n">
        <v>1</v>
      </c>
      <c r="H225" t="n">
        <v>0</v>
      </c>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c r="A226" s="109" t="inlineStr">
        <is>
          <t>SP-17</t>
        </is>
      </c>
      <c r="B226" s="192" t="inlineStr">
        <is>
          <t>D</t>
        </is>
      </c>
      <c r="C226" s="109" t="n">
        <v>44</v>
      </c>
      <c r="E226" s="109" t="inlineStr">
        <is>
          <t>yes</t>
        </is>
      </c>
      <c r="F226" s="109" t="n">
        <v>0</v>
      </c>
      <c r="G226" s="192" t="n">
        <v>2</v>
      </c>
      <c r="H226" t="n">
        <v>0</v>
      </c>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c r="A227" s="109" t="inlineStr">
        <is>
          <t>SP-17</t>
        </is>
      </c>
      <c r="B227" s="192" t="inlineStr">
        <is>
          <t>E</t>
        </is>
      </c>
      <c r="C227" s="109" t="n">
        <v>20</v>
      </c>
      <c r="E227" s="109" t="inlineStr">
        <is>
          <t>no</t>
        </is>
      </c>
      <c r="F227" s="109" t="n">
        <v>0</v>
      </c>
      <c r="G227" s="192" t="n">
        <v>1</v>
      </c>
      <c r="H227" t="n">
        <v>0</v>
      </c>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c r="A228" s="109" t="inlineStr">
        <is>
          <t>SP-17</t>
        </is>
      </c>
      <c r="B228" s="192" t="inlineStr">
        <is>
          <t>F</t>
        </is>
      </c>
      <c r="C228" s="109" t="n">
        <v>53</v>
      </c>
      <c r="E228" s="109" t="inlineStr">
        <is>
          <t>no</t>
        </is>
      </c>
      <c r="F228" s="109" t="n">
        <v>0</v>
      </c>
      <c r="G228" s="192" t="n">
        <v>1</v>
      </c>
      <c r="H228" t="n">
        <v>0</v>
      </c>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c r="A229" s="109" t="inlineStr">
        <is>
          <t>SP-17</t>
        </is>
      </c>
      <c r="B229" s="192" t="inlineStr">
        <is>
          <t>G</t>
        </is>
      </c>
      <c r="C229" s="109" t="n">
        <v>233</v>
      </c>
      <c r="E229" s="109" t="inlineStr">
        <is>
          <t>no</t>
        </is>
      </c>
      <c r="F229" s="109" t="n">
        <v>1</v>
      </c>
      <c r="G229" s="192" t="n">
        <v>1</v>
      </c>
      <c r="H229" t="n">
        <v>0</v>
      </c>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c r="A230" s="109" t="inlineStr">
        <is>
          <t>SP-17</t>
        </is>
      </c>
      <c r="B230" s="192" t="inlineStr">
        <is>
          <t>H</t>
        </is>
      </c>
      <c r="C230" s="109" t="n">
        <v>70</v>
      </c>
      <c r="E230" s="109" t="inlineStr">
        <is>
          <t>no</t>
        </is>
      </c>
      <c r="F230" s="109" t="n">
        <v>1</v>
      </c>
      <c r="G230" s="192" t="n">
        <v>1</v>
      </c>
      <c r="H230" t="n">
        <v>0</v>
      </c>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c r="A231" s="109" t="inlineStr">
        <is>
          <t>SP-17</t>
        </is>
      </c>
      <c r="B231" s="192" t="inlineStr">
        <is>
          <t>I</t>
        </is>
      </c>
      <c r="C231" s="109" t="n">
        <v>54</v>
      </c>
      <c r="E231" s="109" t="inlineStr">
        <is>
          <t>no</t>
        </is>
      </c>
      <c r="F231" s="109" t="n">
        <v>1</v>
      </c>
      <c r="G231" s="192" t="n">
        <v>1</v>
      </c>
      <c r="H231" t="n">
        <v>0</v>
      </c>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c r="A232" s="109" t="inlineStr">
        <is>
          <t>SP-17</t>
        </is>
      </c>
      <c r="B232" s="192" t="inlineStr">
        <is>
          <t>J</t>
        </is>
      </c>
      <c r="C232" s="109" t="n">
        <v>141</v>
      </c>
      <c r="E232" s="109" t="inlineStr">
        <is>
          <t>no</t>
        </is>
      </c>
      <c r="F232" s="109" t="n">
        <v>1</v>
      </c>
      <c r="G232" s="192" t="n">
        <v>1</v>
      </c>
      <c r="H232" t="n">
        <v>0</v>
      </c>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c r="A233" s="109" t="inlineStr">
        <is>
          <t>SP-17</t>
        </is>
      </c>
      <c r="B233" s="192" t="inlineStr">
        <is>
          <t>K</t>
        </is>
      </c>
      <c r="C233" s="109" t="n">
        <v>276</v>
      </c>
      <c r="E233" s="109" t="inlineStr">
        <is>
          <t>yes</t>
        </is>
      </c>
      <c r="F233" s="109" t="n">
        <v>1</v>
      </c>
      <c r="G233" s="192" t="n">
        <v>2</v>
      </c>
      <c r="H233" t="n">
        <v>0</v>
      </c>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c r="A234" s="109" t="inlineStr">
        <is>
          <t>SP-17</t>
        </is>
      </c>
      <c r="B234" s="192" t="inlineStr">
        <is>
          <t>L</t>
        </is>
      </c>
      <c r="C234" s="109" t="n">
        <v>140</v>
      </c>
      <c r="E234" s="109" t="inlineStr">
        <is>
          <t>no</t>
        </is>
      </c>
      <c r="F234" s="109" t="n">
        <v>1</v>
      </c>
      <c r="G234" s="192" t="n">
        <v>1</v>
      </c>
      <c r="H234" t="n">
        <v>0</v>
      </c>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c r="A235" s="109" t="inlineStr">
        <is>
          <t>SP-17</t>
        </is>
      </c>
      <c r="B235" s="192" t="inlineStr">
        <is>
          <t>M</t>
        </is>
      </c>
      <c r="C235" s="109" t="n">
        <v>173</v>
      </c>
      <c r="E235" s="109" t="inlineStr">
        <is>
          <t>yes</t>
        </is>
      </c>
      <c r="F235" s="109" t="n">
        <v>1</v>
      </c>
      <c r="G235" s="192" t="n">
        <v>2</v>
      </c>
      <c r="H235" t="n">
        <v>0</v>
      </c>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c r="A236" s="109" t="inlineStr">
        <is>
          <t>SP-17</t>
        </is>
      </c>
      <c r="B236" s="192" t="inlineStr">
        <is>
          <t>N</t>
        </is>
      </c>
      <c r="C236" s="109" t="n">
        <v>54</v>
      </c>
      <c r="E236" s="109" t="inlineStr">
        <is>
          <t>no</t>
        </is>
      </c>
      <c r="F236" s="109" t="n">
        <v>0</v>
      </c>
      <c r="G236" s="192" t="n">
        <v>1</v>
      </c>
      <c r="H236" t="n">
        <v>0</v>
      </c>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c r="A237" s="109" t="inlineStr">
        <is>
          <t>SP-17</t>
        </is>
      </c>
      <c r="B237" s="192" t="inlineStr">
        <is>
          <t>O</t>
        </is>
      </c>
      <c r="C237" s="109" t="n">
        <v>250</v>
      </c>
      <c r="E237" s="109" t="inlineStr">
        <is>
          <t>no</t>
        </is>
      </c>
      <c r="F237" s="109" t="n">
        <v>1</v>
      </c>
      <c r="G237" s="192" t="n">
        <v>1</v>
      </c>
      <c r="H237" t="n">
        <v>0</v>
      </c>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c r="A238" s="109" t="inlineStr">
        <is>
          <t>SP-17</t>
        </is>
      </c>
      <c r="B238" s="192" t="inlineStr">
        <is>
          <t>P</t>
        </is>
      </c>
      <c r="C238" s="109" t="n">
        <v>177</v>
      </c>
      <c r="E238" s="109" t="inlineStr">
        <is>
          <t>no</t>
        </is>
      </c>
      <c r="F238" s="109" t="n">
        <v>1</v>
      </c>
      <c r="G238" s="192" t="n">
        <v>1</v>
      </c>
      <c r="H238" t="n">
        <v>0</v>
      </c>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c r="A239" s="109" t="inlineStr">
        <is>
          <t>SP-17</t>
        </is>
      </c>
      <c r="B239" s="192" t="inlineStr">
        <is>
          <t>Q</t>
        </is>
      </c>
      <c r="C239" s="109" t="n">
        <v>115</v>
      </c>
      <c r="E239" s="109" t="inlineStr">
        <is>
          <t>no</t>
        </is>
      </c>
      <c r="F239" s="109" t="n">
        <v>0</v>
      </c>
      <c r="G239" s="192" t="n">
        <v>1</v>
      </c>
      <c r="H239" t="n">
        <v>0</v>
      </c>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c r="A240" s="109" t="inlineStr">
        <is>
          <t>SP-17</t>
        </is>
      </c>
      <c r="B240" s="192" t="inlineStr">
        <is>
          <t>R</t>
        </is>
      </c>
      <c r="C240" s="109" t="n">
        <v>200</v>
      </c>
      <c r="E240" s="109" t="inlineStr">
        <is>
          <t>no</t>
        </is>
      </c>
      <c r="F240" s="109" t="n">
        <v>0</v>
      </c>
      <c r="G240" s="192" t="n">
        <v>1</v>
      </c>
      <c r="H240" t="n">
        <v>0</v>
      </c>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c r="A241" s="109" t="inlineStr">
        <is>
          <t>SP-17</t>
        </is>
      </c>
      <c r="B241" s="192" t="inlineStr">
        <is>
          <t>S</t>
        </is>
      </c>
      <c r="C241" s="109" t="n">
        <v>185</v>
      </c>
      <c r="E241" s="109" t="inlineStr">
        <is>
          <t>no</t>
        </is>
      </c>
      <c r="F241" s="109" t="n">
        <v>0</v>
      </c>
      <c r="G241" s="192" t="n">
        <v>1</v>
      </c>
      <c r="H241" t="n">
        <v>0</v>
      </c>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c r="A242" s="109" t="inlineStr">
        <is>
          <t>SP-18</t>
        </is>
      </c>
      <c r="B242" s="192" t="inlineStr">
        <is>
          <t>A</t>
        </is>
      </c>
      <c r="C242" s="109" t="n">
        <v>95</v>
      </c>
      <c r="E242" s="109" t="inlineStr">
        <is>
          <t>no</t>
        </is>
      </c>
      <c r="F242" s="109" t="n">
        <v>0</v>
      </c>
      <c r="G242" s="192" t="n">
        <v>1</v>
      </c>
      <c r="H242" t="n">
        <v>0</v>
      </c>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c r="A243" s="109" t="inlineStr">
        <is>
          <t>SP-18</t>
        </is>
      </c>
      <c r="B243" s="192" t="inlineStr">
        <is>
          <t xml:space="preserve">B </t>
        </is>
      </c>
      <c r="C243" s="109" t="n">
        <v>51</v>
      </c>
      <c r="E243" s="109" t="inlineStr">
        <is>
          <t>no</t>
        </is>
      </c>
      <c r="F243" s="109" t="n">
        <v>1</v>
      </c>
      <c r="G243" s="192" t="n">
        <v>1</v>
      </c>
      <c r="H243" t="n">
        <v>0</v>
      </c>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c r="A244" s="109" t="inlineStr">
        <is>
          <t>SP-18</t>
        </is>
      </c>
      <c r="B244" s="192" t="inlineStr">
        <is>
          <t>C</t>
        </is>
      </c>
      <c r="C244" s="109" t="n">
        <v>78</v>
      </c>
      <c r="E244" s="109" t="inlineStr">
        <is>
          <t>yes</t>
        </is>
      </c>
      <c r="F244" s="109" t="n">
        <v>1</v>
      </c>
      <c r="G244" s="192" t="n">
        <v>2</v>
      </c>
      <c r="H244" t="n">
        <v>1</v>
      </c>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c r="A245" s="109" t="inlineStr">
        <is>
          <t>SP-18</t>
        </is>
      </c>
      <c r="B245" s="192" t="inlineStr">
        <is>
          <t>D</t>
        </is>
      </c>
      <c r="C245" s="109" t="n">
        <v>47</v>
      </c>
      <c r="E245" s="109" t="inlineStr">
        <is>
          <t>no</t>
        </is>
      </c>
      <c r="F245" s="109" t="n">
        <v>0</v>
      </c>
      <c r="G245" s="192" t="n">
        <v>1</v>
      </c>
      <c r="H245" t="n">
        <v>0</v>
      </c>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c r="A246" s="109" t="inlineStr">
        <is>
          <t>SP-18</t>
        </is>
      </c>
      <c r="B246" s="192" t="inlineStr">
        <is>
          <t>E</t>
        </is>
      </c>
      <c r="C246" s="109" t="n">
        <v>215</v>
      </c>
      <c r="E246" s="109" t="inlineStr">
        <is>
          <t>no</t>
        </is>
      </c>
      <c r="F246" s="109" t="n">
        <v>1</v>
      </c>
      <c r="G246" s="192" t="n">
        <v>1</v>
      </c>
      <c r="H246" t="n">
        <v>0</v>
      </c>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c r="A247" s="109" t="inlineStr">
        <is>
          <t>SP-18</t>
        </is>
      </c>
      <c r="B247" s="192" t="inlineStr">
        <is>
          <t>F</t>
        </is>
      </c>
      <c r="C247" s="109" t="n">
        <v>252</v>
      </c>
      <c r="E247" s="109" t="inlineStr">
        <is>
          <t>yes</t>
        </is>
      </c>
      <c r="F247" s="109" t="n">
        <v>1</v>
      </c>
      <c r="G247" s="192" t="n">
        <v>2</v>
      </c>
      <c r="H247" t="n">
        <v>0</v>
      </c>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c r="A248" s="109" t="inlineStr">
        <is>
          <t>SP-18</t>
        </is>
      </c>
      <c r="B248" s="192" t="inlineStr">
        <is>
          <t>G</t>
        </is>
      </c>
      <c r="C248" s="109" t="n">
        <v>157</v>
      </c>
      <c r="E248" s="109" t="inlineStr">
        <is>
          <t>yes</t>
        </is>
      </c>
      <c r="F248" s="109" t="n">
        <v>1</v>
      </c>
      <c r="G248" s="192" t="n">
        <v>2</v>
      </c>
      <c r="H248" t="n">
        <v>0</v>
      </c>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c r="A249" s="109" t="inlineStr">
        <is>
          <t>SP-18</t>
        </is>
      </c>
      <c r="B249" s="192" t="inlineStr">
        <is>
          <t>H</t>
        </is>
      </c>
      <c r="C249" s="109" t="n">
        <v>44</v>
      </c>
      <c r="E249" s="109" t="inlineStr">
        <is>
          <t>no</t>
        </is>
      </c>
      <c r="F249" s="109" t="n">
        <v>0</v>
      </c>
      <c r="G249" s="192" t="n">
        <v>1</v>
      </c>
      <c r="H249" t="n">
        <v>0</v>
      </c>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c r="A250" s="109" t="inlineStr">
        <is>
          <t>SP-18</t>
        </is>
      </c>
      <c r="B250" s="192" t="inlineStr">
        <is>
          <t>I</t>
        </is>
      </c>
      <c r="C250" s="109" t="n">
        <v>16</v>
      </c>
      <c r="E250" s="109" t="inlineStr">
        <is>
          <t>no</t>
        </is>
      </c>
      <c r="F250" s="109" t="n">
        <v>0</v>
      </c>
      <c r="G250" s="192" t="n">
        <v>1</v>
      </c>
      <c r="H250" t="n">
        <v>0</v>
      </c>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c r="A251" s="109" t="inlineStr">
        <is>
          <t>SP-18</t>
        </is>
      </c>
      <c r="B251" s="192" t="inlineStr">
        <is>
          <t>J</t>
        </is>
      </c>
      <c r="C251" s="109" t="n">
        <v>41</v>
      </c>
      <c r="E251" s="109" t="inlineStr">
        <is>
          <t>no</t>
        </is>
      </c>
      <c r="F251" s="109" t="n">
        <v>0</v>
      </c>
      <c r="G251" s="192" t="n">
        <v>1</v>
      </c>
      <c r="H251" t="n">
        <v>0</v>
      </c>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c r="A252" s="109" t="inlineStr">
        <is>
          <t>SP-18</t>
        </is>
      </c>
      <c r="B252" s="192" t="inlineStr">
        <is>
          <t>K</t>
        </is>
      </c>
      <c r="C252" s="109" t="n">
        <v>232</v>
      </c>
      <c r="E252" s="109" t="inlineStr">
        <is>
          <t>no</t>
        </is>
      </c>
      <c r="F252" s="109" t="n">
        <v>1</v>
      </c>
      <c r="G252" s="192" t="n">
        <v>1</v>
      </c>
      <c r="H252" t="n">
        <v>0</v>
      </c>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c r="A253" s="109" t="inlineStr">
        <is>
          <t>SP-18</t>
        </is>
      </c>
      <c r="B253" s="192" t="inlineStr">
        <is>
          <t>L</t>
        </is>
      </c>
      <c r="C253" s="109" t="n">
        <v>44</v>
      </c>
      <c r="E253" s="109" t="inlineStr">
        <is>
          <t>no</t>
        </is>
      </c>
      <c r="F253" s="109" t="n">
        <v>0</v>
      </c>
      <c r="G253" s="192" t="n">
        <v>1</v>
      </c>
      <c r="H253" t="n">
        <v>0</v>
      </c>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c r="A254" s="109" t="inlineStr">
        <is>
          <t>SP-18</t>
        </is>
      </c>
      <c r="B254" s="192" t="inlineStr">
        <is>
          <t>M</t>
        </is>
      </c>
      <c r="C254" s="109" t="n">
        <v>200</v>
      </c>
      <c r="E254" s="109" t="inlineStr">
        <is>
          <t>yes</t>
        </is>
      </c>
      <c r="F254" s="109" t="n">
        <v>1</v>
      </c>
      <c r="G254" s="192" t="n">
        <v>2</v>
      </c>
      <c r="H254" t="n">
        <v>0</v>
      </c>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c r="A255" s="109" t="inlineStr">
        <is>
          <t>SP-18</t>
        </is>
      </c>
      <c r="B255" s="192" t="inlineStr">
        <is>
          <t>N</t>
        </is>
      </c>
      <c r="C255" s="109" t="n">
        <v>45</v>
      </c>
      <c r="E255" s="109" t="inlineStr">
        <is>
          <t>no</t>
        </is>
      </c>
      <c r="F255" s="109" t="n">
        <v>0</v>
      </c>
      <c r="G255" s="192" t="n">
        <v>1</v>
      </c>
      <c r="H255" t="n">
        <v>0</v>
      </c>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c r="A256" s="109" t="inlineStr">
        <is>
          <t>SP-18</t>
        </is>
      </c>
      <c r="B256" s="192" t="inlineStr">
        <is>
          <t>O</t>
        </is>
      </c>
      <c r="C256" s="109" t="n">
        <v>199</v>
      </c>
      <c r="E256" s="109" t="inlineStr">
        <is>
          <t>no</t>
        </is>
      </c>
      <c r="F256" s="109" t="n">
        <v>1</v>
      </c>
      <c r="G256" s="192" t="n">
        <v>1</v>
      </c>
      <c r="H256" t="n">
        <v>0</v>
      </c>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c r="A257" s="109" t="inlineStr">
        <is>
          <t>SP-18</t>
        </is>
      </c>
      <c r="B257" s="192" t="inlineStr">
        <is>
          <t>P</t>
        </is>
      </c>
      <c r="C257" s="109" t="n">
        <v>28</v>
      </c>
      <c r="E257" s="109" t="inlineStr">
        <is>
          <t>no</t>
        </is>
      </c>
      <c r="F257" s="109" t="n">
        <v>0</v>
      </c>
      <c r="G257" s="192" t="n">
        <v>1</v>
      </c>
      <c r="H257" t="n">
        <v>0</v>
      </c>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c r="A258" s="109" t="inlineStr">
        <is>
          <t>SP-19</t>
        </is>
      </c>
      <c r="B258" s="192" t="inlineStr">
        <is>
          <t>A</t>
        </is>
      </c>
      <c r="C258" s="109" t="n">
        <v>49</v>
      </c>
      <c r="E258" s="109" t="inlineStr">
        <is>
          <t>yes</t>
        </is>
      </c>
      <c r="F258" s="109" t="n">
        <v>1</v>
      </c>
      <c r="G258" s="192" t="n">
        <v>2</v>
      </c>
      <c r="H258" t="n">
        <v>0</v>
      </c>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c r="A259" s="109" t="inlineStr">
        <is>
          <t>SP-19</t>
        </is>
      </c>
      <c r="B259" s="192" t="inlineStr">
        <is>
          <t xml:space="preserve">B </t>
        </is>
      </c>
      <c r="C259" s="109" t="n">
        <v>50</v>
      </c>
      <c r="E259" s="109" t="inlineStr">
        <is>
          <t>no</t>
        </is>
      </c>
      <c r="F259" s="109" t="n">
        <v>0</v>
      </c>
      <c r="G259" s="192" t="n">
        <v>1</v>
      </c>
      <c r="H259" t="n">
        <v>0</v>
      </c>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c r="A260" s="109" t="inlineStr">
        <is>
          <t>SP-19</t>
        </is>
      </c>
      <c r="B260" s="192" t="inlineStr">
        <is>
          <t>C</t>
        </is>
      </c>
      <c r="C260" s="109" t="n">
        <v>335</v>
      </c>
      <c r="E260" s="109" t="inlineStr">
        <is>
          <t>no</t>
        </is>
      </c>
      <c r="F260" s="109" t="n">
        <v>1</v>
      </c>
      <c r="G260" s="192" t="n">
        <v>1</v>
      </c>
      <c r="H260" t="n">
        <v>0</v>
      </c>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c r="A261" s="109" t="inlineStr">
        <is>
          <t>SP-19</t>
        </is>
      </c>
      <c r="B261" s="192" t="inlineStr">
        <is>
          <t>D</t>
        </is>
      </c>
      <c r="C261" s="109" t="n">
        <v>54</v>
      </c>
      <c r="E261" s="109" t="inlineStr">
        <is>
          <t>no</t>
        </is>
      </c>
      <c r="F261" s="109" t="n">
        <v>0</v>
      </c>
      <c r="G261" s="192" t="n">
        <v>1</v>
      </c>
      <c r="H261" t="n">
        <v>0</v>
      </c>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c r="A262" s="109" t="inlineStr">
        <is>
          <t>SP-19</t>
        </is>
      </c>
      <c r="B262" s="192" t="inlineStr">
        <is>
          <t>E</t>
        </is>
      </c>
      <c r="C262" s="109" t="n">
        <v>11</v>
      </c>
      <c r="E262" s="109" t="inlineStr">
        <is>
          <t>no</t>
        </is>
      </c>
      <c r="F262" s="109" t="n">
        <v>0</v>
      </c>
      <c r="G262" s="192" t="n">
        <v>1</v>
      </c>
      <c r="H262" t="n">
        <v>0</v>
      </c>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c r="A263" s="109" t="inlineStr">
        <is>
          <t>SP-19</t>
        </is>
      </c>
      <c r="B263" s="192" t="inlineStr">
        <is>
          <t>F</t>
        </is>
      </c>
      <c r="C263" s="109" t="n">
        <v>363</v>
      </c>
      <c r="E263" s="109" t="inlineStr">
        <is>
          <t>no</t>
        </is>
      </c>
      <c r="F263" s="109" t="n">
        <v>1</v>
      </c>
      <c r="G263" s="192" t="n">
        <v>1</v>
      </c>
      <c r="H263" t="n">
        <v>0</v>
      </c>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c r="A264" s="109" t="inlineStr">
        <is>
          <t>SP-19</t>
        </is>
      </c>
      <c r="B264" s="192" t="inlineStr">
        <is>
          <t>G</t>
        </is>
      </c>
      <c r="C264" s="109" t="n">
        <v>36</v>
      </c>
      <c r="E264" s="109" t="inlineStr">
        <is>
          <t>no</t>
        </is>
      </c>
      <c r="F264" s="109" t="n">
        <v>0</v>
      </c>
      <c r="G264" s="192" t="n">
        <v>1</v>
      </c>
      <c r="H264" t="n">
        <v>0</v>
      </c>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c r="A265" s="109" t="inlineStr">
        <is>
          <t>SP-19</t>
        </is>
      </c>
      <c r="B265" s="192" t="inlineStr">
        <is>
          <t>H</t>
        </is>
      </c>
      <c r="C265" s="109" t="n">
        <v>32</v>
      </c>
      <c r="E265" s="109" t="inlineStr">
        <is>
          <t>no</t>
        </is>
      </c>
      <c r="F265" s="109" t="n">
        <v>0</v>
      </c>
      <c r="G265" s="192" t="n">
        <v>1</v>
      </c>
      <c r="H265" t="n">
        <v>0</v>
      </c>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c r="A266" s="109" t="inlineStr">
        <is>
          <t>SP-19</t>
        </is>
      </c>
      <c r="B266" s="192" t="inlineStr">
        <is>
          <t>I</t>
        </is>
      </c>
      <c r="C266" s="109" t="n">
        <v>44</v>
      </c>
      <c r="E266" s="109" t="inlineStr">
        <is>
          <t>no</t>
        </is>
      </c>
      <c r="F266" s="109" t="n">
        <v>0</v>
      </c>
      <c r="G266" s="192" t="n">
        <v>1</v>
      </c>
      <c r="H266" t="n">
        <v>0</v>
      </c>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c r="A267" s="109" t="inlineStr">
        <is>
          <t>SP-19</t>
        </is>
      </c>
      <c r="B267" s="192" t="inlineStr">
        <is>
          <t>J</t>
        </is>
      </c>
      <c r="C267" s="109" t="n">
        <v>44</v>
      </c>
      <c r="E267" s="109" t="inlineStr">
        <is>
          <t>no</t>
        </is>
      </c>
      <c r="F267" s="109" t="n">
        <v>0</v>
      </c>
      <c r="G267" s="192" t="n">
        <v>1</v>
      </c>
      <c r="H267" t="n">
        <v>0</v>
      </c>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c r="A268" s="109" t="inlineStr">
        <is>
          <t>SP-20</t>
        </is>
      </c>
      <c r="B268" s="192" t="inlineStr">
        <is>
          <t>A</t>
        </is>
      </c>
      <c r="C268" s="109" t="n">
        <v>146</v>
      </c>
      <c r="E268" s="109" t="inlineStr">
        <is>
          <t>yes</t>
        </is>
      </c>
      <c r="F268" s="109" t="n">
        <v>1</v>
      </c>
      <c r="G268" s="192" t="n">
        <v>2</v>
      </c>
      <c r="H268" t="n">
        <v>0</v>
      </c>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c r="A269" s="109" t="inlineStr">
        <is>
          <t>SP-20</t>
        </is>
      </c>
      <c r="B269" s="192" t="inlineStr">
        <is>
          <t xml:space="preserve">B </t>
        </is>
      </c>
      <c r="C269" s="109" t="n">
        <v>54</v>
      </c>
      <c r="E269" s="109" t="inlineStr">
        <is>
          <t>no</t>
        </is>
      </c>
      <c r="F269" s="109" t="n">
        <v>0</v>
      </c>
      <c r="G269" s="192" t="n">
        <v>1</v>
      </c>
      <c r="H269" t="n">
        <v>0</v>
      </c>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c r="A270" s="109" t="inlineStr">
        <is>
          <t>SP-20</t>
        </is>
      </c>
      <c r="B270" s="192" t="inlineStr">
        <is>
          <t>C</t>
        </is>
      </c>
      <c r="C270" s="109" t="n">
        <v>19</v>
      </c>
      <c r="E270" s="109" t="inlineStr">
        <is>
          <t>no</t>
        </is>
      </c>
      <c r="F270" s="109" t="n">
        <v>0</v>
      </c>
      <c r="G270" s="192" t="n">
        <v>1</v>
      </c>
      <c r="H270" t="n">
        <v>0</v>
      </c>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c r="A271" s="109" t="inlineStr">
        <is>
          <t>SP-20</t>
        </is>
      </c>
      <c r="B271" s="192" t="inlineStr">
        <is>
          <t>D</t>
        </is>
      </c>
      <c r="C271" s="109" t="n">
        <v>293</v>
      </c>
      <c r="E271" s="109" t="inlineStr">
        <is>
          <t>no</t>
        </is>
      </c>
      <c r="F271" s="109" t="n">
        <v>1</v>
      </c>
      <c r="G271" s="192" t="n">
        <v>1</v>
      </c>
      <c r="H271" t="n">
        <v>0</v>
      </c>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c r="A272" s="109" t="inlineStr">
        <is>
          <t>SP-20</t>
        </is>
      </c>
      <c r="B272" s="192" t="inlineStr">
        <is>
          <t>E</t>
        </is>
      </c>
      <c r="C272" s="109" t="n">
        <v>54</v>
      </c>
      <c r="E272" s="109" t="inlineStr">
        <is>
          <t>no</t>
        </is>
      </c>
      <c r="F272" s="109" t="n">
        <v>0</v>
      </c>
      <c r="G272" s="192" t="n">
        <v>1</v>
      </c>
      <c r="H272" t="n">
        <v>0</v>
      </c>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c r="A273" s="109" t="inlineStr">
        <is>
          <t>SP-20</t>
        </is>
      </c>
      <c r="B273" s="192" t="inlineStr">
        <is>
          <t>F</t>
        </is>
      </c>
      <c r="C273" s="109" t="n">
        <v>175</v>
      </c>
      <c r="E273" s="109" t="inlineStr">
        <is>
          <t>no</t>
        </is>
      </c>
      <c r="F273" s="109" t="n">
        <v>0</v>
      </c>
      <c r="G273" s="192" t="n">
        <v>1</v>
      </c>
      <c r="H273" t="n">
        <v>0</v>
      </c>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c r="A274" s="109" t="inlineStr">
        <is>
          <t>SP-20</t>
        </is>
      </c>
      <c r="B274" s="192" t="inlineStr">
        <is>
          <t>G</t>
        </is>
      </c>
      <c r="C274" s="109" t="n">
        <v>88</v>
      </c>
      <c r="E274" s="109" t="inlineStr">
        <is>
          <t>no</t>
        </is>
      </c>
      <c r="F274" s="109" t="n">
        <v>0</v>
      </c>
      <c r="G274" s="192" t="n">
        <v>1</v>
      </c>
      <c r="H274" t="n">
        <v>0</v>
      </c>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c r="A275" s="109" t="inlineStr">
        <is>
          <t>SP-21</t>
        </is>
      </c>
      <c r="B275" s="192" t="inlineStr">
        <is>
          <t>A</t>
        </is>
      </c>
      <c r="C275" s="109" t="n">
        <v>55</v>
      </c>
      <c r="E275" s="109" t="inlineStr">
        <is>
          <t>no</t>
        </is>
      </c>
      <c r="F275" s="109" t="n">
        <v>0</v>
      </c>
      <c r="G275" s="109" t="n">
        <v>1</v>
      </c>
      <c r="H275" t="n">
        <v>0</v>
      </c>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c r="A276" s="109" t="inlineStr">
        <is>
          <t>SP-21</t>
        </is>
      </c>
      <c r="B276" s="192" t="inlineStr">
        <is>
          <t xml:space="preserve">B </t>
        </is>
      </c>
      <c r="C276" s="109" t="n">
        <v>462</v>
      </c>
      <c r="E276" s="109" t="inlineStr">
        <is>
          <t>no</t>
        </is>
      </c>
      <c r="F276" s="109" t="n">
        <v>0</v>
      </c>
      <c r="G276" s="109" t="n">
        <v>1</v>
      </c>
      <c r="H276" t="n">
        <v>0</v>
      </c>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c r="A277" s="109" t="inlineStr">
        <is>
          <t>SP-21</t>
        </is>
      </c>
      <c r="B277" s="192" t="inlineStr">
        <is>
          <t>C</t>
        </is>
      </c>
      <c r="C277" s="109" t="n">
        <v>181</v>
      </c>
      <c r="E277" s="109" t="inlineStr">
        <is>
          <t>no</t>
        </is>
      </c>
      <c r="F277" s="109" t="n">
        <v>0</v>
      </c>
      <c r="G277" s="109" t="n">
        <v>1</v>
      </c>
      <c r="H277" t="n">
        <v>0</v>
      </c>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c r="A278" s="57" t="n"/>
      <c r="B278" s="57" t="n"/>
      <c r="C278" s="109" t="n"/>
      <c r="F278" s="57" t="n"/>
      <c r="H278" t="n">
        <v>0</v>
      </c>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c r="A279" s="57" t="n"/>
      <c r="B279" s="57" t="n"/>
      <c r="C279" s="109" t="n"/>
      <c r="F279" s="57" t="n"/>
      <c r="H279" t="n">
        <v>0</v>
      </c>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c r="A280" s="57" t="n"/>
      <c r="B280" s="57" t="n"/>
      <c r="C280" s="109" t="n"/>
      <c r="F280" s="57" t="n"/>
      <c r="H280" t="n">
        <v>0</v>
      </c>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c r="A281" s="57" t="n"/>
      <c r="B281" s="57" t="n"/>
      <c r="C281" s="109" t="n"/>
      <c r="F281" s="57" t="n"/>
      <c r="H281" t="n">
        <v>0</v>
      </c>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c r="A282" s="57" t="n"/>
      <c r="B282" s="57" t="n"/>
      <c r="C282" s="109" t="n"/>
      <c r="F282" s="57" t="n"/>
      <c r="H282" t="n">
        <v>0</v>
      </c>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c r="A283" s="57" t="n"/>
      <c r="B283" s="57" t="n"/>
      <c r="C283" s="109" t="n"/>
      <c r="F283" s="57" t="n"/>
      <c r="H283" t="n">
        <v>0</v>
      </c>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c r="A284" s="57" t="n"/>
      <c r="B284" s="57" t="n"/>
      <c r="C284" s="109" t="n"/>
      <c r="F284" s="57" t="n"/>
      <c r="H284" t="n">
        <v>0</v>
      </c>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c r="A285" s="57" t="n"/>
      <c r="B285" s="57" t="n"/>
      <c r="C285" s="109" t="n"/>
      <c r="F285" s="57" t="n"/>
      <c r="H285" t="n">
        <v>0</v>
      </c>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c r="A286" s="57" t="n"/>
      <c r="B286" s="57" t="n"/>
      <c r="C286" s="109" t="n"/>
      <c r="F286" s="57" t="n"/>
      <c r="H286" t="n">
        <v>0</v>
      </c>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c r="A287" s="57" t="n"/>
      <c r="B287" s="57" t="n"/>
      <c r="C287" s="109" t="n"/>
      <c r="F287" s="57" t="n"/>
      <c r="H287" t="n">
        <v>0</v>
      </c>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c r="A288" s="57" t="n"/>
      <c r="B288" s="57" t="n"/>
      <c r="C288" s="109" t="n"/>
      <c r="F288" s="57" t="n"/>
      <c r="H288" t="n">
        <v>0</v>
      </c>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c r="A289" s="57" t="n"/>
      <c r="B289" s="57" t="n"/>
      <c r="C289" s="109" t="n"/>
      <c r="F289" s="57" t="n"/>
      <c r="H289" t="n">
        <v>0</v>
      </c>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c r="A290" s="57" t="n"/>
      <c r="B290" s="57" t="n"/>
      <c r="C290" s="109" t="n"/>
      <c r="F290" s="57" t="n"/>
      <c r="H290" t="n">
        <v>0</v>
      </c>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c r="A291" s="57" t="n"/>
      <c r="B291" s="57" t="n"/>
      <c r="C291" s="109" t="n"/>
      <c r="F291" s="57" t="n"/>
      <c r="H291" t="n">
        <v>0</v>
      </c>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c r="A292" s="57" t="n"/>
      <c r="B292" s="57" t="n"/>
      <c r="C292" s="109" t="n"/>
      <c r="F292" s="57" t="n"/>
      <c r="H292" t="n">
        <v>0</v>
      </c>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c r="A293" s="57" t="n"/>
      <c r="B293" s="57" t="n"/>
      <c r="C293" s="109" t="n"/>
      <c r="F293" s="57" t="n"/>
      <c r="H293" t="n">
        <v>0</v>
      </c>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c r="A294" s="57" t="n"/>
      <c r="B294" s="57" t="n"/>
      <c r="C294" s="109" t="n"/>
      <c r="F294" s="57" t="n"/>
      <c r="H294" t="n">
        <v>0</v>
      </c>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c r="A295" s="57" t="n"/>
      <c r="B295" s="57" t="n"/>
      <c r="C295" s="109" t="n"/>
      <c r="F295" s="57" t="n"/>
      <c r="H295" t="n">
        <v>0</v>
      </c>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c r="A296" s="57" t="n"/>
      <c r="B296" s="57" t="n"/>
      <c r="C296" s="109" t="n"/>
      <c r="F296" s="57" t="n"/>
      <c r="H296" t="n">
        <v>0</v>
      </c>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c r="A297" s="57" t="n"/>
      <c r="B297" s="57" t="n"/>
      <c r="C297" s="109" t="n"/>
      <c r="F297" s="57" t="n"/>
      <c r="H297" t="n">
        <v>0</v>
      </c>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c r="A298" s="57" t="n"/>
      <c r="B298" s="57" t="n"/>
      <c r="C298" s="109" t="n"/>
      <c r="F298" s="57" t="n"/>
      <c r="H298" t="n">
        <v>0</v>
      </c>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c r="A299" s="57" t="n"/>
      <c r="B299" s="57" t="n"/>
      <c r="C299" s="109" t="n"/>
      <c r="F299" s="57" t="n"/>
      <c r="H299" t="n">
        <v>0</v>
      </c>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c r="A300" s="57" t="n"/>
      <c r="B300" s="57" t="n"/>
      <c r="C300" s="109" t="n"/>
      <c r="F300" s="57" t="n"/>
      <c r="H300" t="n">
        <v>0</v>
      </c>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c r="A301" s="57" t="n"/>
      <c r="B301" s="57" t="n"/>
      <c r="C301" s="109" t="n"/>
      <c r="F301" s="57" t="n"/>
      <c r="H301" t="n">
        <v>0</v>
      </c>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c r="A302" s="57" t="n"/>
      <c r="B302" s="57" t="n"/>
      <c r="C302" s="109" t="n"/>
      <c r="F302" s="57" t="n"/>
      <c r="H302" t="n">
        <v>0</v>
      </c>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c r="A303" s="57" t="n"/>
      <c r="B303" s="57" t="n"/>
      <c r="C303" s="109" t="n"/>
      <c r="F303" s="57" t="n"/>
      <c r="H303" t="n">
        <v>0</v>
      </c>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c r="A304" s="57" t="n"/>
      <c r="B304" s="57" t="n"/>
      <c r="C304" s="109" t="n"/>
      <c r="F304" s="57" t="n"/>
      <c r="H304" t="n">
        <v>0</v>
      </c>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c r="A305" s="57" t="n"/>
      <c r="B305" s="57" t="n"/>
      <c r="C305" s="109" t="n"/>
      <c r="F305" s="57" t="n"/>
      <c r="H305" t="n">
        <v>0</v>
      </c>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c r="A306" s="57" t="n"/>
      <c r="B306" s="57" t="n"/>
      <c r="C306" s="109" t="n"/>
      <c r="F306" s="57" t="n"/>
      <c r="H306" t="n">
        <v>0</v>
      </c>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c r="A307" s="57" t="n"/>
      <c r="B307" s="57" t="n"/>
      <c r="C307" s="109" t="n"/>
      <c r="F307" s="57" t="n"/>
      <c r="H307" t="n">
        <v>0</v>
      </c>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c r="A308" s="57" t="n"/>
      <c r="B308" s="57" t="n"/>
      <c r="C308" s="109" t="n"/>
      <c r="F308" s="57" t="n"/>
      <c r="H308" t="n">
        <v>0</v>
      </c>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c r="A309" s="57" t="n"/>
      <c r="B309" s="57" t="n"/>
      <c r="C309" s="109" t="n"/>
      <c r="F309" s="57" t="n"/>
      <c r="H309" t="n">
        <v>0</v>
      </c>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c r="A310" s="57" t="n"/>
      <c r="B310" s="57" t="n"/>
      <c r="C310" s="109" t="n"/>
      <c r="F310" s="57" t="n"/>
      <c r="H310" t="n">
        <v>0</v>
      </c>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c r="A311" s="57" t="n"/>
      <c r="B311" s="57" t="n"/>
      <c r="C311" s="109" t="n"/>
      <c r="F311" s="57" t="n"/>
      <c r="H311" t="n">
        <v>0</v>
      </c>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c r="A312" s="57" t="n"/>
      <c r="B312" s="57" t="n"/>
      <c r="C312" s="109" t="n"/>
      <c r="F312" s="57" t="n"/>
      <c r="H312" t="n">
        <v>0</v>
      </c>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c r="A313" s="57" t="n"/>
      <c r="B313" s="57" t="n"/>
      <c r="C313" s="109" t="n"/>
      <c r="F313" s="57" t="n"/>
      <c r="H313" t="n">
        <v>0</v>
      </c>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c r="A314" s="57" t="n"/>
      <c r="B314" s="57" t="n"/>
      <c r="C314" s="109" t="n"/>
      <c r="F314" s="57" t="n"/>
      <c r="H314" t="n">
        <v>0</v>
      </c>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c r="A315" s="57" t="n"/>
      <c r="B315" s="57" t="n"/>
      <c r="C315" s="109" t="n"/>
      <c r="F315" s="57" t="n"/>
      <c r="H315" t="n">
        <v>0</v>
      </c>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c r="A316" s="57" t="n"/>
      <c r="B316" s="57" t="n"/>
      <c r="C316" s="109" t="n"/>
      <c r="F316" s="57" t="n"/>
      <c r="H316" t="n">
        <v>0</v>
      </c>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c r="A317" s="57" t="n"/>
      <c r="B317" s="57" t="n"/>
      <c r="C317" s="109" t="n"/>
      <c r="F317" s="57" t="n"/>
      <c r="H317" t="n">
        <v>0</v>
      </c>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c r="A318" s="57" t="n"/>
      <c r="B318" s="57" t="n"/>
      <c r="C318" s="109" t="n"/>
      <c r="F318" s="57" t="n"/>
      <c r="H318" t="n">
        <v>0</v>
      </c>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c r="A319" s="57" t="n"/>
      <c r="B319" s="57" t="n"/>
      <c r="C319" s="109" t="n"/>
      <c r="F319" s="57" t="n"/>
      <c r="H319" t="n">
        <v>0</v>
      </c>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c r="A320" s="57" t="n"/>
      <c r="B320" s="57" t="n"/>
      <c r="C320" s="109" t="n"/>
      <c r="F320" s="57" t="n"/>
      <c r="H320" t="n">
        <v>0</v>
      </c>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c r="A321" s="57" t="n"/>
      <c r="B321" s="57" t="n"/>
      <c r="C321" s="109" t="n"/>
      <c r="F321" s="57" t="n"/>
      <c r="H321" t="n">
        <v>0</v>
      </c>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c r="A322" s="57" t="n"/>
      <c r="B322" s="57" t="n"/>
      <c r="C322" s="109" t="n"/>
      <c r="F322" s="57" t="n"/>
      <c r="H322" t="n">
        <v>0</v>
      </c>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c r="A323" s="57" t="n"/>
      <c r="B323" s="57" t="n"/>
      <c r="C323" s="109" t="n"/>
      <c r="F323" s="57" t="n"/>
      <c r="H323" t="n">
        <v>0</v>
      </c>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c r="A324" s="57" t="n"/>
      <c r="B324" s="57" t="n"/>
      <c r="C324" s="109" t="n"/>
      <c r="F324" s="57" t="n"/>
      <c r="H324" t="n">
        <v>0</v>
      </c>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c r="A325" s="57" t="n"/>
      <c r="B325" s="57" t="n"/>
      <c r="C325" s="109" t="n"/>
      <c r="F325" s="57" t="n"/>
      <c r="H325" t="n">
        <v>0</v>
      </c>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c r="A326" s="57" t="n"/>
      <c r="B326" s="57" t="n"/>
      <c r="C326" s="109" t="n"/>
      <c r="F326" s="57" t="n"/>
      <c r="H326" t="n">
        <v>0</v>
      </c>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c r="A327" s="57" t="n"/>
      <c r="B327" s="57" t="n"/>
      <c r="C327" s="109" t="n"/>
      <c r="F327" s="57" t="n"/>
      <c r="H327" t="n">
        <v>0</v>
      </c>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c r="A328" s="57" t="n"/>
      <c r="B328" s="57" t="n"/>
      <c r="C328" s="109" t="n"/>
      <c r="F328" s="57" t="n"/>
      <c r="H328" t="n">
        <v>0</v>
      </c>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c r="A329" s="57" t="n"/>
      <c r="B329" s="57" t="n"/>
      <c r="C329" s="109" t="n"/>
      <c r="F329" s="57" t="n"/>
      <c r="H329" t="n">
        <v>0</v>
      </c>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c r="A330" s="57" t="n"/>
      <c r="B330" s="57" t="n"/>
      <c r="C330" s="109" t="n"/>
      <c r="F330" s="57" t="n"/>
      <c r="H330" t="n">
        <v>0</v>
      </c>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c r="A331" s="57" t="n"/>
      <c r="B331" s="57" t="n"/>
      <c r="C331" s="109" t="n"/>
      <c r="F331" s="57" t="n"/>
      <c r="H331" t="n">
        <v>0</v>
      </c>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c r="A332" s="57" t="n"/>
      <c r="B332" s="57" t="n"/>
      <c r="C332" s="109" t="n"/>
      <c r="F332" s="57" t="n"/>
      <c r="H332" t="n">
        <v>0</v>
      </c>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c r="A333" s="57" t="n"/>
      <c r="B333" s="57" t="n"/>
      <c r="C333" s="109" t="n"/>
      <c r="F333" s="57" t="n"/>
      <c r="H333" t="n">
        <v>0</v>
      </c>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c r="A334" s="57" t="n"/>
      <c r="B334" s="57" t="n"/>
      <c r="C334" s="109" t="n"/>
      <c r="F334" s="57" t="n"/>
      <c r="H334" t="n">
        <v>0</v>
      </c>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c r="A335" s="57" t="n"/>
      <c r="B335" s="57" t="n"/>
      <c r="C335" s="109" t="n"/>
      <c r="F335" s="57" t="n"/>
      <c r="H335" t="n">
        <v>0</v>
      </c>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c r="A336" s="57" t="n"/>
      <c r="B336" s="57" t="n"/>
      <c r="C336" s="109" t="n"/>
      <c r="F336" s="57" t="n"/>
      <c r="H336" t="n">
        <v>0</v>
      </c>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c r="A337" s="57" t="n"/>
      <c r="B337" s="57" t="n"/>
      <c r="C337" s="109" t="n"/>
      <c r="F337" s="57" t="n"/>
      <c r="H337" t="n">
        <v>0</v>
      </c>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c r="A338" s="57" t="n"/>
      <c r="B338" s="57" t="n"/>
      <c r="C338" s="109" t="n"/>
      <c r="F338" s="57" t="n"/>
      <c r="H338" t="n">
        <v>0</v>
      </c>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c r="A339" s="57" t="n"/>
      <c r="B339" s="57" t="n"/>
      <c r="C339" s="109" t="n"/>
      <c r="F339" s="57" t="n"/>
      <c r="H339" t="n">
        <v>0</v>
      </c>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c r="A340" s="57" t="n"/>
      <c r="B340" s="57" t="n"/>
      <c r="C340" s="109" t="n"/>
      <c r="F340" s="57" t="n"/>
      <c r="H340" t="n">
        <v>0</v>
      </c>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c r="A341" s="57" t="n"/>
      <c r="B341" s="57" t="n"/>
      <c r="C341" s="109" t="n"/>
      <c r="F341" s="57" t="n"/>
      <c r="H341" t="n">
        <v>0</v>
      </c>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c r="A342" s="57" t="n"/>
      <c r="B342" s="57" t="n"/>
      <c r="C342" s="109" t="n"/>
      <c r="F342" s="57" t="n"/>
      <c r="H342" t="n">
        <v>0</v>
      </c>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c r="A343" s="57" t="n"/>
      <c r="B343" s="57" t="n"/>
      <c r="C343" s="109" t="n"/>
      <c r="F343" s="57" t="n"/>
      <c r="H343" t="n">
        <v>0</v>
      </c>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c r="A344" s="57" t="n"/>
      <c r="B344" s="57" t="n"/>
      <c r="C344" s="109" t="n"/>
      <c r="F344" s="57" t="n"/>
      <c r="H344" t="n">
        <v>0</v>
      </c>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c r="A345" s="57" t="n"/>
      <c r="B345" s="57" t="n"/>
      <c r="C345" s="109" t="n"/>
      <c r="F345" s="57" t="n"/>
      <c r="H345" t="n">
        <v>0</v>
      </c>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c r="A346" s="57" t="n"/>
      <c r="B346" s="57" t="n"/>
      <c r="C346" s="109" t="n"/>
      <c r="F346" s="57" t="n"/>
      <c r="H346" t="n">
        <v>0</v>
      </c>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c r="A347" s="57" t="n"/>
      <c r="B347" s="57" t="n"/>
      <c r="C347" s="109" t="n"/>
      <c r="F347" s="57" t="n"/>
      <c r="H347" t="n">
        <v>0</v>
      </c>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c r="A348" s="57" t="n"/>
      <c r="B348" s="57" t="n"/>
      <c r="C348" s="109" t="n"/>
      <c r="F348" s="57" t="n"/>
      <c r="H348" t="n">
        <v>0</v>
      </c>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c r="A349" s="57" t="n"/>
      <c r="B349" s="57" t="n"/>
      <c r="C349" s="109" t="n"/>
      <c r="F349" s="57" t="n"/>
      <c r="H349" t="n">
        <v>0</v>
      </c>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c r="A350" s="57" t="n"/>
      <c r="B350" s="57" t="n"/>
      <c r="C350" s="109" t="n"/>
      <c r="F350" s="57" t="n"/>
      <c r="H350" t="n">
        <v>0</v>
      </c>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c r="A351" s="57" t="n"/>
      <c r="B351" s="57" t="n"/>
      <c r="C351" s="109" t="n"/>
      <c r="F351" s="57" t="n"/>
      <c r="H351" t="n">
        <v>0</v>
      </c>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c r="A352" s="57" t="n"/>
      <c r="B352" s="57" t="n"/>
      <c r="C352" s="109" t="n"/>
      <c r="F352" s="57" t="n"/>
      <c r="H352" t="n">
        <v>0</v>
      </c>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c r="A353" s="57" t="n"/>
      <c r="B353" s="57" t="n"/>
      <c r="C353" s="109" t="n"/>
      <c r="F353" s="57" t="n"/>
      <c r="H353" t="n">
        <v>0</v>
      </c>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c r="A354" s="57" t="n"/>
      <c r="B354" s="57" t="n"/>
      <c r="C354" s="109" t="n"/>
      <c r="F354" s="57" t="n"/>
      <c r="H354" t="n">
        <v>0</v>
      </c>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c r="A355" s="57" t="n"/>
      <c r="B355" s="57" t="n"/>
      <c r="C355" s="109" t="n"/>
      <c r="F355" s="57" t="n"/>
      <c r="H355" t="n">
        <v>0</v>
      </c>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c r="A356" s="57" t="n"/>
      <c r="B356" s="57" t="n"/>
      <c r="C356" s="109" t="n"/>
      <c r="F356" s="57" t="n"/>
      <c r="H356" t="n">
        <v>0</v>
      </c>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c r="A357" s="57" t="n"/>
      <c r="B357" s="57" t="n"/>
      <c r="C357" s="109" t="n"/>
      <c r="F357" s="57" t="n"/>
      <c r="H357" t="n">
        <v>0</v>
      </c>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c r="A358" s="57" t="n"/>
      <c r="B358" s="57" t="n"/>
      <c r="C358" s="109" t="n"/>
      <c r="F358" s="57" t="n"/>
      <c r="H358" t="n">
        <v>0</v>
      </c>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c r="A359" s="57" t="n"/>
      <c r="B359" s="57" t="n"/>
      <c r="C359" s="109" t="n"/>
      <c r="F359" s="57" t="n"/>
      <c r="H359" t="n">
        <v>0</v>
      </c>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c r="A360" s="57" t="n"/>
      <c r="B360" s="57" t="n"/>
      <c r="C360" s="109" t="n"/>
      <c r="F360" s="57" t="n"/>
      <c r="H360" t="n">
        <v>0</v>
      </c>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c r="A361" s="57" t="n"/>
      <c r="B361" s="57" t="n"/>
      <c r="C361" s="109" t="n"/>
      <c r="F361" s="57" t="n"/>
      <c r="H361" t="n">
        <v>0</v>
      </c>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c r="A362" s="57" t="n"/>
      <c r="B362" s="57" t="n"/>
      <c r="C362" s="109" t="n"/>
      <c r="F362" s="57" t="n"/>
      <c r="H362" t="n">
        <v>0</v>
      </c>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c r="A363" s="57" t="n"/>
      <c r="B363" s="57" t="n"/>
      <c r="C363" s="109" t="n"/>
      <c r="F363" s="57" t="n"/>
      <c r="H363" t="n">
        <v>0</v>
      </c>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c r="A364" s="57" t="n"/>
      <c r="B364" s="57" t="n"/>
      <c r="C364" s="109" t="n"/>
      <c r="F364" s="57" t="n"/>
      <c r="H364" t="n">
        <v>0</v>
      </c>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c r="A365" s="57" t="n"/>
      <c r="B365" s="57" t="n"/>
      <c r="C365" s="109" t="n"/>
      <c r="F365" s="57" t="n"/>
      <c r="H365" t="n">
        <v>0</v>
      </c>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c r="A366" s="57" t="n"/>
      <c r="B366" s="57" t="n"/>
      <c r="C366" s="109" t="n"/>
      <c r="F366" s="57" t="n"/>
      <c r="H366" t="n">
        <v>0</v>
      </c>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c r="A367" s="57" t="n"/>
      <c r="B367" s="57" t="n"/>
      <c r="C367" s="109" t="n"/>
      <c r="F367" s="57" t="n"/>
      <c r="H367" t="n">
        <v>0</v>
      </c>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c r="A368" s="57" t="n"/>
      <c r="B368" s="57" t="n"/>
      <c r="C368" s="109" t="n"/>
      <c r="F368" s="57" t="n"/>
      <c r="H368" t="n">
        <v>0</v>
      </c>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c r="A369" s="57" t="n"/>
      <c r="B369" s="57" t="n"/>
      <c r="C369" s="109" t="n"/>
      <c r="F369" s="57" t="n"/>
      <c r="H369" t="n">
        <v>0</v>
      </c>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c r="A370" s="57" t="n"/>
      <c r="B370" s="57" t="n"/>
      <c r="C370" s="109" t="n"/>
      <c r="F370" s="57" t="n"/>
      <c r="H370" t="n">
        <v>0</v>
      </c>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c r="A371" s="57" t="n"/>
      <c r="B371" s="57" t="n"/>
      <c r="C371" s="109" t="n"/>
      <c r="F371" s="57" t="n"/>
      <c r="H371" t="n">
        <v>0</v>
      </c>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c r="A372" s="57" t="n"/>
      <c r="B372" s="57" t="n"/>
      <c r="C372" s="109" t="n"/>
      <c r="F372" s="57" t="n"/>
      <c r="H372" t="n">
        <v>0</v>
      </c>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c r="A373" s="57" t="n"/>
      <c r="B373" s="57" t="n"/>
      <c r="C373" s="109" t="n"/>
      <c r="F373" s="57" t="n"/>
      <c r="H373" t="n">
        <v>0</v>
      </c>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c r="A374" s="57" t="n"/>
      <c r="B374" s="57" t="n"/>
      <c r="C374" s="109" t="n"/>
      <c r="F374" s="57" t="n"/>
      <c r="H374" t="n">
        <v>0</v>
      </c>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c r="A375" s="57" t="n"/>
      <c r="B375" s="57" t="n"/>
      <c r="C375" s="109" t="n"/>
      <c r="F375" s="57" t="n"/>
      <c r="H375" t="n">
        <v>0</v>
      </c>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c r="A376" s="57" t="n"/>
      <c r="B376" s="57" t="n"/>
      <c r="C376" s="109" t="n"/>
      <c r="F376" s="57" t="n"/>
      <c r="H376" t="n">
        <v>0</v>
      </c>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c r="A377" s="57" t="n"/>
      <c r="B377" s="57" t="n"/>
      <c r="C377" s="109" t="n"/>
      <c r="F377" s="57" t="n"/>
      <c r="H377" t="n">
        <v>0</v>
      </c>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c r="A378" s="57" t="n"/>
      <c r="B378" s="57" t="n"/>
      <c r="C378" s="109" t="n"/>
      <c r="F378" s="57" t="n"/>
      <c r="H378" t="n">
        <v>0</v>
      </c>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c r="A379" s="57" t="n"/>
      <c r="B379" s="57" t="n"/>
      <c r="C379" s="109" t="n"/>
      <c r="F379" s="57" t="n"/>
      <c r="H379" t="n">
        <v>0</v>
      </c>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c r="A380" s="57" t="n"/>
      <c r="B380" s="57" t="n"/>
      <c r="C380" s="109" t="n"/>
      <c r="F380" s="57" t="n"/>
      <c r="H380" t="n">
        <v>0</v>
      </c>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c r="A381" s="57" t="n"/>
      <c r="B381" s="57" t="n"/>
      <c r="C381" s="109" t="n"/>
      <c r="F381" s="57" t="n"/>
      <c r="H381" t="n">
        <v>0</v>
      </c>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c r="A382" s="57" t="n"/>
      <c r="B382" s="57" t="n"/>
      <c r="C382" s="109" t="n"/>
      <c r="F382" s="57" t="n"/>
      <c r="H382" t="n">
        <v>0</v>
      </c>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c r="A383" s="57" t="n"/>
      <c r="B383" s="57" t="n"/>
      <c r="C383" s="109" t="n"/>
      <c r="F383" s="57" t="n"/>
      <c r="H383" t="n">
        <v>0</v>
      </c>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c r="A384" s="57" t="n"/>
      <c r="B384" s="57" t="n"/>
      <c r="C384" s="109" t="n"/>
      <c r="F384" s="57" t="n"/>
      <c r="H384" t="n">
        <v>0</v>
      </c>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c r="A385" s="57" t="n"/>
      <c r="B385" s="57" t="n"/>
      <c r="C385" s="109" t="n"/>
      <c r="F385" s="57" t="n"/>
      <c r="H385" t="n">
        <v>0</v>
      </c>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c r="A386" s="57" t="n"/>
      <c r="B386" s="57" t="n"/>
      <c r="C386" s="109" t="n"/>
      <c r="F386" s="57" t="n"/>
      <c r="H386" t="n">
        <v>0</v>
      </c>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c r="A387" s="57" t="n"/>
      <c r="B387" s="57" t="n"/>
      <c r="C387" s="109" t="n"/>
      <c r="F387" s="57" t="n"/>
      <c r="H387" t="n">
        <v>0</v>
      </c>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c r="A388" s="57" t="n"/>
      <c r="B388" s="57" t="n"/>
      <c r="C388" s="109" t="n"/>
      <c r="F388" s="57" t="n"/>
      <c r="H388" t="n">
        <v>0</v>
      </c>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c r="A389" s="57" t="n"/>
      <c r="B389" s="57" t="n"/>
      <c r="C389" s="109" t="n"/>
      <c r="F389" s="57" t="n"/>
      <c r="H389" t="n">
        <v>0</v>
      </c>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c r="A390" s="57" t="n"/>
      <c r="B390" s="57" t="n"/>
      <c r="C390" s="109" t="n"/>
      <c r="F390" s="57" t="n"/>
      <c r="H390" t="n">
        <v>0</v>
      </c>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c r="A391" s="57" t="n"/>
      <c r="B391" s="57" t="n"/>
      <c r="C391" s="109" t="n"/>
      <c r="F391" s="57" t="n"/>
      <c r="H391" t="n">
        <v>0</v>
      </c>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c r="A392" s="57" t="n"/>
      <c r="B392" s="57" t="n"/>
      <c r="C392" s="109" t="n"/>
      <c r="F392" s="57" t="n"/>
      <c r="H392" t="n">
        <v>0</v>
      </c>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c r="A393" s="57" t="n"/>
      <c r="B393" s="57" t="n"/>
      <c r="C393" s="109" t="n"/>
      <c r="F393" s="57" t="n"/>
      <c r="H393" t="n">
        <v>0</v>
      </c>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c r="A394" s="57" t="n"/>
      <c r="B394" s="57" t="n"/>
      <c r="C394" s="109" t="n"/>
      <c r="F394" s="57" t="n"/>
      <c r="H394" t="n">
        <v>0</v>
      </c>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c r="A395" s="57" t="n"/>
      <c r="B395" s="57" t="n"/>
      <c r="C395" s="109" t="n"/>
      <c r="F395" s="57" t="n"/>
      <c r="H395" t="n">
        <v>0</v>
      </c>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c r="A396" s="57" t="n"/>
      <c r="B396" s="57" t="n"/>
      <c r="C396" s="109" t="n"/>
      <c r="F396" s="57" t="n"/>
      <c r="H396" t="n">
        <v>0</v>
      </c>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c r="A397" s="57" t="n"/>
      <c r="B397" s="57" t="n"/>
      <c r="C397" s="109" t="n"/>
      <c r="F397" s="57" t="n"/>
      <c r="H397" t="n">
        <v>0</v>
      </c>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c r="A398" s="57" t="n"/>
      <c r="B398" s="57" t="n"/>
      <c r="C398" s="109" t="n"/>
      <c r="F398" s="57" t="n"/>
      <c r="H398" t="n">
        <v>0</v>
      </c>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c r="A399" s="57" t="n"/>
      <c r="B399" s="57" t="n"/>
      <c r="C399" s="109" t="n"/>
      <c r="F399" s="57" t="n"/>
      <c r="H399" t="n">
        <v>0</v>
      </c>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c r="A400" s="57" t="n"/>
      <c r="B400" s="57" t="n"/>
      <c r="C400" s="109" t="n"/>
      <c r="F400" s="57" t="n"/>
      <c r="H400" t="n">
        <v>0</v>
      </c>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c r="A401" s="57" t="n"/>
      <c r="B401" s="57" t="n"/>
      <c r="C401" s="109" t="n"/>
      <c r="F401" s="57" t="n"/>
      <c r="H401" t="n">
        <v>0</v>
      </c>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c r="A402" s="57" t="n"/>
      <c r="B402" s="57" t="n"/>
      <c r="C402" s="109" t="n"/>
      <c r="F402" s="57" t="n"/>
      <c r="H402" t="n">
        <v>0</v>
      </c>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c r="A403" s="57" t="n"/>
      <c r="B403" s="57" t="n"/>
      <c r="C403" s="109" t="n"/>
      <c r="F403" s="57" t="n"/>
      <c r="H403" t="n">
        <v>0</v>
      </c>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c r="A404" s="57" t="n"/>
      <c r="B404" s="57" t="n"/>
      <c r="C404" s="109" t="n"/>
      <c r="F404" s="57" t="n"/>
      <c r="H404" t="n">
        <v>0</v>
      </c>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c r="A405" s="57" t="n"/>
      <c r="B405" s="57" t="n"/>
      <c r="C405" s="109" t="n"/>
      <c r="F405" s="57" t="n"/>
      <c r="H405" t="n">
        <v>0</v>
      </c>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c r="A406" s="57" t="n"/>
      <c r="B406" s="57" t="n"/>
      <c r="C406" s="109" t="n"/>
      <c r="F406" s="57" t="n"/>
      <c r="H406" t="n">
        <v>0</v>
      </c>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c r="A407" s="57" t="n"/>
      <c r="B407" s="57" t="n"/>
      <c r="C407" s="109" t="n"/>
      <c r="F407" s="57" t="n"/>
      <c r="H407" t="n">
        <v>0</v>
      </c>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c r="A408" s="57" t="n"/>
      <c r="B408" s="57" t="n"/>
      <c r="C408" s="109" t="n"/>
      <c r="F408" s="57" t="n"/>
      <c r="H408" t="n">
        <v>0</v>
      </c>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c r="A409" s="57" t="n"/>
      <c r="B409" s="57" t="n"/>
      <c r="C409" s="109" t="n"/>
      <c r="F409" s="57" t="n"/>
      <c r="H409" t="n">
        <v>0</v>
      </c>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c r="A410" s="57" t="n"/>
      <c r="B410" s="57" t="n"/>
      <c r="C410" s="109" t="n"/>
      <c r="F410" s="57" t="n"/>
      <c r="H410" t="n">
        <v>0</v>
      </c>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c r="A411" s="57" t="n"/>
      <c r="B411" s="57" t="n"/>
      <c r="C411" s="109" t="n"/>
      <c r="F411" s="57" t="n"/>
      <c r="H411" t="n">
        <v>0</v>
      </c>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c r="A412" s="57" t="n"/>
      <c r="B412" s="57" t="n"/>
      <c r="C412" s="109" t="n"/>
      <c r="F412" s="57" t="n"/>
      <c r="H412" t="n">
        <v>0</v>
      </c>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c r="A413" s="57" t="n"/>
      <c r="B413" s="57" t="n"/>
      <c r="C413" s="109" t="n"/>
      <c r="F413" s="57" t="n"/>
      <c r="H413" t="n">
        <v>0</v>
      </c>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c r="A414" s="57" t="n"/>
      <c r="B414" s="57" t="n"/>
      <c r="C414" s="109" t="n"/>
      <c r="F414" s="57" t="n"/>
      <c r="H414" t="n">
        <v>0</v>
      </c>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c r="A415" s="57" t="n"/>
      <c r="B415" s="57" t="n"/>
      <c r="C415" s="109" t="n"/>
      <c r="F415" s="57" t="n"/>
      <c r="H415" t="n">
        <v>0</v>
      </c>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c r="A416" s="57" t="n"/>
      <c r="B416" s="57" t="n"/>
      <c r="C416" s="109" t="n"/>
      <c r="F416" s="57" t="n"/>
      <c r="H416" t="n">
        <v>0</v>
      </c>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c r="A417" s="57" t="n"/>
      <c r="B417" s="57" t="n"/>
      <c r="C417" s="109" t="n"/>
      <c r="F417" s="57" t="n"/>
      <c r="H417" t="n">
        <v>0</v>
      </c>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c r="A418" s="57" t="n"/>
      <c r="B418" s="57" t="n"/>
      <c r="C418" s="109" t="n"/>
      <c r="F418" s="57" t="n"/>
      <c r="H418" t="n">
        <v>0</v>
      </c>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c r="A419" s="57" t="n"/>
      <c r="B419" s="57" t="n"/>
      <c r="C419" s="109" t="n"/>
      <c r="F419" s="57" t="n"/>
      <c r="H419" t="n">
        <v>0</v>
      </c>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c r="A420" s="57" t="n"/>
      <c r="B420" s="57" t="n"/>
      <c r="C420" s="109" t="n"/>
      <c r="F420" s="57" t="n"/>
      <c r="H420" t="n">
        <v>0</v>
      </c>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c r="A421" s="57" t="n"/>
      <c r="B421" s="57" t="n"/>
      <c r="C421" s="109" t="n"/>
      <c r="F421" s="57" t="n"/>
      <c r="H421" t="n">
        <v>0</v>
      </c>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c r="A422" s="57" t="n"/>
      <c r="B422" s="57" t="n"/>
      <c r="C422" s="109" t="n"/>
      <c r="F422" s="57" t="n"/>
      <c r="H422" t="n">
        <v>0</v>
      </c>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c r="A423" s="57" t="n"/>
      <c r="B423" s="57" t="n"/>
      <c r="C423" s="109" t="n"/>
      <c r="F423" s="57" t="n"/>
      <c r="H423" t="n">
        <v>0</v>
      </c>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c r="A424" s="57" t="n"/>
      <c r="B424" s="57" t="n"/>
      <c r="C424" s="109" t="n"/>
      <c r="F424" s="57" t="n"/>
      <c r="H424" t="n">
        <v>0</v>
      </c>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c r="A425" s="57" t="n"/>
      <c r="B425" s="57" t="n"/>
      <c r="C425" s="109" t="n"/>
      <c r="F425" s="57" t="n"/>
      <c r="H425" t="n">
        <v>0</v>
      </c>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c r="A426" s="57" t="n"/>
      <c r="B426" s="57" t="n"/>
      <c r="C426" s="109" t="n"/>
      <c r="F426" s="57" t="n"/>
      <c r="H426" t="n">
        <v>0</v>
      </c>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c r="A427" s="57" t="n"/>
      <c r="B427" s="57" t="n"/>
      <c r="C427" s="109" t="n"/>
      <c r="F427" s="57" t="n"/>
      <c r="H427" t="n">
        <v>0</v>
      </c>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c r="A428" s="57" t="n"/>
      <c r="B428" s="57" t="n"/>
      <c r="C428" s="109" t="n"/>
      <c r="F428" s="57" t="n"/>
      <c r="H428" t="n">
        <v>0</v>
      </c>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c r="A429" s="57" t="n"/>
      <c r="B429" s="57" t="n"/>
      <c r="C429" s="109" t="n"/>
      <c r="F429" s="57" t="n"/>
      <c r="H429" t="n">
        <v>0</v>
      </c>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c r="A430" s="57" t="n"/>
      <c r="B430" s="57" t="n"/>
      <c r="C430" s="109" t="n"/>
      <c r="F430" s="57" t="n"/>
      <c r="H430" t="n">
        <v>0</v>
      </c>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c r="A431" s="57" t="n"/>
      <c r="B431" s="57" t="n"/>
      <c r="C431" s="109" t="n"/>
      <c r="F431" s="57" t="n"/>
      <c r="H431" t="n">
        <v>0</v>
      </c>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c r="A432" s="57" t="n"/>
      <c r="B432" s="57" t="n"/>
      <c r="C432" s="109" t="n"/>
      <c r="F432" s="57" t="n"/>
      <c r="H432" t="n">
        <v>0</v>
      </c>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c r="A433" s="57" t="n"/>
      <c r="B433" s="57" t="n"/>
      <c r="C433" s="109" t="n"/>
      <c r="F433" s="57" t="n"/>
      <c r="H433" t="n">
        <v>0</v>
      </c>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c r="A434" s="57" t="n"/>
      <c r="B434" s="57" t="n"/>
      <c r="C434" s="109" t="n"/>
      <c r="F434" s="57" t="n"/>
      <c r="H434" t="n">
        <v>0</v>
      </c>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c r="A435" s="57" t="n"/>
      <c r="B435" s="57" t="n"/>
      <c r="C435" s="109" t="n"/>
      <c r="F435" s="57" t="n"/>
      <c r="H435" t="n">
        <v>0</v>
      </c>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c r="A436" s="57" t="n"/>
      <c r="B436" s="57" t="n"/>
      <c r="C436" s="109" t="n"/>
      <c r="F436" s="57" t="n"/>
      <c r="H436" t="n">
        <v>0</v>
      </c>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c r="A437" s="57" t="n"/>
      <c r="B437" s="57" t="n"/>
      <c r="C437" s="109" t="n"/>
      <c r="F437" s="57" t="n"/>
      <c r="H437" t="n">
        <v>0</v>
      </c>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c r="A438" s="57" t="n"/>
      <c r="B438" s="57" t="n"/>
      <c r="C438" s="109" t="n"/>
      <c r="F438" s="57" t="n"/>
      <c r="H438" t="n">
        <v>0</v>
      </c>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c r="A439" s="57" t="n"/>
      <c r="B439" s="57" t="n"/>
      <c r="C439" s="109" t="n"/>
      <c r="F439" s="57" t="n"/>
      <c r="H439" t="n">
        <v>0</v>
      </c>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c r="A440" s="57" t="n"/>
      <c r="B440" s="57" t="n"/>
      <c r="C440" s="109" t="n"/>
      <c r="F440" s="57" t="n"/>
      <c r="H440" t="n">
        <v>0</v>
      </c>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c r="A441" s="57" t="n"/>
      <c r="B441" s="57" t="n"/>
      <c r="C441" s="109" t="n"/>
      <c r="F441" s="57" t="n"/>
      <c r="H441" t="n">
        <v>0</v>
      </c>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c r="A442" s="57" t="n"/>
      <c r="B442" s="57" t="n"/>
      <c r="C442" s="109" t="n"/>
      <c r="F442" s="57" t="n"/>
      <c r="H442" t="n">
        <v>0</v>
      </c>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c r="A443" s="57" t="n"/>
      <c r="B443" s="57" t="n"/>
      <c r="C443" s="109" t="n"/>
      <c r="F443" s="57" t="n"/>
      <c r="H443" t="n">
        <v>0</v>
      </c>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c r="A444" s="57" t="n"/>
      <c r="B444" s="57" t="n"/>
      <c r="C444" s="109" t="n"/>
      <c r="F444" s="57" t="n"/>
      <c r="H444" t="n">
        <v>0</v>
      </c>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c r="A445" s="57" t="n"/>
      <c r="B445" s="57" t="n"/>
      <c r="C445" s="109" t="n"/>
      <c r="F445" s="57" t="n"/>
      <c r="H445" t="n">
        <v>0</v>
      </c>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c r="A446" s="57" t="n"/>
      <c r="B446" s="57" t="n"/>
      <c r="C446" s="109" t="n"/>
      <c r="F446" s="57" t="n"/>
      <c r="H446" t="n">
        <v>0</v>
      </c>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c r="A447" s="57" t="n"/>
      <c r="B447" s="57" t="n"/>
      <c r="C447" s="109" t="n"/>
      <c r="F447" s="57" t="n"/>
      <c r="H447" t="n">
        <v>0</v>
      </c>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c r="A448" s="57" t="n"/>
      <c r="B448" s="57" t="n"/>
      <c r="C448" s="109" t="n"/>
      <c r="F448" s="57" t="n"/>
      <c r="H448" t="n">
        <v>0</v>
      </c>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c r="A449" s="57" t="n"/>
      <c r="B449" s="57" t="n"/>
      <c r="C449" s="109" t="n"/>
      <c r="F449" s="57" t="n"/>
      <c r="H449" t="n">
        <v>0</v>
      </c>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c r="A450" s="57" t="n"/>
      <c r="B450" s="57" t="n"/>
      <c r="C450" s="109" t="n"/>
      <c r="F450" s="57" t="n"/>
      <c r="H450" t="n">
        <v>0</v>
      </c>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c r="A451" s="57" t="n"/>
      <c r="B451" s="57" t="n"/>
      <c r="C451" s="109" t="n"/>
      <c r="F451" s="57" t="n"/>
      <c r="H451" t="n">
        <v>0</v>
      </c>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c r="A452" s="57" t="n"/>
      <c r="B452" s="57" t="n"/>
      <c r="C452" s="109" t="n"/>
      <c r="F452" s="57" t="n"/>
      <c r="H452" t="n">
        <v>0</v>
      </c>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c r="A453" s="57" t="n"/>
      <c r="B453" s="57" t="n"/>
      <c r="C453" s="109" t="n"/>
      <c r="F453" s="57" t="n"/>
      <c r="H453" t="n">
        <v>0</v>
      </c>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c r="A454" s="57" t="n"/>
      <c r="B454" s="57" t="n"/>
      <c r="C454" s="109" t="n"/>
      <c r="F454" s="57" t="n"/>
      <c r="H454" t="n">
        <v>0</v>
      </c>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c r="A455" s="57" t="n"/>
      <c r="B455" s="57" t="n"/>
      <c r="C455" s="109" t="n"/>
      <c r="F455" s="57" t="n"/>
      <c r="H455" t="n">
        <v>0</v>
      </c>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c r="A456" s="57" t="n"/>
      <c r="B456" s="57" t="n"/>
      <c r="C456" s="109" t="n"/>
      <c r="F456" s="57" t="n"/>
      <c r="H456" t="n">
        <v>0</v>
      </c>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c r="A457" s="57" t="n"/>
      <c r="B457" s="57" t="n"/>
      <c r="C457" s="109" t="n"/>
      <c r="F457" s="57" t="n"/>
      <c r="H457" t="n">
        <v>0</v>
      </c>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c r="A458" s="57" t="n"/>
      <c r="B458" s="57" t="n"/>
      <c r="C458" s="109" t="n"/>
      <c r="F458" s="57" t="n"/>
      <c r="H458" t="n">
        <v>0</v>
      </c>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c r="A459" s="57" t="n"/>
      <c r="B459" s="57" t="n"/>
      <c r="C459" s="109" t="n"/>
      <c r="F459" s="57" t="n"/>
      <c r="H459" t="n">
        <v>0</v>
      </c>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c r="A460" s="57" t="n"/>
      <c r="B460" s="57" t="n"/>
      <c r="C460" s="109" t="n"/>
      <c r="F460" s="57" t="n"/>
      <c r="H460" t="n">
        <v>0</v>
      </c>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c r="A461" s="57" t="n"/>
      <c r="B461" s="57" t="n"/>
      <c r="C461" s="109" t="n"/>
      <c r="F461" s="57" t="n"/>
      <c r="H461" t="n">
        <v>0</v>
      </c>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c r="A462" s="57" t="n"/>
      <c r="B462" s="57" t="n"/>
      <c r="C462" s="109" t="n"/>
      <c r="F462" s="57" t="n"/>
      <c r="H462" t="n">
        <v>0</v>
      </c>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c r="A463" s="57" t="n"/>
      <c r="B463" s="57" t="n"/>
      <c r="C463" s="109" t="n"/>
      <c r="F463" s="57" t="n"/>
      <c r="H463" t="n">
        <v>0</v>
      </c>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c r="A464" s="57" t="n"/>
      <c r="B464" s="57" t="n"/>
      <c r="C464" s="109" t="n"/>
      <c r="F464" s="57" t="n"/>
      <c r="H464" t="n">
        <v>0</v>
      </c>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c r="A465" s="57" t="n"/>
      <c r="B465" s="57" t="n"/>
      <c r="C465" s="109" t="n"/>
      <c r="F465" s="57" t="n"/>
      <c r="H465" t="n">
        <v>0</v>
      </c>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c r="A466" s="57" t="n"/>
      <c r="B466" s="57" t="n"/>
      <c r="C466" s="109" t="n"/>
      <c r="F466" s="57" t="n"/>
      <c r="H466" t="n">
        <v>0</v>
      </c>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c r="A467" s="57" t="n"/>
      <c r="B467" s="57" t="n"/>
      <c r="C467" s="109" t="n"/>
      <c r="F467" s="57" t="n"/>
      <c r="H467" t="n">
        <v>0</v>
      </c>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c r="A468" s="57" t="n"/>
      <c r="B468" s="57" t="n"/>
      <c r="C468" s="109" t="n"/>
      <c r="F468" s="57" t="n"/>
      <c r="H468" t="n">
        <v>0</v>
      </c>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c r="A469" s="57" t="n"/>
      <c r="B469" s="57" t="n"/>
      <c r="C469" s="109" t="n"/>
      <c r="F469" s="57" t="n"/>
      <c r="H469" t="n">
        <v>0</v>
      </c>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c r="A470" s="57" t="n"/>
      <c r="B470" s="57" t="n"/>
      <c r="C470" s="109" t="n"/>
      <c r="F470" s="57" t="n"/>
      <c r="H470" t="n">
        <v>0</v>
      </c>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c r="A471" s="57" t="n"/>
      <c r="B471" s="57" t="n"/>
      <c r="C471" s="109" t="n"/>
      <c r="F471" s="57" t="n"/>
      <c r="H471" t="n">
        <v>0</v>
      </c>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c r="A472" s="57" t="n"/>
      <c r="B472" s="57" t="n"/>
      <c r="C472" s="109" t="n"/>
      <c r="F472" s="57" t="n"/>
      <c r="H472" t="n">
        <v>0</v>
      </c>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c r="A473" s="57" t="n"/>
      <c r="B473" s="57" t="n"/>
      <c r="C473" s="109" t="n"/>
      <c r="F473" s="57" t="n"/>
      <c r="H473" t="n">
        <v>0</v>
      </c>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c r="A474" s="57" t="n"/>
      <c r="B474" s="57" t="n"/>
      <c r="C474" s="109" t="n"/>
      <c r="F474" s="57" t="n"/>
      <c r="H474" t="n">
        <v>0</v>
      </c>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c r="A475" s="57" t="n"/>
      <c r="B475" s="57" t="n"/>
      <c r="C475" s="109" t="n"/>
      <c r="F475" s="57" t="n"/>
      <c r="H475" t="n">
        <v>0</v>
      </c>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c r="A476" s="57" t="n"/>
      <c r="B476" s="57" t="n"/>
      <c r="C476" s="109" t="n"/>
      <c r="F476" s="57" t="n"/>
      <c r="H476" t="n">
        <v>0</v>
      </c>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c r="A477" s="57" t="n"/>
      <c r="B477" s="57" t="n"/>
      <c r="C477" s="109" t="n"/>
      <c r="F477" s="57" t="n"/>
      <c r="H477" t="n">
        <v>0</v>
      </c>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c r="A478" s="57" t="n"/>
      <c r="B478" s="57" t="n"/>
      <c r="C478" s="109" t="n"/>
      <c r="F478" s="57" t="n"/>
      <c r="H478" t="n">
        <v>0</v>
      </c>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c r="A479" s="57" t="n"/>
      <c r="B479" s="57" t="n"/>
      <c r="C479" s="109" t="n"/>
      <c r="F479" s="57" t="n"/>
      <c r="H479" t="n">
        <v>0</v>
      </c>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c r="A480" s="57" t="n"/>
      <c r="B480" s="57" t="n"/>
      <c r="C480" s="109" t="n"/>
      <c r="F480" s="57" t="n"/>
      <c r="H480" t="n">
        <v>0</v>
      </c>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c r="A481" s="57" t="n"/>
      <c r="B481" s="57" t="n"/>
      <c r="C481" s="109" t="n"/>
      <c r="F481" s="57" t="n"/>
      <c r="H481" t="n">
        <v>0</v>
      </c>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c r="A482" s="57" t="n"/>
      <c r="B482" s="57" t="n"/>
      <c r="C482" s="109" t="n"/>
      <c r="F482" s="57" t="n"/>
      <c r="H482" t="n">
        <v>0</v>
      </c>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c r="A483" s="57" t="n"/>
      <c r="B483" s="57" t="n"/>
      <c r="C483" s="109" t="n"/>
      <c r="F483" s="57" t="n"/>
      <c r="H483" t="n">
        <v>0</v>
      </c>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c r="A484" s="57" t="n"/>
      <c r="B484" s="57" t="n"/>
      <c r="C484" s="109" t="n"/>
      <c r="F484" s="57" t="n"/>
      <c r="H484" t="n">
        <v>0</v>
      </c>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c r="AA793" s="640">
        <f>IF(G793=0, IF(OR(H793&gt;0,F793&gt;0),C793*F793,""),"")</f>
        <v/>
      </c>
      <c r="AB793" s="640">
        <f>IF(G793&gt;=1,IF(F793&gt;1,C793*(F793-2),""),"")</f>
        <v/>
      </c>
      <c r="AD793" s="911">
        <f>IF(E793="YES",IF(G793=1,"",""),IF(G793=1,C793,IF(G793=2,C793,IF(G793=0,"",""))))</f>
        <v/>
      </c>
      <c r="AE793" s="911">
        <f>IF(E793="YES",IF(G793=1,"",IF(H793=1,C793,"")),IF(H793=1,C793,IF(H793=2,C793,IF(H793=0,"",""))))</f>
        <v/>
      </c>
      <c r="AF793" s="911">
        <f>IF(E793="YES",IF(I793=1,C793,""),IF(I793=1,C793,IF(I793=2,C793,IF(I793=0,"",""))))</f>
        <v/>
      </c>
      <c r="AG793" s="192">
        <f>(C793*G793)+(C793*H793)+(C793*I793)</f>
        <v/>
      </c>
    </row>
    <row r="794">
      <c r="AA794" s="640">
        <f>IF(G794=0, IF(OR(H794&gt;0,F794&gt;0),C794*F794,""),"")</f>
        <v/>
      </c>
      <c r="AB794" s="640">
        <f>IF(G794&gt;=1,IF(F794&gt;1,C794*(F794-2),""),"")</f>
        <v/>
      </c>
      <c r="AD794" s="911">
        <f>IF(E794="YES",IF(G794=1,"",""),IF(G794=1,C794,IF(G794=2,C794,IF(G794=0,"",""))))</f>
        <v/>
      </c>
      <c r="AE794" s="911">
        <f>IF(E794="YES",IF(G794=1,"",IF(H794=1,C794,"")),IF(H794=1,C794,IF(H794=2,C794,IF(H794=0,"",""))))</f>
        <v/>
      </c>
      <c r="AF794" s="911">
        <f>IF(E794="YES",IF(I794=1,C794,""),IF(I794=1,C794,IF(I794=2,C794,IF(I794=0,"",""))))</f>
        <v/>
      </c>
      <c r="AG794" s="192">
        <f>(C794*G794)+(C794*H794)+(C794*I794)</f>
        <v/>
      </c>
    </row>
    <row r="795">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c r="AD1382" s="911">
        <f>IF(E1382="YES",IF(G1382=1,"",""),IF(G1382=1,C1382,IF(G1382=2,C1382,IF(G1382=0,"",""))))</f>
        <v/>
      </c>
      <c r="AE1382" s="911">
        <f>IF(E1382="YES",IF(G1382=1,"",IF(H1382=1,C1382,"")),IF(H1382=1,C1382,IF(H1382=2,C1382,IF(H1382=0,"",""))))</f>
        <v/>
      </c>
      <c r="AF1382" s="911">
        <f>IF(E1382="YES",IF(I1382=1,C1382,""),IF(I1382=1,C1382,IF(I1382=2,C1382,IF(I1382=0,"",""))))</f>
        <v/>
      </c>
    </row>
    <row r="1383">
      <c r="AD1383" s="911">
        <f>IF(E1383="YES",IF(G1383=1,"",""),IF(G1383=1,C1383,IF(G1383=2,C1383,IF(G1383=0,"",""))))</f>
        <v/>
      </c>
      <c r="AE1383" s="911">
        <f>IF(E1383="YES",IF(G1383=1,"",IF(H1383=1,C1383,"")),IF(H1383=1,C1383,IF(H1383=2,C1383,IF(H1383=0,"",""))))</f>
        <v/>
      </c>
      <c r="AF1383" s="911">
        <f>IF(E1383="YES",IF(I1383=1,C1383,""),IF(I1383=1,C1383,IF(I1383=2,C1383,IF(I1383=0,"",""))))</f>
        <v/>
      </c>
    </row>
    <row r="1384">
      <c r="AD1384" s="911">
        <f>IF(E1384="YES",IF(G1384=1,"",""),IF(G1384=1,C1384,IF(G1384=2,C1384,IF(G1384=0,"",""))))</f>
        <v/>
      </c>
      <c r="AE1384" s="911">
        <f>IF(E1384="YES",IF(G1384=1,"",IF(H1384=1,C1384,"")),IF(H1384=1,C1384,IF(H1384=2,C1384,IF(H1384=0,"",""))))</f>
        <v/>
      </c>
      <c r="AF1384" s="911">
        <f>IF(E1384="YES",IF(I1384=1,C1384,""),IF(I1384=1,C1384,IF(I1384=2,C1384,IF(I1384=0,"",""))))</f>
        <v/>
      </c>
    </row>
    <row r="1385">
      <c r="AD1385" s="911">
        <f>IF(E1385="YES",IF(G1385=1,"",""),IF(G1385=1,C1385,IF(G1385=2,C1385,IF(G1385=0,"",""))))</f>
        <v/>
      </c>
      <c r="AE1385" s="911">
        <f>IF(E1385="YES",IF(G1385=1,"",IF(H1385=1,C1385,"")),IF(H1385=1,C1385,IF(H1385=2,C1385,IF(H1385=0,"",""))))</f>
        <v/>
      </c>
      <c r="AF1385" s="911">
        <f>IF(E1385="YES",IF(I1385=1,C1385,""),IF(I1385=1,C1385,IF(I1385=2,C1385,IF(I1385=0,"",""))))</f>
        <v/>
      </c>
    </row>
    <row r="1386">
      <c r="AD1386" s="911">
        <f>IF(E1386="YES",IF(G1386=1,"",""),IF(G1386=1,C1386,IF(G1386=2,C1386,IF(G1386=0,"",""))))</f>
        <v/>
      </c>
      <c r="AE1386" s="911">
        <f>IF(E1386="YES",IF(G1386=1,"",IF(H1386=1,C1386,"")),IF(H1386=1,C1386,IF(H1386=2,C1386,IF(H1386=0,"",""))))</f>
        <v/>
      </c>
      <c r="AF1386" s="911">
        <f>IF(E1386="YES",IF(I1386=1,C1386,""),IF(I1386=1,C1386,IF(I1386=2,C1386,IF(I1386=0,"",""))))</f>
        <v/>
      </c>
    </row>
    <row r="1387">
      <c r="AD1387" s="911">
        <f>IF(E1387="YES",IF(G1387=1,"",""),IF(G1387=1,C1387,IF(G1387=2,C1387,IF(G1387=0,"",""))))</f>
        <v/>
      </c>
      <c r="AE1387" s="911">
        <f>IF(E1387="YES",IF(G1387=1,"",IF(H1387=1,C1387,"")),IF(H1387=1,C1387,IF(H1387=2,C1387,IF(H1387=0,"",""))))</f>
        <v/>
      </c>
      <c r="AF1387" s="911">
        <f>IF(E1387="YES",IF(I1387=1,C1387,""),IF(I1387=1,C1387,IF(I1387=2,C1387,IF(I1387=0,"",""))))</f>
        <v/>
      </c>
    </row>
    <row r="1388">
      <c r="AD1388" s="911">
        <f>IF(E1388="YES",IF(G1388=1,"",""),IF(G1388=1,C1388,IF(G1388=2,C1388,IF(G1388=0,"",""))))</f>
        <v/>
      </c>
      <c r="AE1388" s="911">
        <f>IF(E1388="YES",IF(G1388=1,"",IF(H1388=1,C1388,"")),IF(H1388=1,C1388,IF(H1388=2,C1388,IF(H1388=0,"",""))))</f>
        <v/>
      </c>
      <c r="AF1388" s="911">
        <f>IF(E1388="YES",IF(I1388=1,C1388,""),IF(I1388=1,C1388,IF(I1388=2,C1388,IF(I1388=0,"",""))))</f>
        <v/>
      </c>
    </row>
    <row r="1389">
      <c r="AD1389" s="911">
        <f>IF(E1389="YES",IF(G1389=1,"",""),IF(G1389=1,C1389,IF(G1389=2,C1389,IF(G1389=0,"",""))))</f>
        <v/>
      </c>
      <c r="AE1389" s="911">
        <f>IF(E1389="YES",IF(G1389=1,"",IF(H1389=1,C1389,"")),IF(H1389=1,C1389,IF(H1389=2,C1389,IF(H1389=0,"",""))))</f>
        <v/>
      </c>
      <c r="AF1389" s="911">
        <f>IF(E1389="YES",IF(I1389=1,C1389,""),IF(I1389=1,C1389,IF(I1389=2,C1389,IF(I1389=0,"",""))))</f>
        <v/>
      </c>
    </row>
  </sheetData>
  <mergeCells count="3">
    <mergeCell ref="Q1:R1"/>
    <mergeCell ref="Q5:Y5"/>
    <mergeCell ref="C2:D2"/>
  </mergeCells>
  <dataValidations count="8">
    <dataValidation sqref="G275:G1396 H485:H1396" showDropDown="0" showInputMessage="1" showErrorMessage="1" allowBlank="1" type="list">
      <formula1>"0,1,2"</formula1>
    </dataValidation>
    <dataValidation sqref="G7:G18 G22:G23 G30 G35 G37:G38 G58 G62 G64 G74 G92 G95:G96 G107 G111:G112 G117:G118 G121:G274" showDropDown="0" showInputMessage="1" showErrorMessage="1" allowBlank="1" type="list">
      <formula1>"0,1,2,3,4,5,6"</formula1>
    </dataValidation>
    <dataValidation sqref="A7:A120" showDropDown="0" showInputMessage="1" showErrorMessage="1" allowBlank="1" errorTitle="SP-" error="SP- IS MISSING" type="custom" errorStyle="warning">
      <formula1>ISNUMBER(FIND("SP-",A7))</formula1>
    </dataValidation>
    <dataValidation sqref="G19:G21 G24:G29 G31:G34 G36 G39:G57 G59:G61 G63 G65:G73 G75:G91 G93:G94 G97:G106 G108:G110 G113:G116" showDropDown="0" showInputMessage="1" showErrorMessage="1" allowBlank="1" type="list">
      <formula1>"0,1,2,3,4"</formula1>
    </dataValidation>
    <dataValidation sqref="I7:I1396" showDropDown="0" showInputMessage="1" showErrorMessage="1" allowBlank="1" type="list">
      <formula1>"0,1"</formula1>
    </dataValidation>
    <dataValidation sqref="E7:E1259" showDropDown="0" showInputMessage="1" showErrorMessage="1" allowBlank="1" type="list">
      <formula1>"yes, no"</formula1>
    </dataValidation>
    <dataValidation sqref="D7:D1313" showDropDown="0" showInputMessage="1" showErrorMessage="1" allowBlank="1" type="list">
      <formula1>"2"",4"""</formula1>
    </dataValidation>
    <dataValidation sqref="H7:H484" showDropDown="0" showInputMessage="1" showErrorMessage="1" allowBlank="1" type="list">
      <formula1>"1,2"</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E308" sqref="E308"/>
    </sheetView>
  </sheetViews>
  <sheetFormatPr baseColWidth="8" defaultColWidth="9.140625" defaultRowHeight="15"/>
  <cols>
    <col width="28.5703125" bestFit="1" customWidth="1" style="192" min="1" max="1"/>
    <col width="17" bestFit="1" customWidth="1" style="192" min="2" max="2"/>
    <col width="17.85546875" bestFit="1" customWidth="1" style="192" min="3" max="3"/>
    <col width="15.7109375" bestFit="1" customWidth="1" style="192" min="4" max="4"/>
    <col width="19.140625" bestFit="1" customWidth="1" style="192" min="5" max="5"/>
    <col width="13.140625" bestFit="1" customWidth="1" style="192" min="6" max="6"/>
    <col width="17" bestFit="1" customWidth="1" style="192" min="7" max="7"/>
    <col width="17.140625" bestFit="1" customWidth="1" style="547" min="8" max="8"/>
    <col width="26.5703125" customWidth="1" style="558" min="9" max="9"/>
    <col width="4.5703125" bestFit="1" customWidth="1" style="955" min="10" max="10"/>
    <col width="5" bestFit="1" customWidth="1" style="955" min="11" max="11"/>
  </cols>
  <sheetData>
    <row r="1" ht="73.5" customHeight="1" s="955"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5.75" customHeight="1" s="955" thickTop="1">
      <c r="A2" s="1178" t="inlineStr">
        <is>
          <t>2300 EAGLE SHOT CT</t>
        </is>
      </c>
      <c r="B2" s="1178" t="inlineStr">
        <is>
          <t>FUQUAY-VARINA</t>
        </is>
      </c>
      <c r="C2" s="1178" t="inlineStr">
        <is>
          <t>NORTH CAROLINA</t>
        </is>
      </c>
      <c r="D2" s="1178" t="inlineStr">
        <is>
          <t>27526</t>
        </is>
      </c>
      <c r="E2" s="1178" t="inlineStr"/>
      <c r="F2" s="1178" t="inlineStr">
        <is>
          <t>RES-SFU</t>
        </is>
      </c>
      <c r="G2" s="1178" t="inlineStr">
        <is>
          <t>BURIED</t>
        </is>
      </c>
      <c r="H2" s="1178" t="inlineStr">
        <is>
          <t>Y</t>
        </is>
      </c>
      <c r="I2" s="1178" t="inlineStr"/>
      <c r="J2" s="1179" t="n">
        <v>1</v>
      </c>
      <c r="K2" s="1179" t="n">
        <v>0</v>
      </c>
    </row>
    <row r="3">
      <c r="A3" s="1178" t="inlineStr">
        <is>
          <t>2301 EAGLE SHOT CT</t>
        </is>
      </c>
      <c r="B3" s="1178" t="inlineStr">
        <is>
          <t>FUQUAY-VARINA</t>
        </is>
      </c>
      <c r="C3" s="1178" t="inlineStr">
        <is>
          <t>NORTH CAROLINA</t>
        </is>
      </c>
      <c r="D3" s="1178" t="inlineStr">
        <is>
          <t>27526</t>
        </is>
      </c>
      <c r="E3" s="1178" t="inlineStr"/>
      <c r="F3" s="1178" t="inlineStr">
        <is>
          <t>RES-SFU</t>
        </is>
      </c>
      <c r="G3" s="1178" t="inlineStr">
        <is>
          <t>BURIED</t>
        </is>
      </c>
      <c r="H3" s="1178" t="inlineStr">
        <is>
          <t>Y</t>
        </is>
      </c>
      <c r="I3" s="1178" t="inlineStr"/>
      <c r="J3" s="1179" t="n">
        <v>1</v>
      </c>
      <c r="K3" s="1179" t="n">
        <v>0</v>
      </c>
    </row>
    <row r="4">
      <c r="A4" s="1178" t="inlineStr">
        <is>
          <t>2304 EAGLE SHOT CT</t>
        </is>
      </c>
      <c r="B4" s="1178" t="inlineStr">
        <is>
          <t>FUQUAY-VARINA</t>
        </is>
      </c>
      <c r="C4" s="1178" t="inlineStr">
        <is>
          <t>NORTH CAROLINA</t>
        </is>
      </c>
      <c r="D4" s="1178" t="inlineStr">
        <is>
          <t>27526</t>
        </is>
      </c>
      <c r="E4" s="1178" t="inlineStr"/>
      <c r="F4" s="1178" t="inlineStr">
        <is>
          <t>RES-SFU</t>
        </is>
      </c>
      <c r="G4" s="1178" t="inlineStr">
        <is>
          <t>BURIED</t>
        </is>
      </c>
      <c r="H4" s="1178" t="inlineStr">
        <is>
          <t>Y</t>
        </is>
      </c>
      <c r="I4" s="1178" t="inlineStr"/>
      <c r="J4" s="1179" t="n">
        <v>1</v>
      </c>
      <c r="K4" s="1179" t="n">
        <v>0</v>
      </c>
    </row>
    <row r="5">
      <c r="A5" s="1178" t="inlineStr">
        <is>
          <t>2305 EAGLE SHOT CT</t>
        </is>
      </c>
      <c r="B5" s="1178" t="inlineStr">
        <is>
          <t>FUQUAY-VARINA</t>
        </is>
      </c>
      <c r="C5" s="1178" t="inlineStr">
        <is>
          <t>NORTH CAROLINA</t>
        </is>
      </c>
      <c r="D5" s="1178" t="inlineStr">
        <is>
          <t>27526</t>
        </is>
      </c>
      <c r="E5" s="1178" t="inlineStr"/>
      <c r="F5" s="1178" t="inlineStr">
        <is>
          <t>RES-SFU</t>
        </is>
      </c>
      <c r="G5" s="1178" t="inlineStr">
        <is>
          <t>BURIED</t>
        </is>
      </c>
      <c r="H5" s="1178" t="inlineStr">
        <is>
          <t>Y</t>
        </is>
      </c>
      <c r="I5" s="1178" t="inlineStr"/>
      <c r="J5" s="1179" t="n">
        <v>1</v>
      </c>
      <c r="K5" s="1179" t="n">
        <v>0</v>
      </c>
    </row>
    <row r="6">
      <c r="A6" s="1178" t="inlineStr">
        <is>
          <t>2308 EAGLE SHOT CT</t>
        </is>
      </c>
      <c r="B6" s="1178" t="inlineStr">
        <is>
          <t>FUQUAY-VARINA</t>
        </is>
      </c>
      <c r="C6" s="1178" t="inlineStr">
        <is>
          <t>NORTH CAROLINA</t>
        </is>
      </c>
      <c r="D6" s="1178" t="inlineStr">
        <is>
          <t>27526</t>
        </is>
      </c>
      <c r="E6" s="1178" t="inlineStr"/>
      <c r="F6" s="1178" t="inlineStr">
        <is>
          <t>RES-SFU</t>
        </is>
      </c>
      <c r="G6" s="1178" t="inlineStr">
        <is>
          <t>BURIED</t>
        </is>
      </c>
      <c r="H6" s="1178" t="inlineStr">
        <is>
          <t>Y</t>
        </is>
      </c>
      <c r="I6" s="1178" t="inlineStr"/>
      <c r="J6" s="1179" t="n">
        <v>1</v>
      </c>
      <c r="K6" s="1179" t="n">
        <v>0</v>
      </c>
    </row>
    <row r="7">
      <c r="A7" s="1178" t="inlineStr">
        <is>
          <t>2309 EAGLE SHOT CT</t>
        </is>
      </c>
      <c r="B7" s="1178" t="inlineStr">
        <is>
          <t>FUQUAY-VARINA</t>
        </is>
      </c>
      <c r="C7" s="1178" t="inlineStr">
        <is>
          <t>NORTH CAROLINA</t>
        </is>
      </c>
      <c r="D7" s="1178" t="inlineStr">
        <is>
          <t>27526</t>
        </is>
      </c>
      <c r="E7" s="1178" t="inlineStr"/>
      <c r="F7" s="1178" t="inlineStr">
        <is>
          <t>RES-SFU</t>
        </is>
      </c>
      <c r="G7" s="1178" t="inlineStr">
        <is>
          <t>BURIED</t>
        </is>
      </c>
      <c r="H7" s="1178" t="inlineStr">
        <is>
          <t>Y</t>
        </is>
      </c>
      <c r="I7" s="1178" t="inlineStr"/>
      <c r="J7" s="1179" t="n">
        <v>1</v>
      </c>
      <c r="K7" s="1179" t="n">
        <v>0</v>
      </c>
    </row>
    <row r="8">
      <c r="A8" s="1178" t="inlineStr">
        <is>
          <t>2312 EAGLE SHOT CT</t>
        </is>
      </c>
      <c r="B8" s="1178" t="inlineStr">
        <is>
          <t>FUQUAY-VARINA</t>
        </is>
      </c>
      <c r="C8" s="1178" t="inlineStr">
        <is>
          <t>NORTH CAROLINA</t>
        </is>
      </c>
      <c r="D8" s="1178" t="inlineStr">
        <is>
          <t>27526</t>
        </is>
      </c>
      <c r="E8" s="1178" t="inlineStr"/>
      <c r="F8" s="1178" t="inlineStr">
        <is>
          <t>RES-SFU</t>
        </is>
      </c>
      <c r="G8" s="1178" t="inlineStr">
        <is>
          <t>BURIED</t>
        </is>
      </c>
      <c r="H8" s="1178" t="inlineStr">
        <is>
          <t>Y</t>
        </is>
      </c>
      <c r="I8" s="1178" t="inlineStr"/>
      <c r="J8" s="1179" t="n">
        <v>1</v>
      </c>
      <c r="K8" s="1179" t="n">
        <v>0</v>
      </c>
    </row>
    <row r="9">
      <c r="A9" s="1178" t="inlineStr">
        <is>
          <t>2313 EAGLE SHOT CT</t>
        </is>
      </c>
      <c r="B9" s="1178" t="inlineStr">
        <is>
          <t>FUQUAY-VARINA</t>
        </is>
      </c>
      <c r="C9" s="1178" t="inlineStr">
        <is>
          <t>NORTH CAROLINA</t>
        </is>
      </c>
      <c r="D9" s="1178" t="inlineStr">
        <is>
          <t>27526</t>
        </is>
      </c>
      <c r="E9" s="1178" t="inlineStr"/>
      <c r="F9" s="1178" t="inlineStr">
        <is>
          <t>RES-SFU</t>
        </is>
      </c>
      <c r="G9" s="1178" t="inlineStr">
        <is>
          <t>BURIED</t>
        </is>
      </c>
      <c r="H9" s="1178" t="inlineStr">
        <is>
          <t>Y</t>
        </is>
      </c>
      <c r="I9" s="1178" t="inlineStr"/>
      <c r="J9" s="1179" t="n">
        <v>1</v>
      </c>
      <c r="K9" s="1179" t="n">
        <v>0</v>
      </c>
    </row>
    <row r="10">
      <c r="A10" s="1178" t="inlineStr">
        <is>
          <t>2316 EAGLE SHOT CT</t>
        </is>
      </c>
      <c r="B10" s="1178" t="inlineStr">
        <is>
          <t>FUQUAY-VARINA</t>
        </is>
      </c>
      <c r="C10" s="1178" t="inlineStr">
        <is>
          <t>NORTH CAROLINA</t>
        </is>
      </c>
      <c r="D10" s="1178" t="inlineStr">
        <is>
          <t>27526</t>
        </is>
      </c>
      <c r="E10" s="1178" t="inlineStr"/>
      <c r="F10" s="1178" t="inlineStr">
        <is>
          <t>RES-SFU</t>
        </is>
      </c>
      <c r="G10" s="1178" t="inlineStr">
        <is>
          <t>BURIED</t>
        </is>
      </c>
      <c r="H10" s="1178" t="inlineStr">
        <is>
          <t>Y</t>
        </is>
      </c>
      <c r="I10" s="1178" t="inlineStr"/>
      <c r="J10" s="1179" t="n">
        <v>1</v>
      </c>
      <c r="K10" s="1179" t="n">
        <v>0</v>
      </c>
    </row>
    <row r="11">
      <c r="A11" s="1178" t="inlineStr">
        <is>
          <t>2317 EAGLE SHOT CT</t>
        </is>
      </c>
      <c r="B11" s="1178" t="inlineStr">
        <is>
          <t>FUQUAY-VARINA</t>
        </is>
      </c>
      <c r="C11" s="1178" t="inlineStr">
        <is>
          <t>NORTH CAROLINA</t>
        </is>
      </c>
      <c r="D11" s="1178" t="inlineStr">
        <is>
          <t>27526</t>
        </is>
      </c>
      <c r="E11" s="1178" t="inlineStr"/>
      <c r="F11" s="1178" t="inlineStr">
        <is>
          <t>RES-SFU</t>
        </is>
      </c>
      <c r="G11" s="1178" t="inlineStr">
        <is>
          <t>BURIED</t>
        </is>
      </c>
      <c r="H11" s="1178" t="inlineStr">
        <is>
          <t>Y</t>
        </is>
      </c>
      <c r="I11" s="1178" t="inlineStr"/>
      <c r="J11" s="1179" t="n">
        <v>1</v>
      </c>
      <c r="K11" s="1179" t="n">
        <v>0</v>
      </c>
    </row>
    <row r="12">
      <c r="A12" s="1178" t="inlineStr">
        <is>
          <t>2320 EAGLE SHOT CT</t>
        </is>
      </c>
      <c r="B12" s="1178" t="inlineStr">
        <is>
          <t>FUQUAY-VARINA</t>
        </is>
      </c>
      <c r="C12" s="1178" t="inlineStr">
        <is>
          <t>NORTH CAROLINA</t>
        </is>
      </c>
      <c r="D12" s="1178" t="inlineStr">
        <is>
          <t>27526</t>
        </is>
      </c>
      <c r="E12" s="1178" t="inlineStr"/>
      <c r="F12" s="1178" t="inlineStr">
        <is>
          <t>RES-SFU</t>
        </is>
      </c>
      <c r="G12" s="1178" t="inlineStr">
        <is>
          <t>BURIED</t>
        </is>
      </c>
      <c r="H12" s="1178" t="inlineStr">
        <is>
          <t>Y</t>
        </is>
      </c>
      <c r="I12" s="1178" t="inlineStr"/>
      <c r="J12" s="1179" t="n">
        <v>1</v>
      </c>
      <c r="K12" s="1179" t="n">
        <v>0</v>
      </c>
    </row>
    <row r="13" ht="15.75" customHeight="1" s="955" thickBot="1">
      <c r="A13" s="1180" t="inlineStr">
        <is>
          <t>2321 EAGLE SHOT CT</t>
        </is>
      </c>
      <c r="B13" s="1180" t="inlineStr">
        <is>
          <t>FUQUAY-VARINA</t>
        </is>
      </c>
      <c r="C13" s="1180" t="inlineStr">
        <is>
          <t>NORTH CAROLINA</t>
        </is>
      </c>
      <c r="D13" s="1180" t="inlineStr">
        <is>
          <t>27526</t>
        </is>
      </c>
      <c r="E13" s="1180" t="inlineStr"/>
      <c r="F13" s="1180" t="inlineStr">
        <is>
          <t>RES-SFU</t>
        </is>
      </c>
      <c r="G13" s="1180" t="inlineStr">
        <is>
          <t>BURIED</t>
        </is>
      </c>
      <c r="H13" s="1180" t="inlineStr">
        <is>
          <t>Y</t>
        </is>
      </c>
      <c r="I13" s="1180" t="inlineStr"/>
      <c r="J13" s="1181" t="n">
        <v>1</v>
      </c>
      <c r="K13" s="1181" t="n">
        <v>0</v>
      </c>
    </row>
    <row r="14" ht="15.75" customHeight="1" s="955" thickTop="1">
      <c r="A14" s="1178" t="inlineStr">
        <is>
          <t>2324 EAGLE SHOT CT</t>
        </is>
      </c>
      <c r="B14" s="1178" t="inlineStr">
        <is>
          <t>FUQUAY-VARINA</t>
        </is>
      </c>
      <c r="C14" s="1178" t="inlineStr">
        <is>
          <t>NORTH CAROLINA</t>
        </is>
      </c>
      <c r="D14" s="1178" t="inlineStr">
        <is>
          <t>27526</t>
        </is>
      </c>
      <c r="E14" s="1178" t="inlineStr"/>
      <c r="F14" s="1178" t="inlineStr">
        <is>
          <t>RES-SFU</t>
        </is>
      </c>
      <c r="G14" s="1178" t="inlineStr">
        <is>
          <t>BURIED</t>
        </is>
      </c>
      <c r="H14" s="1178" t="inlineStr">
        <is>
          <t>Y</t>
        </is>
      </c>
      <c r="I14" s="1178" t="inlineStr"/>
      <c r="J14" s="1179" t="n">
        <v>1</v>
      </c>
      <c r="K14" s="1179" t="n">
        <v>0</v>
      </c>
    </row>
    <row r="15">
      <c r="A15" s="1178" t="inlineStr">
        <is>
          <t>2325 EAGLE SHOT CT</t>
        </is>
      </c>
      <c r="B15" s="1178" t="inlineStr">
        <is>
          <t>FUQUAY-VARINA</t>
        </is>
      </c>
      <c r="C15" s="1178" t="inlineStr">
        <is>
          <t>NORTH CAROLINA</t>
        </is>
      </c>
      <c r="D15" s="1178" t="inlineStr">
        <is>
          <t>27526</t>
        </is>
      </c>
      <c r="E15" s="1178" t="inlineStr"/>
      <c r="F15" s="1178" t="inlineStr">
        <is>
          <t>RES-SFU</t>
        </is>
      </c>
      <c r="G15" s="1178" t="inlineStr">
        <is>
          <t>BURIED</t>
        </is>
      </c>
      <c r="H15" s="1178" t="inlineStr">
        <is>
          <t>Y</t>
        </is>
      </c>
      <c r="I15" s="1178" t="inlineStr"/>
      <c r="J15" s="1179" t="n">
        <v>1</v>
      </c>
      <c r="K15" s="1179" t="n">
        <v>0</v>
      </c>
    </row>
    <row r="16">
      <c r="A16" s="1178" t="inlineStr">
        <is>
          <t>2329 EAGLE SHOT CT</t>
        </is>
      </c>
      <c r="B16" s="1178" t="inlineStr">
        <is>
          <t>FUQUAY-VARINA</t>
        </is>
      </c>
      <c r="C16" s="1178" t="inlineStr">
        <is>
          <t>NORTH CAROLINA</t>
        </is>
      </c>
      <c r="D16" s="1178" t="inlineStr">
        <is>
          <t>27526</t>
        </is>
      </c>
      <c r="E16" s="1178" t="inlineStr"/>
      <c r="F16" s="1178" t="inlineStr">
        <is>
          <t>RES-SFU</t>
        </is>
      </c>
      <c r="G16" s="1178" t="inlineStr">
        <is>
          <t>BURIED</t>
        </is>
      </c>
      <c r="H16" s="1178" t="inlineStr">
        <is>
          <t>Y</t>
        </is>
      </c>
      <c r="I16" s="1178" t="inlineStr"/>
      <c r="J16" s="1179" t="n">
        <v>1</v>
      </c>
      <c r="K16" s="1179" t="n">
        <v>0</v>
      </c>
    </row>
    <row r="17">
      <c r="A17" s="1178" t="inlineStr">
        <is>
          <t>2401 EAGLE SHOT CT</t>
        </is>
      </c>
      <c r="B17" s="1178" t="inlineStr">
        <is>
          <t>FUQUAY-VARINA</t>
        </is>
      </c>
      <c r="C17" s="1178" t="inlineStr">
        <is>
          <t>NORTH CAROLINA</t>
        </is>
      </c>
      <c r="D17" s="1178" t="inlineStr">
        <is>
          <t>27526</t>
        </is>
      </c>
      <c r="E17" s="1178" t="inlineStr"/>
      <c r="F17" s="1178" t="inlineStr">
        <is>
          <t>RES-SFU</t>
        </is>
      </c>
      <c r="G17" s="1178" t="inlineStr">
        <is>
          <t>BURIED</t>
        </is>
      </c>
      <c r="H17" s="1178" t="inlineStr">
        <is>
          <t>Y</t>
        </is>
      </c>
      <c r="I17" s="1178" t="inlineStr"/>
      <c r="J17" s="1179" t="n">
        <v>1</v>
      </c>
      <c r="K17" s="1179" t="n">
        <v>0</v>
      </c>
    </row>
    <row r="18">
      <c r="A18" s="1178" t="inlineStr">
        <is>
          <t>2404 EAGLE SHOT CT</t>
        </is>
      </c>
      <c r="B18" s="1178" t="inlineStr">
        <is>
          <t>FUQUAY-VARINA</t>
        </is>
      </c>
      <c r="C18" s="1178" t="inlineStr">
        <is>
          <t>NORTH CAROLINA</t>
        </is>
      </c>
      <c r="D18" s="1178" t="inlineStr">
        <is>
          <t>27526</t>
        </is>
      </c>
      <c r="E18" s="1178" t="inlineStr"/>
      <c r="F18" s="1178" t="inlineStr">
        <is>
          <t>RES-SFU</t>
        </is>
      </c>
      <c r="G18" s="1178" t="inlineStr">
        <is>
          <t>BURIED</t>
        </is>
      </c>
      <c r="H18" s="1178" t="inlineStr">
        <is>
          <t>Y</t>
        </is>
      </c>
      <c r="I18" s="1178" t="inlineStr"/>
      <c r="J18" s="1179" t="n">
        <v>1</v>
      </c>
      <c r="K18" s="1179" t="n">
        <v>0</v>
      </c>
    </row>
    <row r="19">
      <c r="A19" s="1178" t="inlineStr">
        <is>
          <t>2405 EAGLE SHOT CT</t>
        </is>
      </c>
      <c r="B19" s="1178" t="inlineStr">
        <is>
          <t>FUQUAY-VARINA</t>
        </is>
      </c>
      <c r="C19" s="1178" t="inlineStr">
        <is>
          <t>NORTH CAROLINA</t>
        </is>
      </c>
      <c r="D19" s="1178" t="inlineStr">
        <is>
          <t>27526</t>
        </is>
      </c>
      <c r="E19" s="1178" t="inlineStr"/>
      <c r="F19" s="1178" t="inlineStr">
        <is>
          <t>RES-SFU</t>
        </is>
      </c>
      <c r="G19" s="1178" t="inlineStr">
        <is>
          <t>BURIED</t>
        </is>
      </c>
      <c r="H19" s="1178" t="inlineStr">
        <is>
          <t>Y</t>
        </is>
      </c>
      <c r="I19" s="1178" t="inlineStr"/>
      <c r="J19" s="1179" t="n">
        <v>1</v>
      </c>
      <c r="K19" s="1179" t="n">
        <v>0</v>
      </c>
    </row>
    <row r="20">
      <c r="A20" s="1178" t="inlineStr">
        <is>
          <t>2408 EAGLE SHOT CT</t>
        </is>
      </c>
      <c r="B20" s="1178" t="inlineStr">
        <is>
          <t>FUQUAY-VARINA</t>
        </is>
      </c>
      <c r="C20" s="1178" t="inlineStr">
        <is>
          <t>NORTH CAROLINA</t>
        </is>
      </c>
      <c r="D20" s="1178" t="inlineStr">
        <is>
          <t>27526</t>
        </is>
      </c>
      <c r="E20" s="1178" t="inlineStr"/>
      <c r="F20" s="1178" t="inlineStr">
        <is>
          <t>RES-SFU</t>
        </is>
      </c>
      <c r="G20" s="1178" t="inlineStr">
        <is>
          <t>BURIED</t>
        </is>
      </c>
      <c r="H20" s="1178" t="inlineStr">
        <is>
          <t>Y</t>
        </is>
      </c>
      <c r="I20" s="1178" t="inlineStr"/>
      <c r="J20" s="1179" t="n">
        <v>1</v>
      </c>
      <c r="K20" s="1179" t="n">
        <v>0</v>
      </c>
    </row>
    <row r="21">
      <c r="A21" s="1178" t="inlineStr">
        <is>
          <t>2409 EAGLE SHOT CT</t>
        </is>
      </c>
      <c r="B21" s="1178" t="inlineStr">
        <is>
          <t>FUQUAY-VARINA</t>
        </is>
      </c>
      <c r="C21" s="1178" t="inlineStr">
        <is>
          <t>NORTH CAROLINA</t>
        </is>
      </c>
      <c r="D21" s="1178" t="inlineStr">
        <is>
          <t>27526</t>
        </is>
      </c>
      <c r="E21" s="1178" t="inlineStr"/>
      <c r="F21" s="1178" t="inlineStr">
        <is>
          <t>RES-SFU</t>
        </is>
      </c>
      <c r="G21" s="1178" t="inlineStr">
        <is>
          <t>BURIED</t>
        </is>
      </c>
      <c r="H21" s="1178" t="inlineStr">
        <is>
          <t>Y</t>
        </is>
      </c>
      <c r="I21" s="1178" t="inlineStr"/>
      <c r="J21" s="1179" t="n">
        <v>1</v>
      </c>
      <c r="K21" s="1179" t="n">
        <v>0</v>
      </c>
    </row>
    <row r="22">
      <c r="A22" s="1178" t="inlineStr">
        <is>
          <t>3300 BENTWINDS BLUFFS LN</t>
        </is>
      </c>
      <c r="B22" s="1178" t="inlineStr">
        <is>
          <t>FUQUAY-VARINA</t>
        </is>
      </c>
      <c r="C22" s="1178" t="inlineStr">
        <is>
          <t>NORTH CAROLINA</t>
        </is>
      </c>
      <c r="D22" s="1178" t="inlineStr">
        <is>
          <t>27526</t>
        </is>
      </c>
      <c r="E22" s="1178" t="inlineStr"/>
      <c r="F22" s="1178" t="inlineStr">
        <is>
          <t>RES-SFU</t>
        </is>
      </c>
      <c r="G22" s="1178" t="inlineStr">
        <is>
          <t>BURIED</t>
        </is>
      </c>
      <c r="H22" s="1178" t="inlineStr">
        <is>
          <t>Y</t>
        </is>
      </c>
      <c r="I22" s="1178" t="inlineStr"/>
      <c r="J22" s="1179" t="n">
        <v>1</v>
      </c>
      <c r="K22" s="1179" t="n">
        <v>0</v>
      </c>
    </row>
    <row r="23">
      <c r="A23" s="1178" t="inlineStr">
        <is>
          <t>3304 BENTWINDS BLUFFS LN</t>
        </is>
      </c>
      <c r="B23" s="1178" t="inlineStr">
        <is>
          <t>FUQUAY-VARINA</t>
        </is>
      </c>
      <c r="C23" s="1178" t="inlineStr">
        <is>
          <t>NORTH CAROLINA</t>
        </is>
      </c>
      <c r="D23" s="1178" t="inlineStr">
        <is>
          <t>27526</t>
        </is>
      </c>
      <c r="E23" s="1178" t="inlineStr"/>
      <c r="F23" s="1178" t="inlineStr">
        <is>
          <t>RES-SFU</t>
        </is>
      </c>
      <c r="G23" s="1178" t="inlineStr">
        <is>
          <t>BURIED</t>
        </is>
      </c>
      <c r="H23" s="1178" t="inlineStr">
        <is>
          <t>Y</t>
        </is>
      </c>
      <c r="I23" s="1178" t="inlineStr"/>
      <c r="J23" s="1179" t="n">
        <v>1</v>
      </c>
      <c r="K23" s="1179" t="n">
        <v>0</v>
      </c>
    </row>
    <row r="24">
      <c r="A24" s="1178" t="inlineStr">
        <is>
          <t>3305 BENTWINDS BLUFFS LN</t>
        </is>
      </c>
      <c r="B24" s="1178" t="inlineStr">
        <is>
          <t>FUQUAY-VARINA</t>
        </is>
      </c>
      <c r="C24" s="1178" t="inlineStr">
        <is>
          <t>NORTH CAROLINA</t>
        </is>
      </c>
      <c r="D24" s="1178" t="inlineStr">
        <is>
          <t>27526</t>
        </is>
      </c>
      <c r="E24" s="1178" t="inlineStr"/>
      <c r="F24" s="1178" t="inlineStr">
        <is>
          <t>RES-SFU</t>
        </is>
      </c>
      <c r="G24" s="1178" t="inlineStr">
        <is>
          <t>BURIED</t>
        </is>
      </c>
      <c r="H24" s="1178" t="inlineStr">
        <is>
          <t>Y</t>
        </is>
      </c>
      <c r="I24" s="1178" t="inlineStr"/>
      <c r="J24" s="1179" t="n">
        <v>1</v>
      </c>
      <c r="K24" s="1179" t="n">
        <v>0</v>
      </c>
    </row>
    <row r="25" ht="15.75" customHeight="1" s="955" thickBot="1">
      <c r="A25" s="1180" t="inlineStr">
        <is>
          <t>3313 BENTWINDS BLUFFS LN</t>
        </is>
      </c>
      <c r="B25" s="1180" t="inlineStr">
        <is>
          <t>FUQUAY-VARINA</t>
        </is>
      </c>
      <c r="C25" s="1180" t="inlineStr">
        <is>
          <t>NORTH CAROLINA</t>
        </is>
      </c>
      <c r="D25" s="1180" t="inlineStr">
        <is>
          <t>27526</t>
        </is>
      </c>
      <c r="E25" s="1180" t="inlineStr"/>
      <c r="F25" s="1180" t="inlineStr">
        <is>
          <t>RES-SFU</t>
        </is>
      </c>
      <c r="G25" s="1180" t="inlineStr">
        <is>
          <t>BURIED</t>
        </is>
      </c>
      <c r="H25" s="1180" t="inlineStr">
        <is>
          <t>Y</t>
        </is>
      </c>
      <c r="I25" s="1180" t="inlineStr"/>
      <c r="J25" s="1181" t="n">
        <v>1</v>
      </c>
      <c r="K25" s="1181" t="n">
        <v>0</v>
      </c>
    </row>
    <row r="26" ht="15.75" customHeight="1" s="955" thickTop="1">
      <c r="A26" s="1178" t="inlineStr">
        <is>
          <t>3317 BENTWINDS BLUFFS LN</t>
        </is>
      </c>
      <c r="B26" s="1178" t="inlineStr">
        <is>
          <t>FUQUAY-VARINA</t>
        </is>
      </c>
      <c r="C26" s="1178" t="inlineStr">
        <is>
          <t>NORTH CAROLINA</t>
        </is>
      </c>
      <c r="D26" s="1178" t="inlineStr">
        <is>
          <t>27526</t>
        </is>
      </c>
      <c r="E26" s="1178" t="inlineStr"/>
      <c r="F26" s="1178" t="inlineStr">
        <is>
          <t>RES-SFU</t>
        </is>
      </c>
      <c r="G26" s="1178" t="inlineStr">
        <is>
          <t>BURIED</t>
        </is>
      </c>
      <c r="H26" s="1178" t="inlineStr">
        <is>
          <t>Y</t>
        </is>
      </c>
      <c r="I26" s="1178" t="inlineStr"/>
      <c r="J26" s="1179" t="n">
        <v>1</v>
      </c>
      <c r="K26" s="1179" t="n">
        <v>0</v>
      </c>
    </row>
    <row r="27">
      <c r="A27" s="1178" t="inlineStr">
        <is>
          <t>3320 BENTWINDS BLUFFS LN</t>
        </is>
      </c>
      <c r="B27" s="1178" t="inlineStr">
        <is>
          <t>FUQUAY-VARINA</t>
        </is>
      </c>
      <c r="C27" s="1178" t="inlineStr">
        <is>
          <t>NORTH CAROLINA</t>
        </is>
      </c>
      <c r="D27" s="1178" t="inlineStr">
        <is>
          <t>27526</t>
        </is>
      </c>
      <c r="E27" s="1178" t="inlineStr"/>
      <c r="F27" s="1178" t="inlineStr">
        <is>
          <t>RES-SFU</t>
        </is>
      </c>
      <c r="G27" s="1178" t="inlineStr">
        <is>
          <t>BURIED</t>
        </is>
      </c>
      <c r="H27" s="1178" t="inlineStr">
        <is>
          <t>Y</t>
        </is>
      </c>
      <c r="I27" s="1178" t="inlineStr"/>
      <c r="J27" s="1179" t="n">
        <v>1</v>
      </c>
      <c r="K27" s="1179" t="n">
        <v>0</v>
      </c>
    </row>
    <row r="28">
      <c r="A28" s="1178" t="inlineStr">
        <is>
          <t>3321 BENTWINDS BLUFFS LN</t>
        </is>
      </c>
      <c r="B28" s="1178" t="inlineStr">
        <is>
          <t>FUQUAY-VARINA</t>
        </is>
      </c>
      <c r="C28" s="1178" t="inlineStr">
        <is>
          <t>NORTH CAROLINA</t>
        </is>
      </c>
      <c r="D28" s="1178" t="inlineStr">
        <is>
          <t>27526</t>
        </is>
      </c>
      <c r="E28" s="1178" t="inlineStr"/>
      <c r="F28" s="1178" t="inlineStr">
        <is>
          <t>RES-SFU</t>
        </is>
      </c>
      <c r="G28" s="1178" t="inlineStr">
        <is>
          <t>BURIED</t>
        </is>
      </c>
      <c r="H28" s="1178" t="inlineStr">
        <is>
          <t>Y</t>
        </is>
      </c>
      <c r="I28" s="1178" t="inlineStr"/>
      <c r="J28" s="1179" t="n">
        <v>1</v>
      </c>
      <c r="K28" s="1179" t="n">
        <v>0</v>
      </c>
    </row>
    <row r="29">
      <c r="A29" s="1178" t="inlineStr">
        <is>
          <t>3325 BENTWINDS BLUFFS LN</t>
        </is>
      </c>
      <c r="B29" s="1178" t="inlineStr">
        <is>
          <t>FUQUAY-VARINA</t>
        </is>
      </c>
      <c r="C29" s="1178" t="inlineStr">
        <is>
          <t>NORTH CAROLINA</t>
        </is>
      </c>
      <c r="D29" s="1178" t="inlineStr">
        <is>
          <t>27526</t>
        </is>
      </c>
      <c r="E29" s="1178" t="inlineStr"/>
      <c r="F29" s="1178" t="inlineStr">
        <is>
          <t>RES-SFU</t>
        </is>
      </c>
      <c r="G29" s="1178" t="inlineStr">
        <is>
          <t>BURIED</t>
        </is>
      </c>
      <c r="H29" s="1178" t="inlineStr">
        <is>
          <t>Y</t>
        </is>
      </c>
      <c r="I29" s="1178" t="inlineStr"/>
      <c r="J29" s="1179" t="n">
        <v>1</v>
      </c>
      <c r="K29" s="1179" t="n">
        <v>0</v>
      </c>
    </row>
    <row r="30">
      <c r="A30" s="1178" t="inlineStr">
        <is>
          <t>3328 BENTWINDS BLUFFS LN</t>
        </is>
      </c>
      <c r="B30" s="1178" t="inlineStr">
        <is>
          <t>FUQUAY-VARINA</t>
        </is>
      </c>
      <c r="C30" s="1178" t="inlineStr">
        <is>
          <t>NORTH CAROLINA</t>
        </is>
      </c>
      <c r="D30" s="1178" t="inlineStr">
        <is>
          <t>27526</t>
        </is>
      </c>
      <c r="E30" s="1178" t="inlineStr"/>
      <c r="F30" s="1178" t="inlineStr">
        <is>
          <t>RES-SFU</t>
        </is>
      </c>
      <c r="G30" s="1178" t="inlineStr">
        <is>
          <t>BURIED</t>
        </is>
      </c>
      <c r="H30" s="1178" t="inlineStr">
        <is>
          <t>Y</t>
        </is>
      </c>
      <c r="I30" s="1178" t="inlineStr"/>
      <c r="J30" s="1179" t="n">
        <v>1</v>
      </c>
      <c r="K30" s="1179" t="n">
        <v>0</v>
      </c>
    </row>
    <row r="31">
      <c r="A31" s="1178" t="inlineStr">
        <is>
          <t>3329 BENTWINDS BLUFFS LN</t>
        </is>
      </c>
      <c r="B31" s="1178" t="inlineStr">
        <is>
          <t>FUQUAY-VARINA</t>
        </is>
      </c>
      <c r="C31" s="1178" t="inlineStr">
        <is>
          <t>NORTH CAROLINA</t>
        </is>
      </c>
      <c r="D31" s="1178" t="inlineStr">
        <is>
          <t>27526</t>
        </is>
      </c>
      <c r="E31" s="1178" t="inlineStr"/>
      <c r="F31" s="1178" t="inlineStr">
        <is>
          <t>RES-SFU</t>
        </is>
      </c>
      <c r="G31" s="1178" t="inlineStr">
        <is>
          <t>BURIED</t>
        </is>
      </c>
      <c r="H31" s="1178" t="inlineStr">
        <is>
          <t>Y</t>
        </is>
      </c>
      <c r="I31" s="1178" t="inlineStr"/>
      <c r="J31" s="1179" t="n">
        <v>1</v>
      </c>
      <c r="K31" s="1179" t="n">
        <v>0</v>
      </c>
    </row>
    <row r="32">
      <c r="A32" s="1178" t="inlineStr">
        <is>
          <t>3333 BENTWINDS BLUFFS LN</t>
        </is>
      </c>
      <c r="B32" s="1178" t="inlineStr">
        <is>
          <t>FUQUAY-VARINA</t>
        </is>
      </c>
      <c r="C32" s="1178" t="inlineStr">
        <is>
          <t>NORTH CAROLINA</t>
        </is>
      </c>
      <c r="D32" s="1178" t="inlineStr">
        <is>
          <t>27526</t>
        </is>
      </c>
      <c r="E32" s="1178" t="inlineStr"/>
      <c r="F32" s="1178" t="inlineStr">
        <is>
          <t>RES-SFU</t>
        </is>
      </c>
      <c r="G32" s="1178" t="inlineStr">
        <is>
          <t>BURIED</t>
        </is>
      </c>
      <c r="H32" s="1178" t="inlineStr">
        <is>
          <t>Y</t>
        </is>
      </c>
      <c r="I32" s="1178" t="inlineStr"/>
      <c r="J32" s="1179" t="n">
        <v>1</v>
      </c>
      <c r="K32" s="1179" t="n">
        <v>0</v>
      </c>
    </row>
    <row r="33">
      <c r="A33" s="1178" t="inlineStr">
        <is>
          <t>3337 BENTWINDS BLUFFS LN</t>
        </is>
      </c>
      <c r="B33" s="1178" t="inlineStr">
        <is>
          <t>FUQUAY-VARINA</t>
        </is>
      </c>
      <c r="C33" s="1178" t="inlineStr">
        <is>
          <t>NORTH CAROLINA</t>
        </is>
      </c>
      <c r="D33" s="1178" t="inlineStr">
        <is>
          <t>27526</t>
        </is>
      </c>
      <c r="E33" s="1178" t="inlineStr"/>
      <c r="F33" s="1178" t="inlineStr">
        <is>
          <t>RES-SFU</t>
        </is>
      </c>
      <c r="G33" s="1178" t="inlineStr">
        <is>
          <t>BURIED</t>
        </is>
      </c>
      <c r="H33" s="1178" t="inlineStr">
        <is>
          <t>Y</t>
        </is>
      </c>
      <c r="I33" s="1178" t="inlineStr"/>
      <c r="J33" s="1179" t="n">
        <v>1</v>
      </c>
      <c r="K33" s="1179" t="n">
        <v>0</v>
      </c>
    </row>
    <row r="34">
      <c r="A34" s="1178" t="inlineStr">
        <is>
          <t>3341 BENTWINDS BLUFFS LN</t>
        </is>
      </c>
      <c r="B34" s="1178" t="inlineStr">
        <is>
          <t>FUQUAY-VARINA</t>
        </is>
      </c>
      <c r="C34" s="1178" t="inlineStr">
        <is>
          <t>NORTH CAROLINA</t>
        </is>
      </c>
      <c r="D34" s="1178" t="inlineStr">
        <is>
          <t>27526</t>
        </is>
      </c>
      <c r="E34" s="1178" t="inlineStr"/>
      <c r="F34" s="1178" t="inlineStr">
        <is>
          <t>RES-SFU</t>
        </is>
      </c>
      <c r="G34" s="1178" t="inlineStr">
        <is>
          <t>BURIED</t>
        </is>
      </c>
      <c r="H34" s="1178" t="inlineStr">
        <is>
          <t>Y</t>
        </is>
      </c>
      <c r="I34" s="1178" t="inlineStr"/>
      <c r="J34" s="1179" t="n">
        <v>1</v>
      </c>
      <c r="K34" s="1179" t="n">
        <v>0</v>
      </c>
    </row>
    <row r="35">
      <c r="A35" s="1178" t="inlineStr">
        <is>
          <t>3345 BENTWINDS BLUFFS LN</t>
        </is>
      </c>
      <c r="B35" s="1178" t="inlineStr">
        <is>
          <t>FUQUAY-VARINA</t>
        </is>
      </c>
      <c r="C35" s="1178" t="inlineStr">
        <is>
          <t>NORTH CAROLINA</t>
        </is>
      </c>
      <c r="D35" s="1178" t="inlineStr">
        <is>
          <t>27526</t>
        </is>
      </c>
      <c r="E35" s="1178" t="inlineStr"/>
      <c r="F35" s="1178" t="inlineStr">
        <is>
          <t>RES-SFU</t>
        </is>
      </c>
      <c r="G35" s="1178" t="inlineStr">
        <is>
          <t>BURIED</t>
        </is>
      </c>
      <c r="H35" s="1178" t="inlineStr">
        <is>
          <t>Y</t>
        </is>
      </c>
      <c r="I35" s="1178" t="inlineStr"/>
      <c r="J35" s="1179" t="n">
        <v>1</v>
      </c>
      <c r="K35" s="1179" t="n">
        <v>0</v>
      </c>
    </row>
    <row r="36">
      <c r="A36" s="1178" t="inlineStr">
        <is>
          <t>3401 BENTWINDS BLUFFS LN</t>
        </is>
      </c>
      <c r="B36" s="1178" t="inlineStr">
        <is>
          <t>FUQUAY-VARINA</t>
        </is>
      </c>
      <c r="C36" s="1178" t="inlineStr">
        <is>
          <t>NORTH CAROLINA</t>
        </is>
      </c>
      <c r="D36" s="1178" t="inlineStr">
        <is>
          <t>27526</t>
        </is>
      </c>
      <c r="E36" s="1178" t="inlineStr"/>
      <c r="F36" s="1178" t="inlineStr">
        <is>
          <t>RES-SFU</t>
        </is>
      </c>
      <c r="G36" s="1178" t="inlineStr">
        <is>
          <t>BURIED</t>
        </is>
      </c>
      <c r="H36" s="1178" t="inlineStr">
        <is>
          <t>Y</t>
        </is>
      </c>
      <c r="I36" s="1178" t="inlineStr"/>
      <c r="J36" s="1179" t="n">
        <v>1</v>
      </c>
      <c r="K36" s="1179" t="n">
        <v>0</v>
      </c>
    </row>
    <row r="37" ht="15.75" customHeight="1" s="955" thickBot="1">
      <c r="A37" s="1180" t="inlineStr">
        <is>
          <t>3404 BENTWINDS BLUFFS LN</t>
        </is>
      </c>
      <c r="B37" s="1180" t="inlineStr">
        <is>
          <t>FUQUAY-VARINA</t>
        </is>
      </c>
      <c r="C37" s="1180" t="inlineStr">
        <is>
          <t>NORTH CAROLINA</t>
        </is>
      </c>
      <c r="D37" s="1180" t="inlineStr">
        <is>
          <t>27526</t>
        </is>
      </c>
      <c r="E37" s="1180" t="inlineStr"/>
      <c r="F37" s="1180" t="inlineStr">
        <is>
          <t>RES-SFU</t>
        </is>
      </c>
      <c r="G37" s="1180" t="inlineStr">
        <is>
          <t>BURIED</t>
        </is>
      </c>
      <c r="H37" s="1180" t="inlineStr">
        <is>
          <t>Y</t>
        </is>
      </c>
      <c r="I37" s="1180" t="inlineStr"/>
      <c r="J37" s="1181" t="n">
        <v>1</v>
      </c>
      <c r="K37" s="1181" t="n">
        <v>0</v>
      </c>
    </row>
    <row r="38" ht="15.75" customHeight="1" s="955" thickTop="1">
      <c r="A38" s="1178" t="inlineStr">
        <is>
          <t>3405 BENTWINDS BLUFFS LN</t>
        </is>
      </c>
      <c r="B38" s="1178" t="inlineStr">
        <is>
          <t>FUQUAY-VARINA</t>
        </is>
      </c>
      <c r="C38" s="1178" t="inlineStr">
        <is>
          <t>NORTH CAROLINA</t>
        </is>
      </c>
      <c r="D38" s="1178" t="inlineStr">
        <is>
          <t>27526</t>
        </is>
      </c>
      <c r="E38" s="1178" t="inlineStr"/>
      <c r="F38" s="1178" t="inlineStr">
        <is>
          <t>RES-SFU</t>
        </is>
      </c>
      <c r="G38" s="1178" t="inlineStr">
        <is>
          <t>BURIED</t>
        </is>
      </c>
      <c r="H38" s="1178" t="inlineStr">
        <is>
          <t>Y</t>
        </is>
      </c>
      <c r="I38" s="1178" t="inlineStr"/>
      <c r="J38" s="1179" t="n">
        <v>1</v>
      </c>
      <c r="K38" s="1179" t="n">
        <v>0</v>
      </c>
    </row>
    <row r="39">
      <c r="A39" s="1178" t="inlineStr">
        <is>
          <t>3408 BENTWINDS BLUFFS LN</t>
        </is>
      </c>
      <c r="B39" s="1178" t="inlineStr">
        <is>
          <t>FUQUAY-VARINA</t>
        </is>
      </c>
      <c r="C39" s="1178" t="inlineStr">
        <is>
          <t>NORTH CAROLINA</t>
        </is>
      </c>
      <c r="D39" s="1178" t="inlineStr">
        <is>
          <t>27526</t>
        </is>
      </c>
      <c r="E39" s="1178" t="inlineStr"/>
      <c r="F39" s="1178" t="inlineStr">
        <is>
          <t>RES-SFU</t>
        </is>
      </c>
      <c r="G39" s="1178" t="inlineStr">
        <is>
          <t>BURIED</t>
        </is>
      </c>
      <c r="H39" s="1178" t="inlineStr">
        <is>
          <t>Y</t>
        </is>
      </c>
      <c r="I39" s="1178" t="inlineStr"/>
      <c r="J39" s="1179" t="n">
        <v>1</v>
      </c>
      <c r="K39" s="1179" t="n">
        <v>0</v>
      </c>
    </row>
    <row r="40">
      <c r="A40" s="1178" t="inlineStr">
        <is>
          <t>3409 BENTWINDS BLUFFS LN</t>
        </is>
      </c>
      <c r="B40" s="1178" t="inlineStr">
        <is>
          <t>FUQUAY-VARINA</t>
        </is>
      </c>
      <c r="C40" s="1178" t="inlineStr">
        <is>
          <t>NORTH CAROLINA</t>
        </is>
      </c>
      <c r="D40" s="1178" t="inlineStr">
        <is>
          <t>27526</t>
        </is>
      </c>
      <c r="E40" s="1178" t="inlineStr"/>
      <c r="F40" s="1178" t="inlineStr">
        <is>
          <t>RES-SFU</t>
        </is>
      </c>
      <c r="G40" s="1178" t="inlineStr">
        <is>
          <t>BURIED</t>
        </is>
      </c>
      <c r="H40" s="1178" t="inlineStr">
        <is>
          <t>Y</t>
        </is>
      </c>
      <c r="I40" s="1178" t="inlineStr"/>
      <c r="J40" s="1179" t="n">
        <v>1</v>
      </c>
      <c r="K40" s="1179" t="n">
        <v>0</v>
      </c>
    </row>
    <row r="41">
      <c r="A41" s="1178" t="inlineStr">
        <is>
          <t>3412 BENTWINDS BLUFFS LN</t>
        </is>
      </c>
      <c r="B41" s="1178" t="inlineStr">
        <is>
          <t>FUQUAY-VARINA</t>
        </is>
      </c>
      <c r="C41" s="1178" t="inlineStr">
        <is>
          <t>NORTH CAROLINA</t>
        </is>
      </c>
      <c r="D41" s="1178" t="inlineStr">
        <is>
          <t>27526</t>
        </is>
      </c>
      <c r="E41" s="1178" t="inlineStr"/>
      <c r="F41" s="1178" t="inlineStr">
        <is>
          <t>RES-SFU</t>
        </is>
      </c>
      <c r="G41" s="1178" t="inlineStr">
        <is>
          <t>BURIED</t>
        </is>
      </c>
      <c r="H41" s="1178" t="inlineStr">
        <is>
          <t>Y</t>
        </is>
      </c>
      <c r="I41" s="1178" t="inlineStr"/>
      <c r="J41" s="1179" t="n">
        <v>1</v>
      </c>
      <c r="K41" s="1179" t="n">
        <v>0</v>
      </c>
    </row>
    <row r="42">
      <c r="A42" s="1178" t="inlineStr">
        <is>
          <t>3416 BENTWINDS BLUFFS LN</t>
        </is>
      </c>
      <c r="B42" s="1178" t="inlineStr">
        <is>
          <t>FUQUAY-VARINA</t>
        </is>
      </c>
      <c r="C42" s="1178" t="inlineStr">
        <is>
          <t>NORTH CAROLINA</t>
        </is>
      </c>
      <c r="D42" s="1178" t="inlineStr">
        <is>
          <t>27526</t>
        </is>
      </c>
      <c r="E42" s="1178" t="inlineStr"/>
      <c r="F42" s="1178" t="inlineStr">
        <is>
          <t>RES-SFU</t>
        </is>
      </c>
      <c r="G42" s="1178" t="inlineStr">
        <is>
          <t>BURIED</t>
        </is>
      </c>
      <c r="H42" s="1178" t="inlineStr">
        <is>
          <t>Y</t>
        </is>
      </c>
      <c r="I42" s="1178" t="inlineStr"/>
      <c r="J42" s="1179" t="n">
        <v>1</v>
      </c>
      <c r="K42" s="1179" t="n">
        <v>0</v>
      </c>
    </row>
    <row r="43">
      <c r="A43" s="1178" t="inlineStr">
        <is>
          <t>3417 BENTWINDS BLUFFS LN</t>
        </is>
      </c>
      <c r="B43" s="1178" t="inlineStr">
        <is>
          <t>FUQUAY-VARINA</t>
        </is>
      </c>
      <c r="C43" s="1178" t="inlineStr">
        <is>
          <t>NORTH CAROLINA</t>
        </is>
      </c>
      <c r="D43" s="1178" t="inlineStr">
        <is>
          <t>27526</t>
        </is>
      </c>
      <c r="E43" s="1178" t="inlineStr"/>
      <c r="F43" s="1178" t="inlineStr">
        <is>
          <t>RES-SFU</t>
        </is>
      </c>
      <c r="G43" s="1178" t="inlineStr">
        <is>
          <t>BURIED</t>
        </is>
      </c>
      <c r="H43" s="1178" t="inlineStr">
        <is>
          <t>Y</t>
        </is>
      </c>
      <c r="I43" s="1178" t="inlineStr"/>
      <c r="J43" s="1179" t="n">
        <v>1</v>
      </c>
      <c r="K43" s="1179" t="n">
        <v>0</v>
      </c>
    </row>
    <row r="44">
      <c r="A44" s="1178" t="inlineStr">
        <is>
          <t>3420 BENTWINDS BLUFFS LN</t>
        </is>
      </c>
      <c r="B44" s="1178" t="inlineStr">
        <is>
          <t>FUQUAY-VARINA</t>
        </is>
      </c>
      <c r="C44" s="1178" t="inlineStr">
        <is>
          <t>NORTH CAROLINA</t>
        </is>
      </c>
      <c r="D44" s="1178" t="inlineStr">
        <is>
          <t>27526</t>
        </is>
      </c>
      <c r="E44" s="1178" t="inlineStr"/>
      <c r="F44" s="1178" t="inlineStr">
        <is>
          <t>RES-SFU</t>
        </is>
      </c>
      <c r="G44" s="1178" t="inlineStr">
        <is>
          <t>BURIED</t>
        </is>
      </c>
      <c r="H44" s="1178" t="inlineStr">
        <is>
          <t>Y</t>
        </is>
      </c>
      <c r="I44" s="1178" t="inlineStr"/>
      <c r="J44" s="1179" t="n">
        <v>1</v>
      </c>
      <c r="K44" s="1179" t="n">
        <v>0</v>
      </c>
    </row>
    <row r="45">
      <c r="A45" s="1178" t="inlineStr">
        <is>
          <t>3421 BENTWINDS BLUFFS LN</t>
        </is>
      </c>
      <c r="B45" s="1178" t="inlineStr">
        <is>
          <t>FUQUAY-VARINA</t>
        </is>
      </c>
      <c r="C45" s="1178" t="inlineStr">
        <is>
          <t>NORTH CAROLINA</t>
        </is>
      </c>
      <c r="D45" s="1178" t="inlineStr">
        <is>
          <t>27526</t>
        </is>
      </c>
      <c r="E45" s="1178" t="inlineStr"/>
      <c r="F45" s="1178" t="inlineStr">
        <is>
          <t>RES-SFU</t>
        </is>
      </c>
      <c r="G45" s="1178" t="inlineStr">
        <is>
          <t>BURIED</t>
        </is>
      </c>
      <c r="H45" s="1178" t="inlineStr">
        <is>
          <t>Y</t>
        </is>
      </c>
      <c r="I45" s="1178" t="inlineStr"/>
      <c r="J45" s="1179" t="n">
        <v>1</v>
      </c>
      <c r="K45" s="1179" t="n">
        <v>0</v>
      </c>
    </row>
    <row r="46">
      <c r="A46" s="1178" t="inlineStr">
        <is>
          <t>3424 BENTWINDS BLUFFS LN</t>
        </is>
      </c>
      <c r="B46" s="1178" t="inlineStr">
        <is>
          <t>FUQUAY-VARINA</t>
        </is>
      </c>
      <c r="C46" s="1178" t="inlineStr">
        <is>
          <t>NORTH CAROLINA</t>
        </is>
      </c>
      <c r="D46" s="1178" t="inlineStr">
        <is>
          <t>27526</t>
        </is>
      </c>
      <c r="E46" s="1178" t="inlineStr"/>
      <c r="F46" s="1178" t="inlineStr">
        <is>
          <t>RES-SFU</t>
        </is>
      </c>
      <c r="G46" s="1178" t="inlineStr">
        <is>
          <t>BURIED</t>
        </is>
      </c>
      <c r="H46" s="1178" t="inlineStr">
        <is>
          <t>Y</t>
        </is>
      </c>
      <c r="I46" s="1178" t="inlineStr"/>
      <c r="J46" s="1179" t="n">
        <v>1</v>
      </c>
      <c r="K46" s="1179" t="n">
        <v>0</v>
      </c>
    </row>
    <row r="47">
      <c r="A47" s="1178" t="inlineStr">
        <is>
          <t>3425 BENTWINDS BLUFFS LN</t>
        </is>
      </c>
      <c r="B47" s="1178" t="inlineStr">
        <is>
          <t>FUQUAY-VARINA</t>
        </is>
      </c>
      <c r="C47" s="1178" t="inlineStr">
        <is>
          <t>NORTH CAROLINA</t>
        </is>
      </c>
      <c r="D47" s="1178" t="inlineStr">
        <is>
          <t>27526</t>
        </is>
      </c>
      <c r="E47" s="1178" t="inlineStr"/>
      <c r="F47" s="1178" t="inlineStr">
        <is>
          <t>RES-SFU</t>
        </is>
      </c>
      <c r="G47" s="1178" t="inlineStr">
        <is>
          <t>BURIED</t>
        </is>
      </c>
      <c r="H47" s="1178" t="inlineStr">
        <is>
          <t>Y</t>
        </is>
      </c>
      <c r="I47" s="1178" t="inlineStr"/>
      <c r="J47" s="1179" t="n">
        <v>1</v>
      </c>
      <c r="K47" s="1179" t="n">
        <v>0</v>
      </c>
    </row>
    <row r="48">
      <c r="A48" s="1178" t="inlineStr">
        <is>
          <t>3428 BENTWINDS BLUFFS LN</t>
        </is>
      </c>
      <c r="B48" s="1178" t="inlineStr">
        <is>
          <t>FUQUAY-VARINA</t>
        </is>
      </c>
      <c r="C48" s="1178" t="inlineStr">
        <is>
          <t>NORTH CAROLINA</t>
        </is>
      </c>
      <c r="D48" s="1178" t="inlineStr">
        <is>
          <t>27526</t>
        </is>
      </c>
      <c r="E48" s="1178" t="inlineStr"/>
      <c r="F48" s="1178" t="inlineStr">
        <is>
          <t>RES-SFU</t>
        </is>
      </c>
      <c r="G48" s="1178" t="inlineStr">
        <is>
          <t>BURIED</t>
        </is>
      </c>
      <c r="H48" s="1178" t="inlineStr">
        <is>
          <t>Y</t>
        </is>
      </c>
      <c r="I48" s="1178" t="inlineStr"/>
      <c r="J48" s="1179" t="n">
        <v>1</v>
      </c>
      <c r="K48" s="1179" t="n">
        <v>0</v>
      </c>
    </row>
    <row r="49" ht="15.75" customHeight="1" s="955" thickBot="1">
      <c r="A49" s="1180" t="inlineStr">
        <is>
          <t>3500 BENTWINDS BLUFFS LN</t>
        </is>
      </c>
      <c r="B49" s="1180" t="inlineStr">
        <is>
          <t>FUQUAY-VARINA</t>
        </is>
      </c>
      <c r="C49" s="1180" t="inlineStr">
        <is>
          <t>NORTH CAROLINA</t>
        </is>
      </c>
      <c r="D49" s="1180" t="inlineStr">
        <is>
          <t>27526</t>
        </is>
      </c>
      <c r="E49" s="1180" t="inlineStr"/>
      <c r="F49" s="1180" t="inlineStr">
        <is>
          <t>RES-SFU</t>
        </is>
      </c>
      <c r="G49" s="1180" t="inlineStr">
        <is>
          <t>BURIED</t>
        </is>
      </c>
      <c r="H49" s="1180" t="inlineStr">
        <is>
          <t>Y</t>
        </is>
      </c>
      <c r="I49" s="1180" t="inlineStr"/>
      <c r="J49" s="1181" t="n">
        <v>1</v>
      </c>
      <c r="K49" s="1181" t="n">
        <v>0</v>
      </c>
    </row>
    <row r="50" ht="15.75" customHeight="1" s="955" thickTop="1">
      <c r="A50" s="1178" t="inlineStr">
        <is>
          <t>3501 BENTWINDS BLUFFS LN</t>
        </is>
      </c>
      <c r="B50" s="1178" t="inlineStr">
        <is>
          <t>FUQUAY-VARINA</t>
        </is>
      </c>
      <c r="C50" s="1178" t="inlineStr">
        <is>
          <t>NORTH CAROLINA</t>
        </is>
      </c>
      <c r="D50" s="1178" t="inlineStr">
        <is>
          <t>27526</t>
        </is>
      </c>
      <c r="E50" s="1178" t="inlineStr"/>
      <c r="F50" s="1178" t="inlineStr">
        <is>
          <t>RES-SFU</t>
        </is>
      </c>
      <c r="G50" s="1178" t="inlineStr">
        <is>
          <t>BURIED</t>
        </is>
      </c>
      <c r="H50" s="1178" t="inlineStr">
        <is>
          <t>Y</t>
        </is>
      </c>
      <c r="I50" s="1178" t="inlineStr"/>
      <c r="J50" s="1179" t="n">
        <v>1</v>
      </c>
      <c r="K50" s="1179" t="n">
        <v>0</v>
      </c>
    </row>
    <row r="51">
      <c r="A51" s="1178" t="inlineStr">
        <is>
          <t>3504 BENTWINDS BLUFFS LN</t>
        </is>
      </c>
      <c r="B51" s="1178" t="inlineStr">
        <is>
          <t>FUQUAY-VARINA</t>
        </is>
      </c>
      <c r="C51" s="1178" t="inlineStr">
        <is>
          <t>NORTH CAROLINA</t>
        </is>
      </c>
      <c r="D51" s="1178" t="inlineStr">
        <is>
          <t>27526</t>
        </is>
      </c>
      <c r="E51" s="1178" t="inlineStr"/>
      <c r="F51" s="1178" t="inlineStr">
        <is>
          <t>RES-SFU</t>
        </is>
      </c>
      <c r="G51" s="1178" t="inlineStr">
        <is>
          <t>BURIED</t>
        </is>
      </c>
      <c r="H51" s="1178" t="inlineStr">
        <is>
          <t>Y</t>
        </is>
      </c>
      <c r="I51" s="1178" t="inlineStr"/>
      <c r="J51" s="1179" t="n">
        <v>1</v>
      </c>
      <c r="K51" s="1179" t="n">
        <v>0</v>
      </c>
    </row>
    <row r="52">
      <c r="A52" s="1178" t="inlineStr">
        <is>
          <t>3505 BENTWINDS BLUFFS LN</t>
        </is>
      </c>
      <c r="B52" s="1178" t="inlineStr">
        <is>
          <t>FUQUAY-VARINA</t>
        </is>
      </c>
      <c r="C52" s="1178" t="inlineStr">
        <is>
          <t>NORTH CAROLINA</t>
        </is>
      </c>
      <c r="D52" s="1178" t="inlineStr">
        <is>
          <t>27526</t>
        </is>
      </c>
      <c r="E52" s="1178" t="inlineStr"/>
      <c r="F52" s="1178" t="inlineStr">
        <is>
          <t>RES-SFU</t>
        </is>
      </c>
      <c r="G52" s="1178" t="inlineStr">
        <is>
          <t>BURIED</t>
        </is>
      </c>
      <c r="H52" s="1178" t="inlineStr">
        <is>
          <t>Y</t>
        </is>
      </c>
      <c r="I52" s="1178" t="inlineStr"/>
      <c r="J52" s="1179" t="n">
        <v>1</v>
      </c>
      <c r="K52" s="1179" t="n">
        <v>0</v>
      </c>
    </row>
    <row r="53">
      <c r="A53" s="1178" t="inlineStr">
        <is>
          <t>3508 BENTWINDS BLUFFS LN</t>
        </is>
      </c>
      <c r="B53" s="1178" t="inlineStr">
        <is>
          <t>FUQUAY-VARINA</t>
        </is>
      </c>
      <c r="C53" s="1178" t="inlineStr">
        <is>
          <t>NORTH CAROLINA</t>
        </is>
      </c>
      <c r="D53" s="1178" t="inlineStr">
        <is>
          <t>27526</t>
        </is>
      </c>
      <c r="E53" s="1178" t="inlineStr"/>
      <c r="F53" s="1178" t="inlineStr">
        <is>
          <t>RES-SFU</t>
        </is>
      </c>
      <c r="G53" s="1178" t="inlineStr">
        <is>
          <t>BURIED</t>
        </is>
      </c>
      <c r="H53" s="1178" t="inlineStr">
        <is>
          <t>Y</t>
        </is>
      </c>
      <c r="I53" s="1178" t="inlineStr"/>
      <c r="J53" s="1179" t="n">
        <v>1</v>
      </c>
      <c r="K53" s="1179" t="n">
        <v>0</v>
      </c>
    </row>
    <row r="54">
      <c r="A54" s="1178" t="inlineStr">
        <is>
          <t>3509 BENTWINDS BLUFFS LN</t>
        </is>
      </c>
      <c r="B54" s="1178" t="inlineStr">
        <is>
          <t>FUQUAY-VARINA</t>
        </is>
      </c>
      <c r="C54" s="1178" t="inlineStr">
        <is>
          <t>NORTH CAROLINA</t>
        </is>
      </c>
      <c r="D54" s="1178" t="inlineStr">
        <is>
          <t>27526</t>
        </is>
      </c>
      <c r="E54" s="1178" t="inlineStr"/>
      <c r="F54" s="1178" t="inlineStr">
        <is>
          <t>RES-SFU</t>
        </is>
      </c>
      <c r="G54" s="1178" t="inlineStr">
        <is>
          <t>BURIED</t>
        </is>
      </c>
      <c r="H54" s="1178" t="inlineStr">
        <is>
          <t>Y</t>
        </is>
      </c>
      <c r="I54" s="1178" t="inlineStr"/>
      <c r="J54" s="1179" t="n">
        <v>1</v>
      </c>
      <c r="K54" s="1179" t="n">
        <v>0</v>
      </c>
    </row>
    <row r="55">
      <c r="A55" s="1178" t="inlineStr">
        <is>
          <t>3512 BENTWINDS BLUFFS LN</t>
        </is>
      </c>
      <c r="B55" s="1178" t="inlineStr">
        <is>
          <t>FUQUAY-VARINA</t>
        </is>
      </c>
      <c r="C55" s="1178" t="inlineStr">
        <is>
          <t>NORTH CAROLINA</t>
        </is>
      </c>
      <c r="D55" s="1178" t="inlineStr">
        <is>
          <t>27526</t>
        </is>
      </c>
      <c r="E55" s="1178" t="inlineStr"/>
      <c r="F55" s="1178" t="inlineStr">
        <is>
          <t>RES-SFU</t>
        </is>
      </c>
      <c r="G55" s="1178" t="inlineStr">
        <is>
          <t>BURIED</t>
        </is>
      </c>
      <c r="H55" s="1178" t="inlineStr">
        <is>
          <t>Y</t>
        </is>
      </c>
      <c r="I55" s="1178" t="inlineStr"/>
      <c r="J55" s="1179" t="n">
        <v>1</v>
      </c>
      <c r="K55" s="1179" t="n">
        <v>0</v>
      </c>
    </row>
    <row r="56">
      <c r="A56" s="1178" t="inlineStr">
        <is>
          <t>3513 BENTWINDS BLUFFS LN</t>
        </is>
      </c>
      <c r="B56" s="1178" t="inlineStr">
        <is>
          <t>FUQUAY-VARINA</t>
        </is>
      </c>
      <c r="C56" s="1178" t="inlineStr">
        <is>
          <t>NORTH CAROLINA</t>
        </is>
      </c>
      <c r="D56" s="1178" t="inlineStr">
        <is>
          <t>27526</t>
        </is>
      </c>
      <c r="E56" s="1178" t="inlineStr"/>
      <c r="F56" s="1178" t="inlineStr">
        <is>
          <t>RES-SFU</t>
        </is>
      </c>
      <c r="G56" s="1178" t="inlineStr">
        <is>
          <t>BURIED</t>
        </is>
      </c>
      <c r="H56" s="1178" t="inlineStr">
        <is>
          <t>Y</t>
        </is>
      </c>
      <c r="I56" s="1178" t="inlineStr"/>
      <c r="J56" s="1179" t="n">
        <v>1</v>
      </c>
      <c r="K56" s="1179" t="n">
        <v>0</v>
      </c>
    </row>
    <row r="57">
      <c r="A57" s="1178" t="inlineStr">
        <is>
          <t>3516 BENTWINDS BLUFFS LN</t>
        </is>
      </c>
      <c r="B57" s="1178" t="inlineStr">
        <is>
          <t>FUQUAY-VARINA</t>
        </is>
      </c>
      <c r="C57" s="1178" t="inlineStr">
        <is>
          <t>NORTH CAROLINA</t>
        </is>
      </c>
      <c r="D57" s="1178" t="inlineStr">
        <is>
          <t>27526</t>
        </is>
      </c>
      <c r="E57" s="1178" t="inlineStr"/>
      <c r="F57" s="1178" t="inlineStr">
        <is>
          <t>RES-SFU</t>
        </is>
      </c>
      <c r="G57" s="1178" t="inlineStr">
        <is>
          <t>BURIED</t>
        </is>
      </c>
      <c r="H57" s="1178" t="inlineStr">
        <is>
          <t>Y</t>
        </is>
      </c>
      <c r="I57" s="1178" t="inlineStr"/>
      <c r="J57" s="1179" t="n">
        <v>1</v>
      </c>
      <c r="K57" s="1179" t="n">
        <v>0</v>
      </c>
    </row>
    <row r="58">
      <c r="A58" s="1178" t="inlineStr">
        <is>
          <t>3517 BENTWINDS BLUFFS LN</t>
        </is>
      </c>
      <c r="B58" s="1178" t="inlineStr">
        <is>
          <t>FUQUAY-VARINA</t>
        </is>
      </c>
      <c r="C58" s="1178" t="inlineStr">
        <is>
          <t>NORTH CAROLINA</t>
        </is>
      </c>
      <c r="D58" s="1178" t="inlineStr">
        <is>
          <t>27526</t>
        </is>
      </c>
      <c r="E58" s="1178" t="inlineStr"/>
      <c r="F58" s="1178" t="inlineStr">
        <is>
          <t>RES-SFU</t>
        </is>
      </c>
      <c r="G58" s="1178" t="inlineStr">
        <is>
          <t>BURIED</t>
        </is>
      </c>
      <c r="H58" s="1178" t="inlineStr">
        <is>
          <t>Y</t>
        </is>
      </c>
      <c r="I58" s="1178" t="inlineStr"/>
      <c r="J58" s="1179" t="n">
        <v>1</v>
      </c>
      <c r="K58" s="1179" t="n">
        <v>0</v>
      </c>
    </row>
    <row r="59">
      <c r="A59" s="1178" t="inlineStr">
        <is>
          <t>3521 BENTWINDS BLUFFS LN</t>
        </is>
      </c>
      <c r="B59" s="1178" t="inlineStr">
        <is>
          <t>FUQUAY-VARINA</t>
        </is>
      </c>
      <c r="C59" s="1178" t="inlineStr">
        <is>
          <t>NORTH CAROLINA</t>
        </is>
      </c>
      <c r="D59" s="1178" t="inlineStr">
        <is>
          <t>27526</t>
        </is>
      </c>
      <c r="E59" s="1178" t="inlineStr"/>
      <c r="F59" s="1178" t="inlineStr">
        <is>
          <t>RES-SFU</t>
        </is>
      </c>
      <c r="G59" s="1178" t="inlineStr">
        <is>
          <t>BURIED</t>
        </is>
      </c>
      <c r="H59" s="1178" t="inlineStr">
        <is>
          <t>Y</t>
        </is>
      </c>
      <c r="I59" s="1178" t="inlineStr"/>
      <c r="J59" s="1179" t="n">
        <v>1</v>
      </c>
      <c r="K59" s="1179" t="n">
        <v>0</v>
      </c>
    </row>
    <row r="60">
      <c r="A60" s="1178" t="inlineStr">
        <is>
          <t>3525 BENTWINDS BLUFFS LN</t>
        </is>
      </c>
      <c r="B60" s="1178" t="inlineStr">
        <is>
          <t>FUQUAY-VARINA</t>
        </is>
      </c>
      <c r="C60" s="1178" t="inlineStr">
        <is>
          <t>NORTH CAROLINA</t>
        </is>
      </c>
      <c r="D60" s="1178" t="inlineStr">
        <is>
          <t>27526</t>
        </is>
      </c>
      <c r="E60" s="1178" t="inlineStr"/>
      <c r="F60" s="1178" t="inlineStr">
        <is>
          <t>RES-SFU</t>
        </is>
      </c>
      <c r="G60" s="1178" t="inlineStr">
        <is>
          <t>BURIED</t>
        </is>
      </c>
      <c r="H60" s="1178" t="inlineStr">
        <is>
          <t>Y</t>
        </is>
      </c>
      <c r="I60" s="1178" t="inlineStr"/>
      <c r="J60" s="1179" t="n">
        <v>1</v>
      </c>
      <c r="K60" s="1179" t="n">
        <v>0</v>
      </c>
    </row>
    <row r="61" ht="15.75" customHeight="1" s="955" thickBot="1">
      <c r="A61" s="1180" t="inlineStr">
        <is>
          <t>3529 BENTWINDS BLUFFS LN</t>
        </is>
      </c>
      <c r="B61" s="1180" t="inlineStr">
        <is>
          <t>FUQUAY-VARINA</t>
        </is>
      </c>
      <c r="C61" s="1180" t="inlineStr">
        <is>
          <t>NORTH CAROLINA</t>
        </is>
      </c>
      <c r="D61" s="1180" t="inlineStr">
        <is>
          <t>27526</t>
        </is>
      </c>
      <c r="E61" s="1180" t="inlineStr"/>
      <c r="F61" s="1180" t="inlineStr">
        <is>
          <t>RES-SFU</t>
        </is>
      </c>
      <c r="G61" s="1180" t="inlineStr">
        <is>
          <t>BURIED</t>
        </is>
      </c>
      <c r="H61" s="1180" t="inlineStr">
        <is>
          <t>Y</t>
        </is>
      </c>
      <c r="I61" s="1180" t="inlineStr"/>
      <c r="J61" s="1181" t="n">
        <v>1</v>
      </c>
      <c r="K61" s="1181" t="n">
        <v>0</v>
      </c>
    </row>
    <row r="62" ht="15.75" customHeight="1" s="955" thickTop="1">
      <c r="A62" s="1178" t="inlineStr">
        <is>
          <t>3533 BENTWINDS BLUFFS LN</t>
        </is>
      </c>
      <c r="B62" s="1178" t="inlineStr">
        <is>
          <t>FUQUAY-VARINA</t>
        </is>
      </c>
      <c r="C62" s="1178" t="inlineStr">
        <is>
          <t>NORTH CAROLINA</t>
        </is>
      </c>
      <c r="D62" s="1178" t="inlineStr">
        <is>
          <t>27526</t>
        </is>
      </c>
      <c r="E62" s="1178" t="inlineStr"/>
      <c r="F62" s="1178" t="inlineStr">
        <is>
          <t>RES-SFU</t>
        </is>
      </c>
      <c r="G62" s="1178" t="inlineStr">
        <is>
          <t>BURIED</t>
        </is>
      </c>
      <c r="H62" s="1178" t="inlineStr">
        <is>
          <t>Y</t>
        </is>
      </c>
      <c r="I62" s="1178" t="inlineStr"/>
      <c r="J62" s="1179" t="n">
        <v>1</v>
      </c>
      <c r="K62" s="1179" t="n">
        <v>0</v>
      </c>
    </row>
    <row r="63">
      <c r="A63" s="1178" t="inlineStr">
        <is>
          <t>3601 BENTWINDS BLUFFS LN</t>
        </is>
      </c>
      <c r="B63" s="1178" t="inlineStr">
        <is>
          <t>FUQUAY-VARINA</t>
        </is>
      </c>
      <c r="C63" s="1178" t="inlineStr">
        <is>
          <t>NORTH CAROLINA</t>
        </is>
      </c>
      <c r="D63" s="1178" t="inlineStr">
        <is>
          <t>27526</t>
        </is>
      </c>
      <c r="E63" s="1178" t="inlineStr"/>
      <c r="F63" s="1178" t="inlineStr">
        <is>
          <t>RES-SFU</t>
        </is>
      </c>
      <c r="G63" s="1178" t="inlineStr">
        <is>
          <t>BURIED</t>
        </is>
      </c>
      <c r="H63" s="1178" t="inlineStr">
        <is>
          <t>Y</t>
        </is>
      </c>
      <c r="I63" s="1178" t="inlineStr"/>
      <c r="J63" s="1179" t="n">
        <v>1</v>
      </c>
      <c r="K63" s="1179" t="n">
        <v>0</v>
      </c>
    </row>
    <row r="64">
      <c r="A64" s="1178" t="inlineStr">
        <is>
          <t>3605 BENTWINDS BLUFFS LN</t>
        </is>
      </c>
      <c r="B64" s="1178" t="inlineStr">
        <is>
          <t>FUQUAY-VARINA</t>
        </is>
      </c>
      <c r="C64" s="1178" t="inlineStr">
        <is>
          <t>NORTH CAROLINA</t>
        </is>
      </c>
      <c r="D64" s="1178" t="inlineStr">
        <is>
          <t>27526</t>
        </is>
      </c>
      <c r="E64" s="1178" t="inlineStr"/>
      <c r="F64" s="1178" t="inlineStr">
        <is>
          <t>RES-SFU</t>
        </is>
      </c>
      <c r="G64" s="1178" t="inlineStr">
        <is>
          <t>BURIED</t>
        </is>
      </c>
      <c r="H64" s="1178" t="inlineStr">
        <is>
          <t>Y</t>
        </is>
      </c>
      <c r="I64" s="1178" t="inlineStr"/>
      <c r="J64" s="1179" t="n">
        <v>1</v>
      </c>
      <c r="K64" s="1179" t="n">
        <v>0</v>
      </c>
    </row>
    <row r="65">
      <c r="A65" s="1178" t="inlineStr">
        <is>
          <t>3608 BENTWINDS BLUFFS LN</t>
        </is>
      </c>
      <c r="B65" s="1178" t="inlineStr">
        <is>
          <t>FUQUAY-VARINA</t>
        </is>
      </c>
      <c r="C65" s="1178" t="inlineStr">
        <is>
          <t>NORTH CAROLINA</t>
        </is>
      </c>
      <c r="D65" s="1178" t="inlineStr">
        <is>
          <t>27526</t>
        </is>
      </c>
      <c r="E65" s="1178" t="inlineStr"/>
      <c r="F65" s="1178" t="inlineStr">
        <is>
          <t>RES-SFU</t>
        </is>
      </c>
      <c r="G65" s="1178" t="inlineStr">
        <is>
          <t>BURIED</t>
        </is>
      </c>
      <c r="H65" s="1178" t="inlineStr">
        <is>
          <t>Y</t>
        </is>
      </c>
      <c r="I65" s="1178" t="inlineStr"/>
      <c r="J65" s="1179" t="n">
        <v>1</v>
      </c>
      <c r="K65" s="1179" t="n">
        <v>0</v>
      </c>
    </row>
    <row r="66">
      <c r="A66" s="1178" t="inlineStr">
        <is>
          <t>3609 BENTWINDS BLUFFS LN</t>
        </is>
      </c>
      <c r="B66" s="1178" t="inlineStr">
        <is>
          <t>FUQUAY-VARINA</t>
        </is>
      </c>
      <c r="C66" s="1178" t="inlineStr">
        <is>
          <t>NORTH CAROLINA</t>
        </is>
      </c>
      <c r="D66" s="1178" t="inlineStr">
        <is>
          <t>27526</t>
        </is>
      </c>
      <c r="E66" s="1178" t="inlineStr"/>
      <c r="F66" s="1178" t="inlineStr">
        <is>
          <t>RES-SFU</t>
        </is>
      </c>
      <c r="G66" s="1178" t="inlineStr">
        <is>
          <t>BURIED</t>
        </is>
      </c>
      <c r="H66" s="1178" t="inlineStr">
        <is>
          <t>Y</t>
        </is>
      </c>
      <c r="I66" s="1178" t="inlineStr"/>
      <c r="J66" s="1179" t="n">
        <v>1</v>
      </c>
      <c r="K66" s="1179" t="n">
        <v>0</v>
      </c>
    </row>
    <row r="67">
      <c r="A67" s="1178" t="inlineStr">
        <is>
          <t>3613 BENTWINDS BLUFFS LN</t>
        </is>
      </c>
      <c r="B67" s="1178" t="inlineStr">
        <is>
          <t>FUQUAY-VARINA</t>
        </is>
      </c>
      <c r="C67" s="1178" t="inlineStr">
        <is>
          <t>NORTH CAROLINA</t>
        </is>
      </c>
      <c r="D67" s="1178" t="inlineStr">
        <is>
          <t>27526</t>
        </is>
      </c>
      <c r="E67" s="1178" t="inlineStr"/>
      <c r="F67" s="1178" t="inlineStr">
        <is>
          <t>RES-SFU</t>
        </is>
      </c>
      <c r="G67" s="1178" t="inlineStr">
        <is>
          <t>BURIED</t>
        </is>
      </c>
      <c r="H67" s="1178" t="inlineStr">
        <is>
          <t>Y</t>
        </is>
      </c>
      <c r="I67" s="1178" t="inlineStr"/>
      <c r="J67" s="1179" t="n">
        <v>1</v>
      </c>
      <c r="K67" s="1179" t="n">
        <v>0</v>
      </c>
    </row>
    <row r="68">
      <c r="A68" s="1178" t="inlineStr">
        <is>
          <t>3616 BENTWINDS BLUFFS LN</t>
        </is>
      </c>
      <c r="B68" s="1178" t="inlineStr">
        <is>
          <t>FUQUAY-VARINA</t>
        </is>
      </c>
      <c r="C68" s="1178" t="inlineStr">
        <is>
          <t>NORTH CAROLINA</t>
        </is>
      </c>
      <c r="D68" s="1178" t="inlineStr">
        <is>
          <t>27526</t>
        </is>
      </c>
      <c r="E68" s="1178" t="inlineStr"/>
      <c r="F68" s="1178" t="inlineStr">
        <is>
          <t>RES-SFU</t>
        </is>
      </c>
      <c r="G68" s="1178" t="inlineStr">
        <is>
          <t>BURIED</t>
        </is>
      </c>
      <c r="H68" s="1178" t="inlineStr">
        <is>
          <t>Y</t>
        </is>
      </c>
      <c r="I68" s="1178" t="inlineStr"/>
      <c r="J68" s="1179" t="n">
        <v>1</v>
      </c>
      <c r="K68" s="1179" t="n">
        <v>0</v>
      </c>
    </row>
    <row r="69">
      <c r="A69" s="1178" t="inlineStr">
        <is>
          <t>3617 BENTWINDS BLUFFS LN</t>
        </is>
      </c>
      <c r="B69" s="1178" t="inlineStr">
        <is>
          <t>FUQUAY-VARINA</t>
        </is>
      </c>
      <c r="C69" s="1178" t="inlineStr">
        <is>
          <t>NORTH CAROLINA</t>
        </is>
      </c>
      <c r="D69" s="1178" t="inlineStr">
        <is>
          <t>27526</t>
        </is>
      </c>
      <c r="E69" s="1178" t="inlineStr"/>
      <c r="F69" s="1178" t="inlineStr">
        <is>
          <t>RES-SFU</t>
        </is>
      </c>
      <c r="G69" s="1178" t="inlineStr">
        <is>
          <t>BURIED</t>
        </is>
      </c>
      <c r="H69" s="1178" t="inlineStr">
        <is>
          <t>Y</t>
        </is>
      </c>
      <c r="I69" s="1178" t="inlineStr"/>
      <c r="J69" s="1179" t="n">
        <v>1</v>
      </c>
      <c r="K69" s="1179" t="n">
        <v>0</v>
      </c>
    </row>
    <row r="70">
      <c r="A70" s="1178" t="inlineStr">
        <is>
          <t>3620 BENTWINDS BLUFFS LN</t>
        </is>
      </c>
      <c r="B70" s="1178" t="inlineStr">
        <is>
          <t>FUQUAY-VARINA</t>
        </is>
      </c>
      <c r="C70" s="1178" t="inlineStr">
        <is>
          <t>NORTH CAROLINA</t>
        </is>
      </c>
      <c r="D70" s="1178" t="inlineStr">
        <is>
          <t>27526</t>
        </is>
      </c>
      <c r="E70" s="1178" t="inlineStr"/>
      <c r="F70" s="1178" t="inlineStr">
        <is>
          <t>RES-SFU</t>
        </is>
      </c>
      <c r="G70" s="1178" t="inlineStr">
        <is>
          <t>BURIED</t>
        </is>
      </c>
      <c r="H70" s="1178" t="inlineStr">
        <is>
          <t>Y</t>
        </is>
      </c>
      <c r="I70" s="1178" t="inlineStr"/>
      <c r="J70" s="1179" t="n">
        <v>1</v>
      </c>
      <c r="K70" s="1179" t="n">
        <v>0</v>
      </c>
    </row>
    <row r="71">
      <c r="A71" s="1178" t="inlineStr">
        <is>
          <t>3621 BENTWINDS BLUFFS LN</t>
        </is>
      </c>
      <c r="B71" s="1178" t="inlineStr">
        <is>
          <t>FUQUAY-VARINA</t>
        </is>
      </c>
      <c r="C71" s="1178" t="inlineStr">
        <is>
          <t>NORTH CAROLINA</t>
        </is>
      </c>
      <c r="D71" s="1178" t="inlineStr">
        <is>
          <t>27526</t>
        </is>
      </c>
      <c r="E71" s="1178" t="inlineStr"/>
      <c r="F71" s="1178" t="inlineStr">
        <is>
          <t>RES-SFU</t>
        </is>
      </c>
      <c r="G71" s="1178" t="inlineStr">
        <is>
          <t>BURIED</t>
        </is>
      </c>
      <c r="H71" s="1178" t="inlineStr">
        <is>
          <t>Y</t>
        </is>
      </c>
      <c r="I71" s="1178" t="inlineStr"/>
      <c r="J71" s="1179" t="n">
        <v>1</v>
      </c>
      <c r="K71" s="1179" t="n">
        <v>0</v>
      </c>
    </row>
    <row r="72">
      <c r="A72" s="1178" t="inlineStr">
        <is>
          <t>3625 BENTWINDS BLUFFS LN</t>
        </is>
      </c>
      <c r="B72" s="1178" t="inlineStr">
        <is>
          <t>FUQUAY-VARINA</t>
        </is>
      </c>
      <c r="C72" s="1178" t="inlineStr">
        <is>
          <t>NORTH CAROLINA</t>
        </is>
      </c>
      <c r="D72" s="1178" t="inlineStr">
        <is>
          <t>27526</t>
        </is>
      </c>
      <c r="E72" s="1178" t="inlineStr"/>
      <c r="F72" s="1178" t="inlineStr">
        <is>
          <t>RES-SFU</t>
        </is>
      </c>
      <c r="G72" s="1178" t="inlineStr">
        <is>
          <t>BURIED</t>
        </is>
      </c>
      <c r="H72" s="1178" t="inlineStr">
        <is>
          <t>Y</t>
        </is>
      </c>
      <c r="I72" s="1178" t="inlineStr"/>
      <c r="J72" s="1179" t="n">
        <v>1</v>
      </c>
      <c r="K72" s="1179" t="n">
        <v>0</v>
      </c>
    </row>
    <row r="73" ht="15.75" customHeight="1" s="955" thickBot="1">
      <c r="A73" s="1180" t="inlineStr">
        <is>
          <t>3629 BENTWINDS BLUFFS LN</t>
        </is>
      </c>
      <c r="B73" s="1180" t="inlineStr">
        <is>
          <t>FUQUAY-VARINA</t>
        </is>
      </c>
      <c r="C73" s="1180" t="inlineStr">
        <is>
          <t>NORTH CAROLINA</t>
        </is>
      </c>
      <c r="D73" s="1180" t="inlineStr">
        <is>
          <t>27526</t>
        </is>
      </c>
      <c r="E73" s="1180" t="inlineStr"/>
      <c r="F73" s="1180" t="inlineStr">
        <is>
          <t>RES-SFU</t>
        </is>
      </c>
      <c r="G73" s="1180" t="inlineStr">
        <is>
          <t>BURIED</t>
        </is>
      </c>
      <c r="H73" s="1180" t="inlineStr">
        <is>
          <t>Y</t>
        </is>
      </c>
      <c r="I73" s="1180" t="inlineStr"/>
      <c r="J73" s="1181" t="n">
        <v>1</v>
      </c>
      <c r="K73" s="1181" t="n">
        <v>0</v>
      </c>
    </row>
    <row r="74" ht="15.75" customHeight="1" s="955" thickTop="1">
      <c r="A74" s="1178" t="inlineStr">
        <is>
          <t>3633 BENTWINDS BLUFFS LN</t>
        </is>
      </c>
      <c r="B74" s="1178" t="inlineStr">
        <is>
          <t>FUQUAY-VARINA</t>
        </is>
      </c>
      <c r="C74" s="1178" t="inlineStr">
        <is>
          <t>NORTH CAROLINA</t>
        </is>
      </c>
      <c r="D74" s="1178" t="inlineStr">
        <is>
          <t>27526</t>
        </is>
      </c>
      <c r="E74" s="1178" t="inlineStr"/>
      <c r="F74" s="1178" t="inlineStr">
        <is>
          <t>RES-SFU</t>
        </is>
      </c>
      <c r="G74" s="1178" t="inlineStr">
        <is>
          <t>BURIED</t>
        </is>
      </c>
      <c r="H74" s="1178" t="inlineStr">
        <is>
          <t>Y</t>
        </is>
      </c>
      <c r="I74" s="1178" t="inlineStr"/>
      <c r="J74" s="1179" t="n">
        <v>1</v>
      </c>
      <c r="K74" s="1179" t="n">
        <v>0</v>
      </c>
    </row>
    <row r="75">
      <c r="A75" s="1178" t="inlineStr">
        <is>
          <t>3636 BENTWINDS BLUFFS LN</t>
        </is>
      </c>
      <c r="B75" s="1178" t="inlineStr">
        <is>
          <t>FUQUAY-VARINA</t>
        </is>
      </c>
      <c r="C75" s="1178" t="inlineStr">
        <is>
          <t>NORTH CAROLINA</t>
        </is>
      </c>
      <c r="D75" s="1178" t="inlineStr">
        <is>
          <t>27526</t>
        </is>
      </c>
      <c r="E75" s="1178" t="inlineStr"/>
      <c r="F75" s="1178" t="inlineStr">
        <is>
          <t>RES-SFU</t>
        </is>
      </c>
      <c r="G75" s="1178" t="inlineStr">
        <is>
          <t>BURIED</t>
        </is>
      </c>
      <c r="H75" s="1178" t="inlineStr">
        <is>
          <t>Y</t>
        </is>
      </c>
      <c r="I75" s="1178" t="inlineStr"/>
      <c r="J75" s="1179" t="n">
        <v>1</v>
      </c>
      <c r="K75" s="1179" t="n">
        <v>0</v>
      </c>
    </row>
    <row r="76">
      <c r="A76" s="1178" t="inlineStr">
        <is>
          <t>3800 FAIRWAY VIEW DR</t>
        </is>
      </c>
      <c r="B76" s="1178" t="inlineStr">
        <is>
          <t>FUQUAY-VARINA</t>
        </is>
      </c>
      <c r="C76" s="1178" t="inlineStr">
        <is>
          <t>NORTH CAROLINA</t>
        </is>
      </c>
      <c r="D76" s="1178" t="inlineStr">
        <is>
          <t>27526</t>
        </is>
      </c>
      <c r="E76" s="1178" t="inlineStr"/>
      <c r="F76" s="1178" t="inlineStr">
        <is>
          <t>RES-SFU</t>
        </is>
      </c>
      <c r="G76" s="1178" t="inlineStr">
        <is>
          <t>BURIED</t>
        </is>
      </c>
      <c r="H76" s="1178" t="inlineStr">
        <is>
          <t>Y</t>
        </is>
      </c>
      <c r="I76" s="1178" t="inlineStr"/>
      <c r="J76" s="1179" t="n">
        <v>1</v>
      </c>
      <c r="K76" s="1179" t="n">
        <v>0</v>
      </c>
    </row>
    <row r="77">
      <c r="A77" s="1178" t="inlineStr">
        <is>
          <t>3801 FAIRWAY VIEW DR</t>
        </is>
      </c>
      <c r="B77" s="1178" t="inlineStr">
        <is>
          <t>FUQUAY-VARINA</t>
        </is>
      </c>
      <c r="C77" s="1178" t="inlineStr">
        <is>
          <t>NORTH CAROLINA</t>
        </is>
      </c>
      <c r="D77" s="1178" t="inlineStr">
        <is>
          <t>27526</t>
        </is>
      </c>
      <c r="E77" s="1178" t="inlineStr"/>
      <c r="F77" s="1178" t="inlineStr">
        <is>
          <t>RES-SFU</t>
        </is>
      </c>
      <c r="G77" s="1178" t="inlineStr">
        <is>
          <t>BURIED</t>
        </is>
      </c>
      <c r="H77" s="1178" t="inlineStr">
        <is>
          <t>Y</t>
        </is>
      </c>
      <c r="I77" s="1178" t="inlineStr"/>
      <c r="J77" s="1179" t="n">
        <v>1</v>
      </c>
      <c r="K77" s="1179" t="n">
        <v>0</v>
      </c>
    </row>
    <row r="78">
      <c r="A78" s="1178" t="inlineStr">
        <is>
          <t>3805 FAIRWAY VIEW DR</t>
        </is>
      </c>
      <c r="B78" s="1178" t="inlineStr">
        <is>
          <t>FUQUAY-VARINA</t>
        </is>
      </c>
      <c r="C78" s="1178" t="inlineStr">
        <is>
          <t>NORTH CAROLINA</t>
        </is>
      </c>
      <c r="D78" s="1178" t="inlineStr">
        <is>
          <t>27526</t>
        </is>
      </c>
      <c r="E78" s="1178" t="inlineStr"/>
      <c r="F78" s="1178" t="inlineStr">
        <is>
          <t>RES-SFU</t>
        </is>
      </c>
      <c r="G78" s="1178" t="inlineStr">
        <is>
          <t>BURIED</t>
        </is>
      </c>
      <c r="H78" s="1178" t="inlineStr">
        <is>
          <t>Y</t>
        </is>
      </c>
      <c r="I78" s="1178" t="inlineStr"/>
      <c r="J78" s="1179" t="n">
        <v>1</v>
      </c>
      <c r="K78" s="1179" t="n">
        <v>0</v>
      </c>
    </row>
    <row r="79">
      <c r="A79" s="1178" t="inlineStr">
        <is>
          <t>3809 FAIRWAY VIEW DR</t>
        </is>
      </c>
      <c r="B79" s="1178" t="inlineStr">
        <is>
          <t>FUQUAY-VARINA</t>
        </is>
      </c>
      <c r="C79" s="1178" t="inlineStr">
        <is>
          <t>NORTH CAROLINA</t>
        </is>
      </c>
      <c r="D79" s="1178" t="inlineStr">
        <is>
          <t>27526</t>
        </is>
      </c>
      <c r="E79" s="1178" t="inlineStr"/>
      <c r="F79" s="1178" t="inlineStr">
        <is>
          <t>RES-SFU</t>
        </is>
      </c>
      <c r="G79" s="1178" t="inlineStr">
        <is>
          <t>BURIED</t>
        </is>
      </c>
      <c r="H79" s="1178" t="inlineStr">
        <is>
          <t>Y</t>
        </is>
      </c>
      <c r="I79" s="1178" t="inlineStr"/>
      <c r="J79" s="1179" t="n">
        <v>1</v>
      </c>
      <c r="K79" s="1179" t="n">
        <v>0</v>
      </c>
    </row>
    <row r="80">
      <c r="A80" s="1178" t="inlineStr">
        <is>
          <t>3812 FAIRWAY VIEW DR</t>
        </is>
      </c>
      <c r="B80" s="1178" t="inlineStr">
        <is>
          <t>FUQUAY-VARINA</t>
        </is>
      </c>
      <c r="C80" s="1178" t="inlineStr">
        <is>
          <t>NORTH CAROLINA</t>
        </is>
      </c>
      <c r="D80" s="1178" t="inlineStr">
        <is>
          <t>27526</t>
        </is>
      </c>
      <c r="E80" s="1178" t="inlineStr"/>
      <c r="F80" s="1178" t="inlineStr">
        <is>
          <t>RES-SFU</t>
        </is>
      </c>
      <c r="G80" s="1178" t="inlineStr">
        <is>
          <t>BURIED</t>
        </is>
      </c>
      <c r="H80" s="1178" t="inlineStr">
        <is>
          <t>Y</t>
        </is>
      </c>
      <c r="I80" s="1178" t="inlineStr"/>
      <c r="J80" s="1179" t="n">
        <v>1</v>
      </c>
      <c r="K80" s="1179" t="n">
        <v>0</v>
      </c>
    </row>
    <row r="81">
      <c r="A81" s="1178" t="inlineStr">
        <is>
          <t>3813 FAIRWAY VIEW DR</t>
        </is>
      </c>
      <c r="B81" s="1178" t="inlineStr">
        <is>
          <t>FUQUAY-VARINA</t>
        </is>
      </c>
      <c r="C81" s="1178" t="inlineStr">
        <is>
          <t>NORTH CAROLINA</t>
        </is>
      </c>
      <c r="D81" s="1178" t="inlineStr">
        <is>
          <t>27526</t>
        </is>
      </c>
      <c r="E81" s="1178" t="inlineStr"/>
      <c r="F81" s="1178" t="inlineStr">
        <is>
          <t>RES-SFU</t>
        </is>
      </c>
      <c r="G81" s="1178" t="inlineStr">
        <is>
          <t>BURIED</t>
        </is>
      </c>
      <c r="H81" s="1178" t="inlineStr">
        <is>
          <t>Y</t>
        </is>
      </c>
      <c r="I81" s="1178" t="inlineStr"/>
      <c r="J81" s="1179" t="n">
        <v>1</v>
      </c>
      <c r="K81" s="1179" t="n">
        <v>0</v>
      </c>
    </row>
    <row r="82">
      <c r="A82" s="1178" t="inlineStr">
        <is>
          <t>3817 FAIRWAY VIEW DR</t>
        </is>
      </c>
      <c r="B82" s="1178" t="inlineStr">
        <is>
          <t>FUQUAY-VARINA</t>
        </is>
      </c>
      <c r="C82" s="1178" t="inlineStr">
        <is>
          <t>NORTH CAROLINA</t>
        </is>
      </c>
      <c r="D82" s="1178" t="inlineStr">
        <is>
          <t>27526</t>
        </is>
      </c>
      <c r="E82" s="1178" t="inlineStr"/>
      <c r="F82" s="1178" t="inlineStr">
        <is>
          <t>RES-SFU</t>
        </is>
      </c>
      <c r="G82" s="1178" t="inlineStr">
        <is>
          <t>BURIED</t>
        </is>
      </c>
      <c r="H82" s="1178" t="inlineStr">
        <is>
          <t>Y</t>
        </is>
      </c>
      <c r="I82" s="1178" t="inlineStr"/>
      <c r="J82" s="1179" t="n">
        <v>1</v>
      </c>
      <c r="K82" s="1179" t="n">
        <v>0</v>
      </c>
    </row>
    <row r="83">
      <c r="A83" s="1178" t="inlineStr">
        <is>
          <t>3820 FAIRWAY VIEW DR</t>
        </is>
      </c>
      <c r="B83" s="1178" t="inlineStr">
        <is>
          <t>FUQUAY-VARINA</t>
        </is>
      </c>
      <c r="C83" s="1178" t="inlineStr">
        <is>
          <t>NORTH CAROLINA</t>
        </is>
      </c>
      <c r="D83" s="1178" t="inlineStr">
        <is>
          <t>27526</t>
        </is>
      </c>
      <c r="E83" s="1178" t="inlineStr"/>
      <c r="F83" s="1178" t="inlineStr">
        <is>
          <t>RES-SFU</t>
        </is>
      </c>
      <c r="G83" s="1178" t="inlineStr">
        <is>
          <t>BURIED</t>
        </is>
      </c>
      <c r="H83" s="1178" t="inlineStr">
        <is>
          <t>Y</t>
        </is>
      </c>
      <c r="I83" s="1178" t="inlineStr"/>
      <c r="J83" s="1179" t="n">
        <v>1</v>
      </c>
      <c r="K83" s="1179" t="n">
        <v>0</v>
      </c>
    </row>
    <row r="84">
      <c r="A84" s="1178" t="inlineStr">
        <is>
          <t>3821 FAIRWAY VIEW DR</t>
        </is>
      </c>
      <c r="B84" s="1178" t="inlineStr">
        <is>
          <t>FUQUAY-VARINA</t>
        </is>
      </c>
      <c r="C84" s="1178" t="inlineStr">
        <is>
          <t>NORTH CAROLINA</t>
        </is>
      </c>
      <c r="D84" s="1178" t="inlineStr">
        <is>
          <t>27526</t>
        </is>
      </c>
      <c r="E84" s="1178" t="inlineStr"/>
      <c r="F84" s="1178" t="inlineStr">
        <is>
          <t>RES-SFU</t>
        </is>
      </c>
      <c r="G84" s="1178" t="inlineStr">
        <is>
          <t>BURIED</t>
        </is>
      </c>
      <c r="H84" s="1178" t="inlineStr">
        <is>
          <t>Y</t>
        </is>
      </c>
      <c r="I84" s="1178" t="inlineStr"/>
      <c r="J84" s="1179" t="n">
        <v>1</v>
      </c>
      <c r="K84" s="1179" t="n">
        <v>0</v>
      </c>
    </row>
    <row r="85" ht="15.75" customHeight="1" s="955" thickBot="1">
      <c r="A85" s="1180" t="inlineStr">
        <is>
          <t>3824 FAIRWAY VIEW DR</t>
        </is>
      </c>
      <c r="B85" s="1180" t="inlineStr">
        <is>
          <t>FUQUAY-VARINA</t>
        </is>
      </c>
      <c r="C85" s="1180" t="inlineStr">
        <is>
          <t>NORTH CAROLINA</t>
        </is>
      </c>
      <c r="D85" s="1180" t="inlineStr">
        <is>
          <t>27526</t>
        </is>
      </c>
      <c r="E85" s="1180" t="inlineStr"/>
      <c r="F85" s="1180" t="inlineStr">
        <is>
          <t>RES-SFU</t>
        </is>
      </c>
      <c r="G85" s="1180" t="inlineStr">
        <is>
          <t>BURIED</t>
        </is>
      </c>
      <c r="H85" s="1180" t="inlineStr">
        <is>
          <t>Y</t>
        </is>
      </c>
      <c r="I85" s="1180" t="inlineStr"/>
      <c r="J85" s="1181" t="n">
        <v>1</v>
      </c>
      <c r="K85" s="1181" t="n">
        <v>0</v>
      </c>
    </row>
    <row r="86" ht="15.75" customHeight="1" s="955" thickTop="1">
      <c r="A86" s="1178" t="inlineStr">
        <is>
          <t>3825 FAIRWAY VIEW DR</t>
        </is>
      </c>
      <c r="B86" s="1178" t="inlineStr">
        <is>
          <t>FUQUAY-VARINA</t>
        </is>
      </c>
      <c r="C86" s="1178" t="inlineStr">
        <is>
          <t>NORTH CAROLINA</t>
        </is>
      </c>
      <c r="D86" s="1178" t="inlineStr">
        <is>
          <t>27526</t>
        </is>
      </c>
      <c r="E86" s="1178" t="inlineStr"/>
      <c r="F86" s="1178" t="inlineStr">
        <is>
          <t>RES-SFU</t>
        </is>
      </c>
      <c r="G86" s="1178" t="inlineStr">
        <is>
          <t>BURIED</t>
        </is>
      </c>
      <c r="H86" s="1178" t="inlineStr">
        <is>
          <t>Y</t>
        </is>
      </c>
      <c r="I86" s="1178" t="inlineStr"/>
      <c r="J86" s="1179" t="n">
        <v>1</v>
      </c>
      <c r="K86" s="1179" t="n">
        <v>0</v>
      </c>
    </row>
    <row r="87">
      <c r="A87" s="1178" t="inlineStr">
        <is>
          <t>3828 FAIRWAY VIEW DR</t>
        </is>
      </c>
      <c r="B87" s="1178" t="inlineStr">
        <is>
          <t>FUQUAY-VARINA</t>
        </is>
      </c>
      <c r="C87" s="1178" t="inlineStr">
        <is>
          <t>NORTH CAROLINA</t>
        </is>
      </c>
      <c r="D87" s="1178" t="inlineStr">
        <is>
          <t>27526</t>
        </is>
      </c>
      <c r="E87" s="1178" t="inlineStr"/>
      <c r="F87" s="1178" t="inlineStr">
        <is>
          <t>RES-SFU</t>
        </is>
      </c>
      <c r="G87" s="1178" t="inlineStr">
        <is>
          <t>BURIED</t>
        </is>
      </c>
      <c r="H87" s="1178" t="inlineStr">
        <is>
          <t>Y</t>
        </is>
      </c>
      <c r="I87" s="1178" t="inlineStr"/>
      <c r="J87" s="1179" t="n">
        <v>1</v>
      </c>
      <c r="K87" s="1179" t="n">
        <v>0</v>
      </c>
    </row>
    <row r="88">
      <c r="A88" s="1178" t="inlineStr">
        <is>
          <t>3832 FAIRWAY VIEW DR</t>
        </is>
      </c>
      <c r="B88" s="1178" t="inlineStr">
        <is>
          <t>FUQUAY-VARINA</t>
        </is>
      </c>
      <c r="C88" s="1178" t="inlineStr">
        <is>
          <t>NORTH CAROLINA</t>
        </is>
      </c>
      <c r="D88" s="1178" t="inlineStr">
        <is>
          <t>27526</t>
        </is>
      </c>
      <c r="E88" s="1178" t="inlineStr"/>
      <c r="F88" s="1178" t="inlineStr">
        <is>
          <t>RES-SFU</t>
        </is>
      </c>
      <c r="G88" s="1178" t="inlineStr">
        <is>
          <t>BURIED</t>
        </is>
      </c>
      <c r="H88" s="1178" t="inlineStr">
        <is>
          <t>Y</t>
        </is>
      </c>
      <c r="I88" s="1178" t="inlineStr"/>
      <c r="J88" s="1179" t="n">
        <v>1</v>
      </c>
      <c r="K88" s="1179" t="n">
        <v>0</v>
      </c>
    </row>
    <row r="89">
      <c r="A89" s="1178" t="inlineStr">
        <is>
          <t>4700 BENTCREEK DR</t>
        </is>
      </c>
      <c r="B89" s="1178" t="inlineStr">
        <is>
          <t>FUQUAY-VARINA</t>
        </is>
      </c>
      <c r="C89" s="1178" t="inlineStr">
        <is>
          <t>NORTH CAROLINA</t>
        </is>
      </c>
      <c r="D89" s="1178" t="inlineStr">
        <is>
          <t>27526</t>
        </is>
      </c>
      <c r="E89" s="1178" t="inlineStr"/>
      <c r="F89" s="1178" t="inlineStr">
        <is>
          <t>RES-SFU</t>
        </is>
      </c>
      <c r="G89" s="1178" t="inlineStr">
        <is>
          <t>BURIED</t>
        </is>
      </c>
      <c r="H89" s="1178" t="inlineStr">
        <is>
          <t>Y</t>
        </is>
      </c>
      <c r="I89" s="1178" t="inlineStr"/>
      <c r="J89" s="1179" t="n">
        <v>1</v>
      </c>
      <c r="K89" s="1179" t="n">
        <v>0</v>
      </c>
    </row>
    <row r="90">
      <c r="A90" s="1178" t="inlineStr">
        <is>
          <t>4701 BENTCREEK DR</t>
        </is>
      </c>
      <c r="B90" s="1178" t="inlineStr">
        <is>
          <t>FUQUAY-VARINA</t>
        </is>
      </c>
      <c r="C90" s="1178" t="inlineStr">
        <is>
          <t>NORTH CAROLINA</t>
        </is>
      </c>
      <c r="D90" s="1178" t="inlineStr">
        <is>
          <t>27526</t>
        </is>
      </c>
      <c r="E90" s="1178" t="inlineStr"/>
      <c r="F90" s="1178" t="inlineStr">
        <is>
          <t>RES-SFU</t>
        </is>
      </c>
      <c r="G90" s="1178" t="inlineStr">
        <is>
          <t>BURIED</t>
        </is>
      </c>
      <c r="H90" s="1178" t="inlineStr">
        <is>
          <t>Y</t>
        </is>
      </c>
      <c r="I90" s="1178" t="inlineStr"/>
      <c r="J90" s="1179" t="n">
        <v>1</v>
      </c>
      <c r="K90" s="1179" t="n">
        <v>0</v>
      </c>
    </row>
    <row r="91">
      <c r="A91" s="1178" t="inlineStr">
        <is>
          <t>4704 BENTCREEK DR</t>
        </is>
      </c>
      <c r="B91" s="1178" t="inlineStr">
        <is>
          <t>FUQUAY-VARINA</t>
        </is>
      </c>
      <c r="C91" s="1178" t="inlineStr">
        <is>
          <t>NORTH CAROLINA</t>
        </is>
      </c>
      <c r="D91" s="1178" t="inlineStr">
        <is>
          <t>27526</t>
        </is>
      </c>
      <c r="E91" s="1178" t="inlineStr"/>
      <c r="F91" s="1178" t="inlineStr">
        <is>
          <t>RES-SFU</t>
        </is>
      </c>
      <c r="G91" s="1178" t="inlineStr">
        <is>
          <t>BURIED</t>
        </is>
      </c>
      <c r="H91" s="1178" t="inlineStr">
        <is>
          <t>Y</t>
        </is>
      </c>
      <c r="I91" s="1178" t="inlineStr"/>
      <c r="J91" s="1179" t="n">
        <v>1</v>
      </c>
      <c r="K91" s="1179" t="n">
        <v>0</v>
      </c>
    </row>
    <row r="92">
      <c r="A92" s="1178" t="inlineStr">
        <is>
          <t>4705 BENTCREEK DR</t>
        </is>
      </c>
      <c r="B92" s="1178" t="inlineStr">
        <is>
          <t>FUQUAY-VARINA</t>
        </is>
      </c>
      <c r="C92" s="1178" t="inlineStr">
        <is>
          <t>NORTH CAROLINA</t>
        </is>
      </c>
      <c r="D92" s="1178" t="inlineStr">
        <is>
          <t>27526</t>
        </is>
      </c>
      <c r="E92" s="1178" t="inlineStr"/>
      <c r="F92" s="1178" t="inlineStr">
        <is>
          <t>RES-SFU</t>
        </is>
      </c>
      <c r="G92" s="1178" t="inlineStr">
        <is>
          <t>BURIED</t>
        </is>
      </c>
      <c r="H92" s="1178" t="inlineStr">
        <is>
          <t>Y</t>
        </is>
      </c>
      <c r="I92" s="1178" t="inlineStr"/>
      <c r="J92" s="1179" t="n">
        <v>1</v>
      </c>
      <c r="K92" s="1179" t="n">
        <v>0</v>
      </c>
    </row>
    <row r="93">
      <c r="A93" s="1178" t="inlineStr">
        <is>
          <t>4708 BENTCREEK DR</t>
        </is>
      </c>
      <c r="B93" s="1178" t="inlineStr">
        <is>
          <t>FUQUAY-VARINA</t>
        </is>
      </c>
      <c r="C93" s="1178" t="inlineStr">
        <is>
          <t>NORTH CAROLINA</t>
        </is>
      </c>
      <c r="D93" s="1178" t="inlineStr">
        <is>
          <t>27526</t>
        </is>
      </c>
      <c r="E93" s="1178" t="inlineStr"/>
      <c r="F93" s="1178" t="inlineStr">
        <is>
          <t>RES-SFU</t>
        </is>
      </c>
      <c r="G93" s="1178" t="inlineStr">
        <is>
          <t>BURIED</t>
        </is>
      </c>
      <c r="H93" s="1178" t="inlineStr">
        <is>
          <t>Y</t>
        </is>
      </c>
      <c r="I93" s="1178" t="inlineStr"/>
      <c r="J93" s="1179" t="n">
        <v>1</v>
      </c>
      <c r="K93" s="1179" t="n">
        <v>0</v>
      </c>
    </row>
    <row r="94">
      <c r="A94" s="1178" t="inlineStr">
        <is>
          <t>4709 BENTCREEK DR</t>
        </is>
      </c>
      <c r="B94" s="1178" t="inlineStr">
        <is>
          <t>FUQUAY-VARINA</t>
        </is>
      </c>
      <c r="C94" s="1178" t="inlineStr">
        <is>
          <t>NORTH CAROLINA</t>
        </is>
      </c>
      <c r="D94" s="1178" t="inlineStr">
        <is>
          <t>27526</t>
        </is>
      </c>
      <c r="E94" s="1178" t="inlineStr"/>
      <c r="F94" s="1178" t="inlineStr">
        <is>
          <t>RES-SFU</t>
        </is>
      </c>
      <c r="G94" s="1178" t="inlineStr">
        <is>
          <t>BURIED</t>
        </is>
      </c>
      <c r="H94" s="1178" t="inlineStr">
        <is>
          <t>Y</t>
        </is>
      </c>
      <c r="I94" s="1178" t="inlineStr"/>
      <c r="J94" s="1179" t="n">
        <v>1</v>
      </c>
      <c r="K94" s="1179" t="n">
        <v>0</v>
      </c>
    </row>
    <row r="95">
      <c r="A95" s="1178" t="inlineStr">
        <is>
          <t>4712 BENTCREEK DR</t>
        </is>
      </c>
      <c r="B95" s="1178" t="inlineStr">
        <is>
          <t>FUQUAY-VARINA</t>
        </is>
      </c>
      <c r="C95" s="1178" t="inlineStr">
        <is>
          <t>NORTH CAROLINA</t>
        </is>
      </c>
      <c r="D95" s="1178" t="inlineStr">
        <is>
          <t>27526</t>
        </is>
      </c>
      <c r="E95" s="1178" t="inlineStr"/>
      <c r="F95" s="1178" t="inlineStr">
        <is>
          <t>RES-SFU</t>
        </is>
      </c>
      <c r="G95" s="1178" t="inlineStr">
        <is>
          <t>BURIED</t>
        </is>
      </c>
      <c r="H95" s="1178" t="inlineStr">
        <is>
          <t>Y</t>
        </is>
      </c>
      <c r="I95" s="1178" t="inlineStr"/>
      <c r="J95" s="1179" t="n">
        <v>1</v>
      </c>
      <c r="K95" s="1179" t="n">
        <v>0</v>
      </c>
    </row>
    <row r="96">
      <c r="A96" s="1178" t="inlineStr">
        <is>
          <t>4713 BENTCREEK DR</t>
        </is>
      </c>
      <c r="B96" s="1178" t="inlineStr">
        <is>
          <t>FUQUAY-VARINA</t>
        </is>
      </c>
      <c r="C96" s="1178" t="inlineStr">
        <is>
          <t>NORTH CAROLINA</t>
        </is>
      </c>
      <c r="D96" s="1178" t="inlineStr">
        <is>
          <t>27526</t>
        </is>
      </c>
      <c r="E96" s="1178" t="inlineStr"/>
      <c r="F96" s="1178" t="inlineStr">
        <is>
          <t>RES-SFU</t>
        </is>
      </c>
      <c r="G96" s="1178" t="inlineStr">
        <is>
          <t>BURIED</t>
        </is>
      </c>
      <c r="H96" s="1178" t="inlineStr">
        <is>
          <t>Y</t>
        </is>
      </c>
      <c r="I96" s="1178" t="inlineStr"/>
      <c r="J96" s="1179" t="n">
        <v>1</v>
      </c>
      <c r="K96" s="1179" t="n">
        <v>0</v>
      </c>
    </row>
    <row r="97" ht="15.75" customHeight="1" s="955" thickBot="1">
      <c r="A97" s="1180" t="inlineStr">
        <is>
          <t>4716 BENTCREEK DR</t>
        </is>
      </c>
      <c r="B97" s="1180" t="inlineStr">
        <is>
          <t>FUQUAY-VARINA</t>
        </is>
      </c>
      <c r="C97" s="1180" t="inlineStr">
        <is>
          <t>NORTH CAROLINA</t>
        </is>
      </c>
      <c r="D97" s="1180" t="inlineStr">
        <is>
          <t>27526</t>
        </is>
      </c>
      <c r="E97" s="1180" t="inlineStr"/>
      <c r="F97" s="1180" t="inlineStr">
        <is>
          <t>RES-SFU</t>
        </is>
      </c>
      <c r="G97" s="1180" t="inlineStr">
        <is>
          <t>BURIED</t>
        </is>
      </c>
      <c r="H97" s="1180" t="inlineStr">
        <is>
          <t>Y</t>
        </is>
      </c>
      <c r="I97" s="1180" t="inlineStr"/>
      <c r="J97" s="1181" t="n">
        <v>1</v>
      </c>
      <c r="K97" s="1181" t="n">
        <v>0</v>
      </c>
    </row>
    <row r="98" ht="15.75" customHeight="1" s="955" thickTop="1">
      <c r="A98" s="1178" t="inlineStr">
        <is>
          <t>4717 BENTCREEK DR</t>
        </is>
      </c>
      <c r="B98" s="1178" t="inlineStr">
        <is>
          <t>FUQUAY-VARINA</t>
        </is>
      </c>
      <c r="C98" s="1178" t="inlineStr">
        <is>
          <t>NORTH CAROLINA</t>
        </is>
      </c>
      <c r="D98" s="1178" t="inlineStr">
        <is>
          <t>27526</t>
        </is>
      </c>
      <c r="E98" s="1178" t="inlineStr"/>
      <c r="F98" s="1178" t="inlineStr">
        <is>
          <t>RES-SFU</t>
        </is>
      </c>
      <c r="G98" s="1178" t="inlineStr">
        <is>
          <t>BURIED</t>
        </is>
      </c>
      <c r="H98" s="1178" t="inlineStr">
        <is>
          <t>Y</t>
        </is>
      </c>
      <c r="I98" s="1178" t="inlineStr"/>
      <c r="J98" s="1179" t="n">
        <v>1</v>
      </c>
      <c r="K98" s="1179" t="n">
        <v>0</v>
      </c>
    </row>
    <row r="99">
      <c r="A99" s="1178" t="inlineStr">
        <is>
          <t>4720 BENTCREEK DR</t>
        </is>
      </c>
      <c r="B99" s="1178" t="inlineStr">
        <is>
          <t>FUQUAY-VARINA</t>
        </is>
      </c>
      <c r="C99" s="1178" t="inlineStr">
        <is>
          <t>NORTH CAROLINA</t>
        </is>
      </c>
      <c r="D99" s="1178" t="inlineStr">
        <is>
          <t>27526</t>
        </is>
      </c>
      <c r="E99" s="1178" t="inlineStr"/>
      <c r="F99" s="1178" t="inlineStr">
        <is>
          <t>RES-SFU</t>
        </is>
      </c>
      <c r="G99" s="1178" t="inlineStr">
        <is>
          <t>BURIED</t>
        </is>
      </c>
      <c r="H99" s="1178" t="inlineStr">
        <is>
          <t>Y</t>
        </is>
      </c>
      <c r="I99" s="1178" t="inlineStr"/>
      <c r="J99" s="1179" t="n">
        <v>1</v>
      </c>
      <c r="K99" s="1179" t="n">
        <v>0</v>
      </c>
    </row>
    <row r="100">
      <c r="A100" s="1178" t="inlineStr">
        <is>
          <t>4721 BENTCREEK DR</t>
        </is>
      </c>
      <c r="B100" s="1178" t="inlineStr">
        <is>
          <t>FUQUAY-VARINA</t>
        </is>
      </c>
      <c r="C100" s="1178" t="inlineStr">
        <is>
          <t>NORTH CAROLINA</t>
        </is>
      </c>
      <c r="D100" s="1178" t="inlineStr">
        <is>
          <t>27526</t>
        </is>
      </c>
      <c r="E100" s="1178" t="inlineStr"/>
      <c r="F100" s="1178" t="inlineStr">
        <is>
          <t>RES-SFU</t>
        </is>
      </c>
      <c r="G100" s="1178" t="inlineStr">
        <is>
          <t>BURIED</t>
        </is>
      </c>
      <c r="H100" s="1178" t="inlineStr">
        <is>
          <t>Y</t>
        </is>
      </c>
      <c r="I100" s="1178" t="inlineStr"/>
      <c r="J100" s="1179" t="n">
        <v>1</v>
      </c>
      <c r="K100" s="1179" t="n">
        <v>0</v>
      </c>
    </row>
    <row r="101">
      <c r="A101" s="1178" t="inlineStr">
        <is>
          <t>4800 BENTCREEK DR</t>
        </is>
      </c>
      <c r="B101" s="1178" t="inlineStr">
        <is>
          <t>FUQUAY-VARINA</t>
        </is>
      </c>
      <c r="C101" s="1178" t="inlineStr">
        <is>
          <t>NORTH CAROLINA</t>
        </is>
      </c>
      <c r="D101" s="1178" t="inlineStr">
        <is>
          <t>27526</t>
        </is>
      </c>
      <c r="E101" s="1178" t="inlineStr"/>
      <c r="F101" s="1178" t="inlineStr">
        <is>
          <t>RES-SFU</t>
        </is>
      </c>
      <c r="G101" s="1178" t="inlineStr">
        <is>
          <t>BURIED</t>
        </is>
      </c>
      <c r="H101" s="1178" t="inlineStr">
        <is>
          <t>Y</t>
        </is>
      </c>
      <c r="I101" s="1178" t="inlineStr"/>
      <c r="J101" s="1179" t="n">
        <v>1</v>
      </c>
      <c r="K101" s="1179" t="n">
        <v>0</v>
      </c>
    </row>
    <row r="102">
      <c r="A102" s="1178" t="inlineStr">
        <is>
          <t>4801 BENTCREEK DR</t>
        </is>
      </c>
      <c r="B102" s="1178" t="inlineStr">
        <is>
          <t>FUQUAY-VARINA</t>
        </is>
      </c>
      <c r="C102" s="1178" t="inlineStr">
        <is>
          <t>NORTH CAROLINA</t>
        </is>
      </c>
      <c r="D102" s="1178" t="inlineStr">
        <is>
          <t>27526</t>
        </is>
      </c>
      <c r="E102" s="1178" t="inlineStr"/>
      <c r="F102" s="1178" t="inlineStr">
        <is>
          <t>RES-SFU</t>
        </is>
      </c>
      <c r="G102" s="1178" t="inlineStr">
        <is>
          <t>BURIED</t>
        </is>
      </c>
      <c r="H102" s="1178" t="inlineStr">
        <is>
          <t>Y</t>
        </is>
      </c>
      <c r="I102" s="1178" t="inlineStr"/>
      <c r="J102" s="1179" t="n">
        <v>1</v>
      </c>
      <c r="K102" s="1179" t="n">
        <v>0</v>
      </c>
    </row>
    <row r="103">
      <c r="A103" s="1178" t="inlineStr">
        <is>
          <t>4804 BENTCREEK DR</t>
        </is>
      </c>
      <c r="B103" s="1178" t="inlineStr">
        <is>
          <t>FUQUAY-VARINA</t>
        </is>
      </c>
      <c r="C103" s="1178" t="inlineStr">
        <is>
          <t>NORTH CAROLINA</t>
        </is>
      </c>
      <c r="D103" s="1178" t="inlineStr">
        <is>
          <t>27526</t>
        </is>
      </c>
      <c r="E103" s="1178" t="inlineStr"/>
      <c r="F103" s="1178" t="inlineStr">
        <is>
          <t>RES-SFU</t>
        </is>
      </c>
      <c r="G103" s="1178" t="inlineStr">
        <is>
          <t>BURIED</t>
        </is>
      </c>
      <c r="H103" s="1178" t="inlineStr">
        <is>
          <t>Y</t>
        </is>
      </c>
      <c r="I103" s="1178" t="inlineStr"/>
      <c r="J103" s="1179" t="n">
        <v>1</v>
      </c>
      <c r="K103" s="1179" t="n">
        <v>0</v>
      </c>
    </row>
    <row r="104">
      <c r="A104" s="1178" t="inlineStr">
        <is>
          <t>4805 BENTCREEK DR</t>
        </is>
      </c>
      <c r="B104" s="1178" t="inlineStr">
        <is>
          <t>FUQUAY-VARINA</t>
        </is>
      </c>
      <c r="C104" s="1178" t="inlineStr">
        <is>
          <t>NORTH CAROLINA</t>
        </is>
      </c>
      <c r="D104" s="1178" t="inlineStr">
        <is>
          <t>27526</t>
        </is>
      </c>
      <c r="E104" s="1178" t="inlineStr"/>
      <c r="F104" s="1178" t="inlineStr">
        <is>
          <t>RES-SFU</t>
        </is>
      </c>
      <c r="G104" s="1178" t="inlineStr">
        <is>
          <t>BURIED</t>
        </is>
      </c>
      <c r="H104" s="1178" t="inlineStr">
        <is>
          <t>Y</t>
        </is>
      </c>
      <c r="I104" s="1178" t="inlineStr"/>
      <c r="J104" s="1179" t="n">
        <v>1</v>
      </c>
      <c r="K104" s="1179" t="n">
        <v>0</v>
      </c>
    </row>
    <row r="105">
      <c r="A105" s="1178" t="inlineStr">
        <is>
          <t>4805 FRANKIE RD</t>
        </is>
      </c>
      <c r="B105" s="1178" t="inlineStr">
        <is>
          <t>FUQUAY-VARINA</t>
        </is>
      </c>
      <c r="C105" s="1178" t="inlineStr">
        <is>
          <t>NORTH CAROLINA</t>
        </is>
      </c>
      <c r="D105" s="1178" t="inlineStr">
        <is>
          <t>27526</t>
        </is>
      </c>
      <c r="E105" s="1178" t="inlineStr"/>
      <c r="F105" s="1178" t="inlineStr">
        <is>
          <t>RES-SFU</t>
        </is>
      </c>
      <c r="G105" s="1178" t="inlineStr">
        <is>
          <t>BURIED</t>
        </is>
      </c>
      <c r="H105" s="1178" t="inlineStr">
        <is>
          <t>Y</t>
        </is>
      </c>
      <c r="I105" s="1178" t="inlineStr"/>
      <c r="J105" s="1179" t="n">
        <v>1</v>
      </c>
      <c r="K105" s="1179" t="n">
        <v>0</v>
      </c>
    </row>
    <row r="106">
      <c r="A106" s="1178" t="inlineStr">
        <is>
          <t>4808 BENTCREEK DR</t>
        </is>
      </c>
      <c r="B106" s="1178" t="inlineStr">
        <is>
          <t>FUQUAY-VARINA</t>
        </is>
      </c>
      <c r="C106" s="1178" t="inlineStr">
        <is>
          <t>NORTH CAROLINA</t>
        </is>
      </c>
      <c r="D106" s="1178" t="inlineStr">
        <is>
          <t>27526</t>
        </is>
      </c>
      <c r="E106" s="1178" t="inlineStr"/>
      <c r="F106" s="1178" t="inlineStr">
        <is>
          <t>RES-SFU</t>
        </is>
      </c>
      <c r="G106" s="1178" t="inlineStr">
        <is>
          <t>BURIED</t>
        </is>
      </c>
      <c r="H106" s="1178" t="inlineStr">
        <is>
          <t>Y</t>
        </is>
      </c>
      <c r="I106" s="1178" t="inlineStr"/>
      <c r="J106" s="1179" t="n">
        <v>1</v>
      </c>
      <c r="K106" s="1179" t="n">
        <v>0</v>
      </c>
    </row>
    <row r="107">
      <c r="A107" s="1178" t="inlineStr">
        <is>
          <t>4808 FRANKIE RD</t>
        </is>
      </c>
      <c r="B107" s="1178" t="inlineStr">
        <is>
          <t>FUQUAY-VARINA</t>
        </is>
      </c>
      <c r="C107" s="1178" t="inlineStr">
        <is>
          <t>NORTH CAROLINA</t>
        </is>
      </c>
      <c r="D107" s="1178" t="inlineStr">
        <is>
          <t>27526</t>
        </is>
      </c>
      <c r="E107" s="1178" t="inlineStr"/>
      <c r="F107" s="1178" t="inlineStr">
        <is>
          <t>RES-SFU</t>
        </is>
      </c>
      <c r="G107" s="1178" t="inlineStr">
        <is>
          <t>BURIED</t>
        </is>
      </c>
      <c r="H107" s="1178" t="inlineStr">
        <is>
          <t>Y</t>
        </is>
      </c>
      <c r="I107" s="1178" t="inlineStr"/>
      <c r="J107" s="1179" t="n">
        <v>1</v>
      </c>
      <c r="K107" s="1179" t="n">
        <v>0</v>
      </c>
    </row>
    <row r="108">
      <c r="A108" s="1178" t="inlineStr">
        <is>
          <t>4809 BENTCREEK DR</t>
        </is>
      </c>
      <c r="B108" s="1178" t="inlineStr">
        <is>
          <t>FUQUAY-VARINA</t>
        </is>
      </c>
      <c r="C108" s="1178" t="inlineStr">
        <is>
          <t>NORTH CAROLINA</t>
        </is>
      </c>
      <c r="D108" s="1178" t="inlineStr">
        <is>
          <t>27526</t>
        </is>
      </c>
      <c r="E108" s="1178" t="inlineStr"/>
      <c r="F108" s="1178" t="inlineStr">
        <is>
          <t>RES-SFU</t>
        </is>
      </c>
      <c r="G108" s="1178" t="inlineStr">
        <is>
          <t>BURIED</t>
        </is>
      </c>
      <c r="H108" s="1178" t="inlineStr">
        <is>
          <t>Y</t>
        </is>
      </c>
      <c r="I108" s="1178" t="inlineStr"/>
      <c r="J108" s="1179" t="n">
        <v>1</v>
      </c>
      <c r="K108" s="1179" t="n">
        <v>0</v>
      </c>
    </row>
    <row r="109" ht="15.75" customHeight="1" s="955" thickBot="1">
      <c r="A109" s="1180" t="inlineStr">
        <is>
          <t>4809 FRANKIE RD</t>
        </is>
      </c>
      <c r="B109" s="1180" t="inlineStr">
        <is>
          <t>FUQUAY-VARINA</t>
        </is>
      </c>
      <c r="C109" s="1180" t="inlineStr">
        <is>
          <t>NORTH CAROLINA</t>
        </is>
      </c>
      <c r="D109" s="1180" t="inlineStr">
        <is>
          <t>27526</t>
        </is>
      </c>
      <c r="E109" s="1180" t="inlineStr"/>
      <c r="F109" s="1180" t="inlineStr">
        <is>
          <t>RES-SFU</t>
        </is>
      </c>
      <c r="G109" s="1180" t="inlineStr">
        <is>
          <t>BURIED</t>
        </is>
      </c>
      <c r="H109" s="1180" t="inlineStr">
        <is>
          <t>Y</t>
        </is>
      </c>
      <c r="I109" s="1180" t="inlineStr"/>
      <c r="J109" s="1181" t="n">
        <v>1</v>
      </c>
      <c r="K109" s="1181" t="n">
        <v>0</v>
      </c>
    </row>
    <row r="110" ht="15.75" customHeight="1" s="955" thickTop="1">
      <c r="A110" s="1178" t="inlineStr">
        <is>
          <t>4812 BENTCREEK DR</t>
        </is>
      </c>
      <c r="B110" s="1178" t="inlineStr">
        <is>
          <t>FUQUAY-VARINA</t>
        </is>
      </c>
      <c r="C110" s="1178" t="inlineStr">
        <is>
          <t>NORTH CAROLINA</t>
        </is>
      </c>
      <c r="D110" s="1178" t="inlineStr">
        <is>
          <t>27526</t>
        </is>
      </c>
      <c r="E110" s="1178" t="inlineStr"/>
      <c r="F110" s="1178" t="inlineStr">
        <is>
          <t>RES-SFU</t>
        </is>
      </c>
      <c r="G110" s="1178" t="inlineStr">
        <is>
          <t>BURIED</t>
        </is>
      </c>
      <c r="H110" s="1178" t="inlineStr">
        <is>
          <t>Y</t>
        </is>
      </c>
      <c r="I110" s="1178" t="inlineStr"/>
      <c r="J110" s="1179" t="n">
        <v>1</v>
      </c>
      <c r="K110" s="1179" t="n">
        <v>0</v>
      </c>
    </row>
    <row r="111">
      <c r="A111" s="1178" t="inlineStr">
        <is>
          <t>4812 FRANKIE RD</t>
        </is>
      </c>
      <c r="B111" s="1178" t="inlineStr">
        <is>
          <t>FUQUAY-VARINA</t>
        </is>
      </c>
      <c r="C111" s="1178" t="inlineStr">
        <is>
          <t>NORTH CAROLINA</t>
        </is>
      </c>
      <c r="D111" s="1178" t="inlineStr">
        <is>
          <t>27526</t>
        </is>
      </c>
      <c r="E111" s="1178" t="inlineStr"/>
      <c r="F111" s="1178" t="inlineStr">
        <is>
          <t>RES-SFU</t>
        </is>
      </c>
      <c r="G111" s="1178" t="inlineStr">
        <is>
          <t>BURIED</t>
        </is>
      </c>
      <c r="H111" s="1178" t="inlineStr">
        <is>
          <t>Y</t>
        </is>
      </c>
      <c r="I111" s="1178" t="inlineStr"/>
      <c r="J111" s="1179" t="n">
        <v>1</v>
      </c>
      <c r="K111" s="1179" t="n">
        <v>0</v>
      </c>
    </row>
    <row r="112">
      <c r="A112" s="1178" t="inlineStr">
        <is>
          <t>4813 BENTCREEK DR</t>
        </is>
      </c>
      <c r="B112" s="1178" t="inlineStr">
        <is>
          <t>FUQUAY-VARINA</t>
        </is>
      </c>
      <c r="C112" s="1178" t="inlineStr">
        <is>
          <t>NORTH CAROLINA</t>
        </is>
      </c>
      <c r="D112" s="1178" t="inlineStr">
        <is>
          <t>27526</t>
        </is>
      </c>
      <c r="E112" s="1178" t="inlineStr"/>
      <c r="F112" s="1178" t="inlineStr">
        <is>
          <t>RES-SFU</t>
        </is>
      </c>
      <c r="G112" s="1178" t="inlineStr">
        <is>
          <t>BURIED</t>
        </is>
      </c>
      <c r="H112" s="1178" t="inlineStr">
        <is>
          <t>Y</t>
        </is>
      </c>
      <c r="I112" s="1178" t="inlineStr"/>
      <c r="J112" s="1179" t="n">
        <v>1</v>
      </c>
      <c r="K112" s="1179" t="n">
        <v>0</v>
      </c>
    </row>
    <row r="113">
      <c r="A113" s="1178" t="inlineStr">
        <is>
          <t>4813 FRANKIE RD</t>
        </is>
      </c>
      <c r="B113" s="1178" t="inlineStr">
        <is>
          <t>FUQUAY-VARINA</t>
        </is>
      </c>
      <c r="C113" s="1178" t="inlineStr">
        <is>
          <t>NORTH CAROLINA</t>
        </is>
      </c>
      <c r="D113" s="1178" t="inlineStr">
        <is>
          <t>27526</t>
        </is>
      </c>
      <c r="E113" s="1178" t="inlineStr"/>
      <c r="F113" s="1178" t="inlineStr">
        <is>
          <t>RES-SFU</t>
        </is>
      </c>
      <c r="G113" s="1178" t="inlineStr">
        <is>
          <t>BURIED</t>
        </is>
      </c>
      <c r="H113" s="1178" t="inlineStr">
        <is>
          <t>Y</t>
        </is>
      </c>
      <c r="I113" s="1178" t="inlineStr"/>
      <c r="J113" s="1179" t="n">
        <v>1</v>
      </c>
      <c r="K113" s="1179" t="n">
        <v>0</v>
      </c>
    </row>
    <row r="114">
      <c r="A114" s="1178" t="inlineStr">
        <is>
          <t>4816 BENTCREEK DR</t>
        </is>
      </c>
      <c r="B114" s="1178" t="inlineStr">
        <is>
          <t>FUQUAY-VARINA</t>
        </is>
      </c>
      <c r="C114" s="1178" t="inlineStr">
        <is>
          <t>NORTH CAROLINA</t>
        </is>
      </c>
      <c r="D114" s="1178" t="inlineStr">
        <is>
          <t>27526</t>
        </is>
      </c>
      <c r="E114" s="1178" t="inlineStr"/>
      <c r="F114" s="1178" t="inlineStr">
        <is>
          <t>RES-SFU</t>
        </is>
      </c>
      <c r="G114" s="1178" t="inlineStr">
        <is>
          <t>BURIED</t>
        </is>
      </c>
      <c r="H114" s="1178" t="inlineStr">
        <is>
          <t>Y</t>
        </is>
      </c>
      <c r="I114" s="1178" t="inlineStr"/>
      <c r="J114" s="1179" t="n">
        <v>1</v>
      </c>
      <c r="K114" s="1179" t="n">
        <v>0</v>
      </c>
    </row>
    <row r="115">
      <c r="A115" s="1178" t="inlineStr">
        <is>
          <t>4816 FRANKIE RD</t>
        </is>
      </c>
      <c r="B115" s="1178" t="inlineStr">
        <is>
          <t>FUQUAY-VARINA</t>
        </is>
      </c>
      <c r="C115" s="1178" t="inlineStr">
        <is>
          <t>NORTH CAROLINA</t>
        </is>
      </c>
      <c r="D115" s="1178" t="inlineStr">
        <is>
          <t>27526</t>
        </is>
      </c>
      <c r="E115" s="1178" t="inlineStr"/>
      <c r="F115" s="1178" t="inlineStr">
        <is>
          <t>RES-SFU</t>
        </is>
      </c>
      <c r="G115" s="1178" t="inlineStr">
        <is>
          <t>BURIED</t>
        </is>
      </c>
      <c r="H115" s="1178" t="inlineStr">
        <is>
          <t>Y</t>
        </is>
      </c>
      <c r="I115" s="1178" t="inlineStr"/>
      <c r="J115" s="1179" t="n">
        <v>1</v>
      </c>
      <c r="K115" s="1179" t="n">
        <v>0</v>
      </c>
    </row>
    <row r="116">
      <c r="A116" s="1178" t="inlineStr">
        <is>
          <t>4817 BENTCREEK DR</t>
        </is>
      </c>
      <c r="B116" s="1178" t="inlineStr">
        <is>
          <t>FUQUAY-VARINA</t>
        </is>
      </c>
      <c r="C116" s="1178" t="inlineStr">
        <is>
          <t>NORTH CAROLINA</t>
        </is>
      </c>
      <c r="D116" s="1178" t="inlineStr">
        <is>
          <t>27526</t>
        </is>
      </c>
      <c r="E116" s="1178" t="inlineStr"/>
      <c r="F116" s="1178" t="inlineStr">
        <is>
          <t>RES-SFU</t>
        </is>
      </c>
      <c r="G116" s="1178" t="inlineStr">
        <is>
          <t>BURIED</t>
        </is>
      </c>
      <c r="H116" s="1178" t="inlineStr">
        <is>
          <t>Y</t>
        </is>
      </c>
      <c r="I116" s="1178" t="inlineStr"/>
      <c r="J116" s="1179" t="n">
        <v>1</v>
      </c>
      <c r="K116" s="1179" t="n">
        <v>0</v>
      </c>
    </row>
    <row r="117">
      <c r="A117" s="1178" t="inlineStr">
        <is>
          <t>4817 FRANKIE RD</t>
        </is>
      </c>
      <c r="B117" s="1178" t="inlineStr">
        <is>
          <t>FUQUAY-VARINA</t>
        </is>
      </c>
      <c r="C117" s="1178" t="inlineStr">
        <is>
          <t>NORTH CAROLINA</t>
        </is>
      </c>
      <c r="D117" s="1178" t="inlineStr">
        <is>
          <t>27526</t>
        </is>
      </c>
      <c r="E117" s="1178" t="inlineStr"/>
      <c r="F117" s="1178" t="inlineStr">
        <is>
          <t>RES-SFU</t>
        </is>
      </c>
      <c r="G117" s="1178" t="inlineStr">
        <is>
          <t>BURIED</t>
        </is>
      </c>
      <c r="H117" s="1178" t="inlineStr">
        <is>
          <t>Y</t>
        </is>
      </c>
      <c r="I117" s="1178" t="inlineStr"/>
      <c r="J117" s="1179" t="n">
        <v>1</v>
      </c>
      <c r="K117" s="1179" t="n">
        <v>0</v>
      </c>
    </row>
    <row r="118">
      <c r="A118" s="1178" t="inlineStr">
        <is>
          <t>4820 FRANKIE RD</t>
        </is>
      </c>
      <c r="B118" s="1178" t="inlineStr">
        <is>
          <t>FUQUAY-VARINA</t>
        </is>
      </c>
      <c r="C118" s="1178" t="inlineStr">
        <is>
          <t>NORTH CAROLINA</t>
        </is>
      </c>
      <c r="D118" s="1178" t="inlineStr">
        <is>
          <t>27526</t>
        </is>
      </c>
      <c r="E118" s="1178" t="inlineStr"/>
      <c r="F118" s="1178" t="inlineStr">
        <is>
          <t>RES-SFU</t>
        </is>
      </c>
      <c r="G118" s="1178" t="inlineStr">
        <is>
          <t>BURIED</t>
        </is>
      </c>
      <c r="H118" s="1178" t="inlineStr">
        <is>
          <t>Y</t>
        </is>
      </c>
      <c r="I118" s="1178" t="inlineStr"/>
      <c r="J118" s="1179" t="n">
        <v>1</v>
      </c>
      <c r="K118" s="1179" t="n">
        <v>0</v>
      </c>
    </row>
    <row r="119">
      <c r="A119" s="1178" t="inlineStr">
        <is>
          <t>4821 BENTCREEK DR</t>
        </is>
      </c>
      <c r="B119" s="1178" t="inlineStr">
        <is>
          <t>FUQUAY-VARINA</t>
        </is>
      </c>
      <c r="C119" s="1178" t="inlineStr">
        <is>
          <t>NORTH CAROLINA</t>
        </is>
      </c>
      <c r="D119" s="1178" t="inlineStr">
        <is>
          <t>27526</t>
        </is>
      </c>
      <c r="E119" s="1178" t="inlineStr"/>
      <c r="F119" s="1178" t="inlineStr">
        <is>
          <t>RES-SFU</t>
        </is>
      </c>
      <c r="G119" s="1178" t="inlineStr">
        <is>
          <t>BURIED</t>
        </is>
      </c>
      <c r="H119" s="1178" t="inlineStr">
        <is>
          <t>Y</t>
        </is>
      </c>
      <c r="I119" s="1178" t="inlineStr"/>
      <c r="J119" s="1179" t="n">
        <v>1</v>
      </c>
      <c r="K119" s="1179" t="n">
        <v>0</v>
      </c>
    </row>
    <row r="120">
      <c r="A120" s="1178" t="inlineStr">
        <is>
          <t>4821 FRANKIE RD</t>
        </is>
      </c>
      <c r="B120" s="1178" t="inlineStr">
        <is>
          <t>FUQUAY-VARINA</t>
        </is>
      </c>
      <c r="C120" s="1178" t="inlineStr">
        <is>
          <t>NORTH CAROLINA</t>
        </is>
      </c>
      <c r="D120" s="1178" t="inlineStr">
        <is>
          <t>27526</t>
        </is>
      </c>
      <c r="E120" s="1178" t="inlineStr"/>
      <c r="F120" s="1178" t="inlineStr">
        <is>
          <t>RES-SFU</t>
        </is>
      </c>
      <c r="G120" s="1178" t="inlineStr">
        <is>
          <t>BURIED</t>
        </is>
      </c>
      <c r="H120" s="1178" t="inlineStr">
        <is>
          <t>Y</t>
        </is>
      </c>
      <c r="I120" s="1178" t="inlineStr"/>
      <c r="J120" s="1179" t="n">
        <v>1</v>
      </c>
      <c r="K120" s="1179" t="n">
        <v>0</v>
      </c>
    </row>
    <row r="121" ht="15.75" customHeight="1" s="955" thickBot="1">
      <c r="A121" s="1180" t="inlineStr">
        <is>
          <t>4824 FRANKIE RD</t>
        </is>
      </c>
      <c r="B121" s="1180" t="inlineStr">
        <is>
          <t>FUQUAY-VARINA</t>
        </is>
      </c>
      <c r="C121" s="1180" t="inlineStr">
        <is>
          <t>NORTH CAROLINA</t>
        </is>
      </c>
      <c r="D121" s="1180" t="inlineStr">
        <is>
          <t>27526</t>
        </is>
      </c>
      <c r="E121" s="1180" t="inlineStr"/>
      <c r="F121" s="1180" t="inlineStr">
        <is>
          <t>RES-SFU</t>
        </is>
      </c>
      <c r="G121" s="1180" t="inlineStr">
        <is>
          <t>BURIED</t>
        </is>
      </c>
      <c r="H121" s="1180" t="inlineStr">
        <is>
          <t>Y</t>
        </is>
      </c>
      <c r="I121" s="1180" t="inlineStr"/>
      <c r="J121" s="1181" t="n">
        <v>1</v>
      </c>
      <c r="K121" s="1181" t="n">
        <v>0</v>
      </c>
    </row>
    <row r="122" ht="15.75" customHeight="1" s="955" thickTop="1">
      <c r="A122" s="1178" t="inlineStr">
        <is>
          <t>4825 FRANKIE RD</t>
        </is>
      </c>
      <c r="B122" s="1178" t="inlineStr">
        <is>
          <t>FUQUAY-VARINA</t>
        </is>
      </c>
      <c r="C122" s="1178" t="inlineStr">
        <is>
          <t>NORTH CAROLINA</t>
        </is>
      </c>
      <c r="D122" s="1178" t="inlineStr">
        <is>
          <t>27526</t>
        </is>
      </c>
      <c r="E122" s="1178" t="inlineStr"/>
      <c r="F122" s="1178" t="inlineStr">
        <is>
          <t>RES-SFU</t>
        </is>
      </c>
      <c r="G122" s="1178" t="inlineStr">
        <is>
          <t>BURIED</t>
        </is>
      </c>
      <c r="H122" s="1178" t="inlineStr">
        <is>
          <t>Y</t>
        </is>
      </c>
      <c r="I122" s="1178" t="inlineStr"/>
      <c r="J122" s="1179" t="n">
        <v>1</v>
      </c>
      <c r="K122" s="1179" t="n">
        <v>0</v>
      </c>
    </row>
    <row r="123">
      <c r="A123" s="1178" t="inlineStr">
        <is>
          <t>4825 HILLTOP NEEDMORE RD</t>
        </is>
      </c>
      <c r="B123" s="1178" t="inlineStr">
        <is>
          <t>FUQUAY-VARINA</t>
        </is>
      </c>
      <c r="C123" s="1178" t="inlineStr">
        <is>
          <t>NORTH CAROLINA</t>
        </is>
      </c>
      <c r="D123" s="1178" t="inlineStr">
        <is>
          <t>27526</t>
        </is>
      </c>
      <c r="E123" s="1178" t="inlineStr"/>
      <c r="F123" s="1178" t="inlineStr">
        <is>
          <t>RES-SFU</t>
        </is>
      </c>
      <c r="G123" s="1178" t="inlineStr">
        <is>
          <t>BURIED</t>
        </is>
      </c>
      <c r="H123" s="1178" t="inlineStr">
        <is>
          <t>Y</t>
        </is>
      </c>
      <c r="I123" s="1178" t="inlineStr"/>
      <c r="J123" s="1179" t="n">
        <v>1</v>
      </c>
      <c r="K123" s="1179" t="n">
        <v>0</v>
      </c>
    </row>
    <row r="124">
      <c r="A124" s="1178" t="inlineStr">
        <is>
          <t>4828 FRANKIE RD</t>
        </is>
      </c>
      <c r="B124" s="1178" t="inlineStr">
        <is>
          <t>FUQUAY-VARINA</t>
        </is>
      </c>
      <c r="C124" s="1178" t="inlineStr">
        <is>
          <t>NORTH CAROLINA</t>
        </is>
      </c>
      <c r="D124" s="1178" t="inlineStr">
        <is>
          <t>27526</t>
        </is>
      </c>
      <c r="E124" s="1178" t="inlineStr"/>
      <c r="F124" s="1178" t="inlineStr">
        <is>
          <t>RES-SFU</t>
        </is>
      </c>
      <c r="G124" s="1178" t="inlineStr">
        <is>
          <t>BURIED</t>
        </is>
      </c>
      <c r="H124" s="1178" t="inlineStr">
        <is>
          <t>Y</t>
        </is>
      </c>
      <c r="I124" s="1178" t="inlineStr"/>
      <c r="J124" s="1179" t="n">
        <v>1</v>
      </c>
      <c r="K124" s="1179" t="n">
        <v>0</v>
      </c>
    </row>
    <row r="125">
      <c r="A125" s="1178" t="inlineStr">
        <is>
          <t>4829 FRANKIE RD</t>
        </is>
      </c>
      <c r="B125" s="1178" t="inlineStr">
        <is>
          <t>FUQUAY-VARINA</t>
        </is>
      </c>
      <c r="C125" s="1178" t="inlineStr">
        <is>
          <t>NORTH CAROLINA</t>
        </is>
      </c>
      <c r="D125" s="1178" t="inlineStr">
        <is>
          <t>27526</t>
        </is>
      </c>
      <c r="E125" s="1178" t="inlineStr"/>
      <c r="F125" s="1178" t="inlineStr">
        <is>
          <t>RES-SFU</t>
        </is>
      </c>
      <c r="G125" s="1178" t="inlineStr">
        <is>
          <t>BURIED</t>
        </is>
      </c>
      <c r="H125" s="1178" t="inlineStr">
        <is>
          <t>Y</t>
        </is>
      </c>
      <c r="I125" s="1178" t="inlineStr"/>
      <c r="J125" s="1179" t="n">
        <v>1</v>
      </c>
      <c r="K125" s="1179" t="n">
        <v>0</v>
      </c>
    </row>
    <row r="126">
      <c r="A126" s="1178" t="inlineStr">
        <is>
          <t>4832 FRANKIE RD</t>
        </is>
      </c>
      <c r="B126" s="1178" t="inlineStr">
        <is>
          <t>FUQUAY-VARINA</t>
        </is>
      </c>
      <c r="C126" s="1178" t="inlineStr">
        <is>
          <t>NORTH CAROLINA</t>
        </is>
      </c>
      <c r="D126" s="1178" t="inlineStr">
        <is>
          <t>27526</t>
        </is>
      </c>
      <c r="E126" s="1178" t="inlineStr"/>
      <c r="F126" s="1178" t="inlineStr">
        <is>
          <t>RES-SFU</t>
        </is>
      </c>
      <c r="G126" s="1178" t="inlineStr">
        <is>
          <t>BURIED</t>
        </is>
      </c>
      <c r="H126" s="1178" t="inlineStr">
        <is>
          <t>Y</t>
        </is>
      </c>
      <c r="I126" s="1178" t="inlineStr"/>
      <c r="J126" s="1179" t="n">
        <v>1</v>
      </c>
      <c r="K126" s="1179" t="n">
        <v>0</v>
      </c>
    </row>
    <row r="127">
      <c r="A127" s="1178" t="inlineStr">
        <is>
          <t>4833 FRANKIE RD</t>
        </is>
      </c>
      <c r="B127" s="1178" t="inlineStr">
        <is>
          <t>FUQUAY-VARINA</t>
        </is>
      </c>
      <c r="C127" s="1178" t="inlineStr">
        <is>
          <t>NORTH CAROLINA</t>
        </is>
      </c>
      <c r="D127" s="1178" t="inlineStr">
        <is>
          <t>27526</t>
        </is>
      </c>
      <c r="E127" s="1178" t="inlineStr"/>
      <c r="F127" s="1178" t="inlineStr">
        <is>
          <t>RES-SFU</t>
        </is>
      </c>
      <c r="G127" s="1178" t="inlineStr">
        <is>
          <t>BURIED</t>
        </is>
      </c>
      <c r="H127" s="1178" t="inlineStr">
        <is>
          <t>Y</t>
        </is>
      </c>
      <c r="I127" s="1178" t="inlineStr"/>
      <c r="J127" s="1179" t="n">
        <v>1</v>
      </c>
      <c r="K127" s="1179" t="n">
        <v>0</v>
      </c>
    </row>
    <row r="128">
      <c r="A128" s="1178" t="inlineStr">
        <is>
          <t>4836 FRANKIE RD</t>
        </is>
      </c>
      <c r="B128" s="1178" t="inlineStr">
        <is>
          <t>FUQUAY-VARINA</t>
        </is>
      </c>
      <c r="C128" s="1178" t="inlineStr">
        <is>
          <t>NORTH CAROLINA</t>
        </is>
      </c>
      <c r="D128" s="1178" t="inlineStr">
        <is>
          <t>27526</t>
        </is>
      </c>
      <c r="E128" s="1178" t="inlineStr"/>
      <c r="F128" s="1178" t="inlineStr">
        <is>
          <t>RES-SFU</t>
        </is>
      </c>
      <c r="G128" s="1178" t="inlineStr">
        <is>
          <t>BURIED</t>
        </is>
      </c>
      <c r="H128" s="1178" t="inlineStr">
        <is>
          <t>Y</t>
        </is>
      </c>
      <c r="I128" s="1178" t="inlineStr"/>
      <c r="J128" s="1179" t="n">
        <v>1</v>
      </c>
      <c r="K128" s="1179" t="n">
        <v>0</v>
      </c>
    </row>
    <row r="129">
      <c r="A129" s="1178" t="inlineStr">
        <is>
          <t>4837 FRANKIE RD</t>
        </is>
      </c>
      <c r="B129" s="1178" t="inlineStr">
        <is>
          <t>FUQUAY-VARINA</t>
        </is>
      </c>
      <c r="C129" s="1178" t="inlineStr">
        <is>
          <t>NORTH CAROLINA</t>
        </is>
      </c>
      <c r="D129" s="1178" t="inlineStr">
        <is>
          <t>27526</t>
        </is>
      </c>
      <c r="E129" s="1178" t="inlineStr"/>
      <c r="F129" s="1178" t="inlineStr">
        <is>
          <t>RES-SFU</t>
        </is>
      </c>
      <c r="G129" s="1178" t="inlineStr">
        <is>
          <t>BURIED</t>
        </is>
      </c>
      <c r="H129" s="1178" t="inlineStr">
        <is>
          <t>Y</t>
        </is>
      </c>
      <c r="I129" s="1178" t="inlineStr"/>
      <c r="J129" s="1179" t="n">
        <v>1</v>
      </c>
      <c r="K129" s="1179" t="n">
        <v>0</v>
      </c>
    </row>
    <row r="130">
      <c r="A130" s="1178" t="inlineStr">
        <is>
          <t>4840 FRANKIE RD</t>
        </is>
      </c>
      <c r="B130" s="1178" t="inlineStr">
        <is>
          <t>FUQUAY-VARINA</t>
        </is>
      </c>
      <c r="C130" s="1178" t="inlineStr">
        <is>
          <t>NORTH CAROLINA</t>
        </is>
      </c>
      <c r="D130" s="1178" t="inlineStr">
        <is>
          <t>27526</t>
        </is>
      </c>
      <c r="E130" s="1178" t="inlineStr"/>
      <c r="F130" s="1178" t="inlineStr">
        <is>
          <t>RES-SFU</t>
        </is>
      </c>
      <c r="G130" s="1178" t="inlineStr">
        <is>
          <t>BURIED</t>
        </is>
      </c>
      <c r="H130" s="1178" t="inlineStr">
        <is>
          <t>Y</t>
        </is>
      </c>
      <c r="I130" s="1178" t="inlineStr"/>
      <c r="J130" s="1179" t="n">
        <v>1</v>
      </c>
      <c r="K130" s="1179" t="n">
        <v>0</v>
      </c>
    </row>
    <row r="131">
      <c r="A131" s="1178" t="inlineStr">
        <is>
          <t>4841 FRANKIE RD</t>
        </is>
      </c>
      <c r="B131" s="1178" t="inlineStr">
        <is>
          <t>FUQUAY-VARINA</t>
        </is>
      </c>
      <c r="C131" s="1178" t="inlineStr">
        <is>
          <t>NORTH CAROLINA</t>
        </is>
      </c>
      <c r="D131" s="1178" t="inlineStr">
        <is>
          <t>27526</t>
        </is>
      </c>
      <c r="E131" s="1178" t="inlineStr"/>
      <c r="F131" s="1178" t="inlineStr">
        <is>
          <t>RES-SFU</t>
        </is>
      </c>
      <c r="G131" s="1178" t="inlineStr">
        <is>
          <t>BURIED</t>
        </is>
      </c>
      <c r="H131" s="1178" t="inlineStr">
        <is>
          <t>Y</t>
        </is>
      </c>
      <c r="I131" s="1178" t="inlineStr"/>
      <c r="J131" s="1179" t="n">
        <v>1</v>
      </c>
      <c r="K131" s="1179" t="n">
        <v>0</v>
      </c>
    </row>
    <row r="132">
      <c r="A132" s="1178" t="inlineStr">
        <is>
          <t>4844 FRANKIE RD</t>
        </is>
      </c>
      <c r="B132" s="1178" t="inlineStr">
        <is>
          <t>FUQUAY-VARINA</t>
        </is>
      </c>
      <c r="C132" s="1178" t="inlineStr">
        <is>
          <t>NORTH CAROLINA</t>
        </is>
      </c>
      <c r="D132" s="1178" t="inlineStr">
        <is>
          <t>27526</t>
        </is>
      </c>
      <c r="E132" s="1178" t="inlineStr"/>
      <c r="F132" s="1178" t="inlineStr">
        <is>
          <t>RES-SFU</t>
        </is>
      </c>
      <c r="G132" s="1178" t="inlineStr">
        <is>
          <t>BURIED</t>
        </is>
      </c>
      <c r="H132" s="1178" t="inlineStr">
        <is>
          <t>Y</t>
        </is>
      </c>
      <c r="I132" s="1178" t="inlineStr"/>
      <c r="J132" s="1179" t="n">
        <v>1</v>
      </c>
      <c r="K132" s="1179" t="n">
        <v>0</v>
      </c>
    </row>
    <row r="133" ht="15.75" customHeight="1" s="955" thickBot="1">
      <c r="A133" s="1180" t="inlineStr">
        <is>
          <t>4844 HILLTOP NEEDMORE RD</t>
        </is>
      </c>
      <c r="B133" s="1180" t="inlineStr">
        <is>
          <t>FUQUAY-VARINA</t>
        </is>
      </c>
      <c r="C133" s="1180" t="inlineStr">
        <is>
          <t>NORTH CAROLINA</t>
        </is>
      </c>
      <c r="D133" s="1180" t="inlineStr">
        <is>
          <t>27526</t>
        </is>
      </c>
      <c r="E133" s="1180" t="inlineStr"/>
      <c r="F133" s="1180" t="inlineStr">
        <is>
          <t>RES-SFU</t>
        </is>
      </c>
      <c r="G133" s="1180" t="inlineStr">
        <is>
          <t>BURIED</t>
        </is>
      </c>
      <c r="H133" s="1180" t="inlineStr">
        <is>
          <t>Y</t>
        </is>
      </c>
      <c r="I133" s="1180" t="inlineStr"/>
      <c r="J133" s="1181" t="n">
        <v>1</v>
      </c>
      <c r="K133" s="1181" t="n">
        <v>0</v>
      </c>
    </row>
    <row r="134" ht="15.75" customHeight="1" s="955" thickTop="1">
      <c r="A134" s="1178" t="inlineStr">
        <is>
          <t>4845 FRANKIE RD</t>
        </is>
      </c>
      <c r="B134" s="1178" t="inlineStr">
        <is>
          <t>FUQUAY-VARINA</t>
        </is>
      </c>
      <c r="C134" s="1178" t="inlineStr">
        <is>
          <t>NORTH CAROLINA</t>
        </is>
      </c>
      <c r="D134" s="1178" t="inlineStr">
        <is>
          <t>27526</t>
        </is>
      </c>
      <c r="E134" s="1178" t="inlineStr"/>
      <c r="F134" s="1178" t="inlineStr">
        <is>
          <t>RES-SFU</t>
        </is>
      </c>
      <c r="G134" s="1178" t="inlineStr">
        <is>
          <t>BURIED</t>
        </is>
      </c>
      <c r="H134" s="1178" t="inlineStr">
        <is>
          <t>Y</t>
        </is>
      </c>
      <c r="I134" s="1178" t="inlineStr"/>
      <c r="J134" s="1179" t="n">
        <v>1</v>
      </c>
      <c r="K134" s="1179" t="n">
        <v>0</v>
      </c>
    </row>
    <row r="135">
      <c r="A135" s="1178" t="inlineStr">
        <is>
          <t>4901 ALLANBROOKE LN</t>
        </is>
      </c>
      <c r="B135" s="1178" t="inlineStr">
        <is>
          <t>FUQUAY-VARINA</t>
        </is>
      </c>
      <c r="C135" s="1178" t="inlineStr">
        <is>
          <t>NORTH CAROLINA</t>
        </is>
      </c>
      <c r="D135" s="1178" t="inlineStr">
        <is>
          <t>27526</t>
        </is>
      </c>
      <c r="E135" s="1178" t="inlineStr"/>
      <c r="F135" s="1178" t="inlineStr">
        <is>
          <t>RES-SFU</t>
        </is>
      </c>
      <c r="G135" s="1178" t="inlineStr">
        <is>
          <t>BURIED</t>
        </is>
      </c>
      <c r="H135" s="1178" t="inlineStr">
        <is>
          <t>Y</t>
        </is>
      </c>
      <c r="I135" s="1178" t="inlineStr"/>
      <c r="J135" s="1179" t="n">
        <v>1</v>
      </c>
      <c r="K135" s="1179" t="n">
        <v>0</v>
      </c>
    </row>
    <row r="136">
      <c r="A136" s="1178" t="inlineStr">
        <is>
          <t>4916 ALLANBROOKE LN</t>
        </is>
      </c>
      <c r="B136" s="1178" t="inlineStr">
        <is>
          <t>FUQUAY-VARINA</t>
        </is>
      </c>
      <c r="C136" s="1178" t="inlineStr">
        <is>
          <t>NORTH CAROLINA</t>
        </is>
      </c>
      <c r="D136" s="1178" t="inlineStr">
        <is>
          <t>27526</t>
        </is>
      </c>
      <c r="E136" s="1178" t="inlineStr"/>
      <c r="F136" s="1178" t="inlineStr">
        <is>
          <t>RES-SFU</t>
        </is>
      </c>
      <c r="G136" s="1178" t="inlineStr">
        <is>
          <t>BURIED</t>
        </is>
      </c>
      <c r="H136" s="1178" t="inlineStr">
        <is>
          <t>Y</t>
        </is>
      </c>
      <c r="I136" s="1178" t="inlineStr"/>
      <c r="J136" s="1179" t="n">
        <v>1</v>
      </c>
      <c r="K136" s="1179" t="n">
        <v>0</v>
      </c>
    </row>
    <row r="137">
      <c r="A137" s="1178" t="inlineStr">
        <is>
          <t>4917 ALLANBROOKE LN</t>
        </is>
      </c>
      <c r="B137" s="1178" t="inlineStr">
        <is>
          <t>FUQUAY-VARINA</t>
        </is>
      </c>
      <c r="C137" s="1178" t="inlineStr">
        <is>
          <t>NORTH CAROLINA</t>
        </is>
      </c>
      <c r="D137" s="1178" t="inlineStr">
        <is>
          <t>27526</t>
        </is>
      </c>
      <c r="E137" s="1178" t="inlineStr"/>
      <c r="F137" s="1178" t="inlineStr">
        <is>
          <t>RES-SFU</t>
        </is>
      </c>
      <c r="G137" s="1178" t="inlineStr">
        <is>
          <t>BURIED</t>
        </is>
      </c>
      <c r="H137" s="1178" t="inlineStr">
        <is>
          <t>Y</t>
        </is>
      </c>
      <c r="I137" s="1178" t="inlineStr"/>
      <c r="J137" s="1179" t="n">
        <v>1</v>
      </c>
      <c r="K137" s="1179" t="n">
        <v>0</v>
      </c>
    </row>
    <row r="138">
      <c r="A138" s="1178" t="inlineStr">
        <is>
          <t>4920 ALLANBROOKE LN</t>
        </is>
      </c>
      <c r="B138" s="1178" t="inlineStr">
        <is>
          <t>FUQUAY-VARINA</t>
        </is>
      </c>
      <c r="C138" s="1178" t="inlineStr">
        <is>
          <t>NORTH CAROLINA</t>
        </is>
      </c>
      <c r="D138" s="1178" t="inlineStr">
        <is>
          <t>27526</t>
        </is>
      </c>
      <c r="E138" s="1178" t="inlineStr"/>
      <c r="F138" s="1178" t="inlineStr">
        <is>
          <t>RES-SFU</t>
        </is>
      </c>
      <c r="G138" s="1178" t="inlineStr">
        <is>
          <t>BURIED</t>
        </is>
      </c>
      <c r="H138" s="1178" t="inlineStr">
        <is>
          <t>Y</t>
        </is>
      </c>
      <c r="I138" s="1178" t="inlineStr"/>
      <c r="J138" s="1179" t="n">
        <v>1</v>
      </c>
      <c r="K138" s="1179" t="n">
        <v>0</v>
      </c>
    </row>
    <row r="139">
      <c r="A139" s="1178" t="inlineStr">
        <is>
          <t>4921 ALLANBROOKE LN</t>
        </is>
      </c>
      <c r="B139" s="1178" t="inlineStr">
        <is>
          <t>FUQUAY-VARINA</t>
        </is>
      </c>
      <c r="C139" s="1178" t="inlineStr">
        <is>
          <t>NORTH CAROLINA</t>
        </is>
      </c>
      <c r="D139" s="1178" t="inlineStr">
        <is>
          <t>27526</t>
        </is>
      </c>
      <c r="E139" s="1178" t="inlineStr"/>
      <c r="F139" s="1178" t="inlineStr">
        <is>
          <t>RES-SFU</t>
        </is>
      </c>
      <c r="G139" s="1178" t="inlineStr">
        <is>
          <t>BURIED</t>
        </is>
      </c>
      <c r="H139" s="1178" t="inlineStr">
        <is>
          <t>Y</t>
        </is>
      </c>
      <c r="I139" s="1178" t="inlineStr"/>
      <c r="J139" s="1179" t="n">
        <v>1</v>
      </c>
      <c r="K139" s="1179" t="n">
        <v>0</v>
      </c>
    </row>
    <row r="140">
      <c r="A140" s="1178" t="inlineStr">
        <is>
          <t>4924 ALLANBROOKE LN</t>
        </is>
      </c>
      <c r="B140" s="1178" t="inlineStr">
        <is>
          <t>FUQUAY-VARINA</t>
        </is>
      </c>
      <c r="C140" s="1178" t="inlineStr">
        <is>
          <t>NORTH CAROLINA</t>
        </is>
      </c>
      <c r="D140" s="1178" t="inlineStr">
        <is>
          <t>27526</t>
        </is>
      </c>
      <c r="E140" s="1178" t="inlineStr"/>
      <c r="F140" s="1178" t="inlineStr">
        <is>
          <t>RES-SFU</t>
        </is>
      </c>
      <c r="G140" s="1178" t="inlineStr">
        <is>
          <t>BURIED</t>
        </is>
      </c>
      <c r="H140" s="1178" t="inlineStr">
        <is>
          <t>Y</t>
        </is>
      </c>
      <c r="I140" s="1178" t="inlineStr"/>
      <c r="J140" s="1179" t="n">
        <v>1</v>
      </c>
      <c r="K140" s="1179" t="n">
        <v>0</v>
      </c>
    </row>
    <row r="141">
      <c r="A141" s="1178" t="inlineStr">
        <is>
          <t>4925 ALLANBROOKE LN</t>
        </is>
      </c>
      <c r="B141" s="1178" t="inlineStr">
        <is>
          <t>FUQUAY-VARINA</t>
        </is>
      </c>
      <c r="C141" s="1178" t="inlineStr">
        <is>
          <t>NORTH CAROLINA</t>
        </is>
      </c>
      <c r="D141" s="1178" t="inlineStr">
        <is>
          <t>27526</t>
        </is>
      </c>
      <c r="E141" s="1178" t="inlineStr"/>
      <c r="F141" s="1178" t="inlineStr">
        <is>
          <t>RES-SFU</t>
        </is>
      </c>
      <c r="G141" s="1178" t="inlineStr">
        <is>
          <t>BURIED</t>
        </is>
      </c>
      <c r="H141" s="1178" t="inlineStr">
        <is>
          <t>Y</t>
        </is>
      </c>
      <c r="I141" s="1178" t="inlineStr"/>
      <c r="J141" s="1179" t="n">
        <v>1</v>
      </c>
      <c r="K141" s="1179" t="n">
        <v>0</v>
      </c>
    </row>
    <row r="142">
      <c r="A142" s="1178" t="inlineStr">
        <is>
          <t>4928 ALLANBROOKE LN</t>
        </is>
      </c>
      <c r="B142" s="1178" t="inlineStr">
        <is>
          <t>FUQUAY-VARINA</t>
        </is>
      </c>
      <c r="C142" s="1178" t="inlineStr">
        <is>
          <t>NORTH CAROLINA</t>
        </is>
      </c>
      <c r="D142" s="1178" t="inlineStr">
        <is>
          <t>27526</t>
        </is>
      </c>
      <c r="E142" s="1178" t="inlineStr"/>
      <c r="F142" s="1178" t="inlineStr">
        <is>
          <t>RES-SFU</t>
        </is>
      </c>
      <c r="G142" s="1178" t="inlineStr">
        <is>
          <t>BURIED</t>
        </is>
      </c>
      <c r="H142" s="1178" t="inlineStr">
        <is>
          <t>Y</t>
        </is>
      </c>
      <c r="I142" s="1178" t="inlineStr"/>
      <c r="J142" s="1179" t="n">
        <v>1</v>
      </c>
      <c r="K142" s="1179" t="n">
        <v>0</v>
      </c>
    </row>
    <row r="143">
      <c r="A143" s="1178" t="inlineStr">
        <is>
          <t>4929 ALLANBROOKE LN</t>
        </is>
      </c>
      <c r="B143" s="1178" t="inlineStr">
        <is>
          <t>FUQUAY-VARINA</t>
        </is>
      </c>
      <c r="C143" s="1178" t="inlineStr">
        <is>
          <t>NORTH CAROLINA</t>
        </is>
      </c>
      <c r="D143" s="1178" t="inlineStr">
        <is>
          <t>27526</t>
        </is>
      </c>
      <c r="E143" s="1178" t="inlineStr"/>
      <c r="F143" s="1178" t="inlineStr">
        <is>
          <t>RES-SFU</t>
        </is>
      </c>
      <c r="G143" s="1178" t="inlineStr">
        <is>
          <t>BURIED</t>
        </is>
      </c>
      <c r="H143" s="1178" t="inlineStr">
        <is>
          <t>Y</t>
        </is>
      </c>
      <c r="I143" s="1178" t="inlineStr"/>
      <c r="J143" s="1179" t="n">
        <v>1</v>
      </c>
      <c r="K143" s="1179" t="n">
        <v>0</v>
      </c>
    </row>
    <row r="144">
      <c r="A144" s="1178" t="inlineStr">
        <is>
          <t>4932 ALLANBROOKE LN</t>
        </is>
      </c>
      <c r="B144" s="1178" t="inlineStr">
        <is>
          <t>FUQUAY-VARINA</t>
        </is>
      </c>
      <c r="C144" s="1178" t="inlineStr">
        <is>
          <t>NORTH CAROLINA</t>
        </is>
      </c>
      <c r="D144" s="1178" t="inlineStr">
        <is>
          <t>27526</t>
        </is>
      </c>
      <c r="E144" s="1178" t="inlineStr"/>
      <c r="F144" s="1178" t="inlineStr">
        <is>
          <t>RES-SFU</t>
        </is>
      </c>
      <c r="G144" s="1178" t="inlineStr">
        <is>
          <t>BURIED</t>
        </is>
      </c>
      <c r="H144" s="1178" t="inlineStr">
        <is>
          <t>Y</t>
        </is>
      </c>
      <c r="I144" s="1178" t="inlineStr"/>
      <c r="J144" s="1179" t="n">
        <v>1</v>
      </c>
      <c r="K144" s="1179" t="n">
        <v>0</v>
      </c>
    </row>
    <row r="145" ht="15.75" customHeight="1" s="955" thickBot="1">
      <c r="A145" s="1180" t="inlineStr">
        <is>
          <t>4933 ALLANBROOKE LN</t>
        </is>
      </c>
      <c r="B145" s="1180" t="inlineStr">
        <is>
          <t>FUQUAY-VARINA</t>
        </is>
      </c>
      <c r="C145" s="1180" t="inlineStr">
        <is>
          <t>NORTH CAROLINA</t>
        </is>
      </c>
      <c r="D145" s="1180" t="inlineStr">
        <is>
          <t>27526</t>
        </is>
      </c>
      <c r="E145" s="1180" t="inlineStr"/>
      <c r="F145" s="1180" t="inlineStr">
        <is>
          <t>RES-SFU</t>
        </is>
      </c>
      <c r="G145" s="1180" t="inlineStr">
        <is>
          <t>BURIED</t>
        </is>
      </c>
      <c r="H145" s="1180" t="inlineStr">
        <is>
          <t>Y</t>
        </is>
      </c>
      <c r="I145" s="1180" t="inlineStr"/>
      <c r="J145" s="1181" t="n">
        <v>1</v>
      </c>
      <c r="K145" s="1181" t="n">
        <v>0</v>
      </c>
    </row>
    <row r="146" ht="15.75" customHeight="1" s="955" thickTop="1">
      <c r="A146" s="1178" t="inlineStr">
        <is>
          <t>4937 ALLANBROOKE LN</t>
        </is>
      </c>
      <c r="B146" s="1178" t="inlineStr">
        <is>
          <t>FUQUAY-VARINA</t>
        </is>
      </c>
      <c r="C146" s="1178" t="inlineStr">
        <is>
          <t>NORTH CAROLINA</t>
        </is>
      </c>
      <c r="D146" s="1178" t="inlineStr">
        <is>
          <t>27526</t>
        </is>
      </c>
      <c r="E146" s="1178" t="inlineStr"/>
      <c r="F146" s="1178" t="inlineStr">
        <is>
          <t>RES-SFU</t>
        </is>
      </c>
      <c r="G146" s="1178" t="inlineStr">
        <is>
          <t>BURIED</t>
        </is>
      </c>
      <c r="H146" s="1178" t="inlineStr">
        <is>
          <t>Y</t>
        </is>
      </c>
      <c r="I146" s="1178" t="inlineStr"/>
      <c r="J146" s="1179" t="n">
        <v>1</v>
      </c>
      <c r="K146" s="1179" t="n">
        <v>0</v>
      </c>
    </row>
    <row r="147">
      <c r="A147" s="1178" t="inlineStr">
        <is>
          <t>4941 ALLANBROOKE LN</t>
        </is>
      </c>
      <c r="B147" s="1178" t="inlineStr">
        <is>
          <t>FUQUAY-VARINA</t>
        </is>
      </c>
      <c r="C147" s="1178" t="inlineStr">
        <is>
          <t>NORTH CAROLINA</t>
        </is>
      </c>
      <c r="D147" s="1178" t="inlineStr">
        <is>
          <t>27526</t>
        </is>
      </c>
      <c r="E147" s="1178" t="inlineStr"/>
      <c r="F147" s="1178" t="inlineStr">
        <is>
          <t>RES-SFU</t>
        </is>
      </c>
      <c r="G147" s="1178" t="inlineStr">
        <is>
          <t>BURIED</t>
        </is>
      </c>
      <c r="H147" s="1178" t="inlineStr">
        <is>
          <t>Y</t>
        </is>
      </c>
      <c r="I147" s="1178" t="inlineStr"/>
      <c r="J147" s="1179" t="n">
        <v>1</v>
      </c>
      <c r="K147" s="1179" t="n">
        <v>0</v>
      </c>
    </row>
    <row r="148">
      <c r="A148" s="1178" t="inlineStr">
        <is>
          <t>4944 ALLANBROOKE LN</t>
        </is>
      </c>
      <c r="B148" s="1178" t="inlineStr">
        <is>
          <t>FUQUAY-VARINA</t>
        </is>
      </c>
      <c r="C148" s="1178" t="inlineStr">
        <is>
          <t>NORTH CAROLINA</t>
        </is>
      </c>
      <c r="D148" s="1178" t="inlineStr">
        <is>
          <t>27526</t>
        </is>
      </c>
      <c r="E148" s="1178" t="inlineStr"/>
      <c r="F148" s="1178" t="inlineStr">
        <is>
          <t>RES-SFU</t>
        </is>
      </c>
      <c r="G148" s="1178" t="inlineStr">
        <is>
          <t>BURIED</t>
        </is>
      </c>
      <c r="H148" s="1178" t="inlineStr">
        <is>
          <t>Y</t>
        </is>
      </c>
      <c r="I148" s="1178" t="inlineStr"/>
      <c r="J148" s="1179" t="n">
        <v>1</v>
      </c>
      <c r="K148" s="1179" t="n">
        <v>0</v>
      </c>
    </row>
    <row r="149">
      <c r="A149" s="1178" t="inlineStr">
        <is>
          <t>4945 ALLANBROOKE LN</t>
        </is>
      </c>
      <c r="B149" s="1178" t="inlineStr">
        <is>
          <t>FUQUAY-VARINA</t>
        </is>
      </c>
      <c r="C149" s="1178" t="inlineStr">
        <is>
          <t>NORTH CAROLINA</t>
        </is>
      </c>
      <c r="D149" s="1178" t="inlineStr">
        <is>
          <t>27526</t>
        </is>
      </c>
      <c r="E149" s="1178" t="inlineStr"/>
      <c r="F149" s="1178" t="inlineStr">
        <is>
          <t>RES-SFU</t>
        </is>
      </c>
      <c r="G149" s="1178" t="inlineStr">
        <is>
          <t>BURIED</t>
        </is>
      </c>
      <c r="H149" s="1178" t="inlineStr">
        <is>
          <t>Y</t>
        </is>
      </c>
      <c r="I149" s="1178" t="inlineStr"/>
      <c r="J149" s="1179" t="n">
        <v>1</v>
      </c>
      <c r="K149" s="1179" t="n">
        <v>0</v>
      </c>
    </row>
    <row r="150">
      <c r="A150" s="1178" t="inlineStr">
        <is>
          <t>5000 ALLANBROOKE LN</t>
        </is>
      </c>
      <c r="B150" s="1178" t="inlineStr">
        <is>
          <t>FUQUAY-VARINA</t>
        </is>
      </c>
      <c r="C150" s="1178" t="inlineStr">
        <is>
          <t>NORTH CAROLINA</t>
        </is>
      </c>
      <c r="D150" s="1178" t="inlineStr">
        <is>
          <t>27526</t>
        </is>
      </c>
      <c r="E150" s="1178" t="inlineStr"/>
      <c r="F150" s="1178" t="inlineStr">
        <is>
          <t>RES-SFU</t>
        </is>
      </c>
      <c r="G150" s="1178" t="inlineStr">
        <is>
          <t>BURIED</t>
        </is>
      </c>
      <c r="H150" s="1178" t="inlineStr">
        <is>
          <t>Y</t>
        </is>
      </c>
      <c r="I150" s="1178" t="inlineStr"/>
      <c r="J150" s="1179" t="n">
        <v>1</v>
      </c>
      <c r="K150" s="1179" t="n">
        <v>0</v>
      </c>
    </row>
    <row r="151">
      <c r="A151" s="1178" t="inlineStr">
        <is>
          <t>5000 NORTHRIDING CT</t>
        </is>
      </c>
      <c r="B151" s="1178" t="inlineStr">
        <is>
          <t>FUQUAY-VARINA</t>
        </is>
      </c>
      <c r="C151" s="1178" t="inlineStr">
        <is>
          <t>NORTH CAROLINA</t>
        </is>
      </c>
      <c r="D151" s="1178" t="inlineStr">
        <is>
          <t>27526</t>
        </is>
      </c>
      <c r="E151" s="1178" t="inlineStr"/>
      <c r="F151" s="1178" t="inlineStr">
        <is>
          <t>RES-SFU</t>
        </is>
      </c>
      <c r="G151" s="1178" t="inlineStr">
        <is>
          <t>BURIED</t>
        </is>
      </c>
      <c r="H151" s="1178" t="inlineStr">
        <is>
          <t>Y</t>
        </is>
      </c>
      <c r="I151" s="1178" t="inlineStr"/>
      <c r="J151" s="1179" t="n">
        <v>1</v>
      </c>
      <c r="K151" s="1179" t="n">
        <v>0</v>
      </c>
    </row>
    <row r="152">
      <c r="A152" s="1178" t="inlineStr">
        <is>
          <t>5001 ALLANBROOKE LN</t>
        </is>
      </c>
      <c r="B152" s="1178" t="inlineStr">
        <is>
          <t>FUQUAY-VARINA</t>
        </is>
      </c>
      <c r="C152" s="1178" t="inlineStr">
        <is>
          <t>NORTH CAROLINA</t>
        </is>
      </c>
      <c r="D152" s="1178" t="inlineStr">
        <is>
          <t>27526</t>
        </is>
      </c>
      <c r="E152" s="1178" t="inlineStr"/>
      <c r="F152" s="1178" t="inlineStr">
        <is>
          <t>RES-SFU</t>
        </is>
      </c>
      <c r="G152" s="1178" t="inlineStr">
        <is>
          <t>BURIED</t>
        </is>
      </c>
      <c r="H152" s="1178" t="inlineStr">
        <is>
          <t>Y</t>
        </is>
      </c>
      <c r="I152" s="1178" t="inlineStr"/>
      <c r="J152" s="1179" t="n">
        <v>1</v>
      </c>
      <c r="K152" s="1179" t="n">
        <v>0</v>
      </c>
    </row>
    <row r="153">
      <c r="A153" s="1178" t="inlineStr">
        <is>
          <t>5004 NORTHRIDING CT</t>
        </is>
      </c>
      <c r="B153" s="1178" t="inlineStr">
        <is>
          <t>FUQUAY-VARINA</t>
        </is>
      </c>
      <c r="C153" s="1178" t="inlineStr">
        <is>
          <t>NORTH CAROLINA</t>
        </is>
      </c>
      <c r="D153" s="1178" t="inlineStr">
        <is>
          <t>27526</t>
        </is>
      </c>
      <c r="E153" s="1178" t="inlineStr"/>
      <c r="F153" s="1178" t="inlineStr">
        <is>
          <t>RES-SFU</t>
        </is>
      </c>
      <c r="G153" s="1178" t="inlineStr">
        <is>
          <t>BURIED</t>
        </is>
      </c>
      <c r="H153" s="1178" t="inlineStr">
        <is>
          <t>Y</t>
        </is>
      </c>
      <c r="I153" s="1178" t="inlineStr"/>
      <c r="J153" s="1179" t="n">
        <v>1</v>
      </c>
      <c r="K153" s="1179" t="n">
        <v>0</v>
      </c>
    </row>
    <row r="154">
      <c r="A154" s="1178" t="inlineStr">
        <is>
          <t>5005 ALLANBROOKE LN</t>
        </is>
      </c>
      <c r="B154" s="1178" t="inlineStr">
        <is>
          <t>FUQUAY-VARINA</t>
        </is>
      </c>
      <c r="C154" s="1178" t="inlineStr">
        <is>
          <t>NORTH CAROLINA</t>
        </is>
      </c>
      <c r="D154" s="1178" t="inlineStr">
        <is>
          <t>27526</t>
        </is>
      </c>
      <c r="E154" s="1178" t="inlineStr"/>
      <c r="F154" s="1178" t="inlineStr">
        <is>
          <t>RES-SFU</t>
        </is>
      </c>
      <c r="G154" s="1178" t="inlineStr">
        <is>
          <t>BURIED</t>
        </is>
      </c>
      <c r="H154" s="1178" t="inlineStr">
        <is>
          <t>Y</t>
        </is>
      </c>
      <c r="I154" s="1178" t="inlineStr"/>
      <c r="J154" s="1179" t="n">
        <v>1</v>
      </c>
      <c r="K154" s="1179" t="n">
        <v>0</v>
      </c>
    </row>
    <row r="155">
      <c r="A155" s="1178" t="inlineStr">
        <is>
          <t>5005 HILLTOP NEEDMORE RD</t>
        </is>
      </c>
      <c r="B155" s="1178" t="inlineStr">
        <is>
          <t>FUQUAY-VARINA</t>
        </is>
      </c>
      <c r="C155" s="1178" t="inlineStr">
        <is>
          <t>NORTH CAROLINA</t>
        </is>
      </c>
      <c r="D155" s="1178" t="inlineStr">
        <is>
          <t>27526</t>
        </is>
      </c>
      <c r="E155" s="1178" t="inlineStr"/>
      <c r="F155" s="1178" t="inlineStr">
        <is>
          <t>RES-SFU</t>
        </is>
      </c>
      <c r="G155" s="1178" t="inlineStr">
        <is>
          <t>BURIED</t>
        </is>
      </c>
      <c r="H155" s="1178" t="inlineStr">
        <is>
          <t>Y</t>
        </is>
      </c>
      <c r="I155" s="1178" t="inlineStr"/>
      <c r="J155" s="1179" t="n">
        <v>1</v>
      </c>
      <c r="K155" s="1179" t="n">
        <v>0</v>
      </c>
    </row>
    <row r="156">
      <c r="A156" s="1178" t="inlineStr">
        <is>
          <t>5008 ALLANBROOKE LN</t>
        </is>
      </c>
      <c r="B156" s="1178" t="inlineStr">
        <is>
          <t>FUQUAY-VARINA</t>
        </is>
      </c>
      <c r="C156" s="1178" t="inlineStr">
        <is>
          <t>NORTH CAROLINA</t>
        </is>
      </c>
      <c r="D156" s="1178" t="inlineStr">
        <is>
          <t>27526</t>
        </is>
      </c>
      <c r="E156" s="1178" t="inlineStr"/>
      <c r="F156" s="1178" t="inlineStr">
        <is>
          <t>RES-SFU</t>
        </is>
      </c>
      <c r="G156" s="1178" t="inlineStr">
        <is>
          <t>BURIED</t>
        </is>
      </c>
      <c r="H156" s="1178" t="inlineStr">
        <is>
          <t>Y</t>
        </is>
      </c>
      <c r="I156" s="1178" t="inlineStr"/>
      <c r="J156" s="1179" t="n">
        <v>1</v>
      </c>
      <c r="K156" s="1179" t="n">
        <v>0</v>
      </c>
    </row>
    <row r="157" ht="15.75" customHeight="1" s="955" thickBot="1">
      <c r="A157" s="1180" t="inlineStr">
        <is>
          <t>5008 NORTHRIDING CT</t>
        </is>
      </c>
      <c r="B157" s="1180" t="inlineStr">
        <is>
          <t>FUQUAY-VARINA</t>
        </is>
      </c>
      <c r="C157" s="1180" t="inlineStr">
        <is>
          <t>NORTH CAROLINA</t>
        </is>
      </c>
      <c r="D157" s="1180" t="inlineStr">
        <is>
          <t>27526</t>
        </is>
      </c>
      <c r="E157" s="1180" t="inlineStr"/>
      <c r="F157" s="1180" t="inlineStr">
        <is>
          <t>RES-SFU</t>
        </is>
      </c>
      <c r="G157" s="1180" t="inlineStr">
        <is>
          <t>BURIED</t>
        </is>
      </c>
      <c r="H157" s="1180" t="inlineStr">
        <is>
          <t>Y</t>
        </is>
      </c>
      <c r="I157" s="1180" t="inlineStr"/>
      <c r="J157" s="1181" t="n">
        <v>1</v>
      </c>
      <c r="K157" s="1181" t="n">
        <v>0</v>
      </c>
    </row>
    <row r="158" ht="15.75" customHeight="1" s="955" thickTop="1">
      <c r="A158" s="1178" t="inlineStr">
        <is>
          <t>5009 ALLANBROOKE LN</t>
        </is>
      </c>
      <c r="B158" s="1178" t="inlineStr">
        <is>
          <t>FUQUAY-VARINA</t>
        </is>
      </c>
      <c r="C158" s="1178" t="inlineStr">
        <is>
          <t>NORTH CAROLINA</t>
        </is>
      </c>
      <c r="D158" s="1178" t="inlineStr">
        <is>
          <t>27526</t>
        </is>
      </c>
      <c r="E158" s="1178" t="inlineStr"/>
      <c r="F158" s="1178" t="inlineStr">
        <is>
          <t>RES-SFU</t>
        </is>
      </c>
      <c r="G158" s="1178" t="inlineStr">
        <is>
          <t>BURIED</t>
        </is>
      </c>
      <c r="H158" s="1178" t="inlineStr">
        <is>
          <t>Y</t>
        </is>
      </c>
      <c r="I158" s="1178" t="inlineStr"/>
      <c r="J158" s="1179" t="n">
        <v>1</v>
      </c>
      <c r="K158" s="1179" t="n">
        <v>0</v>
      </c>
    </row>
    <row r="159">
      <c r="A159" s="1178" t="inlineStr">
        <is>
          <t>5009 HILLTOP NEEDMORE RD</t>
        </is>
      </c>
      <c r="B159" s="1178" t="inlineStr">
        <is>
          <t>FUQUAY-VARINA</t>
        </is>
      </c>
      <c r="C159" s="1178" t="inlineStr">
        <is>
          <t>NORTH CAROLINA</t>
        </is>
      </c>
      <c r="D159" s="1178" t="inlineStr">
        <is>
          <t>27526</t>
        </is>
      </c>
      <c r="E159" s="1178" t="inlineStr"/>
      <c r="F159" s="1178" t="inlineStr">
        <is>
          <t>RES-SFU</t>
        </is>
      </c>
      <c r="G159" s="1178" t="inlineStr">
        <is>
          <t>BURIED</t>
        </is>
      </c>
      <c r="H159" s="1178" t="inlineStr">
        <is>
          <t>Y</t>
        </is>
      </c>
      <c r="I159" s="1178" t="inlineStr"/>
      <c r="J159" s="1179" t="n">
        <v>1</v>
      </c>
      <c r="K159" s="1179" t="n">
        <v>0</v>
      </c>
    </row>
    <row r="160">
      <c r="A160" s="1178" t="inlineStr">
        <is>
          <t>5009 NORTHRIDING CT</t>
        </is>
      </c>
      <c r="B160" s="1178" t="inlineStr">
        <is>
          <t>FUQUAY-VARINA</t>
        </is>
      </c>
      <c r="C160" s="1178" t="inlineStr">
        <is>
          <t>NORTH CAROLINA</t>
        </is>
      </c>
      <c r="D160" s="1178" t="inlineStr">
        <is>
          <t>27526</t>
        </is>
      </c>
      <c r="E160" s="1178" t="inlineStr"/>
      <c r="F160" s="1178" t="inlineStr">
        <is>
          <t>RES-SFU</t>
        </is>
      </c>
      <c r="G160" s="1178" t="inlineStr">
        <is>
          <t>BURIED</t>
        </is>
      </c>
      <c r="H160" s="1178" t="inlineStr">
        <is>
          <t>Y</t>
        </is>
      </c>
      <c r="I160" s="1178" t="inlineStr"/>
      <c r="J160" s="1179" t="n">
        <v>1</v>
      </c>
      <c r="K160" s="1179" t="n">
        <v>0</v>
      </c>
    </row>
    <row r="161">
      <c r="A161" s="1178" t="inlineStr">
        <is>
          <t>5012 ALLANBROOKE LN</t>
        </is>
      </c>
      <c r="B161" s="1178" t="inlineStr">
        <is>
          <t>FUQUAY-VARINA</t>
        </is>
      </c>
      <c r="C161" s="1178" t="inlineStr">
        <is>
          <t>NORTH CAROLINA</t>
        </is>
      </c>
      <c r="D161" s="1178" t="inlineStr">
        <is>
          <t>27526</t>
        </is>
      </c>
      <c r="E161" s="1178" t="inlineStr"/>
      <c r="F161" s="1178" t="inlineStr">
        <is>
          <t>RES-SFU</t>
        </is>
      </c>
      <c r="G161" s="1178" t="inlineStr">
        <is>
          <t>BURIED</t>
        </is>
      </c>
      <c r="H161" s="1178" t="inlineStr">
        <is>
          <t>Y</t>
        </is>
      </c>
      <c r="I161" s="1178" t="inlineStr"/>
      <c r="J161" s="1179" t="n">
        <v>1</v>
      </c>
      <c r="K161" s="1179" t="n">
        <v>0</v>
      </c>
    </row>
    <row r="162">
      <c r="A162" s="1178" t="inlineStr">
        <is>
          <t>5012 NORTHRIDING CT</t>
        </is>
      </c>
      <c r="B162" s="1178" t="inlineStr">
        <is>
          <t>FUQUAY-VARINA</t>
        </is>
      </c>
      <c r="C162" s="1178" t="inlineStr">
        <is>
          <t>NORTH CAROLINA</t>
        </is>
      </c>
      <c r="D162" s="1178" t="inlineStr">
        <is>
          <t>27526</t>
        </is>
      </c>
      <c r="E162" s="1178" t="inlineStr"/>
      <c r="F162" s="1178" t="inlineStr">
        <is>
          <t>RES-SFU</t>
        </is>
      </c>
      <c r="G162" s="1178" t="inlineStr">
        <is>
          <t>BURIED</t>
        </is>
      </c>
      <c r="H162" s="1178" t="inlineStr">
        <is>
          <t>Y</t>
        </is>
      </c>
      <c r="I162" s="1178" t="inlineStr"/>
      <c r="J162" s="1179" t="n">
        <v>1</v>
      </c>
      <c r="K162" s="1179" t="n">
        <v>0</v>
      </c>
    </row>
    <row r="163">
      <c r="A163" s="1178" t="inlineStr">
        <is>
          <t>5013 ALLANBROOKE LN</t>
        </is>
      </c>
      <c r="B163" s="1178" t="inlineStr">
        <is>
          <t>FUQUAY-VARINA</t>
        </is>
      </c>
      <c r="C163" s="1178" t="inlineStr">
        <is>
          <t>NORTH CAROLINA</t>
        </is>
      </c>
      <c r="D163" s="1178" t="inlineStr">
        <is>
          <t>27526</t>
        </is>
      </c>
      <c r="E163" s="1178" t="inlineStr"/>
      <c r="F163" s="1178" t="inlineStr">
        <is>
          <t>RES-SFU</t>
        </is>
      </c>
      <c r="G163" s="1178" t="inlineStr">
        <is>
          <t>BURIED</t>
        </is>
      </c>
      <c r="H163" s="1178" t="inlineStr">
        <is>
          <t>Y</t>
        </is>
      </c>
      <c r="I163" s="1178" t="inlineStr"/>
      <c r="J163" s="1179" t="n">
        <v>1</v>
      </c>
      <c r="K163" s="1179" t="n">
        <v>0</v>
      </c>
    </row>
    <row r="164">
      <c r="A164" s="1178" t="inlineStr">
        <is>
          <t>5016 ALLANBROOKE LN</t>
        </is>
      </c>
      <c r="B164" s="1178" t="inlineStr">
        <is>
          <t>FUQUAY-VARINA</t>
        </is>
      </c>
      <c r="C164" s="1178" t="inlineStr">
        <is>
          <t>NORTH CAROLINA</t>
        </is>
      </c>
      <c r="D164" s="1178" t="inlineStr">
        <is>
          <t>27526</t>
        </is>
      </c>
      <c r="E164" s="1178" t="inlineStr"/>
      <c r="F164" s="1178" t="inlineStr">
        <is>
          <t>RES-SFU</t>
        </is>
      </c>
      <c r="G164" s="1178" t="inlineStr">
        <is>
          <t>BURIED</t>
        </is>
      </c>
      <c r="H164" s="1178" t="inlineStr">
        <is>
          <t>Y</t>
        </is>
      </c>
      <c r="I164" s="1178" t="inlineStr"/>
      <c r="J164" s="1179" t="n">
        <v>1</v>
      </c>
      <c r="K164" s="1179" t="n">
        <v>0</v>
      </c>
    </row>
    <row r="165">
      <c r="A165" s="1178" t="inlineStr">
        <is>
          <t>5016 NORTHRIDING CT</t>
        </is>
      </c>
      <c r="B165" s="1178" t="inlineStr">
        <is>
          <t>FUQUAY-VARINA</t>
        </is>
      </c>
      <c r="C165" s="1178" t="inlineStr">
        <is>
          <t>NORTH CAROLINA</t>
        </is>
      </c>
      <c r="D165" s="1178" t="inlineStr">
        <is>
          <t>27526</t>
        </is>
      </c>
      <c r="E165" s="1178" t="inlineStr"/>
      <c r="F165" s="1178" t="inlineStr">
        <is>
          <t>RES-SFU</t>
        </is>
      </c>
      <c r="G165" s="1178" t="inlineStr">
        <is>
          <t>BURIED</t>
        </is>
      </c>
      <c r="H165" s="1178" t="inlineStr">
        <is>
          <t>Y</t>
        </is>
      </c>
      <c r="I165" s="1178" t="inlineStr"/>
      <c r="J165" s="1179" t="n">
        <v>1</v>
      </c>
      <c r="K165" s="1179" t="n">
        <v>0</v>
      </c>
    </row>
    <row r="166">
      <c r="A166" s="1178" t="inlineStr">
        <is>
          <t>5017 ALLANBROOKE LN</t>
        </is>
      </c>
      <c r="B166" s="1178" t="inlineStr">
        <is>
          <t>FUQUAY-VARINA</t>
        </is>
      </c>
      <c r="C166" s="1178" t="inlineStr">
        <is>
          <t>NORTH CAROLINA</t>
        </is>
      </c>
      <c r="D166" s="1178" t="inlineStr">
        <is>
          <t>27526</t>
        </is>
      </c>
      <c r="E166" s="1178" t="inlineStr"/>
      <c r="F166" s="1178" t="inlineStr">
        <is>
          <t>RES-SFU</t>
        </is>
      </c>
      <c r="G166" s="1178" t="inlineStr">
        <is>
          <t>BURIED</t>
        </is>
      </c>
      <c r="H166" s="1178" t="inlineStr">
        <is>
          <t>Y</t>
        </is>
      </c>
      <c r="I166" s="1178" t="inlineStr"/>
      <c r="J166" s="1179" t="n">
        <v>1</v>
      </c>
      <c r="K166" s="1179" t="n">
        <v>0</v>
      </c>
    </row>
    <row r="167">
      <c r="A167" s="1178" t="inlineStr">
        <is>
          <t>5017 NORTHRIDING CT</t>
        </is>
      </c>
      <c r="B167" s="1178" t="inlineStr">
        <is>
          <t>FUQUAY-VARINA</t>
        </is>
      </c>
      <c r="C167" s="1178" t="inlineStr">
        <is>
          <t>NORTH CAROLINA</t>
        </is>
      </c>
      <c r="D167" s="1178" t="inlineStr">
        <is>
          <t>27526</t>
        </is>
      </c>
      <c r="E167" s="1178" t="inlineStr"/>
      <c r="F167" s="1178" t="inlineStr">
        <is>
          <t>RES-SFU</t>
        </is>
      </c>
      <c r="G167" s="1178" t="inlineStr">
        <is>
          <t>BURIED</t>
        </is>
      </c>
      <c r="H167" s="1178" t="inlineStr">
        <is>
          <t>Y</t>
        </is>
      </c>
      <c r="I167" s="1178" t="inlineStr"/>
      <c r="J167" s="1179" t="n">
        <v>1</v>
      </c>
      <c r="K167" s="1179" t="n">
        <v>0</v>
      </c>
    </row>
    <row r="168">
      <c r="A168" s="1178" t="inlineStr">
        <is>
          <t>5020 ALLANBROOKE LN</t>
        </is>
      </c>
      <c r="B168" s="1178" t="inlineStr">
        <is>
          <t>FUQUAY-VARINA</t>
        </is>
      </c>
      <c r="C168" s="1178" t="inlineStr">
        <is>
          <t>NORTH CAROLINA</t>
        </is>
      </c>
      <c r="D168" s="1178" t="inlineStr">
        <is>
          <t>27526</t>
        </is>
      </c>
      <c r="E168" s="1178" t="inlineStr"/>
      <c r="F168" s="1178" t="inlineStr">
        <is>
          <t>RES-SFU</t>
        </is>
      </c>
      <c r="G168" s="1178" t="inlineStr">
        <is>
          <t>BURIED</t>
        </is>
      </c>
      <c r="H168" s="1178" t="inlineStr">
        <is>
          <t>Y</t>
        </is>
      </c>
      <c r="I168" s="1178" t="inlineStr"/>
      <c r="J168" s="1179" t="n">
        <v>1</v>
      </c>
      <c r="K168" s="1179" t="n">
        <v>0</v>
      </c>
    </row>
    <row r="169" ht="15.75" customHeight="1" s="955" thickBot="1">
      <c r="A169" s="1180" t="inlineStr">
        <is>
          <t>5020 NORTHRIDING CT</t>
        </is>
      </c>
      <c r="B169" s="1180" t="inlineStr">
        <is>
          <t>FUQUAY-VARINA</t>
        </is>
      </c>
      <c r="C169" s="1180" t="inlineStr">
        <is>
          <t>NORTH CAROLINA</t>
        </is>
      </c>
      <c r="D169" s="1180" t="inlineStr">
        <is>
          <t>27526</t>
        </is>
      </c>
      <c r="E169" s="1180" t="inlineStr"/>
      <c r="F169" s="1180" t="inlineStr">
        <is>
          <t>RES-SFU</t>
        </is>
      </c>
      <c r="G169" s="1180" t="inlineStr">
        <is>
          <t>BURIED</t>
        </is>
      </c>
      <c r="H169" s="1180" t="inlineStr">
        <is>
          <t>Y</t>
        </is>
      </c>
      <c r="I169" s="1180" t="inlineStr"/>
      <c r="J169" s="1181" t="n">
        <v>1</v>
      </c>
      <c r="K169" s="1181" t="n">
        <v>0</v>
      </c>
    </row>
    <row r="170" ht="15.75" customHeight="1" s="955" thickTop="1">
      <c r="A170" s="1178" t="inlineStr">
        <is>
          <t>5021 ALLANBROOKE LN</t>
        </is>
      </c>
      <c r="B170" s="1178" t="inlineStr">
        <is>
          <t>FUQUAY-VARINA</t>
        </is>
      </c>
      <c r="C170" s="1178" t="inlineStr">
        <is>
          <t>NORTH CAROLINA</t>
        </is>
      </c>
      <c r="D170" s="1178" t="inlineStr">
        <is>
          <t>27526</t>
        </is>
      </c>
      <c r="E170" s="1178" t="inlineStr"/>
      <c r="F170" s="1178" t="inlineStr">
        <is>
          <t>RES-SFU</t>
        </is>
      </c>
      <c r="G170" s="1178" t="inlineStr">
        <is>
          <t>BURIED</t>
        </is>
      </c>
      <c r="H170" s="1178" t="inlineStr">
        <is>
          <t>Y</t>
        </is>
      </c>
      <c r="I170" s="1178" t="inlineStr"/>
      <c r="J170" s="1179" t="n">
        <v>1</v>
      </c>
      <c r="K170" s="1179" t="n">
        <v>0</v>
      </c>
    </row>
    <row r="171">
      <c r="A171" s="1178" t="inlineStr">
        <is>
          <t>5021 NORTHRIDING CT</t>
        </is>
      </c>
      <c r="B171" s="1178" t="inlineStr">
        <is>
          <t>FUQUAY-VARINA</t>
        </is>
      </c>
      <c r="C171" s="1178" t="inlineStr">
        <is>
          <t>NORTH CAROLINA</t>
        </is>
      </c>
      <c r="D171" s="1178" t="inlineStr">
        <is>
          <t>27526</t>
        </is>
      </c>
      <c r="E171" s="1178" t="inlineStr"/>
      <c r="F171" s="1178" t="inlineStr">
        <is>
          <t>RES-SFU</t>
        </is>
      </c>
      <c r="G171" s="1178" t="inlineStr">
        <is>
          <t>BURIED</t>
        </is>
      </c>
      <c r="H171" s="1178" t="inlineStr">
        <is>
          <t>Y</t>
        </is>
      </c>
      <c r="I171" s="1178" t="inlineStr"/>
      <c r="J171" s="1179" t="n">
        <v>1</v>
      </c>
      <c r="K171" s="1179" t="n">
        <v>0</v>
      </c>
    </row>
    <row r="172">
      <c r="A172" s="1178" t="inlineStr">
        <is>
          <t>5024 ALLANBROOKE LN</t>
        </is>
      </c>
      <c r="B172" s="1178" t="inlineStr">
        <is>
          <t>FUQUAY-VARINA</t>
        </is>
      </c>
      <c r="C172" s="1178" t="inlineStr">
        <is>
          <t>NORTH CAROLINA</t>
        </is>
      </c>
      <c r="D172" s="1178" t="inlineStr">
        <is>
          <t>27526</t>
        </is>
      </c>
      <c r="E172" s="1178" t="inlineStr"/>
      <c r="F172" s="1178" t="inlineStr">
        <is>
          <t>RES-SFU</t>
        </is>
      </c>
      <c r="G172" s="1178" t="inlineStr">
        <is>
          <t>BURIED</t>
        </is>
      </c>
      <c r="H172" s="1178" t="inlineStr">
        <is>
          <t>Y</t>
        </is>
      </c>
      <c r="I172" s="1178" t="inlineStr"/>
      <c r="J172" s="1179" t="n">
        <v>1</v>
      </c>
      <c r="K172" s="1179" t="n">
        <v>0</v>
      </c>
    </row>
    <row r="173">
      <c r="A173" s="1178" t="inlineStr">
        <is>
          <t>5024 NORTHRIDING CT</t>
        </is>
      </c>
      <c r="B173" s="1178" t="inlineStr">
        <is>
          <t>FUQUAY-VARINA</t>
        </is>
      </c>
      <c r="C173" s="1178" t="inlineStr">
        <is>
          <t>NORTH CAROLINA</t>
        </is>
      </c>
      <c r="D173" s="1178" t="inlineStr">
        <is>
          <t>27526</t>
        </is>
      </c>
      <c r="E173" s="1178" t="inlineStr"/>
      <c r="F173" s="1178" t="inlineStr">
        <is>
          <t>RES-SFU</t>
        </is>
      </c>
      <c r="G173" s="1178" t="inlineStr">
        <is>
          <t>BURIED</t>
        </is>
      </c>
      <c r="H173" s="1178" t="inlineStr">
        <is>
          <t>Y</t>
        </is>
      </c>
      <c r="I173" s="1178" t="inlineStr"/>
      <c r="J173" s="1179" t="n">
        <v>1</v>
      </c>
      <c r="K173" s="1179" t="n">
        <v>0</v>
      </c>
    </row>
    <row r="174">
      <c r="A174" s="1178" t="inlineStr">
        <is>
          <t>5025 ALLANBROOKE LN</t>
        </is>
      </c>
      <c r="B174" s="1178" t="inlineStr">
        <is>
          <t>FUQUAY-VARINA</t>
        </is>
      </c>
      <c r="C174" s="1178" t="inlineStr">
        <is>
          <t>NORTH CAROLINA</t>
        </is>
      </c>
      <c r="D174" s="1178" t="inlineStr">
        <is>
          <t>27526</t>
        </is>
      </c>
      <c r="E174" s="1178" t="inlineStr"/>
      <c r="F174" s="1178" t="inlineStr">
        <is>
          <t>RES-SFU</t>
        </is>
      </c>
      <c r="G174" s="1178" t="inlineStr">
        <is>
          <t>BURIED</t>
        </is>
      </c>
      <c r="H174" s="1178" t="inlineStr">
        <is>
          <t>Y</t>
        </is>
      </c>
      <c r="I174" s="1178" t="inlineStr"/>
      <c r="J174" s="1179" t="n">
        <v>1</v>
      </c>
      <c r="K174" s="1179" t="n">
        <v>0</v>
      </c>
    </row>
    <row r="175">
      <c r="A175" s="1178" t="inlineStr">
        <is>
          <t>5025 HILLTOP NEEDMORE RD</t>
        </is>
      </c>
      <c r="B175" s="1178" t="inlineStr">
        <is>
          <t>FUQUAY-VARINA</t>
        </is>
      </c>
      <c r="C175" s="1178" t="inlineStr">
        <is>
          <t>NORTH CAROLINA</t>
        </is>
      </c>
      <c r="D175" s="1178" t="inlineStr">
        <is>
          <t>27526</t>
        </is>
      </c>
      <c r="E175" s="1178" t="inlineStr"/>
      <c r="F175" s="1178" t="inlineStr">
        <is>
          <t>RES-SFU</t>
        </is>
      </c>
      <c r="G175" s="1178" t="inlineStr">
        <is>
          <t>BURIED</t>
        </is>
      </c>
      <c r="H175" s="1178" t="inlineStr">
        <is>
          <t>Y</t>
        </is>
      </c>
      <c r="I175" s="1178" t="inlineStr"/>
      <c r="J175" s="1179" t="n">
        <v>1</v>
      </c>
      <c r="K175" s="1179" t="n">
        <v>0</v>
      </c>
    </row>
    <row r="176">
      <c r="A176" s="1178" t="inlineStr">
        <is>
          <t>5025 NORTHRIDING CT</t>
        </is>
      </c>
      <c r="B176" s="1178" t="inlineStr">
        <is>
          <t>FUQUAY-VARINA</t>
        </is>
      </c>
      <c r="C176" s="1178" t="inlineStr">
        <is>
          <t>NORTH CAROLINA</t>
        </is>
      </c>
      <c r="D176" s="1178" t="inlineStr">
        <is>
          <t>27526</t>
        </is>
      </c>
      <c r="E176" s="1178" t="inlineStr"/>
      <c r="F176" s="1178" t="inlineStr">
        <is>
          <t>RES-SFU</t>
        </is>
      </c>
      <c r="G176" s="1178" t="inlineStr">
        <is>
          <t>BURIED</t>
        </is>
      </c>
      <c r="H176" s="1178" t="inlineStr">
        <is>
          <t>Y</t>
        </is>
      </c>
      <c r="I176" s="1178" t="inlineStr"/>
      <c r="J176" s="1179" t="n">
        <v>1</v>
      </c>
      <c r="K176" s="1179" t="n">
        <v>0</v>
      </c>
    </row>
    <row r="177">
      <c r="A177" s="1178" t="inlineStr">
        <is>
          <t>5028 ALLANBROOKE LN</t>
        </is>
      </c>
      <c r="B177" s="1178" t="inlineStr">
        <is>
          <t>FUQUAY-VARINA</t>
        </is>
      </c>
      <c r="C177" s="1178" t="inlineStr">
        <is>
          <t>NORTH CAROLINA</t>
        </is>
      </c>
      <c r="D177" s="1178" t="inlineStr">
        <is>
          <t>27526</t>
        </is>
      </c>
      <c r="E177" s="1178" t="inlineStr"/>
      <c r="F177" s="1178" t="inlineStr">
        <is>
          <t>RES-SFU</t>
        </is>
      </c>
      <c r="G177" s="1178" t="inlineStr">
        <is>
          <t>BURIED</t>
        </is>
      </c>
      <c r="H177" s="1178" t="inlineStr">
        <is>
          <t>Y</t>
        </is>
      </c>
      <c r="I177" s="1178" t="inlineStr"/>
      <c r="J177" s="1179" t="n">
        <v>1</v>
      </c>
      <c r="K177" s="1179" t="n">
        <v>0</v>
      </c>
    </row>
    <row r="178">
      <c r="A178" s="1178" t="inlineStr">
        <is>
          <t>5029 ALLANBROOKE LN</t>
        </is>
      </c>
      <c r="B178" s="1178" t="inlineStr">
        <is>
          <t>FUQUAY-VARINA</t>
        </is>
      </c>
      <c r="C178" s="1178" t="inlineStr">
        <is>
          <t>NORTH CAROLINA</t>
        </is>
      </c>
      <c r="D178" s="1178" t="inlineStr">
        <is>
          <t>27526</t>
        </is>
      </c>
      <c r="E178" s="1178" t="inlineStr"/>
      <c r="F178" s="1178" t="inlineStr">
        <is>
          <t>RES-SFU</t>
        </is>
      </c>
      <c r="G178" s="1178" t="inlineStr">
        <is>
          <t>BURIED</t>
        </is>
      </c>
      <c r="H178" s="1178" t="inlineStr">
        <is>
          <t>Y</t>
        </is>
      </c>
      <c r="I178" s="1178" t="inlineStr"/>
      <c r="J178" s="1179" t="n">
        <v>1</v>
      </c>
      <c r="K178" s="1179" t="n">
        <v>0</v>
      </c>
    </row>
    <row r="179">
      <c r="A179" s="1178" t="inlineStr">
        <is>
          <t>5029 HILLTOP NEEDMORE RD</t>
        </is>
      </c>
      <c r="B179" s="1178" t="inlineStr">
        <is>
          <t>FUQUAY-VARINA</t>
        </is>
      </c>
      <c r="C179" s="1178" t="inlineStr">
        <is>
          <t>NORTH CAROLINA</t>
        </is>
      </c>
      <c r="D179" s="1178" t="inlineStr">
        <is>
          <t>27526</t>
        </is>
      </c>
      <c r="E179" s="1178" t="inlineStr"/>
      <c r="F179" s="1178" t="inlineStr">
        <is>
          <t>RES-SFU</t>
        </is>
      </c>
      <c r="G179" s="1178" t="inlineStr">
        <is>
          <t>BURIED</t>
        </is>
      </c>
      <c r="H179" s="1178" t="inlineStr">
        <is>
          <t>Y</t>
        </is>
      </c>
      <c r="I179" s="1178" t="inlineStr"/>
      <c r="J179" s="1179" t="n">
        <v>1</v>
      </c>
      <c r="K179" s="1179" t="n">
        <v>0</v>
      </c>
    </row>
    <row r="180">
      <c r="A180" s="1178" t="inlineStr">
        <is>
          <t>5032 ALLANBROOKE LN</t>
        </is>
      </c>
      <c r="B180" s="1178" t="inlineStr">
        <is>
          <t>FUQUAY-VARINA</t>
        </is>
      </c>
      <c r="C180" s="1178" t="inlineStr">
        <is>
          <t>NORTH CAROLINA</t>
        </is>
      </c>
      <c r="D180" s="1178" t="inlineStr">
        <is>
          <t>27526</t>
        </is>
      </c>
      <c r="E180" s="1178" t="inlineStr"/>
      <c r="F180" s="1178" t="inlineStr">
        <is>
          <t>RES-SFU</t>
        </is>
      </c>
      <c r="G180" s="1178" t="inlineStr">
        <is>
          <t>BURIED</t>
        </is>
      </c>
      <c r="H180" s="1178" t="inlineStr">
        <is>
          <t>Y</t>
        </is>
      </c>
      <c r="I180" s="1178" t="inlineStr"/>
      <c r="J180" s="1179" t="n">
        <v>1</v>
      </c>
      <c r="K180" s="1179" t="n">
        <v>0</v>
      </c>
    </row>
    <row r="181" ht="15.75" customHeight="1" s="955" thickBot="1">
      <c r="A181" s="1180" t="inlineStr">
        <is>
          <t>5033 ALLANBROOKE LN</t>
        </is>
      </c>
      <c r="B181" s="1180" t="inlineStr">
        <is>
          <t>FUQUAY-VARINA</t>
        </is>
      </c>
      <c r="C181" s="1180" t="inlineStr">
        <is>
          <t>NORTH CAROLINA</t>
        </is>
      </c>
      <c r="D181" s="1180" t="inlineStr">
        <is>
          <t>27526</t>
        </is>
      </c>
      <c r="E181" s="1180" t="inlineStr"/>
      <c r="F181" s="1180" t="inlineStr">
        <is>
          <t>RES-SFU</t>
        </is>
      </c>
      <c r="G181" s="1180" t="inlineStr">
        <is>
          <t>BURIED</t>
        </is>
      </c>
      <c r="H181" s="1180" t="inlineStr">
        <is>
          <t>Y</t>
        </is>
      </c>
      <c r="I181" s="1180" t="inlineStr"/>
      <c r="J181" s="1181" t="n">
        <v>1</v>
      </c>
      <c r="K181" s="1181" t="n">
        <v>0</v>
      </c>
    </row>
    <row r="182" ht="15.75" customHeight="1" s="955" thickTop="1">
      <c r="A182" s="1178" t="inlineStr">
        <is>
          <t>5036 ALLANBROOKE LN</t>
        </is>
      </c>
      <c r="B182" s="1178" t="inlineStr">
        <is>
          <t>FUQUAY-VARINA</t>
        </is>
      </c>
      <c r="C182" s="1178" t="inlineStr">
        <is>
          <t>NORTH CAROLINA</t>
        </is>
      </c>
      <c r="D182" s="1178" t="inlineStr">
        <is>
          <t>27526</t>
        </is>
      </c>
      <c r="E182" s="1178" t="inlineStr"/>
      <c r="F182" s="1178" t="inlineStr">
        <is>
          <t>RES-SFU</t>
        </is>
      </c>
      <c r="G182" s="1178" t="inlineStr">
        <is>
          <t>BURIED</t>
        </is>
      </c>
      <c r="H182" s="1178" t="inlineStr">
        <is>
          <t>Y</t>
        </is>
      </c>
      <c r="I182" s="1178" t="inlineStr"/>
      <c r="J182" s="1179" t="n">
        <v>1</v>
      </c>
      <c r="K182" s="1179" t="n">
        <v>0</v>
      </c>
    </row>
    <row r="183">
      <c r="A183" s="1178" t="inlineStr">
        <is>
          <t>5037 ALLANBROOKE LN</t>
        </is>
      </c>
      <c r="B183" s="1178" t="inlineStr">
        <is>
          <t>FUQUAY-VARINA</t>
        </is>
      </c>
      <c r="C183" s="1178" t="inlineStr">
        <is>
          <t>NORTH CAROLINA</t>
        </is>
      </c>
      <c r="D183" s="1178" t="inlineStr">
        <is>
          <t>27526</t>
        </is>
      </c>
      <c r="E183" s="1178" t="inlineStr"/>
      <c r="F183" s="1178" t="inlineStr">
        <is>
          <t>RES-SFU</t>
        </is>
      </c>
      <c r="G183" s="1178" t="inlineStr">
        <is>
          <t>BURIED</t>
        </is>
      </c>
      <c r="H183" s="1178" t="inlineStr">
        <is>
          <t>Y</t>
        </is>
      </c>
      <c r="I183" s="1178" t="inlineStr"/>
      <c r="J183" s="1179" t="n">
        <v>1</v>
      </c>
      <c r="K183" s="1179" t="n">
        <v>0</v>
      </c>
    </row>
    <row r="184">
      <c r="A184" s="1178" t="inlineStr">
        <is>
          <t>5040 ALLANBROOKE LN</t>
        </is>
      </c>
      <c r="B184" s="1178" t="inlineStr">
        <is>
          <t>FUQUAY-VARINA</t>
        </is>
      </c>
      <c r="C184" s="1178" t="inlineStr">
        <is>
          <t>NORTH CAROLINA</t>
        </is>
      </c>
      <c r="D184" s="1178" t="inlineStr">
        <is>
          <t>27526</t>
        </is>
      </c>
      <c r="E184" s="1178" t="inlineStr"/>
      <c r="F184" s="1178" t="inlineStr">
        <is>
          <t>RES-SFU</t>
        </is>
      </c>
      <c r="G184" s="1178" t="inlineStr">
        <is>
          <t>BURIED</t>
        </is>
      </c>
      <c r="H184" s="1178" t="inlineStr">
        <is>
          <t>Y</t>
        </is>
      </c>
      <c r="I184" s="1178" t="inlineStr"/>
      <c r="J184" s="1179" t="n">
        <v>1</v>
      </c>
      <c r="K184" s="1179" t="n">
        <v>0</v>
      </c>
    </row>
    <row r="185">
      <c r="A185" s="1178" t="inlineStr">
        <is>
          <t>5041 ALLANBROOKE LN</t>
        </is>
      </c>
      <c r="B185" s="1178" t="inlineStr">
        <is>
          <t>FUQUAY-VARINA</t>
        </is>
      </c>
      <c r="C185" s="1178" t="inlineStr">
        <is>
          <t>NORTH CAROLINA</t>
        </is>
      </c>
      <c r="D185" s="1178" t="inlineStr">
        <is>
          <t>27526</t>
        </is>
      </c>
      <c r="E185" s="1178" t="inlineStr"/>
      <c r="F185" s="1178" t="inlineStr">
        <is>
          <t>RES-SFU</t>
        </is>
      </c>
      <c r="G185" s="1178" t="inlineStr">
        <is>
          <t>BURIED</t>
        </is>
      </c>
      <c r="H185" s="1178" t="inlineStr">
        <is>
          <t>Y</t>
        </is>
      </c>
      <c r="I185" s="1178" t="inlineStr"/>
      <c r="J185" s="1179" t="n">
        <v>1</v>
      </c>
      <c r="K185" s="1179" t="n">
        <v>0</v>
      </c>
    </row>
    <row r="186">
      <c r="A186" s="1178" t="inlineStr">
        <is>
          <t>5044 ALLANBROOKE LN</t>
        </is>
      </c>
      <c r="B186" s="1178" t="inlineStr">
        <is>
          <t>FUQUAY-VARINA</t>
        </is>
      </c>
      <c r="C186" s="1178" t="inlineStr">
        <is>
          <t>NORTH CAROLINA</t>
        </is>
      </c>
      <c r="D186" s="1178" t="inlineStr">
        <is>
          <t>27526</t>
        </is>
      </c>
      <c r="E186" s="1178" t="inlineStr"/>
      <c r="F186" s="1178" t="inlineStr">
        <is>
          <t>RES-SFU</t>
        </is>
      </c>
      <c r="G186" s="1178" t="inlineStr">
        <is>
          <t>BURIED</t>
        </is>
      </c>
      <c r="H186" s="1178" t="inlineStr">
        <is>
          <t>Y</t>
        </is>
      </c>
      <c r="I186" s="1178" t="inlineStr"/>
      <c r="J186" s="1179" t="n">
        <v>1</v>
      </c>
      <c r="K186" s="1179" t="n">
        <v>0</v>
      </c>
    </row>
    <row r="187">
      <c r="A187" s="1178" t="inlineStr">
        <is>
          <t>5045 ALLANBROOKE LN</t>
        </is>
      </c>
      <c r="B187" s="1178" t="inlineStr">
        <is>
          <t>FUQUAY-VARINA</t>
        </is>
      </c>
      <c r="C187" s="1178" t="inlineStr">
        <is>
          <t>NORTH CAROLINA</t>
        </is>
      </c>
      <c r="D187" s="1178" t="inlineStr">
        <is>
          <t>27526</t>
        </is>
      </c>
      <c r="E187" s="1178" t="inlineStr"/>
      <c r="F187" s="1178" t="inlineStr">
        <is>
          <t>RES-SFU</t>
        </is>
      </c>
      <c r="G187" s="1178" t="inlineStr">
        <is>
          <t>BURIED</t>
        </is>
      </c>
      <c r="H187" s="1178" t="inlineStr">
        <is>
          <t>Y</t>
        </is>
      </c>
      <c r="I187" s="1178" t="inlineStr"/>
      <c r="J187" s="1179" t="n">
        <v>1</v>
      </c>
      <c r="K187" s="1179" t="n">
        <v>0</v>
      </c>
    </row>
    <row r="188">
      <c r="A188" s="1178" t="inlineStr">
        <is>
          <t>5048 ALLANBROOKE LN</t>
        </is>
      </c>
      <c r="B188" s="1178" t="inlineStr">
        <is>
          <t>FUQUAY-VARINA</t>
        </is>
      </c>
      <c r="C188" s="1178" t="inlineStr">
        <is>
          <t>NORTH CAROLINA</t>
        </is>
      </c>
      <c r="D188" s="1178" t="inlineStr">
        <is>
          <t>27526</t>
        </is>
      </c>
      <c r="E188" s="1178" t="inlineStr"/>
      <c r="F188" s="1178" t="inlineStr">
        <is>
          <t>RES-SFU</t>
        </is>
      </c>
      <c r="G188" s="1178" t="inlineStr">
        <is>
          <t>BURIED</t>
        </is>
      </c>
      <c r="H188" s="1178" t="inlineStr">
        <is>
          <t>Y</t>
        </is>
      </c>
      <c r="I188" s="1178" t="inlineStr"/>
      <c r="J188" s="1179" t="n">
        <v>1</v>
      </c>
      <c r="K188" s="1179" t="n">
        <v>0</v>
      </c>
    </row>
    <row r="189">
      <c r="A189" s="1178" t="inlineStr">
        <is>
          <t>5049 ALLANBROOKE LN</t>
        </is>
      </c>
      <c r="B189" s="1178" t="inlineStr">
        <is>
          <t>FUQUAY-VARINA</t>
        </is>
      </c>
      <c r="C189" s="1178" t="inlineStr">
        <is>
          <t>NORTH CAROLINA</t>
        </is>
      </c>
      <c r="D189" s="1178" t="inlineStr">
        <is>
          <t>27526</t>
        </is>
      </c>
      <c r="E189" s="1178" t="inlineStr"/>
      <c r="F189" s="1178" t="inlineStr">
        <is>
          <t>RES-SFU</t>
        </is>
      </c>
      <c r="G189" s="1178" t="inlineStr">
        <is>
          <t>BURIED</t>
        </is>
      </c>
      <c r="H189" s="1178" t="inlineStr">
        <is>
          <t>Y</t>
        </is>
      </c>
      <c r="I189" s="1178" t="inlineStr"/>
      <c r="J189" s="1179" t="n">
        <v>1</v>
      </c>
      <c r="K189" s="1179" t="n">
        <v>0</v>
      </c>
    </row>
    <row r="190">
      <c r="A190" s="1178" t="inlineStr">
        <is>
          <t>5052 ALLANBROOKE LN</t>
        </is>
      </c>
      <c r="B190" s="1178" t="inlineStr">
        <is>
          <t>FUQUAY-VARINA</t>
        </is>
      </c>
      <c r="C190" s="1178" t="inlineStr">
        <is>
          <t>NORTH CAROLINA</t>
        </is>
      </c>
      <c r="D190" s="1178" t="inlineStr">
        <is>
          <t>27526</t>
        </is>
      </c>
      <c r="E190" s="1178" t="inlineStr"/>
      <c r="F190" s="1178" t="inlineStr">
        <is>
          <t>RES-SFU</t>
        </is>
      </c>
      <c r="G190" s="1178" t="inlineStr">
        <is>
          <t>BURIED</t>
        </is>
      </c>
      <c r="H190" s="1178" t="inlineStr">
        <is>
          <t>Y</t>
        </is>
      </c>
      <c r="I190" s="1178" t="inlineStr"/>
      <c r="J190" s="1179" t="n">
        <v>1</v>
      </c>
      <c r="K190" s="1179" t="n">
        <v>0</v>
      </c>
    </row>
    <row r="191">
      <c r="A191" s="1178" t="inlineStr">
        <is>
          <t>5053 ALLANBROOKE LN</t>
        </is>
      </c>
      <c r="B191" s="1178" t="inlineStr">
        <is>
          <t>FUQUAY-VARINA</t>
        </is>
      </c>
      <c r="C191" s="1178" t="inlineStr">
        <is>
          <t>NORTH CAROLINA</t>
        </is>
      </c>
      <c r="D191" s="1178" t="inlineStr">
        <is>
          <t>27526</t>
        </is>
      </c>
      <c r="E191" s="1178" t="inlineStr"/>
      <c r="F191" s="1178" t="inlineStr">
        <is>
          <t>RES-SFU</t>
        </is>
      </c>
      <c r="G191" s="1178" t="inlineStr">
        <is>
          <t>BURIED</t>
        </is>
      </c>
      <c r="H191" s="1178" t="inlineStr">
        <is>
          <t>Y</t>
        </is>
      </c>
      <c r="I191" s="1178" t="inlineStr"/>
      <c r="J191" s="1179" t="n">
        <v>1</v>
      </c>
      <c r="K191" s="1179" t="n">
        <v>0</v>
      </c>
    </row>
    <row r="192">
      <c r="A192" s="1178" t="inlineStr">
        <is>
          <t>5056 ALLANBROOKE LN</t>
        </is>
      </c>
      <c r="B192" s="1178" t="inlineStr">
        <is>
          <t>FUQUAY-VARINA</t>
        </is>
      </c>
      <c r="C192" s="1178" t="inlineStr">
        <is>
          <t>NORTH CAROLINA</t>
        </is>
      </c>
      <c r="D192" s="1178" t="inlineStr">
        <is>
          <t>27526</t>
        </is>
      </c>
      <c r="E192" s="1178" t="inlineStr"/>
      <c r="F192" s="1178" t="inlineStr">
        <is>
          <t>RES-SFU</t>
        </is>
      </c>
      <c r="G192" s="1178" t="inlineStr">
        <is>
          <t>BURIED</t>
        </is>
      </c>
      <c r="H192" s="1178" t="inlineStr">
        <is>
          <t>Y</t>
        </is>
      </c>
      <c r="I192" s="1178" t="inlineStr"/>
      <c r="J192" s="1179" t="n">
        <v>1</v>
      </c>
      <c r="K192" s="1179" t="n">
        <v>0</v>
      </c>
    </row>
    <row r="193" ht="15.75" customHeight="1" s="955" thickBot="1">
      <c r="A193" s="1180" t="inlineStr">
        <is>
          <t>5100 HILLTOP NEEDMORE RD</t>
        </is>
      </c>
      <c r="B193" s="1180" t="inlineStr">
        <is>
          <t>FUQUAY-VARINA</t>
        </is>
      </c>
      <c r="C193" s="1180" t="inlineStr">
        <is>
          <t>NORTH CAROLINA</t>
        </is>
      </c>
      <c r="D193" s="1180" t="inlineStr">
        <is>
          <t>27526</t>
        </is>
      </c>
      <c r="E193" s="1180" t="inlineStr"/>
      <c r="F193" s="1180" t="inlineStr">
        <is>
          <t>RES-SFU</t>
        </is>
      </c>
      <c r="G193" s="1180" t="inlineStr">
        <is>
          <t>BURIED</t>
        </is>
      </c>
      <c r="H193" s="1180" t="inlineStr">
        <is>
          <t>Y</t>
        </is>
      </c>
      <c r="I193" s="1180" t="inlineStr"/>
      <c r="J193" s="1181" t="n">
        <v>1</v>
      </c>
      <c r="K193" s="1181" t="n">
        <v>0</v>
      </c>
    </row>
    <row r="194" ht="15.75" customHeight="1" s="955" thickTop="1">
      <c r="A194" s="1178" t="inlineStr">
        <is>
          <t>5105 HILLTOP NEEDMORE RD</t>
        </is>
      </c>
      <c r="B194" s="1178" t="inlineStr">
        <is>
          <t>FUQUAY-VARINA</t>
        </is>
      </c>
      <c r="C194" s="1178" t="inlineStr">
        <is>
          <t>NORTH CAROLINA</t>
        </is>
      </c>
      <c r="D194" s="1178" t="inlineStr">
        <is>
          <t>27526</t>
        </is>
      </c>
      <c r="E194" s="1178" t="inlineStr"/>
      <c r="F194" s="1178" t="inlineStr">
        <is>
          <t>RES-SFU</t>
        </is>
      </c>
      <c r="G194" s="1178" t="inlineStr">
        <is>
          <t>BURIED</t>
        </is>
      </c>
      <c r="H194" s="1178" t="inlineStr">
        <is>
          <t>Y</t>
        </is>
      </c>
      <c r="I194" s="1178" t="inlineStr"/>
      <c r="J194" s="1179" t="n">
        <v>1</v>
      </c>
      <c r="K194" s="1179" t="n">
        <v>0</v>
      </c>
    </row>
    <row r="195">
      <c r="A195" s="1178" t="inlineStr">
        <is>
          <t>5109 HILLTOP NEEDMORE RD</t>
        </is>
      </c>
      <c r="B195" s="1178" t="inlineStr">
        <is>
          <t>FUQUAY-VARINA</t>
        </is>
      </c>
      <c r="C195" s="1178" t="inlineStr">
        <is>
          <t>NORTH CAROLINA</t>
        </is>
      </c>
      <c r="D195" s="1178" t="inlineStr">
        <is>
          <t>27526</t>
        </is>
      </c>
      <c r="E195" s="1178" t="inlineStr"/>
      <c r="F195" s="1178" t="inlineStr">
        <is>
          <t>RES-SFU</t>
        </is>
      </c>
      <c r="G195" s="1178" t="inlineStr">
        <is>
          <t>BURIED</t>
        </is>
      </c>
      <c r="H195" s="1178" t="inlineStr">
        <is>
          <t>Y</t>
        </is>
      </c>
      <c r="I195" s="1178" t="inlineStr"/>
      <c r="J195" s="1179" t="n">
        <v>1</v>
      </c>
      <c r="K195" s="1179" t="n">
        <v>0</v>
      </c>
    </row>
    <row r="196">
      <c r="A196" s="1178" t="inlineStr">
        <is>
          <t>5117 HILLTOP NEEDMORE RD</t>
        </is>
      </c>
      <c r="B196" s="1178" t="inlineStr">
        <is>
          <t>FUQUAY-VARINA</t>
        </is>
      </c>
      <c r="C196" s="1178" t="inlineStr">
        <is>
          <t>NORTH CAROLINA</t>
        </is>
      </c>
      <c r="D196" s="1178" t="inlineStr">
        <is>
          <t>27526</t>
        </is>
      </c>
      <c r="E196" s="1178" t="inlineStr"/>
      <c r="F196" s="1178" t="inlineStr">
        <is>
          <t>RES-SFU</t>
        </is>
      </c>
      <c r="G196" s="1178" t="inlineStr">
        <is>
          <t>BURIED</t>
        </is>
      </c>
      <c r="H196" s="1178" t="inlineStr">
        <is>
          <t>Y</t>
        </is>
      </c>
      <c r="I196" s="1178" t="inlineStr"/>
      <c r="J196" s="1179" t="n">
        <v>1</v>
      </c>
      <c r="K196" s="1179" t="n">
        <v>0</v>
      </c>
    </row>
    <row r="197">
      <c r="A197" s="1178" t="inlineStr">
        <is>
          <t>5120 HILLTOP NEEDMORE RD</t>
        </is>
      </c>
      <c r="B197" s="1178" t="inlineStr">
        <is>
          <t>FUQUAY-VARINA</t>
        </is>
      </c>
      <c r="C197" s="1178" t="inlineStr">
        <is>
          <t>NORTH CAROLINA</t>
        </is>
      </c>
      <c r="D197" s="1178" t="inlineStr">
        <is>
          <t>27526</t>
        </is>
      </c>
      <c r="E197" s="1178" t="inlineStr"/>
      <c r="F197" s="1178" t="inlineStr">
        <is>
          <t>RES-SFU</t>
        </is>
      </c>
      <c r="G197" s="1178" t="inlineStr">
        <is>
          <t>BURIED</t>
        </is>
      </c>
      <c r="H197" s="1178" t="inlineStr">
        <is>
          <t>Y</t>
        </is>
      </c>
      <c r="I197" s="1178" t="inlineStr"/>
      <c r="J197" s="1179" t="n">
        <v>1</v>
      </c>
      <c r="K197" s="1179" t="n">
        <v>0</v>
      </c>
    </row>
    <row r="198">
      <c r="A198" s="1178" t="inlineStr">
        <is>
          <t>5125 HILLTOP NEEDMORE RD</t>
        </is>
      </c>
      <c r="B198" s="1178" t="inlineStr">
        <is>
          <t>FUQUAY-VARINA</t>
        </is>
      </c>
      <c r="C198" s="1178" t="inlineStr">
        <is>
          <t>NORTH CAROLINA</t>
        </is>
      </c>
      <c r="D198" s="1178" t="inlineStr">
        <is>
          <t>27526</t>
        </is>
      </c>
      <c r="E198" s="1178" t="inlineStr"/>
      <c r="F198" s="1178" t="inlineStr">
        <is>
          <t>RES-SFU</t>
        </is>
      </c>
      <c r="G198" s="1178" t="inlineStr">
        <is>
          <t>BURIED</t>
        </is>
      </c>
      <c r="H198" s="1178" t="inlineStr">
        <is>
          <t>Y</t>
        </is>
      </c>
      <c r="I198" s="1178" t="inlineStr"/>
      <c r="J198" s="1179" t="n">
        <v>1</v>
      </c>
      <c r="K198" s="1179" t="n">
        <v>0</v>
      </c>
    </row>
    <row r="199">
      <c r="A199" s="1178" t="inlineStr">
        <is>
          <t>5201 HILLTOP NEEDMORE RD</t>
        </is>
      </c>
      <c r="B199" s="1178" t="inlineStr">
        <is>
          <t>FUQUAY-VARINA</t>
        </is>
      </c>
      <c r="C199" s="1178" t="inlineStr">
        <is>
          <t>NORTH CAROLINA</t>
        </is>
      </c>
      <c r="D199" s="1178" t="inlineStr">
        <is>
          <t>27526</t>
        </is>
      </c>
      <c r="E199" s="1178" t="inlineStr"/>
      <c r="F199" s="1178" t="inlineStr">
        <is>
          <t>RES-SFU</t>
        </is>
      </c>
      <c r="G199" s="1178" t="inlineStr">
        <is>
          <t>BURIED</t>
        </is>
      </c>
      <c r="H199" s="1178" t="inlineStr">
        <is>
          <t>Y</t>
        </is>
      </c>
      <c r="I199" s="1178" t="inlineStr"/>
      <c r="J199" s="1179" t="n">
        <v>1</v>
      </c>
      <c r="K199" s="1179" t="n">
        <v>0</v>
      </c>
    </row>
    <row r="200">
      <c r="A200" s="1178" t="inlineStr">
        <is>
          <t>5201 HILTOP NEEDMORE RD</t>
        </is>
      </c>
      <c r="B200" s="1178" t="inlineStr">
        <is>
          <t>FUQUAY-VARINA</t>
        </is>
      </c>
      <c r="C200" s="1178" t="inlineStr">
        <is>
          <t>NORTH CAROLINA</t>
        </is>
      </c>
      <c r="D200" s="1178" t="inlineStr">
        <is>
          <t>27526</t>
        </is>
      </c>
      <c r="E200" s="1178" t="inlineStr"/>
      <c r="F200" s="1178" t="inlineStr">
        <is>
          <t>RES-SFU</t>
        </is>
      </c>
      <c r="G200" s="1178" t="inlineStr">
        <is>
          <t>BURIED</t>
        </is>
      </c>
      <c r="H200" s="1178" t="inlineStr">
        <is>
          <t>Y</t>
        </is>
      </c>
      <c r="I200" s="1178" t="inlineStr"/>
      <c r="J200" s="1179" t="n">
        <v>1</v>
      </c>
      <c r="K200" s="1179" t="n">
        <v>0</v>
      </c>
    </row>
    <row r="201">
      <c r="A201" s="1178" t="inlineStr">
        <is>
          <t>5204 HILLTOP NEEDMORE RD</t>
        </is>
      </c>
      <c r="B201" s="1178" t="inlineStr">
        <is>
          <t>FUQUAY-VARINA</t>
        </is>
      </c>
      <c r="C201" s="1178" t="inlineStr">
        <is>
          <t>NORTH CAROLINA</t>
        </is>
      </c>
      <c r="D201" s="1178" t="inlineStr">
        <is>
          <t>27526</t>
        </is>
      </c>
      <c r="E201" s="1178" t="inlineStr"/>
      <c r="F201" s="1178" t="inlineStr">
        <is>
          <t>RES-SFU</t>
        </is>
      </c>
      <c r="G201" s="1178" t="inlineStr">
        <is>
          <t>BURIED</t>
        </is>
      </c>
      <c r="H201" s="1178" t="inlineStr">
        <is>
          <t>Y</t>
        </is>
      </c>
      <c r="I201" s="1178" t="inlineStr"/>
      <c r="J201" s="1179" t="n">
        <v>1</v>
      </c>
      <c r="K201" s="1179" t="n">
        <v>0</v>
      </c>
    </row>
    <row r="202">
      <c r="A202" s="1178" t="inlineStr">
        <is>
          <t>5204 RIVINGTON RD</t>
        </is>
      </c>
      <c r="B202" s="1178" t="inlineStr">
        <is>
          <t>FUQUAY-VARINA</t>
        </is>
      </c>
      <c r="C202" s="1178" t="inlineStr">
        <is>
          <t>NORTH CAROLINA</t>
        </is>
      </c>
      <c r="D202" s="1178" t="inlineStr">
        <is>
          <t>27526</t>
        </is>
      </c>
      <c r="E202" s="1178" t="inlineStr"/>
      <c r="F202" s="1178" t="inlineStr">
        <is>
          <t>RES-SFU</t>
        </is>
      </c>
      <c r="G202" s="1178" t="inlineStr">
        <is>
          <t>BURIED</t>
        </is>
      </c>
      <c r="H202" s="1178" t="inlineStr">
        <is>
          <t>Y</t>
        </is>
      </c>
      <c r="I202" s="1178" t="inlineStr"/>
      <c r="J202" s="1179" t="n">
        <v>1</v>
      </c>
      <c r="K202" s="1179" t="n">
        <v>0</v>
      </c>
    </row>
    <row r="203">
      <c r="A203" s="1178" t="inlineStr">
        <is>
          <t>5205 HILLTOP NEEDMORE RD</t>
        </is>
      </c>
      <c r="B203" s="1178" t="inlineStr">
        <is>
          <t>FUQUAY-VARINA</t>
        </is>
      </c>
      <c r="C203" s="1178" t="inlineStr">
        <is>
          <t>NORTH CAROLINA</t>
        </is>
      </c>
      <c r="D203" s="1178" t="inlineStr">
        <is>
          <t>27526</t>
        </is>
      </c>
      <c r="E203" s="1178" t="inlineStr"/>
      <c r="F203" s="1178" t="inlineStr">
        <is>
          <t>RES-SFU</t>
        </is>
      </c>
      <c r="G203" s="1178" t="inlineStr">
        <is>
          <t>BURIED</t>
        </is>
      </c>
      <c r="H203" s="1178" t="inlineStr">
        <is>
          <t>Y</t>
        </is>
      </c>
      <c r="I203" s="1178" t="inlineStr"/>
      <c r="J203" s="1179" t="n">
        <v>1</v>
      </c>
      <c r="K203" s="1179" t="n">
        <v>0</v>
      </c>
    </row>
    <row r="204">
      <c r="A204" s="1178" t="inlineStr">
        <is>
          <t>5205 RIVINGTON RD</t>
        </is>
      </c>
      <c r="B204" s="1178" t="inlineStr">
        <is>
          <t>FUQUAY-VARINA</t>
        </is>
      </c>
      <c r="C204" s="1178" t="inlineStr">
        <is>
          <t>NORTH CAROLINA</t>
        </is>
      </c>
      <c r="D204" s="1178" t="inlineStr">
        <is>
          <t>27526</t>
        </is>
      </c>
      <c r="E204" s="1178" t="inlineStr"/>
      <c r="F204" s="1178" t="inlineStr">
        <is>
          <t>RES-SFU</t>
        </is>
      </c>
      <c r="G204" s="1178" t="inlineStr">
        <is>
          <t>BURIED</t>
        </is>
      </c>
      <c r="H204" s="1178" t="inlineStr">
        <is>
          <t>Y</t>
        </is>
      </c>
      <c r="I204" s="1178" t="inlineStr"/>
      <c r="J204" s="1179" t="n">
        <v>1</v>
      </c>
      <c r="K204" s="1179" t="n">
        <v>0</v>
      </c>
    </row>
    <row r="205" ht="15.75" customHeight="1" s="955" thickBot="1">
      <c r="A205" s="1180" t="inlineStr">
        <is>
          <t>5208 RIVINGTON RD</t>
        </is>
      </c>
      <c r="B205" s="1180" t="inlineStr">
        <is>
          <t>FUQUAY-VARINA</t>
        </is>
      </c>
      <c r="C205" s="1180" t="inlineStr">
        <is>
          <t>NORTH CAROLINA</t>
        </is>
      </c>
      <c r="D205" s="1180" t="inlineStr">
        <is>
          <t>27526</t>
        </is>
      </c>
      <c r="E205" s="1180" t="inlineStr"/>
      <c r="F205" s="1180" t="inlineStr">
        <is>
          <t>RES-SFU</t>
        </is>
      </c>
      <c r="G205" s="1180" t="inlineStr">
        <is>
          <t>BURIED</t>
        </is>
      </c>
      <c r="H205" s="1180" t="inlineStr">
        <is>
          <t>Y</t>
        </is>
      </c>
      <c r="I205" s="1180" t="inlineStr"/>
      <c r="J205" s="1181" t="n">
        <v>1</v>
      </c>
      <c r="K205" s="1181" t="n">
        <v>0</v>
      </c>
    </row>
    <row r="206" ht="15.75" customHeight="1" s="955" thickTop="1">
      <c r="A206" s="1178" t="inlineStr">
        <is>
          <t>5209 HILLTOP NEEDMORE RD</t>
        </is>
      </c>
      <c r="B206" s="1178" t="inlineStr">
        <is>
          <t>FUQUAY-VARINA</t>
        </is>
      </c>
      <c r="C206" s="1178" t="inlineStr">
        <is>
          <t>NORTH CAROLINA</t>
        </is>
      </c>
      <c r="D206" s="1178" t="inlineStr">
        <is>
          <t>27526</t>
        </is>
      </c>
      <c r="E206" s="1178" t="inlineStr"/>
      <c r="F206" s="1178" t="inlineStr">
        <is>
          <t>RES-SFU</t>
        </is>
      </c>
      <c r="G206" s="1178" t="inlineStr">
        <is>
          <t>BURIED</t>
        </is>
      </c>
      <c r="H206" s="1178" t="inlineStr">
        <is>
          <t>Y</t>
        </is>
      </c>
      <c r="I206" s="1178" t="inlineStr"/>
      <c r="J206" s="1179" t="n">
        <v>1</v>
      </c>
      <c r="K206" s="1179" t="n">
        <v>0</v>
      </c>
    </row>
    <row r="207">
      <c r="A207" s="1178" t="inlineStr">
        <is>
          <t>5209 RIVINGTON RD</t>
        </is>
      </c>
      <c r="B207" s="1178" t="inlineStr">
        <is>
          <t>FUQUAY-VARINA</t>
        </is>
      </c>
      <c r="C207" s="1178" t="inlineStr">
        <is>
          <t>NORTH CAROLINA</t>
        </is>
      </c>
      <c r="D207" s="1178" t="inlineStr">
        <is>
          <t>27526</t>
        </is>
      </c>
      <c r="E207" s="1178" t="inlineStr"/>
      <c r="F207" s="1178" t="inlineStr">
        <is>
          <t>RES-SFU</t>
        </is>
      </c>
      <c r="G207" s="1178" t="inlineStr">
        <is>
          <t>BURIED</t>
        </is>
      </c>
      <c r="H207" s="1178" t="inlineStr">
        <is>
          <t>Y</t>
        </is>
      </c>
      <c r="I207" s="1178" t="inlineStr"/>
      <c r="J207" s="1179" t="n">
        <v>1</v>
      </c>
      <c r="K207" s="1179" t="n">
        <v>0</v>
      </c>
    </row>
    <row r="208">
      <c r="A208" s="1178" t="inlineStr">
        <is>
          <t>5212 RIVINGTON RD</t>
        </is>
      </c>
      <c r="B208" s="1178" t="inlineStr">
        <is>
          <t>FUQUAY-VARINA</t>
        </is>
      </c>
      <c r="C208" s="1178" t="inlineStr">
        <is>
          <t>NORTH CAROLINA</t>
        </is>
      </c>
      <c r="D208" s="1178" t="inlineStr">
        <is>
          <t>27526</t>
        </is>
      </c>
      <c r="E208" s="1178" t="inlineStr"/>
      <c r="F208" s="1178" t="inlineStr">
        <is>
          <t>RES-SFU</t>
        </is>
      </c>
      <c r="G208" s="1178" t="inlineStr">
        <is>
          <t>BURIED</t>
        </is>
      </c>
      <c r="H208" s="1178" t="inlineStr">
        <is>
          <t>Y</t>
        </is>
      </c>
      <c r="I208" s="1178" t="inlineStr"/>
      <c r="J208" s="1179" t="n">
        <v>1</v>
      </c>
      <c r="K208" s="1179" t="n">
        <v>0</v>
      </c>
    </row>
    <row r="209">
      <c r="A209" s="1178" t="inlineStr">
        <is>
          <t>5213 RIVINGTON RD</t>
        </is>
      </c>
      <c r="B209" s="1178" t="inlineStr">
        <is>
          <t>FUQUAY-VARINA</t>
        </is>
      </c>
      <c r="C209" s="1178" t="inlineStr">
        <is>
          <t>NORTH CAROLINA</t>
        </is>
      </c>
      <c r="D209" s="1178" t="inlineStr">
        <is>
          <t>27526</t>
        </is>
      </c>
      <c r="E209" s="1178" t="inlineStr"/>
      <c r="F209" s="1178" t="inlineStr">
        <is>
          <t>RES-SFU</t>
        </is>
      </c>
      <c r="G209" s="1178" t="inlineStr">
        <is>
          <t>BURIED</t>
        </is>
      </c>
      <c r="H209" s="1178" t="inlineStr">
        <is>
          <t>Y</t>
        </is>
      </c>
      <c r="I209" s="1178" t="inlineStr"/>
      <c r="J209" s="1179" t="n">
        <v>1</v>
      </c>
      <c r="K209" s="1179" t="n">
        <v>0</v>
      </c>
    </row>
    <row r="210">
      <c r="A210" s="1178" t="inlineStr">
        <is>
          <t>5216 RIVINGTON RD</t>
        </is>
      </c>
      <c r="B210" s="1178" t="inlineStr">
        <is>
          <t>FUQUAY-VARINA</t>
        </is>
      </c>
      <c r="C210" s="1178" t="inlineStr">
        <is>
          <t>NORTH CAROLINA</t>
        </is>
      </c>
      <c r="D210" s="1178" t="inlineStr">
        <is>
          <t>27526</t>
        </is>
      </c>
      <c r="E210" s="1178" t="inlineStr"/>
      <c r="F210" s="1178" t="inlineStr">
        <is>
          <t>RES-SFU</t>
        </is>
      </c>
      <c r="G210" s="1178" t="inlineStr">
        <is>
          <t>BURIED</t>
        </is>
      </c>
      <c r="H210" s="1178" t="inlineStr">
        <is>
          <t>Y</t>
        </is>
      </c>
      <c r="I210" s="1178" t="inlineStr"/>
      <c r="J210" s="1179" t="n">
        <v>1</v>
      </c>
      <c r="K210" s="1179" t="n">
        <v>0</v>
      </c>
    </row>
    <row r="211">
      <c r="A211" s="1178" t="inlineStr">
        <is>
          <t>5220 RIVINGTON RD</t>
        </is>
      </c>
      <c r="B211" s="1178" t="inlineStr">
        <is>
          <t>FUQUAY-VARINA</t>
        </is>
      </c>
      <c r="C211" s="1178" t="inlineStr">
        <is>
          <t>NORTH CAROLINA</t>
        </is>
      </c>
      <c r="D211" s="1178" t="inlineStr">
        <is>
          <t>27526</t>
        </is>
      </c>
      <c r="E211" s="1178" t="inlineStr"/>
      <c r="F211" s="1178" t="inlineStr">
        <is>
          <t>RES-SFU</t>
        </is>
      </c>
      <c r="G211" s="1178" t="inlineStr">
        <is>
          <t>BURIED</t>
        </is>
      </c>
      <c r="H211" s="1178" t="inlineStr">
        <is>
          <t>Y</t>
        </is>
      </c>
      <c r="I211" s="1178" t="inlineStr"/>
      <c r="J211" s="1179" t="n">
        <v>1</v>
      </c>
      <c r="K211" s="1179" t="n">
        <v>0</v>
      </c>
    </row>
    <row r="212">
      <c r="A212" s="1178" t="inlineStr">
        <is>
          <t>5221 RIVINGTON RD</t>
        </is>
      </c>
      <c r="B212" s="1178" t="inlineStr">
        <is>
          <t>FUQUAY-VARINA</t>
        </is>
      </c>
      <c r="C212" s="1178" t="inlineStr">
        <is>
          <t>NORTH CAROLINA</t>
        </is>
      </c>
      <c r="D212" s="1178" t="inlineStr">
        <is>
          <t>27526</t>
        </is>
      </c>
      <c r="E212" s="1178" t="inlineStr"/>
      <c r="F212" s="1178" t="inlineStr">
        <is>
          <t>RES-SFU</t>
        </is>
      </c>
      <c r="G212" s="1178" t="inlineStr">
        <is>
          <t>BURIED</t>
        </is>
      </c>
      <c r="H212" s="1178" t="inlineStr">
        <is>
          <t>Y</t>
        </is>
      </c>
      <c r="I212" s="1178" t="inlineStr"/>
      <c r="J212" s="1179" t="n">
        <v>1</v>
      </c>
      <c r="K212" s="1179" t="n">
        <v>0</v>
      </c>
    </row>
    <row r="213">
      <c r="A213" s="1178" t="inlineStr">
        <is>
          <t>5224 RIVINGTON RD</t>
        </is>
      </c>
      <c r="B213" s="1178" t="inlineStr">
        <is>
          <t>FUQUAY-VARINA</t>
        </is>
      </c>
      <c r="C213" s="1178" t="inlineStr">
        <is>
          <t>NORTH CAROLINA</t>
        </is>
      </c>
      <c r="D213" s="1178" t="inlineStr">
        <is>
          <t>27526</t>
        </is>
      </c>
      <c r="E213" s="1178" t="inlineStr"/>
      <c r="F213" s="1178" t="inlineStr">
        <is>
          <t>RES-SFU</t>
        </is>
      </c>
      <c r="G213" s="1178" t="inlineStr">
        <is>
          <t>BURIED</t>
        </is>
      </c>
      <c r="H213" s="1178" t="inlineStr">
        <is>
          <t>Y</t>
        </is>
      </c>
      <c r="I213" s="1178" t="inlineStr"/>
      <c r="J213" s="1179" t="n">
        <v>1</v>
      </c>
      <c r="K213" s="1179" t="n">
        <v>0</v>
      </c>
    </row>
    <row r="214">
      <c r="A214" s="1178" t="inlineStr">
        <is>
          <t>5228 RIVINGTON RD</t>
        </is>
      </c>
      <c r="B214" s="1178" t="inlineStr">
        <is>
          <t>FUQUAY-VARINA</t>
        </is>
      </c>
      <c r="C214" s="1178" t="inlineStr">
        <is>
          <t>NORTH CAROLINA</t>
        </is>
      </c>
      <c r="D214" s="1178" t="inlineStr">
        <is>
          <t>27526</t>
        </is>
      </c>
      <c r="E214" s="1178" t="inlineStr"/>
      <c r="F214" s="1178" t="inlineStr">
        <is>
          <t>RES-SFU</t>
        </is>
      </c>
      <c r="G214" s="1178" t="inlineStr">
        <is>
          <t>BURIED</t>
        </is>
      </c>
      <c r="H214" s="1178" t="inlineStr">
        <is>
          <t>Y</t>
        </is>
      </c>
      <c r="I214" s="1178" t="inlineStr"/>
      <c r="J214" s="1179" t="n">
        <v>1</v>
      </c>
      <c r="K214" s="1179" t="n">
        <v>0</v>
      </c>
    </row>
    <row r="215">
      <c r="A215" s="1178" t="inlineStr">
        <is>
          <t>5229 RIVINGTON RD</t>
        </is>
      </c>
      <c r="B215" s="1178" t="inlineStr">
        <is>
          <t>FUQUAY-VARINA</t>
        </is>
      </c>
      <c r="C215" s="1178" t="inlineStr">
        <is>
          <t>NORTH CAROLINA</t>
        </is>
      </c>
      <c r="D215" s="1178" t="inlineStr">
        <is>
          <t>27526</t>
        </is>
      </c>
      <c r="E215" s="1178" t="inlineStr"/>
      <c r="F215" s="1178" t="inlineStr">
        <is>
          <t>RES-SFU</t>
        </is>
      </c>
      <c r="G215" s="1178" t="inlineStr">
        <is>
          <t>BURIED</t>
        </is>
      </c>
      <c r="H215" s="1178" t="inlineStr">
        <is>
          <t>Y</t>
        </is>
      </c>
      <c r="I215" s="1178" t="inlineStr"/>
      <c r="J215" s="1179" t="n">
        <v>1</v>
      </c>
      <c r="K215" s="1179" t="n">
        <v>0</v>
      </c>
    </row>
    <row r="216">
      <c r="A216" s="1178" t="inlineStr">
        <is>
          <t>5232 RIVINGTON RD</t>
        </is>
      </c>
      <c r="B216" s="1178" t="inlineStr">
        <is>
          <t>FUQUAY-VARINA</t>
        </is>
      </c>
      <c r="C216" s="1178" t="inlineStr">
        <is>
          <t>NORTH CAROLINA</t>
        </is>
      </c>
      <c r="D216" s="1178" t="inlineStr">
        <is>
          <t>27526</t>
        </is>
      </c>
      <c r="E216" s="1178" t="inlineStr"/>
      <c r="F216" s="1178" t="inlineStr">
        <is>
          <t>RES-SFU</t>
        </is>
      </c>
      <c r="G216" s="1178" t="inlineStr">
        <is>
          <t>BURIED</t>
        </is>
      </c>
      <c r="H216" s="1178" t="inlineStr">
        <is>
          <t>Y</t>
        </is>
      </c>
      <c r="I216" s="1178" t="inlineStr"/>
      <c r="J216" s="1179" t="n">
        <v>1</v>
      </c>
      <c r="K216" s="1179" t="n">
        <v>0</v>
      </c>
    </row>
    <row r="217" ht="15.75" customHeight="1" s="955" thickBot="1">
      <c r="A217" s="1180" t="inlineStr">
        <is>
          <t>5300 RIVINGTON RD</t>
        </is>
      </c>
      <c r="B217" s="1180" t="inlineStr">
        <is>
          <t>FUQUAY-VARINA</t>
        </is>
      </c>
      <c r="C217" s="1180" t="inlineStr">
        <is>
          <t>NORTH CAROLINA</t>
        </is>
      </c>
      <c r="D217" s="1180" t="inlineStr">
        <is>
          <t>27526</t>
        </is>
      </c>
      <c r="E217" s="1180" t="inlineStr"/>
      <c r="F217" s="1180" t="inlineStr">
        <is>
          <t>RES-SFU</t>
        </is>
      </c>
      <c r="G217" s="1180" t="inlineStr">
        <is>
          <t>BURIED</t>
        </is>
      </c>
      <c r="H217" s="1180" t="inlineStr">
        <is>
          <t>Y</t>
        </is>
      </c>
      <c r="I217" s="1180" t="inlineStr"/>
      <c r="J217" s="1181" t="n">
        <v>1</v>
      </c>
      <c r="K217" s="1181" t="n">
        <v>0</v>
      </c>
    </row>
    <row r="218" ht="15.75" customHeight="1" s="955" thickTop="1">
      <c r="A218" s="1178" t="inlineStr">
        <is>
          <t>5305 RIVINGTON RD</t>
        </is>
      </c>
      <c r="B218" s="1178" t="inlineStr">
        <is>
          <t>FUQUAY-VARINA</t>
        </is>
      </c>
      <c r="C218" s="1178" t="inlineStr">
        <is>
          <t>NORTH CAROLINA</t>
        </is>
      </c>
      <c r="D218" s="1178" t="inlineStr">
        <is>
          <t>27526</t>
        </is>
      </c>
      <c r="E218" s="1178" t="inlineStr"/>
      <c r="F218" s="1178" t="inlineStr">
        <is>
          <t>RES-SFU</t>
        </is>
      </c>
      <c r="G218" s="1178" t="inlineStr">
        <is>
          <t>BURIED</t>
        </is>
      </c>
      <c r="H218" s="1178" t="inlineStr">
        <is>
          <t>Y</t>
        </is>
      </c>
      <c r="I218" s="1178" t="inlineStr"/>
      <c r="J218" s="1179" t="n">
        <v>1</v>
      </c>
      <c r="K218" s="1179" t="n">
        <v>0</v>
      </c>
    </row>
    <row r="219">
      <c r="A219" s="1178" t="inlineStr">
        <is>
          <t>5308 RIVINGTON RD</t>
        </is>
      </c>
      <c r="B219" s="1178" t="inlineStr">
        <is>
          <t>FUQUAY-VARINA</t>
        </is>
      </c>
      <c r="C219" s="1178" t="inlineStr">
        <is>
          <t>NORTH CAROLINA</t>
        </is>
      </c>
      <c r="D219" s="1178" t="inlineStr">
        <is>
          <t>27526</t>
        </is>
      </c>
      <c r="E219" s="1178" t="inlineStr"/>
      <c r="F219" s="1178" t="inlineStr">
        <is>
          <t>RES-SFU</t>
        </is>
      </c>
      <c r="G219" s="1178" t="inlineStr">
        <is>
          <t>BURIED</t>
        </is>
      </c>
      <c r="H219" s="1178" t="inlineStr">
        <is>
          <t>Y</t>
        </is>
      </c>
      <c r="I219" s="1178" t="inlineStr"/>
      <c r="J219" s="1179" t="n">
        <v>1</v>
      </c>
      <c r="K219" s="1179" t="n">
        <v>0</v>
      </c>
    </row>
    <row r="220">
      <c r="A220" s="1178" t="inlineStr">
        <is>
          <t>5309 RIVINGTON RD</t>
        </is>
      </c>
      <c r="B220" s="1178" t="inlineStr">
        <is>
          <t>FUQUAY-VARINA</t>
        </is>
      </c>
      <c r="C220" s="1178" t="inlineStr">
        <is>
          <t>NORTH CAROLINA</t>
        </is>
      </c>
      <c r="D220" s="1178" t="inlineStr">
        <is>
          <t>27526</t>
        </is>
      </c>
      <c r="E220" s="1178" t="inlineStr"/>
      <c r="F220" s="1178" t="inlineStr">
        <is>
          <t>RES-SFU</t>
        </is>
      </c>
      <c r="G220" s="1178" t="inlineStr">
        <is>
          <t>BURIED</t>
        </is>
      </c>
      <c r="H220" s="1178" t="inlineStr">
        <is>
          <t>Y</t>
        </is>
      </c>
      <c r="I220" s="1178" t="inlineStr"/>
      <c r="J220" s="1179" t="n">
        <v>1</v>
      </c>
      <c r="K220" s="1179" t="n">
        <v>0</v>
      </c>
    </row>
    <row r="221">
      <c r="A221" s="1178" t="inlineStr">
        <is>
          <t>5700 ACCIPITER CT</t>
        </is>
      </c>
      <c r="B221" s="1178" t="inlineStr">
        <is>
          <t>FUQUAY-VARINA</t>
        </is>
      </c>
      <c r="C221" s="1178" t="inlineStr">
        <is>
          <t>NORTH CAROLINA</t>
        </is>
      </c>
      <c r="D221" s="1178" t="inlineStr">
        <is>
          <t>27526</t>
        </is>
      </c>
      <c r="E221" s="1178" t="inlineStr"/>
      <c r="F221" s="1178" t="inlineStr">
        <is>
          <t>RES-SFU</t>
        </is>
      </c>
      <c r="G221" s="1178" t="inlineStr">
        <is>
          <t>BURIED</t>
        </is>
      </c>
      <c r="H221" s="1178" t="inlineStr">
        <is>
          <t>Y</t>
        </is>
      </c>
      <c r="I221" s="1178" t="inlineStr"/>
      <c r="J221" s="1179" t="n">
        <v>1</v>
      </c>
      <c r="K221" s="1179" t="n">
        <v>0</v>
      </c>
    </row>
    <row r="222">
      <c r="A222" s="1178" t="inlineStr">
        <is>
          <t>5700 BUTEO CT</t>
        </is>
      </c>
      <c r="B222" s="1178" t="inlineStr">
        <is>
          <t>FUQUAY-VARINA</t>
        </is>
      </c>
      <c r="C222" s="1178" t="inlineStr">
        <is>
          <t>NORTH CAROLINA</t>
        </is>
      </c>
      <c r="D222" s="1178" t="inlineStr">
        <is>
          <t>27526</t>
        </is>
      </c>
      <c r="E222" s="1178" t="inlineStr"/>
      <c r="F222" s="1178" t="inlineStr">
        <is>
          <t>RES-SFU</t>
        </is>
      </c>
      <c r="G222" s="1178" t="inlineStr">
        <is>
          <t>BURIED</t>
        </is>
      </c>
      <c r="H222" s="1178" t="inlineStr">
        <is>
          <t>Y</t>
        </is>
      </c>
      <c r="I222" s="1178" t="inlineStr"/>
      <c r="J222" s="1179" t="n">
        <v>1</v>
      </c>
      <c r="K222" s="1179" t="n">
        <v>0</v>
      </c>
    </row>
    <row r="223">
      <c r="A223" s="1178" t="inlineStr">
        <is>
          <t>5700 MIZUNO DR</t>
        </is>
      </c>
      <c r="B223" s="1178" t="inlineStr">
        <is>
          <t>FUQUAY-VARINA</t>
        </is>
      </c>
      <c r="C223" s="1178" t="inlineStr">
        <is>
          <t>NORTH CAROLINA</t>
        </is>
      </c>
      <c r="D223" s="1178" t="inlineStr">
        <is>
          <t>27526</t>
        </is>
      </c>
      <c r="E223" s="1178" t="inlineStr"/>
      <c r="F223" s="1178" t="inlineStr">
        <is>
          <t>RES-SFU</t>
        </is>
      </c>
      <c r="G223" s="1178" t="inlineStr">
        <is>
          <t>BURIED</t>
        </is>
      </c>
      <c r="H223" s="1178" t="inlineStr">
        <is>
          <t>Y</t>
        </is>
      </c>
      <c r="I223" s="1178" t="inlineStr"/>
      <c r="J223" s="1179" t="n">
        <v>1</v>
      </c>
      <c r="K223" s="1179" t="n">
        <v>0</v>
      </c>
    </row>
    <row r="224">
      <c r="A224" s="1178" t="inlineStr">
        <is>
          <t>5700 MULLIGAN WAY</t>
        </is>
      </c>
      <c r="B224" s="1178" t="inlineStr">
        <is>
          <t>FUQUAY-VARINA</t>
        </is>
      </c>
      <c r="C224" s="1178" t="inlineStr">
        <is>
          <t>NORTH CAROLINA</t>
        </is>
      </c>
      <c r="D224" s="1178" t="inlineStr">
        <is>
          <t>27526</t>
        </is>
      </c>
      <c r="E224" s="1178" t="inlineStr"/>
      <c r="F224" s="1178" t="inlineStr">
        <is>
          <t>RES-SFU</t>
        </is>
      </c>
      <c r="G224" s="1178" t="inlineStr">
        <is>
          <t>BURIED</t>
        </is>
      </c>
      <c r="H224" s="1178" t="inlineStr">
        <is>
          <t>Y</t>
        </is>
      </c>
      <c r="I224" s="1178" t="inlineStr"/>
      <c r="J224" s="1179" t="n">
        <v>1</v>
      </c>
      <c r="K224" s="1179" t="n">
        <v>0</v>
      </c>
    </row>
    <row r="225">
      <c r="A225" s="1178" t="inlineStr">
        <is>
          <t>5700 WYSTERIA DR</t>
        </is>
      </c>
      <c r="B225" s="1178" t="inlineStr">
        <is>
          <t>FUQUAY-VARINA</t>
        </is>
      </c>
      <c r="C225" s="1178" t="inlineStr">
        <is>
          <t>NORTH CAROLINA</t>
        </is>
      </c>
      <c r="D225" s="1178" t="inlineStr">
        <is>
          <t>27526</t>
        </is>
      </c>
      <c r="E225" s="1178" t="inlineStr"/>
      <c r="F225" s="1178" t="inlineStr">
        <is>
          <t>RES-SFU</t>
        </is>
      </c>
      <c r="G225" s="1178" t="inlineStr">
        <is>
          <t>BURIED</t>
        </is>
      </c>
      <c r="H225" s="1178" t="inlineStr">
        <is>
          <t>Y</t>
        </is>
      </c>
      <c r="I225" s="1178" t="inlineStr"/>
      <c r="J225" s="1179" t="n">
        <v>1</v>
      </c>
      <c r="K225" s="1179" t="n">
        <v>0</v>
      </c>
    </row>
    <row r="226">
      <c r="A226" s="1178" t="inlineStr">
        <is>
          <t>5701 ACCIPITER CT</t>
        </is>
      </c>
      <c r="B226" s="1178" t="inlineStr">
        <is>
          <t>FUQUAY-VARINA</t>
        </is>
      </c>
      <c r="C226" s="1178" t="inlineStr">
        <is>
          <t>NORTH CAROLINA</t>
        </is>
      </c>
      <c r="D226" s="1178" t="inlineStr">
        <is>
          <t>27526</t>
        </is>
      </c>
      <c r="E226" s="1178" t="inlineStr"/>
      <c r="F226" s="1178" t="inlineStr">
        <is>
          <t>RES-SFU</t>
        </is>
      </c>
      <c r="G226" s="1178" t="inlineStr">
        <is>
          <t>BURIED</t>
        </is>
      </c>
      <c r="H226" s="1178" t="inlineStr">
        <is>
          <t>Y</t>
        </is>
      </c>
      <c r="I226" s="1178" t="inlineStr"/>
      <c r="J226" s="1179" t="n">
        <v>1</v>
      </c>
      <c r="K226" s="1179" t="n">
        <v>0</v>
      </c>
    </row>
    <row r="227">
      <c r="A227" s="1178" t="inlineStr">
        <is>
          <t>5701 BUTEO CT</t>
        </is>
      </c>
      <c r="B227" s="1178" t="inlineStr">
        <is>
          <t>FUQUAY-VARINA</t>
        </is>
      </c>
      <c r="C227" s="1178" t="inlineStr">
        <is>
          <t>NORTH CAROLINA</t>
        </is>
      </c>
      <c r="D227" s="1178" t="inlineStr">
        <is>
          <t>27526</t>
        </is>
      </c>
      <c r="E227" s="1178" t="inlineStr"/>
      <c r="F227" s="1178" t="inlineStr">
        <is>
          <t>RES-SFU</t>
        </is>
      </c>
      <c r="G227" s="1178" t="inlineStr">
        <is>
          <t>BURIED</t>
        </is>
      </c>
      <c r="H227" s="1178" t="inlineStr">
        <is>
          <t>Y</t>
        </is>
      </c>
      <c r="I227" s="1178" t="inlineStr"/>
      <c r="J227" s="1179" t="n">
        <v>1</v>
      </c>
      <c r="K227" s="1179" t="n">
        <v>0</v>
      </c>
    </row>
    <row r="228">
      <c r="A228" s="1178" t="inlineStr">
        <is>
          <t>5701 MULLIGAN WAY</t>
        </is>
      </c>
      <c r="B228" s="1178" t="inlineStr">
        <is>
          <t>FUQUAY-VARINA</t>
        </is>
      </c>
      <c r="C228" s="1178" t="inlineStr">
        <is>
          <t>NORTH CAROLINA</t>
        </is>
      </c>
      <c r="D228" s="1178" t="inlineStr">
        <is>
          <t>27526</t>
        </is>
      </c>
      <c r="E228" s="1178" t="inlineStr"/>
      <c r="F228" s="1178" t="inlineStr">
        <is>
          <t>RES-SFU</t>
        </is>
      </c>
      <c r="G228" s="1178" t="inlineStr">
        <is>
          <t>BURIED</t>
        </is>
      </c>
      <c r="H228" s="1178" t="inlineStr">
        <is>
          <t>Y</t>
        </is>
      </c>
      <c r="I228" s="1178" t="inlineStr"/>
      <c r="J228" s="1179" t="n">
        <v>1</v>
      </c>
      <c r="K228" s="1179" t="n">
        <v>0</v>
      </c>
    </row>
    <row r="229" ht="15.75" customHeight="1" s="955" thickBot="1">
      <c r="A229" s="1180" t="inlineStr">
        <is>
          <t>5701 WYSTERIA DR</t>
        </is>
      </c>
      <c r="B229" s="1180" t="inlineStr">
        <is>
          <t>FUQUAY-VARINA</t>
        </is>
      </c>
      <c r="C229" s="1180" t="inlineStr">
        <is>
          <t>NORTH CAROLINA</t>
        </is>
      </c>
      <c r="D229" s="1180" t="inlineStr">
        <is>
          <t>27526</t>
        </is>
      </c>
      <c r="E229" s="1180" t="inlineStr"/>
      <c r="F229" s="1180" t="inlineStr">
        <is>
          <t>RES-SFU</t>
        </is>
      </c>
      <c r="G229" s="1180" t="inlineStr">
        <is>
          <t>BURIED</t>
        </is>
      </c>
      <c r="H229" s="1180" t="inlineStr">
        <is>
          <t>Y</t>
        </is>
      </c>
      <c r="I229" s="1180" t="inlineStr"/>
      <c r="J229" s="1181" t="n">
        <v>1</v>
      </c>
      <c r="K229" s="1181" t="n">
        <v>0</v>
      </c>
    </row>
    <row r="230" ht="15.75" customHeight="1" s="955" thickTop="1">
      <c r="A230" s="1178" t="inlineStr">
        <is>
          <t>5704 ACCIPITER CT</t>
        </is>
      </c>
      <c r="B230" s="1178" t="inlineStr">
        <is>
          <t>FUQUAY-VARINA</t>
        </is>
      </c>
      <c r="C230" s="1178" t="inlineStr">
        <is>
          <t>NORTH CAROLINA</t>
        </is>
      </c>
      <c r="D230" s="1178" t="inlineStr">
        <is>
          <t>27526</t>
        </is>
      </c>
      <c r="E230" s="1178" t="inlineStr"/>
      <c r="F230" s="1178" t="inlineStr">
        <is>
          <t>RES-SFU</t>
        </is>
      </c>
      <c r="G230" s="1178" t="inlineStr">
        <is>
          <t>BURIED</t>
        </is>
      </c>
      <c r="H230" s="1178" t="inlineStr">
        <is>
          <t>Y</t>
        </is>
      </c>
      <c r="I230" s="1178" t="inlineStr"/>
      <c r="J230" s="1179" t="n">
        <v>1</v>
      </c>
      <c r="K230" s="1179" t="n">
        <v>0</v>
      </c>
    </row>
    <row r="231">
      <c r="A231" s="1178" t="inlineStr">
        <is>
          <t>5704 BUTEO CT</t>
        </is>
      </c>
      <c r="B231" s="1178" t="inlineStr">
        <is>
          <t>FUQUAY-VARINA</t>
        </is>
      </c>
      <c r="C231" s="1178" t="inlineStr">
        <is>
          <t>NORTH CAROLINA</t>
        </is>
      </c>
      <c r="D231" s="1178" t="inlineStr">
        <is>
          <t>27526</t>
        </is>
      </c>
      <c r="E231" s="1178" t="inlineStr"/>
      <c r="F231" s="1178" t="inlineStr">
        <is>
          <t>RES-SFU</t>
        </is>
      </c>
      <c r="G231" s="1178" t="inlineStr">
        <is>
          <t>BURIED</t>
        </is>
      </c>
      <c r="H231" s="1178" t="inlineStr">
        <is>
          <t>Y</t>
        </is>
      </c>
      <c r="I231" s="1178" t="inlineStr"/>
      <c r="J231" s="1179" t="n">
        <v>1</v>
      </c>
      <c r="K231" s="1179" t="n">
        <v>0</v>
      </c>
    </row>
    <row r="232">
      <c r="A232" s="1178" t="inlineStr">
        <is>
          <t>5704 MULLIGAN WAY</t>
        </is>
      </c>
      <c r="B232" s="1178" t="inlineStr">
        <is>
          <t>FUQUAY-VARINA</t>
        </is>
      </c>
      <c r="C232" s="1178" t="inlineStr">
        <is>
          <t>NORTH CAROLINA</t>
        </is>
      </c>
      <c r="D232" s="1178" t="inlineStr">
        <is>
          <t>27526</t>
        </is>
      </c>
      <c r="E232" s="1178" t="inlineStr"/>
      <c r="F232" s="1178" t="inlineStr">
        <is>
          <t>RES-SFU</t>
        </is>
      </c>
      <c r="G232" s="1178" t="inlineStr">
        <is>
          <t>BURIED</t>
        </is>
      </c>
      <c r="H232" s="1178" t="inlineStr">
        <is>
          <t>Y</t>
        </is>
      </c>
      <c r="I232" s="1178" t="inlineStr"/>
      <c r="J232" s="1179" t="n">
        <v>1</v>
      </c>
      <c r="K232" s="1179" t="n">
        <v>0</v>
      </c>
    </row>
    <row r="233">
      <c r="A233" s="1178" t="inlineStr">
        <is>
          <t>5704 WYSTERIA DR</t>
        </is>
      </c>
      <c r="B233" s="1178" t="inlineStr">
        <is>
          <t>FUQUAY-VARINA</t>
        </is>
      </c>
      <c r="C233" s="1178" t="inlineStr">
        <is>
          <t>NORTH CAROLINA</t>
        </is>
      </c>
      <c r="D233" s="1178" t="inlineStr">
        <is>
          <t>27526</t>
        </is>
      </c>
      <c r="E233" s="1178" t="inlineStr"/>
      <c r="F233" s="1178" t="inlineStr">
        <is>
          <t>RES-SFU</t>
        </is>
      </c>
      <c r="G233" s="1178" t="inlineStr">
        <is>
          <t>BURIED</t>
        </is>
      </c>
      <c r="H233" s="1178" t="inlineStr">
        <is>
          <t>Y</t>
        </is>
      </c>
      <c r="I233" s="1178" t="inlineStr"/>
      <c r="J233" s="1179" t="n">
        <v>1</v>
      </c>
      <c r="K233" s="1179" t="n">
        <v>0</v>
      </c>
    </row>
    <row r="234">
      <c r="A234" s="1178" t="inlineStr">
        <is>
          <t>5705 ACCIPITER CT</t>
        </is>
      </c>
      <c r="B234" s="1178" t="inlineStr">
        <is>
          <t>FUQUAY-VARINA</t>
        </is>
      </c>
      <c r="C234" s="1178" t="inlineStr">
        <is>
          <t>NORTH CAROLINA</t>
        </is>
      </c>
      <c r="D234" s="1178" t="inlineStr">
        <is>
          <t>27526</t>
        </is>
      </c>
      <c r="E234" s="1178" t="inlineStr"/>
      <c r="F234" s="1178" t="inlineStr">
        <is>
          <t>RES-SFU</t>
        </is>
      </c>
      <c r="G234" s="1178" t="inlineStr">
        <is>
          <t>BURIED</t>
        </is>
      </c>
      <c r="H234" s="1178" t="inlineStr">
        <is>
          <t>Y</t>
        </is>
      </c>
      <c r="I234" s="1178" t="inlineStr"/>
      <c r="J234" s="1179" t="n">
        <v>1</v>
      </c>
      <c r="K234" s="1179" t="n">
        <v>0</v>
      </c>
    </row>
    <row r="235">
      <c r="A235" s="1178" t="inlineStr">
        <is>
          <t>5705 BUTEO CT</t>
        </is>
      </c>
      <c r="B235" s="1178" t="inlineStr">
        <is>
          <t>FUQUAY-VARINA</t>
        </is>
      </c>
      <c r="C235" s="1178" t="inlineStr">
        <is>
          <t>NORTH CAROLINA</t>
        </is>
      </c>
      <c r="D235" s="1178" t="inlineStr">
        <is>
          <t>27526</t>
        </is>
      </c>
      <c r="E235" s="1178" t="inlineStr"/>
      <c r="F235" s="1178" t="inlineStr">
        <is>
          <t>RES-SFU</t>
        </is>
      </c>
      <c r="G235" s="1178" t="inlineStr">
        <is>
          <t>BURIED</t>
        </is>
      </c>
      <c r="H235" s="1178" t="inlineStr">
        <is>
          <t>Y</t>
        </is>
      </c>
      <c r="I235" s="1178" t="inlineStr"/>
      <c r="J235" s="1179" t="n">
        <v>1</v>
      </c>
      <c r="K235" s="1179" t="n">
        <v>0</v>
      </c>
    </row>
    <row r="236">
      <c r="A236" s="1178" t="inlineStr">
        <is>
          <t>5705 MIZUNO DR</t>
        </is>
      </c>
      <c r="B236" s="1178" t="inlineStr">
        <is>
          <t>FUQUAY-VARINA</t>
        </is>
      </c>
      <c r="C236" s="1178" t="inlineStr">
        <is>
          <t>NORTH CAROLINA</t>
        </is>
      </c>
      <c r="D236" s="1178" t="inlineStr">
        <is>
          <t>27526</t>
        </is>
      </c>
      <c r="E236" s="1178" t="inlineStr"/>
      <c r="F236" s="1178" t="inlineStr">
        <is>
          <t>RES-SFU</t>
        </is>
      </c>
      <c r="G236" s="1178" t="inlineStr">
        <is>
          <t>BURIED</t>
        </is>
      </c>
      <c r="H236" s="1178" t="inlineStr">
        <is>
          <t>Y</t>
        </is>
      </c>
      <c r="I236" s="1178" t="inlineStr"/>
      <c r="J236" s="1179" t="n">
        <v>1</v>
      </c>
      <c r="K236" s="1179" t="n">
        <v>0</v>
      </c>
    </row>
    <row r="237">
      <c r="A237" s="1178" t="inlineStr">
        <is>
          <t>5705 MULLIGAN WAY</t>
        </is>
      </c>
      <c r="B237" s="1178" t="inlineStr">
        <is>
          <t>FUQUAY-VARINA</t>
        </is>
      </c>
      <c r="C237" s="1178" t="inlineStr">
        <is>
          <t>NORTH CAROLINA</t>
        </is>
      </c>
      <c r="D237" s="1178" t="inlineStr">
        <is>
          <t>27526</t>
        </is>
      </c>
      <c r="E237" s="1178" t="inlineStr"/>
      <c r="F237" s="1178" t="inlineStr">
        <is>
          <t>RES-SFU</t>
        </is>
      </c>
      <c r="G237" s="1178" t="inlineStr">
        <is>
          <t>BURIED</t>
        </is>
      </c>
      <c r="H237" s="1178" t="inlineStr">
        <is>
          <t>Y</t>
        </is>
      </c>
      <c r="I237" s="1178" t="inlineStr"/>
      <c r="J237" s="1179" t="n">
        <v>1</v>
      </c>
      <c r="K237" s="1179" t="n">
        <v>0</v>
      </c>
    </row>
    <row r="238">
      <c r="A238" s="1178" t="inlineStr">
        <is>
          <t>5705 WYSTERIA DR</t>
        </is>
      </c>
      <c r="B238" s="1178" t="inlineStr">
        <is>
          <t>FUQUAY-VARINA</t>
        </is>
      </c>
      <c r="C238" s="1178" t="inlineStr">
        <is>
          <t>NORTH CAROLINA</t>
        </is>
      </c>
      <c r="D238" s="1178" t="inlineStr">
        <is>
          <t>27526</t>
        </is>
      </c>
      <c r="E238" s="1178" t="inlineStr"/>
      <c r="F238" s="1178" t="inlineStr">
        <is>
          <t>RES-SFU</t>
        </is>
      </c>
      <c r="G238" s="1178" t="inlineStr">
        <is>
          <t>BURIED</t>
        </is>
      </c>
      <c r="H238" s="1178" t="inlineStr">
        <is>
          <t>Y</t>
        </is>
      </c>
      <c r="I238" s="1178" t="inlineStr"/>
      <c r="J238" s="1179" t="n">
        <v>1</v>
      </c>
      <c r="K238" s="1179" t="n">
        <v>0</v>
      </c>
    </row>
    <row r="239">
      <c r="A239" s="1178" t="inlineStr">
        <is>
          <t>5708 ACCIPITER CT</t>
        </is>
      </c>
      <c r="B239" s="1178" t="inlineStr">
        <is>
          <t>FUQUAY-VARINA</t>
        </is>
      </c>
      <c r="C239" s="1178" t="inlineStr">
        <is>
          <t>NORTH CAROLINA</t>
        </is>
      </c>
      <c r="D239" s="1178" t="inlineStr">
        <is>
          <t>27526</t>
        </is>
      </c>
      <c r="E239" s="1178" t="inlineStr"/>
      <c r="F239" s="1178" t="inlineStr">
        <is>
          <t>RES-SFU</t>
        </is>
      </c>
      <c r="G239" s="1178" t="inlineStr">
        <is>
          <t>BURIED</t>
        </is>
      </c>
      <c r="H239" s="1178" t="inlineStr">
        <is>
          <t>Y</t>
        </is>
      </c>
      <c r="I239" s="1178" t="inlineStr"/>
      <c r="J239" s="1179" t="n">
        <v>1</v>
      </c>
      <c r="K239" s="1179" t="n">
        <v>0</v>
      </c>
    </row>
    <row r="240">
      <c r="A240" s="1178" t="inlineStr">
        <is>
          <t>5708 MIZUNO DR</t>
        </is>
      </c>
      <c r="B240" s="1178" t="inlineStr">
        <is>
          <t>FUQUAY-VARINA</t>
        </is>
      </c>
      <c r="C240" s="1178" t="inlineStr">
        <is>
          <t>NORTH CAROLINA</t>
        </is>
      </c>
      <c r="D240" s="1178" t="inlineStr">
        <is>
          <t>27526</t>
        </is>
      </c>
      <c r="E240" s="1178" t="inlineStr"/>
      <c r="F240" s="1178" t="inlineStr">
        <is>
          <t>RES-SFU</t>
        </is>
      </c>
      <c r="G240" s="1178" t="inlineStr">
        <is>
          <t>BURIED</t>
        </is>
      </c>
      <c r="H240" s="1178" t="inlineStr">
        <is>
          <t>Y</t>
        </is>
      </c>
      <c r="I240" s="1178" t="inlineStr"/>
      <c r="J240" s="1179" t="n">
        <v>1</v>
      </c>
      <c r="K240" s="1179" t="n">
        <v>0</v>
      </c>
    </row>
    <row r="241" ht="15.75" customHeight="1" s="955" thickBot="1">
      <c r="A241" s="1180" t="inlineStr">
        <is>
          <t>5708 WYSTERIA DR</t>
        </is>
      </c>
      <c r="B241" s="1180" t="inlineStr">
        <is>
          <t>FUQUAY-VARINA</t>
        </is>
      </c>
      <c r="C241" s="1180" t="inlineStr">
        <is>
          <t>NORTH CAROLINA</t>
        </is>
      </c>
      <c r="D241" s="1180" t="inlineStr">
        <is>
          <t>27526</t>
        </is>
      </c>
      <c r="E241" s="1180" t="inlineStr"/>
      <c r="F241" s="1180" t="inlineStr">
        <is>
          <t>RES-SFU</t>
        </is>
      </c>
      <c r="G241" s="1180" t="inlineStr">
        <is>
          <t>BURIED</t>
        </is>
      </c>
      <c r="H241" s="1180" t="inlineStr">
        <is>
          <t>Y</t>
        </is>
      </c>
      <c r="I241" s="1180" t="inlineStr"/>
      <c r="J241" s="1181" t="n">
        <v>1</v>
      </c>
      <c r="K241" s="1181" t="n">
        <v>0</v>
      </c>
    </row>
    <row r="242" ht="15.75" customHeight="1" s="955" thickTop="1">
      <c r="A242" s="1178" t="inlineStr">
        <is>
          <t>5709 ACCIPITER CT</t>
        </is>
      </c>
      <c r="B242" s="1178" t="inlineStr">
        <is>
          <t>FUQUAY-VARINA</t>
        </is>
      </c>
      <c r="C242" s="1178" t="inlineStr">
        <is>
          <t>NORTH CAROLINA</t>
        </is>
      </c>
      <c r="D242" s="1178" t="inlineStr">
        <is>
          <t>27526</t>
        </is>
      </c>
      <c r="E242" s="1178" t="inlineStr"/>
      <c r="F242" s="1178" t="inlineStr">
        <is>
          <t>RES-SFU</t>
        </is>
      </c>
      <c r="G242" s="1178" t="inlineStr">
        <is>
          <t>BURIED</t>
        </is>
      </c>
      <c r="H242" s="1178" t="inlineStr">
        <is>
          <t>Y</t>
        </is>
      </c>
      <c r="I242" s="1178" t="inlineStr"/>
      <c r="J242" s="1179" t="n">
        <v>1</v>
      </c>
      <c r="K242" s="1179" t="n">
        <v>0</v>
      </c>
    </row>
    <row r="243">
      <c r="A243" s="1178" t="inlineStr">
        <is>
          <t>5709 BUTEO CT</t>
        </is>
      </c>
      <c r="B243" s="1178" t="inlineStr">
        <is>
          <t>FUQUAY-VARINA</t>
        </is>
      </c>
      <c r="C243" s="1178" t="inlineStr">
        <is>
          <t>NORTH CAROLINA</t>
        </is>
      </c>
      <c r="D243" s="1178" t="inlineStr">
        <is>
          <t>27526</t>
        </is>
      </c>
      <c r="E243" s="1178" t="inlineStr"/>
      <c r="F243" s="1178" t="inlineStr">
        <is>
          <t>RES-SFU</t>
        </is>
      </c>
      <c r="G243" s="1178" t="inlineStr">
        <is>
          <t>BURIED</t>
        </is>
      </c>
      <c r="H243" s="1178" t="inlineStr">
        <is>
          <t>Y</t>
        </is>
      </c>
      <c r="I243" s="1178" t="inlineStr"/>
      <c r="J243" s="1179" t="n">
        <v>1</v>
      </c>
      <c r="K243" s="1179" t="n">
        <v>0</v>
      </c>
    </row>
    <row r="244">
      <c r="A244" s="1178" t="inlineStr">
        <is>
          <t>5709 MIZUNO DR</t>
        </is>
      </c>
      <c r="B244" s="1178" t="inlineStr">
        <is>
          <t>FUQUAY-VARINA</t>
        </is>
      </c>
      <c r="C244" s="1178" t="inlineStr">
        <is>
          <t>NORTH CAROLINA</t>
        </is>
      </c>
      <c r="D244" s="1178" t="inlineStr">
        <is>
          <t>27526</t>
        </is>
      </c>
      <c r="E244" s="1178" t="inlineStr"/>
      <c r="F244" s="1178" t="inlineStr">
        <is>
          <t>RES-SFU</t>
        </is>
      </c>
      <c r="G244" s="1178" t="inlineStr">
        <is>
          <t>BURIED</t>
        </is>
      </c>
      <c r="H244" s="1178" t="inlineStr">
        <is>
          <t>Y</t>
        </is>
      </c>
      <c r="I244" s="1178" t="inlineStr"/>
      <c r="J244" s="1179" t="n">
        <v>1</v>
      </c>
      <c r="K244" s="1179" t="n">
        <v>0</v>
      </c>
    </row>
    <row r="245">
      <c r="A245" s="1178" t="inlineStr">
        <is>
          <t>5709 MULLIGAN WAY</t>
        </is>
      </c>
      <c r="B245" s="1178" t="inlineStr">
        <is>
          <t>FUQUAY-VARINA</t>
        </is>
      </c>
      <c r="C245" s="1178" t="inlineStr">
        <is>
          <t>NORTH CAROLINA</t>
        </is>
      </c>
      <c r="D245" s="1178" t="inlineStr">
        <is>
          <t>27526</t>
        </is>
      </c>
      <c r="E245" s="1178" t="inlineStr"/>
      <c r="F245" s="1178" t="inlineStr">
        <is>
          <t>RES-SFU</t>
        </is>
      </c>
      <c r="G245" s="1178" t="inlineStr">
        <is>
          <t>BURIED</t>
        </is>
      </c>
      <c r="H245" s="1178" t="inlineStr">
        <is>
          <t>Y</t>
        </is>
      </c>
      <c r="I245" s="1178" t="inlineStr"/>
      <c r="J245" s="1179" t="n">
        <v>1</v>
      </c>
      <c r="K245" s="1179" t="n">
        <v>0</v>
      </c>
    </row>
    <row r="246">
      <c r="A246" s="1178" t="inlineStr">
        <is>
          <t>5712 ACCIPITER CT</t>
        </is>
      </c>
      <c r="B246" s="1178" t="inlineStr">
        <is>
          <t>FUQUAY-VARINA</t>
        </is>
      </c>
      <c r="C246" s="1178" t="inlineStr">
        <is>
          <t>NORTH CAROLINA</t>
        </is>
      </c>
      <c r="D246" s="1178" t="inlineStr">
        <is>
          <t>27526</t>
        </is>
      </c>
      <c r="E246" s="1178" t="inlineStr"/>
      <c r="F246" s="1178" t="inlineStr">
        <is>
          <t>RES-SFU</t>
        </is>
      </c>
      <c r="G246" s="1178" t="inlineStr">
        <is>
          <t>BURIED</t>
        </is>
      </c>
      <c r="H246" s="1178" t="inlineStr">
        <is>
          <t>Y</t>
        </is>
      </c>
      <c r="I246" s="1178" t="inlineStr"/>
      <c r="J246" s="1179" t="n">
        <v>1</v>
      </c>
      <c r="K246" s="1179" t="n">
        <v>0</v>
      </c>
    </row>
    <row r="247">
      <c r="A247" s="1178" t="inlineStr">
        <is>
          <t>5712 MIZUNO DR</t>
        </is>
      </c>
      <c r="B247" s="1178" t="inlineStr">
        <is>
          <t>FUQUAY-VARINA</t>
        </is>
      </c>
      <c r="C247" s="1178" t="inlineStr">
        <is>
          <t>NORTH CAROLINA</t>
        </is>
      </c>
      <c r="D247" s="1178" t="inlineStr">
        <is>
          <t>27526</t>
        </is>
      </c>
      <c r="E247" s="1178" t="inlineStr"/>
      <c r="F247" s="1178" t="inlineStr">
        <is>
          <t>RES-SFU</t>
        </is>
      </c>
      <c r="G247" s="1178" t="inlineStr">
        <is>
          <t>BURIED</t>
        </is>
      </c>
      <c r="H247" s="1178" t="inlineStr">
        <is>
          <t>Y</t>
        </is>
      </c>
      <c r="I247" s="1178" t="inlineStr"/>
      <c r="J247" s="1179" t="n">
        <v>1</v>
      </c>
      <c r="K247" s="1179" t="n">
        <v>0</v>
      </c>
    </row>
    <row r="248">
      <c r="A248" s="1178" t="inlineStr">
        <is>
          <t>5712 MULLIGAN WAY</t>
        </is>
      </c>
      <c r="B248" s="1178" t="inlineStr">
        <is>
          <t>FUQUAY-VARINA</t>
        </is>
      </c>
      <c r="C248" s="1178" t="inlineStr">
        <is>
          <t>NORTH CAROLINA</t>
        </is>
      </c>
      <c r="D248" s="1178" t="inlineStr">
        <is>
          <t>27526</t>
        </is>
      </c>
      <c r="E248" s="1178" t="inlineStr"/>
      <c r="F248" s="1178" t="inlineStr">
        <is>
          <t>RES-SFU</t>
        </is>
      </c>
      <c r="G248" s="1178" t="inlineStr">
        <is>
          <t>BURIED</t>
        </is>
      </c>
      <c r="H248" s="1178" t="inlineStr">
        <is>
          <t>Y</t>
        </is>
      </c>
      <c r="I248" s="1178" t="inlineStr"/>
      <c r="J248" s="1179" t="n">
        <v>1</v>
      </c>
      <c r="K248" s="1179" t="n">
        <v>0</v>
      </c>
    </row>
    <row r="249">
      <c r="A249" s="1178" t="inlineStr">
        <is>
          <t>5713 BUTEO CT</t>
        </is>
      </c>
      <c r="B249" s="1178" t="inlineStr">
        <is>
          <t>FUQUAY-VARINA</t>
        </is>
      </c>
      <c r="C249" s="1178" t="inlineStr">
        <is>
          <t>NORTH CAROLINA</t>
        </is>
      </c>
      <c r="D249" s="1178" t="inlineStr">
        <is>
          <t>27526</t>
        </is>
      </c>
      <c r="E249" s="1178" t="inlineStr"/>
      <c r="F249" s="1178" t="inlineStr">
        <is>
          <t>RES-SFU</t>
        </is>
      </c>
      <c r="G249" s="1178" t="inlineStr">
        <is>
          <t>BURIED</t>
        </is>
      </c>
      <c r="H249" s="1178" t="inlineStr">
        <is>
          <t>Y</t>
        </is>
      </c>
      <c r="I249" s="1178" t="inlineStr"/>
      <c r="J249" s="1179" t="n">
        <v>1</v>
      </c>
      <c r="K249" s="1179" t="n">
        <v>0</v>
      </c>
    </row>
    <row r="250">
      <c r="A250" s="1178" t="inlineStr">
        <is>
          <t>5713 MIZUNO DR</t>
        </is>
      </c>
      <c r="B250" s="1178" t="inlineStr">
        <is>
          <t>FUQUAY-VARINA</t>
        </is>
      </c>
      <c r="C250" s="1178" t="inlineStr">
        <is>
          <t>NORTH CAROLINA</t>
        </is>
      </c>
      <c r="D250" s="1178" t="inlineStr">
        <is>
          <t>27526</t>
        </is>
      </c>
      <c r="E250" s="1178" t="inlineStr"/>
      <c r="F250" s="1178" t="inlineStr">
        <is>
          <t>RES-SFU</t>
        </is>
      </c>
      <c r="G250" s="1178" t="inlineStr">
        <is>
          <t>BURIED</t>
        </is>
      </c>
      <c r="H250" s="1178" t="inlineStr">
        <is>
          <t>Y</t>
        </is>
      </c>
      <c r="I250" s="1178" t="inlineStr"/>
      <c r="J250" s="1179" t="n">
        <v>1</v>
      </c>
      <c r="K250" s="1179" t="n">
        <v>0</v>
      </c>
    </row>
    <row r="251">
      <c r="A251" s="1178" t="inlineStr">
        <is>
          <t>5713 WYSTERIA DR</t>
        </is>
      </c>
      <c r="B251" s="1178" t="inlineStr">
        <is>
          <t>FUQUAY-VARINA</t>
        </is>
      </c>
      <c r="C251" s="1178" t="inlineStr">
        <is>
          <t>NORTH CAROLINA</t>
        </is>
      </c>
      <c r="D251" s="1178" t="inlineStr">
        <is>
          <t>27526</t>
        </is>
      </c>
      <c r="E251" s="1178" t="inlineStr"/>
      <c r="F251" s="1178" t="inlineStr">
        <is>
          <t>RES-SFU</t>
        </is>
      </c>
      <c r="G251" s="1178" t="inlineStr">
        <is>
          <t>BURIED</t>
        </is>
      </c>
      <c r="H251" s="1178" t="inlineStr">
        <is>
          <t>Y</t>
        </is>
      </c>
      <c r="I251" s="1178" t="inlineStr"/>
      <c r="J251" s="1179" t="n">
        <v>1</v>
      </c>
      <c r="K251" s="1179" t="n">
        <v>0</v>
      </c>
    </row>
    <row r="252">
      <c r="A252" s="1178" t="inlineStr">
        <is>
          <t>5716 MIZUNO DR</t>
        </is>
      </c>
      <c r="B252" s="1178" t="inlineStr">
        <is>
          <t>FUQUAY-VARINA</t>
        </is>
      </c>
      <c r="C252" s="1178" t="inlineStr">
        <is>
          <t>NORTH CAROLINA</t>
        </is>
      </c>
      <c r="D252" s="1178" t="inlineStr">
        <is>
          <t>27526</t>
        </is>
      </c>
      <c r="E252" s="1178" t="inlineStr"/>
      <c r="F252" s="1178" t="inlineStr">
        <is>
          <t>RES-SFU</t>
        </is>
      </c>
      <c r="G252" s="1178" t="inlineStr">
        <is>
          <t>BURIED</t>
        </is>
      </c>
      <c r="H252" s="1178" t="inlineStr">
        <is>
          <t>Y</t>
        </is>
      </c>
      <c r="I252" s="1178" t="inlineStr"/>
      <c r="J252" s="1179" t="n">
        <v>1</v>
      </c>
      <c r="K252" s="1179" t="n">
        <v>0</v>
      </c>
    </row>
    <row r="253" ht="15.75" customHeight="1" s="955" thickBot="1">
      <c r="A253" s="1180" t="inlineStr">
        <is>
          <t>5717 ACCIPITER CT</t>
        </is>
      </c>
      <c r="B253" s="1180" t="inlineStr">
        <is>
          <t>FUQUAY-VARINA</t>
        </is>
      </c>
      <c r="C253" s="1180" t="inlineStr">
        <is>
          <t>NORTH CAROLINA</t>
        </is>
      </c>
      <c r="D253" s="1180" t="inlineStr">
        <is>
          <t>27526</t>
        </is>
      </c>
      <c r="E253" s="1180" t="inlineStr"/>
      <c r="F253" s="1180" t="inlineStr">
        <is>
          <t>RES-SFU</t>
        </is>
      </c>
      <c r="G253" s="1180" t="inlineStr">
        <is>
          <t>BURIED</t>
        </is>
      </c>
      <c r="H253" s="1180" t="inlineStr">
        <is>
          <t>Y</t>
        </is>
      </c>
      <c r="I253" s="1180" t="inlineStr"/>
      <c r="J253" s="1181" t="n">
        <v>1</v>
      </c>
      <c r="K253" s="1181" t="n">
        <v>0</v>
      </c>
    </row>
    <row r="254" ht="15.75" customHeight="1" s="955" thickTop="1">
      <c r="A254" s="1178" t="inlineStr">
        <is>
          <t>5717 MIZUNO DR</t>
        </is>
      </c>
      <c r="B254" s="1178" t="inlineStr">
        <is>
          <t>FUQUAY-VARINA</t>
        </is>
      </c>
      <c r="C254" s="1178" t="inlineStr">
        <is>
          <t>NORTH CAROLINA</t>
        </is>
      </c>
      <c r="D254" s="1178" t="inlineStr">
        <is>
          <t>27526</t>
        </is>
      </c>
      <c r="E254" s="1178" t="inlineStr"/>
      <c r="F254" s="1178" t="inlineStr">
        <is>
          <t>RES-SFU</t>
        </is>
      </c>
      <c r="G254" s="1178" t="inlineStr">
        <is>
          <t>BURIED</t>
        </is>
      </c>
      <c r="H254" s="1178" t="inlineStr">
        <is>
          <t>Y</t>
        </is>
      </c>
      <c r="I254" s="1178" t="inlineStr"/>
      <c r="J254" s="1179" t="n">
        <v>1</v>
      </c>
      <c r="K254" s="1179" t="n">
        <v>0</v>
      </c>
    </row>
    <row r="255">
      <c r="A255" s="1178" t="inlineStr">
        <is>
          <t>5720 ACCIPITER CT</t>
        </is>
      </c>
      <c r="B255" s="1178" t="inlineStr">
        <is>
          <t>FUQUAY-VARINA</t>
        </is>
      </c>
      <c r="C255" s="1178" t="inlineStr">
        <is>
          <t>NORTH CAROLINA</t>
        </is>
      </c>
      <c r="D255" s="1178" t="inlineStr">
        <is>
          <t>27526</t>
        </is>
      </c>
      <c r="E255" s="1178" t="inlineStr"/>
      <c r="F255" s="1178" t="inlineStr">
        <is>
          <t>RES-SFU</t>
        </is>
      </c>
      <c r="G255" s="1178" t="inlineStr">
        <is>
          <t>BURIED</t>
        </is>
      </c>
      <c r="H255" s="1178" t="inlineStr">
        <is>
          <t>Y</t>
        </is>
      </c>
      <c r="I255" s="1178" t="inlineStr"/>
      <c r="J255" s="1179" t="n">
        <v>1</v>
      </c>
      <c r="K255" s="1179" t="n">
        <v>0</v>
      </c>
    </row>
    <row r="256">
      <c r="A256" s="1178" t="inlineStr">
        <is>
          <t>5720 BUTEO CT</t>
        </is>
      </c>
      <c r="B256" s="1178" t="inlineStr">
        <is>
          <t>FUQUAY-VARINA</t>
        </is>
      </c>
      <c r="C256" s="1178" t="inlineStr">
        <is>
          <t>NORTH CAROLINA</t>
        </is>
      </c>
      <c r="D256" s="1178" t="inlineStr">
        <is>
          <t>27526</t>
        </is>
      </c>
      <c r="E256" s="1178" t="inlineStr"/>
      <c r="F256" s="1178" t="inlineStr">
        <is>
          <t>RES-SFU</t>
        </is>
      </c>
      <c r="G256" s="1178" t="inlineStr">
        <is>
          <t>BURIED</t>
        </is>
      </c>
      <c r="H256" s="1178" t="inlineStr">
        <is>
          <t>Y</t>
        </is>
      </c>
      <c r="I256" s="1178" t="inlineStr"/>
      <c r="J256" s="1179" t="n">
        <v>1</v>
      </c>
      <c r="K256" s="1179" t="n">
        <v>0</v>
      </c>
    </row>
    <row r="257">
      <c r="A257" s="1178" t="inlineStr">
        <is>
          <t>5720 MIZUNO DR</t>
        </is>
      </c>
      <c r="B257" s="1178" t="inlineStr">
        <is>
          <t>FUQUAY-VARINA</t>
        </is>
      </c>
      <c r="C257" s="1178" t="inlineStr">
        <is>
          <t>NORTH CAROLINA</t>
        </is>
      </c>
      <c r="D257" s="1178" t="inlineStr">
        <is>
          <t>27526</t>
        </is>
      </c>
      <c r="E257" s="1178" t="inlineStr"/>
      <c r="F257" s="1178" t="inlineStr">
        <is>
          <t>RES-SFU</t>
        </is>
      </c>
      <c r="G257" s="1178" t="inlineStr">
        <is>
          <t>BURIED</t>
        </is>
      </c>
      <c r="H257" s="1178" t="inlineStr">
        <is>
          <t>Y</t>
        </is>
      </c>
      <c r="I257" s="1178" t="inlineStr"/>
      <c r="J257" s="1179" t="n">
        <v>1</v>
      </c>
      <c r="K257" s="1179" t="n">
        <v>0</v>
      </c>
    </row>
    <row r="258">
      <c r="A258" s="1178" t="inlineStr">
        <is>
          <t>5721 BUTEO CT</t>
        </is>
      </c>
      <c r="B258" s="1178" t="inlineStr">
        <is>
          <t>FUQUAY-VARINA</t>
        </is>
      </c>
      <c r="C258" s="1178" t="inlineStr">
        <is>
          <t>NORTH CAROLINA</t>
        </is>
      </c>
      <c r="D258" s="1178" t="inlineStr">
        <is>
          <t>27526</t>
        </is>
      </c>
      <c r="E258" s="1178" t="inlineStr"/>
      <c r="F258" s="1178" t="inlineStr">
        <is>
          <t>RES-SFU</t>
        </is>
      </c>
      <c r="G258" s="1178" t="inlineStr">
        <is>
          <t>BURIED</t>
        </is>
      </c>
      <c r="H258" s="1178" t="inlineStr">
        <is>
          <t>Y</t>
        </is>
      </c>
      <c r="I258" s="1178" t="inlineStr"/>
      <c r="J258" s="1179" t="n">
        <v>1</v>
      </c>
      <c r="K258" s="1179" t="n">
        <v>0</v>
      </c>
    </row>
    <row r="259">
      <c r="A259" s="1178" t="inlineStr">
        <is>
          <t>5721 MIZUNO DR</t>
        </is>
      </c>
      <c r="B259" s="1178" t="inlineStr">
        <is>
          <t>FUQUAY-VARINA</t>
        </is>
      </c>
      <c r="C259" s="1178" t="inlineStr">
        <is>
          <t>NORTH CAROLINA</t>
        </is>
      </c>
      <c r="D259" s="1178" t="inlineStr">
        <is>
          <t>27526</t>
        </is>
      </c>
      <c r="E259" s="1178" t="inlineStr"/>
      <c r="F259" s="1178" t="inlineStr">
        <is>
          <t>RES-SFU</t>
        </is>
      </c>
      <c r="G259" s="1178" t="inlineStr">
        <is>
          <t>BURIED</t>
        </is>
      </c>
      <c r="H259" s="1178" t="inlineStr">
        <is>
          <t>Y</t>
        </is>
      </c>
      <c r="I259" s="1178" t="inlineStr"/>
      <c r="J259" s="1179" t="n">
        <v>1</v>
      </c>
      <c r="K259" s="1179" t="n">
        <v>0</v>
      </c>
    </row>
    <row r="260">
      <c r="A260" s="1178" t="inlineStr">
        <is>
          <t>5724 MIZUNO DR</t>
        </is>
      </c>
      <c r="B260" s="1178" t="inlineStr">
        <is>
          <t>FUQUAY-VARINA</t>
        </is>
      </c>
      <c r="C260" s="1178" t="inlineStr">
        <is>
          <t>NORTH CAROLINA</t>
        </is>
      </c>
      <c r="D260" s="1178" t="inlineStr">
        <is>
          <t>27526</t>
        </is>
      </c>
      <c r="E260" s="1178" t="inlineStr"/>
      <c r="F260" s="1178" t="inlineStr">
        <is>
          <t>RES-SFU</t>
        </is>
      </c>
      <c r="G260" s="1178" t="inlineStr">
        <is>
          <t>BURIED</t>
        </is>
      </c>
      <c r="H260" s="1178" t="inlineStr">
        <is>
          <t>Y</t>
        </is>
      </c>
      <c r="I260" s="1178" t="inlineStr"/>
      <c r="J260" s="1179" t="n">
        <v>1</v>
      </c>
      <c r="K260" s="1179" t="n">
        <v>0</v>
      </c>
    </row>
    <row r="261">
      <c r="A261" s="1178" t="inlineStr">
        <is>
          <t>5725 MIZUNO DR</t>
        </is>
      </c>
      <c r="B261" s="1178" t="inlineStr">
        <is>
          <t>FUQUAY-VARINA</t>
        </is>
      </c>
      <c r="C261" s="1178" t="inlineStr">
        <is>
          <t>NORTH CAROLINA</t>
        </is>
      </c>
      <c r="D261" s="1178" t="inlineStr">
        <is>
          <t>27526</t>
        </is>
      </c>
      <c r="E261" s="1178" t="inlineStr"/>
      <c r="F261" s="1178" t="inlineStr">
        <is>
          <t>RES-SFU</t>
        </is>
      </c>
      <c r="G261" s="1178" t="inlineStr">
        <is>
          <t>BURIED</t>
        </is>
      </c>
      <c r="H261" s="1178" t="inlineStr">
        <is>
          <t>Y</t>
        </is>
      </c>
      <c r="I261" s="1178" t="inlineStr"/>
      <c r="J261" s="1179" t="n">
        <v>1</v>
      </c>
      <c r="K261" s="1179" t="n">
        <v>0</v>
      </c>
    </row>
    <row r="262">
      <c r="A262" s="1178" t="inlineStr">
        <is>
          <t>5728 MIZUNO DR</t>
        </is>
      </c>
      <c r="B262" s="1178" t="inlineStr">
        <is>
          <t>FUQUAY-VARINA</t>
        </is>
      </c>
      <c r="C262" s="1178" t="inlineStr">
        <is>
          <t>NORTH CAROLINA</t>
        </is>
      </c>
      <c r="D262" s="1178" t="inlineStr">
        <is>
          <t>27526</t>
        </is>
      </c>
      <c r="E262" s="1178" t="inlineStr"/>
      <c r="F262" s="1178" t="inlineStr">
        <is>
          <t>RES-SFU</t>
        </is>
      </c>
      <c r="G262" s="1178" t="inlineStr">
        <is>
          <t>BURIED</t>
        </is>
      </c>
      <c r="H262" s="1178" t="inlineStr">
        <is>
          <t>Y</t>
        </is>
      </c>
      <c r="I262" s="1178" t="inlineStr"/>
      <c r="J262" s="1179" t="n">
        <v>1</v>
      </c>
      <c r="K262" s="1179" t="n">
        <v>0</v>
      </c>
    </row>
    <row r="263">
      <c r="A263" s="1178" t="inlineStr">
        <is>
          <t>5729 MIZUNO DR</t>
        </is>
      </c>
      <c r="B263" s="1178" t="inlineStr">
        <is>
          <t>FUQUAY-VARINA</t>
        </is>
      </c>
      <c r="C263" s="1178" t="inlineStr">
        <is>
          <t>NORTH CAROLINA</t>
        </is>
      </c>
      <c r="D263" s="1178" t="inlineStr">
        <is>
          <t>27526</t>
        </is>
      </c>
      <c r="E263" s="1178" t="inlineStr"/>
      <c r="F263" s="1178" t="inlineStr">
        <is>
          <t>RES-SFU</t>
        </is>
      </c>
      <c r="G263" s="1178" t="inlineStr">
        <is>
          <t>BURIED</t>
        </is>
      </c>
      <c r="H263" s="1178" t="inlineStr">
        <is>
          <t>Y</t>
        </is>
      </c>
      <c r="I263" s="1178" t="inlineStr"/>
      <c r="J263" s="1179" t="n">
        <v>1</v>
      </c>
      <c r="K263" s="1179" t="n">
        <v>0</v>
      </c>
    </row>
    <row r="264">
      <c r="A264" s="1178" t="inlineStr">
        <is>
          <t>5732 MIZUNO DR</t>
        </is>
      </c>
      <c r="B264" s="1178" t="inlineStr">
        <is>
          <t>FUQUAY-VARINA</t>
        </is>
      </c>
      <c r="C264" s="1178" t="inlineStr">
        <is>
          <t>NORTH CAROLINA</t>
        </is>
      </c>
      <c r="D264" s="1178" t="inlineStr">
        <is>
          <t>27526</t>
        </is>
      </c>
      <c r="E264" s="1178" t="inlineStr"/>
      <c r="F264" s="1178" t="inlineStr">
        <is>
          <t>RES-SFU</t>
        </is>
      </c>
      <c r="G264" s="1178" t="inlineStr">
        <is>
          <t>BURIED</t>
        </is>
      </c>
      <c r="H264" s="1178" t="inlineStr">
        <is>
          <t>Y</t>
        </is>
      </c>
      <c r="I264" s="1178" t="inlineStr"/>
      <c r="J264" s="1179" t="n">
        <v>1</v>
      </c>
      <c r="K264" s="1179" t="n">
        <v>0</v>
      </c>
    </row>
    <row r="265" ht="15.75" customHeight="1" s="955" thickBot="1">
      <c r="A265" s="1180" t="inlineStr">
        <is>
          <t>5733 MIZUNO DR</t>
        </is>
      </c>
      <c r="B265" s="1180" t="inlineStr">
        <is>
          <t>FUQUAY-VARINA</t>
        </is>
      </c>
      <c r="C265" s="1180" t="inlineStr">
        <is>
          <t>NORTH CAROLINA</t>
        </is>
      </c>
      <c r="D265" s="1180" t="inlineStr">
        <is>
          <t>27526</t>
        </is>
      </c>
      <c r="E265" s="1180" t="inlineStr"/>
      <c r="F265" s="1180" t="inlineStr">
        <is>
          <t>RES-SFU</t>
        </is>
      </c>
      <c r="G265" s="1180" t="inlineStr">
        <is>
          <t>BURIED</t>
        </is>
      </c>
      <c r="H265" s="1180" t="inlineStr">
        <is>
          <t>Y</t>
        </is>
      </c>
      <c r="I265" s="1180" t="inlineStr"/>
      <c r="J265" s="1181" t="n">
        <v>1</v>
      </c>
      <c r="K265" s="1181" t="n">
        <v>0</v>
      </c>
    </row>
    <row r="266" ht="15.75" customHeight="1" s="955" thickTop="1">
      <c r="A266" s="1178" t="inlineStr">
        <is>
          <t>5736 MIZUNO DR</t>
        </is>
      </c>
      <c r="B266" s="1178" t="inlineStr">
        <is>
          <t>FUQUAY-VARINA</t>
        </is>
      </c>
      <c r="C266" s="1178" t="inlineStr">
        <is>
          <t>NORTH CAROLINA</t>
        </is>
      </c>
      <c r="D266" s="1178" t="inlineStr">
        <is>
          <t>27526</t>
        </is>
      </c>
      <c r="E266" s="1178" t="inlineStr"/>
      <c r="F266" s="1178" t="inlineStr">
        <is>
          <t>RES-SFU</t>
        </is>
      </c>
      <c r="G266" s="1178" t="inlineStr">
        <is>
          <t>BURIED</t>
        </is>
      </c>
      <c r="H266" s="1178" t="inlineStr">
        <is>
          <t>Y</t>
        </is>
      </c>
      <c r="I266" s="1178" t="inlineStr"/>
      <c r="J266" s="1179" t="n">
        <v>1</v>
      </c>
      <c r="K266" s="1179" t="n">
        <v>0</v>
      </c>
    </row>
    <row r="267">
      <c r="A267" s="1178" t="inlineStr">
        <is>
          <t>6004 JOHNSON POND RD</t>
        </is>
      </c>
      <c r="B267" s="1178" t="inlineStr">
        <is>
          <t>FUQUAY-VARINA</t>
        </is>
      </c>
      <c r="C267" s="1178" t="inlineStr">
        <is>
          <t>NORTH CAROLINA</t>
        </is>
      </c>
      <c r="D267" s="1178" t="inlineStr">
        <is>
          <t>27526</t>
        </is>
      </c>
      <c r="E267" s="1178" t="inlineStr"/>
      <c r="F267" s="1178" t="inlineStr">
        <is>
          <t>RES-SFU</t>
        </is>
      </c>
      <c r="G267" s="1178" t="inlineStr">
        <is>
          <t>BURIED</t>
        </is>
      </c>
      <c r="H267" s="1178" t="inlineStr">
        <is>
          <t>Y</t>
        </is>
      </c>
      <c r="I267" s="1178" t="inlineStr"/>
      <c r="J267" s="1179" t="n">
        <v>1</v>
      </c>
      <c r="K267" s="1179" t="n">
        <v>0</v>
      </c>
    </row>
    <row r="268">
      <c r="A268" s="1178" t="inlineStr">
        <is>
          <t>6500 BIRKDALE CT</t>
        </is>
      </c>
      <c r="B268" s="1178" t="inlineStr">
        <is>
          <t>FUQUAY-VARINA</t>
        </is>
      </c>
      <c r="C268" s="1178" t="inlineStr">
        <is>
          <t>NORTH CAROLINA</t>
        </is>
      </c>
      <c r="D268" s="1178" t="inlineStr">
        <is>
          <t>27526</t>
        </is>
      </c>
      <c r="E268" s="1178" t="inlineStr"/>
      <c r="F268" s="1178" t="inlineStr">
        <is>
          <t>RES-SFU</t>
        </is>
      </c>
      <c r="G268" s="1178" t="inlineStr">
        <is>
          <t>BURIED</t>
        </is>
      </c>
      <c r="H268" s="1178" t="inlineStr">
        <is>
          <t>Y</t>
        </is>
      </c>
      <c r="I268" s="1178" t="inlineStr"/>
      <c r="J268" s="1179" t="n">
        <v>1</v>
      </c>
      <c r="K268" s="1179" t="n">
        <v>0</v>
      </c>
    </row>
    <row r="269">
      <c r="A269" s="1178" t="inlineStr">
        <is>
          <t>6501 BIRKDALE CT</t>
        </is>
      </c>
      <c r="B269" s="1178" t="inlineStr">
        <is>
          <t>FUQUAY-VARINA</t>
        </is>
      </c>
      <c r="C269" s="1178" t="inlineStr">
        <is>
          <t>NORTH CAROLINA</t>
        </is>
      </c>
      <c r="D269" s="1178" t="inlineStr">
        <is>
          <t>27526</t>
        </is>
      </c>
      <c r="E269" s="1178" t="inlineStr"/>
      <c r="F269" s="1178" t="inlineStr">
        <is>
          <t>RES-SFU</t>
        </is>
      </c>
      <c r="G269" s="1178" t="inlineStr">
        <is>
          <t>BURIED</t>
        </is>
      </c>
      <c r="H269" s="1178" t="inlineStr">
        <is>
          <t>Y</t>
        </is>
      </c>
      <c r="I269" s="1178" t="inlineStr"/>
      <c r="J269" s="1179" t="n">
        <v>1</v>
      </c>
      <c r="K269" s="1179" t="n">
        <v>0</v>
      </c>
    </row>
    <row r="270">
      <c r="A270" s="1178" t="inlineStr">
        <is>
          <t>6504 BIRKDALE CT</t>
        </is>
      </c>
      <c r="B270" s="1178" t="inlineStr">
        <is>
          <t>FUQUAY-VARINA</t>
        </is>
      </c>
      <c r="C270" s="1178" t="inlineStr">
        <is>
          <t>NORTH CAROLINA</t>
        </is>
      </c>
      <c r="D270" s="1178" t="inlineStr">
        <is>
          <t>27526</t>
        </is>
      </c>
      <c r="E270" s="1178" t="inlineStr"/>
      <c r="F270" s="1178" t="inlineStr">
        <is>
          <t>RES-SFU</t>
        </is>
      </c>
      <c r="G270" s="1178" t="inlineStr">
        <is>
          <t>BURIED</t>
        </is>
      </c>
      <c r="H270" s="1178" t="inlineStr">
        <is>
          <t>Y</t>
        </is>
      </c>
      <c r="I270" s="1178" t="inlineStr"/>
      <c r="J270" s="1179" t="n">
        <v>1</v>
      </c>
      <c r="K270" s="1179" t="n">
        <v>0</v>
      </c>
    </row>
    <row r="271">
      <c r="A271" s="1178" t="inlineStr">
        <is>
          <t>6505 BIRKDALE CT</t>
        </is>
      </c>
      <c r="B271" s="1178" t="inlineStr">
        <is>
          <t>FUQUAY-VARINA</t>
        </is>
      </c>
      <c r="C271" s="1178" t="inlineStr">
        <is>
          <t>NORTH CAROLINA</t>
        </is>
      </c>
      <c r="D271" s="1178" t="inlineStr">
        <is>
          <t>27526</t>
        </is>
      </c>
      <c r="E271" s="1178" t="inlineStr"/>
      <c r="F271" s="1178" t="inlineStr">
        <is>
          <t>RES-SFU</t>
        </is>
      </c>
      <c r="G271" s="1178" t="inlineStr">
        <is>
          <t>BURIED</t>
        </is>
      </c>
      <c r="H271" s="1178" t="inlineStr">
        <is>
          <t>Y</t>
        </is>
      </c>
      <c r="I271" s="1178" t="inlineStr"/>
      <c r="J271" s="1179" t="n">
        <v>1</v>
      </c>
      <c r="K271" s="1179" t="n">
        <v>0</v>
      </c>
    </row>
    <row r="272">
      <c r="A272" s="1178" t="inlineStr">
        <is>
          <t>6508 BIRKDALE CT</t>
        </is>
      </c>
      <c r="B272" s="1178" t="inlineStr">
        <is>
          <t>FUQUAY-VARINA</t>
        </is>
      </c>
      <c r="C272" s="1178" t="inlineStr">
        <is>
          <t>NORTH CAROLINA</t>
        </is>
      </c>
      <c r="D272" s="1178" t="inlineStr">
        <is>
          <t>27526</t>
        </is>
      </c>
      <c r="E272" s="1178" t="inlineStr"/>
      <c r="F272" s="1178" t="inlineStr">
        <is>
          <t>RES-SFU</t>
        </is>
      </c>
      <c r="G272" s="1178" t="inlineStr">
        <is>
          <t>BURIED</t>
        </is>
      </c>
      <c r="H272" s="1178" t="inlineStr">
        <is>
          <t>Y</t>
        </is>
      </c>
      <c r="I272" s="1178" t="inlineStr"/>
      <c r="J272" s="1179" t="n">
        <v>1</v>
      </c>
      <c r="K272" s="1179" t="n">
        <v>0</v>
      </c>
    </row>
    <row r="273">
      <c r="A273" s="1178" t="inlineStr">
        <is>
          <t>6508 OLD MILLS RD</t>
        </is>
      </c>
      <c r="B273" s="1178" t="inlineStr">
        <is>
          <t>FUQUAY-VARINA</t>
        </is>
      </c>
      <c r="C273" s="1178" t="inlineStr">
        <is>
          <t>NORTH CAROLINA</t>
        </is>
      </c>
      <c r="D273" s="1178" t="inlineStr">
        <is>
          <t>27526</t>
        </is>
      </c>
      <c r="E273" s="1178" t="inlineStr"/>
      <c r="F273" s="1178" t="inlineStr">
        <is>
          <t>RES-SFU</t>
        </is>
      </c>
      <c r="G273" s="1178" t="inlineStr">
        <is>
          <t>BURIED</t>
        </is>
      </c>
      <c r="H273" s="1178" t="inlineStr">
        <is>
          <t>Y</t>
        </is>
      </c>
      <c r="I273" s="1178" t="inlineStr"/>
      <c r="J273" s="1179" t="n">
        <v>1</v>
      </c>
      <c r="K273" s="1179" t="n">
        <v>0</v>
      </c>
    </row>
    <row r="274">
      <c r="A274" s="1178" t="inlineStr">
        <is>
          <t>6509 BIRKDALE CT</t>
        </is>
      </c>
      <c r="B274" s="1178" t="inlineStr">
        <is>
          <t>FUQUAY-VARINA</t>
        </is>
      </c>
      <c r="C274" s="1178" t="inlineStr">
        <is>
          <t>NORTH CAROLINA</t>
        </is>
      </c>
      <c r="D274" s="1178" t="inlineStr">
        <is>
          <t>27526</t>
        </is>
      </c>
      <c r="E274" s="1178" t="inlineStr"/>
      <c r="F274" s="1178" t="inlineStr">
        <is>
          <t>RES-SFU</t>
        </is>
      </c>
      <c r="G274" s="1178" t="inlineStr">
        <is>
          <t>BURIED</t>
        </is>
      </c>
      <c r="H274" s="1178" t="inlineStr">
        <is>
          <t>Y</t>
        </is>
      </c>
      <c r="I274" s="1178" t="inlineStr"/>
      <c r="J274" s="1179" t="n">
        <v>1</v>
      </c>
      <c r="K274" s="1179" t="n">
        <v>0</v>
      </c>
    </row>
    <row r="275">
      <c r="A275" s="1178" t="inlineStr">
        <is>
          <t>6512 OLD MILLS RD</t>
        </is>
      </c>
      <c r="B275" s="1178" t="inlineStr">
        <is>
          <t>FUQUAY-VARINA</t>
        </is>
      </c>
      <c r="C275" s="1178" t="inlineStr">
        <is>
          <t>NORTH CAROLINA</t>
        </is>
      </c>
      <c r="D275" s="1178" t="inlineStr">
        <is>
          <t>27526</t>
        </is>
      </c>
      <c r="E275" s="1178" t="inlineStr"/>
      <c r="F275" s="1178" t="inlineStr">
        <is>
          <t>RES-SFU</t>
        </is>
      </c>
      <c r="G275" s="1178" t="inlineStr">
        <is>
          <t>BURIED</t>
        </is>
      </c>
      <c r="H275" s="1178" t="inlineStr">
        <is>
          <t>Y</t>
        </is>
      </c>
      <c r="I275" s="1178" t="inlineStr"/>
      <c r="J275" s="1179" t="n">
        <v>1</v>
      </c>
      <c r="K275" s="1179" t="n">
        <v>0</v>
      </c>
    </row>
    <row r="276">
      <c r="A276" s="1178" t="inlineStr">
        <is>
          <t>6513 BIRKDALE CT</t>
        </is>
      </c>
      <c r="B276" s="1178" t="inlineStr">
        <is>
          <t>FUQUAY-VARINA</t>
        </is>
      </c>
      <c r="C276" s="1178" t="inlineStr">
        <is>
          <t>NORTH CAROLINA</t>
        </is>
      </c>
      <c r="D276" s="1178" t="inlineStr">
        <is>
          <t>27526</t>
        </is>
      </c>
      <c r="E276" s="1178" t="inlineStr"/>
      <c r="F276" s="1178" t="inlineStr">
        <is>
          <t>RES-SFU</t>
        </is>
      </c>
      <c r="G276" s="1178" t="inlineStr">
        <is>
          <t>BURIED</t>
        </is>
      </c>
      <c r="H276" s="1178" t="inlineStr">
        <is>
          <t>Y</t>
        </is>
      </c>
      <c r="I276" s="1178" t="inlineStr"/>
      <c r="J276" s="1179" t="n">
        <v>1</v>
      </c>
      <c r="K276" s="1179" t="n">
        <v>0</v>
      </c>
    </row>
    <row r="277" ht="15.75" customHeight="1" s="955" thickBot="1">
      <c r="A277" s="1180" t="inlineStr">
        <is>
          <t>6517 BIRKDALE CT</t>
        </is>
      </c>
      <c r="B277" s="1180" t="inlineStr">
        <is>
          <t>FUQUAY-VARINA</t>
        </is>
      </c>
      <c r="C277" s="1180" t="inlineStr">
        <is>
          <t>NORTH CAROLINA</t>
        </is>
      </c>
      <c r="D277" s="1180" t="inlineStr">
        <is>
          <t>27526</t>
        </is>
      </c>
      <c r="E277" s="1180" t="inlineStr"/>
      <c r="F277" s="1180" t="inlineStr">
        <is>
          <t>RES-SFU</t>
        </is>
      </c>
      <c r="G277" s="1180" t="inlineStr">
        <is>
          <t>BURIED</t>
        </is>
      </c>
      <c r="H277" s="1180" t="inlineStr">
        <is>
          <t>Y</t>
        </is>
      </c>
      <c r="I277" s="1180" t="inlineStr"/>
      <c r="J277" s="1181" t="n">
        <v>1</v>
      </c>
      <c r="K277" s="1181" t="n">
        <v>0</v>
      </c>
    </row>
    <row r="278" ht="15.75" customHeight="1" s="955" thickTop="1">
      <c r="A278" s="1178" t="inlineStr">
        <is>
          <t>6520 OLD MILLS RD</t>
        </is>
      </c>
      <c r="B278" s="1178" t="inlineStr">
        <is>
          <t>FUQUAY-VARINA</t>
        </is>
      </c>
      <c r="C278" s="1178" t="inlineStr">
        <is>
          <t>NORTH CAROLINA</t>
        </is>
      </c>
      <c r="D278" s="1178" t="inlineStr">
        <is>
          <t>27526</t>
        </is>
      </c>
      <c r="E278" s="1178" t="inlineStr"/>
      <c r="F278" s="1178" t="inlineStr">
        <is>
          <t>RES-SFU</t>
        </is>
      </c>
      <c r="G278" s="1178" t="inlineStr">
        <is>
          <t>BURIED</t>
        </is>
      </c>
      <c r="H278" s="1178" t="inlineStr">
        <is>
          <t>Y</t>
        </is>
      </c>
      <c r="I278" s="1178" t="inlineStr"/>
      <c r="J278" s="1179" t="n">
        <v>1</v>
      </c>
      <c r="K278" s="1179" t="n">
        <v>0</v>
      </c>
    </row>
    <row r="279">
      <c r="A279" s="1178" t="inlineStr">
        <is>
          <t>6524 OLD MILLS RD</t>
        </is>
      </c>
      <c r="B279" s="1178" t="inlineStr">
        <is>
          <t>FUQUAY-VARINA</t>
        </is>
      </c>
      <c r="C279" s="1178" t="inlineStr">
        <is>
          <t>NORTH CAROLINA</t>
        </is>
      </c>
      <c r="D279" s="1178" t="inlineStr">
        <is>
          <t>27526</t>
        </is>
      </c>
      <c r="E279" s="1178" t="inlineStr"/>
      <c r="F279" s="1178" t="inlineStr">
        <is>
          <t>RES-SFU</t>
        </is>
      </c>
      <c r="G279" s="1178" t="inlineStr">
        <is>
          <t>BURIED</t>
        </is>
      </c>
      <c r="H279" s="1178" t="inlineStr">
        <is>
          <t>Y</t>
        </is>
      </c>
      <c r="I279" s="1178" t="inlineStr"/>
      <c r="J279" s="1179" t="n">
        <v>1</v>
      </c>
      <c r="K279" s="1179" t="n">
        <v>0</v>
      </c>
    </row>
    <row r="280">
      <c r="A280" s="1178" t="inlineStr">
        <is>
          <t>6528 OLD MILLS RD</t>
        </is>
      </c>
      <c r="B280" s="1178" t="inlineStr">
        <is>
          <t>FUQUAY-VARINA</t>
        </is>
      </c>
      <c r="C280" s="1178" t="inlineStr">
        <is>
          <t>NORTH CAROLINA</t>
        </is>
      </c>
      <c r="D280" s="1178" t="inlineStr">
        <is>
          <t>27526</t>
        </is>
      </c>
      <c r="E280" s="1178" t="inlineStr"/>
      <c r="F280" s="1178" t="inlineStr">
        <is>
          <t>RES-SFU</t>
        </is>
      </c>
      <c r="G280" s="1178" t="inlineStr">
        <is>
          <t>BURIED</t>
        </is>
      </c>
      <c r="H280" s="1178" t="inlineStr">
        <is>
          <t>Y</t>
        </is>
      </c>
      <c r="I280" s="1178" t="inlineStr"/>
      <c r="J280" s="1179" t="n">
        <v>1</v>
      </c>
      <c r="K280" s="1179" t="n">
        <v>0</v>
      </c>
    </row>
    <row r="281">
      <c r="A281" s="1178" t="inlineStr">
        <is>
          <t>6604 VARDON CT</t>
        </is>
      </c>
      <c r="B281" s="1178" t="inlineStr">
        <is>
          <t>FUQUAY-VARINA</t>
        </is>
      </c>
      <c r="C281" s="1178" t="inlineStr">
        <is>
          <t>NORTH CAROLINA</t>
        </is>
      </c>
      <c r="D281" s="1178" t="inlineStr">
        <is>
          <t>27526</t>
        </is>
      </c>
      <c r="E281" s="1178" t="inlineStr"/>
      <c r="F281" s="1178" t="inlineStr">
        <is>
          <t>RES-SFU</t>
        </is>
      </c>
      <c r="G281" s="1178" t="inlineStr">
        <is>
          <t>BURIED</t>
        </is>
      </c>
      <c r="H281" s="1178" t="inlineStr">
        <is>
          <t>Y</t>
        </is>
      </c>
      <c r="I281" s="1178" t="inlineStr"/>
      <c r="J281" s="1179" t="n">
        <v>1</v>
      </c>
      <c r="K281" s="1179" t="n">
        <v>0</v>
      </c>
    </row>
    <row r="282">
      <c r="A282" s="1178" t="inlineStr">
        <is>
          <t>6605 VARDON CT</t>
        </is>
      </c>
      <c r="B282" s="1178" t="inlineStr">
        <is>
          <t>FUQUAY-VARINA</t>
        </is>
      </c>
      <c r="C282" s="1178" t="inlineStr">
        <is>
          <t>NORTH CAROLINA</t>
        </is>
      </c>
      <c r="D282" s="1178" t="inlineStr">
        <is>
          <t>27526</t>
        </is>
      </c>
      <c r="E282" s="1178" t="inlineStr"/>
      <c r="F282" s="1178" t="inlineStr">
        <is>
          <t>RES-SFU</t>
        </is>
      </c>
      <c r="G282" s="1178" t="inlineStr">
        <is>
          <t>BURIED</t>
        </is>
      </c>
      <c r="H282" s="1178" t="inlineStr">
        <is>
          <t>Y</t>
        </is>
      </c>
      <c r="I282" s="1178" t="inlineStr"/>
      <c r="J282" s="1179" t="n">
        <v>1</v>
      </c>
      <c r="K282" s="1179" t="n">
        <v>0</v>
      </c>
    </row>
    <row r="283">
      <c r="A283" s="1178" t="inlineStr">
        <is>
          <t>6608 VARDON CT</t>
        </is>
      </c>
      <c r="B283" s="1178" t="inlineStr">
        <is>
          <t>FUQUAY-VARINA</t>
        </is>
      </c>
      <c r="C283" s="1178" t="inlineStr">
        <is>
          <t>NORTH CAROLINA</t>
        </is>
      </c>
      <c r="D283" s="1178" t="inlineStr">
        <is>
          <t>27526</t>
        </is>
      </c>
      <c r="E283" s="1178" t="inlineStr"/>
      <c r="F283" s="1178" t="inlineStr">
        <is>
          <t>RES-SFU</t>
        </is>
      </c>
      <c r="G283" s="1178" t="inlineStr">
        <is>
          <t>BURIED</t>
        </is>
      </c>
      <c r="H283" s="1178" t="inlineStr">
        <is>
          <t>Y</t>
        </is>
      </c>
      <c r="I283" s="1178" t="inlineStr"/>
      <c r="J283" s="1179" t="n">
        <v>1</v>
      </c>
      <c r="K283" s="1179" t="n">
        <v>0</v>
      </c>
    </row>
    <row r="284">
      <c r="A284" s="1178" t="inlineStr">
        <is>
          <t>6609 VARDON CT</t>
        </is>
      </c>
      <c r="B284" s="1178" t="inlineStr">
        <is>
          <t>FUQUAY-VARINA</t>
        </is>
      </c>
      <c r="C284" s="1178" t="inlineStr">
        <is>
          <t>NORTH CAROLINA</t>
        </is>
      </c>
      <c r="D284" s="1178" t="inlineStr">
        <is>
          <t>27526</t>
        </is>
      </c>
      <c r="E284" s="1178" t="inlineStr"/>
      <c r="F284" s="1178" t="inlineStr">
        <is>
          <t>RES-SFU</t>
        </is>
      </c>
      <c r="G284" s="1178" t="inlineStr">
        <is>
          <t>BURIED</t>
        </is>
      </c>
      <c r="H284" s="1178" t="inlineStr">
        <is>
          <t>Y</t>
        </is>
      </c>
      <c r="I284" s="1178" t="inlineStr"/>
      <c r="J284" s="1179" t="n">
        <v>1</v>
      </c>
      <c r="K284" s="1179" t="n">
        <v>0</v>
      </c>
    </row>
    <row r="285">
      <c r="A285" s="1178" t="inlineStr">
        <is>
          <t>6612 OLD MILLS RD</t>
        </is>
      </c>
      <c r="B285" s="1178" t="inlineStr">
        <is>
          <t>FUQUAY-VARINA</t>
        </is>
      </c>
      <c r="C285" s="1178" t="inlineStr">
        <is>
          <t>NORTH CAROLINA</t>
        </is>
      </c>
      <c r="D285" s="1178" t="inlineStr">
        <is>
          <t>27526</t>
        </is>
      </c>
      <c r="E285" s="1178" t="inlineStr"/>
      <c r="F285" s="1178" t="inlineStr">
        <is>
          <t>RES-SFU</t>
        </is>
      </c>
      <c r="G285" s="1178" t="inlineStr">
        <is>
          <t>BURIED</t>
        </is>
      </c>
      <c r="H285" s="1178" t="inlineStr">
        <is>
          <t>Y</t>
        </is>
      </c>
      <c r="I285" s="1178" t="inlineStr"/>
      <c r="J285" s="1179" t="n">
        <v>1</v>
      </c>
      <c r="K285" s="1179" t="n">
        <v>0</v>
      </c>
    </row>
    <row r="286">
      <c r="A286" s="1178" t="inlineStr">
        <is>
          <t>6620 OLD MILLS RD</t>
        </is>
      </c>
      <c r="B286" s="1178" t="inlineStr">
        <is>
          <t>FUQUAY-VARINA</t>
        </is>
      </c>
      <c r="C286" s="1178" t="inlineStr">
        <is>
          <t>NORTH CAROLINA</t>
        </is>
      </c>
      <c r="D286" s="1178" t="inlineStr">
        <is>
          <t>27526</t>
        </is>
      </c>
      <c r="E286" s="1178" t="inlineStr"/>
      <c r="F286" s="1178" t="inlineStr">
        <is>
          <t>RES-SFU</t>
        </is>
      </c>
      <c r="G286" s="1178" t="inlineStr">
        <is>
          <t>BURIED</t>
        </is>
      </c>
      <c r="H286" s="1178" t="inlineStr">
        <is>
          <t>Y</t>
        </is>
      </c>
      <c r="I286" s="1178" t="inlineStr"/>
      <c r="J286" s="1179" t="n">
        <v>1</v>
      </c>
      <c r="K286" s="1179" t="n">
        <v>0</v>
      </c>
    </row>
    <row r="287">
      <c r="A287" s="1178" t="inlineStr">
        <is>
          <t>6641 OLD MILLS RD</t>
        </is>
      </c>
      <c r="B287" s="1178" t="inlineStr">
        <is>
          <t>FUQUAY-VARINA</t>
        </is>
      </c>
      <c r="C287" s="1178" t="inlineStr">
        <is>
          <t>NORTH CAROLINA</t>
        </is>
      </c>
      <c r="D287" s="1178" t="inlineStr">
        <is>
          <t>27526</t>
        </is>
      </c>
      <c r="E287" s="1178" t="inlineStr"/>
      <c r="F287" s="1178" t="inlineStr">
        <is>
          <t>RES-SFU</t>
        </is>
      </c>
      <c r="G287" s="1178" t="inlineStr">
        <is>
          <t>BURIED</t>
        </is>
      </c>
      <c r="H287" s="1178" t="inlineStr">
        <is>
          <t>Y</t>
        </is>
      </c>
      <c r="I287" s="1178" t="inlineStr"/>
      <c r="J287" s="1179" t="n">
        <v>1</v>
      </c>
      <c r="K287" s="1179" t="n">
        <v>0</v>
      </c>
    </row>
    <row r="288">
      <c r="A288" s="1178" t="inlineStr">
        <is>
          <t>6737 OLD MILLS RD</t>
        </is>
      </c>
      <c r="B288" s="1178" t="inlineStr">
        <is>
          <t>FUQUAY-VARINA</t>
        </is>
      </c>
      <c r="C288" s="1178" t="inlineStr">
        <is>
          <t>NORTH CAROLINA</t>
        </is>
      </c>
      <c r="D288" s="1178" t="inlineStr">
        <is>
          <t>27526</t>
        </is>
      </c>
      <c r="E288" s="1178" t="inlineStr"/>
      <c r="F288" s="1178" t="inlineStr">
        <is>
          <t>RES-SFU</t>
        </is>
      </c>
      <c r="G288" s="1178" t="inlineStr">
        <is>
          <t>BURIED</t>
        </is>
      </c>
      <c r="H288" s="1178" t="inlineStr">
        <is>
          <t>Y</t>
        </is>
      </c>
      <c r="I288" s="1178" t="inlineStr"/>
      <c r="J288" s="1179" t="n">
        <v>1</v>
      </c>
      <c r="K288" s="1179" t="n">
        <v>0</v>
      </c>
    </row>
    <row r="289" ht="15.75" customHeight="1" s="955" thickBot="1">
      <c r="A289" s="1180" t="inlineStr">
        <is>
          <t>6829 OLD MILLS RD</t>
        </is>
      </c>
      <c r="B289" s="1180" t="inlineStr">
        <is>
          <t>FUQUAY-VARINA</t>
        </is>
      </c>
      <c r="C289" s="1180" t="inlineStr">
        <is>
          <t>NORTH CAROLINA</t>
        </is>
      </c>
      <c r="D289" s="1180" t="inlineStr">
        <is>
          <t>27526</t>
        </is>
      </c>
      <c r="E289" s="1180" t="inlineStr"/>
      <c r="F289" s="1180" t="inlineStr">
        <is>
          <t>RES-SFU</t>
        </is>
      </c>
      <c r="G289" s="1180" t="inlineStr">
        <is>
          <t>BURIED</t>
        </is>
      </c>
      <c r="H289" s="1180" t="inlineStr">
        <is>
          <t>Y</t>
        </is>
      </c>
      <c r="I289" s="1180" t="inlineStr"/>
      <c r="J289" s="1181" t="n">
        <v>1</v>
      </c>
      <c r="K289" s="1181" t="n">
        <v>0</v>
      </c>
    </row>
    <row r="290" ht="15.75" customHeight="1" s="955" thickTop="1">
      <c r="A290" s="1178" t="inlineStr">
        <is>
          <t>6900 OLD MILLS RD</t>
        </is>
      </c>
      <c r="B290" s="1178" t="inlineStr">
        <is>
          <t>FUQUAY-VARINA</t>
        </is>
      </c>
      <c r="C290" s="1178" t="inlineStr">
        <is>
          <t>NORTH CAROLINA</t>
        </is>
      </c>
      <c r="D290" s="1178" t="inlineStr">
        <is>
          <t>27526</t>
        </is>
      </c>
      <c r="E290" s="1178" t="inlineStr"/>
      <c r="F290" s="1178" t="inlineStr">
        <is>
          <t>RES-SFU</t>
        </is>
      </c>
      <c r="G290" s="1178" t="inlineStr">
        <is>
          <t>BURIED</t>
        </is>
      </c>
      <c r="H290" s="1178" t="inlineStr">
        <is>
          <t>Y</t>
        </is>
      </c>
      <c r="I290" s="1178" t="inlineStr"/>
      <c r="J290" s="1179" t="n">
        <v>1</v>
      </c>
      <c r="K290" s="1179" t="n">
        <v>0</v>
      </c>
    </row>
    <row r="291">
      <c r="A291" s="1178" t="inlineStr">
        <is>
          <t>6901 OLD MILLS RD</t>
        </is>
      </c>
      <c r="B291" s="1178" t="inlineStr">
        <is>
          <t>FUQUAY-VARINA</t>
        </is>
      </c>
      <c r="C291" s="1178" t="inlineStr">
        <is>
          <t>NORTH CAROLINA</t>
        </is>
      </c>
      <c r="D291" s="1178" t="inlineStr">
        <is>
          <t>27526</t>
        </is>
      </c>
      <c r="E291" s="1178" t="inlineStr"/>
      <c r="F291" s="1178" t="inlineStr">
        <is>
          <t>RES-SFU</t>
        </is>
      </c>
      <c r="G291" s="1178" t="inlineStr">
        <is>
          <t>BURIED</t>
        </is>
      </c>
      <c r="H291" s="1178" t="inlineStr">
        <is>
          <t>Y</t>
        </is>
      </c>
      <c r="I291" s="1178" t="inlineStr"/>
      <c r="J291" s="1179" t="n">
        <v>1</v>
      </c>
      <c r="K291" s="1179" t="n">
        <v>0</v>
      </c>
    </row>
    <row r="292">
      <c r="A292" s="1178" t="inlineStr">
        <is>
          <t>6905 OLD MILLS RD</t>
        </is>
      </c>
      <c r="B292" s="1178" t="inlineStr">
        <is>
          <t>FUQUAY-VARINA</t>
        </is>
      </c>
      <c r="C292" s="1178" t="inlineStr">
        <is>
          <t>NORTH CAROLINA</t>
        </is>
      </c>
      <c r="D292" s="1178" t="inlineStr">
        <is>
          <t>27526</t>
        </is>
      </c>
      <c r="E292" s="1178" t="inlineStr"/>
      <c r="F292" s="1178" t="inlineStr">
        <is>
          <t>RES-SFU</t>
        </is>
      </c>
      <c r="G292" s="1178" t="inlineStr">
        <is>
          <t>BURIED</t>
        </is>
      </c>
      <c r="H292" s="1178" t="inlineStr">
        <is>
          <t>Y</t>
        </is>
      </c>
      <c r="I292" s="1178" t="inlineStr"/>
      <c r="J292" s="1179" t="n">
        <v>1</v>
      </c>
      <c r="K292" s="1179" t="n">
        <v>0</v>
      </c>
    </row>
    <row r="293">
      <c r="A293" s="1178" t="inlineStr">
        <is>
          <t>6908 OLD MILLS RD</t>
        </is>
      </c>
      <c r="B293" s="1178" t="inlineStr">
        <is>
          <t>FUQUAY-VARINA</t>
        </is>
      </c>
      <c r="C293" s="1178" t="inlineStr">
        <is>
          <t>NORTH CAROLINA</t>
        </is>
      </c>
      <c r="D293" s="1178" t="inlineStr">
        <is>
          <t>27526</t>
        </is>
      </c>
      <c r="E293" s="1178" t="inlineStr"/>
      <c r="F293" s="1178" t="inlineStr">
        <is>
          <t>RES-SFU</t>
        </is>
      </c>
      <c r="G293" s="1178" t="inlineStr">
        <is>
          <t>BURIED</t>
        </is>
      </c>
      <c r="H293" s="1178" t="inlineStr">
        <is>
          <t>Y</t>
        </is>
      </c>
      <c r="I293" s="1178" t="inlineStr"/>
      <c r="J293" s="1179" t="n">
        <v>1</v>
      </c>
      <c r="K293" s="1179" t="n">
        <v>0</v>
      </c>
    </row>
    <row r="294">
      <c r="A294" s="1178" t="inlineStr">
        <is>
          <t>6909 OLD MILLS RD</t>
        </is>
      </c>
      <c r="B294" s="1178" t="inlineStr">
        <is>
          <t>FUQUAY-VARINA</t>
        </is>
      </c>
      <c r="C294" s="1178" t="inlineStr">
        <is>
          <t>NORTH CAROLINA</t>
        </is>
      </c>
      <c r="D294" s="1178" t="inlineStr">
        <is>
          <t>27526</t>
        </is>
      </c>
      <c r="E294" s="1178" t="inlineStr"/>
      <c r="F294" s="1178" t="inlineStr">
        <is>
          <t>RES-SFU</t>
        </is>
      </c>
      <c r="G294" s="1178" t="inlineStr">
        <is>
          <t>BURIED</t>
        </is>
      </c>
      <c r="H294" s="1178" t="inlineStr">
        <is>
          <t>Y</t>
        </is>
      </c>
      <c r="I294" s="1178" t="inlineStr"/>
      <c r="J294" s="1179" t="n">
        <v>1</v>
      </c>
      <c r="K294" s="1179" t="n">
        <v>0</v>
      </c>
    </row>
    <row r="295">
      <c r="A295" s="1178" t="inlineStr">
        <is>
          <t>6913 OLD MILLS RD</t>
        </is>
      </c>
      <c r="B295" s="1178" t="inlineStr">
        <is>
          <t>FUQUAY-VARINA</t>
        </is>
      </c>
      <c r="C295" s="1178" t="inlineStr">
        <is>
          <t>NORTH CAROLINA</t>
        </is>
      </c>
      <c r="D295" s="1178" t="inlineStr">
        <is>
          <t>27526</t>
        </is>
      </c>
      <c r="E295" s="1178" t="inlineStr"/>
      <c r="F295" s="1178" t="inlineStr">
        <is>
          <t>RES-SFU</t>
        </is>
      </c>
      <c r="G295" s="1178" t="inlineStr">
        <is>
          <t>BURIED</t>
        </is>
      </c>
      <c r="H295" s="1178" t="inlineStr">
        <is>
          <t>Y</t>
        </is>
      </c>
      <c r="I295" s="1178" t="inlineStr"/>
      <c r="J295" s="1179" t="n">
        <v>1</v>
      </c>
      <c r="K295" s="1179" t="n">
        <v>0</v>
      </c>
    </row>
    <row r="296">
      <c r="A296" s="1178" t="inlineStr">
        <is>
          <t>7800 ST ANNES WAY</t>
        </is>
      </c>
      <c r="B296" s="1178" t="inlineStr">
        <is>
          <t>FUQUAY-VARINA</t>
        </is>
      </c>
      <c r="C296" s="1178" t="inlineStr">
        <is>
          <t>NORTH CAROLINA</t>
        </is>
      </c>
      <c r="D296" s="1178" t="inlineStr">
        <is>
          <t>27526</t>
        </is>
      </c>
      <c r="E296" s="1178" t="inlineStr"/>
      <c r="F296" s="1178" t="inlineStr">
        <is>
          <t>RES-SFU</t>
        </is>
      </c>
      <c r="G296" s="1178" t="inlineStr">
        <is>
          <t>BURIED</t>
        </is>
      </c>
      <c r="H296" s="1178" t="inlineStr">
        <is>
          <t>Y</t>
        </is>
      </c>
      <c r="I296" s="1178" t="inlineStr"/>
      <c r="J296" s="1179" t="n">
        <v>1</v>
      </c>
      <c r="K296" s="1179" t="n">
        <v>0</v>
      </c>
    </row>
    <row r="297">
      <c r="A297" s="1178" t="inlineStr">
        <is>
          <t>7801 ST ANNES WAY</t>
        </is>
      </c>
      <c r="B297" s="1178" t="inlineStr">
        <is>
          <t>FUQUAY-VARINA</t>
        </is>
      </c>
      <c r="C297" s="1178" t="inlineStr">
        <is>
          <t>NORTH CAROLINA</t>
        </is>
      </c>
      <c r="D297" s="1178" t="inlineStr">
        <is>
          <t>27526</t>
        </is>
      </c>
      <c r="E297" s="1178" t="inlineStr"/>
      <c r="F297" s="1178" t="inlineStr">
        <is>
          <t>RES-SFU</t>
        </is>
      </c>
      <c r="G297" s="1178" t="inlineStr">
        <is>
          <t>BURIED</t>
        </is>
      </c>
      <c r="H297" s="1178" t="inlineStr">
        <is>
          <t>Y</t>
        </is>
      </c>
      <c r="I297" s="1178" t="inlineStr"/>
      <c r="J297" s="1179" t="n">
        <v>1</v>
      </c>
      <c r="K297" s="1179" t="n">
        <v>0</v>
      </c>
    </row>
    <row r="298">
      <c r="A298" s="1178" t="inlineStr">
        <is>
          <t>7804 ST ANNES WAY</t>
        </is>
      </c>
      <c r="B298" s="1178" t="inlineStr">
        <is>
          <t>FUQUAY-VARINA</t>
        </is>
      </c>
      <c r="C298" s="1178" t="inlineStr">
        <is>
          <t>NORTH CAROLINA</t>
        </is>
      </c>
      <c r="D298" s="1178" t="inlineStr">
        <is>
          <t>27526</t>
        </is>
      </c>
      <c r="E298" s="1178" t="inlineStr"/>
      <c r="F298" s="1178" t="inlineStr">
        <is>
          <t>RES-SFU</t>
        </is>
      </c>
      <c r="G298" s="1178" t="inlineStr">
        <is>
          <t>BURIED</t>
        </is>
      </c>
      <c r="H298" s="1178" t="inlineStr">
        <is>
          <t>Y</t>
        </is>
      </c>
      <c r="I298" s="1178" t="inlineStr"/>
      <c r="J298" s="1179" t="n">
        <v>1</v>
      </c>
      <c r="K298" s="1179" t="n">
        <v>0</v>
      </c>
    </row>
    <row r="299">
      <c r="A299" s="1178" t="inlineStr">
        <is>
          <t>7808 ST ANNES WAY</t>
        </is>
      </c>
      <c r="B299" s="1178" t="inlineStr">
        <is>
          <t>FUQUAY-VARINA</t>
        </is>
      </c>
      <c r="C299" s="1178" t="inlineStr">
        <is>
          <t>NORTH CAROLINA</t>
        </is>
      </c>
      <c r="D299" s="1178" t="inlineStr">
        <is>
          <t>27526</t>
        </is>
      </c>
      <c r="E299" s="1178" t="inlineStr"/>
      <c r="F299" s="1178" t="inlineStr">
        <is>
          <t>RES-SFU</t>
        </is>
      </c>
      <c r="G299" s="1178" t="inlineStr">
        <is>
          <t>BURIED</t>
        </is>
      </c>
      <c r="H299" s="1178" t="inlineStr">
        <is>
          <t>Y</t>
        </is>
      </c>
      <c r="I299" s="1178" t="inlineStr"/>
      <c r="J299" s="1179" t="n">
        <v>1</v>
      </c>
      <c r="K299" s="1179" t="n">
        <v>0</v>
      </c>
    </row>
    <row r="300">
      <c r="A300" s="1178" t="inlineStr">
        <is>
          <t>7809 ST ANNES WAY</t>
        </is>
      </c>
      <c r="B300" s="1178" t="inlineStr">
        <is>
          <t>FUQUAY-VARINA</t>
        </is>
      </c>
      <c r="C300" s="1178" t="inlineStr">
        <is>
          <t>NORTH CAROLINA</t>
        </is>
      </c>
      <c r="D300" s="1178" t="inlineStr">
        <is>
          <t>27526</t>
        </is>
      </c>
      <c r="E300" s="1178" t="inlineStr"/>
      <c r="F300" s="1178" t="inlineStr">
        <is>
          <t>RES-SFU</t>
        </is>
      </c>
      <c r="G300" s="1178" t="inlineStr">
        <is>
          <t>BURIED</t>
        </is>
      </c>
      <c r="H300" s="1178" t="inlineStr">
        <is>
          <t>Y</t>
        </is>
      </c>
      <c r="I300" s="1178" t="inlineStr"/>
      <c r="J300" s="1179" t="n">
        <v>1</v>
      </c>
      <c r="K300" s="1179" t="n">
        <v>0</v>
      </c>
    </row>
    <row r="301" ht="15.75" customHeight="1" s="955" thickBot="1">
      <c r="A301" s="1180" t="inlineStr">
        <is>
          <t>7812 ST ANNES WAY</t>
        </is>
      </c>
      <c r="B301" s="1180" t="inlineStr">
        <is>
          <t>FUQUAY-VARINA</t>
        </is>
      </c>
      <c r="C301" s="1180" t="inlineStr">
        <is>
          <t>NORTH CAROLINA</t>
        </is>
      </c>
      <c r="D301" s="1180" t="inlineStr">
        <is>
          <t>27526</t>
        </is>
      </c>
      <c r="E301" s="1180" t="inlineStr"/>
      <c r="F301" s="1180" t="inlineStr">
        <is>
          <t>RES-SFU</t>
        </is>
      </c>
      <c r="G301" s="1180" t="inlineStr">
        <is>
          <t>BURIED</t>
        </is>
      </c>
      <c r="H301" s="1180" t="inlineStr">
        <is>
          <t>Y</t>
        </is>
      </c>
      <c r="I301" s="1180" t="inlineStr"/>
      <c r="J301" s="1181" t="n">
        <v>1</v>
      </c>
      <c r="K301" s="1181" t="n">
        <v>0</v>
      </c>
    </row>
    <row r="302" ht="15.75" customHeight="1" s="955" thickTop="1">
      <c r="A302" s="1178" t="inlineStr">
        <is>
          <t>7813 ST ANNES WAY</t>
        </is>
      </c>
      <c r="B302" s="1178" t="inlineStr">
        <is>
          <t>FUQUAY-VARINA</t>
        </is>
      </c>
      <c r="C302" s="1178" t="inlineStr">
        <is>
          <t>NORTH CAROLINA</t>
        </is>
      </c>
      <c r="D302" s="1178" t="inlineStr">
        <is>
          <t>27526</t>
        </is>
      </c>
      <c r="E302" s="1178" t="inlineStr"/>
      <c r="F302" s="1178" t="inlineStr">
        <is>
          <t>RES-SFU</t>
        </is>
      </c>
      <c r="G302" s="1178" t="inlineStr">
        <is>
          <t>BURIED</t>
        </is>
      </c>
      <c r="H302" s="1178" t="inlineStr">
        <is>
          <t>Y</t>
        </is>
      </c>
      <c r="I302" s="1178" t="inlineStr"/>
      <c r="J302" s="1179" t="n">
        <v>1</v>
      </c>
      <c r="K302" s="1179" t="n">
        <v>0</v>
      </c>
    </row>
    <row r="303">
      <c r="A303" s="1178" t="inlineStr">
        <is>
          <t>7816 ST ANNES WAY</t>
        </is>
      </c>
      <c r="B303" s="1178" t="inlineStr">
        <is>
          <t>FUQUAY-VARINA</t>
        </is>
      </c>
      <c r="C303" s="1178" t="inlineStr">
        <is>
          <t>NORTH CAROLINA</t>
        </is>
      </c>
      <c r="D303" s="1178" t="inlineStr">
        <is>
          <t>27526</t>
        </is>
      </c>
      <c r="E303" s="1178" t="inlineStr"/>
      <c r="F303" s="1178" t="inlineStr">
        <is>
          <t>RES-SFU</t>
        </is>
      </c>
      <c r="G303" s="1178" t="inlineStr">
        <is>
          <t>BURIED</t>
        </is>
      </c>
      <c r="H303" s="1178" t="inlineStr">
        <is>
          <t>Y</t>
        </is>
      </c>
      <c r="I303" s="1178" t="inlineStr"/>
      <c r="J303" s="1179" t="n">
        <v>1</v>
      </c>
      <c r="K303" s="1179" t="n">
        <v>0</v>
      </c>
    </row>
    <row r="304">
      <c r="A304" s="1178" t="inlineStr">
        <is>
          <t>7817 ST ANNES WAY</t>
        </is>
      </c>
      <c r="B304" s="1178" t="inlineStr">
        <is>
          <t>FUQUAY-VARINA</t>
        </is>
      </c>
      <c r="C304" s="1178" t="inlineStr">
        <is>
          <t>NORTH CAROLINA</t>
        </is>
      </c>
      <c r="D304" s="1178" t="inlineStr">
        <is>
          <t>27526</t>
        </is>
      </c>
      <c r="E304" s="1178" t="inlineStr"/>
      <c r="F304" s="1178" t="inlineStr">
        <is>
          <t>RES-SFU</t>
        </is>
      </c>
      <c r="G304" s="1178" t="inlineStr">
        <is>
          <t>BURIED</t>
        </is>
      </c>
      <c r="H304" s="1178" t="inlineStr">
        <is>
          <t>Y</t>
        </is>
      </c>
      <c r="I304" s="1178" t="inlineStr"/>
      <c r="J304" s="1179" t="n">
        <v>1</v>
      </c>
      <c r="K304" s="1179" t="n">
        <v>0</v>
      </c>
    </row>
    <row r="305">
      <c r="A305" s="1178" t="inlineStr">
        <is>
          <t>7820 ST ANNES WAY</t>
        </is>
      </c>
      <c r="B305" s="1178" t="inlineStr">
        <is>
          <t>FUQUAY-VARINA</t>
        </is>
      </c>
      <c r="C305" s="1178" t="inlineStr">
        <is>
          <t>NORTH CAROLINA</t>
        </is>
      </c>
      <c r="D305" s="1178" t="inlineStr">
        <is>
          <t>27526</t>
        </is>
      </c>
      <c r="E305" s="1178" t="inlineStr"/>
      <c r="F305" s="1178" t="inlineStr">
        <is>
          <t>RES-SFU</t>
        </is>
      </c>
      <c r="G305" s="1178" t="inlineStr">
        <is>
          <t>BURIED</t>
        </is>
      </c>
      <c r="H305" s="1178" t="inlineStr">
        <is>
          <t>Y</t>
        </is>
      </c>
      <c r="I305" s="1178" t="inlineStr"/>
      <c r="J305" s="1179" t="n">
        <v>1</v>
      </c>
      <c r="K305" s="1179" t="n">
        <v>0</v>
      </c>
    </row>
    <row r="306">
      <c r="A306" s="1178" t="inlineStr">
        <is>
          <t>7821 ST ANNES WAY</t>
        </is>
      </c>
      <c r="B306" s="1178" t="inlineStr">
        <is>
          <t>FUQUAY-VARINA</t>
        </is>
      </c>
      <c r="C306" s="1178" t="inlineStr">
        <is>
          <t>NORTH CAROLINA</t>
        </is>
      </c>
      <c r="D306" s="1178" t="inlineStr">
        <is>
          <t>27526</t>
        </is>
      </c>
      <c r="E306" s="1178" t="inlineStr"/>
      <c r="F306" s="1178" t="inlineStr">
        <is>
          <t>RES-SFU</t>
        </is>
      </c>
      <c r="G306" s="1178" t="inlineStr">
        <is>
          <t>BURIED</t>
        </is>
      </c>
      <c r="H306" s="1178" t="inlineStr">
        <is>
          <t>Y</t>
        </is>
      </c>
      <c r="I306" s="1178" t="inlineStr"/>
      <c r="J306" s="1179" t="n">
        <v>1</v>
      </c>
      <c r="K306" s="1179" t="n">
        <v>0</v>
      </c>
    </row>
    <row r="307">
      <c r="A307" s="1178" t="inlineStr">
        <is>
          <t>7824 ST ANNES WAY</t>
        </is>
      </c>
      <c r="B307" s="1178" t="inlineStr">
        <is>
          <t>FUQUAY-VARINA</t>
        </is>
      </c>
      <c r="C307" s="1178" t="inlineStr">
        <is>
          <t>NORTH CAROLINA</t>
        </is>
      </c>
      <c r="D307" s="1178" t="inlineStr">
        <is>
          <t>27526</t>
        </is>
      </c>
      <c r="E307" s="1178" t="inlineStr"/>
      <c r="F307" s="1178" t="inlineStr">
        <is>
          <t>RES-SFU</t>
        </is>
      </c>
      <c r="G307" s="1178" t="inlineStr">
        <is>
          <t>BURIED</t>
        </is>
      </c>
      <c r="H307" s="1178" t="inlineStr">
        <is>
          <t>Y</t>
        </is>
      </c>
      <c r="I307" s="1178" t="inlineStr"/>
      <c r="J307" s="1179" t="n">
        <v>1</v>
      </c>
      <c r="K307" s="1179" t="n">
        <v>0</v>
      </c>
    </row>
    <row r="308">
      <c r="A308" s="1178" t="inlineStr">
        <is>
          <t>7825 ST ANNES WAY</t>
        </is>
      </c>
      <c r="B308" s="1178" t="inlineStr">
        <is>
          <t>FUQUAY-VARINA</t>
        </is>
      </c>
      <c r="C308" s="1178" t="inlineStr">
        <is>
          <t>NORTH CAROLINA</t>
        </is>
      </c>
      <c r="D308" s="1178" t="inlineStr">
        <is>
          <t>27526</t>
        </is>
      </c>
      <c r="E308" s="1178" t="inlineStr"/>
      <c r="F308" s="1178" t="inlineStr">
        <is>
          <t>RES-SFU</t>
        </is>
      </c>
      <c r="G308" s="1178" t="inlineStr">
        <is>
          <t>BURIED</t>
        </is>
      </c>
      <c r="H308" s="1178" t="inlineStr">
        <is>
          <t>Y</t>
        </is>
      </c>
      <c r="I308" s="1178" t="inlineStr"/>
      <c r="J308" s="1179" t="n">
        <v>1</v>
      </c>
      <c r="K308" s="1179" t="n">
        <v>0</v>
      </c>
    </row>
    <row r="309">
      <c r="A309" s="1178" t="inlineStr">
        <is>
          <t>7829 ST ANNES WAY</t>
        </is>
      </c>
      <c r="B309" s="1178" t="inlineStr">
        <is>
          <t>FUQUAY-VARINA</t>
        </is>
      </c>
      <c r="C309" s="1178" t="inlineStr">
        <is>
          <t>NORTH CAROLINA</t>
        </is>
      </c>
      <c r="D309" s="1178" t="inlineStr">
        <is>
          <t>27526</t>
        </is>
      </c>
      <c r="E309" s="1178" t="inlineStr"/>
      <c r="F309" s="1178" t="inlineStr">
        <is>
          <t>RES-SFU</t>
        </is>
      </c>
      <c r="G309" s="1178" t="inlineStr">
        <is>
          <t>BURIED</t>
        </is>
      </c>
      <c r="H309" s="1178" t="inlineStr">
        <is>
          <t>Y</t>
        </is>
      </c>
      <c r="I309" s="1178" t="inlineStr"/>
      <c r="J309" s="1179" t="n">
        <v>1</v>
      </c>
      <c r="K309" s="1179" t="n">
        <v>0</v>
      </c>
    </row>
    <row r="310">
      <c r="A310" s="1178" t="inlineStr">
        <is>
          <t>7833 ST ANNES WAY</t>
        </is>
      </c>
      <c r="B310" s="1178" t="inlineStr">
        <is>
          <t>FUQUAY-VARINA</t>
        </is>
      </c>
      <c r="C310" s="1178" t="inlineStr">
        <is>
          <t>NORTH CAROLINA</t>
        </is>
      </c>
      <c r="D310" s="1178" t="inlineStr">
        <is>
          <t>27526</t>
        </is>
      </c>
      <c r="E310" s="1178" t="inlineStr"/>
      <c r="F310" s="1178" t="inlineStr">
        <is>
          <t>RES-SFU</t>
        </is>
      </c>
      <c r="G310" s="1178" t="inlineStr">
        <is>
          <t>BURIED</t>
        </is>
      </c>
      <c r="H310" s="1178" t="inlineStr">
        <is>
          <t>Y</t>
        </is>
      </c>
      <c r="I310" s="1178" t="inlineStr"/>
      <c r="J310" s="1179" t="n">
        <v>1</v>
      </c>
      <c r="K310" s="1179" t="n">
        <v>0</v>
      </c>
    </row>
    <row r="311">
      <c r="A311" s="1178" t="inlineStr">
        <is>
          <t>8005 MUIRFIELD DR</t>
        </is>
      </c>
      <c r="B311" s="1178" t="inlineStr">
        <is>
          <t>FUQUAY-VARINA</t>
        </is>
      </c>
      <c r="C311" s="1178" t="inlineStr">
        <is>
          <t>NORTH CAROLINA</t>
        </is>
      </c>
      <c r="D311" s="1178" t="inlineStr">
        <is>
          <t>27526</t>
        </is>
      </c>
      <c r="E311" s="1178" t="inlineStr"/>
      <c r="F311" s="1178" t="inlineStr">
        <is>
          <t>RES-SFU</t>
        </is>
      </c>
      <c r="G311" s="1178" t="inlineStr">
        <is>
          <t>BURIED</t>
        </is>
      </c>
      <c r="H311" s="1178" t="inlineStr">
        <is>
          <t>Y</t>
        </is>
      </c>
      <c r="I311" s="1178" t="inlineStr"/>
      <c r="J311" s="1179" t="n">
        <v>1</v>
      </c>
      <c r="K311" s="1179" t="n">
        <v>0</v>
      </c>
    </row>
    <row r="312">
      <c r="A312" s="1178" t="inlineStr">
        <is>
          <t>8008 MUIRFIELD DR</t>
        </is>
      </c>
      <c r="B312" s="1178" t="inlineStr">
        <is>
          <t>FUQUAY-VARINA</t>
        </is>
      </c>
      <c r="C312" s="1178" t="inlineStr">
        <is>
          <t>NORTH CAROLINA</t>
        </is>
      </c>
      <c r="D312" s="1178" t="inlineStr">
        <is>
          <t>27526</t>
        </is>
      </c>
      <c r="E312" s="1178" t="inlineStr"/>
      <c r="F312" s="1178" t="inlineStr">
        <is>
          <t>RES-SFU</t>
        </is>
      </c>
      <c r="G312" s="1178" t="inlineStr">
        <is>
          <t>BURIED</t>
        </is>
      </c>
      <c r="H312" s="1178" t="inlineStr">
        <is>
          <t>Y</t>
        </is>
      </c>
      <c r="I312" s="1178" t="inlineStr"/>
      <c r="J312" s="1179" t="n">
        <v>1</v>
      </c>
      <c r="K312" s="1179" t="n">
        <v>0</v>
      </c>
    </row>
    <row r="313" ht="15.75" customHeight="1" s="955" thickBot="1">
      <c r="A313" s="1180" t="inlineStr">
        <is>
          <t>8009 MUIRFIELD DR</t>
        </is>
      </c>
      <c r="B313" s="1180" t="inlineStr">
        <is>
          <t>FUQUAY-VARINA</t>
        </is>
      </c>
      <c r="C313" s="1180" t="inlineStr">
        <is>
          <t>NORTH CAROLINA</t>
        </is>
      </c>
      <c r="D313" s="1180" t="inlineStr">
        <is>
          <t>27526</t>
        </is>
      </c>
      <c r="E313" s="1180" t="inlineStr"/>
      <c r="F313" s="1180" t="inlineStr">
        <is>
          <t>RES-SFU</t>
        </is>
      </c>
      <c r="G313" s="1180" t="inlineStr">
        <is>
          <t>BURIED</t>
        </is>
      </c>
      <c r="H313" s="1180" t="inlineStr">
        <is>
          <t>Y</t>
        </is>
      </c>
      <c r="I313" s="1180" t="inlineStr"/>
      <c r="J313" s="1181" t="n">
        <v>1</v>
      </c>
      <c r="K313" s="1181" t="n">
        <v>0</v>
      </c>
    </row>
    <row r="314" ht="15.75" customHeight="1" s="955" thickTop="1">
      <c r="A314" s="1178" t="inlineStr">
        <is>
          <t>8012 MUIRFIELD DR</t>
        </is>
      </c>
      <c r="B314" s="1178" t="inlineStr">
        <is>
          <t>FUQUAY-VARINA</t>
        </is>
      </c>
      <c r="C314" s="1178" t="inlineStr">
        <is>
          <t>NORTH CAROLINA</t>
        </is>
      </c>
      <c r="D314" s="1178" t="inlineStr">
        <is>
          <t>27526</t>
        </is>
      </c>
      <c r="E314" s="1178" t="inlineStr"/>
      <c r="F314" s="1178" t="inlineStr">
        <is>
          <t>RES-SFU</t>
        </is>
      </c>
      <c r="G314" s="1178" t="inlineStr">
        <is>
          <t>BURIED</t>
        </is>
      </c>
      <c r="H314" s="1178" t="inlineStr">
        <is>
          <t>Y</t>
        </is>
      </c>
      <c r="I314" s="1178" t="inlineStr"/>
      <c r="J314" s="1179" t="n">
        <v>1</v>
      </c>
      <c r="K314" s="1179" t="n">
        <v>0</v>
      </c>
    </row>
    <row r="315">
      <c r="A315" s="1178" t="inlineStr">
        <is>
          <t>8013 MUIRFIELD DR</t>
        </is>
      </c>
      <c r="B315" s="1178" t="inlineStr">
        <is>
          <t>FUQUAY-VARINA</t>
        </is>
      </c>
      <c r="C315" s="1178" t="inlineStr">
        <is>
          <t>NORTH CAROLINA</t>
        </is>
      </c>
      <c r="D315" s="1178" t="inlineStr">
        <is>
          <t>27526</t>
        </is>
      </c>
      <c r="E315" s="1178" t="inlineStr"/>
      <c r="F315" s="1178" t="inlineStr">
        <is>
          <t>RES-SFU</t>
        </is>
      </c>
      <c r="G315" s="1178" t="inlineStr">
        <is>
          <t>BURIED</t>
        </is>
      </c>
      <c r="H315" s="1178" t="inlineStr">
        <is>
          <t>Y</t>
        </is>
      </c>
      <c r="I315" s="1178" t="inlineStr"/>
      <c r="J315" s="1179" t="n">
        <v>1</v>
      </c>
      <c r="K315" s="1179" t="n">
        <v>0</v>
      </c>
    </row>
    <row r="316">
      <c r="A316" s="1178" t="inlineStr">
        <is>
          <t>8016 MUIRFIELD DR</t>
        </is>
      </c>
      <c r="B316" s="1178" t="inlineStr">
        <is>
          <t>FUQUAY-VARINA</t>
        </is>
      </c>
      <c r="C316" s="1178" t="inlineStr">
        <is>
          <t>NORTH CAROLINA</t>
        </is>
      </c>
      <c r="D316" s="1178" t="inlineStr">
        <is>
          <t>27526</t>
        </is>
      </c>
      <c r="E316" s="1178" t="inlineStr"/>
      <c r="F316" s="1178" t="inlineStr">
        <is>
          <t>RES-SFU</t>
        </is>
      </c>
      <c r="G316" s="1178" t="inlineStr">
        <is>
          <t>BURIED</t>
        </is>
      </c>
      <c r="H316" s="1178" t="inlineStr">
        <is>
          <t>Y</t>
        </is>
      </c>
      <c r="I316" s="1178" t="inlineStr"/>
      <c r="J316" s="1179" t="n">
        <v>1</v>
      </c>
      <c r="K316" s="1179" t="n">
        <v>0</v>
      </c>
    </row>
    <row r="317">
      <c r="A317" s="1178" t="inlineStr">
        <is>
          <t>8017 MUIRFIELD DR</t>
        </is>
      </c>
      <c r="B317" s="1178" t="inlineStr">
        <is>
          <t>FUQUAY-VARINA</t>
        </is>
      </c>
      <c r="C317" s="1178" t="inlineStr">
        <is>
          <t>NORTH CAROLINA</t>
        </is>
      </c>
      <c r="D317" s="1178" t="inlineStr">
        <is>
          <t>27526</t>
        </is>
      </c>
      <c r="E317" s="1178" t="inlineStr"/>
      <c r="F317" s="1178" t="inlineStr">
        <is>
          <t>RES-SFU</t>
        </is>
      </c>
      <c r="G317" s="1178" t="inlineStr">
        <is>
          <t>BURIED</t>
        </is>
      </c>
      <c r="H317" s="1178" t="inlineStr">
        <is>
          <t>Y</t>
        </is>
      </c>
      <c r="I317" s="1178" t="inlineStr"/>
      <c r="J317" s="1179" t="n">
        <v>1</v>
      </c>
      <c r="K317" s="1179" t="n">
        <v>0</v>
      </c>
    </row>
    <row r="318">
      <c r="A318" s="1178" t="inlineStr">
        <is>
          <t>8020 MUIRFIELD DR</t>
        </is>
      </c>
      <c r="B318" s="1178" t="inlineStr">
        <is>
          <t>FUQUAY-VARINA</t>
        </is>
      </c>
      <c r="C318" s="1178" t="inlineStr">
        <is>
          <t>NORTH CAROLINA</t>
        </is>
      </c>
      <c r="D318" s="1178" t="inlineStr">
        <is>
          <t>27526</t>
        </is>
      </c>
      <c r="E318" s="1178" t="inlineStr"/>
      <c r="F318" s="1178" t="inlineStr">
        <is>
          <t>RES-SFU</t>
        </is>
      </c>
      <c r="G318" s="1178" t="inlineStr">
        <is>
          <t>BURIED</t>
        </is>
      </c>
      <c r="H318" s="1178" t="inlineStr">
        <is>
          <t>Y</t>
        </is>
      </c>
      <c r="I318" s="1178" t="inlineStr"/>
      <c r="J318" s="1179" t="n">
        <v>1</v>
      </c>
      <c r="K318" s="1179" t="n">
        <v>0</v>
      </c>
    </row>
    <row r="319">
      <c r="A319" s="1178" t="inlineStr">
        <is>
          <t>8021 MUIRFIELD DR</t>
        </is>
      </c>
      <c r="B319" s="1178" t="inlineStr">
        <is>
          <t>FUQUAY-VARINA</t>
        </is>
      </c>
      <c r="C319" s="1178" t="inlineStr">
        <is>
          <t>NORTH CAROLINA</t>
        </is>
      </c>
      <c r="D319" s="1178" t="inlineStr">
        <is>
          <t>27526</t>
        </is>
      </c>
      <c r="E319" s="1178" t="inlineStr"/>
      <c r="F319" s="1178" t="inlineStr">
        <is>
          <t>RES-SFU</t>
        </is>
      </c>
      <c r="G319" s="1178" t="inlineStr">
        <is>
          <t>BURIED</t>
        </is>
      </c>
      <c r="H319" s="1178" t="inlineStr">
        <is>
          <t>Y</t>
        </is>
      </c>
      <c r="I319" s="1178" t="inlineStr"/>
      <c r="J319" s="1179" t="n">
        <v>1</v>
      </c>
      <c r="K319" s="1179" t="n">
        <v>0</v>
      </c>
    </row>
    <row r="320">
      <c r="A320" s="1178" t="inlineStr">
        <is>
          <t>8024 MUIRFIELD DR</t>
        </is>
      </c>
      <c r="B320" s="1178" t="inlineStr">
        <is>
          <t>FUQUAY-VARINA</t>
        </is>
      </c>
      <c r="C320" s="1178" t="inlineStr">
        <is>
          <t>NORTH CAROLINA</t>
        </is>
      </c>
      <c r="D320" s="1178" t="inlineStr">
        <is>
          <t>27526</t>
        </is>
      </c>
      <c r="E320" s="1178" t="inlineStr"/>
      <c r="F320" s="1178" t="inlineStr">
        <is>
          <t>RES-SFU</t>
        </is>
      </c>
      <c r="G320" s="1178" t="inlineStr">
        <is>
          <t>BURIED</t>
        </is>
      </c>
      <c r="H320" s="1178" t="inlineStr">
        <is>
          <t>Y</t>
        </is>
      </c>
      <c r="I320" s="1178" t="inlineStr"/>
      <c r="J320" s="1179" t="n">
        <v>1</v>
      </c>
      <c r="K320" s="1179" t="n">
        <v>0</v>
      </c>
    </row>
    <row r="321">
      <c r="A321" s="1178" t="inlineStr">
        <is>
          <t>8025 MUIRFIELD DR</t>
        </is>
      </c>
      <c r="B321" s="1178" t="inlineStr">
        <is>
          <t>FUQUAY-VARINA</t>
        </is>
      </c>
      <c r="C321" s="1178" t="inlineStr">
        <is>
          <t>NORTH CAROLINA</t>
        </is>
      </c>
      <c r="D321" s="1178" t="inlineStr">
        <is>
          <t>27526</t>
        </is>
      </c>
      <c r="E321" s="1178" t="inlineStr"/>
      <c r="F321" s="1178" t="inlineStr">
        <is>
          <t>RES-SFU</t>
        </is>
      </c>
      <c r="G321" s="1178" t="inlineStr">
        <is>
          <t>BURIED</t>
        </is>
      </c>
      <c r="H321" s="1178" t="inlineStr">
        <is>
          <t>Y</t>
        </is>
      </c>
      <c r="I321" s="1178" t="inlineStr"/>
      <c r="J321" s="1179" t="n">
        <v>1</v>
      </c>
      <c r="K321" s="1179" t="n">
        <v>0</v>
      </c>
    </row>
    <row r="322">
      <c r="A322" s="1178" t="inlineStr">
        <is>
          <t>8100 MUIRFIELD DR</t>
        </is>
      </c>
      <c r="B322" s="1178" t="inlineStr">
        <is>
          <t>FUQUAY-VARINA</t>
        </is>
      </c>
      <c r="C322" s="1178" t="inlineStr">
        <is>
          <t>NORTH CAROLINA</t>
        </is>
      </c>
      <c r="D322" s="1178" t="inlineStr">
        <is>
          <t>27526</t>
        </is>
      </c>
      <c r="E322" s="1178" t="inlineStr"/>
      <c r="F322" s="1178" t="inlineStr">
        <is>
          <t>RES-SFU</t>
        </is>
      </c>
      <c r="G322" s="1178" t="inlineStr">
        <is>
          <t>BURIED</t>
        </is>
      </c>
      <c r="H322" s="1178" t="inlineStr">
        <is>
          <t>Y</t>
        </is>
      </c>
      <c r="I322" s="1178" t="inlineStr"/>
      <c r="J322" s="1179" t="n">
        <v>1</v>
      </c>
      <c r="K322" s="1179" t="n">
        <v>0</v>
      </c>
    </row>
    <row r="323">
      <c r="A323" s="109" t="inlineStr">
        <is>
          <t>5708 WYSTERIA DR</t>
        </is>
      </c>
      <c r="B323" s="109" t="inlineStr">
        <is>
          <t>FUQUAY-VARINA</t>
        </is>
      </c>
      <c r="C323" s="109" t="inlineStr">
        <is>
          <t>NORTH CAROLINA</t>
        </is>
      </c>
      <c r="D323" s="109" t="n">
        <v>27526</v>
      </c>
      <c r="E323" s="109" t="n"/>
      <c r="F323" s="109" t="inlineStr">
        <is>
          <t>RES-SFU</t>
        </is>
      </c>
      <c r="G323" s="109" t="inlineStr">
        <is>
          <t>BURIED</t>
        </is>
      </c>
      <c r="H323" s="109" t="inlineStr">
        <is>
          <t>Y</t>
        </is>
      </c>
      <c r="I323" s="68" t="n"/>
      <c r="J323">
        <f>IF('House Count'!H323="Y",IF('House Count'!F323="RES-SFU",1,IF('House Count'!F323="RES-MDU",1,IF('House Count'!F323="RES-HOA",1,0))),0)</f>
        <v/>
      </c>
      <c r="K323">
        <f>IF('House Count'!H323="Y",IF('House Count'!F323="COMM-SU",1,IF('House Count'!F323="COM-MTU",1,IF('House Count'!F323="ENT",1,0))),0)</f>
        <v/>
      </c>
    </row>
    <row r="324">
      <c r="A324" s="109" t="inlineStr">
        <is>
          <t>6905 OLD MILLS RD</t>
        </is>
      </c>
      <c r="B324" s="109" t="inlineStr">
        <is>
          <t>FUQUAY-VARINA</t>
        </is>
      </c>
      <c r="C324" s="109" t="inlineStr">
        <is>
          <t>NORTH CAROLINA</t>
        </is>
      </c>
      <c r="D324" s="109" t="n">
        <v>27526</v>
      </c>
      <c r="E324" s="109" t="n"/>
      <c r="F324" s="109" t="inlineStr">
        <is>
          <t>RES-SFU</t>
        </is>
      </c>
      <c r="G324" s="109" t="inlineStr">
        <is>
          <t>BURIED</t>
        </is>
      </c>
      <c r="H324" s="109" t="inlineStr">
        <is>
          <t>Y</t>
        </is>
      </c>
      <c r="I324" s="68" t="n"/>
      <c r="J324">
        <f>IF('House Count'!H324="Y",IF('House Count'!F324="RES-SFU",1,IF('House Count'!F324="RES-MDU",1,IF('House Count'!F324="RES-HOA",1,0))),0)</f>
        <v/>
      </c>
      <c r="K324">
        <f>IF('House Count'!H324="Y",IF('House Count'!F324="COMM-SU",1,IF('House Count'!F324="COM-MTU",1,IF('House Count'!F324="ENT",1,0))),0)</f>
        <v/>
      </c>
    </row>
    <row r="325" ht="15.75" customHeight="1" s="955" thickBot="1">
      <c r="A325" s="545" t="inlineStr">
        <is>
          <t>6900 OLD MILLS RD</t>
        </is>
      </c>
      <c r="B325" s="545" t="inlineStr">
        <is>
          <t>FUQUAY-VARINA</t>
        </is>
      </c>
      <c r="C325" s="545" t="inlineStr">
        <is>
          <t>NORTH CAROLINA</t>
        </is>
      </c>
      <c r="D325" s="545" t="n">
        <v>27526</v>
      </c>
      <c r="E325" s="545" t="n"/>
      <c r="F325" s="545" t="inlineStr">
        <is>
          <t>RES-SFU</t>
        </is>
      </c>
      <c r="G325" s="545" t="inlineStr">
        <is>
          <t>BURIED</t>
        </is>
      </c>
      <c r="H325" s="545" t="inlineStr">
        <is>
          <t>Y</t>
        </is>
      </c>
      <c r="I325" s="546" t="n"/>
      <c r="J325">
        <f>IF('House Count'!H325="Y",IF('House Count'!F325="RES-SFU",1,IF('House Count'!F325="RES-MDU",1,IF('House Count'!F325="RES-HOA",1,0))),0)</f>
        <v/>
      </c>
      <c r="K325">
        <f>IF('House Count'!H325="Y",IF('House Count'!F325="COMM-SU",1,IF('House Count'!F325="COM-MTU",1,IF('House Count'!F325="ENT",1,0))),0)</f>
        <v/>
      </c>
    </row>
    <row r="326" ht="15.75" customHeight="1" s="955" thickTop="1">
      <c r="A326" s="109" t="inlineStr">
        <is>
          <t>6004 JOHNSON POND RD</t>
        </is>
      </c>
      <c r="B326" s="109" t="inlineStr">
        <is>
          <t>FUQUAY-VARINA</t>
        </is>
      </c>
      <c r="C326" s="109" t="inlineStr">
        <is>
          <t>NORTH CAROLINA</t>
        </is>
      </c>
      <c r="D326" s="109" t="n">
        <v>27526</v>
      </c>
      <c r="E326" s="109" t="n"/>
      <c r="F326" s="109" t="inlineStr">
        <is>
          <t>RES-SFU</t>
        </is>
      </c>
      <c r="G326" s="109" t="inlineStr">
        <is>
          <t>BURIED</t>
        </is>
      </c>
      <c r="H326" s="109" t="inlineStr">
        <is>
          <t>Y</t>
        </is>
      </c>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5.75" customHeight="1" s="955"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5.75" customHeight="1" s="955"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5.75" customHeight="1" s="955"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5.75" customHeight="1" s="955"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5.75" customHeight="1" s="955"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5.75" customHeight="1" s="955"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5.75" customHeight="1" s="955"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5.75" customHeight="1" s="955"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5.75" customHeight="1" s="955"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5.75" customHeight="1" s="955"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5.75" customHeight="1" s="955"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5.75" customHeight="1" s="955"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5.75" customHeight="1" s="955"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5.75" customHeight="1" s="955"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5.75" customHeight="1" s="955"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5.75" customHeight="1" s="955"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5.75" customHeight="1" s="955"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5.75" customHeight="1" s="955"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5.75" customHeight="1" s="955"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5.75" customHeight="1" s="955"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5.75" customHeight="1" s="955"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5.75" customHeight="1" s="955"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5.75" customHeight="1" s="955"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5.75" customHeight="1" s="955"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5.75" customHeight="1" s="955"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5.75" customHeight="1" s="955"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5.75" customHeight="1" s="955"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5.75" customHeight="1" s="955"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5.75" customHeight="1" s="955"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5.75" customHeight="1" s="955"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5.75" customHeight="1" s="955"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5.75" customHeight="1" s="955"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5.75" customHeight="1" s="955"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5.75" customHeight="1" s="955"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5.75" customHeight="1" s="955"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5.75" customHeight="1" s="955"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5.75" customHeight="1" s="955"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5.75" customHeight="1" s="955"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5.75" customHeight="1" s="955"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5.75" customHeight="1" s="955"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5.75" customHeight="1" s="955"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5.75" customHeight="1" s="955"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5.75" customHeight="1" s="955"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5.75" customHeight="1" s="955"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5.75" customHeight="1" s="955"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5.75" customHeight="1" s="955"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5.75" customHeight="1" s="955"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5.75" customHeight="1" s="955"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5.75" customHeight="1" s="955"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5.75" customHeight="1" s="955"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5.75" customHeight="1" s="955"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5.75" customHeight="1" s="955"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5.75" customHeight="1" s="955"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5.75" customHeight="1" s="955"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5.75" customHeight="1" s="955"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5.75" customHeight="1" s="955"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5.75" customHeight="1" s="955"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5.75" customHeight="1" s="955"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5.75" customHeight="1" s="955"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5.75" customHeight="1" s="955"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5.75" customHeight="1" s="955"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5.75" customHeight="1" s="955"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5.75" customHeight="1" s="955"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5.75" customHeight="1" s="955"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5.75" customHeight="1" s="955"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5.75" customHeight="1" s="955"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5.75" customHeight="1" s="955"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5.75" customHeight="1" s="955"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5.75" customHeight="1" s="955"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5.75" customHeight="1" s="955"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5.75" customHeight="1" s="955"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5.75" customHeight="1" s="955"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5.75" customHeight="1" s="955"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5.75" customHeight="1" s="955"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5.75" customHeight="1" s="955"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5.75" customHeight="1" s="955"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5.75" customHeight="1" s="955"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5.75" customHeight="1" s="955"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5.75" customHeight="1" s="955"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5.75" customHeight="1" s="955"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5.75" customHeight="1" s="955"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5.75" customHeight="1" s="955"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5.75" customHeight="1" s="955"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5.75" customHeight="1" s="955"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5.75" customHeight="1" s="955"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5.75" customHeight="1" s="955"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5.75" customHeight="1" s="955"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5.75" customHeight="1" s="955"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5.75" customHeight="1" s="955"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5.75" customHeight="1" s="955"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5.75" customHeight="1" s="955"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5.75" customHeight="1" s="955"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5.75" customHeight="1" s="955"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5.75" customHeight="1" s="955"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5.75" customHeight="1" s="955"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5.75" customHeight="1" s="955"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5.75" customHeight="1" s="955"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5.75" customHeight="1" s="955"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5.75" customHeight="1" s="955"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5.75" customHeight="1" s="955"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5.75" customHeight="1" s="955"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5.75" customHeight="1" s="955"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5.75" customHeight="1" s="955"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5.75" customHeight="1" s="955"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5.75" customHeight="1" s="955"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5.75" customHeight="1" s="955"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5.75" customHeight="1" s="955"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5.75" customHeight="1" s="955"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5.75" customHeight="1" s="955"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5.75" customHeight="1" s="955"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5.75" customHeight="1" s="955"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5.75" customHeight="1" s="955"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5.75" customHeight="1" s="955"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5.75" customHeight="1" s="955"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5.75" customHeight="1" s="955"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5.75" customHeight="1" s="955"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5.75" customHeight="1" s="955"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5.75" customHeight="1" s="955"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5.75" customHeight="1" s="955"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5.75" customHeight="1" s="955"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5.75" customHeight="1" s="955"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5.75" customHeight="1" s="955"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5.75" customHeight="1" s="955"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5.75" customHeight="1" s="955"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5.75" customHeight="1" s="955"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5.75" customHeight="1" s="955"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5.75" customHeight="1" s="955"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5.75" customHeight="1" s="955"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5.75" customHeight="1" s="955"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5.75" customHeight="1" s="955"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5.75" customHeight="1" s="955"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5.75" customHeight="1" s="955"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5.75" customHeight="1" s="955"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5.75" customHeight="1" s="955"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5.75" customHeight="1" s="955"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5.75" customHeight="1" s="955"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5.75" customHeight="1" s="955"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5.75" customHeight="1" s="955"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5.75" customHeight="1" s="955"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5.75" customHeight="1" s="955"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5.75" customHeight="1" s="955"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5.75" customHeight="1" s="955"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5.75" customHeight="1" s="955"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5.75" customHeight="1" s="955"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5.75" customHeight="1" s="955"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5.75" customHeight="1" s="955"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5.75" customHeight="1" s="955"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5.75" customHeight="1" s="955"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5.75" customHeight="1" s="955"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5.75" customHeight="1" s="955"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5.75" customHeight="1" s="955"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5.75" customHeight="1" s="955"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5.75" customHeight="1" s="955"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5.75" customHeight="1" s="955"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5.75" customHeight="1" s="955"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5.75" customHeight="1" s="955"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5.75" customHeight="1" s="955"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5.75" customHeight="1" s="955"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5.75" customHeight="1" s="955"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5.75" customHeight="1" s="955"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5.75" customHeight="1" s="955"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5.75" customHeight="1" s="955"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5.75" customHeight="1" s="955"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5.75" customHeight="1" s="955"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5.75" customHeight="1" s="955"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5.75" customHeight="1" s="955"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5.75" customHeight="1" s="955"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5.75" customHeight="1" s="955"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5.75" customHeight="1" s="955"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5.75" customHeight="1" s="955"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5.75" customHeight="1" s="955"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5.75" customHeight="1" s="955"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5.75" customHeight="1" s="955"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5.75" customHeight="1" s="955"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5.75" customHeight="1" s="955"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5.75" customHeight="1" s="955"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5.75" customHeight="1" s="955"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5.75" customHeight="1" s="955"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5.75" customHeight="1" s="955"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5.75" customHeight="1" s="955"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5.75" customHeight="1" s="955"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5.75" customHeight="1" s="955"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5.75" customHeight="1" s="955"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5.75" customHeight="1" s="955"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5.75" customHeight="1" s="955"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5.75" customHeight="1" s="955"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5.75" customHeight="1" s="955"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5.75" customHeight="1" s="955"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5.75" customHeight="1" s="955"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5.75" customHeight="1" s="955"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5.75" customHeight="1" s="955"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5.75" customHeight="1" s="955"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5.75" customHeight="1" s="955"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5.75" customHeight="1" s="955"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5.75" customHeight="1" s="955"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5.75" customHeight="1" s="955"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5.75" customHeight="1" s="955"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5.75" customHeight="1" s="955" thickTop="1"/>
  </sheetData>
  <autoFilter ref="A1:I1"/>
  <conditionalFormatting sqref="A2:I1513">
    <cfRule type="expression" priority="265" dxfId="0">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A10" sqref="A10"/>
    </sheetView>
  </sheetViews>
  <sheetFormatPr baseColWidth="8" defaultRowHeight="15"/>
  <cols>
    <col width="13.7109375" customWidth="1" style="955" min="1" max="1"/>
    <col width="26" bestFit="1" customWidth="1" style="955" min="5" max="5"/>
    <col width="62.7109375" customWidth="1" style="955" min="6" max="6"/>
    <col width="12.85546875" customWidth="1" style="955" min="7" max="7"/>
    <col width="23" customWidth="1" style="955" min="8" max="8"/>
    <col width="11.85546875" customWidth="1" style="955" min="11" max="11"/>
  </cols>
  <sheetData>
    <row r="1" ht="15.75" customHeight="1" s="955">
      <c r="A1" s="1051" t="inlineStr">
        <is>
          <t>Material Estimate Worksheet</t>
        </is>
      </c>
    </row>
    <row r="2">
      <c r="A2" s="694" t="n"/>
      <c r="B2" s="1052" t="n"/>
      <c r="D2" s="695" t="n"/>
      <c r="E2" s="695" t="n"/>
      <c r="F2" s="696" t="n"/>
      <c r="G2" s="696" t="n"/>
      <c r="H2" s="697" t="n"/>
      <c r="I2" s="697" t="n"/>
      <c r="J2" s="695" t="n"/>
      <c r="K2" s="695" t="n"/>
    </row>
    <row r="3">
      <c r="A3" s="694" t="inlineStr">
        <is>
          <t>Move Order #</t>
        </is>
      </c>
      <c r="B3" s="1053" t="n"/>
      <c r="C3" s="1176" t="n"/>
      <c r="D3" s="1054" t="inlineStr">
        <is>
          <t>Job Description:</t>
        </is>
      </c>
      <c r="F3" s="1053">
        <f>'COVER SHEET'!B3</f>
        <v/>
      </c>
      <c r="G3" s="1052" t="n"/>
      <c r="H3" s="700" t="n"/>
      <c r="I3" s="701" t="n"/>
      <c r="J3" s="700" t="n"/>
      <c r="K3" s="695" t="n"/>
    </row>
    <row r="4">
      <c r="A4" s="694" t="inlineStr">
        <is>
          <t>Job #:</t>
        </is>
      </c>
      <c r="B4" s="1053">
        <f>'COVER SHEET'!F4</f>
        <v/>
      </c>
      <c r="C4" s="1176" t="n"/>
      <c r="D4" s="1054" t="inlineStr">
        <is>
          <t>Branch Plant:</t>
        </is>
      </c>
      <c r="F4" s="702" t="n"/>
      <c r="G4" s="703" t="n"/>
      <c r="H4" s="694" t="inlineStr">
        <is>
          <t>LUMOS Employee Signature</t>
        </is>
      </c>
      <c r="I4" s="694" t="n"/>
      <c r="J4" s="694" t="inlineStr">
        <is>
          <t>Date</t>
        </is>
      </c>
      <c r="K4" s="694" t="n"/>
    </row>
    <row r="5">
      <c r="A5" s="694" t="inlineStr">
        <is>
          <t>Capital Bud. #:</t>
        </is>
      </c>
      <c r="B5" s="1053" t="n"/>
      <c r="C5" s="1176" t="n"/>
      <c r="D5" s="1054" t="inlineStr">
        <is>
          <t>Engineer:</t>
        </is>
      </c>
      <c r="F5" s="1053">
        <f>'COVER SHEET'!F2:G2</f>
        <v/>
      </c>
      <c r="G5" s="1052" t="n"/>
      <c r="H5" s="704" t="n"/>
      <c r="I5" s="694" t="n"/>
      <c r="J5" s="695" t="n"/>
      <c r="K5" s="695" t="n"/>
    </row>
    <row r="6">
      <c r="A6" s="694" t="inlineStr">
        <is>
          <t>Date:</t>
        </is>
      </c>
      <c r="B6" s="1055" t="n"/>
      <c r="C6" s="1176" t="n"/>
      <c r="D6" s="1054"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H23">_xlfn._xlws.FILTER(MATERIAL!A6:H341,(MATERIAL!B6:B341&lt;&gt;"")*(MATERIAL!B6:B341&lt;&gt;0)*(MATERIAL!B6:B341&lt;&gt;"-"))</f>
        <v/>
      </c>
      <c r="B10" s="716" t="n">
        <v>24606</v>
      </c>
      <c r="C10" s="717" t="n">
        <v>0</v>
      </c>
      <c r="D10" s="717" t="n">
        <v>0</v>
      </c>
      <c r="E10" s="718" t="inlineStr">
        <is>
          <t>FIBGEN48ARMR</t>
        </is>
      </c>
      <c r="F10" s="718" t="inlineStr">
        <is>
          <t>048 Loose Tube PN D-048-LA-8W-F12NS; 048ZUC-T4122D20; AT3CEH2YT-048</t>
        </is>
      </c>
      <c r="G10" s="719" t="n">
        <v>0.31</v>
      </c>
      <c r="H10" s="1182" t="n">
        <v>7627.86</v>
      </c>
      <c r="I10" s="721" t="n"/>
      <c r="J10" s="722" t="n"/>
      <c r="K10" s="721" t="n"/>
    </row>
    <row r="11">
      <c r="A11" s="715" t="inlineStr">
        <is>
          <t>O.FBR.BURD</t>
        </is>
      </c>
      <c r="B11" s="716" t="n">
        <v>2858</v>
      </c>
      <c r="C11" s="717" t="n">
        <v>0</v>
      </c>
      <c r="D11" s="717" t="n">
        <v>0</v>
      </c>
      <c r="E11" s="718" t="inlineStr">
        <is>
          <t>FIBGEN144RIB</t>
        </is>
      </c>
      <c r="F11" s="718" t="inlineStr">
        <is>
          <t>144 Ribbon FIber PN 144EC5-14100D53</t>
        </is>
      </c>
      <c r="G11" s="719" t="n">
        <v>0.98</v>
      </c>
      <c r="H11" s="1182" t="n">
        <v>2800.84</v>
      </c>
      <c r="I11" s="721" t="n"/>
      <c r="J11" s="722" t="n"/>
      <c r="K11" s="721" t="n"/>
    </row>
    <row r="12">
      <c r="A12" s="715" t="inlineStr">
        <is>
          <t>O.CONDUIT</t>
        </is>
      </c>
      <c r="B12" s="716" t="n">
        <v>38727</v>
      </c>
      <c r="C12" s="717" t="n">
        <v>0</v>
      </c>
      <c r="D12" s="717" t="n">
        <v>0</v>
      </c>
      <c r="E12" s="718" t="inlineStr">
        <is>
          <t>INDGEN125</t>
        </is>
      </c>
      <c r="F12" s="718" t="inlineStr">
        <is>
          <t>INNERDUCT 1.25" ARNCO SDR 13.5</t>
        </is>
      </c>
      <c r="G12" s="719" t="n">
        <v>0.29</v>
      </c>
      <c r="H12" s="1182" t="n">
        <v>11230.83</v>
      </c>
      <c r="I12" s="721" t="n"/>
      <c r="J12" s="722" t="n"/>
      <c r="K12" s="721" t="n"/>
    </row>
    <row r="13">
      <c r="A13" s="715" t="inlineStr">
        <is>
          <t>O.CONDUIT</t>
        </is>
      </c>
      <c r="B13" s="716" t="n">
        <v>56</v>
      </c>
      <c r="C13" s="717" t="n">
        <v>0</v>
      </c>
      <c r="D13" s="717" t="n">
        <v>0</v>
      </c>
      <c r="E13" s="718" t="inlineStr">
        <is>
          <t>SPLROUTEMARKER</t>
        </is>
      </c>
      <c r="F13" s="718" t="inlineStr">
        <is>
          <t>FIBER ROUTE MARKER SIGN</t>
        </is>
      </c>
      <c r="G13" s="719" t="n">
        <v>13.97</v>
      </c>
      <c r="H13" s="1182" t="n">
        <v>782.3200000000001</v>
      </c>
      <c r="I13" s="721" t="n"/>
      <c r="J13" s="722" t="n"/>
      <c r="K13" s="721" t="n"/>
    </row>
    <row r="14">
      <c r="A14" s="715" t="inlineStr">
        <is>
          <t>O.CONDUIT</t>
        </is>
      </c>
      <c r="B14" s="716" t="n">
        <v>125</v>
      </c>
      <c r="C14" s="717" t="n">
        <v>0</v>
      </c>
      <c r="D14" s="717" t="n">
        <v>0</v>
      </c>
      <c r="E14" s="718" t="inlineStr">
        <is>
          <t>PBXGENDRPBX</t>
        </is>
      </c>
      <c r="F14" s="718" t="inlineStr">
        <is>
          <t>NON-DOT/NON-TIER 22 - FLOWER POT 11"X11"X12" DROP BOX  PN SGLB01211261 AU101512P00N-XX;   100007163; SGLB-0</t>
        </is>
      </c>
      <c r="G14" s="719" t="n">
        <v>19</v>
      </c>
      <c r="H14" s="1182" t="n">
        <v>2375</v>
      </c>
      <c r="I14" s="721" t="n"/>
      <c r="J14" s="722" t="n"/>
      <c r="K14" s="721" t="n"/>
    </row>
    <row r="15">
      <c r="A15" s="715" t="inlineStr">
        <is>
          <t>O.CONDUIT</t>
        </is>
      </c>
      <c r="B15" s="716" t="n">
        <v>73</v>
      </c>
      <c r="C15" s="717" t="n">
        <v>0</v>
      </c>
      <c r="D15" s="717" t="n">
        <v>0</v>
      </c>
      <c r="E15" s="718" t="inlineStr">
        <is>
          <t>PBXGEN13X24X18</t>
        </is>
      </c>
      <c r="F15" s="718" t="inlineStr">
        <is>
          <t>TIER 22 (SPLT) 13"x24"x18" DEEP BULK VAULT SHIELD TIER 22 (33 750LB TEST LOAD) SELF-LOCK HEX-HEAD SECURITY LUMOS CUSTOM LOGO  PN  BULKU1324180066261</t>
        </is>
      </c>
      <c r="G15" s="719" t="n">
        <v>191.4</v>
      </c>
      <c r="H15" s="1182" t="n">
        <v>13972.2</v>
      </c>
      <c r="I15" s="721" t="n"/>
      <c r="J15" s="722" t="n"/>
      <c r="K15" s="721" t="n"/>
    </row>
    <row r="16">
      <c r="A16" s="715" t="inlineStr">
        <is>
          <t>O.CONDUIT</t>
        </is>
      </c>
      <c r="B16" s="716" t="n">
        <v>13</v>
      </c>
      <c r="C16" s="717" t="n">
        <v>0</v>
      </c>
      <c r="D16" s="717" t="n">
        <v>0</v>
      </c>
      <c r="E16" s="718" t="inlineStr">
        <is>
          <t>PBXGEN17X30X24</t>
        </is>
      </c>
      <c r="F16" s="718" t="inlineStr">
        <is>
          <t>TIER 22 (SM) 17"X30" 24" DEEP BULK VAULT SHIELD TIER 22 (33 750LB TEST LOAD) 1-PIECE LID SELF-LOCK HEX-HEAD SECURITY LUMOS CUSTOM LOGO PN  BULKU1730240066261</t>
        </is>
      </c>
      <c r="G16" s="719" t="n">
        <v>317</v>
      </c>
      <c r="H16" s="1182" t="n">
        <v>4121</v>
      </c>
      <c r="I16" s="721" t="n"/>
      <c r="J16" s="722" t="n"/>
      <c r="K16" s="721" t="n"/>
    </row>
    <row r="17">
      <c r="A17" s="715" t="inlineStr">
        <is>
          <t>O.CONDUIT</t>
        </is>
      </c>
      <c r="B17" s="716" t="n">
        <v>14</v>
      </c>
      <c r="C17" s="717" t="n">
        <v>0</v>
      </c>
      <c r="D17" s="717" t="n">
        <v>0</v>
      </c>
      <c r="E17" s="718" t="inlineStr">
        <is>
          <t>PBXGEN24X36X24</t>
        </is>
      </c>
      <c r="F17" s="718" t="inlineStr">
        <is>
          <t>TIER 22 (MED) 24"X36" 24" DEEP BULK VAULT SHIELD TIER 22 (33 750LB TEST LOAD) 1-PIECE LID SELF-LOCK HEX SECURITY. LUMOS CUSTOM LOGO PN BULKU2436240066261</t>
        </is>
      </c>
      <c r="G17" s="719" t="n">
        <v>429.74</v>
      </c>
      <c r="H17" s="1182" t="n">
        <v>6016.360000000001</v>
      </c>
      <c r="I17" s="721" t="n"/>
      <c r="J17" s="722" t="n"/>
      <c r="K17" s="721" t="n"/>
    </row>
    <row r="18">
      <c r="A18" s="715" t="inlineStr">
        <is>
          <t>O.FBR.BURD</t>
        </is>
      </c>
      <c r="B18" s="716" t="n">
        <v>16</v>
      </c>
      <c r="C18" s="717" t="n">
        <v>0</v>
      </c>
      <c r="D18" s="717" t="n">
        <v>0</v>
      </c>
      <c r="E18" s="718" t="inlineStr">
        <is>
          <t>SPLCOMFOSC450B6CASE</t>
        </is>
      </c>
      <c r="F18" s="718" t="inlineStr">
        <is>
          <t>TYCO B CASE ONLY FOSC450-B6-6-NT-0-B3V 058514-000</t>
        </is>
      </c>
      <c r="G18" s="719" t="n">
        <v>226.08</v>
      </c>
      <c r="H18" s="1182" t="n">
        <v>3617.28</v>
      </c>
      <c r="I18" s="721" t="n"/>
      <c r="J18" s="722" t="n"/>
      <c r="K18" s="721" t="n"/>
    </row>
    <row r="19">
      <c r="A19" s="715" t="inlineStr">
        <is>
          <t>O.FBR.BURD</t>
        </is>
      </c>
      <c r="B19" s="716" t="n">
        <v>16</v>
      </c>
      <c r="C19" s="717" t="n">
        <v>0</v>
      </c>
      <c r="D19" s="717" t="n">
        <v>0</v>
      </c>
      <c r="E19" s="718" t="inlineStr">
        <is>
          <t>SPLCOMFOSC12RIBTRY</t>
        </is>
      </c>
      <c r="F19" s="718" t="inlineStr">
        <is>
          <t>TYCO A/B SPLICETRAY ONLY FOSC ACC-A/B-TRAY-12-RBN 709972-000</t>
        </is>
      </c>
      <c r="G19" s="719" t="n">
        <v>26.24</v>
      </c>
      <c r="H19" s="1182" t="n">
        <v>419.84</v>
      </c>
      <c r="I19" s="721" t="n"/>
      <c r="J19" s="722" t="n"/>
      <c r="K19" s="721" t="n"/>
    </row>
    <row r="20">
      <c r="A20" s="715" t="inlineStr">
        <is>
          <t>O.FBR.BURD</t>
        </is>
      </c>
      <c r="B20" s="716" t="n">
        <v>3</v>
      </c>
      <c r="C20" s="717" t="n">
        <v>0</v>
      </c>
      <c r="D20" s="717" t="n">
        <v>0</v>
      </c>
      <c r="E20" s="718" t="inlineStr">
        <is>
          <t>SPLCOMFOSC450D6CASE</t>
        </is>
      </c>
      <c r="F20" s="718" t="inlineStr">
        <is>
          <t>TYCO D CASE ONLY FOSC450-D6-6-NT-0-D3V c32954-000</t>
        </is>
      </c>
      <c r="G20" s="719" t="n">
        <v>338.54</v>
      </c>
      <c r="H20" s="1182" t="n">
        <v>1015.62</v>
      </c>
      <c r="I20" s="721" t="n"/>
      <c r="J20" s="722" t="n"/>
      <c r="K20" s="721" t="n"/>
    </row>
    <row r="21">
      <c r="A21" s="715" t="inlineStr">
        <is>
          <t>O.FBR.BURD</t>
        </is>
      </c>
      <c r="B21" s="716" t="n">
        <v>3</v>
      </c>
      <c r="C21" s="717" t="n">
        <v>0</v>
      </c>
      <c r="D21" s="717" t="n">
        <v>0</v>
      </c>
      <c r="E21" s="718" t="inlineStr">
        <is>
          <t>SPLCOMFOSCRIBTRAYKIT</t>
        </is>
      </c>
      <c r="F21" s="718" t="inlineStr">
        <is>
          <t xml:space="preserve"> TYCO D SPLICE TRAY ONLY FOSC ACC-D-TRAY-RIBN-24 061064-000</t>
        </is>
      </c>
      <c r="G21" s="719" t="n">
        <v>35</v>
      </c>
      <c r="H21" s="1182" t="n">
        <v>105</v>
      </c>
      <c r="I21" s="721" t="n"/>
      <c r="J21" s="722" t="n"/>
      <c r="K21" s="721" t="n"/>
    </row>
    <row r="22">
      <c r="A22" s="715" t="inlineStr">
        <is>
          <t>O.FBR.BURD</t>
        </is>
      </c>
      <c r="B22" s="716" t="n">
        <v>14</v>
      </c>
      <c r="C22" s="717" t="n">
        <v>0</v>
      </c>
      <c r="D22" s="717" t="n">
        <v>0</v>
      </c>
      <c r="E22" s="718" t="inlineStr">
        <is>
          <t>SPLCHNG5NPRI</t>
        </is>
      </c>
      <c r="F22" s="718" t="inlineStr">
        <is>
          <t>Primary Splitter Location-G5NS TerminalGreen Hornet Fiber Splice Closure - Terminal Base, G5N- 5"x11", Two (2) Splice Trays, Two (2) 2x8 Splitters bare leads only,  No Grommets, No Brackets, No Ground G5NSTA2ES0NN0NNN</t>
        </is>
      </c>
      <c r="G22" s="719" t="n">
        <v>190.32</v>
      </c>
      <c r="H22" s="1182" t="n">
        <v>2664.48</v>
      </c>
      <c r="I22" s="721" t="n"/>
      <c r="J22" s="722" t="n"/>
      <c r="K22" s="721" t="n"/>
    </row>
    <row r="23">
      <c r="A23" s="715" t="inlineStr">
        <is>
          <t>O.FBR.BURD</t>
        </is>
      </c>
      <c r="B23" s="716" t="n">
        <v>92</v>
      </c>
      <c r="C23" s="717" t="n">
        <v>0</v>
      </c>
      <c r="D23" s="717" t="n">
        <v>0</v>
      </c>
      <c r="E23" s="718" t="inlineStr">
        <is>
          <t>SPLCHNG5NSEC</t>
        </is>
      </c>
      <c r="F23" s="718" t="inlineStr">
        <is>
          <t>Secondary Splitter Location"Drop Terminal"Green Hornet Fiber Splice Closure, G5N- 5"x11", Splice Trays (3), SC/APC Bulkhead with 16 Ports, Two (2) 1x4 Splitters with SC/APC Connectors,  No Grommets, No Brackets, No Ground G5NSTA2BA0NN0NNN</t>
        </is>
      </c>
      <c r="G23" s="719" t="n">
        <v>211.83</v>
      </c>
      <c r="H23" s="1182" t="n">
        <v>19488.36</v>
      </c>
      <c r="I23" s="721" t="n"/>
      <c r="J23" s="722" t="n"/>
      <c r="K23" s="721" t="n"/>
    </row>
    <row r="24">
      <c r="A24" s="715" t="n"/>
      <c r="B24" s="716" t="n"/>
      <c r="C24" s="717" t="n"/>
      <c r="D24" s="717" t="n"/>
      <c r="E24" s="718" t="n"/>
      <c r="F24" s="718" t="n"/>
      <c r="G24" s="719" t="n"/>
      <c r="H24" s="1182" t="n"/>
      <c r="I24" s="721" t="n"/>
      <c r="J24" s="722" t="n"/>
      <c r="K24" s="721" t="n"/>
    </row>
    <row r="25">
      <c r="A25" s="715" t="n"/>
      <c r="B25" s="716" t="n"/>
      <c r="C25" s="717" t="n"/>
      <c r="D25" s="717" t="n"/>
      <c r="E25" s="718" t="n"/>
      <c r="F25" s="718" t="n"/>
      <c r="G25" s="719" t="n"/>
      <c r="H25" s="1182" t="n"/>
      <c r="I25" s="721" t="n"/>
      <c r="J25" s="722" t="n"/>
      <c r="K25" s="721" t="n"/>
    </row>
    <row r="26">
      <c r="A26" s="715" t="n"/>
      <c r="B26" s="716" t="n"/>
      <c r="C26" s="717" t="n"/>
      <c r="D26" s="717" t="n"/>
      <c r="E26" s="718" t="n"/>
      <c r="F26" s="718" t="n"/>
      <c r="G26" s="719" t="n"/>
      <c r="H26" s="1182" t="n"/>
      <c r="I26" s="721" t="n"/>
      <c r="J26" s="722" t="n"/>
      <c r="K26" s="721" t="n"/>
    </row>
    <row r="27">
      <c r="A27" s="715" t="n"/>
      <c r="B27" s="716" t="n"/>
      <c r="C27" s="717" t="n"/>
      <c r="D27" s="717" t="n"/>
      <c r="E27" s="718" t="n"/>
      <c r="F27" s="718" t="n"/>
      <c r="G27" s="719" t="n"/>
      <c r="H27" s="1182" t="n"/>
      <c r="I27" s="721" t="n"/>
      <c r="J27" s="722" t="n"/>
      <c r="K27" s="721" t="n"/>
    </row>
    <row r="28">
      <c r="A28" s="715" t="n"/>
      <c r="B28" s="716" t="n"/>
      <c r="C28" s="717" t="n"/>
      <c r="D28" s="717" t="n"/>
      <c r="E28" s="718" t="n"/>
      <c r="F28" s="718" t="n"/>
      <c r="G28" s="719" t="n"/>
      <c r="H28" s="1182" t="n"/>
      <c r="I28" s="721" t="n"/>
      <c r="J28" s="722" t="n"/>
      <c r="K28" s="721" t="n"/>
    </row>
    <row r="29">
      <c r="A29" s="715" t="n"/>
      <c r="B29" s="716" t="n"/>
      <c r="C29" s="717" t="n"/>
      <c r="D29" s="717" t="n"/>
      <c r="E29" s="718" t="n"/>
      <c r="F29" s="718" t="n"/>
      <c r="G29" s="719" t="n"/>
      <c r="H29" s="1182" t="n"/>
      <c r="I29" s="721" t="n"/>
      <c r="J29" s="722" t="n"/>
      <c r="K29" s="721" t="n"/>
    </row>
    <row r="30">
      <c r="A30" s="715" t="n"/>
      <c r="B30" s="716" t="n"/>
      <c r="C30" s="717" t="n"/>
      <c r="D30" s="717" t="n"/>
      <c r="E30" s="718" t="n"/>
      <c r="F30" s="718" t="n"/>
      <c r="G30" s="719" t="n"/>
      <c r="H30" s="1182" t="n"/>
      <c r="I30" s="721" t="n"/>
      <c r="J30" s="722" t="n"/>
      <c r="K30" s="721" t="n"/>
    </row>
    <row r="31">
      <c r="A31" s="715" t="n"/>
      <c r="B31" s="716" t="n"/>
      <c r="C31" s="717" t="n"/>
      <c r="D31" s="717" t="n"/>
      <c r="E31" s="718" t="n"/>
      <c r="F31" s="718" t="n"/>
      <c r="G31" s="719" t="n"/>
      <c r="H31" s="1182" t="n"/>
      <c r="I31" s="721" t="n"/>
      <c r="J31" s="722" t="n"/>
      <c r="K31" s="721" t="n"/>
    </row>
    <row r="32">
      <c r="A32" s="715" t="n"/>
      <c r="B32" s="716" t="n"/>
      <c r="C32" s="717" t="n"/>
      <c r="D32" s="717" t="n"/>
      <c r="E32" s="718" t="n"/>
      <c r="F32" s="718" t="n"/>
      <c r="G32" s="719" t="n"/>
      <c r="H32" s="1182" t="n"/>
      <c r="I32" s="721" t="n"/>
      <c r="J32" s="722" t="n"/>
      <c r="K32" s="721" t="n"/>
    </row>
    <row r="33">
      <c r="A33" s="715" t="n"/>
      <c r="B33" s="716" t="n"/>
      <c r="C33" s="717" t="n"/>
      <c r="D33" s="717" t="n"/>
      <c r="E33" s="718" t="n"/>
      <c r="F33" s="718" t="n"/>
      <c r="G33" s="719" t="n"/>
      <c r="H33" s="1182" t="n"/>
      <c r="I33" s="721" t="n"/>
      <c r="J33" s="722" t="n"/>
      <c r="K33" s="721" t="n"/>
    </row>
    <row r="34">
      <c r="A34" s="715" t="n"/>
      <c r="B34" s="716" t="n"/>
      <c r="C34" s="717" t="n"/>
      <c r="D34" s="717" t="n"/>
      <c r="E34" s="718" t="n"/>
      <c r="F34" s="718" t="n"/>
      <c r="G34" s="719" t="n"/>
      <c r="H34" s="1182" t="n"/>
      <c r="I34" s="721" t="n"/>
      <c r="J34" s="722" t="n"/>
      <c r="K34" s="721" t="n"/>
    </row>
    <row r="35">
      <c r="A35" s="715" t="n"/>
      <c r="B35" s="716" t="n"/>
      <c r="C35" s="717" t="n"/>
      <c r="D35" s="717" t="n"/>
      <c r="E35" s="718" t="n"/>
      <c r="F35" s="718" t="n"/>
      <c r="G35" s="719" t="n"/>
      <c r="H35" s="1182" t="n"/>
      <c r="I35" s="721" t="n"/>
      <c r="J35" s="722" t="n"/>
      <c r="K35" s="721" t="n"/>
    </row>
    <row r="36">
      <c r="A36" s="715" t="n"/>
      <c r="B36" s="716" t="n"/>
      <c r="C36" s="717" t="n"/>
      <c r="D36" s="717" t="n"/>
      <c r="E36" s="718" t="n"/>
      <c r="F36" s="718" t="n"/>
      <c r="G36" s="719" t="n"/>
      <c r="H36" s="1182" t="n"/>
      <c r="I36" s="721" t="n"/>
      <c r="J36" s="722" t="n"/>
      <c r="K36" s="721" t="n"/>
    </row>
    <row r="37">
      <c r="A37" s="715" t="n"/>
      <c r="B37" s="716" t="n"/>
      <c r="C37" s="717" t="n"/>
      <c r="D37" s="717" t="n"/>
      <c r="E37" s="718" t="n"/>
      <c r="F37" s="718" t="n"/>
      <c r="G37" s="719" t="n"/>
      <c r="H37" s="1182" t="n"/>
      <c r="I37" s="721" t="n"/>
      <c r="J37" s="722" t="n"/>
      <c r="K37" s="721" t="n"/>
    </row>
    <row r="38">
      <c r="A38" s="715" t="n"/>
      <c r="B38" s="716" t="n"/>
      <c r="C38" s="717" t="n"/>
      <c r="D38" s="717" t="n"/>
      <c r="E38" s="718" t="n"/>
      <c r="F38" s="718" t="n"/>
      <c r="G38" s="719" t="n"/>
      <c r="H38" s="1182" t="n"/>
      <c r="I38" s="721" t="n"/>
      <c r="J38" s="722" t="n"/>
      <c r="K38" s="721" t="n"/>
    </row>
    <row r="39">
      <c r="A39" s="715" t="n"/>
      <c r="B39" s="716" t="n"/>
      <c r="C39" s="717" t="n"/>
      <c r="D39" s="717" t="n"/>
      <c r="E39" s="718" t="n"/>
      <c r="F39" s="718" t="n"/>
      <c r="G39" s="719" t="n"/>
      <c r="H39" s="1182" t="n"/>
      <c r="I39" s="721" t="n"/>
      <c r="J39" s="722" t="n"/>
      <c r="K39" s="721" t="n"/>
    </row>
    <row r="40">
      <c r="A40" s="715" t="n"/>
      <c r="B40" s="716" t="n"/>
      <c r="C40" s="717" t="n"/>
      <c r="D40" s="717" t="n"/>
      <c r="E40" s="718" t="n"/>
      <c r="F40" s="718" t="n"/>
      <c r="G40" s="719" t="n"/>
      <c r="H40" s="1182" t="n"/>
      <c r="I40" s="721" t="n"/>
      <c r="J40" s="722" t="n"/>
      <c r="K40" s="721" t="n"/>
    </row>
    <row r="41">
      <c r="A41" s="715" t="n"/>
      <c r="B41" s="716" t="n"/>
      <c r="C41" s="717" t="n"/>
      <c r="D41" s="717" t="n"/>
      <c r="E41" s="718" t="n"/>
      <c r="F41" s="718" t="n"/>
      <c r="G41" s="719" t="n"/>
      <c r="H41" s="1182" t="n"/>
      <c r="I41" s="721" t="n"/>
      <c r="J41" s="722" t="n"/>
      <c r="K41" s="721" t="n"/>
    </row>
    <row r="42">
      <c r="A42" s="715" t="n"/>
      <c r="B42" s="716" t="n"/>
      <c r="C42" s="717" t="n"/>
      <c r="D42" s="717" t="n"/>
      <c r="E42" s="718" t="n"/>
      <c r="F42" s="718" t="n"/>
      <c r="G42" s="719" t="n"/>
      <c r="H42" s="1182" t="n"/>
      <c r="I42" s="721" t="n"/>
      <c r="J42" s="722" t="n"/>
      <c r="K42" s="721" t="n"/>
    </row>
    <row r="43">
      <c r="A43" s="715" t="n"/>
      <c r="B43" s="716" t="n"/>
      <c r="C43" s="717" t="n"/>
      <c r="D43" s="717" t="n"/>
      <c r="E43" s="718" t="n"/>
      <c r="F43" s="718" t="n"/>
      <c r="G43" s="719" t="n"/>
      <c r="H43" s="1182" t="n"/>
      <c r="I43" s="721" t="n"/>
      <c r="J43" s="722" t="n"/>
      <c r="K43" s="721" t="n"/>
    </row>
    <row r="44" customFormat="1" s="192">
      <c r="A44" s="715" t="n"/>
      <c r="B44" s="716" t="n"/>
      <c r="C44" s="716" t="n"/>
      <c r="D44" s="716" t="n"/>
      <c r="E44" s="719" t="n"/>
      <c r="F44" s="719" t="n"/>
      <c r="G44" s="719" t="n"/>
      <c r="H44" s="1183" t="n"/>
      <c r="I44" s="724" t="n"/>
      <c r="J44" s="719" t="n"/>
      <c r="K44" s="724" t="n"/>
    </row>
    <row r="45">
      <c r="A45" s="715" t="n"/>
      <c r="B45" s="716" t="n"/>
      <c r="C45" s="717" t="n"/>
      <c r="D45" s="717" t="n"/>
      <c r="E45" s="718" t="n"/>
      <c r="F45" s="718" t="n"/>
      <c r="G45" s="719" t="n"/>
      <c r="H45" s="1182" t="n"/>
      <c r="I45" s="721" t="n"/>
      <c r="J45" s="722" t="n"/>
      <c r="K45" s="721" t="n"/>
    </row>
    <row r="46">
      <c r="A46" s="715" t="n"/>
      <c r="B46" s="716" t="n"/>
      <c r="C46" s="717" t="n"/>
      <c r="D46" s="717" t="n"/>
      <c r="E46" s="718" t="n"/>
      <c r="F46" s="718" t="n"/>
      <c r="G46" s="719" t="n"/>
      <c r="H46" s="1182" t="n"/>
      <c r="I46" s="721" t="n"/>
      <c r="J46" s="722" t="n"/>
      <c r="K46" s="721" t="n"/>
    </row>
    <row r="47">
      <c r="A47" s="715" t="n"/>
      <c r="B47" s="716" t="n"/>
      <c r="C47" s="716" t="n"/>
      <c r="D47" s="716" t="n"/>
      <c r="E47" s="718" t="n"/>
      <c r="F47" s="722" t="n"/>
      <c r="G47" s="719" t="n"/>
      <c r="H47" s="1184" t="n"/>
      <c r="I47" s="721" t="n"/>
      <c r="J47" s="722" t="n"/>
      <c r="K47" s="721" t="n"/>
    </row>
    <row r="48">
      <c r="A48" s="715" t="n"/>
      <c r="B48" s="716" t="n"/>
      <c r="C48" s="716" t="n"/>
      <c r="D48" s="716" t="n"/>
      <c r="E48" s="718" t="n"/>
      <c r="F48" s="722" t="n"/>
      <c r="G48" s="719" t="n"/>
      <c r="H48" s="1184" t="n"/>
      <c r="I48" s="721" t="n"/>
      <c r="J48" s="722" t="n"/>
      <c r="K48" s="721" t="n"/>
    </row>
    <row r="49">
      <c r="A49" s="715" t="n"/>
      <c r="B49" s="716" t="n"/>
      <c r="C49" s="716" t="n"/>
      <c r="D49" s="716" t="n"/>
      <c r="E49" s="718" t="n"/>
      <c r="F49" s="722" t="n"/>
      <c r="G49" s="719" t="n"/>
      <c r="H49" s="1184" t="n"/>
      <c r="I49" s="721" t="n"/>
      <c r="J49" s="722" t="n"/>
      <c r="K49" s="721" t="n"/>
    </row>
    <row r="50">
      <c r="A50" s="722" t="n"/>
      <c r="B50" s="719" t="n"/>
      <c r="C50" s="722" t="n"/>
      <c r="D50" s="722" t="n"/>
      <c r="E50" s="718" t="n"/>
      <c r="F50" s="722" t="n"/>
      <c r="G50" s="719" t="n"/>
      <c r="H50" s="1184" t="n"/>
      <c r="I50" s="721" t="n"/>
      <c r="J50" s="722" t="n"/>
      <c r="K50" s="721" t="n"/>
    </row>
    <row r="51">
      <c r="A51" s="715" t="n"/>
      <c r="B51" s="716" t="n"/>
      <c r="C51" s="717" t="n"/>
      <c r="D51" s="717" t="n"/>
      <c r="E51" s="718" t="n"/>
      <c r="F51" s="718" t="n"/>
      <c r="G51" s="719" t="n"/>
      <c r="H51" s="1182" t="n"/>
      <c r="I51" s="721" t="n"/>
      <c r="J51" s="722" t="n"/>
      <c r="K51" s="721" t="n"/>
    </row>
    <row r="52" customFormat="1" s="192">
      <c r="A52" s="715" t="n"/>
      <c r="B52" s="716" t="n"/>
      <c r="C52" s="716" t="n"/>
      <c r="D52" s="716" t="n"/>
      <c r="E52" s="719" t="n"/>
      <c r="F52" s="719" t="n"/>
      <c r="G52" s="719" t="n"/>
      <c r="H52" s="1183" t="n"/>
      <c r="I52" s="724" t="n"/>
      <c r="J52" s="719" t="n"/>
      <c r="K52" s="724" t="n"/>
    </row>
    <row r="53">
      <c r="A53" s="715" t="n"/>
      <c r="B53" s="716" t="n"/>
      <c r="C53" s="717" t="n"/>
      <c r="D53" s="717" t="n"/>
      <c r="E53" s="718" t="n"/>
      <c r="F53" s="718" t="n"/>
      <c r="G53" s="719" t="n"/>
      <c r="H53" s="1182" t="n"/>
      <c r="I53" s="721" t="n"/>
      <c r="J53" s="722" t="n"/>
      <c r="K53" s="721" t="n"/>
    </row>
    <row r="54">
      <c r="A54" s="715" t="n"/>
      <c r="B54" s="716" t="n"/>
      <c r="C54" s="717" t="n"/>
      <c r="D54" s="717" t="n"/>
      <c r="E54" s="718" t="n"/>
      <c r="F54" s="718" t="n"/>
      <c r="G54" s="719" t="n"/>
      <c r="H54" s="1182" t="n"/>
      <c r="I54" s="721" t="n"/>
      <c r="J54" s="722" t="n"/>
      <c r="K54" s="721" t="n"/>
    </row>
    <row r="55">
      <c r="A55" s="715" t="n"/>
      <c r="B55" s="716" t="n"/>
      <c r="C55" s="717" t="n"/>
      <c r="D55" s="717" t="n"/>
      <c r="E55" s="718" t="n"/>
      <c r="F55" s="718" t="n"/>
      <c r="G55" s="719" t="n"/>
      <c r="H55" s="1182" t="n"/>
      <c r="I55" s="721" t="n"/>
      <c r="J55" s="722" t="n"/>
      <c r="K55" s="721" t="n"/>
    </row>
    <row r="56">
      <c r="A56" s="715" t="n"/>
      <c r="B56" s="716" t="n"/>
      <c r="C56" s="717" t="n"/>
      <c r="D56" s="717" t="n"/>
      <c r="E56" s="718" t="n"/>
      <c r="F56" s="718" t="n"/>
      <c r="G56" s="719" t="n"/>
      <c r="H56" s="1182" t="n"/>
      <c r="I56" s="721" t="n"/>
      <c r="J56" s="722" t="n"/>
      <c r="K56" s="721" t="n"/>
    </row>
    <row r="57">
      <c r="A57" s="715" t="n"/>
      <c r="B57" s="716" t="n"/>
      <c r="C57" s="717" t="n"/>
      <c r="D57" s="717" t="n"/>
      <c r="E57" s="718" t="n"/>
      <c r="F57" s="718" t="n"/>
      <c r="G57" s="719" t="n"/>
      <c r="H57" s="1182" t="n"/>
      <c r="I57" s="721" t="n"/>
      <c r="J57" s="722" t="n"/>
      <c r="K57" s="721" t="n"/>
    </row>
    <row r="58">
      <c r="A58" s="715" t="n"/>
      <c r="B58" s="716" t="n"/>
      <c r="C58" s="717" t="n"/>
      <c r="D58" s="717" t="n"/>
      <c r="E58" s="718" t="n"/>
      <c r="F58" s="718" t="n"/>
      <c r="G58" s="719" t="n"/>
      <c r="H58" s="1182" t="n"/>
      <c r="I58" s="721" t="n"/>
      <c r="J58" s="722" t="n"/>
      <c r="K58" s="721" t="n"/>
    </row>
    <row r="59">
      <c r="A59" s="715" t="n"/>
      <c r="B59" s="716" t="n"/>
      <c r="C59" s="716" t="n"/>
      <c r="D59" s="716" t="n"/>
      <c r="E59" s="718" t="n"/>
      <c r="F59" s="722" t="n"/>
      <c r="G59" s="719" t="n"/>
      <c r="H59" s="1184" t="n"/>
      <c r="I59" s="721" t="n"/>
      <c r="J59" s="722" t="n"/>
      <c r="K59" s="721" t="n"/>
    </row>
    <row r="60">
      <c r="A60" s="715" t="n"/>
      <c r="B60" s="716" t="n"/>
      <c r="C60" s="716" t="n"/>
      <c r="D60" s="716" t="n"/>
      <c r="E60" s="718" t="n"/>
      <c r="F60" s="722" t="n"/>
      <c r="G60" s="719" t="n"/>
      <c r="H60" s="1184" t="n"/>
      <c r="I60" s="721" t="n"/>
      <c r="J60" s="722" t="n"/>
      <c r="K60" s="721" t="n"/>
    </row>
    <row r="61">
      <c r="A61" s="715" t="n"/>
      <c r="B61" s="716" t="n"/>
      <c r="C61" s="716" t="n"/>
      <c r="D61" s="716" t="n"/>
      <c r="E61" s="718" t="n"/>
      <c r="F61" s="722" t="n"/>
      <c r="G61" s="719" t="n"/>
      <c r="H61" s="1184" t="n"/>
      <c r="I61" s="721" t="n"/>
      <c r="J61" s="722" t="n"/>
      <c r="K61" s="721" t="n"/>
    </row>
    <row r="62">
      <c r="A62" s="715" t="n"/>
      <c r="B62" s="716" t="n"/>
      <c r="C62" s="716" t="n"/>
      <c r="D62" s="716" t="n"/>
      <c r="E62" s="718" t="n"/>
      <c r="F62" s="722" t="n"/>
      <c r="G62" s="719" t="n"/>
      <c r="H62" s="1184" t="n"/>
      <c r="I62" s="721" t="n"/>
      <c r="J62" s="722" t="n"/>
      <c r="K62" s="721" t="n"/>
    </row>
    <row r="63">
      <c r="A63" s="715" t="n"/>
      <c r="B63" s="716" t="n"/>
      <c r="C63" s="716" t="n"/>
      <c r="D63" s="716" t="n"/>
      <c r="E63" s="718" t="n"/>
      <c r="F63" s="722" t="n"/>
      <c r="G63" s="719" t="n"/>
      <c r="H63" s="1184" t="n"/>
      <c r="I63" s="721" t="n"/>
      <c r="J63" s="722" t="n"/>
      <c r="K63" s="721" t="n"/>
    </row>
    <row r="64">
      <c r="A64" s="719" t="n"/>
      <c r="B64" s="719" t="n"/>
      <c r="C64" s="722" t="n"/>
      <c r="D64" s="722" t="n"/>
      <c r="E64" s="718" t="n"/>
      <c r="F64" s="722" t="n"/>
      <c r="G64" s="719" t="n"/>
      <c r="H64" s="1184" t="n"/>
      <c r="I64" s="721" t="n"/>
      <c r="J64" s="722" t="n"/>
      <c r="K64" s="721" t="n"/>
    </row>
    <row r="65">
      <c r="A65" s="716" t="n"/>
      <c r="B65" s="716" t="n"/>
      <c r="C65" s="716" t="n"/>
      <c r="D65" s="716" t="n"/>
      <c r="E65" s="718" t="n"/>
      <c r="F65" s="722" t="n"/>
      <c r="G65" s="719" t="n"/>
      <c r="H65" s="1184" t="n"/>
      <c r="I65" s="721" t="n"/>
      <c r="J65" s="722" t="n"/>
      <c r="K65" s="721" t="n"/>
    </row>
    <row r="66">
      <c r="A66" s="716" t="n"/>
      <c r="B66" s="716" t="n"/>
      <c r="C66" s="716" t="n"/>
      <c r="D66" s="716" t="n"/>
      <c r="E66" s="718" t="n"/>
      <c r="F66" s="722" t="n"/>
      <c r="G66" s="719" t="n"/>
      <c r="H66" s="1184" t="n"/>
      <c r="I66" s="721" t="n"/>
      <c r="J66" s="722" t="n"/>
      <c r="K66" s="721" t="n"/>
    </row>
    <row r="67">
      <c r="A67" s="719" t="n"/>
      <c r="B67" s="719" t="n"/>
      <c r="C67" s="722" t="n"/>
      <c r="D67" s="722" t="n"/>
      <c r="E67" s="718" t="n"/>
      <c r="F67" s="722" t="n"/>
      <c r="G67" s="719" t="n"/>
      <c r="H67" s="1184" t="n"/>
      <c r="I67" s="721" t="n"/>
      <c r="J67" s="722" t="n"/>
      <c r="K67" s="721" t="n"/>
    </row>
    <row r="68">
      <c r="A68" s="719" t="n"/>
      <c r="B68" s="719" t="n"/>
      <c r="C68" s="722" t="n"/>
      <c r="D68" s="722" t="n"/>
      <c r="E68" s="718" t="n"/>
      <c r="F68" s="722" t="n"/>
      <c r="G68" s="719" t="n"/>
      <c r="H68" s="1184" t="n"/>
      <c r="I68" s="721" t="n"/>
      <c r="J68" s="722" t="n"/>
      <c r="K68" s="721" t="n"/>
    </row>
    <row r="69">
      <c r="A69" s="719" t="n"/>
      <c r="B69" s="719" t="n"/>
      <c r="C69" s="722" t="n"/>
      <c r="D69" s="722" t="n"/>
      <c r="E69" s="718" t="n"/>
      <c r="F69" s="726" t="n"/>
      <c r="G69" s="722" t="n"/>
      <c r="H69" s="1184" t="n"/>
      <c r="I69" s="727" t="n"/>
      <c r="J69" s="728" t="n"/>
      <c r="K69" s="727" t="n"/>
    </row>
    <row r="70">
      <c r="A70" s="701" t="n"/>
      <c r="B70" s="701" t="n"/>
      <c r="C70" s="701" t="n"/>
      <c r="D70" s="701" t="n"/>
      <c r="E70" s="701" t="n"/>
      <c r="F70" s="729" t="inlineStr">
        <is>
          <t>Sub-Total</t>
        </is>
      </c>
      <c r="G70" s="730" t="n"/>
      <c r="H70" s="1185">
        <f>SUM(H10:H69)</f>
        <v/>
      </c>
      <c r="I70" s="732" t="inlineStr">
        <is>
          <t>NOTES:</t>
        </is>
      </c>
      <c r="J70" s="1186" t="n"/>
      <c r="K70" s="1187" t="n"/>
    </row>
    <row r="71">
      <c r="A71" s="701" t="n"/>
      <c r="B71" s="701" t="n"/>
      <c r="C71" s="701" t="n"/>
      <c r="D71" s="701" t="n"/>
      <c r="E71" s="701" t="n"/>
      <c r="F71" s="729" t="inlineStr">
        <is>
          <t>Provisioning (10%) &amp; Tax (5%)</t>
        </is>
      </c>
      <c r="G71" s="733" t="n"/>
      <c r="H71" s="1185">
        <f>H70*(MATERIAL!H1+MATERIAL!H2)</f>
        <v/>
      </c>
      <c r="I71" s="734" t="n"/>
      <c r="J71" s="1188" t="n"/>
      <c r="K71" s="1189" t="n"/>
    </row>
    <row r="72">
      <c r="A72" s="701" t="n"/>
      <c r="B72" s="701" t="n"/>
      <c r="C72" s="701" t="n"/>
      <c r="D72" s="701" t="n"/>
      <c r="E72" s="701" t="n"/>
      <c r="F72" s="735" t="inlineStr">
        <is>
          <t>Total Material Cost</t>
        </is>
      </c>
      <c r="G72" s="736" t="n"/>
      <c r="H72" s="1185">
        <f>H70+H71</f>
        <v/>
      </c>
      <c r="I72" s="737" t="n"/>
      <c r="J72" s="1190" t="n"/>
      <c r="K72" s="1191"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60" zoomScaleNormal="60" workbookViewId="0">
      <pane xSplit="4" ySplit="4" topLeftCell="E74" activePane="bottomRight" state="frozen"/>
      <selection pane="topRight" activeCell="E1" sqref="E1"/>
      <selection pane="bottomLeft" activeCell="A3" sqref="A3"/>
      <selection pane="bottomRight" activeCell="H119" sqref="H119"/>
    </sheetView>
  </sheetViews>
  <sheetFormatPr baseColWidth="8" defaultRowHeight="15"/>
  <cols>
    <col width="4.42578125" bestFit="1" customWidth="1" style="955" min="1" max="1"/>
    <col width="6" customWidth="1" style="955" min="2" max="2"/>
    <col width="8.140625" customWidth="1" style="955" min="3" max="3"/>
    <col width="6.85546875" customWidth="1" style="955" min="4" max="4"/>
    <col width="30.28515625" bestFit="1" customWidth="1" style="933" min="5" max="5"/>
    <col width="26.85546875" bestFit="1" customWidth="1" style="192" min="6" max="6"/>
    <col width="52" bestFit="1" customWidth="1" style="955" min="7" max="7"/>
    <col width="52.85546875" bestFit="1" customWidth="1" style="955" min="8" max="14"/>
    <col width="24.7109375" customWidth="1" style="955" min="15" max="15"/>
    <col width="25" customWidth="1" style="955" min="16" max="18"/>
    <col width="27.5703125" customWidth="1" style="955" min="19" max="19"/>
    <col width="23.85546875" customWidth="1" style="955" min="20" max="20"/>
    <col width="24.42578125" customWidth="1" style="955" min="21" max="21"/>
    <col width="24" customWidth="1" style="955" min="22" max="23"/>
  </cols>
  <sheetData>
    <row r="1">
      <c r="A1" s="1064" t="inlineStr">
        <is>
          <t>CABLE_1</t>
        </is>
      </c>
    </row>
    <row r="2">
      <c r="A2" s="1176" t="n"/>
      <c r="B2" s="1176" t="n"/>
      <c r="C2" s="1176" t="n"/>
      <c r="D2" s="1176" t="n"/>
      <c r="E2" s="1176" t="n"/>
      <c r="F2" s="1176" t="n"/>
      <c r="G2" s="1176" t="n"/>
      <c r="H2" s="1176" t="n"/>
      <c r="I2" s="1176" t="n"/>
      <c r="J2" s="1176" t="n"/>
      <c r="K2" s="1176" t="n"/>
      <c r="L2" s="1176" t="n"/>
      <c r="M2" s="1176" t="n"/>
      <c r="N2" s="1176" t="n"/>
    </row>
    <row r="3" ht="15" customHeight="1" s="955">
      <c r="A3" s="1192" t="inlineStr">
        <is>
          <t>OLT</t>
        </is>
      </c>
      <c r="B3" s="965" t="n"/>
      <c r="C3" s="965" t="n"/>
      <c r="D3" s="1193" t="n"/>
      <c r="E3" s="1194" t="inlineStr">
        <is>
          <t>ADDRESS</t>
        </is>
      </c>
      <c r="F3" s="1194" t="inlineStr">
        <is>
          <t>1X8 SPLITTER NAME</t>
        </is>
      </c>
      <c r="G3" s="1062" t="inlineStr">
        <is>
          <t>PORT 1</t>
        </is>
      </c>
      <c r="H3" s="1062" t="inlineStr">
        <is>
          <t>PORT 2</t>
        </is>
      </c>
      <c r="I3" s="1062" t="inlineStr">
        <is>
          <t>PORT 3</t>
        </is>
      </c>
      <c r="J3" s="1062" t="inlineStr">
        <is>
          <t>PORT 4</t>
        </is>
      </c>
      <c r="K3" s="1062" t="inlineStr">
        <is>
          <t>PORT 5</t>
        </is>
      </c>
      <c r="L3" s="1062" t="inlineStr">
        <is>
          <t>PORT 6</t>
        </is>
      </c>
      <c r="M3" s="1062" t="inlineStr">
        <is>
          <t>PORT 7</t>
        </is>
      </c>
      <c r="N3" s="1062" t="inlineStr">
        <is>
          <t>PORT 8</t>
        </is>
      </c>
      <c r="O3" s="845" t="n"/>
    </row>
    <row r="4" ht="15" customHeight="1" s="955">
      <c r="A4" s="1195" t="n"/>
      <c r="B4" s="1176" t="n"/>
      <c r="C4" s="1176" t="n"/>
      <c r="D4" s="1177" t="n"/>
      <c r="E4" s="1157" t="n"/>
      <c r="F4" s="1157" t="n"/>
      <c r="G4" s="1157" t="n"/>
      <c r="H4" s="1157" t="n"/>
      <c r="I4" s="1157" t="n"/>
      <c r="J4" s="1157" t="n"/>
      <c r="K4" s="1157" t="n"/>
      <c r="L4" s="1157" t="n"/>
      <c r="M4" s="1157" t="n"/>
      <c r="N4" s="1157" t="n"/>
      <c r="O4" s="845" t="n"/>
    </row>
    <row r="5">
      <c r="A5" s="846" t="n">
        <v>1</v>
      </c>
      <c r="B5" s="847" t="n"/>
      <c r="C5" s="847" t="n"/>
      <c r="D5" s="930" t="n"/>
      <c r="E5" s="848" t="n"/>
      <c r="F5" s="948">
        <f>IF(G5&lt;&gt;"",LEFT(G5,FIND(",",G5)-1),"")</f>
        <v/>
      </c>
      <c r="G5" s="948" t="n"/>
      <c r="H5" s="948" t="n"/>
      <c r="I5" s="948" t="n"/>
      <c r="J5" s="948" t="n"/>
      <c r="K5" s="948" t="n"/>
      <c r="L5" s="948" t="n"/>
      <c r="M5" s="948" t="n"/>
      <c r="N5" s="948" t="n"/>
    </row>
    <row r="6">
      <c r="A6" s="846" t="n">
        <v>2</v>
      </c>
      <c r="B6" s="847" t="n"/>
      <c r="C6" s="849" t="n"/>
      <c r="D6" s="930" t="n"/>
      <c r="E6" s="848" t="n"/>
      <c r="F6" s="948">
        <f>IF(G6&lt;&gt;"",LEFT(G6,FIND(",",G6)-1),"")</f>
        <v/>
      </c>
      <c r="G6" s="948" t="n"/>
      <c r="H6" s="948" t="n"/>
      <c r="I6" s="948" t="n"/>
      <c r="J6" s="948" t="n"/>
      <c r="K6" s="948" t="n"/>
      <c r="L6" s="948" t="n"/>
      <c r="M6" s="948" t="n"/>
      <c r="N6" s="948" t="n"/>
    </row>
    <row r="7">
      <c r="A7" s="846" t="n">
        <v>3</v>
      </c>
      <c r="B7" s="847" t="n"/>
      <c r="C7" s="850" t="n"/>
      <c r="D7" s="930" t="n"/>
      <c r="E7" s="848" t="n"/>
      <c r="F7" s="948">
        <f>IF(G7&lt;&gt;"",LEFT(G7,FIND(",",G7)-1),"")</f>
        <v/>
      </c>
      <c r="G7" s="948" t="n"/>
      <c r="H7" s="948" t="n"/>
      <c r="I7" s="948" t="n"/>
      <c r="J7" s="948" t="n"/>
      <c r="K7" s="948" t="n"/>
      <c r="L7" s="948" t="n"/>
      <c r="M7" s="948" t="n"/>
      <c r="N7" s="948" t="n"/>
    </row>
    <row r="8">
      <c r="A8" s="846" t="n">
        <v>4</v>
      </c>
      <c r="B8" s="847" t="n"/>
      <c r="C8" s="851" t="n"/>
      <c r="D8" s="930" t="n"/>
      <c r="E8" s="848" t="n"/>
      <c r="F8" s="948">
        <f>IF(G8&lt;&gt;"",LEFT(G8,FIND(",",G8)-1),"")</f>
        <v/>
      </c>
      <c r="G8" s="948" t="n"/>
      <c r="H8" s="948" t="n"/>
      <c r="I8" s="948" t="n"/>
      <c r="J8" s="948" t="n"/>
      <c r="K8" s="948" t="n"/>
      <c r="L8" s="948" t="n"/>
      <c r="M8" s="948" t="n"/>
      <c r="N8" s="948" t="n"/>
    </row>
    <row r="9">
      <c r="A9" s="846" t="n">
        <v>5</v>
      </c>
      <c r="B9" s="847" t="n"/>
      <c r="C9" s="852" t="n"/>
      <c r="D9" s="930" t="n"/>
      <c r="E9" s="848" t="n"/>
      <c r="F9" s="948">
        <f>IF(G9&lt;&gt;"",LEFT(G9,FIND(",",G9)-1),"")</f>
        <v/>
      </c>
      <c r="G9" s="948" t="n"/>
      <c r="H9" s="948" t="n"/>
      <c r="I9" s="948" t="n"/>
      <c r="J9" s="948" t="n"/>
      <c r="K9" s="948" t="n"/>
      <c r="L9" s="948" t="n"/>
      <c r="M9" s="948" t="n"/>
      <c r="N9" s="948" t="n"/>
    </row>
    <row r="10">
      <c r="A10" s="846" t="n">
        <v>6</v>
      </c>
      <c r="B10" s="847" t="n"/>
      <c r="C10" s="853" t="n"/>
      <c r="D10" s="930" t="n"/>
      <c r="E10" s="848" t="n"/>
      <c r="F10" s="948">
        <f>IF(G10&lt;&gt;"",LEFT(G10,FIND(",",G10)-1),"")</f>
        <v/>
      </c>
      <c r="G10" s="948" t="n"/>
      <c r="H10" s="948" t="n"/>
      <c r="I10" s="948" t="n"/>
      <c r="J10" s="948" t="n"/>
      <c r="K10" s="948" t="n"/>
      <c r="L10" s="948" t="n"/>
      <c r="M10" s="948" t="n"/>
      <c r="N10" s="948" t="n"/>
    </row>
    <row r="11">
      <c r="A11" s="846" t="n">
        <v>7</v>
      </c>
      <c r="B11" s="847" t="n"/>
      <c r="C11" s="854" t="n"/>
      <c r="D11" s="930" t="n"/>
      <c r="E11" s="848" t="n"/>
      <c r="F11" s="948">
        <f>IF(G11&lt;&gt;"",LEFT(G11,FIND(",",G11)-1),"")</f>
        <v/>
      </c>
      <c r="G11" s="948" t="n"/>
      <c r="H11" s="948" t="n"/>
      <c r="I11" s="948" t="n"/>
      <c r="J11" s="948" t="n"/>
      <c r="K11" s="948" t="n"/>
      <c r="L11" s="948" t="n"/>
      <c r="M11" s="948" t="n"/>
      <c r="N11" s="948" t="n"/>
    </row>
    <row r="12">
      <c r="A12" s="846" t="n">
        <v>8</v>
      </c>
      <c r="B12" s="847" t="n"/>
      <c r="C12" s="855" t="n"/>
      <c r="D12" s="930" t="n"/>
      <c r="E12" s="848" t="n"/>
      <c r="F12" s="948">
        <f>IF(G12&lt;&gt;"",LEFT(G12,FIND(",",G12)-1),"")</f>
        <v/>
      </c>
      <c r="G12" s="948" t="n"/>
      <c r="H12" s="948" t="n"/>
      <c r="I12" s="948" t="n"/>
      <c r="J12" s="948" t="n"/>
      <c r="K12" s="948" t="n"/>
      <c r="L12" s="948" t="n"/>
      <c r="M12" s="948" t="n"/>
      <c r="N12" s="948" t="n"/>
    </row>
    <row r="13">
      <c r="A13" s="846" t="n">
        <v>9</v>
      </c>
      <c r="B13" s="847" t="n"/>
      <c r="C13" s="856" t="n"/>
      <c r="D13" s="930" t="n"/>
      <c r="E13" s="848" t="n"/>
      <c r="F13" s="948">
        <f>IF(G13&lt;&gt;"",LEFT(G13,FIND(",",G13)-1),"")</f>
        <v/>
      </c>
      <c r="G13" s="948" t="n"/>
      <c r="H13" s="948" t="n"/>
      <c r="I13" s="948" t="n"/>
      <c r="J13" s="948" t="n"/>
      <c r="K13" s="948" t="n"/>
      <c r="L13" s="948" t="n"/>
      <c r="M13" s="948" t="n"/>
      <c r="N13" s="948" t="n"/>
    </row>
    <row r="14">
      <c r="A14" s="846" t="n">
        <v>10</v>
      </c>
      <c r="B14" s="847" t="n"/>
      <c r="C14" s="857" t="n"/>
      <c r="D14" s="930" t="n"/>
      <c r="E14" s="848" t="n"/>
      <c r="F14" s="948">
        <f>IF(G14&lt;&gt;"",LEFT(G14,FIND(",",G14)-1),"")</f>
        <v/>
      </c>
      <c r="G14" s="948" t="n"/>
      <c r="H14" s="948" t="n"/>
      <c r="I14" s="948" t="n"/>
      <c r="J14" s="948" t="n"/>
      <c r="K14" s="948" t="n"/>
      <c r="L14" s="948" t="n"/>
      <c r="M14" s="948" t="n"/>
      <c r="N14" s="948" t="n"/>
    </row>
    <row r="15">
      <c r="A15" s="846" t="n">
        <v>11</v>
      </c>
      <c r="B15" s="847" t="n"/>
      <c r="C15" s="858" t="n"/>
      <c r="D15" s="930" t="n"/>
      <c r="E15" s="848" t="n"/>
      <c r="F15" s="948">
        <f>IF(G15&lt;&gt;"",LEFT(G15,FIND(",",G15)-1),"")</f>
        <v/>
      </c>
      <c r="G15" s="948" t="n"/>
      <c r="H15" s="948" t="n"/>
      <c r="I15" s="948" t="n"/>
      <c r="J15" s="948" t="n"/>
      <c r="K15" s="948" t="n"/>
      <c r="L15" s="948" t="n"/>
      <c r="M15" s="948" t="n"/>
      <c r="N15" s="948" t="n"/>
    </row>
    <row r="16">
      <c r="A16" s="846" t="n">
        <v>12</v>
      </c>
      <c r="B16" s="847" t="n"/>
      <c r="C16" s="859" t="n"/>
      <c r="D16" s="930" t="n"/>
      <c r="E16" s="848" t="n"/>
      <c r="F16" s="948">
        <f>IF(G16&lt;&gt;"",LEFT(G16,FIND(",",G16)-1),"")</f>
        <v/>
      </c>
      <c r="G16" s="860" t="n"/>
      <c r="H16" s="860" t="n"/>
      <c r="I16" s="860" t="n"/>
      <c r="J16" s="860" t="n"/>
      <c r="K16" s="860" t="n"/>
      <c r="L16" s="860" t="n"/>
      <c r="M16" s="860" t="n"/>
      <c r="N16" s="860" t="n"/>
    </row>
    <row r="17">
      <c r="A17" s="846" t="n">
        <v>13</v>
      </c>
      <c r="B17" s="849" t="n"/>
      <c r="C17" s="847" t="n"/>
      <c r="D17" s="930" t="n"/>
      <c r="E17" s="848" t="n"/>
      <c r="F17" s="948">
        <f>IF(G17&lt;&gt;"",LEFT(G17,FIND(",",G17)-1),"")</f>
        <v/>
      </c>
      <c r="G17" s="860" t="n"/>
      <c r="H17" s="860" t="n"/>
      <c r="I17" s="860" t="n"/>
      <c r="J17" s="860" t="n"/>
      <c r="K17" s="860" t="n"/>
      <c r="L17" s="860" t="n"/>
      <c r="M17" s="860" t="n"/>
      <c r="N17" s="860" t="n"/>
    </row>
    <row r="18">
      <c r="A18" s="846" t="n">
        <v>14</v>
      </c>
      <c r="B18" s="849" t="n"/>
      <c r="C18" s="849" t="n"/>
      <c r="D18" s="930" t="n"/>
      <c r="E18" s="848" t="n"/>
      <c r="F18" s="948">
        <f>IF(G18&lt;&gt;"",LEFT(G18,FIND(",",G18)-1),"")</f>
        <v/>
      </c>
      <c r="G18" s="860" t="n"/>
      <c r="H18" s="860" t="n"/>
      <c r="I18" s="860" t="n"/>
      <c r="J18" s="860" t="n"/>
      <c r="K18" s="860" t="n"/>
      <c r="L18" s="860" t="n"/>
      <c r="M18" s="860" t="n"/>
      <c r="N18" s="860" t="n"/>
    </row>
    <row r="19">
      <c r="A19" s="846" t="n">
        <v>15</v>
      </c>
      <c r="B19" s="849" t="n"/>
      <c r="C19" s="850" t="n"/>
      <c r="D19" s="930" t="n"/>
      <c r="E19" s="848" t="n"/>
      <c r="F19" s="948">
        <f>IF(G19&lt;&gt;"",LEFT(G19,FIND(",",G19)-1),"")</f>
        <v/>
      </c>
      <c r="G19" s="860" t="n"/>
      <c r="H19" s="860" t="n"/>
      <c r="I19" s="860" t="n"/>
      <c r="J19" s="860" t="n"/>
      <c r="K19" s="860" t="n"/>
      <c r="L19" s="860" t="n"/>
      <c r="M19" s="860" t="n"/>
      <c r="N19" s="860" t="n"/>
    </row>
    <row r="20">
      <c r="A20" s="846" t="n">
        <v>16</v>
      </c>
      <c r="B20" s="849" t="n"/>
      <c r="C20" s="851" t="n"/>
      <c r="D20" s="930" t="n"/>
      <c r="E20" s="848" t="n"/>
      <c r="F20" s="948">
        <f>IF(G20&lt;&gt;"",LEFT(G20,FIND(",",G20)-1),"")</f>
        <v/>
      </c>
      <c r="G20" s="860" t="n"/>
      <c r="H20" s="860" t="n"/>
      <c r="I20" s="860" t="n"/>
      <c r="J20" s="860" t="n"/>
      <c r="K20" s="860" t="n"/>
      <c r="L20" s="860" t="n"/>
      <c r="M20" s="860" t="n"/>
      <c r="N20" s="860" t="n"/>
    </row>
    <row r="21">
      <c r="A21" s="846" t="n">
        <v>17</v>
      </c>
      <c r="B21" s="849" t="n"/>
      <c r="C21" s="852" t="n"/>
      <c r="D21" s="930" t="n"/>
      <c r="E21" s="848" t="n"/>
      <c r="F21" s="948">
        <f>IF(G21&lt;&gt;"",LEFT(G21,FIND(",",G21)-1),"")</f>
        <v/>
      </c>
      <c r="G21" s="860" t="n"/>
      <c r="H21" s="860" t="n"/>
      <c r="I21" s="860" t="n"/>
      <c r="J21" s="860" t="n"/>
      <c r="K21" s="860" t="n"/>
      <c r="L21" s="860" t="n"/>
      <c r="M21" s="860" t="n"/>
      <c r="N21" s="860" t="n"/>
    </row>
    <row r="22">
      <c r="A22" s="846" t="n">
        <v>18</v>
      </c>
      <c r="B22" s="849" t="n"/>
      <c r="C22" s="853" t="n"/>
      <c r="D22" s="930" t="n"/>
      <c r="E22" s="848" t="n"/>
      <c r="F22" s="948">
        <f>IF(G22&lt;&gt;"",LEFT(G22,FIND(",",G22)-1),"")</f>
        <v/>
      </c>
      <c r="G22" s="860" t="n"/>
      <c r="H22" s="860" t="n"/>
      <c r="I22" s="860" t="n"/>
      <c r="J22" s="860" t="n"/>
      <c r="K22" s="860" t="n"/>
      <c r="L22" s="860" t="n"/>
      <c r="M22" s="860" t="n"/>
      <c r="N22" s="860" t="n"/>
    </row>
    <row r="23">
      <c r="A23" s="846" t="n">
        <v>19</v>
      </c>
      <c r="B23" s="849" t="n"/>
      <c r="C23" s="854" t="n"/>
      <c r="D23" s="930" t="n"/>
      <c r="E23" s="848" t="n"/>
      <c r="F23" s="948">
        <f>IF(G23&lt;&gt;"",LEFT(G23,FIND(",",G23)-1),"")</f>
        <v/>
      </c>
      <c r="G23" s="860" t="n"/>
      <c r="H23" s="860" t="n"/>
      <c r="I23" s="860" t="n"/>
      <c r="J23" s="860" t="n"/>
      <c r="K23" s="860" t="n"/>
      <c r="L23" s="860" t="n"/>
      <c r="M23" s="860" t="n"/>
      <c r="N23" s="860" t="n"/>
    </row>
    <row r="24">
      <c r="A24" s="846" t="n">
        <v>20</v>
      </c>
      <c r="B24" s="849" t="n"/>
      <c r="C24" s="855" t="n"/>
      <c r="D24" s="930" t="n"/>
      <c r="E24" s="848" t="n"/>
      <c r="F24" s="948">
        <f>IF(G24&lt;&gt;"",LEFT(G24,FIND(",",G24)-1),"")</f>
        <v/>
      </c>
      <c r="G24" s="860" t="n"/>
      <c r="H24" s="860" t="n"/>
      <c r="I24" s="860" t="n"/>
      <c r="J24" s="860" t="n"/>
      <c r="K24" s="860" t="n"/>
      <c r="L24" s="860" t="n"/>
      <c r="M24" s="860" t="n"/>
      <c r="N24" s="860" t="n"/>
    </row>
    <row r="25">
      <c r="A25" s="846" t="n">
        <v>21</v>
      </c>
      <c r="B25" s="849" t="n"/>
      <c r="C25" s="856" t="n"/>
      <c r="D25" s="930" t="n"/>
      <c r="E25" s="848" t="n"/>
      <c r="F25" s="948">
        <f>IF(G25&lt;&gt;"",LEFT(G25,FIND(",",G25)-1),"")</f>
        <v/>
      </c>
      <c r="G25" s="860" t="n"/>
      <c r="H25" s="860" t="n"/>
      <c r="I25" s="860" t="n"/>
      <c r="J25" s="860" t="n"/>
      <c r="K25" s="860" t="n"/>
      <c r="L25" s="860" t="n"/>
      <c r="M25" s="860" t="n"/>
      <c r="N25" s="860" t="n"/>
    </row>
    <row r="26">
      <c r="A26" s="846" t="n">
        <v>22</v>
      </c>
      <c r="B26" s="849" t="n"/>
      <c r="C26" s="857" t="n"/>
      <c r="D26" s="930" t="n"/>
      <c r="E26" s="848" t="n"/>
      <c r="F26" s="948">
        <f>IF(G26&lt;&gt;"",LEFT(G26,FIND(",",G26)-1),"")</f>
        <v/>
      </c>
      <c r="G26" s="860" t="n"/>
      <c r="H26" s="860" t="n"/>
      <c r="I26" s="860" t="n"/>
      <c r="J26" s="860" t="n"/>
      <c r="K26" s="860" t="n"/>
      <c r="L26" s="860" t="n"/>
      <c r="M26" s="860" t="n"/>
      <c r="N26" s="860" t="n"/>
    </row>
    <row r="27">
      <c r="A27" s="846" t="n">
        <v>23</v>
      </c>
      <c r="B27" s="849" t="n"/>
      <c r="C27" s="858" t="n"/>
      <c r="D27" s="930" t="n"/>
      <c r="E27" s="848" t="n"/>
      <c r="F27" s="948">
        <f>IF(G27&lt;&gt;"",LEFT(G27,FIND(",",G27)-1),"")</f>
        <v/>
      </c>
      <c r="G27" s="860" t="n"/>
      <c r="H27" s="860" t="n"/>
      <c r="I27" s="860" t="n"/>
      <c r="J27" s="860" t="n"/>
      <c r="K27" s="860" t="n"/>
      <c r="L27" s="860" t="n"/>
      <c r="M27" s="860" t="n"/>
      <c r="N27" s="860" t="n"/>
    </row>
    <row r="28">
      <c r="A28" s="846" t="n">
        <v>24</v>
      </c>
      <c r="B28" s="849" t="n"/>
      <c r="C28" s="859" t="n"/>
      <c r="D28" s="930" t="n"/>
      <c r="E28" s="848" t="n"/>
      <c r="F28" s="948">
        <f>IF(G28&lt;&gt;"",LEFT(G28,FIND(",",G28)-1),"")</f>
        <v/>
      </c>
      <c r="G28" s="860" t="n"/>
      <c r="H28" s="860" t="n"/>
      <c r="I28" s="860" t="n"/>
      <c r="J28" s="860" t="n"/>
      <c r="K28" s="860" t="n"/>
      <c r="L28" s="860" t="n"/>
      <c r="M28" s="860" t="n"/>
      <c r="N28" s="860" t="n"/>
    </row>
    <row r="29">
      <c r="A29" s="846" t="n">
        <v>25</v>
      </c>
      <c r="B29" s="850" t="n"/>
      <c r="C29" s="847" t="n"/>
      <c r="D29" s="930" t="n"/>
      <c r="E29" s="848" t="n"/>
      <c r="F29" s="948">
        <f>IF(G29&lt;&gt;"",LEFT(G29,FIND(",",G29)-1),"")</f>
        <v/>
      </c>
      <c r="G29" s="860" t="n"/>
      <c r="H29" s="860" t="n"/>
      <c r="I29" s="860" t="n"/>
      <c r="J29" s="860" t="n"/>
      <c r="K29" s="860" t="n"/>
      <c r="L29" s="860" t="n"/>
      <c r="M29" s="860" t="n"/>
      <c r="N29" s="860" t="n"/>
    </row>
    <row r="30">
      <c r="A30" s="846" t="n">
        <v>26</v>
      </c>
      <c r="B30" s="850" t="n"/>
      <c r="C30" s="849" t="n"/>
      <c r="D30" s="930" t="n"/>
      <c r="E30" s="848" t="n"/>
      <c r="F30" s="948">
        <f>IF(G30&lt;&gt;"",LEFT(G30,FIND(",",G30)-1),"")</f>
        <v/>
      </c>
      <c r="G30" s="860" t="n"/>
      <c r="H30" s="860" t="n"/>
      <c r="I30" s="860" t="n"/>
      <c r="J30" s="860" t="n"/>
      <c r="K30" s="860" t="n"/>
      <c r="L30" s="860" t="n"/>
      <c r="M30" s="860" t="n"/>
      <c r="N30" s="860" t="n"/>
    </row>
    <row r="31">
      <c r="A31" s="846" t="n">
        <v>27</v>
      </c>
      <c r="B31" s="850" t="n"/>
      <c r="C31" s="850" t="n"/>
      <c r="D31" s="930" t="n"/>
      <c r="E31" s="848" t="n"/>
      <c r="F31" s="948">
        <f>IF(G31&lt;&gt;"",LEFT(G31,FIND(",",G31)-1),"")</f>
        <v/>
      </c>
      <c r="G31" s="860" t="n"/>
      <c r="H31" s="860" t="n"/>
      <c r="I31" s="860" t="n"/>
      <c r="J31" s="860" t="n"/>
      <c r="K31" s="860" t="n"/>
      <c r="L31" s="860" t="n"/>
      <c r="M31" s="860" t="n"/>
      <c r="N31" s="860" t="n"/>
    </row>
    <row r="32">
      <c r="A32" s="846" t="n">
        <v>28</v>
      </c>
      <c r="B32" s="850" t="n"/>
      <c r="C32" s="851" t="n"/>
      <c r="D32" s="930" t="n"/>
      <c r="E32" s="848" t="n"/>
      <c r="F32" s="948">
        <f>IF(G32&lt;&gt;"",LEFT(G32,FIND(",",G32)-1),"")</f>
        <v/>
      </c>
      <c r="G32" s="860" t="n"/>
      <c r="H32" s="860" t="n"/>
      <c r="I32" s="860" t="n"/>
      <c r="J32" s="860" t="n"/>
      <c r="K32" s="860" t="n"/>
      <c r="L32" s="860" t="n"/>
      <c r="M32" s="860" t="n"/>
      <c r="N32" s="860" t="n"/>
    </row>
    <row r="33">
      <c r="A33" s="846" t="n">
        <v>29</v>
      </c>
      <c r="B33" s="850" t="n"/>
      <c r="C33" s="852" t="n"/>
      <c r="D33" s="930" t="n"/>
      <c r="E33" s="848" t="n"/>
      <c r="F33" s="948">
        <f>IF(G33&lt;&gt;"",LEFT(G33,FIND(",",G33)-1),"")</f>
        <v/>
      </c>
      <c r="G33" s="860" t="n"/>
      <c r="H33" s="860" t="n"/>
      <c r="I33" s="860" t="n"/>
      <c r="J33" s="860" t="n"/>
      <c r="K33" s="860" t="n"/>
      <c r="L33" s="860" t="n"/>
      <c r="M33" s="860" t="n"/>
      <c r="N33" s="860" t="n"/>
    </row>
    <row r="34">
      <c r="A34" s="846" t="n">
        <v>30</v>
      </c>
      <c r="B34" s="850" t="n"/>
      <c r="C34" s="853" t="n"/>
      <c r="D34" s="930" t="n"/>
      <c r="E34" s="848" t="n"/>
      <c r="F34" s="948">
        <f>IF(G34&lt;&gt;"",LEFT(G34,FIND(",",G34)-1),"")</f>
        <v/>
      </c>
      <c r="G34" s="860" t="n"/>
      <c r="H34" s="860" t="n"/>
      <c r="I34" s="860" t="n"/>
      <c r="J34" s="860" t="n"/>
      <c r="K34" s="860" t="n"/>
      <c r="L34" s="860" t="n"/>
      <c r="M34" s="860" t="n"/>
      <c r="N34" s="860" t="n"/>
    </row>
    <row r="35">
      <c r="A35" s="846" t="n">
        <v>31</v>
      </c>
      <c r="B35" s="850" t="n"/>
      <c r="C35" s="854" t="n"/>
      <c r="D35" s="930" t="n"/>
      <c r="E35" s="848" t="n"/>
      <c r="F35" s="948">
        <f>IF(G35&lt;&gt;"",LEFT(G35,FIND(",",G35)-1),"")</f>
        <v/>
      </c>
      <c r="G35" s="860" t="n"/>
      <c r="H35" s="860" t="n"/>
      <c r="I35" s="860" t="n"/>
      <c r="J35" s="860" t="n"/>
      <c r="K35" s="860" t="n"/>
      <c r="L35" s="860" t="n"/>
      <c r="M35" s="860" t="n"/>
      <c r="N35" s="860" t="n"/>
    </row>
    <row r="36">
      <c r="A36" s="846" t="n">
        <v>32</v>
      </c>
      <c r="B36" s="850" t="n"/>
      <c r="C36" s="855" t="n"/>
      <c r="D36" s="930" t="n"/>
      <c r="E36" s="848" t="n"/>
      <c r="F36" s="948">
        <f>IF(G36&lt;&gt;"",LEFT(G36,FIND(",",G36)-1),"")</f>
        <v/>
      </c>
      <c r="G36" s="860" t="n"/>
      <c r="H36" s="860" t="n"/>
      <c r="I36" s="860" t="n"/>
      <c r="J36" s="860" t="n"/>
      <c r="K36" s="860" t="n"/>
      <c r="L36" s="860" t="n"/>
      <c r="M36" s="860" t="n"/>
      <c r="N36" s="860" t="n"/>
    </row>
    <row r="37">
      <c r="A37" s="846" t="n">
        <v>33</v>
      </c>
      <c r="B37" s="850" t="n"/>
      <c r="C37" s="856" t="n"/>
      <c r="D37" s="930" t="n"/>
      <c r="E37" s="848" t="n"/>
      <c r="F37" s="948">
        <f>IF(G37&lt;&gt;"",LEFT(G37,FIND(",",G37)-1),"")</f>
        <v/>
      </c>
      <c r="G37" s="860" t="n"/>
      <c r="H37" s="860" t="n"/>
      <c r="I37" s="860" t="n"/>
      <c r="J37" s="860" t="n"/>
      <c r="K37" s="860" t="n"/>
      <c r="L37" s="860" t="n"/>
      <c r="M37" s="860" t="n"/>
      <c r="N37" s="860" t="n"/>
    </row>
    <row r="38">
      <c r="A38" s="846" t="n">
        <v>34</v>
      </c>
      <c r="B38" s="850" t="n"/>
      <c r="C38" s="857" t="n"/>
      <c r="D38" s="930" t="n"/>
      <c r="E38" s="848" t="n"/>
      <c r="F38" s="948">
        <f>IF(G38&lt;&gt;"",LEFT(G38,FIND(",",G38)-1),"")</f>
        <v/>
      </c>
      <c r="G38" s="860" t="n"/>
      <c r="H38" s="860" t="n"/>
      <c r="I38" s="860" t="n"/>
      <c r="J38" s="860" t="n"/>
      <c r="K38" s="860" t="n"/>
      <c r="L38" s="860" t="n"/>
      <c r="M38" s="860" t="n"/>
      <c r="N38" s="860" t="n"/>
    </row>
    <row r="39">
      <c r="A39" s="846" t="n">
        <v>35</v>
      </c>
      <c r="B39" s="850" t="n"/>
      <c r="C39" s="858" t="n"/>
      <c r="D39" s="930" t="n"/>
      <c r="E39" s="848" t="n"/>
      <c r="F39" s="948">
        <f>IF(G39&lt;&gt;"",LEFT(G39,FIND(",",G39)-1),"")</f>
        <v/>
      </c>
      <c r="G39" s="860" t="n"/>
      <c r="H39" s="860" t="n"/>
      <c r="I39" s="860" t="n"/>
      <c r="J39" s="860" t="n"/>
      <c r="K39" s="860" t="n"/>
      <c r="L39" s="860" t="n"/>
      <c r="M39" s="860" t="n"/>
      <c r="N39" s="860" t="n"/>
    </row>
    <row r="40">
      <c r="A40" s="846" t="n">
        <v>36</v>
      </c>
      <c r="B40" s="850" t="n"/>
      <c r="C40" s="859" t="n"/>
      <c r="D40" s="930" t="n"/>
      <c r="E40" s="848" t="n"/>
      <c r="F40" s="948">
        <f>IF(G40&lt;&gt;"",LEFT(G40,FIND(",",G40)-1),"")</f>
        <v/>
      </c>
      <c r="G40" s="860" t="n"/>
      <c r="H40" s="860" t="n"/>
      <c r="I40" s="860" t="n"/>
      <c r="J40" s="860" t="n"/>
      <c r="K40" s="860" t="n"/>
      <c r="L40" s="860" t="n"/>
      <c r="M40" s="860" t="n"/>
      <c r="N40" s="860" t="n"/>
    </row>
    <row r="41">
      <c r="A41" s="846" t="n">
        <v>37</v>
      </c>
      <c r="B41" s="851" t="n"/>
      <c r="C41" s="847" t="n"/>
      <c r="D41" s="930" t="n"/>
      <c r="E41" s="848" t="n"/>
      <c r="F41" s="948">
        <f>IF(G41&lt;&gt;"",LEFT(G41,FIND(",",G41)-1),"")</f>
        <v/>
      </c>
      <c r="G41" s="860" t="n"/>
      <c r="H41" s="860" t="n"/>
      <c r="I41" s="860" t="n"/>
      <c r="J41" s="860" t="n"/>
      <c r="K41" s="860" t="n"/>
      <c r="L41" s="860" t="n"/>
      <c r="M41" s="860" t="n"/>
      <c r="N41" s="860" t="n"/>
    </row>
    <row r="42">
      <c r="A42" s="846" t="n">
        <v>38</v>
      </c>
      <c r="B42" s="851" t="n"/>
      <c r="C42" s="849" t="n"/>
      <c r="D42" s="930" t="n"/>
      <c r="E42" s="848" t="n"/>
      <c r="F42" s="948">
        <f>IF(G42&lt;&gt;"",LEFT(G42,FIND(",",G42)-1),"")</f>
        <v/>
      </c>
      <c r="G42" s="860" t="n"/>
      <c r="H42" s="860" t="n"/>
      <c r="I42" s="860" t="n"/>
      <c r="J42" s="860" t="n"/>
      <c r="K42" s="860" t="n"/>
      <c r="L42" s="860" t="n"/>
      <c r="M42" s="860" t="n"/>
      <c r="N42" s="860" t="n"/>
    </row>
    <row r="43">
      <c r="A43" s="846" t="n">
        <v>39</v>
      </c>
      <c r="B43" s="851" t="n"/>
      <c r="C43" s="850" t="n"/>
      <c r="D43" s="930" t="n"/>
      <c r="E43" s="848" t="n"/>
      <c r="F43" s="948">
        <f>IF(G43&lt;&gt;"",LEFT(G43,FIND(",",G43)-1),"")</f>
        <v/>
      </c>
      <c r="G43" s="860" t="n"/>
      <c r="H43" s="860" t="n"/>
      <c r="I43" s="860" t="n"/>
      <c r="J43" s="860" t="n"/>
      <c r="K43" s="860" t="n"/>
      <c r="L43" s="860" t="n"/>
      <c r="M43" s="860" t="n"/>
      <c r="N43" s="860" t="n"/>
    </row>
    <row r="44">
      <c r="A44" s="846" t="n">
        <v>40</v>
      </c>
      <c r="B44" s="851" t="n"/>
      <c r="C44" s="851" t="n"/>
      <c r="D44" s="930" t="n"/>
      <c r="E44" s="848" t="n"/>
      <c r="F44" s="948">
        <f>IF(G44&lt;&gt;"",LEFT(G44,FIND(",",G44)-1),"")</f>
        <v/>
      </c>
      <c r="G44" s="860" t="n"/>
      <c r="H44" s="860" t="n"/>
      <c r="I44" s="860" t="n"/>
      <c r="J44" s="860" t="n"/>
      <c r="K44" s="860" t="n"/>
      <c r="L44" s="860" t="n"/>
      <c r="M44" s="860" t="n"/>
      <c r="N44" s="860" t="n"/>
    </row>
    <row r="45">
      <c r="A45" s="846" t="n">
        <v>41</v>
      </c>
      <c r="B45" s="851" t="n"/>
      <c r="C45" s="852" t="n"/>
      <c r="D45" s="930" t="n"/>
      <c r="E45" s="848" t="n"/>
      <c r="F45" s="948">
        <f>IF(G45&lt;&gt;"",LEFT(G45,FIND(",",G45)-1),"")</f>
        <v/>
      </c>
      <c r="G45" s="860" t="n"/>
      <c r="H45" s="860" t="n"/>
      <c r="I45" s="860" t="n"/>
      <c r="J45" s="860" t="n"/>
      <c r="K45" s="860" t="n"/>
      <c r="L45" s="860" t="n"/>
      <c r="M45" s="860" t="n"/>
      <c r="N45" s="860" t="n"/>
    </row>
    <row r="46">
      <c r="A46" s="846" t="n">
        <v>42</v>
      </c>
      <c r="B46" s="851" t="n"/>
      <c r="C46" s="853" t="n"/>
      <c r="D46" s="930" t="n"/>
      <c r="E46" s="848" t="n"/>
      <c r="F46" s="948">
        <f>IF(G46&lt;&gt;"",LEFT(G46,FIND(",",G46)-1),"")</f>
        <v/>
      </c>
      <c r="G46" s="860" t="n"/>
      <c r="H46" s="860" t="n"/>
      <c r="I46" s="860" t="n"/>
      <c r="J46" s="860" t="n"/>
      <c r="K46" s="860" t="n"/>
      <c r="L46" s="860" t="n"/>
      <c r="M46" s="860" t="n"/>
      <c r="N46" s="860" t="n"/>
    </row>
    <row r="47">
      <c r="A47" s="846" t="n">
        <v>43</v>
      </c>
      <c r="B47" s="851" t="n"/>
      <c r="C47" s="854" t="n"/>
      <c r="D47" s="930" t="n"/>
      <c r="E47" s="848" t="n"/>
      <c r="F47" s="948">
        <f>IF(G47&lt;&gt;"",LEFT(G47,FIND(",",G47)-1),"")</f>
        <v/>
      </c>
      <c r="G47" s="860" t="n"/>
      <c r="H47" s="860" t="n"/>
      <c r="I47" s="860" t="n"/>
      <c r="J47" s="860" t="n"/>
      <c r="K47" s="860" t="n"/>
      <c r="L47" s="860" t="n"/>
      <c r="M47" s="860" t="n"/>
      <c r="N47" s="860" t="n"/>
    </row>
    <row r="48">
      <c r="A48" s="846" t="n">
        <v>44</v>
      </c>
      <c r="B48" s="851" t="n"/>
      <c r="C48" s="855" t="n"/>
      <c r="D48" s="930" t="n"/>
      <c r="E48" s="848" t="n"/>
      <c r="F48" s="948">
        <f>IF(G48&lt;&gt;"",LEFT(G48,FIND(",",G48)-1),"")</f>
        <v/>
      </c>
      <c r="G48" s="860" t="n"/>
      <c r="H48" s="860" t="n"/>
      <c r="I48" s="860" t="n"/>
      <c r="J48" s="860" t="n"/>
      <c r="K48" s="860" t="n"/>
      <c r="L48" s="860" t="n"/>
      <c r="M48" s="860" t="n"/>
      <c r="N48" s="860" t="n"/>
    </row>
    <row r="49">
      <c r="A49" s="846" t="n">
        <v>45</v>
      </c>
      <c r="B49" s="851" t="n"/>
      <c r="C49" s="856" t="n"/>
      <c r="D49" s="930" t="n"/>
      <c r="E49" s="848" t="n"/>
      <c r="F49" s="948">
        <f>IF(G49&lt;&gt;"",LEFT(G49,FIND(",",G49)-1),"")</f>
        <v/>
      </c>
      <c r="G49" s="860" t="n"/>
      <c r="H49" s="860" t="n"/>
      <c r="I49" s="860" t="n"/>
      <c r="J49" s="860" t="n"/>
      <c r="K49" s="860" t="n"/>
      <c r="L49" s="860" t="n"/>
      <c r="M49" s="860" t="n"/>
      <c r="N49" s="860" t="n"/>
    </row>
    <row r="50">
      <c r="A50" s="846" t="n">
        <v>46</v>
      </c>
      <c r="B50" s="851" t="n"/>
      <c r="C50" s="857" t="n"/>
      <c r="D50" s="930" t="n"/>
      <c r="E50" s="848" t="n"/>
      <c r="F50" s="948">
        <f>IF(G50&lt;&gt;"",LEFT(G50,FIND(",",G50)-1),"")</f>
        <v/>
      </c>
      <c r="G50" s="860" t="n"/>
      <c r="H50" s="860" t="n"/>
      <c r="I50" s="860" t="n"/>
      <c r="J50" s="860" t="n"/>
      <c r="K50" s="860" t="n"/>
      <c r="L50" s="860" t="n"/>
      <c r="M50" s="860" t="n"/>
      <c r="N50" s="860" t="n"/>
    </row>
    <row r="51">
      <c r="A51" s="846" t="n">
        <v>47</v>
      </c>
      <c r="B51" s="851" t="n"/>
      <c r="C51" s="858" t="n"/>
      <c r="D51" s="930" t="n"/>
      <c r="E51" s="848" t="n"/>
      <c r="F51" s="948">
        <f>IF(G51&lt;&gt;"",LEFT(G51,FIND(",",G51)-1),"")</f>
        <v/>
      </c>
      <c r="G51" s="860" t="n"/>
      <c r="H51" s="860" t="n"/>
      <c r="I51" s="860" t="n"/>
      <c r="J51" s="860" t="n"/>
      <c r="K51" s="860" t="n"/>
      <c r="L51" s="860" t="n"/>
      <c r="M51" s="860" t="n"/>
      <c r="N51" s="860" t="n"/>
    </row>
    <row r="52">
      <c r="A52" s="846" t="n">
        <v>48</v>
      </c>
      <c r="B52" s="851" t="n"/>
      <c r="C52" s="859" t="n"/>
      <c r="D52" s="930" t="n"/>
      <c r="E52" s="848" t="n"/>
      <c r="F52" s="948">
        <f>IF(G52&lt;&gt;"",LEFT(G52,FIND(",",G52)-1),"")</f>
        <v/>
      </c>
      <c r="G52" s="860" t="n"/>
      <c r="H52" s="860" t="n"/>
      <c r="I52" s="860" t="n"/>
      <c r="J52" s="860" t="n"/>
      <c r="K52" s="860" t="n"/>
      <c r="L52" s="860" t="n"/>
      <c r="M52" s="860" t="n"/>
      <c r="N52" s="860" t="n"/>
    </row>
    <row r="53">
      <c r="A53" s="846" t="n">
        <v>49</v>
      </c>
      <c r="B53" s="861" t="n"/>
      <c r="C53" s="847" t="n"/>
      <c r="D53" s="930" t="n"/>
      <c r="E53" s="848" t="n"/>
      <c r="F53" s="948">
        <f>IF(G53&lt;&gt;"",LEFT(G53,FIND(",",G53)-1),"")</f>
        <v/>
      </c>
      <c r="G53" s="860" t="n"/>
      <c r="H53" s="860" t="n"/>
      <c r="I53" s="860" t="n"/>
      <c r="J53" s="860" t="n"/>
      <c r="K53" s="860" t="n"/>
      <c r="L53" s="860" t="n"/>
      <c r="M53" s="860" t="n"/>
      <c r="N53" s="860" t="n"/>
    </row>
    <row r="54">
      <c r="A54" s="846" t="n">
        <v>50</v>
      </c>
      <c r="B54" s="861" t="n"/>
      <c r="C54" s="849" t="n"/>
      <c r="D54" s="930" t="n"/>
      <c r="E54" s="848" t="n"/>
      <c r="F54" s="948">
        <f>IF(G54&lt;&gt;"",LEFT(G54,FIND(",",G54)-1),"")</f>
        <v/>
      </c>
      <c r="G54" s="860" t="n"/>
      <c r="H54" s="860" t="n"/>
      <c r="I54" s="860" t="n"/>
      <c r="J54" s="860" t="n"/>
      <c r="K54" s="860" t="n"/>
      <c r="L54" s="860" t="n"/>
      <c r="M54" s="860" t="n"/>
      <c r="N54" s="860" t="n"/>
    </row>
    <row r="55">
      <c r="A55" s="846" t="n">
        <v>51</v>
      </c>
      <c r="B55" s="861" t="n"/>
      <c r="C55" s="850" t="n"/>
      <c r="D55" s="930" t="n"/>
      <c r="E55" s="848" t="n"/>
      <c r="F55" s="948">
        <f>IF(G55&lt;&gt;"",LEFT(G55,FIND(",",G55)-1),"")</f>
        <v/>
      </c>
      <c r="G55" s="860" t="n"/>
      <c r="H55" s="860" t="n"/>
      <c r="I55" s="860" t="n"/>
      <c r="J55" s="860" t="n"/>
      <c r="K55" s="860" t="n"/>
      <c r="L55" s="860" t="n"/>
      <c r="M55" s="860" t="n"/>
      <c r="N55" s="860" t="n"/>
    </row>
    <row r="56">
      <c r="A56" s="846" t="n">
        <v>52</v>
      </c>
      <c r="B56" s="861" t="n"/>
      <c r="C56" s="851" t="n"/>
      <c r="D56" s="930" t="n"/>
      <c r="E56" s="848" t="n"/>
      <c r="F56" s="948">
        <f>IF(G56&lt;&gt;"",LEFT(G56,FIND(",",G56)-1),"")</f>
        <v/>
      </c>
      <c r="G56" s="860" t="n"/>
      <c r="H56" s="860" t="n"/>
      <c r="I56" s="860" t="n"/>
      <c r="J56" s="860" t="n"/>
      <c r="K56" s="860" t="n"/>
      <c r="L56" s="860" t="n"/>
      <c r="M56" s="860" t="n"/>
      <c r="N56" s="860" t="n"/>
    </row>
    <row r="57">
      <c r="A57" s="846" t="n">
        <v>53</v>
      </c>
      <c r="B57" s="861" t="n"/>
      <c r="C57" s="852" t="n"/>
      <c r="D57" s="930" t="n"/>
      <c r="E57" s="848" t="n"/>
      <c r="F57" s="948">
        <f>IF(G57&lt;&gt;"",LEFT(G57,FIND(",",G57)-1),"")</f>
        <v/>
      </c>
      <c r="G57" s="860" t="n"/>
      <c r="H57" s="860" t="n"/>
      <c r="I57" s="860" t="n"/>
      <c r="J57" s="860" t="n"/>
      <c r="K57" s="860" t="n"/>
      <c r="L57" s="860" t="n"/>
      <c r="M57" s="860" t="n"/>
      <c r="N57" s="860" t="n"/>
    </row>
    <row r="58">
      <c r="A58" s="846" t="n">
        <v>54</v>
      </c>
      <c r="B58" s="861" t="n"/>
      <c r="C58" s="853" t="n"/>
      <c r="D58" s="930" t="n"/>
      <c r="E58" s="848" t="n"/>
      <c r="F58" s="948">
        <f>IF(G58&lt;&gt;"",LEFT(G58,FIND(",",G58)-1),"")</f>
        <v/>
      </c>
      <c r="G58" s="860" t="n"/>
      <c r="H58" s="860" t="n"/>
      <c r="I58" s="860" t="n"/>
      <c r="J58" s="860" t="n"/>
      <c r="K58" s="860" t="n"/>
      <c r="L58" s="860" t="n"/>
      <c r="M58" s="860" t="n"/>
      <c r="N58" s="860" t="n"/>
    </row>
    <row r="59">
      <c r="A59" s="846" t="n">
        <v>55</v>
      </c>
      <c r="B59" s="861" t="n"/>
      <c r="C59" s="854" t="n"/>
      <c r="D59" s="930" t="n"/>
      <c r="E59" s="848" t="n"/>
      <c r="F59" s="948">
        <f>IF(G59&lt;&gt;"",LEFT(G59,FIND(",",G59)-1),"")</f>
        <v/>
      </c>
      <c r="G59" s="860" t="n"/>
      <c r="H59" s="860" t="n"/>
      <c r="I59" s="860" t="n"/>
      <c r="J59" s="860" t="n"/>
      <c r="K59" s="860" t="n"/>
      <c r="L59" s="860" t="n"/>
      <c r="M59" s="860" t="n"/>
      <c r="N59" s="860" t="n"/>
    </row>
    <row r="60">
      <c r="A60" s="846" t="n">
        <v>56</v>
      </c>
      <c r="B60" s="861" t="n"/>
      <c r="C60" s="855" t="n"/>
      <c r="D60" s="930" t="n"/>
      <c r="E60" s="848" t="n"/>
      <c r="F60" s="948">
        <f>IF(G60&lt;&gt;"",LEFT(G60,FIND(",",G60)-1),"")</f>
        <v/>
      </c>
      <c r="G60" s="860" t="n"/>
      <c r="H60" s="860" t="n"/>
      <c r="I60" s="860" t="n"/>
      <c r="J60" s="860" t="n"/>
      <c r="K60" s="860" t="n"/>
      <c r="L60" s="860" t="n"/>
      <c r="M60" s="860" t="n"/>
      <c r="N60" s="860" t="n"/>
    </row>
    <row r="61">
      <c r="A61" s="846" t="n">
        <v>57</v>
      </c>
      <c r="B61" s="861" t="n"/>
      <c r="C61" s="856" t="n"/>
      <c r="D61" s="930" t="n"/>
      <c r="E61" s="848" t="n"/>
      <c r="F61" s="948">
        <f>IF(G61&lt;&gt;"",LEFT(G61,FIND(",",G61)-1),"")</f>
        <v/>
      </c>
      <c r="G61" s="860" t="n"/>
      <c r="H61" s="860" t="n"/>
      <c r="I61" s="860" t="n"/>
      <c r="J61" s="860" t="n"/>
      <c r="K61" s="860" t="n"/>
      <c r="L61" s="860" t="n"/>
      <c r="M61" s="860" t="n"/>
      <c r="N61" s="860" t="n"/>
    </row>
    <row r="62">
      <c r="A62" s="846" t="n">
        <v>58</v>
      </c>
      <c r="B62" s="861" t="n"/>
      <c r="C62" s="857" t="n"/>
      <c r="D62" s="930" t="n"/>
      <c r="E62" s="848" t="n"/>
      <c r="F62" s="948">
        <f>IF(G62&lt;&gt;"",LEFT(G62,FIND(",",G62)-1),"")</f>
        <v/>
      </c>
      <c r="G62" s="860" t="n"/>
      <c r="H62" s="860" t="n"/>
      <c r="I62" s="860" t="n"/>
      <c r="J62" s="860" t="n"/>
      <c r="K62" s="860" t="n"/>
      <c r="L62" s="860" t="n"/>
      <c r="M62" s="860" t="n"/>
      <c r="N62" s="860" t="n"/>
    </row>
    <row r="63">
      <c r="A63" s="846" t="n">
        <v>59</v>
      </c>
      <c r="B63" s="861" t="n"/>
      <c r="C63" s="858" t="n"/>
      <c r="D63" s="930" t="n"/>
      <c r="E63" s="848" t="n"/>
      <c r="F63" s="948">
        <f>IF(G63&lt;&gt;"",LEFT(G63,FIND(",",G63)-1),"")</f>
        <v/>
      </c>
      <c r="G63" s="860" t="n"/>
      <c r="H63" s="860" t="n"/>
      <c r="I63" s="860" t="n"/>
      <c r="J63" s="860" t="n"/>
      <c r="K63" s="860" t="n"/>
      <c r="L63" s="860" t="n"/>
      <c r="M63" s="860" t="n"/>
      <c r="N63" s="860" t="n"/>
    </row>
    <row r="64">
      <c r="A64" s="846" t="n">
        <v>60</v>
      </c>
      <c r="B64" s="861" t="n"/>
      <c r="C64" s="859" t="n"/>
      <c r="D64" s="930" t="n"/>
      <c r="E64" s="948" t="n"/>
      <c r="F64" s="948">
        <f>IF(G64&lt;&gt;"",LEFT(G64,FIND(",",G64)-1),"")</f>
        <v/>
      </c>
      <c r="G64" s="948" t="n"/>
      <c r="H64" s="948" t="n"/>
      <c r="I64" s="948" t="n"/>
      <c r="J64" s="948" t="n"/>
      <c r="K64" s="948" t="n"/>
      <c r="L64" s="948" t="n"/>
      <c r="M64" s="948" t="n"/>
      <c r="N64" s="948" t="n"/>
    </row>
    <row r="65">
      <c r="A65" s="846" t="n">
        <v>61</v>
      </c>
      <c r="B65" s="862" t="n"/>
      <c r="C65" s="847" t="n"/>
      <c r="D65" s="930" t="n"/>
      <c r="E65" s="948" t="n"/>
      <c r="F65" s="948">
        <f>IF(G65&lt;&gt;"",LEFT(G65,FIND(",",G65)-1),"")</f>
        <v/>
      </c>
      <c r="G65" s="948" t="n"/>
      <c r="H65" s="948" t="n"/>
      <c r="I65" s="948" t="n"/>
      <c r="J65" s="948" t="n"/>
      <c r="K65" s="948" t="n"/>
      <c r="L65" s="948" t="n"/>
      <c r="M65" s="948" t="n"/>
      <c r="N65" s="948" t="n"/>
    </row>
    <row r="66">
      <c r="A66" s="846" t="n">
        <v>62</v>
      </c>
      <c r="B66" s="862" t="n"/>
      <c r="C66" s="849" t="n"/>
      <c r="D66" s="930" t="n"/>
      <c r="E66" s="948" t="n"/>
      <c r="F66" s="948">
        <f>IF(G66&lt;&gt;"",LEFT(G66,FIND(",",G66)-1),"")</f>
        <v/>
      </c>
      <c r="G66" s="948" t="n"/>
      <c r="H66" s="948" t="n"/>
      <c r="I66" s="948" t="n"/>
      <c r="J66" s="948" t="n"/>
      <c r="K66" s="948" t="n"/>
      <c r="L66" s="948" t="n"/>
      <c r="M66" s="948" t="n"/>
      <c r="N66" s="948" t="n"/>
    </row>
    <row r="67">
      <c r="A67" s="846" t="n">
        <v>63</v>
      </c>
      <c r="B67" s="862" t="n"/>
      <c r="C67" s="850" t="n"/>
      <c r="D67" s="930" t="n"/>
      <c r="E67" s="948" t="n"/>
      <c r="F67" s="948">
        <f>IF(G67&lt;&gt;"",LEFT(G67,FIND(",",G67)-1),"")</f>
        <v/>
      </c>
      <c r="G67" s="948" t="n"/>
      <c r="H67" s="948" t="n"/>
      <c r="I67" s="948" t="n"/>
      <c r="J67" s="948" t="n"/>
      <c r="K67" s="948" t="n"/>
      <c r="L67" s="948" t="n"/>
      <c r="M67" s="948" t="n"/>
      <c r="N67" s="948" t="n"/>
    </row>
    <row r="68">
      <c r="A68" s="846" t="n">
        <v>64</v>
      </c>
      <c r="B68" s="862" t="n"/>
      <c r="C68" s="851" t="n"/>
      <c r="D68" s="930" t="n"/>
      <c r="E68" s="948" t="n"/>
      <c r="F68" s="948">
        <f>IF(G68&lt;&gt;"",LEFT(G68,FIND(",",G68)-1),"")</f>
        <v/>
      </c>
      <c r="G68" s="948" t="n"/>
      <c r="H68" s="948" t="n"/>
      <c r="I68" s="948" t="n"/>
      <c r="J68" s="948" t="n"/>
      <c r="K68" s="948" t="n"/>
      <c r="L68" s="948" t="n"/>
      <c r="M68" s="948" t="n"/>
      <c r="N68" s="948" t="n"/>
    </row>
    <row r="69">
      <c r="A69" s="846" t="n">
        <v>65</v>
      </c>
      <c r="B69" s="862" t="n"/>
      <c r="C69" s="852" t="n"/>
      <c r="D69" s="930" t="n"/>
      <c r="E69" s="948" t="n"/>
      <c r="F69" s="948">
        <f>IF(G69&lt;&gt;"",LEFT(G69,FIND(",",G69)-1),"")</f>
        <v/>
      </c>
      <c r="G69" s="948" t="n"/>
      <c r="H69" s="948" t="n"/>
      <c r="I69" s="948" t="n"/>
      <c r="J69" s="948" t="n"/>
      <c r="K69" s="948" t="n"/>
      <c r="L69" s="948" t="n"/>
      <c r="M69" s="948" t="n"/>
      <c r="N69" s="948" t="n"/>
    </row>
    <row r="70">
      <c r="A70" s="846" t="n">
        <v>66</v>
      </c>
      <c r="B70" s="862" t="n"/>
      <c r="C70" s="853" t="n"/>
      <c r="D70" s="930" t="n"/>
      <c r="E70" s="948" t="n"/>
      <c r="F70" s="948">
        <f>IF(G70&lt;&gt;"",LEFT(G70,FIND(",",G70)-1),"")</f>
        <v/>
      </c>
      <c r="G70" s="948" t="n"/>
      <c r="H70" s="948" t="n"/>
      <c r="I70" s="948" t="n"/>
      <c r="J70" s="948" t="n"/>
      <c r="K70" s="948" t="n"/>
      <c r="L70" s="948" t="n"/>
      <c r="M70" s="948" t="n"/>
      <c r="N70" s="948" t="n"/>
    </row>
    <row r="71">
      <c r="A71" s="846" t="n">
        <v>67</v>
      </c>
      <c r="B71" s="862" t="n"/>
      <c r="C71" s="854" t="n"/>
      <c r="D71" s="930" t="n"/>
      <c r="E71" s="948" t="n"/>
      <c r="F71" s="948">
        <f>IF(G71&lt;&gt;"",LEFT(G71,FIND(",",G71)-1),"")</f>
        <v/>
      </c>
      <c r="G71" s="948" t="n"/>
      <c r="H71" s="948" t="n"/>
      <c r="I71" s="948" t="n"/>
      <c r="J71" s="948" t="n"/>
      <c r="K71" s="948" t="n"/>
      <c r="L71" s="948" t="n"/>
      <c r="M71" s="948" t="n"/>
      <c r="N71" s="948" t="n"/>
    </row>
    <row r="72">
      <c r="A72" s="846" t="n">
        <v>68</v>
      </c>
      <c r="B72" s="862" t="n"/>
      <c r="C72" s="855" t="n"/>
      <c r="D72" s="930" t="n"/>
      <c r="E72" s="848" t="n"/>
      <c r="F72" s="948">
        <f>IF(G72&lt;&gt;"",LEFT(G72,FIND(",",G72)-1),"")</f>
        <v/>
      </c>
      <c r="G72" s="848" t="n"/>
      <c r="H72" s="848" t="n"/>
      <c r="I72" s="848" t="n"/>
      <c r="J72" s="848" t="n"/>
      <c r="K72" s="848" t="n"/>
      <c r="L72" s="848" t="n"/>
      <c r="M72" s="848" t="n"/>
      <c r="N72" s="848" t="n"/>
    </row>
    <row r="73">
      <c r="A73" s="846" t="n">
        <v>69</v>
      </c>
      <c r="B73" s="862" t="n"/>
      <c r="C73" s="856" t="n"/>
      <c r="D73" s="930" t="n"/>
      <c r="E73" s="848" t="n"/>
      <c r="F73" s="948">
        <f>IF(G73&lt;&gt;"",LEFT(G73,FIND(",",G73)-1),"")</f>
        <v/>
      </c>
      <c r="G73" s="848" t="n"/>
      <c r="H73" s="848" t="n"/>
      <c r="I73" s="848" t="n"/>
      <c r="J73" s="848" t="n"/>
      <c r="K73" s="848" t="n"/>
      <c r="L73" s="848" t="n"/>
      <c r="M73" s="848" t="n"/>
      <c r="N73" s="848" t="n"/>
    </row>
    <row r="74">
      <c r="A74" s="846" t="n">
        <v>70</v>
      </c>
      <c r="B74" s="862" t="n"/>
      <c r="C74" s="857" t="n"/>
      <c r="D74" s="930" t="n"/>
      <c r="E74" s="848" t="n"/>
      <c r="F74" s="948">
        <f>IF(G74&lt;&gt;"",LEFT(G74,FIND(",",G74)-1),"")</f>
        <v/>
      </c>
      <c r="G74" s="848" t="n"/>
      <c r="H74" s="848" t="n"/>
      <c r="I74" s="848" t="n"/>
      <c r="J74" s="848" t="n"/>
      <c r="K74" s="848" t="n"/>
      <c r="L74" s="848" t="n"/>
      <c r="M74" s="848" t="n"/>
      <c r="N74" s="848" t="n"/>
    </row>
    <row r="75">
      <c r="A75" s="846" t="n">
        <v>71</v>
      </c>
      <c r="B75" s="862" t="n"/>
      <c r="C75" s="858" t="n"/>
      <c r="D75" s="930" t="n"/>
      <c r="E75" s="848" t="n"/>
      <c r="F75" s="948">
        <f>IF(G75&lt;&gt;"",LEFT(G75,FIND(",",G75)-1),"")</f>
        <v/>
      </c>
      <c r="G75" s="848" t="n"/>
      <c r="H75" s="848" t="n"/>
      <c r="I75" s="848" t="n"/>
      <c r="J75" s="848" t="n"/>
      <c r="K75" s="848" t="n"/>
      <c r="L75" s="848" t="n"/>
      <c r="M75" s="848" t="n"/>
      <c r="N75" s="848" t="n"/>
    </row>
    <row r="76">
      <c r="A76" s="846" t="n">
        <v>72</v>
      </c>
      <c r="B76" s="862" t="n"/>
      <c r="C76" s="859" t="n"/>
      <c r="D76" s="930" t="n"/>
      <c r="E76" s="848" t="n"/>
      <c r="F76" s="948">
        <f>IF(G76&lt;&gt;"",LEFT(G76,FIND(",",G76)-1),"")</f>
        <v/>
      </c>
      <c r="G76" s="848" t="n"/>
      <c r="H76" s="848" t="n"/>
      <c r="I76" s="848" t="n"/>
      <c r="J76" s="848" t="n"/>
      <c r="K76" s="848" t="n"/>
      <c r="L76" s="848" t="n"/>
      <c r="M76" s="848" t="n"/>
      <c r="N76" s="848" t="n"/>
    </row>
    <row r="77">
      <c r="A77" s="846" t="n">
        <v>73</v>
      </c>
      <c r="B77" s="863" t="n"/>
      <c r="C77" s="847" t="n"/>
      <c r="D77" s="931" t="n"/>
      <c r="E77" s="766" t="n"/>
      <c r="F77" s="948">
        <f>IF(G77&lt;&gt;"",LEFT(G77,FIND(",",G77)-1),"")</f>
        <v/>
      </c>
      <c r="G77" s="948" t="n"/>
      <c r="H77" s="948" t="n"/>
      <c r="I77" s="948" t="n"/>
      <c r="J77" s="948" t="n"/>
      <c r="K77" s="948" t="n"/>
      <c r="L77" s="948" t="n"/>
      <c r="M77" s="948" t="n"/>
      <c r="N77" s="948" t="n"/>
    </row>
    <row r="78">
      <c r="A78" s="846" t="n">
        <v>74</v>
      </c>
      <c r="B78" s="863" t="n"/>
      <c r="C78" s="849" t="n"/>
      <c r="D78" s="931" t="n"/>
      <c r="E78" s="766" t="n"/>
      <c r="F78" s="948">
        <f>IF(G78&lt;&gt;"",LEFT(G78,FIND(",",G78)-1),"")</f>
        <v/>
      </c>
      <c r="G78" s="948" t="n"/>
      <c r="H78" s="948" t="n"/>
      <c r="I78" s="948" t="n"/>
      <c r="J78" s="948" t="n"/>
      <c r="K78" s="948" t="n"/>
      <c r="L78" s="948" t="n"/>
      <c r="M78" s="948" t="n"/>
      <c r="N78" s="948" t="n"/>
    </row>
    <row r="79">
      <c r="A79" s="846" t="n">
        <v>75</v>
      </c>
      <c r="B79" s="863" t="n"/>
      <c r="C79" s="850" t="n"/>
      <c r="D79" s="931" t="n"/>
      <c r="E79" s="766" t="n"/>
      <c r="F79" s="948">
        <f>IF(G79&lt;&gt;"",LEFT(G79,FIND(",",G79)-1),"")</f>
        <v/>
      </c>
      <c r="G79" s="948" t="n"/>
      <c r="H79" s="948" t="n"/>
      <c r="I79" s="948" t="n"/>
      <c r="J79" s="948" t="n"/>
      <c r="K79" s="948" t="n"/>
      <c r="L79" s="948" t="n"/>
      <c r="M79" s="948" t="n"/>
      <c r="N79" s="948" t="n"/>
    </row>
    <row r="80">
      <c r="A80" s="846" t="n">
        <v>76</v>
      </c>
      <c r="B80" s="863" t="n"/>
      <c r="C80" s="851" t="n"/>
      <c r="D80" s="931" t="n"/>
      <c r="E80" s="766" t="n"/>
      <c r="F80" s="948">
        <f>IF(G80&lt;&gt;"",LEFT(G80,FIND(",",G80)-1),"")</f>
        <v/>
      </c>
      <c r="G80" s="948" t="n"/>
      <c r="H80" s="948" t="n"/>
      <c r="I80" s="948" t="n"/>
      <c r="J80" s="948" t="n"/>
      <c r="K80" s="948" t="n"/>
      <c r="L80" s="948" t="n"/>
      <c r="M80" s="948" t="n"/>
      <c r="N80" s="948" t="n"/>
    </row>
    <row r="81">
      <c r="A81" s="846" t="n">
        <v>77</v>
      </c>
      <c r="B81" s="863" t="n"/>
      <c r="C81" s="852" t="n"/>
      <c r="D81" s="931" t="n"/>
      <c r="E81" s="766" t="n"/>
      <c r="F81" s="948">
        <f>IF(G81&lt;&gt;"",LEFT(G81,FIND(",",G81)-1),"")</f>
        <v/>
      </c>
      <c r="G81" s="948" t="n"/>
      <c r="H81" s="948" t="n"/>
      <c r="I81" s="948" t="n"/>
      <c r="J81" s="948" t="n"/>
      <c r="K81" s="948" t="n"/>
      <c r="L81" s="948" t="n"/>
      <c r="M81" s="948" t="n"/>
      <c r="N81" s="948" t="n"/>
    </row>
    <row r="82">
      <c r="A82" s="846" t="n">
        <v>78</v>
      </c>
      <c r="B82" s="863" t="n"/>
      <c r="C82" s="853" t="n"/>
      <c r="D82" s="931" t="n"/>
      <c r="E82" s="766" t="n"/>
      <c r="F82" s="948">
        <f>IF(G82&lt;&gt;"",LEFT(G82,FIND(",",G82)-1),"")</f>
        <v/>
      </c>
      <c r="G82" s="948" t="n"/>
      <c r="H82" s="948" t="n"/>
      <c r="I82" s="948" t="n"/>
      <c r="J82" s="948" t="n"/>
      <c r="K82" s="948" t="n"/>
      <c r="L82" s="948" t="n"/>
      <c r="M82" s="948" t="n"/>
      <c r="N82" s="948" t="n"/>
    </row>
    <row r="83">
      <c r="A83" s="846" t="n">
        <v>79</v>
      </c>
      <c r="B83" s="863" t="n"/>
      <c r="C83" s="854" t="n"/>
      <c r="D83" s="931" t="n"/>
      <c r="E83" s="766" t="n"/>
      <c r="F83" s="948">
        <f>IF(G83&lt;&gt;"",LEFT(G83,FIND(",",G83)-1),"")</f>
        <v/>
      </c>
      <c r="G83" s="948" t="n"/>
      <c r="H83" s="948" t="n"/>
      <c r="I83" s="948" t="n"/>
      <c r="J83" s="948" t="n"/>
      <c r="K83" s="948" t="n"/>
      <c r="L83" s="948" t="n"/>
      <c r="M83" s="948" t="n"/>
      <c r="N83" s="948" t="n"/>
    </row>
    <row r="84">
      <c r="A84" s="846" t="n">
        <v>80</v>
      </c>
      <c r="B84" s="863" t="n"/>
      <c r="C84" s="855" t="n"/>
      <c r="D84" s="931" t="n"/>
      <c r="E84" s="766" t="n"/>
      <c r="F84" s="948">
        <f>IF(G84&lt;&gt;"",LEFT(G84,FIND(",",G84)-1),"")</f>
        <v/>
      </c>
      <c r="G84" s="948" t="n"/>
      <c r="H84" s="948" t="n"/>
      <c r="I84" s="948" t="n"/>
      <c r="J84" s="948" t="n"/>
      <c r="K84" s="948" t="n"/>
      <c r="L84" s="948" t="n"/>
      <c r="M84" s="948" t="n"/>
      <c r="N84" s="948" t="n"/>
    </row>
    <row r="85">
      <c r="A85" s="846" t="n">
        <v>81</v>
      </c>
      <c r="B85" s="863" t="n"/>
      <c r="C85" s="856" t="n"/>
      <c r="D85" s="931" t="n"/>
      <c r="E85" s="766" t="n"/>
      <c r="F85" s="948">
        <f>IF(G85&lt;&gt;"",LEFT(G85,FIND(",",G85)-1),"")</f>
        <v/>
      </c>
      <c r="G85" s="948" t="n"/>
      <c r="H85" s="948" t="n"/>
      <c r="I85" s="948" t="n"/>
      <c r="J85" s="948" t="n"/>
      <c r="K85" s="948" t="n"/>
      <c r="L85" s="948" t="n"/>
      <c r="M85" s="948" t="n"/>
      <c r="N85" s="948" t="n"/>
    </row>
    <row r="86">
      <c r="A86" s="846" t="n">
        <v>82</v>
      </c>
      <c r="B86" s="863" t="n"/>
      <c r="C86" s="857" t="n"/>
      <c r="D86" s="931" t="n"/>
      <c r="E86" s="766" t="n"/>
      <c r="F86" s="948">
        <f>IF(G86&lt;&gt;"",LEFT(G86,FIND(",",G86)-1),"")</f>
        <v/>
      </c>
      <c r="G86" s="948" t="n"/>
      <c r="H86" s="948" t="n"/>
      <c r="I86" s="948" t="n"/>
      <c r="J86" s="948" t="n"/>
      <c r="K86" s="948" t="n"/>
      <c r="L86" s="948" t="n"/>
      <c r="M86" s="948" t="n"/>
      <c r="N86" s="948" t="n"/>
    </row>
    <row r="87">
      <c r="A87" s="846" t="n">
        <v>83</v>
      </c>
      <c r="B87" s="863" t="n"/>
      <c r="C87" s="858" t="n"/>
      <c r="D87" s="931" t="n"/>
      <c r="E87" s="766" t="n"/>
      <c r="F87" s="948">
        <f>IF(G87&lt;&gt;"",LEFT(G87,FIND(",",G87)-1),"")</f>
        <v/>
      </c>
      <c r="G87" s="948" t="n"/>
      <c r="H87" s="948" t="n"/>
      <c r="I87" s="948" t="n"/>
      <c r="J87" s="948" t="n"/>
      <c r="K87" s="948" t="n"/>
      <c r="L87" s="948" t="n"/>
      <c r="M87" s="948" t="n"/>
      <c r="N87" s="948" t="n"/>
    </row>
    <row r="88">
      <c r="A88" s="846" t="n">
        <v>84</v>
      </c>
      <c r="B88" s="863" t="n"/>
      <c r="C88" s="859" t="n"/>
      <c r="D88" s="931" t="n"/>
      <c r="E88" s="766" t="n"/>
      <c r="F88" s="948">
        <f>IF(G88&lt;&gt;"",LEFT(G88,FIND(",",G88)-1),"")</f>
        <v/>
      </c>
      <c r="G88" s="948" t="n"/>
      <c r="H88" s="948" t="n"/>
      <c r="I88" s="948" t="n"/>
      <c r="J88" s="948" t="n"/>
      <c r="K88" s="948" t="n"/>
      <c r="L88" s="948" t="n"/>
      <c r="M88" s="948" t="n"/>
      <c r="N88" s="948" t="n"/>
    </row>
    <row r="89">
      <c r="A89" s="846" t="n">
        <v>85</v>
      </c>
      <c r="B89" s="864" t="n"/>
      <c r="C89" s="847" t="n"/>
      <c r="D89" s="931" t="n"/>
      <c r="E89" s="766" t="n"/>
      <c r="F89" s="948">
        <f>IF(G89&lt;&gt;"",LEFT(G89,FIND(",",G89)-1),"")</f>
        <v/>
      </c>
      <c r="G89" s="948" t="n"/>
      <c r="H89" s="948" t="n"/>
      <c r="I89" s="948" t="n"/>
      <c r="J89" s="948" t="n"/>
      <c r="K89" s="948" t="n"/>
      <c r="L89" s="948" t="n"/>
      <c r="M89" s="948" t="n"/>
      <c r="N89" s="948" t="n"/>
    </row>
    <row r="90">
      <c r="A90" s="846" t="n">
        <v>86</v>
      </c>
      <c r="B90" s="864" t="n"/>
      <c r="C90" s="849" t="n"/>
      <c r="D90" s="931" t="n"/>
      <c r="E90" s="766" t="n"/>
      <c r="F90" s="948" t="n"/>
      <c r="G90" s="948" t="n"/>
      <c r="H90" s="948" t="n"/>
      <c r="I90" s="948" t="n"/>
      <c r="J90" s="948" t="n"/>
      <c r="K90" s="948" t="n"/>
      <c r="L90" s="948" t="n"/>
      <c r="M90" s="948" t="n"/>
      <c r="N90" s="948" t="n"/>
    </row>
    <row r="91">
      <c r="A91" s="846" t="n">
        <v>87</v>
      </c>
      <c r="B91" s="864" t="n"/>
      <c r="C91" s="850" t="n"/>
      <c r="D91" s="931" t="n"/>
      <c r="E91" s="766" t="n"/>
      <c r="F91" s="948" t="n"/>
      <c r="G91" s="948" t="n"/>
      <c r="H91" s="948" t="n"/>
      <c r="I91" s="948" t="n"/>
      <c r="J91" s="948" t="n"/>
      <c r="K91" s="948" t="n"/>
      <c r="L91" s="948" t="n"/>
      <c r="M91" s="948" t="n"/>
      <c r="N91" s="948" t="n"/>
    </row>
    <row r="92">
      <c r="A92" s="846" t="n">
        <v>88</v>
      </c>
      <c r="B92" s="864" t="n"/>
      <c r="C92" s="851" t="n"/>
      <c r="D92" s="931" t="n"/>
      <c r="E92" s="766" t="n"/>
      <c r="F92" s="948" t="n"/>
      <c r="G92" s="948" t="n"/>
      <c r="H92" s="948" t="n"/>
      <c r="I92" s="948" t="n"/>
      <c r="J92" s="948" t="n"/>
      <c r="K92" s="948" t="n"/>
      <c r="L92" s="948" t="n"/>
      <c r="M92" s="948" t="n"/>
      <c r="N92" s="948" t="n"/>
    </row>
    <row r="93">
      <c r="A93" s="846" t="n">
        <v>89</v>
      </c>
      <c r="B93" s="864" t="n"/>
      <c r="C93" s="852" t="n"/>
      <c r="D93" s="931" t="n"/>
      <c r="E93" s="766" t="n"/>
      <c r="F93" s="948" t="n"/>
      <c r="G93" s="948" t="n"/>
      <c r="H93" s="948" t="n"/>
      <c r="I93" s="948" t="n"/>
      <c r="J93" s="948" t="n"/>
      <c r="K93" s="948" t="n"/>
      <c r="L93" s="948" t="n"/>
      <c r="M93" s="948" t="n"/>
      <c r="N93" s="948" t="n"/>
    </row>
    <row r="94">
      <c r="A94" s="846" t="n">
        <v>90</v>
      </c>
      <c r="B94" s="864" t="n"/>
      <c r="C94" s="853" t="n"/>
      <c r="D94" s="931" t="n"/>
      <c r="E94" s="766" t="n"/>
      <c r="F94" s="948" t="n"/>
      <c r="G94" s="948" t="n"/>
      <c r="H94" s="948" t="n"/>
      <c r="I94" s="948" t="n"/>
      <c r="J94" s="948" t="n"/>
      <c r="K94" s="948" t="n"/>
      <c r="L94" s="948" t="n"/>
      <c r="M94" s="948" t="n"/>
      <c r="N94" s="948" t="n"/>
    </row>
    <row r="95">
      <c r="A95" s="846" t="n">
        <v>91</v>
      </c>
      <c r="B95" s="864" t="n"/>
      <c r="C95" s="854" t="n"/>
      <c r="D95" s="932" t="n"/>
      <c r="E95" s="948" t="n"/>
      <c r="F95" s="948" t="n"/>
      <c r="G95" s="948" t="n"/>
      <c r="H95" s="948" t="n"/>
      <c r="I95" s="948" t="n"/>
      <c r="J95" s="948" t="n"/>
      <c r="K95" s="948" t="n"/>
      <c r="L95" s="948" t="n"/>
      <c r="M95" s="948" t="n"/>
      <c r="N95" s="948" t="n"/>
    </row>
    <row r="96">
      <c r="A96" s="846" t="n">
        <v>92</v>
      </c>
      <c r="B96" s="864" t="n"/>
      <c r="C96" s="855" t="n"/>
      <c r="D96" s="932" t="n"/>
      <c r="E96" s="948" t="n"/>
      <c r="F96" s="948" t="n"/>
      <c r="G96" s="948" t="n"/>
      <c r="H96" s="948" t="n"/>
      <c r="I96" s="948" t="n"/>
      <c r="J96" s="948" t="n"/>
      <c r="K96" s="948" t="n"/>
      <c r="L96" s="948" t="n"/>
      <c r="M96" s="948" t="n"/>
      <c r="N96" s="948" t="n"/>
    </row>
    <row r="97">
      <c r="A97" s="846" t="n">
        <v>93</v>
      </c>
      <c r="B97" s="864" t="n"/>
      <c r="C97" s="856" t="n"/>
      <c r="D97" s="932" t="n"/>
      <c r="E97" s="948" t="n"/>
      <c r="F97" s="948" t="n"/>
      <c r="G97" s="948" t="n"/>
      <c r="H97" s="948" t="n"/>
      <c r="I97" s="948" t="n"/>
      <c r="J97" s="948" t="n"/>
      <c r="K97" s="948" t="n"/>
      <c r="L97" s="948" t="n"/>
      <c r="M97" s="948" t="n"/>
      <c r="N97" s="948" t="n"/>
    </row>
    <row r="98">
      <c r="A98" s="846" t="n">
        <v>94</v>
      </c>
      <c r="B98" s="864" t="n"/>
      <c r="C98" s="857" t="n"/>
      <c r="D98" s="932" t="n"/>
      <c r="E98" s="948" t="n"/>
      <c r="F98" s="948" t="n"/>
      <c r="G98" s="948" t="n"/>
      <c r="H98" s="948" t="n"/>
      <c r="I98" s="948" t="n"/>
      <c r="J98" s="948" t="n"/>
      <c r="K98" s="948" t="n"/>
      <c r="L98" s="948" t="n"/>
      <c r="M98" s="948" t="n"/>
      <c r="N98" s="948" t="n"/>
    </row>
    <row r="99">
      <c r="A99" s="846" t="n">
        <v>95</v>
      </c>
      <c r="B99" s="864" t="n"/>
      <c r="C99" s="858" t="n"/>
      <c r="D99" s="932" t="n"/>
      <c r="E99" s="948" t="n"/>
      <c r="F99" s="948" t="n"/>
      <c r="G99" s="948" t="n"/>
      <c r="H99" s="948" t="n"/>
      <c r="I99" s="948" t="n"/>
      <c r="J99" s="948" t="n"/>
      <c r="K99" s="948" t="n"/>
      <c r="L99" s="948" t="n"/>
      <c r="M99" s="948" t="n"/>
      <c r="N99" s="948" t="n"/>
    </row>
    <row r="100">
      <c r="A100" s="846" t="n">
        <v>96</v>
      </c>
      <c r="B100" s="864" t="n"/>
      <c r="C100" s="859" t="n"/>
      <c r="D100" s="932" t="n"/>
      <c r="E100" s="948" t="n"/>
      <c r="F100" s="948" t="n"/>
      <c r="G100" s="948" t="n"/>
      <c r="H100" s="948" t="n"/>
      <c r="I100" s="948" t="n"/>
      <c r="J100" s="948" t="n"/>
      <c r="K100" s="948" t="n"/>
      <c r="L100" s="948" t="n"/>
      <c r="M100" s="948" t="n"/>
      <c r="N100" s="948" t="n"/>
    </row>
    <row r="101">
      <c r="A101" s="846" t="n">
        <v>97</v>
      </c>
      <c r="B101" s="856" t="n"/>
      <c r="C101" s="847" t="n"/>
      <c r="D101" s="932" t="n"/>
      <c r="E101" s="948" t="n"/>
      <c r="F101" s="948" t="n"/>
      <c r="G101" s="948" t="n"/>
      <c r="H101" s="948" t="n"/>
      <c r="I101" s="948" t="n"/>
      <c r="J101" s="948" t="n"/>
      <c r="K101" s="948" t="n"/>
      <c r="L101" s="948" t="n"/>
      <c r="M101" s="948" t="n"/>
      <c r="N101" s="948" t="n"/>
    </row>
    <row r="102">
      <c r="A102" s="846" t="n">
        <v>98</v>
      </c>
      <c r="B102" s="856" t="n"/>
      <c r="C102" s="849" t="n"/>
      <c r="D102" s="932" t="n"/>
      <c r="E102" s="948" t="n"/>
      <c r="F102" s="948" t="n"/>
      <c r="G102" s="948" t="n"/>
      <c r="H102" s="948" t="n"/>
      <c r="I102" s="948" t="n"/>
      <c r="J102" s="948" t="n"/>
      <c r="K102" s="948" t="n"/>
      <c r="L102" s="948" t="n"/>
      <c r="M102" s="948" t="n"/>
      <c r="N102" s="948" t="n"/>
    </row>
    <row r="103">
      <c r="A103" s="846" t="n">
        <v>99</v>
      </c>
      <c r="B103" s="856" t="n"/>
      <c r="C103" s="850" t="n"/>
      <c r="D103" s="932" t="n"/>
      <c r="E103" s="948" t="n"/>
      <c r="F103" s="948" t="n"/>
      <c r="G103" s="948" t="n"/>
      <c r="H103" s="948" t="n"/>
      <c r="I103" s="948" t="n"/>
      <c r="J103" s="948" t="n"/>
      <c r="K103" s="948" t="n"/>
      <c r="L103" s="948" t="n"/>
      <c r="M103" s="948" t="n"/>
      <c r="N103" s="948" t="n"/>
    </row>
    <row r="104">
      <c r="A104" s="846" t="n">
        <v>100</v>
      </c>
      <c r="B104" s="856" t="n"/>
      <c r="C104" s="851" t="n"/>
      <c r="D104" s="932" t="n"/>
      <c r="E104" s="948" t="n"/>
      <c r="F104" s="948" t="n"/>
      <c r="G104" s="948" t="n"/>
      <c r="H104" s="948" t="n"/>
      <c r="I104" s="948" t="n"/>
      <c r="J104" s="948" t="n"/>
      <c r="K104" s="948" t="n"/>
      <c r="L104" s="948" t="n"/>
      <c r="M104" s="948" t="n"/>
      <c r="N104" s="948" t="n"/>
    </row>
    <row r="105">
      <c r="A105" s="846" t="n">
        <v>101</v>
      </c>
      <c r="B105" s="856" t="n"/>
      <c r="C105" s="852" t="n"/>
      <c r="D105" s="932" t="n">
        <v>101</v>
      </c>
      <c r="E105" s="948" t="inlineStr">
        <is>
          <t>F 5120 HILLTOP NEEDMORE RD</t>
        </is>
      </c>
      <c r="F105" s="948" t="inlineStr">
        <is>
          <t>OLT01_101P_FQVRNC</t>
        </is>
      </c>
      <c r="G105" s="948" t="inlineStr">
        <is>
          <t>OLT01_101P_FQVRNC, 1 (OLT01_101P_FQVRNC-1)</t>
        </is>
      </c>
      <c r="H105" s="948" t="inlineStr">
        <is>
          <t>OLT01_101P_FQVRNC, 2 (OLT01_101P_FQVRNC-2)</t>
        </is>
      </c>
      <c r="I105" s="948" t="inlineStr">
        <is>
          <t>OLT01_101P_FQVRNC, 3 (OLT01_101P_FQVRNC-3)</t>
        </is>
      </c>
      <c r="J105" s="948" t="inlineStr">
        <is>
          <t>OLT01_101P_FQVRNC, 4 (OLT01_101P_FQVRNC-4)</t>
        </is>
      </c>
      <c r="K105" s="948" t="inlineStr">
        <is>
          <t>OLT01_101P_FQVRNC, 5 (OLT01_101P_FQVRNC-5)</t>
        </is>
      </c>
      <c r="L105" s="948" t="inlineStr">
        <is>
          <t>OLT01_101P_FQVRNC, 6 (OLT01_101P_FQVRNC-6)</t>
        </is>
      </c>
      <c r="M105" s="948" t="inlineStr">
        <is>
          <t>OLT01_101P_FQVRNC, 7 (OLT01_101P_FQVRNC-7)</t>
        </is>
      </c>
      <c r="N105" s="948" t="inlineStr">
        <is>
          <t>OLT01_101P_FQVRNC, 8 (OLT01_101P_FQVRNC-8)</t>
        </is>
      </c>
    </row>
    <row r="106">
      <c r="A106" s="846" t="n">
        <v>102</v>
      </c>
      <c r="B106" s="856" t="n"/>
      <c r="C106" s="853" t="n"/>
      <c r="D106" s="932" t="n">
        <v>102</v>
      </c>
      <c r="E106" s="948" t="inlineStr">
        <is>
          <t>F 5120 HILLTOP NEEDMORE RD</t>
        </is>
      </c>
      <c r="F106" s="948" t="inlineStr">
        <is>
          <t>OLT01_102P_FQVRNC</t>
        </is>
      </c>
      <c r="G106" s="948" t="inlineStr">
        <is>
          <t>OLT01_102P_FQVRNC, 1 (OLT01_102P_FQVRNC-1)</t>
        </is>
      </c>
      <c r="H106" s="948" t="inlineStr">
        <is>
          <t>OLT01_102P_FQVRNC, 2 (OLT01_102P_FQVRNC-2)</t>
        </is>
      </c>
      <c r="I106" s="948" t="inlineStr">
        <is>
          <t>OLT01_102P_FQVRNC, 3 (OLT01_102P_FQVRNC-3)</t>
        </is>
      </c>
      <c r="J106" s="948" t="inlineStr">
        <is>
          <t>OLT01_102P_FQVRNC, 4 (OLT01_102P_FQVRNC-4)</t>
        </is>
      </c>
      <c r="K106" s="948" t="inlineStr">
        <is>
          <t>OLT01_102P_FQVRNC, 5 (OLT01_102P_FQVRNC-5)</t>
        </is>
      </c>
      <c r="L106" s="948" t="inlineStr">
        <is>
          <t>OLT01_102P_FQVRNC, 6 (OLT01_102P_FQVRNC-6)</t>
        </is>
      </c>
      <c r="M106" s="948" t="inlineStr">
        <is>
          <t>OLT01_102P_FQVRNC, 7 (OLT01_102P_FQVRNC-7)</t>
        </is>
      </c>
      <c r="N106" s="948" t="inlineStr">
        <is>
          <t>OLT01_102P_FQVRNC, 8 (OLT01_102P_FQVRNC-8)</t>
        </is>
      </c>
    </row>
    <row r="107">
      <c r="A107" s="846" t="n">
        <v>103</v>
      </c>
      <c r="B107" s="856" t="n"/>
      <c r="C107" s="854" t="n"/>
      <c r="D107" s="932" t="n">
        <v>103</v>
      </c>
      <c r="E107" s="948" t="inlineStr">
        <is>
          <t>F 5212 RIVINGTON DR</t>
        </is>
      </c>
      <c r="F107" s="948" t="inlineStr">
        <is>
          <t>OLT01_103P_FQVRNC</t>
        </is>
      </c>
      <c r="G107" s="948" t="inlineStr">
        <is>
          <t>SPARE</t>
        </is>
      </c>
      <c r="H107" s="948" t="inlineStr">
        <is>
          <t>SPARE</t>
        </is>
      </c>
      <c r="I107" s="948" t="inlineStr">
        <is>
          <t>OLT01_103P_FQVRNC, 3 (OLT01_103P_FQVRNC-3)</t>
        </is>
      </c>
      <c r="J107" s="948" t="inlineStr">
        <is>
          <t>OLT01_103P_FQVRNC, 4 (OLT01_103P_FQVRNC-4)</t>
        </is>
      </c>
      <c r="K107" s="948" t="inlineStr">
        <is>
          <t>OLT01_103P_FQVRNC, 5 (OLT01_103P_FQVRNC-5)</t>
        </is>
      </c>
      <c r="L107" s="948" t="inlineStr">
        <is>
          <t>OLT01_103P_FQVRNC, 6 (OLT01_103P_FQVRNC-6)</t>
        </is>
      </c>
      <c r="M107" s="948" t="inlineStr">
        <is>
          <t>OLT01_103P_FQVRNC, 7 (OLT01_103P_FQVRNC-7)</t>
        </is>
      </c>
      <c r="N107" s="948" t="inlineStr">
        <is>
          <t>OLT01_103P_FQVRNC, 8 (OLT01_103P_FQVRNC-8)</t>
        </is>
      </c>
    </row>
    <row r="108">
      <c r="A108" s="846" t="n">
        <v>104</v>
      </c>
      <c r="B108" s="856" t="n"/>
      <c r="C108" s="855" t="n"/>
      <c r="D108" s="932" t="n">
        <v>104</v>
      </c>
      <c r="E108" s="948" t="inlineStr">
        <is>
          <t>F 5212 RIVINGTON DR</t>
        </is>
      </c>
      <c r="F108" s="948" t="inlineStr">
        <is>
          <t>OLT01_104P_FQVRNC</t>
        </is>
      </c>
      <c r="G108" s="948" t="inlineStr">
        <is>
          <t>SPARE</t>
        </is>
      </c>
      <c r="H108" s="948" t="inlineStr">
        <is>
          <t>OLT01_104P_FQVRNC, 2 (OLT01_104P_FQVRNC-2)</t>
        </is>
      </c>
      <c r="I108" s="948" t="inlineStr">
        <is>
          <t>OLT01_104P_FQVRNC, 3 (OLT01_104P_FQVRNC-3)</t>
        </is>
      </c>
      <c r="J108" s="948" t="inlineStr">
        <is>
          <t>OLT01_104P_FQVRNC, 4 (OLT01_104P_FQVRNC-4)</t>
        </is>
      </c>
      <c r="K108" s="948" t="inlineStr">
        <is>
          <t>OLT01_104P_FQVRNC, 5 (OLT01_104P_FQVRNC-5)</t>
        </is>
      </c>
      <c r="L108" s="948" t="inlineStr">
        <is>
          <t>OLT01_104P_FQVRNC, 6 (OLT01_104P_FQVRNC-6)</t>
        </is>
      </c>
      <c r="M108" s="948" t="inlineStr">
        <is>
          <t>OLT01_104P_FQVRNC, 7 (OLT01_104P_FQVRNC-7)</t>
        </is>
      </c>
      <c r="N108" s="948" t="inlineStr">
        <is>
          <t>OLT01_104P_FQVRNC, 8 (OLT01_104P_FQVRNC-8)</t>
        </is>
      </c>
    </row>
    <row r="109">
      <c r="A109" s="846" t="n">
        <v>105</v>
      </c>
      <c r="B109" s="856" t="n"/>
      <c r="C109" s="856" t="n"/>
      <c r="D109" s="932" t="n">
        <v>105</v>
      </c>
      <c r="E109" s="948" t="inlineStr">
        <is>
          <t>F 7800 ST ANNES WAY</t>
        </is>
      </c>
      <c r="F109" s="948" t="inlineStr">
        <is>
          <t>OLT01_105P_FQVRNC</t>
        </is>
      </c>
      <c r="G109" s="948" t="inlineStr">
        <is>
          <t>SPARE</t>
        </is>
      </c>
      <c r="H109" s="948" t="inlineStr">
        <is>
          <t>SPARE</t>
        </is>
      </c>
      <c r="I109" s="948" t="inlineStr">
        <is>
          <t>OLT01_105P_FQVRNC, 3 (OLT01_105P_FQVRNC-3)</t>
        </is>
      </c>
      <c r="J109" s="948" t="inlineStr">
        <is>
          <t>OLT01_105P_FQVRNC, 4 (OLT01_105P_FQVRNC-4)</t>
        </is>
      </c>
      <c r="K109" s="948" t="inlineStr">
        <is>
          <t>OLT01_105P_FQVRNC, 5 (OLT01_105P_FQVRNC-5)</t>
        </is>
      </c>
      <c r="L109" s="948" t="inlineStr">
        <is>
          <t>OLT01_105P_FQVRNC, 6 (OLT01_105P_FQVRNC-6)</t>
        </is>
      </c>
      <c r="M109" s="948" t="inlineStr">
        <is>
          <t>OLT01_105P_FQVRNC, 7 (OLT01_105P_FQVRNC-7)</t>
        </is>
      </c>
      <c r="N109" s="948" t="inlineStr">
        <is>
          <t>OLT01_105P_FQVRNC, 8 (OLT01_105P_FQVRNC-8)</t>
        </is>
      </c>
    </row>
    <row r="110">
      <c r="A110" s="846" t="n">
        <v>106</v>
      </c>
      <c r="B110" s="856" t="n"/>
      <c r="C110" s="857" t="n"/>
      <c r="D110" s="932" t="n">
        <v>106</v>
      </c>
      <c r="E110" s="948" t="inlineStr">
        <is>
          <t>F 7800 ST ANNES WAY</t>
        </is>
      </c>
      <c r="F110" s="948" t="inlineStr">
        <is>
          <t>OLT01_106P_FQVRNC</t>
        </is>
      </c>
      <c r="G110" s="948" t="inlineStr">
        <is>
          <t>SPARE</t>
        </is>
      </c>
      <c r="H110" s="948" t="inlineStr">
        <is>
          <t>SPARE</t>
        </is>
      </c>
      <c r="I110" s="948" t="inlineStr">
        <is>
          <t>OLT01_106P_FQVRNC, 3 (OLT01_106P_FQVRNC-3)</t>
        </is>
      </c>
      <c r="J110" s="948" t="inlineStr">
        <is>
          <t>OLT01_106P_FQVRNC, 4 (OLT01_106P_FQVRNC-4)</t>
        </is>
      </c>
      <c r="K110" s="948" t="inlineStr">
        <is>
          <t>OLT01_106P_FQVRNC, 5 (OLT01_106P_FQVRNC-5)</t>
        </is>
      </c>
      <c r="L110" s="948" t="inlineStr">
        <is>
          <t>OLT01_106P_FQVRNC, 6 (OLT01_106P_FQVRNC-6)</t>
        </is>
      </c>
      <c r="M110" s="948" t="inlineStr">
        <is>
          <t>OLT01_106P_FQVRNC, 7 (OLT01_106P_FQVRNC-7)</t>
        </is>
      </c>
      <c r="N110" s="948" t="inlineStr">
        <is>
          <t>OLT01_106P_FQVRNC, 8 (OLT01_106P_FQVRNC-8)</t>
        </is>
      </c>
    </row>
    <row r="111">
      <c r="A111" s="846" t="n">
        <v>107</v>
      </c>
      <c r="B111" s="856" t="n"/>
      <c r="C111" s="858" t="n"/>
      <c r="D111" s="932" t="n">
        <v>107</v>
      </c>
      <c r="E111" s="948" t="inlineStr">
        <is>
          <t>F 6620 OLD MILLS RD</t>
        </is>
      </c>
      <c r="F111" s="948" t="inlineStr">
        <is>
          <t>OLT01_107P_FQVRNC</t>
        </is>
      </c>
      <c r="G111" s="948" t="inlineStr">
        <is>
          <t>SPARE</t>
        </is>
      </c>
      <c r="H111" s="948" t="inlineStr">
        <is>
          <t>OLT01_107P_FQVRNC, 2 (OLT01_107P_FQVRNC-2)</t>
        </is>
      </c>
      <c r="I111" s="948" t="inlineStr">
        <is>
          <t>OLT01_107P_FQVRNC, 3 (OLT01_107P_FQVRNC-3)</t>
        </is>
      </c>
      <c r="J111" s="948" t="inlineStr">
        <is>
          <t>OLT01_107P_FQVRNC, 4 (OLT01_107P_FQVRNC-4)</t>
        </is>
      </c>
      <c r="K111" s="948" t="inlineStr">
        <is>
          <t>OLT01_107P_FQVRNC, 5 (OLT01_107P_FQVRNC-5)</t>
        </is>
      </c>
      <c r="L111" s="948" t="inlineStr">
        <is>
          <t>OLT01_107P_FQVRNC, 6 (OLT01_107P_FQVRNC-6)</t>
        </is>
      </c>
      <c r="M111" s="948" t="inlineStr">
        <is>
          <t>OLT01_107P_FQVRNC, 7 (OLT01_107P_FQVRNC-7)</t>
        </is>
      </c>
      <c r="N111" s="948" t="inlineStr">
        <is>
          <t>OLT01_107P_FQVRNC, 8 (OLT01_107P_FQVRNC-8)</t>
        </is>
      </c>
    </row>
    <row r="112">
      <c r="A112" s="846" t="n">
        <v>108</v>
      </c>
      <c r="B112" s="856" t="n"/>
      <c r="C112" s="859" t="n"/>
      <c r="D112" s="932" t="n">
        <v>108</v>
      </c>
      <c r="E112" s="948" t="inlineStr">
        <is>
          <t>F 2329 FAIRWAY VIEW DR</t>
        </is>
      </c>
      <c r="F112" s="948" t="inlineStr">
        <is>
          <t>OLT01_108P_FQVRNC</t>
        </is>
      </c>
      <c r="G112" s="948" t="inlineStr">
        <is>
          <t>SPARE</t>
        </is>
      </c>
      <c r="H112" s="948" t="inlineStr">
        <is>
          <t>SPARE</t>
        </is>
      </c>
      <c r="I112" s="948" t="inlineStr">
        <is>
          <t>SPARE</t>
        </is>
      </c>
      <c r="J112" s="948" t="inlineStr">
        <is>
          <t>SPARE</t>
        </is>
      </c>
      <c r="K112" s="948" t="inlineStr">
        <is>
          <t>SPARE</t>
        </is>
      </c>
      <c r="L112" s="948" t="inlineStr">
        <is>
          <t>SPARE</t>
        </is>
      </c>
      <c r="M112" s="948" t="inlineStr">
        <is>
          <t>SPARE</t>
        </is>
      </c>
      <c r="N112" s="948" t="inlineStr">
        <is>
          <t>OLT01_108P_FQVRNC, 8 (OLT01_108P_FQVRNC-8)</t>
        </is>
      </c>
    </row>
    <row r="113">
      <c r="A113" s="846" t="n">
        <v>109</v>
      </c>
      <c r="B113" s="857" t="n"/>
      <c r="C113" s="847" t="n"/>
      <c r="D113" s="932" t="n">
        <v>109</v>
      </c>
      <c r="E113" s="948" t="inlineStr">
        <is>
          <t>F 2329 FAIRWAY VIEW DR</t>
        </is>
      </c>
      <c r="F113" s="948" t="inlineStr">
        <is>
          <t>OLT01_109P_FQVRNC</t>
        </is>
      </c>
      <c r="G113" s="948" t="inlineStr">
        <is>
          <t>OLT01_109P_FQVRNC, 1 (OLT01_109P_FQVRNC-1)</t>
        </is>
      </c>
      <c r="H113" s="948" t="inlineStr">
        <is>
          <t>OLT01_109P_FQVRNC, 2 (OLT01_109P_FQVRNC-2)</t>
        </is>
      </c>
      <c r="I113" s="948" t="inlineStr">
        <is>
          <t>OLT01_109P_FQVRNC, 3 (OLT01_109P_FQVRNC-3)</t>
        </is>
      </c>
      <c r="J113" s="948" t="inlineStr">
        <is>
          <t>OLT01_109P_FQVRNC, 4 (OLT01_109P_FQVRNC-4)</t>
        </is>
      </c>
      <c r="K113" s="948" t="inlineStr">
        <is>
          <t>OLT01_109P_FQVRNC, 5 (OLT01_109P_FQVRNC-5)</t>
        </is>
      </c>
      <c r="L113" s="948" t="inlineStr">
        <is>
          <t>OLT01_109P_FQVRNC, 6 (OLT01_109P_FQVRNC-6)</t>
        </is>
      </c>
      <c r="M113" s="948" t="inlineStr">
        <is>
          <t>OLT01_109P_FQVRNC, 7 (OLT01_109P_FQVRNC-7)</t>
        </is>
      </c>
      <c r="N113" s="948" t="inlineStr">
        <is>
          <t>OLT01_109P_FQVRNC, 8 (OLT01_109P_FQVRNC-8)</t>
        </is>
      </c>
    </row>
    <row r="114">
      <c r="A114" s="846" t="n">
        <v>110</v>
      </c>
      <c r="B114" s="857" t="n"/>
      <c r="C114" s="849" t="n"/>
      <c r="D114" s="932" t="n">
        <v>110</v>
      </c>
      <c r="E114" s="948" t="inlineStr">
        <is>
          <t>F 3501 BENTWOOD BLUFFS LN</t>
        </is>
      </c>
      <c r="F114" s="948" t="inlineStr">
        <is>
          <t>OLT01_110P_FQVRNC</t>
        </is>
      </c>
      <c r="G114" s="948" t="inlineStr">
        <is>
          <t>SPARE</t>
        </is>
      </c>
      <c r="H114" s="948" t="inlineStr">
        <is>
          <t>OLT01_110P_FQVRNC, 2 (OLT01_110P_FQVRNC-2)</t>
        </is>
      </c>
      <c r="I114" s="948" t="inlineStr">
        <is>
          <t>OLT01_110P_FQVRNC, 3 (OLT01_110P_FQVRNC-3)</t>
        </is>
      </c>
      <c r="J114" s="948" t="inlineStr">
        <is>
          <t>OLT01_110P_FQVRNC, 4 (OLT01_110P_FQVRNC-4)</t>
        </is>
      </c>
      <c r="K114" s="948" t="inlineStr">
        <is>
          <t>OLT01_110P_FQVRNC, 5 (OLT01_110P_FQVRNC-5)</t>
        </is>
      </c>
      <c r="L114" s="948" t="inlineStr">
        <is>
          <t>OLT01_110P_FQVRNC, 6 (OLT01_110P_FQVRNC-6)</t>
        </is>
      </c>
      <c r="M114" s="948" t="inlineStr">
        <is>
          <t>OLT01_110P_FQVRNC, 7 (OLT01_110P_FQVRNC-7)</t>
        </is>
      </c>
      <c r="N114" s="948" t="inlineStr">
        <is>
          <t>OLT01_110P_FQVRNC, 8 (OLT01_110P_FQVRNC-8)</t>
        </is>
      </c>
    </row>
    <row r="115">
      <c r="A115" s="846" t="n">
        <v>111</v>
      </c>
      <c r="B115" s="857" t="n"/>
      <c r="C115" s="850" t="n"/>
      <c r="D115" s="932" t="n">
        <v>111</v>
      </c>
      <c r="E115" s="948" t="inlineStr">
        <is>
          <t>F 3425 FAIRWAY VIEW</t>
        </is>
      </c>
      <c r="F115" s="948" t="inlineStr">
        <is>
          <t>OLT01_111P_FQVRNC</t>
        </is>
      </c>
      <c r="G115" s="948" t="inlineStr">
        <is>
          <t>SPARE</t>
        </is>
      </c>
      <c r="H115" s="948" t="inlineStr">
        <is>
          <t>SPARE</t>
        </is>
      </c>
      <c r="I115" s="948" t="inlineStr">
        <is>
          <t>SPARE</t>
        </is>
      </c>
      <c r="J115" s="948" t="inlineStr">
        <is>
          <t>SPARE</t>
        </is>
      </c>
      <c r="K115" s="948" t="inlineStr">
        <is>
          <t>OLT01_111P_FQVRNC, 5 (OLT01_111P_FQVRNC-5)</t>
        </is>
      </c>
      <c r="L115" s="948" t="inlineStr">
        <is>
          <t>OLT01_111P_FQVRNC, 6 (OLT01_111P_FQVRNC-6)</t>
        </is>
      </c>
      <c r="M115" s="948" t="inlineStr">
        <is>
          <t>OLT01_111P_FQVRNC, 7 (OLT01_111P_FQVRNC-7)</t>
        </is>
      </c>
      <c r="N115" s="948" t="inlineStr">
        <is>
          <t>OLT01_111P_FQVRNC, 8 (OLT01_111P_FQVRNC-8)</t>
        </is>
      </c>
    </row>
    <row r="116">
      <c r="A116" s="846" t="n">
        <v>112</v>
      </c>
      <c r="B116" s="857" t="n"/>
      <c r="C116" s="851" t="n"/>
      <c r="D116" s="932" t="n">
        <v>112</v>
      </c>
      <c r="E116" s="948" t="inlineStr">
        <is>
          <t>F 3425 FAIRWAY VIEW</t>
        </is>
      </c>
      <c r="F116" s="948" t="inlineStr">
        <is>
          <t>OLT01_112P_FQVRNC</t>
        </is>
      </c>
      <c r="G116" s="948" t="inlineStr">
        <is>
          <t>SPARE</t>
        </is>
      </c>
      <c r="H116" s="948" t="inlineStr">
        <is>
          <t>OLT01_112P_FQVRNC, 2 (OLT01_112P_FQVRNC-2)</t>
        </is>
      </c>
      <c r="I116" s="948" t="inlineStr">
        <is>
          <t>OLT01_112P_FQVRNC, 3 (OLT01_112P_FQVRNC-3)</t>
        </is>
      </c>
      <c r="J116" s="948" t="inlineStr">
        <is>
          <t>OLT01_112P_FQVRNC, 4 (OLT01_112P_FQVRNC-4)</t>
        </is>
      </c>
      <c r="K116" s="948" t="inlineStr">
        <is>
          <t>OLT01_112P_FQVRNC, 5 (OLT01_112P_FQVRNC-5)</t>
        </is>
      </c>
      <c r="L116" s="948" t="inlineStr">
        <is>
          <t>OLT01_112P_FQVRNC, 6 (OLT01_112P_FQVRNC-6)</t>
        </is>
      </c>
      <c r="M116" s="948" t="inlineStr">
        <is>
          <t>OLT01_112P_FQVRNC, 7 (OLT01_112P_FQVRNC-7)</t>
        </is>
      </c>
      <c r="N116" s="948" t="inlineStr">
        <is>
          <t>OLT01_112P_FQVRNC, 8 (OLT01_112P_FQVRNC-8)</t>
        </is>
      </c>
    </row>
    <row r="117">
      <c r="A117" s="846" t="n">
        <v>113</v>
      </c>
      <c r="B117" s="857" t="n"/>
      <c r="C117" s="852" t="n"/>
      <c r="D117" s="932" t="n">
        <v>113</v>
      </c>
      <c r="E117" s="948" t="inlineStr">
        <is>
          <t>F 6908 OLD MILLS RD</t>
        </is>
      </c>
      <c r="F117" s="948" t="inlineStr">
        <is>
          <t>OLT01_113P_FQVRNC</t>
        </is>
      </c>
      <c r="G117" s="948" t="inlineStr">
        <is>
          <t>SPARE</t>
        </is>
      </c>
      <c r="H117" s="948" t="inlineStr">
        <is>
          <t>SPARE</t>
        </is>
      </c>
      <c r="I117" s="948" t="inlineStr">
        <is>
          <t>SPARE</t>
        </is>
      </c>
      <c r="J117" s="948" t="inlineStr">
        <is>
          <t>SPARE</t>
        </is>
      </c>
      <c r="K117" s="948" t="inlineStr">
        <is>
          <t>SPARE</t>
        </is>
      </c>
      <c r="L117" s="948" t="inlineStr">
        <is>
          <t>OLT01_113P_FQVRNC, 6 (OLT01_113P_FQVRNC-6)</t>
        </is>
      </c>
      <c r="M117" s="948" t="inlineStr">
        <is>
          <t>OLT01_113P_FQVRNC, 7 (OLT01_113P_FQVRNC-7)</t>
        </is>
      </c>
      <c r="N117" s="948" t="inlineStr">
        <is>
          <t>OLT01_113P_FQVRNC, 8 (OLT01_113P_FQVRNC-8)</t>
        </is>
      </c>
    </row>
    <row r="118">
      <c r="A118" s="846" t="n">
        <v>114</v>
      </c>
      <c r="B118" s="857" t="n"/>
      <c r="C118" s="853" t="n"/>
      <c r="D118" s="932" t="n">
        <v>114</v>
      </c>
      <c r="E118" s="948" t="inlineStr">
        <is>
          <t>F 6908 OLD MILLS RD</t>
        </is>
      </c>
      <c r="F118" s="948" t="inlineStr">
        <is>
          <t>OLT01_114P_FQVRNC</t>
        </is>
      </c>
      <c r="G118" s="948" t="inlineStr">
        <is>
          <t>SPARE</t>
        </is>
      </c>
      <c r="H118" s="948" t="inlineStr">
        <is>
          <t>OLT01_114P_FQVRNC, 2 (OLT01_114P_FQVRNC-2)</t>
        </is>
      </c>
      <c r="I118" s="948" t="inlineStr">
        <is>
          <t>OLT01_114P_FQVRNC, 3 (OLT01_114P_FQVRNC-3)</t>
        </is>
      </c>
      <c r="J118" s="948" t="inlineStr">
        <is>
          <t>OLT01_114P_FQVRNC, 4 (OLT01_114P_FQVRNC-4)</t>
        </is>
      </c>
      <c r="K118" s="948" t="inlineStr">
        <is>
          <t>OLT01_114P_FQVRNC, 5 (OLT01_114P_FQVRNC-5)</t>
        </is>
      </c>
      <c r="L118" s="948" t="inlineStr">
        <is>
          <t>OLT01_114P_FQVRNC, 6 (OLT01_114P_FQVRNC-6)</t>
        </is>
      </c>
      <c r="M118" s="948" t="inlineStr">
        <is>
          <t>OLT01_114P_FQVRNC, 7 (OLT01_114P_FQVRNC-7)</t>
        </is>
      </c>
      <c r="N118" s="948" t="inlineStr">
        <is>
          <t>OLT01_114P_FQVRNC, 8 (OLT01_114P_FQVRNC-8)</t>
        </is>
      </c>
    </row>
    <row r="119">
      <c r="A119" s="846" t="n">
        <v>115</v>
      </c>
      <c r="B119" s="857" t="n"/>
      <c r="C119" s="854" t="n"/>
      <c r="D119" s="932" t="n"/>
      <c r="E119" s="948" t="n"/>
      <c r="F119" s="948" t="n"/>
      <c r="G119" s="948" t="n"/>
      <c r="H119" s="948" t="n"/>
      <c r="I119" s="948" t="n"/>
      <c r="J119" s="948" t="n"/>
      <c r="K119" s="948" t="n"/>
      <c r="L119" s="948" t="n"/>
      <c r="M119" s="948" t="n"/>
      <c r="N119" s="948" t="n"/>
    </row>
    <row r="120">
      <c r="A120" s="846" t="n">
        <v>116</v>
      </c>
      <c r="B120" s="857" t="n"/>
      <c r="C120" s="855" t="n"/>
      <c r="D120" s="932" t="n"/>
      <c r="E120" s="948" t="n"/>
      <c r="F120" s="948" t="n"/>
      <c r="G120" s="948" t="n"/>
      <c r="H120" s="948" t="n"/>
      <c r="I120" s="948" t="n"/>
      <c r="J120" s="948" t="n"/>
      <c r="K120" s="948" t="n"/>
      <c r="L120" s="948" t="n"/>
      <c r="M120" s="948" t="n"/>
      <c r="N120" s="948" t="n"/>
    </row>
    <row r="121">
      <c r="A121" s="846" t="n">
        <v>117</v>
      </c>
      <c r="B121" s="857" t="n"/>
      <c r="C121" s="856" t="n"/>
      <c r="D121" s="932" t="n"/>
      <c r="E121" s="948" t="n"/>
      <c r="F121" s="948" t="n"/>
      <c r="G121" s="948" t="n"/>
      <c r="H121" s="948" t="n"/>
      <c r="I121" s="948" t="n"/>
      <c r="J121" s="948" t="n"/>
      <c r="K121" s="948" t="n"/>
      <c r="L121" s="948" t="n"/>
      <c r="M121" s="948" t="n"/>
      <c r="N121" s="948" t="n"/>
    </row>
    <row r="122">
      <c r="A122" s="846" t="n">
        <v>118</v>
      </c>
      <c r="B122" s="857" t="n"/>
      <c r="C122" s="857" t="n"/>
      <c r="D122" s="932" t="n"/>
      <c r="E122" s="948" t="n"/>
      <c r="F122" s="948" t="n"/>
      <c r="G122" s="948" t="n"/>
      <c r="H122" s="948" t="n"/>
      <c r="I122" s="948" t="n"/>
      <c r="J122" s="948" t="n"/>
      <c r="K122" s="948" t="n"/>
      <c r="L122" s="948" t="n"/>
      <c r="M122" s="948" t="n"/>
      <c r="N122" s="948" t="n"/>
    </row>
    <row r="123">
      <c r="A123" s="846" t="n">
        <v>119</v>
      </c>
      <c r="B123" s="857" t="n"/>
      <c r="C123" s="858" t="n"/>
      <c r="D123" s="932" t="n"/>
      <c r="E123" s="948" t="n"/>
      <c r="F123" s="948" t="n"/>
      <c r="G123" s="948" t="n"/>
      <c r="H123" s="948" t="n"/>
      <c r="I123" s="948" t="n"/>
      <c r="J123" s="948" t="n"/>
      <c r="K123" s="948" t="n"/>
      <c r="L123" s="948" t="n"/>
      <c r="M123" s="948" t="n"/>
      <c r="N123" s="948" t="n"/>
    </row>
    <row r="124">
      <c r="A124" s="846" t="n">
        <v>120</v>
      </c>
      <c r="B124" s="857" t="n"/>
      <c r="C124" s="859" t="n"/>
      <c r="D124" s="932" t="n"/>
      <c r="E124" s="948" t="n"/>
      <c r="F124" s="948" t="n"/>
      <c r="G124" s="948" t="n"/>
      <c r="H124" s="948" t="n"/>
      <c r="I124" s="948" t="n"/>
      <c r="J124" s="948" t="n"/>
      <c r="K124" s="948" t="n"/>
      <c r="L124" s="948" t="n"/>
      <c r="M124" s="948" t="n"/>
      <c r="N124" s="948" t="n"/>
    </row>
    <row r="125">
      <c r="A125" s="846" t="n">
        <v>121</v>
      </c>
      <c r="B125" s="858" t="n"/>
      <c r="C125" s="847" t="n"/>
      <c r="D125" s="932" t="n"/>
      <c r="E125" s="948" t="n"/>
      <c r="F125" s="948" t="n"/>
      <c r="G125" s="948" t="n"/>
      <c r="H125" s="948" t="n"/>
      <c r="I125" s="948" t="n"/>
      <c r="J125" s="948" t="n"/>
      <c r="K125" s="948" t="n"/>
      <c r="L125" s="948" t="n"/>
      <c r="M125" s="948" t="n"/>
      <c r="N125" s="948" t="n"/>
    </row>
    <row r="126">
      <c r="A126" s="846" t="n">
        <v>122</v>
      </c>
      <c r="B126" s="858" t="n"/>
      <c r="C126" s="849" t="n"/>
      <c r="D126" s="932" t="n"/>
      <c r="E126" s="948" t="n"/>
      <c r="F126" s="948" t="n"/>
      <c r="G126" s="948" t="n"/>
      <c r="H126" s="948" t="n"/>
      <c r="I126" s="948" t="n"/>
      <c r="J126" s="948" t="n"/>
      <c r="K126" s="948" t="n"/>
      <c r="L126" s="948" t="n"/>
      <c r="M126" s="948" t="n"/>
      <c r="N126" s="948" t="n"/>
    </row>
    <row r="127">
      <c r="A127" s="846" t="n">
        <v>123</v>
      </c>
      <c r="B127" s="858" t="n"/>
      <c r="C127" s="850" t="n"/>
      <c r="D127" s="932" t="n"/>
      <c r="E127" s="948" t="n"/>
      <c r="F127" s="948" t="n"/>
      <c r="G127" s="948" t="n"/>
      <c r="H127" s="948" t="n"/>
      <c r="I127" s="948" t="n"/>
      <c r="J127" s="948" t="n"/>
      <c r="K127" s="948" t="n"/>
      <c r="L127" s="948" t="n"/>
      <c r="M127" s="948" t="n"/>
      <c r="N127" s="948" t="n"/>
    </row>
    <row r="128">
      <c r="A128" s="846" t="n">
        <v>124</v>
      </c>
      <c r="B128" s="858" t="n"/>
      <c r="C128" s="851" t="n"/>
      <c r="D128" s="932" t="n"/>
      <c r="E128" s="948" t="n"/>
      <c r="F128" s="948" t="n"/>
      <c r="G128" s="948" t="n"/>
      <c r="H128" s="948" t="n"/>
      <c r="I128" s="948" t="n"/>
      <c r="J128" s="948" t="n"/>
      <c r="K128" s="948" t="n"/>
      <c r="L128" s="948" t="n"/>
      <c r="M128" s="948" t="n"/>
      <c r="N128" s="948" t="n"/>
    </row>
    <row r="129">
      <c r="A129" s="846" t="n">
        <v>125</v>
      </c>
      <c r="B129" s="858" t="n"/>
      <c r="C129" s="852" t="n"/>
      <c r="D129" s="932" t="n"/>
      <c r="E129" s="948" t="n"/>
      <c r="F129" s="948" t="n"/>
      <c r="G129" s="948" t="n"/>
      <c r="H129" s="948" t="n"/>
      <c r="I129" s="948" t="n"/>
      <c r="J129" s="948" t="n"/>
      <c r="K129" s="948" t="n"/>
      <c r="L129" s="948" t="n"/>
      <c r="M129" s="948" t="n"/>
      <c r="N129" s="948" t="n"/>
    </row>
    <row r="130">
      <c r="A130" s="846" t="n">
        <v>126</v>
      </c>
      <c r="B130" s="858" t="n"/>
      <c r="C130" s="853" t="n"/>
      <c r="D130" s="932" t="n"/>
      <c r="E130" s="948" t="n"/>
      <c r="F130" s="948" t="n"/>
      <c r="G130" s="948" t="n"/>
      <c r="H130" s="948" t="n"/>
      <c r="I130" s="948" t="n"/>
      <c r="J130" s="948" t="n"/>
      <c r="K130" s="948" t="n"/>
      <c r="L130" s="948" t="n"/>
      <c r="M130" s="948" t="n"/>
      <c r="N130" s="948" t="n"/>
    </row>
    <row r="131">
      <c r="A131" s="846" t="n">
        <v>127</v>
      </c>
      <c r="B131" s="858" t="n"/>
      <c r="C131" s="854" t="n"/>
      <c r="D131" s="932" t="n"/>
      <c r="E131" s="948" t="n"/>
      <c r="F131" s="948" t="n"/>
      <c r="G131" s="948" t="n"/>
      <c r="H131" s="948" t="n"/>
      <c r="I131" s="948" t="n"/>
      <c r="J131" s="948" t="n"/>
      <c r="K131" s="948" t="n"/>
      <c r="L131" s="948" t="n"/>
      <c r="M131" s="948" t="n"/>
      <c r="N131" s="948" t="n"/>
    </row>
    <row r="132">
      <c r="A132" s="846" t="n">
        <v>128</v>
      </c>
      <c r="B132" s="858" t="n"/>
      <c r="C132" s="855" t="n"/>
      <c r="D132" s="932" t="n"/>
      <c r="E132" s="948" t="n"/>
      <c r="F132" s="948" t="n"/>
      <c r="G132" s="948" t="n"/>
      <c r="H132" s="948" t="n"/>
      <c r="I132" s="948" t="n"/>
      <c r="J132" s="948" t="n"/>
      <c r="K132" s="948" t="n"/>
      <c r="L132" s="948" t="n"/>
      <c r="M132" s="948" t="n"/>
      <c r="N132" s="948" t="n"/>
    </row>
    <row r="133">
      <c r="A133" s="846" t="n">
        <v>129</v>
      </c>
      <c r="B133" s="858" t="n"/>
      <c r="C133" s="856" t="n"/>
      <c r="D133" s="932" t="n"/>
      <c r="E133" s="948" t="n"/>
      <c r="F133" s="948" t="n"/>
      <c r="G133" s="948" t="n"/>
      <c r="H133" s="948" t="n"/>
      <c r="I133" s="948" t="n"/>
      <c r="J133" s="948" t="n"/>
      <c r="K133" s="948" t="n"/>
      <c r="L133" s="948" t="n"/>
      <c r="M133" s="948" t="n"/>
      <c r="N133" s="948" t="n"/>
    </row>
    <row r="134">
      <c r="A134" s="846" t="n">
        <v>130</v>
      </c>
      <c r="B134" s="858" t="n"/>
      <c r="C134" s="857" t="n"/>
      <c r="D134" s="932" t="n"/>
      <c r="E134" s="948" t="n"/>
      <c r="F134" s="948" t="n"/>
      <c r="G134" s="948" t="n"/>
      <c r="H134" s="948" t="n"/>
      <c r="I134" s="948" t="n"/>
      <c r="J134" s="948" t="n"/>
      <c r="K134" s="948" t="n"/>
      <c r="L134" s="948" t="n"/>
      <c r="M134" s="948" t="n"/>
      <c r="N134" s="948" t="n"/>
    </row>
    <row r="135">
      <c r="A135" s="846" t="n">
        <v>131</v>
      </c>
      <c r="B135" s="858" t="n"/>
      <c r="C135" s="858" t="n"/>
      <c r="D135" s="932" t="n"/>
      <c r="E135" s="948" t="n"/>
      <c r="F135" s="948" t="n"/>
      <c r="G135" s="948" t="n"/>
      <c r="H135" s="948" t="n"/>
      <c r="I135" s="948" t="n"/>
      <c r="J135" s="948" t="n"/>
      <c r="K135" s="948" t="n"/>
      <c r="L135" s="948" t="n"/>
      <c r="M135" s="948" t="n"/>
      <c r="N135" s="948" t="n"/>
    </row>
    <row r="136">
      <c r="A136" s="846" t="n">
        <v>132</v>
      </c>
      <c r="B136" s="858" t="n"/>
      <c r="C136" s="859" t="n"/>
      <c r="D136" s="932" t="n"/>
      <c r="E136" s="948" t="n"/>
      <c r="F136" s="948" t="n"/>
      <c r="G136" s="948" t="n"/>
      <c r="H136" s="948" t="n"/>
      <c r="I136" s="948" t="n"/>
      <c r="J136" s="948" t="n"/>
      <c r="K136" s="948" t="n"/>
      <c r="L136" s="948" t="n"/>
      <c r="M136" s="948" t="n"/>
      <c r="N136" s="948" t="n"/>
    </row>
    <row r="137">
      <c r="A137" s="846" t="n">
        <v>133</v>
      </c>
      <c r="B137" s="859" t="n"/>
      <c r="C137" s="847" t="n"/>
      <c r="D137" s="932" t="n"/>
      <c r="E137" s="948" t="n"/>
      <c r="F137" s="948" t="n"/>
      <c r="G137" s="948" t="n"/>
      <c r="H137" s="948" t="n"/>
      <c r="I137" s="948" t="n"/>
      <c r="J137" s="948" t="n"/>
      <c r="K137" s="948" t="n"/>
      <c r="L137" s="948" t="n"/>
      <c r="M137" s="948" t="n"/>
      <c r="N137" s="948" t="n"/>
    </row>
    <row r="138">
      <c r="A138" s="846" t="n">
        <v>134</v>
      </c>
      <c r="B138" s="859" t="n"/>
      <c r="C138" s="849" t="n"/>
      <c r="D138" s="932" t="n"/>
      <c r="E138" s="948" t="n"/>
      <c r="F138" s="948" t="n"/>
      <c r="G138" s="948" t="n"/>
      <c r="H138" s="948" t="n"/>
      <c r="I138" s="948" t="n"/>
      <c r="J138" s="948" t="n"/>
      <c r="K138" s="948" t="n"/>
      <c r="L138" s="948" t="n"/>
      <c r="M138" s="948" t="n"/>
      <c r="N138" s="948" t="n"/>
    </row>
    <row r="139">
      <c r="A139" s="846" t="n">
        <v>135</v>
      </c>
      <c r="B139" s="859" t="n"/>
      <c r="C139" s="850" t="n"/>
      <c r="D139" s="932" t="n"/>
      <c r="E139" s="948" t="n"/>
      <c r="F139" s="948" t="n"/>
      <c r="G139" s="948" t="n"/>
      <c r="H139" s="948" t="n"/>
      <c r="I139" s="948" t="n"/>
      <c r="J139" s="948" t="n"/>
      <c r="K139" s="948" t="n"/>
      <c r="L139" s="948" t="n"/>
      <c r="M139" s="948" t="n"/>
      <c r="N139" s="948" t="n"/>
    </row>
    <row r="140">
      <c r="A140" s="846" t="n">
        <v>136</v>
      </c>
      <c r="B140" s="859" t="n"/>
      <c r="C140" s="851" t="n"/>
      <c r="D140" s="932" t="n"/>
      <c r="E140" s="948" t="n"/>
      <c r="F140" s="948" t="n"/>
      <c r="G140" s="948" t="n"/>
      <c r="H140" s="948" t="n"/>
      <c r="I140" s="948" t="n"/>
      <c r="J140" s="948" t="n"/>
      <c r="K140" s="948" t="n"/>
      <c r="L140" s="948" t="n"/>
      <c r="M140" s="948" t="n"/>
      <c r="N140" s="948" t="n"/>
    </row>
    <row r="141">
      <c r="A141" s="846" t="n">
        <v>137</v>
      </c>
      <c r="B141" s="859" t="n"/>
      <c r="C141" s="852" t="n"/>
      <c r="D141" s="932" t="n"/>
      <c r="E141" s="948" t="n"/>
      <c r="F141" s="948" t="n"/>
      <c r="G141" s="948" t="n"/>
      <c r="H141" s="948" t="n"/>
      <c r="I141" s="948" t="n"/>
      <c r="J141" s="948" t="n"/>
      <c r="K141" s="948" t="n"/>
      <c r="L141" s="948" t="n"/>
      <c r="M141" s="948" t="n"/>
      <c r="N141" s="948" t="n"/>
    </row>
    <row r="142">
      <c r="A142" s="846" t="n">
        <v>138</v>
      </c>
      <c r="B142" s="859" t="n"/>
      <c r="C142" s="853" t="n"/>
      <c r="D142" s="932" t="n"/>
      <c r="E142" s="948" t="n"/>
      <c r="F142" s="948" t="n"/>
      <c r="G142" s="948" t="n"/>
      <c r="H142" s="948" t="n"/>
      <c r="I142" s="948" t="n"/>
      <c r="J142" s="948" t="n"/>
      <c r="K142" s="948" t="n"/>
      <c r="L142" s="948" t="n"/>
      <c r="M142" s="948" t="n"/>
      <c r="N142" s="948" t="n"/>
    </row>
    <row r="143">
      <c r="A143" s="846" t="n">
        <v>139</v>
      </c>
      <c r="B143" s="859" t="n"/>
      <c r="C143" s="854" t="n"/>
      <c r="D143" s="932" t="n"/>
      <c r="E143" s="948" t="n"/>
      <c r="F143" s="948" t="n"/>
      <c r="G143" s="948" t="n"/>
      <c r="H143" s="948" t="n"/>
      <c r="I143" s="948" t="n"/>
      <c r="J143" s="948" t="n"/>
      <c r="K143" s="948" t="n"/>
      <c r="L143" s="948" t="n"/>
      <c r="M143" s="948" t="n"/>
      <c r="N143" s="948" t="n"/>
    </row>
    <row r="144">
      <c r="A144" s="846" t="n">
        <v>140</v>
      </c>
      <c r="B144" s="859" t="n"/>
      <c r="C144" s="855" t="n"/>
      <c r="D144" s="932" t="n"/>
      <c r="E144" s="948" t="n"/>
      <c r="F144" s="948" t="n"/>
      <c r="G144" s="948" t="n"/>
      <c r="H144" s="948" t="n"/>
      <c r="I144" s="948" t="n"/>
      <c r="J144" s="948" t="n"/>
      <c r="K144" s="948" t="n"/>
      <c r="L144" s="948" t="n"/>
      <c r="M144" s="948" t="n"/>
      <c r="N144" s="948" t="n"/>
    </row>
    <row r="145">
      <c r="A145" s="846" t="n">
        <v>141</v>
      </c>
      <c r="B145" s="859" t="n"/>
      <c r="C145" s="856" t="n"/>
      <c r="D145" s="932" t="n"/>
      <c r="E145" s="948" t="n"/>
      <c r="F145" s="948" t="n"/>
      <c r="G145" s="948" t="n"/>
      <c r="H145" s="948" t="n"/>
      <c r="I145" s="948" t="n"/>
      <c r="J145" s="948" t="n"/>
      <c r="K145" s="948" t="n"/>
      <c r="L145" s="948" t="n"/>
      <c r="M145" s="948" t="n"/>
      <c r="N145" s="948" t="n"/>
    </row>
    <row r="146">
      <c r="A146" s="846" t="n">
        <v>142</v>
      </c>
      <c r="B146" s="859" t="n"/>
      <c r="C146" s="857" t="n"/>
      <c r="D146" s="932" t="n"/>
      <c r="E146" s="948" t="n"/>
      <c r="F146" s="948" t="n"/>
      <c r="G146" s="948" t="n"/>
      <c r="H146" s="948" t="n"/>
      <c r="I146" s="948" t="n"/>
      <c r="J146" s="948" t="n"/>
      <c r="K146" s="948" t="n"/>
      <c r="L146" s="948" t="n"/>
      <c r="M146" s="948" t="n"/>
      <c r="N146" s="948" t="n"/>
    </row>
    <row r="147">
      <c r="A147" s="846" t="n">
        <v>143</v>
      </c>
      <c r="B147" s="859" t="n"/>
      <c r="C147" s="858" t="n"/>
      <c r="D147" s="932" t="n"/>
      <c r="E147" s="948" t="n"/>
      <c r="F147" s="948" t="n"/>
      <c r="G147" s="948" t="n"/>
      <c r="H147" s="948" t="n"/>
      <c r="I147" s="948" t="n"/>
      <c r="J147" s="948" t="n"/>
      <c r="K147" s="948" t="n"/>
      <c r="L147" s="948" t="n"/>
      <c r="M147" s="948" t="n"/>
      <c r="N147" s="948" t="n"/>
    </row>
    <row r="148">
      <c r="A148" s="846" t="n">
        <v>144</v>
      </c>
      <c r="B148" s="859" t="n"/>
      <c r="C148" s="859" t="n"/>
      <c r="D148" s="932" t="n"/>
      <c r="E148" s="948" t="n"/>
      <c r="F148" s="948" t="n"/>
      <c r="G148" s="948" t="n"/>
      <c r="H148" s="948" t="n"/>
      <c r="I148" s="948" t="n"/>
      <c r="J148" s="948" t="n"/>
      <c r="K148" s="948" t="n"/>
      <c r="L148" s="948" t="n"/>
      <c r="M148" s="948" t="n"/>
      <c r="N148" s="948" t="n"/>
    </row>
    <row r="149">
      <c r="A149" s="846" t="n">
        <v>145</v>
      </c>
      <c r="B149" s="847" t="n"/>
      <c r="C149" s="847" t="n"/>
      <c r="D149" s="932" t="n"/>
      <c r="E149" s="948" t="n"/>
      <c r="F149" s="948" t="n"/>
      <c r="G149" s="948" t="n"/>
      <c r="H149" s="948" t="n"/>
      <c r="I149" s="948" t="n"/>
      <c r="J149" s="948" t="n"/>
      <c r="K149" s="948" t="n"/>
      <c r="L149" s="948" t="n"/>
      <c r="M149" s="948" t="n"/>
      <c r="N149" s="948" t="n"/>
    </row>
    <row r="150">
      <c r="A150" s="846" t="n">
        <v>146</v>
      </c>
      <c r="B150" s="847" t="n"/>
      <c r="C150" s="849" t="n"/>
      <c r="D150" s="932" t="n"/>
      <c r="E150" s="948" t="n"/>
      <c r="F150" s="948" t="n"/>
      <c r="G150" s="948" t="n"/>
      <c r="H150" s="948" t="n"/>
      <c r="I150" s="948" t="n"/>
      <c r="J150" s="948" t="n"/>
      <c r="K150" s="948" t="n"/>
      <c r="L150" s="948" t="n"/>
      <c r="M150" s="948" t="n"/>
      <c r="N150" s="948" t="n"/>
    </row>
    <row r="151">
      <c r="A151" s="846" t="n">
        <v>147</v>
      </c>
      <c r="B151" s="847" t="n"/>
      <c r="C151" s="850" t="n"/>
      <c r="D151" s="932" t="n"/>
      <c r="E151" s="948" t="n"/>
      <c r="F151" s="948" t="n"/>
      <c r="G151" s="948" t="n"/>
      <c r="H151" s="948" t="n"/>
      <c r="I151" s="948" t="n"/>
      <c r="J151" s="948" t="n"/>
      <c r="K151" s="948" t="n"/>
      <c r="L151" s="948" t="n"/>
      <c r="M151" s="948" t="n"/>
      <c r="N151" s="948" t="n"/>
    </row>
    <row r="152">
      <c r="A152" s="846" t="n">
        <v>148</v>
      </c>
      <c r="B152" s="847" t="n"/>
      <c r="C152" s="851" t="n"/>
      <c r="D152" s="932" t="n"/>
      <c r="E152" s="948" t="n"/>
      <c r="F152" s="948" t="n"/>
      <c r="G152" s="948" t="n"/>
      <c r="H152" s="948" t="n"/>
      <c r="I152" s="948" t="n"/>
      <c r="J152" s="948" t="n"/>
      <c r="K152" s="948" t="n"/>
      <c r="L152" s="948" t="n"/>
      <c r="M152" s="948" t="n"/>
      <c r="N152" s="948" t="n"/>
    </row>
    <row r="153">
      <c r="A153" s="846" t="n">
        <v>149</v>
      </c>
      <c r="B153" s="847" t="n"/>
      <c r="C153" s="852" t="n"/>
      <c r="D153" s="932" t="n"/>
      <c r="E153" s="948" t="n"/>
      <c r="F153" s="948" t="n"/>
      <c r="G153" s="948" t="n"/>
      <c r="H153" s="948" t="n"/>
      <c r="I153" s="948" t="n"/>
      <c r="J153" s="948" t="n"/>
      <c r="K153" s="948" t="n"/>
      <c r="L153" s="948" t="n"/>
      <c r="M153" s="948" t="n"/>
      <c r="N153" s="948" t="n"/>
    </row>
    <row r="154">
      <c r="A154" s="846" t="n">
        <v>150</v>
      </c>
      <c r="B154" s="847" t="n"/>
      <c r="C154" s="853" t="n"/>
      <c r="D154" s="932" t="n"/>
      <c r="E154" s="948" t="n"/>
      <c r="F154" s="948" t="n"/>
      <c r="G154" s="948" t="n"/>
      <c r="H154" s="948" t="n"/>
      <c r="I154" s="948" t="n"/>
      <c r="J154" s="948" t="n"/>
      <c r="K154" s="948" t="n"/>
      <c r="L154" s="948" t="n"/>
      <c r="M154" s="948" t="n"/>
      <c r="N154" s="948" t="n"/>
    </row>
    <row r="155">
      <c r="A155" s="846" t="n">
        <v>151</v>
      </c>
      <c r="B155" s="847" t="n"/>
      <c r="C155" s="854" t="n"/>
      <c r="D155" s="932" t="n"/>
      <c r="E155" s="948" t="n"/>
      <c r="F155" s="948" t="n"/>
      <c r="G155" s="948" t="n"/>
      <c r="H155" s="948" t="n"/>
      <c r="I155" s="948" t="n"/>
      <c r="J155" s="948" t="n"/>
      <c r="K155" s="948" t="n"/>
      <c r="L155" s="948" t="n"/>
      <c r="M155" s="948" t="n"/>
      <c r="N155" s="948" t="n"/>
    </row>
    <row r="156">
      <c r="A156" s="846" t="n">
        <v>152</v>
      </c>
      <c r="B156" s="847" t="n"/>
      <c r="C156" s="855" t="n"/>
      <c r="D156" s="932" t="n"/>
      <c r="E156" s="948" t="n"/>
      <c r="F156" s="948" t="n"/>
      <c r="G156" s="948" t="n"/>
      <c r="H156" s="948" t="n"/>
      <c r="I156" s="948" t="n"/>
      <c r="J156" s="948" t="n"/>
      <c r="K156" s="948" t="n"/>
      <c r="L156" s="948" t="n"/>
      <c r="M156" s="948" t="n"/>
      <c r="N156" s="948" t="n"/>
    </row>
    <row r="157">
      <c r="A157" s="846" t="n">
        <v>153</v>
      </c>
      <c r="B157" s="847" t="n"/>
      <c r="C157" s="856" t="n"/>
      <c r="D157" s="932" t="n"/>
      <c r="E157" s="948" t="n"/>
      <c r="F157" s="948" t="n"/>
      <c r="G157" s="948" t="n"/>
      <c r="H157" s="948" t="n"/>
      <c r="I157" s="948" t="n"/>
      <c r="J157" s="948" t="n"/>
      <c r="K157" s="948" t="n"/>
      <c r="L157" s="948" t="n"/>
      <c r="M157" s="948" t="n"/>
      <c r="N157" s="948" t="n"/>
    </row>
    <row r="158">
      <c r="A158" s="846" t="n">
        <v>154</v>
      </c>
      <c r="B158" s="847" t="n"/>
      <c r="C158" s="857" t="n"/>
      <c r="D158" s="932" t="n"/>
      <c r="E158" s="948" t="n"/>
      <c r="F158" s="948" t="n"/>
      <c r="G158" s="948" t="n"/>
      <c r="H158" s="948" t="n"/>
      <c r="I158" s="948" t="n"/>
      <c r="J158" s="948" t="n"/>
      <c r="K158" s="948" t="n"/>
      <c r="L158" s="948" t="n"/>
      <c r="M158" s="948" t="n"/>
      <c r="N158" s="948" t="n"/>
    </row>
    <row r="159">
      <c r="A159" s="846" t="n">
        <v>155</v>
      </c>
      <c r="B159" s="847" t="n"/>
      <c r="C159" s="858" t="n"/>
      <c r="D159" s="932" t="n"/>
      <c r="E159" s="948" t="n"/>
      <c r="F159" s="948" t="n"/>
      <c r="G159" s="948" t="n"/>
      <c r="H159" s="948" t="n"/>
      <c r="I159" s="948" t="n"/>
      <c r="J159" s="948" t="n"/>
      <c r="K159" s="948" t="n"/>
      <c r="L159" s="948" t="n"/>
      <c r="M159" s="948" t="n"/>
      <c r="N159" s="948" t="n"/>
    </row>
    <row r="160">
      <c r="A160" s="846" t="n">
        <v>156</v>
      </c>
      <c r="B160" s="847" t="n"/>
      <c r="C160" s="859" t="n"/>
      <c r="D160" s="932" t="n"/>
      <c r="E160" s="948" t="n"/>
      <c r="F160" s="948" t="n"/>
      <c r="G160" s="948" t="n"/>
      <c r="H160" s="948" t="n"/>
      <c r="I160" s="948" t="n"/>
      <c r="J160" s="948" t="n"/>
      <c r="K160" s="948" t="n"/>
      <c r="L160" s="948" t="n"/>
      <c r="M160" s="948" t="n"/>
      <c r="N160" s="948" t="n"/>
    </row>
    <row r="161">
      <c r="A161" s="846" t="n">
        <v>157</v>
      </c>
      <c r="B161" s="849" t="n"/>
      <c r="C161" s="847" t="n"/>
      <c r="D161" s="932" t="n"/>
      <c r="E161" s="948" t="n"/>
      <c r="F161" s="948" t="n"/>
      <c r="G161" s="948" t="n"/>
      <c r="H161" s="948" t="n"/>
      <c r="I161" s="948" t="n"/>
      <c r="J161" s="948" t="n"/>
      <c r="K161" s="948" t="n"/>
      <c r="L161" s="948" t="n"/>
      <c r="M161" s="948" t="n"/>
      <c r="N161" s="948" t="n"/>
    </row>
    <row r="162">
      <c r="A162" s="846" t="n">
        <v>158</v>
      </c>
      <c r="B162" s="849" t="n"/>
      <c r="C162" s="849" t="n"/>
      <c r="D162" s="932" t="n"/>
      <c r="E162" s="948" t="n"/>
      <c r="F162" s="948" t="n"/>
      <c r="G162" s="948" t="n"/>
      <c r="H162" s="948" t="n"/>
      <c r="I162" s="948" t="n"/>
      <c r="J162" s="948" t="n"/>
      <c r="K162" s="948" t="n"/>
      <c r="L162" s="948" t="n"/>
      <c r="M162" s="948" t="n"/>
      <c r="N162" s="948" t="n"/>
    </row>
    <row r="163">
      <c r="A163" s="846" t="n">
        <v>159</v>
      </c>
      <c r="B163" s="849" t="n"/>
      <c r="C163" s="850" t="n"/>
      <c r="D163" s="932" t="n"/>
      <c r="E163" s="948" t="n"/>
      <c r="F163" s="948" t="n"/>
      <c r="G163" s="948" t="n"/>
      <c r="H163" s="948" t="n"/>
      <c r="I163" s="948" t="n"/>
      <c r="J163" s="948" t="n"/>
      <c r="K163" s="948" t="n"/>
      <c r="L163" s="948" t="n"/>
      <c r="M163" s="948" t="n"/>
      <c r="N163" s="948" t="n"/>
    </row>
    <row r="164">
      <c r="A164" s="846" t="n">
        <v>160</v>
      </c>
      <c r="B164" s="849" t="n"/>
      <c r="C164" s="851" t="n"/>
      <c r="D164" s="932" t="n"/>
      <c r="E164" s="948" t="n"/>
      <c r="F164" s="948" t="n"/>
      <c r="G164" s="948" t="n"/>
      <c r="H164" s="948" t="n"/>
      <c r="I164" s="948" t="n"/>
      <c r="J164" s="948" t="n"/>
      <c r="K164" s="948" t="n"/>
      <c r="L164" s="948" t="n"/>
      <c r="M164" s="948" t="n"/>
      <c r="N164" s="948" t="n"/>
    </row>
    <row r="165">
      <c r="A165" s="846" t="n">
        <v>161</v>
      </c>
      <c r="B165" s="849" t="n"/>
      <c r="C165" s="852" t="n"/>
      <c r="D165" s="932" t="n"/>
      <c r="E165" s="948" t="n"/>
      <c r="F165" s="948" t="n"/>
      <c r="G165" s="948" t="n"/>
      <c r="H165" s="948" t="n"/>
      <c r="I165" s="948" t="n"/>
      <c r="J165" s="948" t="n"/>
      <c r="K165" s="948" t="n"/>
      <c r="L165" s="948" t="n"/>
      <c r="M165" s="948" t="n"/>
      <c r="N165" s="948" t="n"/>
    </row>
    <row r="166">
      <c r="A166" s="846" t="n">
        <v>162</v>
      </c>
      <c r="B166" s="849" t="n"/>
      <c r="C166" s="853" t="n"/>
      <c r="D166" s="932" t="n"/>
      <c r="E166" s="948" t="n"/>
      <c r="F166" s="948" t="n"/>
      <c r="G166" s="948" t="n"/>
      <c r="H166" s="948" t="n"/>
      <c r="I166" s="948" t="n"/>
      <c r="J166" s="948" t="n"/>
      <c r="K166" s="948" t="n"/>
      <c r="L166" s="948" t="n"/>
      <c r="M166" s="948" t="n"/>
      <c r="N166" s="948" t="n"/>
    </row>
    <row r="167">
      <c r="A167" s="846" t="n">
        <v>163</v>
      </c>
      <c r="B167" s="849" t="n"/>
      <c r="C167" s="854" t="n"/>
      <c r="D167" s="932" t="n"/>
      <c r="E167" s="948" t="n"/>
      <c r="F167" s="948" t="n"/>
      <c r="G167" s="948" t="n"/>
      <c r="H167" s="948" t="n"/>
      <c r="I167" s="948" t="n"/>
      <c r="J167" s="948" t="n"/>
      <c r="K167" s="948" t="n"/>
      <c r="L167" s="948" t="n"/>
      <c r="M167" s="948" t="n"/>
      <c r="N167" s="948" t="n"/>
    </row>
    <row r="168">
      <c r="A168" s="846" t="n">
        <v>164</v>
      </c>
      <c r="B168" s="849" t="n"/>
      <c r="C168" s="855" t="n"/>
      <c r="D168" s="932" t="n"/>
      <c r="E168" s="948" t="n"/>
      <c r="F168" s="948" t="n"/>
      <c r="G168" s="948" t="n"/>
      <c r="H168" s="948" t="n"/>
      <c r="I168" s="948" t="n"/>
      <c r="J168" s="948" t="n"/>
      <c r="K168" s="948" t="n"/>
      <c r="L168" s="948" t="n"/>
      <c r="M168" s="948" t="n"/>
      <c r="N168" s="948" t="n"/>
    </row>
    <row r="169">
      <c r="A169" s="846" t="n">
        <v>165</v>
      </c>
      <c r="B169" s="849" t="n"/>
      <c r="C169" s="856" t="n"/>
      <c r="D169" s="932" t="n"/>
      <c r="E169" s="948" t="n"/>
      <c r="F169" s="948" t="n"/>
      <c r="G169" s="948" t="n"/>
      <c r="H169" s="948" t="n"/>
      <c r="I169" s="948" t="n"/>
      <c r="J169" s="948" t="n"/>
      <c r="K169" s="948" t="n"/>
      <c r="L169" s="948" t="n"/>
      <c r="M169" s="948" t="n"/>
      <c r="N169" s="948" t="n"/>
    </row>
    <row r="170">
      <c r="A170" s="846" t="n">
        <v>166</v>
      </c>
      <c r="B170" s="849" t="n"/>
      <c r="C170" s="857" t="n"/>
      <c r="D170" s="932" t="n"/>
      <c r="E170" s="948" t="n"/>
      <c r="F170" s="948" t="n"/>
      <c r="G170" s="948" t="n"/>
      <c r="H170" s="948" t="n"/>
      <c r="I170" s="948" t="n"/>
      <c r="J170" s="948" t="n"/>
      <c r="K170" s="948" t="n"/>
      <c r="L170" s="948" t="n"/>
      <c r="M170" s="948" t="n"/>
      <c r="N170" s="948" t="n"/>
    </row>
    <row r="171">
      <c r="A171" s="846" t="n">
        <v>167</v>
      </c>
      <c r="B171" s="849" t="n"/>
      <c r="C171" s="858" t="n"/>
      <c r="D171" s="932" t="n"/>
      <c r="E171" s="948" t="n"/>
      <c r="F171" s="948" t="n"/>
      <c r="G171" s="948" t="n"/>
      <c r="H171" s="948" t="n"/>
      <c r="I171" s="948" t="n"/>
      <c r="J171" s="948" t="n"/>
      <c r="K171" s="948" t="n"/>
      <c r="L171" s="948" t="n"/>
      <c r="M171" s="948" t="n"/>
      <c r="N171" s="948" t="n"/>
    </row>
    <row r="172">
      <c r="A172" s="846" t="n">
        <v>168</v>
      </c>
      <c r="B172" s="849" t="n"/>
      <c r="C172" s="859" t="n"/>
      <c r="D172" s="932" t="n"/>
      <c r="E172" s="948" t="n"/>
      <c r="F172" s="948" t="n"/>
      <c r="G172" s="948" t="n"/>
      <c r="H172" s="948" t="n"/>
      <c r="I172" s="948" t="n"/>
      <c r="J172" s="948" t="n"/>
      <c r="K172" s="948" t="n"/>
      <c r="L172" s="948" t="n"/>
      <c r="M172" s="948" t="n"/>
      <c r="N172" s="948" t="n"/>
    </row>
    <row r="173">
      <c r="A173" s="846" t="n">
        <v>169</v>
      </c>
      <c r="B173" s="850" t="n"/>
      <c r="C173" s="847" t="n"/>
      <c r="D173" s="932" t="n"/>
      <c r="E173" s="948" t="n"/>
      <c r="F173" s="948" t="n"/>
      <c r="G173" s="948" t="n"/>
      <c r="H173" s="948" t="n"/>
      <c r="I173" s="948" t="n"/>
      <c r="J173" s="948" t="n"/>
      <c r="K173" s="948" t="n"/>
      <c r="L173" s="948" t="n"/>
      <c r="M173" s="948" t="n"/>
      <c r="N173" s="948" t="n"/>
    </row>
    <row r="174">
      <c r="A174" s="846" t="n">
        <v>170</v>
      </c>
      <c r="B174" s="850" t="n"/>
      <c r="C174" s="849" t="n"/>
      <c r="D174" s="932" t="n"/>
      <c r="E174" s="948" t="n"/>
      <c r="F174" s="948" t="n"/>
      <c r="G174" s="948" t="n"/>
      <c r="H174" s="948" t="n"/>
      <c r="I174" s="948" t="n"/>
      <c r="J174" s="948" t="n"/>
      <c r="K174" s="948" t="n"/>
      <c r="L174" s="948" t="n"/>
      <c r="M174" s="948" t="n"/>
      <c r="N174" s="948" t="n"/>
    </row>
    <row r="175">
      <c r="A175" s="846" t="n">
        <v>171</v>
      </c>
      <c r="B175" s="850" t="n"/>
      <c r="C175" s="850" t="n"/>
      <c r="D175" s="932" t="n"/>
      <c r="E175" s="948" t="n"/>
      <c r="F175" s="948" t="n"/>
      <c r="G175" s="948" t="n"/>
      <c r="H175" s="948" t="n"/>
      <c r="I175" s="948" t="n"/>
      <c r="J175" s="948" t="n"/>
      <c r="K175" s="948" t="n"/>
      <c r="L175" s="948" t="n"/>
      <c r="M175" s="948" t="n"/>
      <c r="N175" s="948" t="n"/>
    </row>
    <row r="176">
      <c r="A176" s="846" t="n">
        <v>172</v>
      </c>
      <c r="B176" s="850" t="n"/>
      <c r="C176" s="851" t="n"/>
      <c r="D176" s="932" t="n"/>
      <c r="E176" s="948" t="n"/>
      <c r="F176" s="948" t="n"/>
      <c r="G176" s="948" t="n"/>
      <c r="H176" s="948" t="n"/>
      <c r="I176" s="948" t="n"/>
      <c r="J176" s="948" t="n"/>
      <c r="K176" s="948" t="n"/>
      <c r="L176" s="948" t="n"/>
      <c r="M176" s="948" t="n"/>
      <c r="N176" s="948" t="n"/>
    </row>
    <row r="177">
      <c r="A177" s="846" t="n">
        <v>173</v>
      </c>
      <c r="B177" s="850" t="n"/>
      <c r="C177" s="852" t="n"/>
      <c r="D177" s="932" t="n"/>
      <c r="E177" s="948" t="n"/>
      <c r="F177" s="948" t="n"/>
      <c r="G177" s="948" t="n"/>
      <c r="H177" s="948" t="n"/>
      <c r="I177" s="948" t="n"/>
      <c r="J177" s="948" t="n"/>
      <c r="K177" s="948" t="n"/>
      <c r="L177" s="948" t="n"/>
      <c r="M177" s="948" t="n"/>
      <c r="N177" s="948" t="n"/>
    </row>
    <row r="178">
      <c r="A178" s="846" t="n">
        <v>174</v>
      </c>
      <c r="B178" s="850" t="n"/>
      <c r="C178" s="853" t="n"/>
      <c r="D178" s="932" t="n"/>
      <c r="E178" s="948" t="n"/>
      <c r="F178" s="948" t="n"/>
      <c r="G178" s="948" t="n"/>
      <c r="H178" s="948" t="n"/>
      <c r="I178" s="948" t="n"/>
      <c r="J178" s="948" t="n"/>
      <c r="K178" s="948" t="n"/>
      <c r="L178" s="948" t="n"/>
      <c r="M178" s="948" t="n"/>
      <c r="N178" s="948" t="n"/>
    </row>
    <row r="179">
      <c r="A179" s="846" t="n">
        <v>175</v>
      </c>
      <c r="B179" s="850" t="n"/>
      <c r="C179" s="854" t="n"/>
      <c r="D179" s="932" t="n"/>
      <c r="E179" s="948" t="n"/>
      <c r="F179" s="948" t="n"/>
      <c r="G179" s="948" t="n"/>
      <c r="H179" s="948" t="n"/>
      <c r="I179" s="948" t="n"/>
      <c r="J179" s="948" t="n"/>
      <c r="K179" s="948" t="n"/>
      <c r="L179" s="948" t="n"/>
      <c r="M179" s="948" t="n"/>
      <c r="N179" s="948" t="n"/>
    </row>
    <row r="180">
      <c r="A180" s="846" t="n">
        <v>176</v>
      </c>
      <c r="B180" s="850" t="n"/>
      <c r="C180" s="855" t="n"/>
      <c r="D180" s="932" t="n"/>
      <c r="E180" s="948" t="n"/>
      <c r="F180" s="948" t="n"/>
      <c r="G180" s="948" t="n"/>
      <c r="H180" s="948" t="n"/>
      <c r="I180" s="948" t="n"/>
      <c r="J180" s="948" t="n"/>
      <c r="K180" s="948" t="n"/>
      <c r="L180" s="948" t="n"/>
      <c r="M180" s="948" t="n"/>
      <c r="N180" s="948" t="n"/>
    </row>
    <row r="181">
      <c r="A181" s="846" t="n">
        <v>177</v>
      </c>
      <c r="B181" s="850" t="n"/>
      <c r="C181" s="856" t="n"/>
      <c r="D181" s="932" t="n"/>
      <c r="E181" s="948" t="n"/>
      <c r="F181" s="948" t="n"/>
      <c r="G181" s="948" t="n"/>
      <c r="H181" s="948" t="n"/>
      <c r="I181" s="948" t="n"/>
      <c r="J181" s="948" t="n"/>
      <c r="K181" s="948" t="n"/>
      <c r="L181" s="948" t="n"/>
      <c r="M181" s="948" t="n"/>
      <c r="N181" s="948" t="n"/>
    </row>
    <row r="182">
      <c r="A182" s="846" t="n">
        <v>178</v>
      </c>
      <c r="B182" s="850" t="n"/>
      <c r="C182" s="857" t="n"/>
      <c r="D182" s="932" t="n"/>
      <c r="E182" s="948" t="n"/>
      <c r="F182" s="948" t="n"/>
      <c r="G182" s="948" t="n"/>
      <c r="H182" s="948" t="n"/>
      <c r="I182" s="948" t="n"/>
      <c r="J182" s="948" t="n"/>
      <c r="K182" s="948" t="n"/>
      <c r="L182" s="948" t="n"/>
      <c r="M182" s="948" t="n"/>
      <c r="N182" s="948" t="n"/>
    </row>
    <row r="183">
      <c r="A183" s="846" t="n">
        <v>179</v>
      </c>
      <c r="B183" s="850" t="n"/>
      <c r="C183" s="858" t="n"/>
      <c r="D183" s="932" t="n"/>
      <c r="E183" s="948" t="n"/>
      <c r="F183" s="948" t="n"/>
      <c r="G183" s="948" t="n"/>
      <c r="H183" s="948" t="n"/>
      <c r="I183" s="948" t="n"/>
      <c r="J183" s="948" t="n"/>
      <c r="K183" s="948" t="n"/>
      <c r="L183" s="948" t="n"/>
      <c r="M183" s="948" t="n"/>
      <c r="N183" s="948" t="n"/>
    </row>
    <row r="184">
      <c r="A184" s="846" t="n">
        <v>180</v>
      </c>
      <c r="B184" s="850" t="n"/>
      <c r="C184" s="859" t="n"/>
      <c r="D184" s="932" t="n"/>
      <c r="E184" s="948" t="n"/>
      <c r="F184" s="948" t="n"/>
      <c r="G184" s="948" t="n"/>
      <c r="H184" s="948" t="n"/>
      <c r="I184" s="948" t="n"/>
      <c r="J184" s="948" t="n"/>
      <c r="K184" s="948" t="n"/>
      <c r="L184" s="948" t="n"/>
      <c r="M184" s="948" t="n"/>
      <c r="N184" s="948" t="n"/>
    </row>
    <row r="185">
      <c r="A185" s="846" t="n">
        <v>181</v>
      </c>
      <c r="B185" s="851" t="n"/>
      <c r="C185" s="847" t="n"/>
      <c r="D185" s="932" t="n"/>
      <c r="E185" s="948" t="n"/>
      <c r="F185" s="948" t="n"/>
      <c r="G185" s="948" t="n"/>
      <c r="H185" s="948" t="n"/>
      <c r="I185" s="948" t="n"/>
      <c r="J185" s="948" t="n"/>
      <c r="K185" s="948" t="n"/>
      <c r="L185" s="948" t="n"/>
      <c r="M185" s="948" t="n"/>
      <c r="N185" s="948" t="n"/>
    </row>
    <row r="186">
      <c r="A186" s="846" t="n">
        <v>182</v>
      </c>
      <c r="B186" s="851" t="n"/>
      <c r="C186" s="849" t="n"/>
      <c r="D186" s="932" t="n"/>
      <c r="E186" s="948" t="n"/>
      <c r="F186" s="948" t="n"/>
      <c r="G186" s="948" t="n"/>
      <c r="H186" s="948" t="n"/>
      <c r="I186" s="948" t="n"/>
      <c r="J186" s="948" t="n"/>
      <c r="K186" s="948" t="n"/>
      <c r="L186" s="948" t="n"/>
      <c r="M186" s="948" t="n"/>
      <c r="N186" s="948" t="n"/>
    </row>
    <row r="187">
      <c r="A187" s="846" t="n">
        <v>183</v>
      </c>
      <c r="B187" s="851" t="n"/>
      <c r="C187" s="850" t="n"/>
      <c r="D187" s="932" t="n"/>
      <c r="E187" s="948" t="n"/>
      <c r="F187" s="948" t="n"/>
      <c r="G187" s="948" t="n"/>
      <c r="H187" s="948" t="n"/>
      <c r="I187" s="948" t="n"/>
      <c r="J187" s="948" t="n"/>
      <c r="K187" s="948" t="n"/>
      <c r="L187" s="948" t="n"/>
      <c r="M187" s="948" t="n"/>
      <c r="N187" s="948" t="n"/>
    </row>
    <row r="188">
      <c r="A188" s="846" t="n">
        <v>184</v>
      </c>
      <c r="B188" s="851" t="n"/>
      <c r="C188" s="851" t="n"/>
      <c r="D188" s="932" t="n"/>
      <c r="E188" s="948" t="n"/>
      <c r="F188" s="948" t="n"/>
      <c r="G188" s="948" t="n"/>
      <c r="H188" s="948" t="n"/>
      <c r="I188" s="948" t="n"/>
      <c r="J188" s="948" t="n"/>
      <c r="K188" s="948" t="n"/>
      <c r="L188" s="948" t="n"/>
      <c r="M188" s="948" t="n"/>
      <c r="N188" s="948" t="n"/>
    </row>
    <row r="189">
      <c r="A189" s="846" t="n">
        <v>185</v>
      </c>
      <c r="B189" s="851" t="n"/>
      <c r="C189" s="852" t="n"/>
      <c r="D189" s="932" t="n"/>
      <c r="E189" s="948" t="n"/>
      <c r="F189" s="948" t="n"/>
      <c r="G189" s="948" t="n"/>
      <c r="H189" s="948" t="n"/>
      <c r="I189" s="948" t="n"/>
      <c r="J189" s="948" t="n"/>
      <c r="K189" s="948" t="n"/>
      <c r="L189" s="948" t="n"/>
      <c r="M189" s="948" t="n"/>
      <c r="N189" s="948" t="n"/>
    </row>
    <row r="190">
      <c r="A190" s="846" t="n">
        <v>186</v>
      </c>
      <c r="B190" s="851" t="n"/>
      <c r="C190" s="853" t="n"/>
      <c r="D190" s="932" t="n"/>
      <c r="E190" s="948" t="n"/>
      <c r="F190" s="948" t="n"/>
      <c r="G190" s="948" t="n"/>
      <c r="H190" s="948" t="n"/>
      <c r="I190" s="948" t="n"/>
      <c r="J190" s="948" t="n"/>
      <c r="K190" s="948" t="n"/>
      <c r="L190" s="948" t="n"/>
      <c r="M190" s="948" t="n"/>
      <c r="N190" s="948" t="n"/>
    </row>
    <row r="191">
      <c r="A191" s="846" t="n">
        <v>187</v>
      </c>
      <c r="B191" s="851" t="n"/>
      <c r="C191" s="854" t="n"/>
      <c r="D191" s="932" t="n"/>
      <c r="E191" s="948" t="n"/>
      <c r="F191" s="948" t="n"/>
      <c r="G191" s="948" t="n"/>
      <c r="H191" s="948" t="n"/>
      <c r="I191" s="948" t="n"/>
      <c r="J191" s="948" t="n"/>
      <c r="K191" s="948" t="n"/>
      <c r="L191" s="948" t="n"/>
      <c r="M191" s="948" t="n"/>
      <c r="N191" s="948" t="n"/>
    </row>
    <row r="192">
      <c r="A192" s="846" t="n">
        <v>188</v>
      </c>
      <c r="B192" s="851" t="n"/>
      <c r="C192" s="855" t="n"/>
      <c r="D192" s="932" t="n"/>
      <c r="E192" s="948" t="n"/>
      <c r="F192" s="948" t="n"/>
      <c r="G192" s="948" t="n"/>
      <c r="H192" s="948" t="n"/>
      <c r="I192" s="948" t="n"/>
      <c r="J192" s="948" t="n"/>
      <c r="K192" s="948" t="n"/>
      <c r="L192" s="948" t="n"/>
      <c r="M192" s="948" t="n"/>
      <c r="N192" s="948" t="n"/>
    </row>
    <row r="193">
      <c r="A193" s="846" t="n">
        <v>189</v>
      </c>
      <c r="B193" s="851" t="n"/>
      <c r="C193" s="856" t="n"/>
      <c r="D193" s="932" t="n"/>
      <c r="E193" s="948" t="n"/>
      <c r="F193" s="948" t="n"/>
      <c r="G193" s="948" t="n"/>
      <c r="H193" s="948" t="n"/>
      <c r="I193" s="948" t="n"/>
      <c r="J193" s="948" t="n"/>
      <c r="K193" s="948" t="n"/>
      <c r="L193" s="948" t="n"/>
      <c r="M193" s="948" t="n"/>
      <c r="N193" s="948" t="n"/>
    </row>
    <row r="194">
      <c r="A194" s="846" t="n">
        <v>190</v>
      </c>
      <c r="B194" s="851" t="n"/>
      <c r="C194" s="857" t="n"/>
      <c r="D194" s="932" t="n"/>
      <c r="E194" s="948" t="n"/>
      <c r="F194" s="948" t="n"/>
      <c r="G194" s="948" t="n"/>
      <c r="H194" s="948" t="n"/>
      <c r="I194" s="948" t="n"/>
      <c r="J194" s="948" t="n"/>
      <c r="K194" s="948" t="n"/>
      <c r="L194" s="948" t="n"/>
      <c r="M194" s="948" t="n"/>
      <c r="N194" s="948" t="n"/>
    </row>
    <row r="195">
      <c r="A195" s="846" t="n">
        <v>191</v>
      </c>
      <c r="B195" s="851" t="n"/>
      <c r="C195" s="858" t="n"/>
      <c r="D195" s="932" t="n"/>
      <c r="E195" s="948" t="n"/>
      <c r="F195" s="948" t="n"/>
      <c r="G195" s="948" t="n"/>
      <c r="H195" s="948" t="n"/>
      <c r="I195" s="948" t="n"/>
      <c r="J195" s="948" t="n"/>
      <c r="K195" s="948" t="n"/>
      <c r="L195" s="948" t="n"/>
      <c r="M195" s="948" t="n"/>
      <c r="N195" s="948" t="n"/>
    </row>
    <row r="196">
      <c r="A196" s="846" t="n">
        <v>192</v>
      </c>
      <c r="B196" s="851" t="n"/>
      <c r="C196" s="859" t="n"/>
      <c r="D196" s="932" t="n"/>
      <c r="E196" s="948" t="n"/>
      <c r="F196" s="948" t="n"/>
      <c r="G196" s="948" t="n"/>
      <c r="H196" s="948" t="n"/>
      <c r="I196" s="948" t="n"/>
      <c r="J196" s="948" t="n"/>
      <c r="K196" s="948" t="n"/>
      <c r="L196" s="948" t="n"/>
      <c r="M196" s="948" t="n"/>
      <c r="N196" s="948"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pageSetup orientation="portrait" horizontalDpi="1200" verticalDpi="1200"/>
</worksheet>
</file>

<file path=xl/worksheets/sheet11.xml><?xml version="1.0" encoding="utf-8"?>
<worksheet xmlns="http://schemas.openxmlformats.org/spreadsheetml/2006/main">
  <sheetPr codeName="Sheet12">
    <outlinePr summaryBelow="1" summaryRight="1"/>
    <pageSetUpPr/>
  </sheetPr>
  <dimension ref="A1:H233"/>
  <sheetViews>
    <sheetView zoomScale="114" zoomScaleNormal="85" workbookViewId="0">
      <selection activeCell="H165" sqref="H165"/>
    </sheetView>
  </sheetViews>
  <sheetFormatPr baseColWidth="8" defaultColWidth="27.7109375" defaultRowHeight="15"/>
  <cols>
    <col width="27.7109375" customWidth="1" style="956" min="2" max="2"/>
  </cols>
  <sheetData>
    <row r="1" ht="15.75" customHeight="1" s="955">
      <c r="A1" s="865" t="inlineStr">
        <is>
          <t>1X8 SPLITTER PLACEMENT</t>
        </is>
      </c>
      <c r="B1" s="949" t="n"/>
      <c r="C1" s="866" t="n"/>
      <c r="D1" s="866" t="n"/>
      <c r="E1" s="866" t="n"/>
      <c r="F1" s="866" t="n"/>
    </row>
    <row r="2">
      <c r="A2" s="1196" t="n">
        <v>101</v>
      </c>
      <c r="B2" s="950" t="n"/>
      <c r="C2" s="1197">
        <f>A2</f>
        <v/>
      </c>
      <c r="D2" s="876" t="n"/>
      <c r="E2" s="948" t="inlineStr"/>
      <c r="F2" s="1198" t="inlineStr">
        <is>
          <t>F 5120 HILLTOP NEEDMORE RD</t>
        </is>
      </c>
    </row>
    <row r="3" ht="15" customHeight="1" s="955">
      <c r="A3" s="1075" t="inlineStr">
        <is>
          <t>SPLITTER NAME</t>
        </is>
      </c>
      <c r="B3" s="1199" t="inlineStr">
        <is>
          <t>T COUNT</t>
        </is>
      </c>
      <c r="C3" s="1075" t="inlineStr">
        <is>
          <t>1X4 PLACEMENT ADDRESS</t>
        </is>
      </c>
      <c r="D3" s="1075" t="inlineStr">
        <is>
          <t>SPLIT</t>
        </is>
      </c>
      <c r="E3" s="1062" t="inlineStr">
        <is>
          <t>SERVICING</t>
        </is>
      </c>
      <c r="F3" s="1062" t="inlineStr">
        <is>
          <t>SERVICING</t>
        </is>
      </c>
      <c r="G3" s="1062" t="inlineStr">
        <is>
          <t>SERVICING</t>
        </is>
      </c>
      <c r="H3" s="1062" t="inlineStr">
        <is>
          <t>SERVICING</t>
        </is>
      </c>
    </row>
    <row r="4" ht="15" customHeight="1" s="955">
      <c r="A4" s="1157" t="n"/>
      <c r="B4" s="1157" t="n"/>
      <c r="C4" s="1157" t="n"/>
      <c r="D4" s="1157" t="n"/>
      <c r="E4" s="1157" t="n"/>
      <c r="F4" s="1157" t="n"/>
      <c r="G4" s="1157" t="n"/>
      <c r="H4" s="1157" t="n"/>
    </row>
    <row r="5">
      <c r="A5" s="1200" t="inlineStr">
        <is>
          <t>OLT01_101P_8S_FQVRNC</t>
        </is>
      </c>
      <c r="B5" s="1201" t="inlineStr">
        <is>
          <t>1-4</t>
        </is>
      </c>
      <c r="C5" s="1200" t="inlineStr">
        <is>
          <t>F 4844 FRANKIE RD</t>
        </is>
      </c>
      <c r="D5" s="1200" t="inlineStr">
        <is>
          <t>OLT01_101P_FQVRNC, 1</t>
        </is>
      </c>
      <c r="E5" s="1200" t="inlineStr">
        <is>
          <t>5105 HILLTOP NEEDMORE RD</t>
        </is>
      </c>
      <c r="F5" s="1200" t="inlineStr">
        <is>
          <t>5201 HILTOP NEEDMORE RD</t>
        </is>
      </c>
      <c r="G5" s="1200" t="inlineStr">
        <is>
          <t>5125 HILLTOP NEEDMORE RD</t>
        </is>
      </c>
      <c r="H5" s="1200" t="inlineStr">
        <is>
          <t>4701 BENTCREEK DR</t>
        </is>
      </c>
    </row>
    <row r="6">
      <c r="A6" s="1200" t="inlineStr">
        <is>
          <t>OLT01_101P_7S_FQVRNC</t>
        </is>
      </c>
      <c r="B6" s="1201" t="inlineStr">
        <is>
          <t>5-8</t>
        </is>
      </c>
      <c r="C6" s="1200" t="inlineStr">
        <is>
          <t>F 4844 FRANKIE RD</t>
        </is>
      </c>
      <c r="D6" s="1202" t="inlineStr">
        <is>
          <t>OLT01_101P_FQVRNC, 2</t>
        </is>
      </c>
      <c r="E6" s="1200" t="inlineStr">
        <is>
          <t>4844 HILLTOP NEEDMORE RD</t>
        </is>
      </c>
      <c r="F6" s="1200" t="inlineStr">
        <is>
          <t>4825 HILLTOP NEEDMORE RD</t>
        </is>
      </c>
      <c r="G6" s="1200" t="inlineStr">
        <is>
          <t>5204 HILLTOP NEEDMORE RD</t>
        </is>
      </c>
      <c r="H6" s="1200" t="inlineStr">
        <is>
          <t>5209 HILLTOP NEEDMORE RD</t>
        </is>
      </c>
    </row>
    <row r="7">
      <c r="A7" s="1200" t="inlineStr">
        <is>
          <t>OLT01_101P_6S_FQVRNC</t>
        </is>
      </c>
      <c r="B7" s="1201" t="inlineStr">
        <is>
          <t>9-12</t>
        </is>
      </c>
      <c r="C7" s="1200" t="inlineStr">
        <is>
          <t>F 4817 BENTCREEK DR</t>
        </is>
      </c>
      <c r="D7" s="1202" t="inlineStr">
        <is>
          <t>OLT01_101P_FQVRNC, 3</t>
        </is>
      </c>
      <c r="E7" s="1200" t="inlineStr">
        <is>
          <t>4817 BENTCREEK DR</t>
        </is>
      </c>
      <c r="F7" s="1200" t="inlineStr">
        <is>
          <t>4816 BENTCREEK DR</t>
        </is>
      </c>
      <c r="G7" s="1200" t="inlineStr">
        <is>
          <t>4821 BENTCREEK DR</t>
        </is>
      </c>
      <c r="H7" s="1200" t="inlineStr">
        <is>
          <t>5209 HILLTOP NEEDMORE RD</t>
        </is>
      </c>
    </row>
    <row r="8">
      <c r="A8" s="1200" t="inlineStr">
        <is>
          <t>OLT01_101P_5S_FQVRNC</t>
        </is>
      </c>
      <c r="B8" s="1201" t="inlineStr">
        <is>
          <t>13-16</t>
        </is>
      </c>
      <c r="C8" s="1200" t="inlineStr">
        <is>
          <t>F 4817 BENTCREEK DR</t>
        </is>
      </c>
      <c r="D8" s="1202" t="inlineStr">
        <is>
          <t>OLT01_101P_FQVRNC, 4</t>
        </is>
      </c>
      <c r="E8" s="1200" t="inlineStr">
        <is>
          <t>4809 BENTCREEK DR</t>
        </is>
      </c>
      <c r="F8" s="1200" t="inlineStr">
        <is>
          <t>4808 BENTCREEK DR</t>
        </is>
      </c>
      <c r="G8" s="1200" t="inlineStr">
        <is>
          <t>4813 BENTCREEK DR</t>
        </is>
      </c>
      <c r="H8" s="1200" t="inlineStr">
        <is>
          <t>4812 BENTCREEK DR</t>
        </is>
      </c>
    </row>
    <row r="9">
      <c r="A9" s="1200" t="inlineStr">
        <is>
          <t>OLT01_101P_4S_FQVRNC</t>
        </is>
      </c>
      <c r="B9" s="1201" t="inlineStr">
        <is>
          <t>17-20</t>
        </is>
      </c>
      <c r="C9" s="1200" t="inlineStr">
        <is>
          <t>F 4717 BENTCREEK DR</t>
        </is>
      </c>
      <c r="D9" s="1200" t="inlineStr">
        <is>
          <t>OLT01_101P_FQVRNC, 5</t>
        </is>
      </c>
      <c r="E9" s="1200" t="inlineStr">
        <is>
          <t>4801 BENTCREEK DR</t>
        </is>
      </c>
      <c r="F9" s="1200" t="inlineStr">
        <is>
          <t>4800 BENTCREEK DR</t>
        </is>
      </c>
      <c r="G9" s="1200" t="inlineStr">
        <is>
          <t>4805 BENTCREEK DR</t>
        </is>
      </c>
      <c r="H9" s="1200" t="inlineStr">
        <is>
          <t>4804 BENTCREEK DR</t>
        </is>
      </c>
    </row>
    <row r="10">
      <c r="A10" s="1200" t="inlineStr">
        <is>
          <t>OLT01_101P_3S_FQVRNC</t>
        </is>
      </c>
      <c r="B10" s="1201" t="inlineStr">
        <is>
          <t>21-24</t>
        </is>
      </c>
      <c r="C10" s="1200" t="inlineStr">
        <is>
          <t>F 4717 BENTCREEK DR</t>
        </is>
      </c>
      <c r="D10" s="1200" t="inlineStr">
        <is>
          <t>OLT01_101P_FQVRNC, 6</t>
        </is>
      </c>
      <c r="E10" s="1200" t="inlineStr">
        <is>
          <t>4716 BENTCREEK DR</t>
        </is>
      </c>
      <c r="F10" s="1200" t="inlineStr">
        <is>
          <t>4720 BENTCREEK DR</t>
        </is>
      </c>
      <c r="G10" s="1200" t="inlineStr">
        <is>
          <t>4717 BENTCREEK DR</t>
        </is>
      </c>
      <c r="H10" s="1200" t="inlineStr">
        <is>
          <t>4721 BENTCREEK DR</t>
        </is>
      </c>
    </row>
    <row r="11">
      <c r="A11" s="1200" t="inlineStr">
        <is>
          <t>OLT01_101P_2S_FQVRNC</t>
        </is>
      </c>
      <c r="B11" s="1201" t="inlineStr">
        <is>
          <t>25-28</t>
        </is>
      </c>
      <c r="C11" s="1200" t="inlineStr">
        <is>
          <t>F 4709 BENTCREEK DR</t>
        </is>
      </c>
      <c r="D11" s="1200" t="inlineStr">
        <is>
          <t>OLT01_101P_FQVRNC, 7</t>
        </is>
      </c>
      <c r="E11" s="1200" t="inlineStr">
        <is>
          <t>4704 BENTCREEK DR</t>
        </is>
      </c>
      <c r="F11" s="1200" t="inlineStr">
        <is>
          <t>4708 BENTCREEK DR</t>
        </is>
      </c>
      <c r="G11" s="1200" t="inlineStr">
        <is>
          <t>4712 BENTCREEK DR</t>
        </is>
      </c>
      <c r="H11" s="1200" t="inlineStr">
        <is>
          <t>4713 BENTCREEK DR</t>
        </is>
      </c>
    </row>
    <row r="12">
      <c r="A12" s="1200" t="inlineStr">
        <is>
          <t>OLT01_101P_1S_FQVRNC</t>
        </is>
      </c>
      <c r="B12" s="1201" t="inlineStr">
        <is>
          <t>29-32</t>
        </is>
      </c>
      <c r="C12" s="1200" t="inlineStr">
        <is>
          <t>F 4709 BENTCREEK DR</t>
        </is>
      </c>
      <c r="D12" s="1200" t="inlineStr">
        <is>
          <t>OLT01_101P_FQVRNC, 8</t>
        </is>
      </c>
      <c r="E12" s="1200" t="inlineStr">
        <is>
          <t>4709 BENTCREEK DR</t>
        </is>
      </c>
      <c r="F12" s="1200" t="inlineStr">
        <is>
          <t>4705 BENTCREEK DR</t>
        </is>
      </c>
      <c r="G12" s="1200" t="inlineStr">
        <is>
          <t>4701 BENTCREEK DR</t>
        </is>
      </c>
      <c r="H12" s="1200" t="inlineStr">
        <is>
          <t>4700 BENTCREEK DR</t>
        </is>
      </c>
    </row>
    <row r="13">
      <c r="A13" s="192" t="n"/>
      <c r="B13" s="951" t="n"/>
      <c r="C13" s="192" t="n"/>
      <c r="D13" s="192" t="n"/>
      <c r="E13" s="192" t="inlineStr">
        <is>
          <t>  </t>
        </is>
      </c>
      <c r="F13" s="192" t="n"/>
      <c r="G13" s="192" t="n"/>
      <c r="H13" s="192" t="n"/>
    </row>
    <row r="14" ht="15.75" customHeight="1" s="955">
      <c r="A14" s="865" t="inlineStr">
        <is>
          <t>1X8 SPLITTER PLACEMENT</t>
        </is>
      </c>
      <c r="B14" s="949" t="n"/>
      <c r="C14" s="866" t="n"/>
      <c r="D14" s="866" t="n"/>
      <c r="E14" s="866" t="n"/>
      <c r="F14" s="866" t="n"/>
    </row>
    <row r="15">
      <c r="A15" s="1196" t="n">
        <v>102</v>
      </c>
      <c r="B15" s="950" t="n"/>
      <c r="C15" s="1197">
        <f>A15</f>
        <v/>
      </c>
      <c r="D15" s="877" t="n"/>
      <c r="E15" s="948" t="inlineStr"/>
      <c r="F15" s="1198" t="inlineStr">
        <is>
          <t>F 5120 HILLTOP NEEDMORE RD</t>
        </is>
      </c>
    </row>
    <row r="16" ht="15" customHeight="1" s="955">
      <c r="A16" s="1075" t="inlineStr">
        <is>
          <t>SPLITTER NAME</t>
        </is>
      </c>
      <c r="B16" s="1199" t="inlineStr">
        <is>
          <t>T COUNT</t>
        </is>
      </c>
      <c r="C16" s="1075" t="inlineStr">
        <is>
          <t>1X4 PLACEMENT ADDRESS</t>
        </is>
      </c>
      <c r="D16" s="1075" t="inlineStr">
        <is>
          <t>SPLIT</t>
        </is>
      </c>
      <c r="E16" s="1062" t="inlineStr">
        <is>
          <t>SERVICING</t>
        </is>
      </c>
      <c r="F16" s="1062" t="inlineStr">
        <is>
          <t>SERVICING</t>
        </is>
      </c>
      <c r="G16" s="1062" t="inlineStr">
        <is>
          <t>SERVICING</t>
        </is>
      </c>
      <c r="H16" s="1062" t="inlineStr">
        <is>
          <t>SERVICING</t>
        </is>
      </c>
    </row>
    <row r="17" ht="15" customHeight="1" s="955">
      <c r="A17" s="1157" t="n"/>
      <c r="B17" s="1157" t="n"/>
      <c r="C17" s="1157" t="n"/>
      <c r="D17" s="1157" t="n"/>
      <c r="E17" s="1157" t="n"/>
      <c r="F17" s="1157" t="n"/>
      <c r="G17" s="1157" t="n"/>
      <c r="H17" s="1157" t="n"/>
    </row>
    <row r="18">
      <c r="A18" s="1200" t="inlineStr">
        <is>
          <t>OLT01_102P_8S_FQVRNC</t>
        </is>
      </c>
      <c r="B18" s="1201" t="inlineStr">
        <is>
          <t>1-4</t>
        </is>
      </c>
      <c r="C18" s="1200" t="inlineStr">
        <is>
          <t>F 4844 FRANKIE RD</t>
        </is>
      </c>
      <c r="D18" s="1200" t="inlineStr">
        <is>
          <t>OLT01_102P_FQVRNC, 1</t>
        </is>
      </c>
      <c r="E18" s="1200" t="inlineStr">
        <is>
          <t>4844 FRANKIE RD</t>
        </is>
      </c>
      <c r="F18" s="1200" t="inlineStr">
        <is>
          <t>5120 HILLTOP NEEDMORE RD</t>
        </is>
      </c>
      <c r="G18" s="1200" t="inlineStr">
        <is>
          <t>4809 FRANKIE RD</t>
        </is>
      </c>
      <c r="H18" s="1200" t="inlineStr">
        <is>
          <t>4805 FRANKIE RD</t>
        </is>
      </c>
    </row>
    <row r="19">
      <c r="A19" s="1200" t="inlineStr">
        <is>
          <t>OLT01_102P_7S_FQVRNC</t>
        </is>
      </c>
      <c r="B19" s="1201" t="inlineStr">
        <is>
          <t>5-8</t>
        </is>
      </c>
      <c r="C19" s="1200" t="inlineStr">
        <is>
          <t>F 4844 FRANKIE RD</t>
        </is>
      </c>
      <c r="D19" s="1202" t="inlineStr">
        <is>
          <t>OLT01_102P_FQVRNC, 2</t>
        </is>
      </c>
      <c r="E19" s="1200" t="inlineStr">
        <is>
          <t>5109 HILLTOP NEEDMORE RD</t>
        </is>
      </c>
      <c r="F19" s="1200" t="inlineStr">
        <is>
          <t>5100 HILLTOP NEEDMORE RD</t>
        </is>
      </c>
      <c r="G19" s="1200" t="inlineStr">
        <is>
          <t>4901 ALLANBROOKE LN</t>
        </is>
      </c>
      <c r="H19" s="1200" t="inlineStr">
        <is>
          <t>5117 HILLTOP NEEDMORE RD</t>
        </is>
      </c>
    </row>
    <row r="20">
      <c r="A20" s="1200" t="inlineStr">
        <is>
          <t>OLT01_102P_6S_FQVRNC</t>
        </is>
      </c>
      <c r="B20" s="1201" t="inlineStr">
        <is>
          <t>9-12</t>
        </is>
      </c>
      <c r="C20" s="1200" t="inlineStr">
        <is>
          <t>F 4844 FRANKIE RD</t>
        </is>
      </c>
      <c r="D20" s="1202" t="inlineStr">
        <is>
          <t>OLT01_102P_FQVRNC, 3</t>
        </is>
      </c>
      <c r="E20" s="1200" t="inlineStr">
        <is>
          <t>5005 HILLTOP NEEDMORE RD</t>
        </is>
      </c>
      <c r="F20" s="1200" t="inlineStr">
        <is>
          <t>5009 HILLTOP NEEDMORE RD</t>
        </is>
      </c>
      <c r="G20" s="1200" t="inlineStr">
        <is>
          <t>5025 HILLTOP NEEDMORE RD</t>
        </is>
      </c>
      <c r="H20" s="1200" t="inlineStr">
        <is>
          <t>5029 HILLTOP NEEDMORE RD</t>
        </is>
      </c>
    </row>
    <row r="21">
      <c r="A21" s="1200" t="inlineStr">
        <is>
          <t>OLT01_102P_5S_FQVRNC</t>
        </is>
      </c>
      <c r="B21" s="1201" t="inlineStr">
        <is>
          <t>13-16</t>
        </is>
      </c>
      <c r="C21" s="1200" t="inlineStr">
        <is>
          <t>F 4844 FRANKIE RD</t>
        </is>
      </c>
      <c r="D21" s="1202" t="inlineStr">
        <is>
          <t>OLT01_102P_FQVRNC, 4</t>
        </is>
      </c>
      <c r="E21" s="1200" t="inlineStr">
        <is>
          <t>4837 FRANKIE RD</t>
        </is>
      </c>
      <c r="F21" s="1200" t="inlineStr">
        <is>
          <t>4841 FRANKIE RD</t>
        </is>
      </c>
      <c r="G21" s="1200" t="inlineStr">
        <is>
          <t>4845 FRANKIE RD</t>
        </is>
      </c>
      <c r="H21" s="1200" t="inlineStr">
        <is>
          <t>4840 FRANKIE RD</t>
        </is>
      </c>
    </row>
    <row r="22">
      <c r="A22" s="1200" t="inlineStr">
        <is>
          <t>OLT01_102P_4S_FQVRNC</t>
        </is>
      </c>
      <c r="B22" s="1201" t="inlineStr">
        <is>
          <t>17-20</t>
        </is>
      </c>
      <c r="C22" s="1200" t="inlineStr">
        <is>
          <t>F 4836 FRANKIE RD</t>
        </is>
      </c>
      <c r="D22" s="1200" t="inlineStr">
        <is>
          <t>OLT01_102P_FQVRNC, 5</t>
        </is>
      </c>
      <c r="E22" s="1200" t="inlineStr">
        <is>
          <t>4836 FRANKIE RD</t>
        </is>
      </c>
      <c r="F22" s="1200" t="inlineStr">
        <is>
          <t>4832 FRANKIE RD</t>
        </is>
      </c>
      <c r="G22" s="1200" t="inlineStr">
        <is>
          <t>4828 FRANKIE RD</t>
        </is>
      </c>
      <c r="H22" s="1200" t="inlineStr">
        <is>
          <t>4824 FRANKIE RD</t>
        </is>
      </c>
    </row>
    <row r="23">
      <c r="A23" s="1200" t="inlineStr">
        <is>
          <t>OLT01_102P_3S_FQVRNC</t>
        </is>
      </c>
      <c r="B23" s="1201" t="inlineStr">
        <is>
          <t>21-24</t>
        </is>
      </c>
      <c r="C23" s="1200" t="inlineStr">
        <is>
          <t>F 4836 FRANKIE RD</t>
        </is>
      </c>
      <c r="D23" s="1200" t="inlineStr">
        <is>
          <t>OLT01_102P_FQVRNC, 6</t>
        </is>
      </c>
      <c r="E23" s="1200" t="inlineStr">
        <is>
          <t>4821 FRANKIE RD</t>
        </is>
      </c>
      <c r="F23" s="1200" t="inlineStr">
        <is>
          <t>4825 FRANKIE RD</t>
        </is>
      </c>
      <c r="G23" s="1200" t="inlineStr">
        <is>
          <t>4829 FRANKIE RD</t>
        </is>
      </c>
      <c r="H23" s="1200" t="inlineStr">
        <is>
          <t>4833 FRANKIE RD</t>
        </is>
      </c>
    </row>
    <row r="24">
      <c r="A24" s="1200" t="inlineStr">
        <is>
          <t>OLT01_102P_2S_FQVRNC</t>
        </is>
      </c>
      <c r="B24" s="1201" t="inlineStr">
        <is>
          <t>25-28</t>
        </is>
      </c>
      <c r="C24" s="1200" t="inlineStr">
        <is>
          <t>F 4820 FRANKIE RD</t>
        </is>
      </c>
      <c r="D24" s="1200" t="inlineStr">
        <is>
          <t>OLT01_102P_FQVRNC, 7</t>
        </is>
      </c>
      <c r="E24" s="1200" t="inlineStr">
        <is>
          <t>4808 FRANKIE RD</t>
        </is>
      </c>
      <c r="F24" s="1200" t="inlineStr">
        <is>
          <t>4812 FRANKIE RD</t>
        </is>
      </c>
      <c r="G24" s="1200" t="inlineStr">
        <is>
          <t>4816 FRANKIE RD</t>
        </is>
      </c>
      <c r="H24" s="1200" t="inlineStr">
        <is>
          <t>4820 FRANKIE RD</t>
        </is>
      </c>
    </row>
    <row r="25">
      <c r="A25" s="1200" t="inlineStr">
        <is>
          <t>OLT01_102P_1S_FQVRNC</t>
        </is>
      </c>
      <c r="B25" s="1201" t="inlineStr">
        <is>
          <t>29-32</t>
        </is>
      </c>
      <c r="C25" s="1200" t="inlineStr">
        <is>
          <t>F 4820 FRANKIE RD</t>
        </is>
      </c>
      <c r="D25" s="1200" t="inlineStr">
        <is>
          <t>OLT01_102P_FQVRNC, 8</t>
        </is>
      </c>
      <c r="E25" s="1200" t="inlineStr">
        <is>
          <t>4817 FRANKIE RD</t>
        </is>
      </c>
      <c r="F25" s="1200" t="inlineStr">
        <is>
          <t>4813 FRANKIE RD</t>
        </is>
      </c>
      <c r="G25" s="1200" t="inlineStr">
        <is>
          <t>4809 FRANKIE RD</t>
        </is>
      </c>
      <c r="H25" s="1200" t="inlineStr">
        <is>
          <t>4805 FRANKIE RD</t>
        </is>
      </c>
    </row>
    <row r="26">
      <c r="A26" s="192" t="n"/>
      <c r="B26" s="951" t="n"/>
      <c r="C26" s="192" t="n"/>
      <c r="D26" s="192" t="n"/>
      <c r="E26" s="192" t="inlineStr">
        <is>
          <t>  </t>
        </is>
      </c>
      <c r="F26" s="192" t="n"/>
      <c r="G26" s="192" t="n"/>
      <c r="H26" s="192" t="n"/>
    </row>
    <row r="27" ht="15.75" customHeight="1" s="955">
      <c r="A27" s="865" t="inlineStr">
        <is>
          <t>1X8 SPLITTER PLACEMENT</t>
        </is>
      </c>
      <c r="B27" s="949" t="n"/>
      <c r="C27" s="866" t="n"/>
      <c r="D27" s="866" t="n"/>
      <c r="E27" s="866" t="n"/>
      <c r="F27" s="866" t="n"/>
    </row>
    <row r="28">
      <c r="A28" s="1196" t="n">
        <v>103</v>
      </c>
      <c r="B28" s="950" t="n"/>
      <c r="C28" s="1197">
        <f>A28</f>
        <v/>
      </c>
      <c r="D28" s="878" t="n"/>
      <c r="E28" s="948" t="inlineStr"/>
      <c r="F28" s="1198" t="inlineStr">
        <is>
          <t>F 5212 RIVINGTON DR</t>
        </is>
      </c>
    </row>
    <row r="29" ht="15" customHeight="1" s="955">
      <c r="A29" s="1075" t="inlineStr">
        <is>
          <t>SPLITTER NAME</t>
        </is>
      </c>
      <c r="B29" s="1199" t="inlineStr">
        <is>
          <t>T COUNT</t>
        </is>
      </c>
      <c r="C29" s="1075" t="inlineStr">
        <is>
          <t>1X4 PLACEMENT ADDRESS</t>
        </is>
      </c>
      <c r="D29" s="1075" t="inlineStr">
        <is>
          <t>SPLIT</t>
        </is>
      </c>
      <c r="E29" s="1062" t="inlineStr">
        <is>
          <t>SERVICING</t>
        </is>
      </c>
      <c r="F29" s="1062" t="inlineStr">
        <is>
          <t>SERVICING</t>
        </is>
      </c>
      <c r="G29" s="1062" t="inlineStr">
        <is>
          <t>SERVICING</t>
        </is>
      </c>
      <c r="H29" s="1062" t="inlineStr">
        <is>
          <t>SERVICING</t>
        </is>
      </c>
    </row>
    <row r="30" ht="15" customHeight="1" s="955">
      <c r="A30" s="1157" t="n"/>
      <c r="B30" s="1157" t="n"/>
      <c r="C30" s="1157" t="n"/>
      <c r="D30" s="1157" t="n"/>
      <c r="E30" s="1157" t="n"/>
      <c r="F30" s="1157" t="n"/>
      <c r="G30" s="1157" t="n"/>
      <c r="H30" s="1157" t="n"/>
    </row>
    <row r="31">
      <c r="A31" s="1200" t="n"/>
      <c r="B31" s="1201" t="inlineStr">
        <is>
          <t>1-4</t>
        </is>
      </c>
      <c r="C31" s="1200" t="n"/>
      <c r="D31" s="1200" t="inlineStr">
        <is>
          <t>SPARE</t>
        </is>
      </c>
      <c r="E31" s="1200" t="n"/>
      <c r="F31" s="1200" t="n"/>
      <c r="G31" s="1200" t="n"/>
      <c r="H31" s="1200" t="n"/>
    </row>
    <row r="32">
      <c r="A32" s="1200" t="n"/>
      <c r="B32" s="1201" t="inlineStr">
        <is>
          <t>5-8</t>
        </is>
      </c>
      <c r="C32" s="1200" t="n"/>
      <c r="D32" s="1202" t="inlineStr">
        <is>
          <t>SPARE</t>
        </is>
      </c>
      <c r="E32" s="1200" t="n"/>
      <c r="F32" s="1200" t="n"/>
      <c r="G32" s="1200" t="n"/>
      <c r="H32" s="1200" t="n"/>
    </row>
    <row r="33">
      <c r="A33" s="1200" t="inlineStr">
        <is>
          <t>OLT01_103P_8S_FQVRNC</t>
        </is>
      </c>
      <c r="B33" s="1201" t="inlineStr">
        <is>
          <t>9-12</t>
        </is>
      </c>
      <c r="C33" s="1200" t="inlineStr">
        <is>
          <t>F 5012 ALLANBROOKE LN</t>
        </is>
      </c>
      <c r="D33" s="1202" t="inlineStr">
        <is>
          <t>OLT01_103P_FQVRNC, 3</t>
        </is>
      </c>
      <c r="E33" s="1200" t="inlineStr">
        <is>
          <t>5016 ALLANBROOKE LN</t>
        </is>
      </c>
      <c r="F33" s="1200" t="inlineStr">
        <is>
          <t>5012 ALLANBROOKE LN</t>
        </is>
      </c>
      <c r="G33" s="1200" t="inlineStr">
        <is>
          <t>5048 ALLANBROOKE LN</t>
        </is>
      </c>
      <c r="H33" s="1200" t="inlineStr">
        <is>
          <t>5044 ALLANBROOKE LN</t>
        </is>
      </c>
    </row>
    <row r="34">
      <c r="A34" s="1200" t="inlineStr">
        <is>
          <t>OLT01_103P_7S_FQVRNC</t>
        </is>
      </c>
      <c r="B34" s="1201" t="inlineStr">
        <is>
          <t>13-16</t>
        </is>
      </c>
      <c r="C34" s="1200" t="inlineStr">
        <is>
          <t>F 5024 ALLANBROOKE LN</t>
        </is>
      </c>
      <c r="D34" s="1202" t="inlineStr">
        <is>
          <t>OLT01_103P_FQVRNC, 4</t>
        </is>
      </c>
      <c r="E34" s="1200" t="inlineStr">
        <is>
          <t>5021 ALLANBROOKE LN</t>
        </is>
      </c>
      <c r="F34" s="1200" t="inlineStr">
        <is>
          <t>5025 ALLANBROOKE LN</t>
        </is>
      </c>
      <c r="G34" s="1200" t="inlineStr">
        <is>
          <t>5017 ALLANBROOKE LN</t>
        </is>
      </c>
      <c r="H34" s="1200" t="inlineStr">
        <is>
          <t>5020 ALLANBROOKE LN</t>
        </is>
      </c>
    </row>
    <row r="35">
      <c r="A35" s="1200" t="inlineStr">
        <is>
          <t>OLT01_103P_6S_FQVRNC</t>
        </is>
      </c>
      <c r="B35" s="1201" t="inlineStr">
        <is>
          <t>17-20</t>
        </is>
      </c>
      <c r="C35" s="1200" t="inlineStr">
        <is>
          <t>F 5024 ALLANBROOKE LN</t>
        </is>
      </c>
      <c r="D35" s="1200" t="inlineStr">
        <is>
          <t>OLT01_103P_FQVRNC, 5</t>
        </is>
      </c>
      <c r="E35" s="1200" t="inlineStr">
        <is>
          <t>5029 ALLANBROOKE LN</t>
        </is>
      </c>
      <c r="F35" s="1200" t="inlineStr">
        <is>
          <t>5033 ALLANBROOKE LN</t>
        </is>
      </c>
      <c r="G35" s="1200" t="inlineStr">
        <is>
          <t>5028 ALLANBROOKE LN</t>
        </is>
      </c>
      <c r="H35" s="1200" t="inlineStr">
        <is>
          <t>5024 ALLANBROOKE LN</t>
        </is>
      </c>
    </row>
    <row r="36">
      <c r="A36" s="1200" t="inlineStr">
        <is>
          <t>OLT01_103P_5S_FQVRNC</t>
        </is>
      </c>
      <c r="B36" s="1201" t="inlineStr">
        <is>
          <t>21-24</t>
        </is>
      </c>
      <c r="C36" s="1200" t="inlineStr">
        <is>
          <t>F 5036 ALLANBROOKE LN</t>
        </is>
      </c>
      <c r="D36" s="1200" t="inlineStr">
        <is>
          <t>OLT01_103P_FQVRNC, 6</t>
        </is>
      </c>
      <c r="E36" s="1200" t="inlineStr">
        <is>
          <t>5037 ALLANBROOKE LN</t>
        </is>
      </c>
      <c r="F36" s="1200" t="inlineStr">
        <is>
          <t>5040 ALLANBROOKE LN</t>
        </is>
      </c>
      <c r="G36" s="1200" t="inlineStr">
        <is>
          <t>5036 ALLANBROOKE LN</t>
        </is>
      </c>
      <c r="H36" s="1200" t="inlineStr">
        <is>
          <t>5032 ALLANBROOKE LN</t>
        </is>
      </c>
    </row>
    <row r="37">
      <c r="A37" s="1200" t="inlineStr">
        <is>
          <t>OLT01_103P_4S_FQVRNC</t>
        </is>
      </c>
      <c r="B37" s="1201" t="inlineStr">
        <is>
          <t>25-28</t>
        </is>
      </c>
      <c r="C37" s="1200" t="inlineStr">
        <is>
          <t>F 5044 ALLANBROOKE LN</t>
        </is>
      </c>
      <c r="D37" s="1200" t="inlineStr">
        <is>
          <t>OLT01_103P_FQVRNC, 7</t>
        </is>
      </c>
      <c r="E37" s="1200" t="inlineStr">
        <is>
          <t>5041 ALLANBROOKE LN</t>
        </is>
      </c>
      <c r="F37" s="1200" t="inlineStr">
        <is>
          <t>5045 ALLANBROOKE LN</t>
        </is>
      </c>
      <c r="G37" s="1200" t="inlineStr">
        <is>
          <t>5049 ALLANBROOKE LN</t>
        </is>
      </c>
      <c r="H37" s="1200" t="inlineStr">
        <is>
          <t>5053 ALLANBROOKE LN</t>
        </is>
      </c>
    </row>
    <row r="38">
      <c r="A38" s="1200" t="inlineStr">
        <is>
          <t>OLT01_103P_3S_FQVRNC</t>
        </is>
      </c>
      <c r="B38" s="1201" t="inlineStr">
        <is>
          <t>29-32</t>
        </is>
      </c>
      <c r="C38" s="1200" t="inlineStr">
        <is>
          <t>F 5044 ALLANBROOKE LN</t>
        </is>
      </c>
      <c r="D38" s="1200" t="inlineStr">
        <is>
          <t>OLT01_103P_FQVRNC, 8</t>
        </is>
      </c>
      <c r="E38" s="1200" t="inlineStr">
        <is>
          <t>5056 ALLANBROOKE LN</t>
        </is>
      </c>
      <c r="F38" s="1200" t="inlineStr">
        <is>
          <t>5052 ALLANBROOKE LN</t>
        </is>
      </c>
      <c r="G38" s="1200" t="inlineStr">
        <is>
          <t>5048 ALLANBROOKE LN</t>
        </is>
      </c>
      <c r="H38" s="1200" t="inlineStr">
        <is>
          <t>5044 ALLANBROOKE LN</t>
        </is>
      </c>
    </row>
    <row r="39">
      <c r="A39" s="192" t="n"/>
      <c r="B39" s="951" t="n"/>
      <c r="C39" s="192" t="n"/>
      <c r="D39" s="947" t="n"/>
      <c r="E39" s="192" t="n"/>
      <c r="F39" s="192" t="n"/>
      <c r="G39" s="192" t="n"/>
      <c r="H39" s="192" t="n"/>
    </row>
    <row r="40" ht="15.75" customHeight="1" s="955">
      <c r="A40" s="865" t="inlineStr">
        <is>
          <t>1X8 SPLITTER PLACEMENT</t>
        </is>
      </c>
      <c r="B40" s="949" t="n"/>
      <c r="C40" s="866" t="n"/>
      <c r="D40" s="866" t="n"/>
      <c r="E40" s="866" t="n"/>
      <c r="F40" s="866" t="n"/>
    </row>
    <row r="41">
      <c r="A41" s="1196" t="n">
        <v>104</v>
      </c>
      <c r="B41" s="950" t="n"/>
      <c r="C41" s="1197">
        <f>A41</f>
        <v/>
      </c>
      <c r="D41" s="886" t="n"/>
      <c r="E41" s="948" t="inlineStr"/>
      <c r="F41" s="1198" t="inlineStr">
        <is>
          <t>F 5212 RIVINGTON DR</t>
        </is>
      </c>
    </row>
    <row r="42" ht="15" customHeight="1" s="955">
      <c r="A42" s="1075" t="inlineStr">
        <is>
          <t>SPLITTER NAME</t>
        </is>
      </c>
      <c r="B42" s="1199" t="inlineStr">
        <is>
          <t>T COUNT</t>
        </is>
      </c>
      <c r="C42" s="1075" t="inlineStr">
        <is>
          <t>1X4 PLACEMENT ADDRESS</t>
        </is>
      </c>
      <c r="D42" s="1075" t="inlineStr">
        <is>
          <t>SPLIT</t>
        </is>
      </c>
      <c r="E42" s="1062" t="inlineStr">
        <is>
          <t>SERVICING</t>
        </is>
      </c>
      <c r="F42" s="1062" t="inlineStr">
        <is>
          <t>SERVICING</t>
        </is>
      </c>
      <c r="G42" s="1062" t="inlineStr">
        <is>
          <t>SERVICING</t>
        </is>
      </c>
      <c r="H42" s="1062" t="inlineStr">
        <is>
          <t>SERVICING</t>
        </is>
      </c>
    </row>
    <row r="43" ht="15" customHeight="1" s="955">
      <c r="A43" s="1157" t="n"/>
      <c r="B43" s="1157" t="n"/>
      <c r="C43" s="1157" t="n"/>
      <c r="D43" s="1157" t="n"/>
      <c r="E43" s="1157" t="n"/>
      <c r="F43" s="1157" t="n"/>
      <c r="G43" s="1157" t="n"/>
      <c r="H43" s="1157" t="n"/>
    </row>
    <row r="44">
      <c r="A44" s="1200" t="n"/>
      <c r="B44" s="1201" t="inlineStr">
        <is>
          <t>1-4</t>
        </is>
      </c>
      <c r="C44" s="1200" t="n"/>
      <c r="D44" s="1200" t="inlineStr">
        <is>
          <t>SPARE</t>
        </is>
      </c>
      <c r="E44" s="1200" t="n"/>
      <c r="F44" s="1200" t="n"/>
      <c r="G44" s="1200" t="n"/>
      <c r="H44" s="1200" t="n"/>
    </row>
    <row r="45">
      <c r="A45" s="1200" t="inlineStr">
        <is>
          <t>OLT01_104P_7S_FQVRNC</t>
        </is>
      </c>
      <c r="B45" s="1201" t="inlineStr">
        <is>
          <t>5-8</t>
        </is>
      </c>
      <c r="C45" s="1200" t="inlineStr">
        <is>
          <t>F 4932 ALLANBROOKE LN</t>
        </is>
      </c>
      <c r="D45" s="1202" t="inlineStr">
        <is>
          <t>OLT01_104P_FQVRNC, 2</t>
        </is>
      </c>
      <c r="E45" s="1200" t="inlineStr">
        <is>
          <t>5209 RIVINGTON RD</t>
        </is>
      </c>
      <c r="F45" s="1200" t="inlineStr">
        <is>
          <t>5205 RIVINGTON RD</t>
        </is>
      </c>
      <c r="G45" s="1200" t="inlineStr">
        <is>
          <t>5204 RIVINGTON RD</t>
        </is>
      </c>
      <c r="H45" s="1200" t="inlineStr">
        <is>
          <t>5208 RIVINGTON RD</t>
        </is>
      </c>
    </row>
    <row r="46">
      <c r="A46" s="1200" t="inlineStr">
        <is>
          <t>OLT01_104P_6S_FQVRNC</t>
        </is>
      </c>
      <c r="B46" s="1201" t="inlineStr">
        <is>
          <t>9-12</t>
        </is>
      </c>
      <c r="C46" s="1200" t="inlineStr">
        <is>
          <t>F 4932 ALLANBROOKE LN</t>
        </is>
      </c>
      <c r="D46" s="1202" t="inlineStr">
        <is>
          <t>OLT01_104P_FQVRNC, 3</t>
        </is>
      </c>
      <c r="E46" s="1200" t="inlineStr">
        <is>
          <t>4941 ALLANBROOKE LN</t>
        </is>
      </c>
      <c r="F46" s="1200" t="inlineStr">
        <is>
          <t>4945 ALLANBROOKE LN</t>
        </is>
      </c>
      <c r="G46" s="1200" t="inlineStr">
        <is>
          <t>4944 ALLANBROOKE LN</t>
        </is>
      </c>
      <c r="H46" s="1200" t="inlineStr">
        <is>
          <t>4932 ALLANBROOKE LN</t>
        </is>
      </c>
    </row>
    <row r="47">
      <c r="A47" s="1200" t="inlineStr">
        <is>
          <t>OLT01_104P_5S_FQVRNC</t>
        </is>
      </c>
      <c r="B47" s="1201" t="inlineStr">
        <is>
          <t>13-16</t>
        </is>
      </c>
      <c r="C47" s="1200" t="inlineStr">
        <is>
          <t>F 4924 ALLANBROOKE LN</t>
        </is>
      </c>
      <c r="D47" s="1202" t="inlineStr">
        <is>
          <t>OLT01_104P_FQVRNC, 4</t>
        </is>
      </c>
      <c r="E47" s="1200" t="inlineStr">
        <is>
          <t>4925 ALLANBROOKE LN</t>
        </is>
      </c>
      <c r="F47" s="1200" t="inlineStr">
        <is>
          <t>4929 ALLANBROOKE LN</t>
        </is>
      </c>
      <c r="G47" s="1200" t="inlineStr">
        <is>
          <t>4933 ALLANBROOKE LN</t>
        </is>
      </c>
      <c r="H47" s="1200" t="inlineStr">
        <is>
          <t>4937 ALLANBROOKE LN</t>
        </is>
      </c>
    </row>
    <row r="48">
      <c r="A48" s="1200" t="inlineStr">
        <is>
          <t>OLT01_104P_4S_FQVRNC</t>
        </is>
      </c>
      <c r="B48" s="1201" t="inlineStr">
        <is>
          <t>17-20</t>
        </is>
      </c>
      <c r="C48" s="1200" t="inlineStr">
        <is>
          <t>F 4924 ALLANBROOKE LN</t>
        </is>
      </c>
      <c r="D48" s="1200" t="inlineStr">
        <is>
          <t>OLT01_104P_FQVRNC, 5</t>
        </is>
      </c>
      <c r="E48" s="1200" t="inlineStr">
        <is>
          <t>4920 ALLANBROOKE LN</t>
        </is>
      </c>
      <c r="F48" s="1200" t="inlineStr">
        <is>
          <t>4916 ALLANBROOKE LN</t>
        </is>
      </c>
      <c r="G48" s="1200" t="inlineStr">
        <is>
          <t>4917 ALLANBROOKE LN</t>
        </is>
      </c>
      <c r="H48" s="1200" t="inlineStr">
        <is>
          <t>4921 ALLANBROOKE LN</t>
        </is>
      </c>
    </row>
    <row r="49">
      <c r="A49" s="1200" t="inlineStr">
        <is>
          <t>OLT01_104P_3S_FQVRNC</t>
        </is>
      </c>
      <c r="B49" s="1201" t="inlineStr">
        <is>
          <t>21-24</t>
        </is>
      </c>
      <c r="C49" s="1200" t="inlineStr">
        <is>
          <t>F 4908 ALLANBROOKE LN</t>
        </is>
      </c>
      <c r="D49" s="1200" t="inlineStr">
        <is>
          <t>OLT01_104P_FQVRNC, 6</t>
        </is>
      </c>
      <c r="E49" s="1200" t="inlineStr">
        <is>
          <t>5205 HILLTOP NEEDMORE RD</t>
        </is>
      </c>
      <c r="F49" s="1200" t="inlineStr">
        <is>
          <t>5209 HILLTOP NEEDMORE RD</t>
        </is>
      </c>
      <c r="G49" s="1200" t="inlineStr">
        <is>
          <t>4928 ALLANBROOKE LN</t>
        </is>
      </c>
      <c r="H49" s="1200" t="inlineStr">
        <is>
          <t>4924 ALLANBROOKE LN</t>
        </is>
      </c>
    </row>
    <row r="50">
      <c r="A50" s="1200" t="inlineStr">
        <is>
          <t>OLT01_104P_2S_FQVRNC</t>
        </is>
      </c>
      <c r="B50" s="1201" t="inlineStr">
        <is>
          <t>25-28</t>
        </is>
      </c>
      <c r="C50" s="1200" t="inlineStr">
        <is>
          <t>F 5000 ALLANBROOKE LN</t>
        </is>
      </c>
      <c r="D50" s="1200" t="inlineStr">
        <is>
          <t>OLT01_104P_FQVRNC, 7</t>
        </is>
      </c>
      <c r="E50" s="1200" t="inlineStr">
        <is>
          <t>5008 ALLANBROOKE LN</t>
        </is>
      </c>
      <c r="F50" s="1200" t="inlineStr">
        <is>
          <t>5000 ALLANBROOKE LN</t>
        </is>
      </c>
      <c r="G50" s="1200" t="inlineStr">
        <is>
          <t>5125 HILLTOP NEEDMORE RD</t>
        </is>
      </c>
      <c r="H50" s="1200" t="inlineStr">
        <is>
          <t>5201 HILLTOP NEEDMORE RD</t>
        </is>
      </c>
    </row>
    <row r="51">
      <c r="A51" s="1200" t="inlineStr">
        <is>
          <t>OLT01_104P_1S_FQVRNC</t>
        </is>
      </c>
      <c r="B51" s="1201" t="inlineStr">
        <is>
          <t>29-32</t>
        </is>
      </c>
      <c r="C51" s="1200" t="inlineStr">
        <is>
          <t>F 5012 ALLANBROOKE LN</t>
        </is>
      </c>
      <c r="D51" s="1200" t="inlineStr">
        <is>
          <t>OLT01_104P_FQVRNC, 8</t>
        </is>
      </c>
      <c r="E51" s="1200" t="inlineStr">
        <is>
          <t>5009 ALLANBROOKE LN</t>
        </is>
      </c>
      <c r="F51" s="1200" t="inlineStr">
        <is>
          <t>5013 ALLANBROOKE LN</t>
        </is>
      </c>
      <c r="G51" s="1200" t="inlineStr">
        <is>
          <t>5001 ALLANBROOKE LN</t>
        </is>
      </c>
      <c r="H51" s="1200" t="inlineStr">
        <is>
          <t>5005 ALLANBROOKE LN</t>
        </is>
      </c>
    </row>
    <row r="52">
      <c r="A52" s="192" t="n"/>
      <c r="B52" s="951" t="n"/>
      <c r="C52" s="192" t="n"/>
      <c r="D52" s="192" t="n"/>
      <c r="E52" s="192" t="inlineStr">
        <is>
          <t>  </t>
        </is>
      </c>
      <c r="F52" s="192" t="n"/>
      <c r="G52" s="192" t="n"/>
      <c r="H52" s="192" t="n"/>
    </row>
    <row r="53" ht="15.75" customHeight="1" s="955">
      <c r="A53" s="865" t="inlineStr">
        <is>
          <t>1X8 SPLITTER PLACEMENT</t>
        </is>
      </c>
      <c r="B53" s="949" t="n"/>
      <c r="C53" s="866" t="n"/>
      <c r="D53" s="866" t="n"/>
      <c r="E53" s="866" t="n"/>
      <c r="F53" s="866" t="n"/>
    </row>
    <row r="54">
      <c r="A54" s="1196" t="n">
        <v>105</v>
      </c>
      <c r="B54" s="950" t="n"/>
      <c r="C54" s="1197">
        <f>A54</f>
        <v/>
      </c>
      <c r="D54" s="880" t="n"/>
      <c r="E54" s="948" t="inlineStr"/>
      <c r="F54" s="1198" t="inlineStr">
        <is>
          <t>F 7800 ST ANNES WAY</t>
        </is>
      </c>
    </row>
    <row r="55" ht="15" customHeight="1" s="955">
      <c r="A55" s="1075" t="inlineStr">
        <is>
          <t>SPLITTER NAME</t>
        </is>
      </c>
      <c r="B55" s="1199" t="inlineStr">
        <is>
          <t>T COUNT</t>
        </is>
      </c>
      <c r="C55" s="1075" t="inlineStr">
        <is>
          <t>1X4 PLACEMENT ADDRESS</t>
        </is>
      </c>
      <c r="D55" s="1075" t="inlineStr">
        <is>
          <t>SPLIT</t>
        </is>
      </c>
      <c r="E55" s="1062" t="inlineStr">
        <is>
          <t>SERVICING</t>
        </is>
      </c>
      <c r="F55" s="1062" t="inlineStr">
        <is>
          <t>SERVICING</t>
        </is>
      </c>
      <c r="G55" s="1062" t="inlineStr">
        <is>
          <t>SERVICING</t>
        </is>
      </c>
      <c r="H55" s="1062" t="inlineStr">
        <is>
          <t>SERVICING</t>
        </is>
      </c>
    </row>
    <row r="56" ht="15" customHeight="1" s="955">
      <c r="A56" s="1157" t="n"/>
      <c r="B56" s="1157" t="n"/>
      <c r="C56" s="1157" t="n"/>
      <c r="D56" s="1157" t="n"/>
      <c r="E56" s="1157" t="n"/>
      <c r="F56" s="1157" t="n"/>
      <c r="G56" s="1157" t="n"/>
      <c r="H56" s="1157" t="n"/>
    </row>
    <row r="57">
      <c r="A57" s="1200" t="n"/>
      <c r="B57" s="1201" t="inlineStr">
        <is>
          <t>1-4</t>
        </is>
      </c>
      <c r="C57" s="1200" t="n"/>
      <c r="D57" s="1200" t="inlineStr">
        <is>
          <t>SPARE</t>
        </is>
      </c>
      <c r="E57" s="1200" t="n"/>
      <c r="F57" s="1200" t="n"/>
      <c r="G57" s="1200" t="n"/>
      <c r="H57" s="1200" t="n"/>
    </row>
    <row r="58">
      <c r="A58" s="1200" t="n"/>
      <c r="B58" s="1201" t="inlineStr">
        <is>
          <t>5-8</t>
        </is>
      </c>
      <c r="C58" s="1200" t="n"/>
      <c r="D58" s="1202" t="inlineStr">
        <is>
          <t>SPARE</t>
        </is>
      </c>
      <c r="E58" s="1200" t="n"/>
      <c r="F58" s="1200" t="n"/>
      <c r="G58" s="1200" t="n"/>
      <c r="H58" s="1200" t="n"/>
    </row>
    <row r="59">
      <c r="A59" s="1200" t="inlineStr">
        <is>
          <t>OLT01_105P_7S_FQVRNC</t>
        </is>
      </c>
      <c r="B59" s="1201" t="inlineStr">
        <is>
          <t>9-12</t>
        </is>
      </c>
      <c r="C59" s="1200" t="inlineStr">
        <is>
          <t>F 7824 ST ANNES WAY</t>
        </is>
      </c>
      <c r="D59" s="1202" t="inlineStr">
        <is>
          <t>OLT01_105P_FQVRNC, 3</t>
        </is>
      </c>
      <c r="E59" s="1200" t="inlineStr">
        <is>
          <t>7833 ST ANNES WAY</t>
        </is>
      </c>
      <c r="F59" s="1200" t="inlineStr">
        <is>
          <t>7821 ST ANNES WAY</t>
        </is>
      </c>
      <c r="G59" s="1200" t="n"/>
      <c r="H59" s="1200" t="inlineStr">
        <is>
          <t>6517 BIRKDALE CT</t>
        </is>
      </c>
    </row>
    <row r="60">
      <c r="A60" s="1200" t="inlineStr">
        <is>
          <t>OLT01_105P_6S_FQVRNC</t>
        </is>
      </c>
      <c r="B60" s="1201" t="inlineStr">
        <is>
          <t>13-16</t>
        </is>
      </c>
      <c r="C60" s="1200" t="inlineStr">
        <is>
          <t>F 8012 MUIRFIELD DR</t>
        </is>
      </c>
      <c r="D60" s="1202" t="inlineStr">
        <is>
          <t>OLT01_105P_FQVRNC, 4</t>
        </is>
      </c>
      <c r="E60" s="1200" t="inlineStr">
        <is>
          <t>8017 MUIRFIELD DR</t>
        </is>
      </c>
      <c r="F60" s="1200" t="inlineStr">
        <is>
          <t>8009 MUIRFIELD DR</t>
        </is>
      </c>
      <c r="G60" s="1200" t="inlineStr">
        <is>
          <t>8005 MUIRFIELD DR</t>
        </is>
      </c>
      <c r="H60" s="1200" t="inlineStr">
        <is>
          <t>7829 ST ANNES WAY</t>
        </is>
      </c>
    </row>
    <row r="61">
      <c r="A61" s="1200" t="inlineStr">
        <is>
          <t>OLT01_105P_5S_FQVRNC</t>
        </is>
      </c>
      <c r="B61" s="1201" t="inlineStr">
        <is>
          <t>17-20</t>
        </is>
      </c>
      <c r="C61" s="1200" t="inlineStr">
        <is>
          <t>F 8020 MUIRFIELD DR</t>
        </is>
      </c>
      <c r="D61" s="1200" t="inlineStr">
        <is>
          <t>OLT01_105P_FQVRNC, 5</t>
        </is>
      </c>
      <c r="E61" s="1200" t="inlineStr">
        <is>
          <t>8025 MUIRFIELD DR</t>
        </is>
      </c>
      <c r="F61" s="1200" t="inlineStr">
        <is>
          <t>8016 MUIRFIELD DR</t>
        </is>
      </c>
      <c r="G61" s="1200" t="inlineStr">
        <is>
          <t>8012 MUIRFIELD DR</t>
        </is>
      </c>
      <c r="H61" s="1200" t="inlineStr">
        <is>
          <t>8013 MUIRFIELD DR</t>
        </is>
      </c>
    </row>
    <row r="62">
      <c r="A62" s="1200" t="inlineStr">
        <is>
          <t>OLT01_105P_4S_FQVRNC</t>
        </is>
      </c>
      <c r="B62" s="1201" t="inlineStr">
        <is>
          <t>21-24</t>
        </is>
      </c>
      <c r="C62" s="1200" t="inlineStr">
        <is>
          <t>F 8024 BIRKDALE CT</t>
        </is>
      </c>
      <c r="D62" s="1200" t="inlineStr">
        <is>
          <t>OLT01_105P_FQVRNC, 6</t>
        </is>
      </c>
      <c r="E62" s="1200" t="inlineStr">
        <is>
          <t>8100 MUIRFIELD DR</t>
        </is>
      </c>
      <c r="F62" s="1200" t="inlineStr">
        <is>
          <t>8024 MUIRFIELD DR</t>
        </is>
      </c>
      <c r="G62" s="1200" t="inlineStr">
        <is>
          <t>8020 MUIRFIELD DR</t>
        </is>
      </c>
      <c r="H62" s="1200" t="inlineStr">
        <is>
          <t>8021 MUIRFIELD DR</t>
        </is>
      </c>
    </row>
    <row r="63">
      <c r="A63" s="1200" t="inlineStr">
        <is>
          <t>OLT01_105P_3S_FQVRNC</t>
        </is>
      </c>
      <c r="B63" s="1201" t="inlineStr">
        <is>
          <t>25-28</t>
        </is>
      </c>
      <c r="C63" s="1200" t="inlineStr">
        <is>
          <t>F 8024 BIRKDALE CT</t>
        </is>
      </c>
      <c r="D63" s="1200" t="inlineStr">
        <is>
          <t>OLT01_105P_FQVRNC, 7</t>
        </is>
      </c>
      <c r="E63" s="1200" t="inlineStr">
        <is>
          <t>6517 BIRKDALE CT</t>
        </is>
      </c>
      <c r="F63" s="1200" t="inlineStr">
        <is>
          <t>6513 BIRKDALE CT</t>
        </is>
      </c>
      <c r="G63" s="1200" t="inlineStr">
        <is>
          <t>6509 BIRKDALE CT</t>
        </is>
      </c>
      <c r="H63" s="1200" t="inlineStr">
        <is>
          <t>6508 BIRKDALE CT</t>
        </is>
      </c>
    </row>
    <row r="64">
      <c r="A64" s="1200" t="inlineStr">
        <is>
          <t>OLT01_105P_2S_FQVRNC</t>
        </is>
      </c>
      <c r="B64" s="1201" t="inlineStr">
        <is>
          <t>29-32</t>
        </is>
      </c>
      <c r="C64" s="1200" t="inlineStr">
        <is>
          <t>F 6508 BIRKDALE CT</t>
        </is>
      </c>
      <c r="D64" s="1200" t="inlineStr">
        <is>
          <t>OLT01_105P_FQVRNC, 8</t>
        </is>
      </c>
      <c r="E64" s="1200" t="inlineStr">
        <is>
          <t>6505 BIRKDALE CT</t>
        </is>
      </c>
      <c r="F64" s="1200" t="inlineStr">
        <is>
          <t>6501 BIRKDALE CT</t>
        </is>
      </c>
      <c r="G64" s="1200" t="inlineStr">
        <is>
          <t>6500 BIRKDALE CT</t>
        </is>
      </c>
      <c r="H64" s="1200" t="inlineStr">
        <is>
          <t>6504 BIRKDALE CT</t>
        </is>
      </c>
    </row>
    <row r="65">
      <c r="A65" s="192" t="n"/>
      <c r="B65" s="951" t="n"/>
      <c r="C65" s="192" t="n"/>
      <c r="D65" s="192" t="n"/>
      <c r="E65" s="192" t="inlineStr">
        <is>
          <t>  </t>
        </is>
      </c>
      <c r="F65" s="192" t="n"/>
      <c r="G65" s="192" t="n"/>
      <c r="H65" s="192" t="n"/>
    </row>
    <row r="66" ht="15.75" customHeight="1" s="955">
      <c r="A66" s="865" t="inlineStr">
        <is>
          <t>1X8 SPLITTER PLACEMENT</t>
        </is>
      </c>
      <c r="B66" s="949" t="n"/>
      <c r="C66" s="866" t="n"/>
      <c r="D66" s="866" t="n"/>
      <c r="E66" s="866" t="n"/>
      <c r="F66" s="866" t="n"/>
    </row>
    <row r="67">
      <c r="A67" s="1196" t="n">
        <v>106</v>
      </c>
      <c r="B67" s="950" t="n"/>
      <c r="C67" s="1197">
        <f>A67</f>
        <v/>
      </c>
      <c r="D67" s="881" t="n"/>
      <c r="E67" s="948" t="inlineStr"/>
      <c r="F67" s="1198" t="inlineStr">
        <is>
          <t>F 7800 ST ANNES WAY</t>
        </is>
      </c>
    </row>
    <row r="68" ht="15" customHeight="1" s="955">
      <c r="A68" s="1075" t="inlineStr">
        <is>
          <t>SPLITTER NAME</t>
        </is>
      </c>
      <c r="B68" s="1199" t="inlineStr">
        <is>
          <t>T COUNT</t>
        </is>
      </c>
      <c r="C68" s="1075" t="inlineStr">
        <is>
          <t>1X4 PLACEMENT ADDRESS</t>
        </is>
      </c>
      <c r="D68" s="1075" t="inlineStr">
        <is>
          <t>SPLIT</t>
        </is>
      </c>
      <c r="E68" s="1062" t="inlineStr">
        <is>
          <t>SERVICING</t>
        </is>
      </c>
      <c r="F68" s="1062" t="inlineStr">
        <is>
          <t>SERVICING</t>
        </is>
      </c>
      <c r="G68" s="1062" t="inlineStr">
        <is>
          <t>SERVICING</t>
        </is>
      </c>
      <c r="H68" s="1062" t="inlineStr">
        <is>
          <t>SERVICING</t>
        </is>
      </c>
    </row>
    <row r="69" ht="15" customHeight="1" s="955">
      <c r="A69" s="1157" t="n"/>
      <c r="B69" s="1157" t="n"/>
      <c r="C69" s="1157" t="n"/>
      <c r="D69" s="1157" t="n"/>
      <c r="E69" s="1157" t="n"/>
      <c r="F69" s="1157" t="n"/>
      <c r="G69" s="1157" t="n"/>
      <c r="H69" s="1157" t="n"/>
    </row>
    <row r="70" ht="15" customHeight="1" s="955">
      <c r="A70" s="1200" t="n"/>
      <c r="B70" s="1201" t="inlineStr">
        <is>
          <t>1-4</t>
        </is>
      </c>
      <c r="C70" s="1200" t="n"/>
      <c r="D70" s="1200" t="inlineStr">
        <is>
          <t>SPARE</t>
        </is>
      </c>
      <c r="E70" s="1200" t="n"/>
      <c r="F70" s="1200" t="n"/>
      <c r="G70" s="1200" t="n"/>
      <c r="H70" s="1200" t="n"/>
    </row>
    <row r="71">
      <c r="A71" s="1200" t="n"/>
      <c r="B71" s="1201" t="inlineStr">
        <is>
          <t>5-8</t>
        </is>
      </c>
      <c r="C71" s="1200" t="n"/>
      <c r="D71" s="1202" t="inlineStr">
        <is>
          <t>SPARE</t>
        </is>
      </c>
      <c r="E71" s="1200" t="n"/>
      <c r="F71" s="1200" t="n"/>
      <c r="G71" s="1200" t="n"/>
      <c r="H71" s="1200" t="n"/>
    </row>
    <row r="72">
      <c r="A72" s="1200" t="inlineStr">
        <is>
          <t>OLT01_106P_6S_FQVRNC</t>
        </is>
      </c>
      <c r="B72" s="1201" t="inlineStr">
        <is>
          <t>9-12</t>
        </is>
      </c>
      <c r="C72" s="1200" t="inlineStr">
        <is>
          <t>F 6528 OLD MILLS RD</t>
        </is>
      </c>
      <c r="D72" s="1202" t="inlineStr">
        <is>
          <t>OLT01_106P_FQVRNC, 3</t>
        </is>
      </c>
      <c r="E72" s="1200" t="inlineStr">
        <is>
          <t>6512 OLD MILLS RD</t>
        </is>
      </c>
      <c r="F72" s="1200" t="inlineStr">
        <is>
          <t>6508 OLD MILLS RD</t>
        </is>
      </c>
      <c r="G72" s="1200" t="inlineStr">
        <is>
          <t>6620 OLD MILLS RD</t>
        </is>
      </c>
      <c r="H72" s="1200" t="inlineStr">
        <is>
          <t>6612 OLD MILLS RD</t>
        </is>
      </c>
    </row>
    <row r="73">
      <c r="A73" s="1200" t="inlineStr">
        <is>
          <t>OLT01_106P_5S_FQVRNC</t>
        </is>
      </c>
      <c r="B73" s="1201" t="inlineStr">
        <is>
          <t>13-16</t>
        </is>
      </c>
      <c r="C73" s="1200" t="inlineStr">
        <is>
          <t>F 7804 ST ANNES WAY</t>
        </is>
      </c>
      <c r="D73" s="1202" t="inlineStr">
        <is>
          <t>OLT01_106P_FQVRNC, 4</t>
        </is>
      </c>
      <c r="E73" s="1200" t="inlineStr">
        <is>
          <t>7804 ST ANNES WAY</t>
        </is>
      </c>
      <c r="F73" s="1200" t="inlineStr">
        <is>
          <t>6528 OLD MILLS RD</t>
        </is>
      </c>
      <c r="G73" s="1200" t="inlineStr">
        <is>
          <t>6524 OLD MILLS RD</t>
        </is>
      </c>
      <c r="H73" s="1200" t="inlineStr">
        <is>
          <t>6520 OLD MILLS RD</t>
        </is>
      </c>
    </row>
    <row r="74">
      <c r="A74" s="1200" t="inlineStr">
        <is>
          <t>OLT01_106P_4S_FQVRNC</t>
        </is>
      </c>
      <c r="B74" s="1201" t="inlineStr">
        <is>
          <t>17-20</t>
        </is>
      </c>
      <c r="C74" s="1200" t="inlineStr">
        <is>
          <t>F 7812 ST ANNES WAY</t>
        </is>
      </c>
      <c r="D74" s="1200" t="inlineStr">
        <is>
          <t>OLT01_106P_FQVRNC, 5</t>
        </is>
      </c>
      <c r="E74" s="1200" t="inlineStr">
        <is>
          <t>7808 ST ANNES WAY</t>
        </is>
      </c>
      <c r="F74" s="1200" t="inlineStr">
        <is>
          <t>7809 ST ANNES WAY</t>
        </is>
      </c>
      <c r="G74" s="1200" t="inlineStr">
        <is>
          <t>7801 ST ANNES WAY</t>
        </is>
      </c>
      <c r="H74" s="1200" t="inlineStr">
        <is>
          <t>7800 ST ANNES WAY</t>
        </is>
      </c>
    </row>
    <row r="75">
      <c r="A75" s="1200" t="inlineStr">
        <is>
          <t>OLT01_106P_3S_FQVRNC</t>
        </is>
      </c>
      <c r="B75" s="1201" t="inlineStr">
        <is>
          <t>21-24</t>
        </is>
      </c>
      <c r="C75" s="1200" t="inlineStr">
        <is>
          <t>F 7813 VARDON CT</t>
        </is>
      </c>
      <c r="D75" s="1200" t="inlineStr">
        <is>
          <t>OLT01_106P_FQVRNC, 6</t>
        </is>
      </c>
      <c r="E75" s="1200" t="inlineStr">
        <is>
          <t>7813 ST ANNES WAY</t>
        </is>
      </c>
      <c r="F75" s="1200" t="inlineStr">
        <is>
          <t>6605 VARDON CT</t>
        </is>
      </c>
      <c r="G75" s="1200" t="inlineStr">
        <is>
          <t>7816 ST ANNES WAY</t>
        </is>
      </c>
      <c r="H75" s="1200" t="inlineStr">
        <is>
          <t>7812 ST ANNES WAY</t>
        </is>
      </c>
    </row>
    <row r="76">
      <c r="A76" s="1200" t="inlineStr">
        <is>
          <t>OLT01_106P_2S_FQVRNC</t>
        </is>
      </c>
      <c r="B76" s="1201" t="inlineStr">
        <is>
          <t>25-28</t>
        </is>
      </c>
      <c r="C76" s="1200" t="inlineStr">
        <is>
          <t>F 7813 VARDON CT</t>
        </is>
      </c>
      <c r="D76" s="1200" t="inlineStr">
        <is>
          <t>OLT01_106P_FQVRNC, 7</t>
        </is>
      </c>
      <c r="E76" s="1200" t="inlineStr">
        <is>
          <t>6609 VARDON CT</t>
        </is>
      </c>
      <c r="F76" s="1200" t="inlineStr">
        <is>
          <t>6608 VARDON CT</t>
        </is>
      </c>
      <c r="G76" s="1200" t="inlineStr">
        <is>
          <t>6604 VARDON CT</t>
        </is>
      </c>
      <c r="H76" s="1200" t="inlineStr">
        <is>
          <t>7817 ST ANNES WAY</t>
        </is>
      </c>
    </row>
    <row r="77">
      <c r="A77" s="1200" t="inlineStr">
        <is>
          <t>OLT01_106P_1S_FQVRNC</t>
        </is>
      </c>
      <c r="B77" s="1201" t="inlineStr">
        <is>
          <t>29-32</t>
        </is>
      </c>
      <c r="C77" s="1200" t="inlineStr">
        <is>
          <t>F 7824 ST ANNES WAY</t>
        </is>
      </c>
      <c r="D77" s="1200" t="inlineStr">
        <is>
          <t>OLT01_106P_FQVRNC, 8</t>
        </is>
      </c>
      <c r="E77" s="1200" t="inlineStr">
        <is>
          <t>7825 ST ANNES WAY</t>
        </is>
      </c>
      <c r="F77" s="1200" t="inlineStr">
        <is>
          <t>7820 ST ANNES WAY</t>
        </is>
      </c>
      <c r="G77" s="1200" t="inlineStr">
        <is>
          <t>7824 ST ANNES WAY</t>
        </is>
      </c>
      <c r="H77" s="1200" t="inlineStr">
        <is>
          <t>8008 MUIRFIELD DR</t>
        </is>
      </c>
    </row>
    <row r="78">
      <c r="A78" s="192" t="n"/>
      <c r="B78" s="951" t="n"/>
      <c r="C78" s="192" t="n"/>
      <c r="D78" s="947" t="n"/>
      <c r="E78" s="192" t="inlineStr">
        <is>
          <t>  </t>
        </is>
      </c>
      <c r="F78" s="192" t="n"/>
      <c r="G78" s="192" t="n"/>
      <c r="H78" s="192" t="n"/>
    </row>
    <row r="79" ht="15.75" customHeight="1" s="955">
      <c r="A79" s="865" t="inlineStr">
        <is>
          <t>1X8 SPLITTER PLACEMENT</t>
        </is>
      </c>
      <c r="B79" s="949" t="n"/>
      <c r="C79" s="866" t="n"/>
      <c r="D79" s="866" t="n"/>
      <c r="E79" s="866" t="n"/>
      <c r="F79" s="866" t="n"/>
    </row>
    <row r="80" ht="15" customHeight="1" s="955">
      <c r="A80" s="1196" t="n">
        <v>107</v>
      </c>
      <c r="B80" s="950" t="n"/>
      <c r="C80" s="1197">
        <f>A80</f>
        <v/>
      </c>
      <c r="D80" s="882" t="n"/>
      <c r="E80" s="948" t="n"/>
      <c r="F80" s="1198" t="inlineStr">
        <is>
          <t>F 6620 OLD MILLS RD</t>
        </is>
      </c>
    </row>
    <row r="81" ht="15" customHeight="1" s="955">
      <c r="A81" s="1075" t="inlineStr">
        <is>
          <t>SPLITTER NAME</t>
        </is>
      </c>
      <c r="B81" s="1199" t="inlineStr">
        <is>
          <t>T COUNT</t>
        </is>
      </c>
      <c r="C81" s="1075" t="inlineStr">
        <is>
          <t>1X4 PLACEMENT ADDRESS</t>
        </is>
      </c>
      <c r="D81" s="1075" t="inlineStr">
        <is>
          <t>SPLIT</t>
        </is>
      </c>
      <c r="E81" s="1062" t="inlineStr">
        <is>
          <t>SERVICING</t>
        </is>
      </c>
      <c r="F81" s="1062" t="inlineStr">
        <is>
          <t>SERVICING</t>
        </is>
      </c>
      <c r="G81" s="1062" t="inlineStr">
        <is>
          <t>SERVICING</t>
        </is>
      </c>
      <c r="H81" s="1062" t="inlineStr">
        <is>
          <t>SERVICING</t>
        </is>
      </c>
    </row>
    <row r="82" ht="15" customHeight="1" s="955">
      <c r="A82" s="1157" t="n"/>
      <c r="B82" s="1157" t="n"/>
      <c r="C82" s="1157" t="n"/>
      <c r="D82" s="1157" t="n"/>
      <c r="E82" s="1157" t="n"/>
      <c r="F82" s="1157" t="n"/>
      <c r="G82" s="1157" t="n"/>
      <c r="H82" s="1157" t="n"/>
    </row>
    <row r="83">
      <c r="A83" s="1200" t="n"/>
      <c r="B83" s="1201" t="inlineStr">
        <is>
          <t>1-4</t>
        </is>
      </c>
      <c r="C83" s="1200" t="n"/>
      <c r="D83" s="1200" t="inlineStr">
        <is>
          <t>SPARE</t>
        </is>
      </c>
      <c r="E83" s="1200" t="n"/>
      <c r="F83" s="1200" t="n"/>
      <c r="G83" s="1200" t="n"/>
      <c r="H83" s="1200" t="n"/>
    </row>
    <row r="84">
      <c r="A84" s="1200" t="inlineStr">
        <is>
          <t>OLT01_107P_8S_FQVRNC</t>
        </is>
      </c>
      <c r="B84" s="1201" t="inlineStr">
        <is>
          <t>5-8</t>
        </is>
      </c>
      <c r="C84" s="1200" t="inlineStr">
        <is>
          <t>F 5300 RIVINGTON RD</t>
        </is>
      </c>
      <c r="D84" s="1202" t="inlineStr">
        <is>
          <t>OLT01_107P_FQVRNC, 2</t>
        </is>
      </c>
      <c r="E84" s="1200" t="inlineStr">
        <is>
          <t>6641 OLD MILLS RD</t>
        </is>
      </c>
      <c r="F84" s="1200" t="inlineStr">
        <is>
          <t>5213 RIVINGTON RD</t>
        </is>
      </c>
      <c r="G84" s="1200" t="inlineStr">
        <is>
          <t>5212 RIVINGTON RD</t>
        </is>
      </c>
      <c r="H84" s="1200" t="inlineStr">
        <is>
          <t>5216 RIVINGTON RD</t>
        </is>
      </c>
    </row>
    <row r="85">
      <c r="A85" s="1200" t="inlineStr">
        <is>
          <t>OLT01_107P_7S_FQVRNC</t>
        </is>
      </c>
      <c r="B85" s="1201" t="inlineStr">
        <is>
          <t>9-12</t>
        </is>
      </c>
      <c r="C85" s="1200" t="inlineStr">
        <is>
          <t>F 5300 RIVINGTON RD</t>
        </is>
      </c>
      <c r="D85" s="1202" t="inlineStr">
        <is>
          <t>OLT01_107P_FQVRNC, 3</t>
        </is>
      </c>
      <c r="E85" s="1200" t="inlineStr">
        <is>
          <t>5305 RIVINGTON RD</t>
        </is>
      </c>
      <c r="F85" s="1200" t="inlineStr">
        <is>
          <t>5300 RIVINGTON RD</t>
        </is>
      </c>
      <c r="G85" s="1200" t="inlineStr">
        <is>
          <t>5309 RIVINGTON RD</t>
        </is>
      </c>
      <c r="H85" s="1200" t="inlineStr">
        <is>
          <t>5308 RIVINGTON RD</t>
        </is>
      </c>
    </row>
    <row r="86">
      <c r="A86" s="1200" t="inlineStr">
        <is>
          <t>OLT01_107P_6S_FQVRNC</t>
        </is>
      </c>
      <c r="B86" s="1201" t="inlineStr">
        <is>
          <t>13-16</t>
        </is>
      </c>
      <c r="C86" s="1200" t="inlineStr">
        <is>
          <t>F 5000 NORTHRIDING CT</t>
        </is>
      </c>
      <c r="D86" s="1202" t="inlineStr">
        <is>
          <t>OLT01_107P_FQVRNC, 4</t>
        </is>
      </c>
      <c r="E86" s="1200" t="inlineStr">
        <is>
          <t>5009 NORTHRIDING CT</t>
        </is>
      </c>
      <c r="F86" s="1200" t="inlineStr">
        <is>
          <t>5229 RIVINGTON RD</t>
        </is>
      </c>
      <c r="G86" s="1200" t="inlineStr">
        <is>
          <t>5000 NORTHRIDING CT</t>
        </is>
      </c>
      <c r="H86" s="1200" t="inlineStr">
        <is>
          <t>5004 NORTHRIDING CT</t>
        </is>
      </c>
    </row>
    <row r="87">
      <c r="A87" s="1200" t="inlineStr">
        <is>
          <t>OLT01_107P_5S_FQVRNC</t>
        </is>
      </c>
      <c r="B87" s="1201" t="inlineStr">
        <is>
          <t>17-20</t>
        </is>
      </c>
      <c r="C87" s="1200" t="inlineStr">
        <is>
          <t>F 5008 NORTHRIDING CT</t>
        </is>
      </c>
      <c r="D87" s="1200" t="inlineStr">
        <is>
          <t>OLT01_107P_FQVRNC, 5</t>
        </is>
      </c>
      <c r="E87" s="1200" t="inlineStr">
        <is>
          <t>5017 NORTHRIDING CT</t>
        </is>
      </c>
      <c r="F87" s="1200" t="inlineStr">
        <is>
          <t>5021 NORTHRIDING CT</t>
        </is>
      </c>
      <c r="G87" s="1200" t="inlineStr">
        <is>
          <t>5025 NORTHRIDING CT</t>
        </is>
      </c>
      <c r="H87" s="1200" t="inlineStr">
        <is>
          <t>5024 NORTHRIDING CT</t>
        </is>
      </c>
    </row>
    <row r="88">
      <c r="A88" s="1200" t="inlineStr">
        <is>
          <t>OLT01_107P_4S_FQVRNC</t>
        </is>
      </c>
      <c r="B88" s="1201" t="inlineStr">
        <is>
          <t>21-24</t>
        </is>
      </c>
      <c r="C88" s="1200" t="inlineStr">
        <is>
          <t>F 5008 NORTHRIDING CT</t>
        </is>
      </c>
      <c r="D88" s="1200" t="inlineStr">
        <is>
          <t>OLT01_107P_FQVRNC, 6</t>
        </is>
      </c>
      <c r="E88" s="1200" t="inlineStr">
        <is>
          <t>5020 NORTHRIDING CT</t>
        </is>
      </c>
      <c r="F88" s="1200" t="inlineStr">
        <is>
          <t>5016 NORTHRIDING CT</t>
        </is>
      </c>
      <c r="G88" s="1200" t="inlineStr">
        <is>
          <t>5012 NORTHRIDING CT</t>
        </is>
      </c>
      <c r="H88" s="1200" t="inlineStr">
        <is>
          <t>5008 NORTHRIDING CT</t>
        </is>
      </c>
    </row>
    <row r="89">
      <c r="A89" s="1200" t="inlineStr">
        <is>
          <t>OLT01_107P_3S_FQVRNC</t>
        </is>
      </c>
      <c r="B89" s="1201" t="inlineStr">
        <is>
          <t>25-28</t>
        </is>
      </c>
      <c r="C89" s="1200" t="inlineStr">
        <is>
          <t>F 5228 RIVINGTON RD</t>
        </is>
      </c>
      <c r="D89" s="1200" t="inlineStr">
        <is>
          <t>OLT01_107P_FQVRNC, 7</t>
        </is>
      </c>
      <c r="E89" s="1200" t="inlineStr">
        <is>
          <t>5220 RIVINGTON RD</t>
        </is>
      </c>
      <c r="F89" s="1200" t="inlineStr">
        <is>
          <t>5224 RIVINGTON RD</t>
        </is>
      </c>
      <c r="G89" s="1200" t="inlineStr">
        <is>
          <t>5228 RIVINGTON RD</t>
        </is>
      </c>
      <c r="H89" s="1200" t="inlineStr">
        <is>
          <t>5232 RIVINGTON RD</t>
        </is>
      </c>
    </row>
    <row r="90">
      <c r="A90" s="1200" t="inlineStr">
        <is>
          <t>OLT01_107P_2S_FQVRNC</t>
        </is>
      </c>
      <c r="B90" s="1201" t="inlineStr">
        <is>
          <t>29-32</t>
        </is>
      </c>
      <c r="C90" s="1200" t="inlineStr">
        <is>
          <t>F 5212 RIVINGTON RD</t>
        </is>
      </c>
      <c r="D90" s="1200" t="inlineStr">
        <is>
          <t>OLT01_107P_FQVRNC, 8</t>
        </is>
      </c>
      <c r="E90" s="1200" t="inlineStr">
        <is>
          <t>5221 RIVINGTON RD</t>
        </is>
      </c>
      <c r="F90" s="1200" t="inlineStr">
        <is>
          <t>5213 RIVINGTON RD</t>
        </is>
      </c>
      <c r="G90" s="1200" t="inlineStr">
        <is>
          <t>5212 RIVINGTON RD</t>
        </is>
      </c>
      <c r="H90" s="1200" t="inlineStr">
        <is>
          <t>5216 RIVINGTON RD</t>
        </is>
      </c>
    </row>
    <row r="91">
      <c r="A91" s="959" t="n"/>
      <c r="B91" s="960" t="n"/>
      <c r="C91" s="961" t="n"/>
      <c r="D91" s="962" t="n"/>
      <c r="E91" s="964" t="n"/>
      <c r="F91" s="964" t="n"/>
      <c r="G91" s="965" t="n"/>
    </row>
    <row r="92" ht="15" customHeight="1" s="955">
      <c r="A92" s="865" t="inlineStr">
        <is>
          <t>1X8 SPLITTER PLACEMENT</t>
        </is>
      </c>
      <c r="B92" s="949" t="n"/>
      <c r="C92" s="866" t="n"/>
      <c r="D92" s="866" t="n"/>
      <c r="E92" s="866" t="n"/>
      <c r="F92" s="866" t="n"/>
    </row>
    <row r="93" ht="15" customHeight="1" s="955">
      <c r="A93" s="1196" t="n">
        <v>108</v>
      </c>
      <c r="B93" s="950" t="n"/>
      <c r="C93" s="1197">
        <f>A93</f>
        <v/>
      </c>
      <c r="D93" s="883" t="n"/>
      <c r="E93" s="948" t="inlineStr"/>
      <c r="F93" s="1198" t="inlineStr">
        <is>
          <t>F 2329 FAIRWAY VIEW DR</t>
        </is>
      </c>
    </row>
    <row r="94" ht="15" customHeight="1" s="955">
      <c r="A94" s="1075" t="inlineStr">
        <is>
          <t>SPLITTER NAME</t>
        </is>
      </c>
      <c r="B94" s="1199" t="inlineStr">
        <is>
          <t>T COUNT</t>
        </is>
      </c>
      <c r="C94" s="1075" t="inlineStr">
        <is>
          <t>1X4 PLACEMENT ADDRESS</t>
        </is>
      </c>
      <c r="D94" s="1075" t="inlineStr">
        <is>
          <t>SPLIT</t>
        </is>
      </c>
      <c r="E94" s="1062" t="inlineStr">
        <is>
          <t>SERVICING</t>
        </is>
      </c>
      <c r="F94" s="1062" t="inlineStr">
        <is>
          <t>SERVICING</t>
        </is>
      </c>
      <c r="G94" s="1062" t="inlineStr">
        <is>
          <t>SERVICING</t>
        </is>
      </c>
      <c r="H94" s="1062" t="inlineStr">
        <is>
          <t>SERVICING</t>
        </is>
      </c>
    </row>
    <row r="95" ht="15" customHeight="1" s="955">
      <c r="A95" s="1157" t="n"/>
      <c r="B95" s="1157" t="n"/>
      <c r="C95" s="1157" t="n"/>
      <c r="D95" s="1157" t="n"/>
      <c r="E95" s="1157" t="n"/>
      <c r="F95" s="1157" t="n"/>
      <c r="G95" s="1157" t="n"/>
      <c r="H95" s="1157" t="n"/>
    </row>
    <row r="96">
      <c r="A96" s="1200" t="n"/>
      <c r="B96" s="1201" t="inlineStr">
        <is>
          <t>1-4</t>
        </is>
      </c>
      <c r="C96" s="1200" t="n"/>
      <c r="D96" s="1200" t="inlineStr">
        <is>
          <t>SPARE</t>
        </is>
      </c>
      <c r="E96" s="1200" t="n"/>
      <c r="F96" s="1200" t="n"/>
      <c r="G96" s="1200" t="n"/>
      <c r="H96" s="1200" t="n"/>
    </row>
    <row r="97">
      <c r="A97" s="1200" t="n"/>
      <c r="B97" s="1201" t="inlineStr">
        <is>
          <t>5-8</t>
        </is>
      </c>
      <c r="C97" s="1200" t="n"/>
      <c r="D97" s="1202" t="inlineStr">
        <is>
          <t>SPARE</t>
        </is>
      </c>
      <c r="E97" s="1200" t="n"/>
      <c r="F97" s="1200" t="n"/>
      <c r="G97" s="1200" t="n"/>
      <c r="H97" s="1200" t="n"/>
    </row>
    <row r="98">
      <c r="A98" s="1200" t="n"/>
      <c r="B98" s="1201" t="inlineStr">
        <is>
          <t>9-12</t>
        </is>
      </c>
      <c r="C98" s="1200" t="n"/>
      <c r="D98" s="1202" t="inlineStr">
        <is>
          <t>SPARE</t>
        </is>
      </c>
      <c r="E98" s="1200" t="n"/>
      <c r="F98" s="1200" t="n"/>
      <c r="G98" s="1200" t="n"/>
      <c r="H98" s="1200" t="n"/>
    </row>
    <row r="99">
      <c r="A99" s="1200" t="n"/>
      <c r="B99" s="1201" t="inlineStr">
        <is>
          <t>13-16</t>
        </is>
      </c>
      <c r="C99" s="1200" t="n"/>
      <c r="D99" s="1202" t="inlineStr">
        <is>
          <t>SPARE</t>
        </is>
      </c>
      <c r="E99" s="1200" t="n"/>
      <c r="F99" s="1200" t="n"/>
      <c r="G99" s="1200" t="n"/>
      <c r="H99" s="1200" t="n"/>
    </row>
    <row r="100">
      <c r="A100" s="1200" t="n"/>
      <c r="B100" s="1201" t="inlineStr">
        <is>
          <t>17-20</t>
        </is>
      </c>
      <c r="C100" s="1200" t="n"/>
      <c r="D100" s="1200" t="inlineStr">
        <is>
          <t>SPARE</t>
        </is>
      </c>
      <c r="E100" s="1200" t="n"/>
      <c r="F100" s="1200" t="n"/>
      <c r="G100" s="1200" t="n"/>
      <c r="H100" s="1200" t="n"/>
    </row>
    <row r="101">
      <c r="A101" s="1200" t="n"/>
      <c r="B101" s="1201" t="inlineStr">
        <is>
          <t>21-24</t>
        </is>
      </c>
      <c r="C101" s="1200" t="n"/>
      <c r="D101" s="1200" t="inlineStr">
        <is>
          <t>SPARE</t>
        </is>
      </c>
      <c r="E101" s="1200" t="n"/>
      <c r="F101" s="1200" t="n"/>
      <c r="G101" s="1200" t="n"/>
      <c r="H101" s="1200" t="n"/>
    </row>
    <row r="102">
      <c r="A102" s="1200" t="n"/>
      <c r="B102" s="1201" t="inlineStr">
        <is>
          <t>25-28</t>
        </is>
      </c>
      <c r="C102" s="1200" t="n"/>
      <c r="D102" s="1200" t="inlineStr">
        <is>
          <t>SPARE</t>
        </is>
      </c>
      <c r="E102" s="1200" t="n"/>
      <c r="F102" s="1200" t="n"/>
      <c r="G102" s="1200" t="n"/>
      <c r="H102" s="1200" t="n"/>
    </row>
    <row r="103">
      <c r="A103" s="1200" t="inlineStr">
        <is>
          <t>OLT01_108P_8S_FQVRNC</t>
        </is>
      </c>
      <c r="B103" s="1201" t="inlineStr">
        <is>
          <t>29-32</t>
        </is>
      </c>
      <c r="C103" s="1200" t="inlineStr">
        <is>
          <t>F 3828 FAIRWAY VIEW DR</t>
        </is>
      </c>
      <c r="D103" s="1200" t="inlineStr">
        <is>
          <t>OLT01_108P_FQVRNC, 8</t>
        </is>
      </c>
      <c r="E103" s="1200" t="inlineStr">
        <is>
          <t>3825 FAIRWAY VIEW DR</t>
        </is>
      </c>
      <c r="F103" s="1200" t="inlineStr">
        <is>
          <t>3832 FAIRWAY VIEW DR</t>
        </is>
      </c>
      <c r="G103" s="1200" t="inlineStr">
        <is>
          <t>3828 FAIRWAY VIEW DR</t>
        </is>
      </c>
      <c r="H103" s="1200" t="inlineStr">
        <is>
          <t>3824 FAIRWAY VIEW DR</t>
        </is>
      </c>
    </row>
    <row r="104" ht="15" customHeight="1" s="955">
      <c r="A104" s="958" t="n"/>
      <c r="B104" s="956" t="n"/>
      <c r="D104" s="957" t="n"/>
    </row>
    <row r="105" ht="15" customHeight="1" s="955">
      <c r="A105" s="865" t="inlineStr">
        <is>
          <t>1X8 SPLITTER PLACEMENT</t>
        </is>
      </c>
      <c r="B105" s="949" t="n"/>
      <c r="C105" s="866" t="n"/>
      <c r="D105" s="866" t="n"/>
      <c r="E105" s="866" t="n"/>
      <c r="F105" s="866" t="n"/>
    </row>
    <row r="106" ht="15" customHeight="1" s="955">
      <c r="A106" s="1196" t="n">
        <v>109</v>
      </c>
      <c r="B106" s="950" t="n"/>
      <c r="C106" s="1203">
        <f>A106</f>
        <v/>
      </c>
      <c r="D106" s="869" t="n"/>
      <c r="E106" s="948" t="inlineStr"/>
      <c r="F106" s="1198" t="inlineStr">
        <is>
          <t>F 2329 FAIRWAY VIEW DR</t>
        </is>
      </c>
    </row>
    <row r="107" ht="15" customHeight="1" s="955">
      <c r="A107" s="1075" t="inlineStr">
        <is>
          <t>SPLITTER NAME</t>
        </is>
      </c>
      <c r="B107" s="1199" t="inlineStr">
        <is>
          <t>T COUNT</t>
        </is>
      </c>
      <c r="C107" s="1075" t="inlineStr">
        <is>
          <t>1X4 PLACEMENT ADDRESS</t>
        </is>
      </c>
      <c r="D107" s="1075" t="inlineStr">
        <is>
          <t>SPLIT</t>
        </is>
      </c>
      <c r="E107" s="1062" t="inlineStr">
        <is>
          <t>SERVICING</t>
        </is>
      </c>
      <c r="F107" s="1062" t="inlineStr">
        <is>
          <t>SERVICING</t>
        </is>
      </c>
      <c r="G107" s="1062" t="inlineStr">
        <is>
          <t>SERVICING</t>
        </is>
      </c>
      <c r="H107" s="1062" t="inlineStr">
        <is>
          <t>SERVICING</t>
        </is>
      </c>
    </row>
    <row r="108">
      <c r="A108" s="1157" t="n"/>
      <c r="B108" s="1157" t="n"/>
      <c r="C108" s="1157" t="n"/>
      <c r="D108" s="1157" t="n"/>
      <c r="E108" s="1157" t="n"/>
      <c r="F108" s="1157" t="n"/>
      <c r="G108" s="1157" t="n"/>
      <c r="H108" s="1157" t="n"/>
    </row>
    <row r="109">
      <c r="A109" s="1200" t="inlineStr">
        <is>
          <t>OLT01_109P_8S_FQVRNC</t>
        </is>
      </c>
      <c r="B109" s="1201" t="inlineStr">
        <is>
          <t>1-4</t>
        </is>
      </c>
      <c r="C109" s="1200" t="inlineStr">
        <is>
          <t>F 2401 EAGLE CT</t>
        </is>
      </c>
      <c r="D109" s="1200" t="inlineStr">
        <is>
          <t>OLT01_109P_FQVRNC, 1</t>
        </is>
      </c>
      <c r="E109" s="1200" t="inlineStr">
        <is>
          <t>2404 EAGLE SHOT CT</t>
        </is>
      </c>
      <c r="F109" s="1200" t="inlineStr">
        <is>
          <t>3813 FAIRWAY VIEW DR</t>
        </is>
      </c>
      <c r="G109" s="1200" t="inlineStr">
        <is>
          <t>3809 FAIRWAY VIEW DR</t>
        </is>
      </c>
      <c r="H109" s="1200" t="inlineStr">
        <is>
          <t>3805 FAIRWAY VIEW DR</t>
        </is>
      </c>
    </row>
    <row r="110">
      <c r="A110" s="1200" t="inlineStr">
        <is>
          <t>OLT01_109P_7S_FQVRNC</t>
        </is>
      </c>
      <c r="B110" s="1201" t="inlineStr">
        <is>
          <t>5-8</t>
        </is>
      </c>
      <c r="C110" s="1200" t="inlineStr">
        <is>
          <t>F 2401 EAGLE CT</t>
        </is>
      </c>
      <c r="D110" s="1202" t="inlineStr">
        <is>
          <t>OLT01_109P_FQVRNC, 2</t>
        </is>
      </c>
      <c r="E110" s="1200" t="inlineStr">
        <is>
          <t>2409 EAGLE SHOT CT</t>
        </is>
      </c>
      <c r="F110" s="1200" t="inlineStr">
        <is>
          <t>2405 EAGLE SHOT CT</t>
        </is>
      </c>
      <c r="G110" s="1200" t="inlineStr">
        <is>
          <t>2401 EAGLE SHOT CT</t>
        </is>
      </c>
      <c r="H110" s="1200" t="inlineStr">
        <is>
          <t>3801 FAIRWAY VIEW DR</t>
        </is>
      </c>
    </row>
    <row r="111">
      <c r="A111" s="1200" t="inlineStr">
        <is>
          <t>OLT01_109P_6S_FQVRNC</t>
        </is>
      </c>
      <c r="B111" s="1201" t="inlineStr">
        <is>
          <t>9-12</t>
        </is>
      </c>
      <c r="C111" s="1200" t="inlineStr">
        <is>
          <t>F 2325 EAGLE SHOT CT</t>
        </is>
      </c>
      <c r="D111" s="1202" t="inlineStr">
        <is>
          <t>OLT01_109P_FQVRNC, 3</t>
        </is>
      </c>
      <c r="E111" s="1200" t="inlineStr">
        <is>
          <t>2324 EAGLE SHOT CT</t>
        </is>
      </c>
      <c r="F111" s="1200" t="inlineStr">
        <is>
          <t>2325 EAGLE SHOT CT</t>
        </is>
      </c>
      <c r="G111" s="1200" t="inlineStr">
        <is>
          <t>2329 EAGLE SHOT CT</t>
        </is>
      </c>
      <c r="H111" s="1200" t="inlineStr">
        <is>
          <t>2408 EAGLE SHOT CT</t>
        </is>
      </c>
    </row>
    <row r="112">
      <c r="A112" s="1200" t="inlineStr">
        <is>
          <t>OLT01_109P_5S_FQVRNC</t>
        </is>
      </c>
      <c r="B112" s="1201" t="inlineStr">
        <is>
          <t>13-16</t>
        </is>
      </c>
      <c r="C112" s="1200" t="inlineStr">
        <is>
          <t>F 2321 EAGLE SHOT CT</t>
        </is>
      </c>
      <c r="D112" s="1202" t="inlineStr">
        <is>
          <t>OLT01_109P_FQVRNC, 4</t>
        </is>
      </c>
      <c r="E112" s="1200" t="inlineStr">
        <is>
          <t>2316 EAGLE SHOT CT</t>
        </is>
      </c>
      <c r="F112" s="1200" t="inlineStr">
        <is>
          <t>2317 EAGLE SHOT CT</t>
        </is>
      </c>
      <c r="G112" s="1200" t="inlineStr">
        <is>
          <t>2321 EAGLE SHOT CT</t>
        </is>
      </c>
      <c r="H112" s="1200" t="inlineStr">
        <is>
          <t>3800 FAIRWAY VIEW DR</t>
        </is>
      </c>
    </row>
    <row r="113">
      <c r="A113" s="1200" t="inlineStr">
        <is>
          <t>OLT01_109P_4S_FQVRNC</t>
        </is>
      </c>
      <c r="B113" s="1201" t="inlineStr">
        <is>
          <t>17-20</t>
        </is>
      </c>
      <c r="C113" s="1200" t="inlineStr">
        <is>
          <t>F 2313 EAGLE SHOT CT</t>
        </is>
      </c>
      <c r="D113" s="1200" t="inlineStr">
        <is>
          <t>OLT01_109P_FQVRNC, 5</t>
        </is>
      </c>
      <c r="E113" s="1200" t="inlineStr">
        <is>
          <t>2308 EAGLE SHOT CT</t>
        </is>
      </c>
      <c r="F113" s="1200" t="inlineStr">
        <is>
          <t>2304 EAGLE SHOT CT</t>
        </is>
      </c>
      <c r="G113" s="1200" t="inlineStr">
        <is>
          <t>2300 EAGLE SHOT CT</t>
        </is>
      </c>
      <c r="H113" s="1200" t="inlineStr">
        <is>
          <t>2320 EAGLE SHOT CT</t>
        </is>
      </c>
    </row>
    <row r="114">
      <c r="A114" s="1200" t="inlineStr">
        <is>
          <t>OLT01_109P_3S_FQVRNC</t>
        </is>
      </c>
      <c r="B114" s="1201" t="inlineStr">
        <is>
          <t>21-24</t>
        </is>
      </c>
      <c r="C114" s="1200" t="inlineStr">
        <is>
          <t>F 2313 EAGLE SHOT CT</t>
        </is>
      </c>
      <c r="D114" s="1200" t="inlineStr">
        <is>
          <t>OLT01_109P_FQVRNC, 6</t>
        </is>
      </c>
      <c r="E114" s="1200" t="inlineStr">
        <is>
          <t>2305 EAGLE SHOT CT</t>
        </is>
      </c>
      <c r="F114" s="1200" t="inlineStr">
        <is>
          <t>2309 EAGLE SHOT CT</t>
        </is>
      </c>
      <c r="G114" s="1200" t="inlineStr">
        <is>
          <t>2313 EAGLE SHOT CT</t>
        </is>
      </c>
      <c r="H114" s="1200" t="inlineStr">
        <is>
          <t>2312 EAGLE SHOT CT</t>
        </is>
      </c>
    </row>
    <row r="115">
      <c r="A115" s="1200" t="inlineStr">
        <is>
          <t>OLT01_109P_2S_FQVRNC</t>
        </is>
      </c>
      <c r="B115" s="1201" t="inlineStr">
        <is>
          <t>25-28</t>
        </is>
      </c>
      <c r="C115" s="1200" t="inlineStr">
        <is>
          <t>F 3812 FAIRWAY VIEW DR</t>
        </is>
      </c>
      <c r="D115" s="1200" t="inlineStr">
        <is>
          <t>OLT01_109P_FQVRNC, 7</t>
        </is>
      </c>
      <c r="E115" s="1200" t="inlineStr">
        <is>
          <t>3812 FAIRWAY VIEW DR</t>
        </is>
      </c>
      <c r="F115" s="1200" t="inlineStr">
        <is>
          <t>3820 FAIRWAY VIEW DR</t>
        </is>
      </c>
      <c r="G115" s="1200" t="inlineStr">
        <is>
          <t>3821 FAIRWAY VIEW DR</t>
        </is>
      </c>
      <c r="H115" s="1200" t="inlineStr">
        <is>
          <t>2301 EAGLE SHOT CT</t>
        </is>
      </c>
    </row>
    <row r="116" ht="15" customHeight="1" s="955">
      <c r="A116" s="1200" t="inlineStr">
        <is>
          <t>OLT01_109P_1S_FQVRNC</t>
        </is>
      </c>
      <c r="B116" s="1201" t="inlineStr">
        <is>
          <t>29-32</t>
        </is>
      </c>
      <c r="C116" s="1200" t="inlineStr">
        <is>
          <t>F 3812 FAIRWAY VIEW DR</t>
        </is>
      </c>
      <c r="D116" s="1200" t="inlineStr">
        <is>
          <t>OLT01_109P_FQVRNC, 8</t>
        </is>
      </c>
      <c r="E116" s="1200" t="inlineStr">
        <is>
          <t>3817 FAIRWAY VIEW DR</t>
        </is>
      </c>
      <c r="F116" s="1200" t="inlineStr">
        <is>
          <t>3813 FAIRWAY VIEW DR</t>
        </is>
      </c>
      <c r="G116" s="1200" t="inlineStr">
        <is>
          <t>3809 FAIRWAY VIEW DR</t>
        </is>
      </c>
      <c r="H116" s="1200" t="inlineStr">
        <is>
          <t>3805 FAIRWAY VIEW DR</t>
        </is>
      </c>
    </row>
    <row r="117" ht="15" customHeight="1" s="955">
      <c r="A117" s="958" t="n"/>
      <c r="B117" s="956" t="n"/>
      <c r="D117" s="957" t="n"/>
    </row>
    <row r="118" ht="15.75" customHeight="1" s="955">
      <c r="A118" s="865" t="inlineStr">
        <is>
          <t>1X8 SPLITTER PLACEMENT</t>
        </is>
      </c>
      <c r="B118" s="949" t="n"/>
      <c r="C118" s="866" t="n"/>
      <c r="D118" s="866" t="n"/>
      <c r="E118" s="866" t="n"/>
      <c r="F118" s="866" t="n"/>
    </row>
    <row r="119">
      <c r="A119" s="1196" t="n">
        <v>110</v>
      </c>
      <c r="B119" s="950" t="n"/>
      <c r="C119" s="1203">
        <f>A119</f>
        <v/>
      </c>
      <c r="D119" s="873" t="n"/>
      <c r="E119" s="948" t="inlineStr"/>
      <c r="F119" s="1198" t="inlineStr">
        <is>
          <t>F 3501 BENTWOOD BLUFFS LN</t>
        </is>
      </c>
    </row>
    <row r="120" ht="15" customHeight="1" s="955">
      <c r="A120" s="1075" t="inlineStr">
        <is>
          <t>SPLITTER NAME</t>
        </is>
      </c>
      <c r="B120" s="1199" t="inlineStr">
        <is>
          <t>T COUNT</t>
        </is>
      </c>
      <c r="C120" s="1075" t="inlineStr">
        <is>
          <t>1X4 PLACEMENT ADDRESS</t>
        </is>
      </c>
      <c r="D120" s="1075" t="inlineStr">
        <is>
          <t>SPLIT</t>
        </is>
      </c>
      <c r="E120" s="1062" t="inlineStr">
        <is>
          <t>SERVICING</t>
        </is>
      </c>
      <c r="F120" s="1062" t="inlineStr">
        <is>
          <t>SERVICING</t>
        </is>
      </c>
      <c r="G120" s="1062" t="inlineStr">
        <is>
          <t>SERVICING</t>
        </is>
      </c>
      <c r="H120" s="1062" t="inlineStr">
        <is>
          <t>SERVICING</t>
        </is>
      </c>
    </row>
    <row r="121" ht="15" customHeight="1" s="955">
      <c r="A121" s="1157" t="n"/>
      <c r="B121" s="1157" t="n"/>
      <c r="C121" s="1157" t="n"/>
      <c r="D121" s="1157" t="n"/>
      <c r="E121" s="1157" t="n"/>
      <c r="F121" s="1157" t="n"/>
      <c r="G121" s="1157" t="n"/>
      <c r="H121" s="1157" t="n"/>
    </row>
    <row r="122">
      <c r="A122" s="1200" t="n"/>
      <c r="B122" s="1201" t="inlineStr">
        <is>
          <t>1-4</t>
        </is>
      </c>
      <c r="C122" s="1200" t="n"/>
      <c r="D122" s="1200" t="inlineStr">
        <is>
          <t>SPARE</t>
        </is>
      </c>
      <c r="E122" s="1200" t="n"/>
      <c r="F122" s="1200" t="n"/>
      <c r="G122" s="1200" t="n"/>
      <c r="H122" s="1200" t="n"/>
    </row>
    <row r="123">
      <c r="A123" s="1200" t="inlineStr">
        <is>
          <t>OLT01_110P_8S_FQVRNC</t>
        </is>
      </c>
      <c r="B123" s="1201" t="inlineStr">
        <is>
          <t>5-8</t>
        </is>
      </c>
      <c r="C123" s="1200" t="inlineStr">
        <is>
          <t>F 3501 BENTWINDS BLUFFS LN</t>
        </is>
      </c>
      <c r="D123" s="1202" t="inlineStr">
        <is>
          <t>OLT01_110P_FQVRNC, 2</t>
        </is>
      </c>
      <c r="E123" s="1200" t="inlineStr">
        <is>
          <t>3501 BENTWINDS BLUFFS LN</t>
        </is>
      </c>
      <c r="F123" s="1200" t="inlineStr">
        <is>
          <t>3505 BENTWINDS BLUFFS LN</t>
        </is>
      </c>
      <c r="G123" s="1200" t="inlineStr">
        <is>
          <t>3509 BENTWINDS BLUFFS LN</t>
        </is>
      </c>
      <c r="H123" s="1200" t="inlineStr">
        <is>
          <t>3513 BENTWINDS BLUFFS LN</t>
        </is>
      </c>
    </row>
    <row r="124">
      <c r="A124" s="1200" t="inlineStr">
        <is>
          <t>OLT01_110P_7S_FQVRNC</t>
        </is>
      </c>
      <c r="B124" s="1201" t="inlineStr">
        <is>
          <t>9-12</t>
        </is>
      </c>
      <c r="C124" s="1200" t="inlineStr">
        <is>
          <t>F 3501 BENTWINDS BLUFFS LN</t>
        </is>
      </c>
      <c r="D124" s="1202" t="inlineStr">
        <is>
          <t>OLT01_110P_FQVRNC, 3</t>
        </is>
      </c>
      <c r="E124" s="1200" t="inlineStr">
        <is>
          <t>3512 BENTWINDS BLUFFS LN</t>
        </is>
      </c>
      <c r="F124" s="1200" t="inlineStr">
        <is>
          <t>3508 BENTWINDS BLUFFS LN</t>
        </is>
      </c>
      <c r="G124" s="1200" t="inlineStr">
        <is>
          <t>3504 BENTWINDS BLUFFS LN</t>
        </is>
      </c>
      <c r="H124" s="1200" t="inlineStr">
        <is>
          <t>3500 BENTWINDS BLUFFS LN</t>
        </is>
      </c>
    </row>
    <row r="125">
      <c r="A125" s="1200" t="inlineStr">
        <is>
          <t>OLT01_110P_6S_FQVRNC</t>
        </is>
      </c>
      <c r="B125" s="1201" t="inlineStr">
        <is>
          <t>13-16</t>
        </is>
      </c>
      <c r="C125" s="1200" t="inlineStr">
        <is>
          <t>F 3517 BENTWINDS BLUFFS LN</t>
        </is>
      </c>
      <c r="D125" s="1202" t="inlineStr">
        <is>
          <t>OLT01_110P_FQVRNC, 4</t>
        </is>
      </c>
      <c r="E125" s="1200" t="inlineStr">
        <is>
          <t>3517 BENTWINDS BLUFFS LN</t>
        </is>
      </c>
      <c r="F125" s="1200" t="inlineStr">
        <is>
          <t>3521 BENTWINDS BLUFFS LN</t>
        </is>
      </c>
      <c r="G125" s="1200" t="inlineStr">
        <is>
          <t>3608 BENTWINDS BLUFFS LN</t>
        </is>
      </c>
      <c r="H125" s="1200" t="inlineStr">
        <is>
          <t>3516 BENTWINDS BLUFFS LN</t>
        </is>
      </c>
    </row>
    <row r="126">
      <c r="A126" s="1200" t="inlineStr">
        <is>
          <t>OLT01_110P_5S_FQVRNC</t>
        </is>
      </c>
      <c r="B126" s="1201" t="inlineStr">
        <is>
          <t>17-20</t>
        </is>
      </c>
      <c r="C126" s="1200" t="inlineStr">
        <is>
          <t>F 3529 BENTWINDS BLUFFS LN</t>
        </is>
      </c>
      <c r="D126" s="1200" t="inlineStr">
        <is>
          <t>OLT01_110P_FQVRNC, 5</t>
        </is>
      </c>
      <c r="E126" s="1200" t="inlineStr">
        <is>
          <t>3601 BENTWINDS BLUFFS LN</t>
        </is>
      </c>
      <c r="F126" s="1200" t="inlineStr">
        <is>
          <t>3533 BENTWINDS BLUFFS LN</t>
        </is>
      </c>
      <c r="G126" s="1200" t="inlineStr">
        <is>
          <t>3529 BENTWINDS BLUFFS LN</t>
        </is>
      </c>
      <c r="H126" s="1200" t="inlineStr">
        <is>
          <t>3525 BENTWINDS BLUFFS LN</t>
        </is>
      </c>
    </row>
    <row r="127">
      <c r="A127" s="1200" t="inlineStr">
        <is>
          <t>OLT01_110P_4S_FQVRNC</t>
        </is>
      </c>
      <c r="B127" s="1201" t="inlineStr">
        <is>
          <t>21-24</t>
        </is>
      </c>
      <c r="C127" s="1200" t="inlineStr">
        <is>
          <t>F 3609 BENTWINDS BLUFFS LN</t>
        </is>
      </c>
      <c r="D127" s="1200" t="inlineStr">
        <is>
          <t>OLT01_110P_FQVRNC, 6</t>
        </is>
      </c>
      <c r="E127" s="1200" t="inlineStr">
        <is>
          <t>3605 BENTWINDS BLUFFS LN</t>
        </is>
      </c>
      <c r="F127" s="1200" t="inlineStr">
        <is>
          <t>3609 BENTWINDS BLUFFS LN</t>
        </is>
      </c>
      <c r="G127" s="1200" t="inlineStr">
        <is>
          <t>3613 BENTWINDS BLUFFS LN</t>
        </is>
      </c>
      <c r="H127" s="1200" t="inlineStr">
        <is>
          <t>3617 BENTWINDS BLUFFS LN</t>
        </is>
      </c>
    </row>
    <row r="128" ht="15" customHeight="1" s="955">
      <c r="A128" s="1200" t="inlineStr">
        <is>
          <t>OLT01_110P_3S_FQVRNC</t>
        </is>
      </c>
      <c r="B128" s="1201" t="inlineStr">
        <is>
          <t>25-28</t>
        </is>
      </c>
      <c r="C128" s="1200" t="inlineStr">
        <is>
          <t>F 3609 BENTWINDS BLUFFS LN</t>
        </is>
      </c>
      <c r="D128" s="1200" t="inlineStr">
        <is>
          <t>OLT01_110P_FQVRNC, 7</t>
        </is>
      </c>
      <c r="E128" s="1200" t="inlineStr">
        <is>
          <t>3616 BENTWINDS BLUFFS LN</t>
        </is>
      </c>
      <c r="F128" s="1200" t="inlineStr">
        <is>
          <t>3620 BENTWINDS BLUFFS LN</t>
        </is>
      </c>
      <c r="G128" s="1200" t="inlineStr">
        <is>
          <t>5736 MIZUNO DR</t>
        </is>
      </c>
      <c r="H128" s="1200" t="inlineStr">
        <is>
          <t>3636 BENTWINDS BLUFFS LN</t>
        </is>
      </c>
    </row>
    <row r="129" ht="15" customHeight="1" s="955">
      <c r="A129" s="1200" t="inlineStr">
        <is>
          <t>OLT01_110P_2S_FQVRNC</t>
        </is>
      </c>
      <c r="B129" s="1201" t="inlineStr">
        <is>
          <t>29-32</t>
        </is>
      </c>
      <c r="C129" s="1200" t="inlineStr">
        <is>
          <t>F 3609 BENTWINDS BLUFFS LN</t>
        </is>
      </c>
      <c r="D129" s="1200" t="inlineStr">
        <is>
          <t>OLT01_110P_FQVRNC, 8</t>
        </is>
      </c>
      <c r="E129" s="1200" t="inlineStr">
        <is>
          <t>3633 BENTWINDS BLUFFS LN</t>
        </is>
      </c>
      <c r="F129" s="1200" t="inlineStr">
        <is>
          <t>3629 BENTWINDS BLUFFS LN</t>
        </is>
      </c>
      <c r="G129" s="1200" t="inlineStr">
        <is>
          <t>3625 BENTWINDS BLUFFS LN</t>
        </is>
      </c>
      <c r="H129" s="1200" t="inlineStr">
        <is>
          <t>3621 BENTWINDS BLUFFS LN</t>
        </is>
      </c>
    </row>
    <row r="130">
      <c r="A130" s="958" t="n"/>
      <c r="B130" s="956" t="n"/>
      <c r="D130" s="957" t="n"/>
    </row>
    <row r="131" ht="15.75" customHeight="1" s="955">
      <c r="A131" s="865" t="inlineStr">
        <is>
          <t>1X8 SPLITTER PLACEMENT</t>
        </is>
      </c>
      <c r="B131" s="949" t="n"/>
      <c r="C131" s="866" t="n"/>
      <c r="D131" s="866" t="n"/>
      <c r="E131" s="866" t="n"/>
      <c r="F131" s="866" t="n"/>
    </row>
    <row r="132">
      <c r="A132" s="1196" t="n">
        <v>111</v>
      </c>
      <c r="B132" s="950" t="n"/>
      <c r="C132" s="1203">
        <f>A132</f>
        <v/>
      </c>
      <c r="D132" s="874" t="n"/>
      <c r="E132" s="948" t="inlineStr"/>
      <c r="F132" s="1198" t="inlineStr">
        <is>
          <t>F 3425 FAIRWAY VIEW</t>
        </is>
      </c>
    </row>
    <row r="133" ht="15" customHeight="1" s="955">
      <c r="A133" s="1075" t="inlineStr">
        <is>
          <t>SPLITTER NAME</t>
        </is>
      </c>
      <c r="B133" s="1199" t="inlineStr">
        <is>
          <t>T COUNT</t>
        </is>
      </c>
      <c r="C133" s="1075" t="inlineStr">
        <is>
          <t>1X4 PLACEMENT ADDRESS</t>
        </is>
      </c>
      <c r="D133" s="1075" t="inlineStr">
        <is>
          <t>SPLIT</t>
        </is>
      </c>
      <c r="E133" s="1062" t="inlineStr">
        <is>
          <t>SERVICING</t>
        </is>
      </c>
      <c r="F133" s="1062" t="inlineStr">
        <is>
          <t>SERVICING</t>
        </is>
      </c>
      <c r="G133" s="1062" t="inlineStr">
        <is>
          <t>SERVICING</t>
        </is>
      </c>
      <c r="H133" s="1062" t="inlineStr">
        <is>
          <t>SERVICING</t>
        </is>
      </c>
    </row>
    <row r="134" ht="15" customHeight="1" s="955">
      <c r="A134" s="1157" t="n"/>
      <c r="B134" s="1157" t="n"/>
      <c r="C134" s="1157" t="n"/>
      <c r="D134" s="1157" t="n"/>
      <c r="E134" s="1157" t="n"/>
      <c r="F134" s="1157" t="n"/>
      <c r="G134" s="1157" t="n"/>
      <c r="H134" s="1157" t="n"/>
    </row>
    <row r="135">
      <c r="A135" s="1200" t="n"/>
      <c r="B135" s="1201" t="inlineStr">
        <is>
          <t>1-4</t>
        </is>
      </c>
      <c r="C135" s="1200" t="n"/>
      <c r="D135" s="1200" t="inlineStr">
        <is>
          <t>SPARE</t>
        </is>
      </c>
      <c r="E135" s="1200" t="n"/>
      <c r="F135" s="1200" t="n"/>
      <c r="G135" s="1200" t="n"/>
      <c r="H135" s="1200" t="n"/>
    </row>
    <row r="136">
      <c r="A136" s="1200" t="n"/>
      <c r="B136" s="1201" t="inlineStr">
        <is>
          <t>5-8</t>
        </is>
      </c>
      <c r="C136" s="1200" t="n"/>
      <c r="D136" s="1202" t="inlineStr">
        <is>
          <t>SPARE</t>
        </is>
      </c>
      <c r="E136" s="1200" t="n"/>
      <c r="F136" s="1200" t="n"/>
      <c r="G136" s="1200" t="n"/>
      <c r="H136" s="1200" t="n"/>
    </row>
    <row r="137">
      <c r="A137" s="1200" t="n"/>
      <c r="B137" s="1201" t="inlineStr">
        <is>
          <t>9-12</t>
        </is>
      </c>
      <c r="C137" s="1200" t="n"/>
      <c r="D137" s="1202" t="inlineStr">
        <is>
          <t>SPARE</t>
        </is>
      </c>
      <c r="E137" s="1200" t="n"/>
      <c r="F137" s="1200" t="n"/>
      <c r="G137" s="1200" t="n"/>
      <c r="H137" s="1200" t="n"/>
    </row>
    <row r="138">
      <c r="A138" s="1200" t="n"/>
      <c r="B138" s="1201" t="inlineStr">
        <is>
          <t>13-16</t>
        </is>
      </c>
      <c r="C138" s="1200" t="n"/>
      <c r="D138" s="1202" t="inlineStr">
        <is>
          <t>SPARE</t>
        </is>
      </c>
      <c r="E138" s="1200" t="n"/>
      <c r="F138" s="1200" t="n"/>
      <c r="G138" s="1200" t="n"/>
      <c r="H138" s="1200" t="n"/>
    </row>
    <row r="139">
      <c r="A139" s="1200" t="inlineStr">
        <is>
          <t>OLT01_111P_8S_FQVRNC</t>
        </is>
      </c>
      <c r="B139" s="1201" t="inlineStr">
        <is>
          <t>17-20</t>
        </is>
      </c>
      <c r="C139" s="1200" t="inlineStr">
        <is>
          <t>F 5705 MIZUNO DR</t>
        </is>
      </c>
      <c r="D139" s="1200" t="inlineStr">
        <is>
          <t>OLT01_111P_FQVRNC, 5</t>
        </is>
      </c>
      <c r="E139" s="1200" t="inlineStr">
        <is>
          <t>5705 MIZUNO DR</t>
        </is>
      </c>
      <c r="F139" s="1200" t="inlineStr">
        <is>
          <t>5709 MIZUNO DR</t>
        </is>
      </c>
      <c r="G139" s="1200" t="inlineStr">
        <is>
          <t>5713 MIZUNO DR</t>
        </is>
      </c>
      <c r="H139" s="1200" t="inlineStr">
        <is>
          <t>5717 MIZUNO DR</t>
        </is>
      </c>
    </row>
    <row r="140" ht="15" customHeight="1" s="955">
      <c r="A140" s="1200" t="inlineStr">
        <is>
          <t>OLT01_111P_7S_FQVRNC</t>
        </is>
      </c>
      <c r="B140" s="1201" t="inlineStr">
        <is>
          <t>21-24</t>
        </is>
      </c>
      <c r="C140" s="1200" t="inlineStr">
        <is>
          <t>F 5705 MIZUNO DR</t>
        </is>
      </c>
      <c r="D140" s="1200" t="inlineStr">
        <is>
          <t>OLT01_111P_FQVRNC, 6</t>
        </is>
      </c>
      <c r="E140" s="1200" t="inlineStr">
        <is>
          <t>5716 MIZUNO DR</t>
        </is>
      </c>
      <c r="F140" s="1200" t="inlineStr">
        <is>
          <t>5712 MIZUNO DR</t>
        </is>
      </c>
      <c r="G140" s="1200" t="inlineStr">
        <is>
          <t>5708 MIZUNO DR</t>
        </is>
      </c>
      <c r="H140" s="1200" t="inlineStr">
        <is>
          <t>5700 MIZUNO DR</t>
        </is>
      </c>
    </row>
    <row r="141" ht="15" customHeight="1" s="955">
      <c r="A141" s="1200" t="inlineStr">
        <is>
          <t>OLT01_111P_6S_FQVRNC</t>
        </is>
      </c>
      <c r="B141" s="1201" t="inlineStr">
        <is>
          <t>25-28</t>
        </is>
      </c>
      <c r="C141" s="1200" t="inlineStr">
        <is>
          <t>F 5725 MIZUNO DR</t>
        </is>
      </c>
      <c r="D141" s="1200" t="inlineStr">
        <is>
          <t>OLT01_111P_FQVRNC, 7</t>
        </is>
      </c>
      <c r="E141" s="1200" t="inlineStr">
        <is>
          <t>5732 MIZUNO DR</t>
        </is>
      </c>
      <c r="F141" s="1200" t="inlineStr">
        <is>
          <t>5728 MIZUNO DR</t>
        </is>
      </c>
      <c r="G141" s="1200" t="inlineStr">
        <is>
          <t>5724 MIZUNO DR</t>
        </is>
      </c>
      <c r="H141" s="1200" t="inlineStr">
        <is>
          <t>5720 MIZUNO DR</t>
        </is>
      </c>
    </row>
    <row r="142">
      <c r="A142" s="1200" t="inlineStr">
        <is>
          <t>OLT01_111P_5S_FQVRNC</t>
        </is>
      </c>
      <c r="B142" s="1201" t="inlineStr">
        <is>
          <t>29-32</t>
        </is>
      </c>
      <c r="C142" s="1200" t="inlineStr">
        <is>
          <t>F 5725 MIZUNO DR</t>
        </is>
      </c>
      <c r="D142" s="1200" t="inlineStr">
        <is>
          <t>OLT01_111P_FQVRNC, 8</t>
        </is>
      </c>
      <c r="E142" s="1200" t="inlineStr">
        <is>
          <t>5721 MIZUNO DR</t>
        </is>
      </c>
      <c r="F142" s="1200" t="inlineStr">
        <is>
          <t>5725 MIZUNO DR</t>
        </is>
      </c>
      <c r="G142" s="1200" t="inlineStr">
        <is>
          <t>5729 MIZUNO DR</t>
        </is>
      </c>
      <c r="H142" s="1200" t="inlineStr">
        <is>
          <t>5733 MIZUNO DR</t>
        </is>
      </c>
    </row>
    <row r="143">
      <c r="A143" s="958" t="n"/>
      <c r="B143" s="956" t="n"/>
      <c r="D143" s="957" t="n"/>
    </row>
    <row r="144" ht="15.75" customHeight="1" s="955">
      <c r="A144" s="865" t="inlineStr">
        <is>
          <t>1X8 SPLITTER PLACEMENT</t>
        </is>
      </c>
      <c r="B144" s="949" t="n"/>
      <c r="C144" s="866" t="n"/>
      <c r="D144" s="866" t="n"/>
      <c r="E144" s="866" t="n"/>
      <c r="F144" s="866" t="n"/>
    </row>
    <row r="145">
      <c r="A145" s="1196" t="n">
        <v>112</v>
      </c>
      <c r="B145" s="950" t="n"/>
      <c r="C145" s="1203">
        <f>A145</f>
        <v/>
      </c>
      <c r="D145" s="885" t="n"/>
      <c r="E145" s="948" t="inlineStr"/>
      <c r="F145" s="1198" t="inlineStr">
        <is>
          <t>F 3425 FAIRWAY VIEW</t>
        </is>
      </c>
    </row>
    <row r="146" ht="15" customHeight="1" s="955">
      <c r="A146" s="1075" t="inlineStr">
        <is>
          <t>SPLITTER NAME</t>
        </is>
      </c>
      <c r="B146" s="1199" t="inlineStr">
        <is>
          <t>T COUNT</t>
        </is>
      </c>
      <c r="C146" s="1075" t="inlineStr">
        <is>
          <t>1X4 PLACEMENT ADDRESS</t>
        </is>
      </c>
      <c r="D146" s="1075" t="inlineStr">
        <is>
          <t>SPLIT</t>
        </is>
      </c>
      <c r="E146" s="1062" t="inlineStr">
        <is>
          <t>SERVICING</t>
        </is>
      </c>
      <c r="F146" s="1062" t="inlineStr">
        <is>
          <t>SERVICING</t>
        </is>
      </c>
      <c r="G146" s="1062" t="inlineStr">
        <is>
          <t>SERVICING</t>
        </is>
      </c>
      <c r="H146" s="1062" t="inlineStr">
        <is>
          <t>SERVICING</t>
        </is>
      </c>
    </row>
    <row r="147" ht="15" customHeight="1" s="955">
      <c r="A147" s="1157" t="n"/>
      <c r="B147" s="1157" t="n"/>
      <c r="C147" s="1157" t="n"/>
      <c r="D147" s="1157" t="n"/>
      <c r="E147" s="1157" t="n"/>
      <c r="F147" s="1157" t="n"/>
      <c r="G147" s="1157" t="n"/>
      <c r="H147" s="1157" t="n"/>
    </row>
    <row r="148">
      <c r="A148" s="1200" t="n"/>
      <c r="B148" s="1201" t="inlineStr">
        <is>
          <t>1-4</t>
        </is>
      </c>
      <c r="C148" s="1200" t="n"/>
      <c r="D148" s="1200" t="inlineStr">
        <is>
          <t>SPARE</t>
        </is>
      </c>
      <c r="E148" s="1200" t="n"/>
      <c r="F148" s="1200" t="n"/>
      <c r="G148" s="1200" t="n"/>
      <c r="H148" s="1200" t="n"/>
    </row>
    <row r="149">
      <c r="A149" s="1200" t="inlineStr">
        <is>
          <t>OLT01_112P_7S_FQVRNC</t>
        </is>
      </c>
      <c r="B149" s="1201" t="inlineStr">
        <is>
          <t>5-8</t>
        </is>
      </c>
      <c r="C149" s="1200" t="inlineStr">
        <is>
          <t>F 3421 BENTWINDS BLUFFS LN</t>
        </is>
      </c>
      <c r="D149" s="1202" t="inlineStr">
        <is>
          <t>OLT01_112P_FQVRNC, 2</t>
        </is>
      </c>
      <c r="E149" s="1200" t="inlineStr">
        <is>
          <t>3424 BENTWINDS BLUFFS LN</t>
        </is>
      </c>
      <c r="F149" s="1200" t="inlineStr">
        <is>
          <t>3420 BENTWINDS BLUFFS LN</t>
        </is>
      </c>
      <c r="G149" s="1200" t="inlineStr">
        <is>
          <t>3416 BENTWINDS BLUFFS LN</t>
        </is>
      </c>
      <c r="H149" s="1200" t="inlineStr">
        <is>
          <t>3321 BENTWINDS BLUFFS LN</t>
        </is>
      </c>
    </row>
    <row r="150">
      <c r="A150" s="1200" t="inlineStr">
        <is>
          <t>OLT01_112P_6S_FQVRNC</t>
        </is>
      </c>
      <c r="B150" s="1201" t="inlineStr">
        <is>
          <t>9-12</t>
        </is>
      </c>
      <c r="C150" s="1200" t="inlineStr">
        <is>
          <t>F 3417 BENTWINDS BLUFFS LN</t>
        </is>
      </c>
      <c r="D150" s="1202" t="inlineStr">
        <is>
          <t>OLT01_112P_FQVRNC, 3</t>
        </is>
      </c>
      <c r="E150" s="1200" t="inlineStr">
        <is>
          <t>3408 BENTWINDS BLUFFS LN</t>
        </is>
      </c>
      <c r="F150" s="1200" t="inlineStr">
        <is>
          <t>3421 BENTWINDS BLUFFS LN</t>
        </is>
      </c>
      <c r="G150" s="1200" t="inlineStr">
        <is>
          <t>3425 BENTWINDS BLUFFS LN</t>
        </is>
      </c>
      <c r="H150" s="1200" t="inlineStr">
        <is>
          <t>3428 BENTWINDS BLUFFS LN</t>
        </is>
      </c>
    </row>
    <row r="151">
      <c r="A151" s="1200" t="inlineStr">
        <is>
          <t>OLT01_112P_5S_FQVRNC</t>
        </is>
      </c>
      <c r="B151" s="1201" t="inlineStr">
        <is>
          <t>13-16</t>
        </is>
      </c>
      <c r="C151" s="1200" t="inlineStr">
        <is>
          <t>F 3405 BENTWINDS BLUFFS LN</t>
        </is>
      </c>
      <c r="D151" s="1202" t="inlineStr">
        <is>
          <t>OLT01_112P_FQVRNC, 4</t>
        </is>
      </c>
      <c r="E151" s="1200" t="inlineStr">
        <is>
          <t>3341 BENTWINDS BLUFFS LN</t>
        </is>
      </c>
      <c r="F151" s="1200" t="inlineStr">
        <is>
          <t>3409 BENTWINDS BLUFFS LN</t>
        </is>
      </c>
      <c r="G151" s="1200" t="inlineStr">
        <is>
          <t>3417 BENTWINDS BLUFFS LN</t>
        </is>
      </c>
      <c r="H151" s="1200" t="inlineStr">
        <is>
          <t>3412 BENTWINDS BLUFFS LN</t>
        </is>
      </c>
    </row>
    <row r="152" ht="15" customHeight="1" s="955">
      <c r="A152" s="1200" t="inlineStr">
        <is>
          <t>OLT01_112P_4S_FQVRNC</t>
        </is>
      </c>
      <c r="B152" s="1201" t="inlineStr">
        <is>
          <t>17-20</t>
        </is>
      </c>
      <c r="C152" s="1200" t="inlineStr">
        <is>
          <t>F 3404 BENTWINDS BLUFFS LN</t>
        </is>
      </c>
      <c r="D152" s="1200" t="inlineStr">
        <is>
          <t>OLT01_112P_FQVRNC, 5</t>
        </is>
      </c>
      <c r="E152" s="1200" t="inlineStr">
        <is>
          <t>3328 BENTWINDS BLUFFS LN</t>
        </is>
      </c>
      <c r="F152" s="1200" t="inlineStr">
        <is>
          <t>3405 BENTWINDS BLUFFS LN</t>
        </is>
      </c>
      <c r="G152" s="1200" t="inlineStr">
        <is>
          <t>3401 BENTWINDS BLUFFS LN</t>
        </is>
      </c>
      <c r="H152" s="1200" t="inlineStr">
        <is>
          <t>3345 BENTWINDS BLUFFS LN</t>
        </is>
      </c>
    </row>
    <row r="153" ht="15" customHeight="1" s="955">
      <c r="A153" s="1200" t="inlineStr">
        <is>
          <t>OLT01_112P_3S_FQVRNC</t>
        </is>
      </c>
      <c r="B153" s="1201" t="inlineStr">
        <is>
          <t>21-24</t>
        </is>
      </c>
      <c r="C153" s="1200" t="inlineStr">
        <is>
          <t>F 3404 BENTWINDS BLUFFS LN</t>
        </is>
      </c>
      <c r="D153" s="1200" t="inlineStr">
        <is>
          <t>OLT01_112P_FQVRNC, 6</t>
        </is>
      </c>
      <c r="E153" s="1200" t="inlineStr">
        <is>
          <t>3333 BENTWINDS BLUFFS LN</t>
        </is>
      </c>
      <c r="F153" s="1200" t="inlineStr">
        <is>
          <t>3329 BENTWINDS BLUFFS LN</t>
        </is>
      </c>
      <c r="G153" s="1200" t="inlineStr">
        <is>
          <t>3325 BENTWINDS BLUFFS LN</t>
        </is>
      </c>
      <c r="H153" s="1200" t="inlineStr">
        <is>
          <t>3404 BENTWINDS BLUFFS LN</t>
        </is>
      </c>
    </row>
    <row r="154">
      <c r="A154" s="1200" t="inlineStr">
        <is>
          <t>OLT01_112P_2S_FQVRNC</t>
        </is>
      </c>
      <c r="B154" s="1201" t="inlineStr">
        <is>
          <t>25-28</t>
        </is>
      </c>
      <c r="C154" s="1200" t="inlineStr">
        <is>
          <t>F 3320 BENTWINDS BLUFFS LN</t>
        </is>
      </c>
      <c r="D154" s="1200" t="inlineStr">
        <is>
          <t>OLT01_112P_FQVRNC, 7</t>
        </is>
      </c>
      <c r="E154" s="1200" t="inlineStr">
        <is>
          <t>3313 BENTWINDS BLUFFS LN</t>
        </is>
      </c>
      <c r="F154" s="1200" t="inlineStr">
        <is>
          <t>3317 BENTWINDS BLUFFS LN</t>
        </is>
      </c>
      <c r="G154" s="1200" t="inlineStr">
        <is>
          <t>3321 BENTWINDS BLUFFS LN</t>
        </is>
      </c>
      <c r="H154" s="1200" t="inlineStr">
        <is>
          <t>3337 BENTWINDS BLUFFS LN</t>
        </is>
      </c>
    </row>
    <row r="155">
      <c r="A155" s="1200" t="inlineStr">
        <is>
          <t>OLT01_112P_1S_FQVRNC</t>
        </is>
      </c>
      <c r="B155" s="1201" t="inlineStr">
        <is>
          <t>29-32</t>
        </is>
      </c>
      <c r="C155" s="1200" t="inlineStr">
        <is>
          <t>F 3320 BENTWINDS BLUFFS LN</t>
        </is>
      </c>
      <c r="D155" s="1200" t="inlineStr">
        <is>
          <t>OLT01_112P_FQVRNC, 8</t>
        </is>
      </c>
      <c r="E155" s="1200" t="inlineStr">
        <is>
          <t>3320 BENTWINDS BLUFFS LN</t>
        </is>
      </c>
      <c r="F155" s="1200" t="inlineStr">
        <is>
          <t>3304 BENTWINDS BLUFFS LN</t>
        </is>
      </c>
      <c r="G155" s="1200" t="inlineStr">
        <is>
          <t>3300 BENTWINDS BLUFFS LN</t>
        </is>
      </c>
      <c r="H155" s="1200" t="inlineStr">
        <is>
          <t>3305 BENTWINDS BLUFFS LN</t>
        </is>
      </c>
    </row>
    <row r="156">
      <c r="A156" s="958" t="n"/>
      <c r="B156" s="956" t="n"/>
      <c r="D156" s="957" t="n"/>
    </row>
    <row r="157" ht="15.75" customHeight="1" s="955">
      <c r="A157" s="865" t="inlineStr">
        <is>
          <t>1X8 SPLITTER PLACEMENT</t>
        </is>
      </c>
      <c r="B157" s="949" t="n"/>
      <c r="C157" s="866" t="n"/>
      <c r="D157" s="866" t="n"/>
      <c r="E157" s="866" t="n"/>
      <c r="F157" s="866" t="n"/>
    </row>
    <row r="158">
      <c r="A158" s="1196" t="n">
        <v>113</v>
      </c>
      <c r="B158" s="950" t="n"/>
      <c r="C158" s="1203">
        <f>A158</f>
        <v/>
      </c>
      <c r="D158" s="876" t="n"/>
      <c r="E158" s="948" t="inlineStr"/>
      <c r="F158" s="1198" t="inlineStr">
        <is>
          <t>F 6908 OLD MILLS RD</t>
        </is>
      </c>
    </row>
    <row r="159" ht="15" customHeight="1" s="955">
      <c r="A159" s="1075" t="inlineStr">
        <is>
          <t>SPLITTER NAME</t>
        </is>
      </c>
      <c r="B159" s="1199" t="inlineStr">
        <is>
          <t>T COUNT</t>
        </is>
      </c>
      <c r="C159" s="1075" t="inlineStr">
        <is>
          <t>1X4 PLACEMENT ADDRESS</t>
        </is>
      </c>
      <c r="D159" s="1075" t="inlineStr">
        <is>
          <t>SPLIT</t>
        </is>
      </c>
      <c r="E159" s="1062" t="inlineStr">
        <is>
          <t>SERVICING</t>
        </is>
      </c>
      <c r="F159" s="1062" t="inlineStr">
        <is>
          <t>SERVICING</t>
        </is>
      </c>
      <c r="G159" s="1062" t="inlineStr">
        <is>
          <t>SERVICING</t>
        </is>
      </c>
      <c r="H159" s="1062" t="inlineStr">
        <is>
          <t>SERVICING</t>
        </is>
      </c>
    </row>
    <row r="160" ht="15" customHeight="1" s="955">
      <c r="A160" s="1157" t="n"/>
      <c r="B160" s="1157" t="n"/>
      <c r="C160" s="1157" t="n"/>
      <c r="D160" s="1157" t="n"/>
      <c r="E160" s="1157" t="n"/>
      <c r="F160" s="1157" t="n"/>
      <c r="G160" s="1157" t="n"/>
      <c r="H160" s="1157" t="n"/>
    </row>
    <row r="161">
      <c r="A161" s="1200" t="n"/>
      <c r="B161" s="1201" t="inlineStr">
        <is>
          <t>1-4</t>
        </is>
      </c>
      <c r="C161" s="1200" t="n"/>
      <c r="D161" s="1200" t="inlineStr">
        <is>
          <t>SPARE</t>
        </is>
      </c>
      <c r="E161" s="1200" t="n"/>
      <c r="F161" s="1200" t="n"/>
      <c r="G161" s="1200" t="n"/>
      <c r="H161" s="1200" t="n"/>
    </row>
    <row r="162">
      <c r="A162" s="1200" t="n"/>
      <c r="B162" s="1201" t="inlineStr">
        <is>
          <t>5-8</t>
        </is>
      </c>
      <c r="C162" s="1200" t="n"/>
      <c r="D162" s="1202" t="inlineStr">
        <is>
          <t>SPARE</t>
        </is>
      </c>
      <c r="E162" s="1200" t="n"/>
      <c r="F162" s="1200" t="n"/>
      <c r="G162" s="1200" t="n"/>
      <c r="H162" s="1200" t="n"/>
    </row>
    <row r="163">
      <c r="A163" s="1200" t="n"/>
      <c r="B163" s="1201" t="inlineStr">
        <is>
          <t>9-12</t>
        </is>
      </c>
      <c r="C163" s="1200" t="n"/>
      <c r="D163" s="1202" t="inlineStr">
        <is>
          <t>SPARE</t>
        </is>
      </c>
      <c r="E163" s="1200" t="n"/>
      <c r="F163" s="1200" t="n"/>
      <c r="G163" s="1200" t="n"/>
      <c r="H163" s="1200" t="n"/>
    </row>
    <row r="164" ht="15" customHeight="1" s="955">
      <c r="A164" s="1200" t="n"/>
      <c r="B164" s="1201" t="inlineStr">
        <is>
          <t>13-16</t>
        </is>
      </c>
      <c r="C164" s="1200" t="n"/>
      <c r="D164" s="1202" t="inlineStr">
        <is>
          <t>SPARE</t>
        </is>
      </c>
      <c r="E164" s="1200" t="n"/>
      <c r="F164" s="1200" t="n"/>
      <c r="G164" s="1200" t="n"/>
      <c r="H164" s="1200" t="n"/>
    </row>
    <row r="165" ht="15" customHeight="1" s="955">
      <c r="A165" s="1200" t="n"/>
      <c r="B165" s="1201" t="inlineStr">
        <is>
          <t>17-20</t>
        </is>
      </c>
      <c r="C165" s="1200" t="n"/>
      <c r="D165" s="1200" t="inlineStr">
        <is>
          <t>SPARE</t>
        </is>
      </c>
      <c r="E165" s="1200" t="n"/>
      <c r="F165" s="1200" t="n"/>
      <c r="G165" s="1200" t="n"/>
      <c r="H165" s="1200" t="n"/>
    </row>
    <row r="166">
      <c r="A166" s="1200" t="inlineStr">
        <is>
          <t>OLT01_113P_7S_FQVRNC</t>
        </is>
      </c>
      <c r="B166" s="1201" t="inlineStr">
        <is>
          <t>21-24</t>
        </is>
      </c>
      <c r="C166" s="1200" t="inlineStr">
        <is>
          <t>F 5712 ACCIPITER CT</t>
        </is>
      </c>
      <c r="D166" s="1200" t="inlineStr">
        <is>
          <t>OLT01_113P_FQVRNC, 6</t>
        </is>
      </c>
      <c r="E166" s="1200" t="inlineStr">
        <is>
          <t>5712 ACCIPITER CT</t>
        </is>
      </c>
      <c r="F166" s="1200" t="inlineStr">
        <is>
          <t>5708 ACCIPITER CT</t>
        </is>
      </c>
      <c r="G166" s="1200" t="inlineStr">
        <is>
          <t>5700 ACCIPITER CT</t>
        </is>
      </c>
      <c r="H166" s="1200" t="inlineStr">
        <is>
          <t>5704 ACCIPITER CT</t>
        </is>
      </c>
    </row>
    <row r="167">
      <c r="A167" s="1200" t="inlineStr">
        <is>
          <t>OLT01_113P_6S_FQVRNC</t>
        </is>
      </c>
      <c r="B167" s="1201" t="inlineStr">
        <is>
          <t>25-28</t>
        </is>
      </c>
      <c r="C167" s="1200" t="inlineStr">
        <is>
          <t>F 5704 ACCIPITER CT</t>
        </is>
      </c>
      <c r="D167" s="1200" t="inlineStr">
        <is>
          <t>OLT01_113P_FQVRNC, 7</t>
        </is>
      </c>
      <c r="E167" s="1200" t="inlineStr">
        <is>
          <t>5704 ACCIPITER CT</t>
        </is>
      </c>
      <c r="F167" s="1200" t="inlineStr">
        <is>
          <t>5709 ACCIPITER CT</t>
        </is>
      </c>
      <c r="G167" s="1200" t="inlineStr">
        <is>
          <t>5717 ACCIPITER CT</t>
        </is>
      </c>
      <c r="H167" s="1200" t="inlineStr">
        <is>
          <t>5720 ACCIPITER CT</t>
        </is>
      </c>
    </row>
    <row r="168">
      <c r="A168" s="1200" t="inlineStr">
        <is>
          <t>OLT01_113P_5S_FQVRNC</t>
        </is>
      </c>
      <c r="B168" s="1201" t="inlineStr">
        <is>
          <t>29-32</t>
        </is>
      </c>
      <c r="C168" s="1200" t="inlineStr">
        <is>
          <t>F 5704 ACCIPITER CT</t>
        </is>
      </c>
      <c r="D168" s="1200" t="inlineStr">
        <is>
          <t>OLT01_113P_FQVRNC, 8</t>
        </is>
      </c>
      <c r="E168" s="1200" t="inlineStr">
        <is>
          <t>6004 JOHNSON POND RD</t>
        </is>
      </c>
      <c r="F168" s="1200" t="inlineStr">
        <is>
          <t>5705 ACCIPITER CT</t>
        </is>
      </c>
      <c r="G168" s="1200" t="inlineStr">
        <is>
          <t>5701 ACCIPITER CT</t>
        </is>
      </c>
      <c r="H168" s="1200" t="inlineStr">
        <is>
          <t>5700 ACCIPITER CT</t>
        </is>
      </c>
    </row>
    <row r="169">
      <c r="A169" s="958" t="n"/>
      <c r="B169" s="956" t="n"/>
      <c r="D169" s="957" t="n"/>
    </row>
    <row r="170" ht="15.75" customHeight="1" s="955">
      <c r="A170" s="865" t="inlineStr">
        <is>
          <t>1X8 SPLITTER PLACEMENT</t>
        </is>
      </c>
      <c r="B170" s="949" t="n"/>
      <c r="C170" s="866" t="n"/>
      <c r="D170" s="866" t="n"/>
      <c r="E170" s="866" t="n"/>
      <c r="F170" s="866" t="n"/>
    </row>
    <row r="171">
      <c r="A171" s="1196" t="n">
        <v>114</v>
      </c>
      <c r="B171" s="950" t="n"/>
      <c r="C171" s="1203">
        <f>A171</f>
        <v/>
      </c>
      <c r="D171" s="877" t="n"/>
      <c r="E171" s="948" t="inlineStr"/>
      <c r="F171" s="1198" t="inlineStr">
        <is>
          <t>F 6908 OLD MILLS RD</t>
        </is>
      </c>
    </row>
    <row r="172" ht="15" customHeight="1" s="955">
      <c r="A172" s="1075" t="inlineStr">
        <is>
          <t>SPLITTER NAME</t>
        </is>
      </c>
      <c r="B172" s="1199" t="inlineStr">
        <is>
          <t>T COUNT</t>
        </is>
      </c>
      <c r="C172" s="1075" t="inlineStr">
        <is>
          <t>1X4 PLACEMENT ADDRESS</t>
        </is>
      </c>
      <c r="D172" s="1075" t="inlineStr">
        <is>
          <t>SPLIT</t>
        </is>
      </c>
      <c r="E172" s="1062" t="inlineStr">
        <is>
          <t>SERVICING</t>
        </is>
      </c>
      <c r="F172" s="1062" t="inlineStr">
        <is>
          <t>SERVICING</t>
        </is>
      </c>
      <c r="G172" s="1062" t="inlineStr">
        <is>
          <t>SERVICING</t>
        </is>
      </c>
      <c r="H172" s="1062" t="inlineStr">
        <is>
          <t>SERVICING</t>
        </is>
      </c>
    </row>
    <row r="173" ht="15" customHeight="1" s="955">
      <c r="A173" s="1157" t="n"/>
      <c r="B173" s="1157" t="n"/>
      <c r="C173" s="1157" t="n"/>
      <c r="D173" s="1157" t="n"/>
      <c r="E173" s="1157" t="n"/>
      <c r="F173" s="1157" t="n"/>
      <c r="G173" s="1157" t="n"/>
      <c r="H173" s="1157" t="n"/>
    </row>
    <row r="174">
      <c r="A174" s="1200" t="n"/>
      <c r="B174" s="1201" t="inlineStr">
        <is>
          <t>1-4</t>
        </is>
      </c>
      <c r="C174" s="1200" t="n"/>
      <c r="D174" s="1200" t="inlineStr">
        <is>
          <t>SPARE</t>
        </is>
      </c>
      <c r="E174" s="1200" t="n"/>
      <c r="F174" s="1200" t="n"/>
      <c r="G174" s="1200" t="n"/>
      <c r="H174" s="1200" t="n"/>
    </row>
    <row r="175">
      <c r="A175" s="1200" t="inlineStr">
        <is>
          <t>OLT01_114P_7S_FQVRNC</t>
        </is>
      </c>
      <c r="B175" s="1201" t="inlineStr">
        <is>
          <t>5-8</t>
        </is>
      </c>
      <c r="C175" s="1200" t="inlineStr">
        <is>
          <t>F 6900 OLD MILLS RD</t>
        </is>
      </c>
      <c r="D175" s="1202" t="inlineStr">
        <is>
          <t>OLT01_114P_FQVRNC, 2</t>
        </is>
      </c>
      <c r="E175" s="1200" t="inlineStr">
        <is>
          <t>6909 OLD MILLS RD</t>
        </is>
      </c>
      <c r="F175" s="1200" t="inlineStr">
        <is>
          <t>6913 OLD MILLS RD</t>
        </is>
      </c>
      <c r="G175" s="1200" t="inlineStr">
        <is>
          <t>6908 OLD MILLS RD</t>
        </is>
      </c>
      <c r="H175" s="1200" t="inlineStr">
        <is>
          <t>6900 OLD MILLS RD</t>
        </is>
      </c>
    </row>
    <row r="176">
      <c r="A176" s="1200" t="inlineStr">
        <is>
          <t>OLT01_114P_6S_FQVRNC</t>
        </is>
      </c>
      <c r="B176" s="1201" t="inlineStr">
        <is>
          <t>9-12</t>
        </is>
      </c>
      <c r="C176" s="1200" t="inlineStr">
        <is>
          <t>F 5700 OLD MILLS RD</t>
        </is>
      </c>
      <c r="D176" s="1202" t="inlineStr">
        <is>
          <t>OLT01_114P_FQVRNC, 3</t>
        </is>
      </c>
      <c r="E176" s="1200" t="inlineStr">
        <is>
          <t>5708 WYSTERIA DR</t>
        </is>
      </c>
      <c r="F176" s="1200" t="inlineStr">
        <is>
          <t>6829 OLD MILLS RD</t>
        </is>
      </c>
      <c r="G176" s="1200" t="inlineStr">
        <is>
          <t>6901 OLD MILLS RD</t>
        </is>
      </c>
      <c r="H176" s="1200" t="inlineStr">
        <is>
          <t>6905 OLD MILLS RD</t>
        </is>
      </c>
    </row>
    <row r="177">
      <c r="A177" s="1200" t="inlineStr">
        <is>
          <t>OLT01_114P_5S_FQVRNC</t>
        </is>
      </c>
      <c r="B177" s="1201" t="inlineStr">
        <is>
          <t>13-16</t>
        </is>
      </c>
      <c r="C177" s="1200" t="inlineStr">
        <is>
          <t>F 5700 OLD MILLS RD</t>
        </is>
      </c>
      <c r="D177" s="1202" t="inlineStr">
        <is>
          <t>OLT01_114P_FQVRNC, 4</t>
        </is>
      </c>
      <c r="E177" s="1200" t="inlineStr">
        <is>
          <t>5700 WYSTERIA DR</t>
        </is>
      </c>
      <c r="F177" s="1200" t="inlineStr">
        <is>
          <t>5701 WYSTERIA DR</t>
        </is>
      </c>
      <c r="G177" s="1200" t="inlineStr">
        <is>
          <t>5705 WYSTERIA DR</t>
        </is>
      </c>
      <c r="H177" s="1200" t="inlineStr">
        <is>
          <t>5713 WYSTERIA DR</t>
        </is>
      </c>
    </row>
    <row r="178">
      <c r="A178" s="1200" t="inlineStr">
        <is>
          <t>OLT01_114P_4S_FQVRNC</t>
        </is>
      </c>
      <c r="B178" s="1201" t="inlineStr">
        <is>
          <t>17-20</t>
        </is>
      </c>
      <c r="C178" s="1200" t="inlineStr">
        <is>
          <t>F 5721 BUTEO CT</t>
        </is>
      </c>
      <c r="D178" s="1200" t="inlineStr">
        <is>
          <t>OLT01_114P_FQVRNC, 5</t>
        </is>
      </c>
      <c r="E178" s="1200" t="inlineStr">
        <is>
          <t>5700 BUTEO CT</t>
        </is>
      </c>
      <c r="F178" s="1200" t="inlineStr">
        <is>
          <t>5704 BUTEO CT</t>
        </is>
      </c>
      <c r="G178" s="1200" t="inlineStr">
        <is>
          <t>5720 BUTEO CT</t>
        </is>
      </c>
      <c r="H178" s="1200" t="inlineStr">
        <is>
          <t>5704 WYSTERIA DR</t>
        </is>
      </c>
    </row>
    <row r="179">
      <c r="A179" s="1200" t="inlineStr">
        <is>
          <t>OLT01_114P_3S_FQVRNC</t>
        </is>
      </c>
      <c r="B179" s="1201" t="inlineStr">
        <is>
          <t>21-24</t>
        </is>
      </c>
      <c r="C179" s="1200" t="inlineStr">
        <is>
          <t>F 5721 BUTEO CT</t>
        </is>
      </c>
      <c r="D179" s="1200" t="inlineStr">
        <is>
          <t>OLT01_114P_FQVRNC, 6</t>
        </is>
      </c>
      <c r="E179" s="1200" t="inlineStr">
        <is>
          <t>5713 BUTEO CT</t>
        </is>
      </c>
      <c r="F179" s="1200" t="inlineStr">
        <is>
          <t>5709 BUTEO CT</t>
        </is>
      </c>
      <c r="G179" s="1200" t="inlineStr">
        <is>
          <t>5705 BUTEO CT</t>
        </is>
      </c>
      <c r="H179" s="1200" t="inlineStr">
        <is>
          <t>5701 BUTEO CT</t>
        </is>
      </c>
    </row>
    <row r="180">
      <c r="A180" s="1200" t="inlineStr">
        <is>
          <t>OLT01_114P_2S_FQVRNC</t>
        </is>
      </c>
      <c r="B180" s="1201" t="inlineStr">
        <is>
          <t>25-28</t>
        </is>
      </c>
      <c r="C180" s="1200" t="inlineStr">
        <is>
          <t>F 5700 MULLIGAN WAY</t>
        </is>
      </c>
      <c r="D180" s="1200" t="inlineStr">
        <is>
          <t>OLT01_114P_FQVRNC, 7</t>
        </is>
      </c>
      <c r="E180" s="1200" t="inlineStr">
        <is>
          <t>5709 MULLIGAN WAY</t>
        </is>
      </c>
      <c r="F180" s="1200" t="inlineStr">
        <is>
          <t>5705 MULLIGAN WAY</t>
        </is>
      </c>
      <c r="G180" s="1200" t="inlineStr">
        <is>
          <t>5701 MULLIGAN WAY</t>
        </is>
      </c>
      <c r="H180" s="1200" t="inlineStr">
        <is>
          <t>5721 BUTEO CT</t>
        </is>
      </c>
    </row>
    <row r="181">
      <c r="A181" s="1200" t="inlineStr">
        <is>
          <t>OLT01_114P_1S_FQVRNC</t>
        </is>
      </c>
      <c r="B181" s="1201" t="inlineStr">
        <is>
          <t>29-32</t>
        </is>
      </c>
      <c r="C181" s="1200" t="inlineStr">
        <is>
          <t>F 5700 MULLIGAN WAY</t>
        </is>
      </c>
      <c r="D181" s="1200" t="inlineStr">
        <is>
          <t>OLT01_114P_FQVRNC, 8</t>
        </is>
      </c>
      <c r="E181" s="1200" t="inlineStr">
        <is>
          <t>6737 OLD MILLS RD</t>
        </is>
      </c>
      <c r="F181" s="1200" t="inlineStr">
        <is>
          <t>5700 MULLIGAN WAY</t>
        </is>
      </c>
      <c r="G181" s="1200" t="inlineStr">
        <is>
          <t>5704 MULLIGAN WAY</t>
        </is>
      </c>
      <c r="H181" s="1200" t="inlineStr">
        <is>
          <t>5712 MULLIGAN WAY</t>
        </is>
      </c>
    </row>
    <row r="182">
      <c r="A182" s="958" t="n"/>
      <c r="B182" s="956" t="n"/>
      <c r="D182" s="957" t="n"/>
    </row>
    <row r="183">
      <c r="A183" s="958" t="n"/>
      <c r="B183" s="956" t="n"/>
      <c r="D183" s="957" t="n"/>
    </row>
    <row r="184">
      <c r="A184" s="958" t="n"/>
      <c r="B184" s="956" t="n"/>
      <c r="D184" s="957" t="n"/>
    </row>
    <row r="185" ht="15" customHeight="1" s="955">
      <c r="A185" s="958" t="n"/>
      <c r="B185" s="956" t="n"/>
      <c r="D185" s="957" t="n"/>
    </row>
    <row r="186" ht="15" customHeight="1" s="955">
      <c r="A186" s="958" t="n"/>
      <c r="B186" s="956" t="n"/>
      <c r="D186" s="957" t="n"/>
    </row>
    <row r="187">
      <c r="A187" s="958" t="n"/>
      <c r="B187" s="956" t="n"/>
      <c r="D187" s="957" t="n"/>
    </row>
    <row r="188">
      <c r="A188" s="958" t="n"/>
      <c r="B188" s="956" t="n"/>
      <c r="D188" s="957" t="n"/>
    </row>
    <row r="189">
      <c r="A189" s="958" t="n"/>
      <c r="B189" s="956" t="n"/>
      <c r="D189" s="957" t="n"/>
    </row>
    <row r="190">
      <c r="A190" s="958" t="n"/>
      <c r="B190" s="956" t="n"/>
      <c r="D190" s="957" t="n"/>
    </row>
    <row r="191">
      <c r="A191" s="958" t="n"/>
      <c r="B191" s="956" t="n"/>
      <c r="D191" s="957" t="n"/>
    </row>
    <row r="192">
      <c r="A192" s="958" t="n"/>
      <c r="B192" s="956" t="n"/>
      <c r="D192" s="957" t="n"/>
    </row>
    <row r="193">
      <c r="A193" s="958" t="n"/>
      <c r="B193" s="956" t="n"/>
      <c r="D193" s="957" t="n"/>
    </row>
    <row r="194">
      <c r="A194" s="958" t="n"/>
      <c r="B194" s="956" t="n"/>
      <c r="D194" s="957" t="n"/>
    </row>
    <row r="195">
      <c r="A195" s="958" t="n"/>
      <c r="B195" s="956" t="n"/>
      <c r="D195" s="957" t="n"/>
    </row>
    <row r="196">
      <c r="A196" s="958" t="n"/>
      <c r="B196" s="956" t="n"/>
      <c r="D196" s="957" t="n"/>
    </row>
    <row r="197">
      <c r="A197" s="958" t="n"/>
      <c r="B197" s="956" t="n"/>
      <c r="D197" s="957" t="n"/>
    </row>
    <row r="198" ht="15" customHeight="1" s="955">
      <c r="A198" s="958" t="n"/>
      <c r="B198" s="956" t="n"/>
      <c r="D198" s="957" t="n"/>
    </row>
    <row r="199" ht="15" customHeight="1" s="955">
      <c r="A199" s="958" t="n"/>
      <c r="B199" s="956" t="n"/>
      <c r="D199" s="957" t="n"/>
    </row>
    <row r="200">
      <c r="B200" s="956" t="n"/>
      <c r="D200" s="957" t="n"/>
    </row>
    <row r="201">
      <c r="B201" s="956" t="n"/>
      <c r="D201" s="957" t="n"/>
    </row>
    <row r="202">
      <c r="B202" s="956" t="n"/>
      <c r="D202" s="957" t="n"/>
    </row>
    <row r="203">
      <c r="B203" s="956" t="n"/>
      <c r="D203" s="957" t="n"/>
    </row>
    <row r="204">
      <c r="B204" s="956" t="n"/>
      <c r="D204" s="957" t="n"/>
    </row>
    <row r="205">
      <c r="B205" s="956" t="n"/>
      <c r="D205" s="957" t="n"/>
    </row>
    <row r="206">
      <c r="B206" s="956" t="n"/>
      <c r="D206" s="957" t="n"/>
    </row>
    <row r="207">
      <c r="B207" s="956" t="n"/>
      <c r="D207" s="957" t="n"/>
    </row>
    <row r="208">
      <c r="B208" s="956" t="n"/>
      <c r="D208" s="957" t="n"/>
    </row>
    <row r="209">
      <c r="B209" s="956" t="n"/>
      <c r="D209" s="957" t="n"/>
    </row>
    <row r="210">
      <c r="B210" s="956" t="n"/>
      <c r="D210" s="957" t="n"/>
    </row>
    <row r="211" ht="15" customHeight="1" s="955">
      <c r="B211" s="956" t="n"/>
      <c r="D211" s="957" t="n"/>
    </row>
    <row r="212" ht="15" customHeight="1" s="955">
      <c r="B212" s="956" t="n"/>
      <c r="D212" s="957" t="n"/>
    </row>
    <row r="213">
      <c r="B213" s="956" t="n"/>
      <c r="D213" s="957" t="n"/>
    </row>
    <row r="214">
      <c r="B214" s="956" t="n"/>
      <c r="D214" s="957" t="n"/>
    </row>
    <row r="215">
      <c r="B215" s="956" t="n"/>
      <c r="D215" s="957" t="n"/>
    </row>
    <row r="216">
      <c r="B216" s="956" t="n"/>
      <c r="D216" s="957" t="n"/>
    </row>
    <row r="217">
      <c r="B217" s="956" t="n"/>
      <c r="D217" s="957" t="n"/>
    </row>
    <row r="218">
      <c r="B218" s="956" t="n"/>
      <c r="D218" s="957" t="n"/>
    </row>
    <row r="219">
      <c r="B219" s="956" t="n"/>
      <c r="D219" s="957" t="n"/>
    </row>
    <row r="220">
      <c r="B220" s="956" t="n"/>
      <c r="D220" s="957" t="n"/>
    </row>
    <row r="221">
      <c r="B221" s="956" t="n"/>
      <c r="D221" s="957" t="n"/>
    </row>
    <row r="222">
      <c r="B222" s="956" t="n"/>
      <c r="D222" s="957" t="n"/>
    </row>
    <row r="223" ht="15" customHeight="1" s="955">
      <c r="B223" s="956" t="n"/>
      <c r="D223" s="957" t="n"/>
    </row>
    <row r="224" ht="15" customHeight="1" s="955">
      <c r="B224" s="956" t="n"/>
      <c r="D224" s="957" t="n"/>
    </row>
    <row r="225">
      <c r="B225" s="956" t="n"/>
      <c r="D225" s="957" t="n"/>
    </row>
    <row r="226">
      <c r="B226" s="956" t="n"/>
      <c r="D226" s="957" t="n"/>
    </row>
    <row r="227">
      <c r="B227" s="956" t="n"/>
    </row>
    <row r="228">
      <c r="B228" s="956" t="n"/>
    </row>
    <row r="229">
      <c r="B229" s="956" t="n"/>
    </row>
    <row r="230">
      <c r="B230" s="956" t="n"/>
    </row>
    <row r="231">
      <c r="B231" s="956" t="n"/>
    </row>
    <row r="232">
      <c r="B232" s="956" t="n"/>
    </row>
    <row r="233">
      <c r="B233" s="956" t="n"/>
    </row>
    <row r="236" ht="15" customHeight="1" s="955"/>
    <row r="237" ht="15" customHeight="1" s="955"/>
    <row r="249" ht="15" customHeight="1" s="955"/>
    <row r="250" ht="15" customHeight="1" s="955"/>
  </sheetData>
  <mergeCells count="112">
    <mergeCell ref="F133:F134"/>
    <mergeCell ref="C146:C147"/>
    <mergeCell ref="C29:C30"/>
    <mergeCell ref="F3:F4"/>
    <mergeCell ref="C94:C95"/>
    <mergeCell ref="F55:F56"/>
    <mergeCell ref="A16:A17"/>
    <mergeCell ref="H55:H56"/>
    <mergeCell ref="C16:C17"/>
    <mergeCell ref="B42:B43"/>
    <mergeCell ref="B29:B30"/>
    <mergeCell ref="H159:H160"/>
    <mergeCell ref="G3:G4"/>
    <mergeCell ref="F42:F43"/>
    <mergeCell ref="F94:F95"/>
    <mergeCell ref="G68:G69"/>
    <mergeCell ref="D16:D17"/>
    <mergeCell ref="H94:H95"/>
    <mergeCell ref="F81:F82"/>
    <mergeCell ref="H81:H82"/>
    <mergeCell ref="F120:F121"/>
    <mergeCell ref="H120:H121"/>
    <mergeCell ref="D172:D173"/>
    <mergeCell ref="B159:B160"/>
    <mergeCell ref="F172:F173"/>
    <mergeCell ref="F16:F17"/>
    <mergeCell ref="H172:H173"/>
    <mergeCell ref="F68:F69"/>
    <mergeCell ref="H68:H69"/>
    <mergeCell ref="E55:E56"/>
    <mergeCell ref="B3:B4"/>
    <mergeCell ref="F146:F147"/>
    <mergeCell ref="H133:H134"/>
    <mergeCell ref="D3:D4"/>
    <mergeCell ref="C120:C121"/>
    <mergeCell ref="E120:E121"/>
    <mergeCell ref="E172:E173"/>
    <mergeCell ref="B55:B56"/>
    <mergeCell ref="D55:D56"/>
    <mergeCell ref="E159:E160"/>
    <mergeCell ref="A68:A69"/>
    <mergeCell ref="E146:E147"/>
    <mergeCell ref="E81:E82"/>
    <mergeCell ref="D159:D160"/>
    <mergeCell ref="C3:C4"/>
    <mergeCell ref="E3:E4"/>
    <mergeCell ref="B94:B95"/>
    <mergeCell ref="C68:C69"/>
    <mergeCell ref="D94:D95"/>
    <mergeCell ref="E68:E69"/>
    <mergeCell ref="B16:B17"/>
    <mergeCell ref="A107:A108"/>
    <mergeCell ref="B81:B82"/>
    <mergeCell ref="C107:C108"/>
    <mergeCell ref="D81:D82"/>
    <mergeCell ref="A94:A95"/>
    <mergeCell ref="H146:H147"/>
    <mergeCell ref="H29:H30"/>
    <mergeCell ref="C42:C43"/>
    <mergeCell ref="E42:E43"/>
    <mergeCell ref="G42:G43"/>
    <mergeCell ref="E29:E30"/>
    <mergeCell ref="E94:E95"/>
    <mergeCell ref="B107:B108"/>
    <mergeCell ref="D107:D108"/>
    <mergeCell ref="B172:B173"/>
    <mergeCell ref="G55:G56"/>
    <mergeCell ref="B68:B69"/>
    <mergeCell ref="A120:A121"/>
    <mergeCell ref="D68:D69"/>
    <mergeCell ref="H16:H17"/>
    <mergeCell ref="B146:B147"/>
    <mergeCell ref="H3:H4"/>
    <mergeCell ref="G94:G95"/>
    <mergeCell ref="A159:A160"/>
    <mergeCell ref="B133:B134"/>
    <mergeCell ref="D42:D43"/>
    <mergeCell ref="D133:D134"/>
    <mergeCell ref="E16:E17"/>
    <mergeCell ref="G81:G82"/>
    <mergeCell ref="G16:G17"/>
    <mergeCell ref="D29:D30"/>
    <mergeCell ref="F29:F30"/>
    <mergeCell ref="H42:H43"/>
    <mergeCell ref="G159:G160"/>
    <mergeCell ref="G120:G121"/>
    <mergeCell ref="A172:A173"/>
    <mergeCell ref="C172:C173"/>
    <mergeCell ref="E107:E108"/>
    <mergeCell ref="G107:G108"/>
    <mergeCell ref="A146:A147"/>
    <mergeCell ref="G172:G173"/>
    <mergeCell ref="B120:B121"/>
    <mergeCell ref="D120:D121"/>
    <mergeCell ref="A133:A134"/>
    <mergeCell ref="C133:C134"/>
    <mergeCell ref="A3:A4"/>
    <mergeCell ref="A55:A56"/>
    <mergeCell ref="C55:C56"/>
    <mergeCell ref="G146:G147"/>
    <mergeCell ref="E133:E134"/>
    <mergeCell ref="F159:F160"/>
    <mergeCell ref="G133:G134"/>
    <mergeCell ref="G29:G30"/>
    <mergeCell ref="D146:D147"/>
    <mergeCell ref="C159:C160"/>
    <mergeCell ref="A42:A43"/>
    <mergeCell ref="A29:A30"/>
    <mergeCell ref="A81:A82"/>
    <mergeCell ref="C81:C82"/>
    <mergeCell ref="F107:F108"/>
    <mergeCell ref="H107:H108"/>
  </mergeCells>
  <conditionalFormatting sqref="C2">
    <cfRule type="cellIs" priority="546" operator="between" dxfId="11">
      <formula>73</formula>
      <formula>84</formula>
    </cfRule>
    <cfRule type="cellIs" priority="547" operator="between" dxfId="12">
      <formula>61</formula>
      <formula>72</formula>
    </cfRule>
    <cfRule type="cellIs" priority="549" operator="between" dxfId="2">
      <formula>37</formula>
      <formula>48</formula>
    </cfRule>
    <cfRule type="cellIs" priority="548" operator="between" dxfId="1">
      <formula>49</formula>
      <formula>60</formula>
    </cfRule>
    <cfRule type="cellIs" priority="551" operator="between" dxfId="4">
      <formula>13</formula>
      <formula>24</formula>
    </cfRule>
    <cfRule type="cellIs" priority="550" operator="between" dxfId="3">
      <formula>25</formula>
      <formula>36</formula>
    </cfRule>
    <cfRule type="cellIs" priority="545" operator="between" dxfId="9">
      <formula>85</formula>
      <formula>96</formula>
    </cfRule>
    <cfRule type="cellIs" priority="544" operator="between" dxfId="186">
      <formula>97</formula>
      <formula>108</formula>
    </cfRule>
    <cfRule type="cellIs" priority="543" operator="between" dxfId="187">
      <formula>109</formula>
      <formula>120</formula>
    </cfRule>
    <cfRule type="cellIs" priority="542" operator="between" dxfId="189">
      <formula>121</formula>
      <formula>132</formula>
    </cfRule>
    <cfRule type="cellIs" priority="541" operator="between" dxfId="190">
      <formula>133</formula>
      <formula>144</formula>
    </cfRule>
    <cfRule type="cellIs" priority="552" operator="between" dxfId="5">
      <formula>1</formula>
      <formula>12</formula>
    </cfRule>
  </conditionalFormatting>
  <conditionalFormatting sqref="C15">
    <cfRule type="cellIs" priority="303" operator="between" dxfId="187">
      <formula>109</formula>
      <formula>120</formula>
    </cfRule>
    <cfRule type="cellIs" priority="304" operator="between" dxfId="186">
      <formula>97</formula>
      <formula>108</formula>
    </cfRule>
    <cfRule type="cellIs" priority="305" operator="between" dxfId="9">
      <formula>85</formula>
      <formula>96</formula>
    </cfRule>
    <cfRule type="cellIs" priority="306" operator="between" dxfId="11">
      <formula>73</formula>
      <formula>84</formula>
    </cfRule>
    <cfRule type="cellIs" priority="307" operator="between" dxfId="12">
      <formula>61</formula>
      <formula>72</formula>
    </cfRule>
    <cfRule type="cellIs" priority="308" operator="between" dxfId="1">
      <formula>49</formula>
      <formula>60</formula>
    </cfRule>
    <cfRule type="cellIs" priority="309" operator="between" dxfId="2">
      <formula>37</formula>
      <formula>48</formula>
    </cfRule>
    <cfRule type="cellIs" priority="310" operator="between" dxfId="3">
      <formula>25</formula>
      <formula>36</formula>
    </cfRule>
    <cfRule type="cellIs" priority="311" operator="between" dxfId="4">
      <formula>13</formula>
      <formula>24</formula>
    </cfRule>
    <cfRule type="cellIs" priority="312" operator="between" dxfId="5">
      <formula>1</formula>
      <formula>12</formula>
    </cfRule>
    <cfRule type="cellIs" priority="301" operator="between" dxfId="190">
      <formula>133</formula>
      <formula>144</formula>
    </cfRule>
    <cfRule type="cellIs" priority="302" operator="between" dxfId="189">
      <formula>121</formula>
      <formula>132</formula>
    </cfRule>
  </conditionalFormatting>
  <conditionalFormatting sqref="C28">
    <cfRule type="cellIs" priority="284" operator="between" dxfId="1">
      <formula>49</formula>
      <formula>60</formula>
    </cfRule>
    <cfRule type="cellIs" priority="287" operator="between" dxfId="4">
      <formula>13</formula>
      <formula>24</formula>
    </cfRule>
    <cfRule type="cellIs" priority="288" operator="between" dxfId="5">
      <formula>1</formula>
      <formula>12</formula>
    </cfRule>
    <cfRule type="cellIs" priority="279" operator="between" dxfId="187">
      <formula>109</formula>
      <formula>120</formula>
    </cfRule>
    <cfRule type="cellIs" priority="285" operator="between" dxfId="2">
      <formula>37</formula>
      <formula>48</formula>
    </cfRule>
    <cfRule type="cellIs" priority="282" operator="between" dxfId="11">
      <formula>73</formula>
      <formula>84</formula>
    </cfRule>
    <cfRule type="cellIs" priority="281" operator="between" dxfId="9">
      <formula>85</formula>
      <formula>96</formula>
    </cfRule>
    <cfRule type="cellIs" priority="280" operator="between" dxfId="186">
      <formula>97</formula>
      <formula>108</formula>
    </cfRule>
    <cfRule type="cellIs" priority="286" operator="between" dxfId="3">
      <formula>25</formula>
      <formula>36</formula>
    </cfRule>
    <cfRule type="cellIs" priority="283" operator="between" dxfId="12">
      <formula>61</formula>
      <formula>72</formula>
    </cfRule>
    <cfRule type="cellIs" priority="277" operator="between" dxfId="190">
      <formula>133</formula>
      <formula>144</formula>
    </cfRule>
    <cfRule type="cellIs" priority="278" operator="between" dxfId="189">
      <formula>121</formula>
      <formula>132</formula>
    </cfRule>
  </conditionalFormatting>
  <conditionalFormatting sqref="C41">
    <cfRule type="cellIs" priority="258" operator="between" dxfId="11">
      <formula>73</formula>
      <formula>84</formula>
    </cfRule>
    <cfRule type="cellIs" priority="257" operator="between" dxfId="9">
      <formula>85</formula>
      <formula>96</formula>
    </cfRule>
    <cfRule type="cellIs" priority="259" operator="between" dxfId="12">
      <formula>61</formula>
      <formula>72</formula>
    </cfRule>
    <cfRule type="cellIs" priority="253" operator="between" dxfId="190">
      <formula>133</formula>
      <formula>144</formula>
    </cfRule>
    <cfRule type="cellIs" priority="260" operator="between" dxfId="1">
      <formula>49</formula>
      <formula>60</formula>
    </cfRule>
    <cfRule type="cellIs" priority="261" operator="between" dxfId="2">
      <formula>37</formula>
      <formula>48</formula>
    </cfRule>
    <cfRule type="cellIs" priority="262" operator="between" dxfId="3">
      <formula>25</formula>
      <formula>36</formula>
    </cfRule>
    <cfRule type="cellIs" priority="263" operator="between" dxfId="4">
      <formula>13</formula>
      <formula>24</formula>
    </cfRule>
    <cfRule type="cellIs" priority="264" operator="between" dxfId="5">
      <formula>1</formula>
      <formula>12</formula>
    </cfRule>
    <cfRule type="cellIs" priority="254" operator="between" dxfId="189">
      <formula>121</formula>
      <formula>132</formula>
    </cfRule>
    <cfRule type="cellIs" priority="255" operator="between" dxfId="187">
      <formula>109</formula>
      <formula>120</formula>
    </cfRule>
    <cfRule type="cellIs" priority="256" operator="between" dxfId="186">
      <formula>97</formula>
      <formula>108</formula>
    </cfRule>
  </conditionalFormatting>
  <conditionalFormatting sqref="C54">
    <cfRule type="cellIs" priority="233" operator="between" dxfId="9">
      <formula>85</formula>
      <formula>96</formula>
    </cfRule>
    <cfRule type="cellIs" priority="232" operator="between" dxfId="186">
      <formula>97</formula>
      <formula>108</formula>
    </cfRule>
    <cfRule type="cellIs" priority="230" operator="between" dxfId="189">
      <formula>121</formula>
      <formula>132</formula>
    </cfRule>
    <cfRule type="cellIs" priority="229" operator="between" dxfId="190">
      <formula>133</formula>
      <formula>144</formula>
    </cfRule>
    <cfRule type="cellIs" priority="240" operator="between" dxfId="5">
      <formula>1</formula>
      <formula>12</formula>
    </cfRule>
    <cfRule type="cellIs" priority="239" operator="between" dxfId="4">
      <formula>13</formula>
      <formula>24</formula>
    </cfRule>
    <cfRule type="cellIs" priority="238" operator="between" dxfId="3">
      <formula>25</formula>
      <formula>36</formula>
    </cfRule>
    <cfRule type="cellIs" priority="236" operator="between" dxfId="1">
      <formula>49</formula>
      <formula>60</formula>
    </cfRule>
    <cfRule type="cellIs" priority="235" operator="between" dxfId="12">
      <formula>61</formula>
      <formula>72</formula>
    </cfRule>
    <cfRule type="cellIs" priority="231" operator="between" dxfId="187">
      <formula>109</formula>
      <formula>120</formula>
    </cfRule>
    <cfRule type="cellIs" priority="237" operator="between" dxfId="2">
      <formula>37</formula>
      <formula>48</formula>
    </cfRule>
    <cfRule type="cellIs" priority="234" operator="between" dxfId="11">
      <formula>73</formula>
      <formula>84</formula>
    </cfRule>
  </conditionalFormatting>
  <conditionalFormatting sqref="C67">
    <cfRule type="cellIs" priority="206" operator="between" dxfId="189">
      <formula>121</formula>
      <formula>132</formula>
    </cfRule>
    <cfRule type="cellIs" priority="216" operator="between" dxfId="5">
      <formula>1</formula>
      <formula>12</formula>
    </cfRule>
    <cfRule type="cellIs" priority="215" operator="between" dxfId="4">
      <formula>13</formula>
      <formula>24</formula>
    </cfRule>
    <cfRule type="cellIs" priority="214" operator="between" dxfId="3">
      <formula>25</formula>
      <formula>36</formula>
    </cfRule>
    <cfRule type="cellIs" priority="213" operator="between" dxfId="2">
      <formula>37</formula>
      <formula>48</formula>
    </cfRule>
    <cfRule type="cellIs" priority="212" operator="between" dxfId="1">
      <formula>49</formula>
      <formula>60</formula>
    </cfRule>
    <cfRule type="cellIs" priority="211" operator="between" dxfId="12">
      <formula>61</formula>
      <formula>72</formula>
    </cfRule>
    <cfRule type="cellIs" priority="205" operator="between" dxfId="190">
      <formula>133</formula>
      <formula>144</formula>
    </cfRule>
    <cfRule type="cellIs" priority="210" operator="between" dxfId="11">
      <formula>73</formula>
      <formula>84</formula>
    </cfRule>
    <cfRule type="cellIs" priority="209" operator="between" dxfId="9">
      <formula>85</formula>
      <formula>96</formula>
    </cfRule>
    <cfRule type="cellIs" priority="208" operator="between" dxfId="186">
      <formula>97</formula>
      <formula>108</formula>
    </cfRule>
    <cfRule type="cellIs" priority="207" operator="between" dxfId="187">
      <formula>109</formula>
      <formula>120</formula>
    </cfRule>
  </conditionalFormatting>
  <conditionalFormatting sqref="C80">
    <cfRule type="cellIs" priority="187" operator="between" dxfId="12">
      <formula>61</formula>
      <formula>72</formula>
    </cfRule>
    <cfRule type="cellIs" priority="186" operator="between" dxfId="11">
      <formula>73</formula>
      <formula>84</formula>
    </cfRule>
    <cfRule type="cellIs" priority="185" operator="between" dxfId="9">
      <formula>85</formula>
      <formula>96</formula>
    </cfRule>
    <cfRule type="cellIs" priority="184" operator="between" dxfId="186">
      <formula>97</formula>
      <formula>108</formula>
    </cfRule>
    <cfRule type="cellIs" priority="183" operator="between" dxfId="187">
      <formula>109</formula>
      <formula>120</formula>
    </cfRule>
    <cfRule type="cellIs" priority="182" operator="between" dxfId="189">
      <formula>121</formula>
      <formula>132</formula>
    </cfRule>
    <cfRule type="cellIs" priority="190" operator="between" dxfId="3">
      <formula>25</formula>
      <formula>36</formula>
    </cfRule>
    <cfRule type="cellIs" priority="181" operator="between" dxfId="190">
      <formula>133</formula>
      <formula>144</formula>
    </cfRule>
    <cfRule type="cellIs" priority="192" operator="between" dxfId="5">
      <formula>1</formula>
      <formula>12</formula>
    </cfRule>
    <cfRule type="cellIs" priority="191" operator="between" dxfId="4">
      <formula>13</formula>
      <formula>24</formula>
    </cfRule>
    <cfRule type="cellIs" priority="189" operator="between" dxfId="2">
      <formula>37</formula>
      <formula>48</formula>
    </cfRule>
    <cfRule type="cellIs" priority="188" operator="between" dxfId="1">
      <formula>49</formula>
      <formula>60</formula>
    </cfRule>
  </conditionalFormatting>
  <conditionalFormatting sqref="C91">
    <cfRule type="cellIs" priority="493" operator="between" dxfId="190">
      <formula>133</formula>
      <formula>144</formula>
    </cfRule>
    <cfRule type="cellIs" priority="498" operator="between" dxfId="11">
      <formula>73</formula>
      <formula>84</formula>
    </cfRule>
    <cfRule type="cellIs" priority="504" operator="between" dxfId="5">
      <formula>1</formula>
      <formula>12</formula>
    </cfRule>
    <cfRule type="cellIs" priority="503" operator="between" dxfId="4">
      <formula>13</formula>
      <formula>24</formula>
    </cfRule>
    <cfRule type="cellIs" priority="502" operator="between" dxfId="3">
      <formula>25</formula>
      <formula>36</formula>
    </cfRule>
    <cfRule type="cellIs" priority="501" operator="between" dxfId="2">
      <formula>37</formula>
      <formula>48</formula>
    </cfRule>
    <cfRule type="cellIs" priority="497" operator="between" dxfId="9">
      <formula>85</formula>
      <formula>96</formula>
    </cfRule>
    <cfRule type="cellIs" priority="500" operator="between" dxfId="1">
      <formula>49</formula>
      <formula>60</formula>
    </cfRule>
    <cfRule type="cellIs" priority="499" operator="between" dxfId="12">
      <formula>61</formula>
      <formula>72</formula>
    </cfRule>
    <cfRule type="cellIs" priority="494" operator="between" dxfId="189">
      <formula>121</formula>
      <formula>132</formula>
    </cfRule>
    <cfRule type="cellIs" priority="495" operator="between" dxfId="187">
      <formula>109</formula>
      <formula>120</formula>
    </cfRule>
    <cfRule type="cellIs" priority="496" operator="between" dxfId="186">
      <formula>97</formula>
      <formula>108</formula>
    </cfRule>
  </conditionalFormatting>
  <conditionalFormatting sqref="C93">
    <cfRule type="cellIs" priority="164" operator="between" dxfId="1">
      <formula>49</formula>
      <formula>60</formula>
    </cfRule>
    <cfRule type="cellIs" priority="165" operator="between" dxfId="2">
      <formula>37</formula>
      <formula>48</formula>
    </cfRule>
    <cfRule type="cellIs" priority="167" operator="between" dxfId="4">
      <formula>13</formula>
      <formula>24</formula>
    </cfRule>
    <cfRule type="cellIs" priority="168" operator="between" dxfId="5">
      <formula>1</formula>
      <formula>12</formula>
    </cfRule>
    <cfRule type="cellIs" priority="166" operator="between" dxfId="3">
      <formula>25</formula>
      <formula>36</formula>
    </cfRule>
    <cfRule type="cellIs" priority="157" operator="between" dxfId="190">
      <formula>133</formula>
      <formula>144</formula>
    </cfRule>
    <cfRule type="cellIs" priority="158" operator="between" dxfId="189">
      <formula>121</formula>
      <formula>132</formula>
    </cfRule>
    <cfRule type="cellIs" priority="159" operator="between" dxfId="187">
      <formula>109</formula>
      <formula>120</formula>
    </cfRule>
    <cfRule type="cellIs" priority="160" operator="between" dxfId="186">
      <formula>97</formula>
      <formula>108</formula>
    </cfRule>
    <cfRule type="cellIs" priority="162" operator="between" dxfId="11">
      <formula>73</formula>
      <formula>84</formula>
    </cfRule>
    <cfRule type="cellIs" priority="163" operator="between" dxfId="12">
      <formula>61</formula>
      <formula>72</formula>
    </cfRule>
    <cfRule type="cellIs" priority="161" operator="between" dxfId="9">
      <formula>85</formula>
      <formula>96</formula>
    </cfRule>
  </conditionalFormatting>
  <conditionalFormatting sqref="C106">
    <cfRule type="cellIs" priority="138" operator="between" dxfId="11">
      <formula>73</formula>
      <formula>84</formula>
    </cfRule>
    <cfRule type="cellIs" priority="133" operator="between" dxfId="190">
      <formula>133</formula>
      <formula>144</formula>
    </cfRule>
    <cfRule type="cellIs" priority="134" operator="between" dxfId="189">
      <formula>121</formula>
      <formula>132</formula>
    </cfRule>
    <cfRule type="cellIs" priority="135" operator="between" dxfId="187">
      <formula>109</formula>
      <formula>120</formula>
    </cfRule>
    <cfRule type="cellIs" priority="137" operator="between" dxfId="9">
      <formula>85</formula>
      <formula>96</formula>
    </cfRule>
    <cfRule type="cellIs" priority="139" operator="between" dxfId="12">
      <formula>61</formula>
      <formula>72</formula>
    </cfRule>
    <cfRule type="cellIs" priority="140" operator="between" dxfId="1">
      <formula>49</formula>
      <formula>60</formula>
    </cfRule>
    <cfRule type="cellIs" priority="141" operator="between" dxfId="2">
      <formula>37</formula>
      <formula>48</formula>
    </cfRule>
    <cfRule type="cellIs" priority="142" operator="between" dxfId="3">
      <formula>25</formula>
      <formula>36</formula>
    </cfRule>
    <cfRule type="cellIs" priority="143" operator="between" dxfId="4">
      <formula>13</formula>
      <formula>24</formula>
    </cfRule>
    <cfRule type="cellIs" priority="144" operator="between" dxfId="5">
      <formula>1</formula>
      <formula>12</formula>
    </cfRule>
    <cfRule type="cellIs" priority="136" operator="between" dxfId="186">
      <formula>97</formula>
      <formula>108</formula>
    </cfRule>
  </conditionalFormatting>
  <conditionalFormatting sqref="C119">
    <cfRule type="cellIs" priority="115" operator="between" dxfId="12">
      <formula>61</formula>
      <formula>72</formula>
    </cfRule>
    <cfRule type="cellIs" priority="120" operator="between" dxfId="5">
      <formula>1</formula>
      <formula>12</formula>
    </cfRule>
    <cfRule type="cellIs" priority="119" operator="between" dxfId="4">
      <formula>13</formula>
      <formula>24</formula>
    </cfRule>
    <cfRule type="cellIs" priority="117" operator="between" dxfId="2">
      <formula>37</formula>
      <formula>48</formula>
    </cfRule>
    <cfRule type="cellIs" priority="112" operator="between" dxfId="186">
      <formula>97</formula>
      <formula>108</formula>
    </cfRule>
    <cfRule type="cellIs" priority="116" operator="between" dxfId="1">
      <formula>49</formula>
      <formula>60</formula>
    </cfRule>
    <cfRule type="cellIs" priority="110" operator="between" dxfId="189">
      <formula>121</formula>
      <formula>132</formula>
    </cfRule>
    <cfRule type="cellIs" priority="118" operator="between" dxfId="3">
      <formula>25</formula>
      <formula>36</formula>
    </cfRule>
    <cfRule type="cellIs" priority="114" operator="between" dxfId="11">
      <formula>73</formula>
      <formula>84</formula>
    </cfRule>
    <cfRule type="cellIs" priority="113" operator="between" dxfId="9">
      <formula>85</formula>
      <formula>96</formula>
    </cfRule>
    <cfRule type="cellIs" priority="111" operator="between" dxfId="187">
      <formula>109</formula>
      <formula>120</formula>
    </cfRule>
    <cfRule type="cellIs" priority="109" operator="between" dxfId="190">
      <formula>133</formula>
      <formula>144</formula>
    </cfRule>
  </conditionalFormatting>
  <conditionalFormatting sqref="C132">
    <cfRule type="cellIs" priority="87" operator="between" dxfId="187">
      <formula>109</formula>
      <formula>120</formula>
    </cfRule>
    <cfRule type="cellIs" priority="88" operator="between" dxfId="186">
      <formula>97</formula>
      <formula>108</formula>
    </cfRule>
    <cfRule type="cellIs" priority="89" operator="between" dxfId="9">
      <formula>85</formula>
      <formula>96</formula>
    </cfRule>
    <cfRule type="cellIs" priority="90" operator="between" dxfId="11">
      <formula>73</formula>
      <formula>84</formula>
    </cfRule>
    <cfRule type="cellIs" priority="92" operator="between" dxfId="1">
      <formula>49</formula>
      <formula>60</formula>
    </cfRule>
    <cfRule type="cellIs" priority="93" operator="between" dxfId="2">
      <formula>37</formula>
      <formula>48</formula>
    </cfRule>
    <cfRule type="cellIs" priority="95" operator="between" dxfId="4">
      <formula>13</formula>
      <formula>24</formula>
    </cfRule>
    <cfRule type="cellIs" priority="96" operator="between" dxfId="5">
      <formula>1</formula>
      <formula>12</formula>
    </cfRule>
    <cfRule type="cellIs" priority="91" operator="between" dxfId="12">
      <formula>61</formula>
      <formula>72</formula>
    </cfRule>
    <cfRule type="cellIs" priority="94" operator="between" dxfId="3">
      <formula>25</formula>
      <formula>36</formula>
    </cfRule>
    <cfRule type="cellIs" priority="85" operator="between" dxfId="190">
      <formula>133</formula>
      <formula>144</formula>
    </cfRule>
    <cfRule type="cellIs" priority="86" operator="between" dxfId="189">
      <formula>121</formula>
      <formula>132</formula>
    </cfRule>
  </conditionalFormatting>
  <conditionalFormatting sqref="C145">
    <cfRule type="cellIs" priority="67" operator="between" dxfId="12">
      <formula>61</formula>
      <formula>72</formula>
    </cfRule>
    <cfRule type="cellIs" priority="66" operator="between" dxfId="11">
      <formula>73</formula>
      <formula>84</formula>
    </cfRule>
    <cfRule type="cellIs" priority="72" operator="between" dxfId="5">
      <formula>1</formula>
      <formula>12</formula>
    </cfRule>
    <cfRule type="cellIs" priority="61" operator="between" dxfId="190">
      <formula>133</formula>
      <formula>144</formula>
    </cfRule>
    <cfRule type="cellIs" priority="62" operator="between" dxfId="189">
      <formula>121</formula>
      <formula>132</formula>
    </cfRule>
    <cfRule type="cellIs" priority="63" operator="between" dxfId="187">
      <formula>109</formula>
      <formula>120</formula>
    </cfRule>
    <cfRule type="cellIs" priority="64" operator="between" dxfId="186">
      <formula>97</formula>
      <formula>108</formula>
    </cfRule>
    <cfRule type="cellIs" priority="65" operator="between" dxfId="9">
      <formula>85</formula>
      <formula>96</formula>
    </cfRule>
    <cfRule type="cellIs" priority="71" operator="between" dxfId="4">
      <formula>13</formula>
      <formula>24</formula>
    </cfRule>
    <cfRule type="cellIs" priority="70" operator="between" dxfId="3">
      <formula>25</formula>
      <formula>36</formula>
    </cfRule>
    <cfRule type="cellIs" priority="69" operator="between" dxfId="2">
      <formula>37</formula>
      <formula>48</formula>
    </cfRule>
    <cfRule type="cellIs" priority="68" operator="between" dxfId="1">
      <formula>49</formula>
      <formula>60</formula>
    </cfRule>
  </conditionalFormatting>
  <conditionalFormatting sqref="C158">
    <cfRule type="cellIs" priority="46" operator="between" dxfId="3">
      <formula>25</formula>
      <formula>36</formula>
    </cfRule>
    <cfRule type="cellIs" priority="37" operator="between" dxfId="190">
      <formula>133</formula>
      <formula>144</formula>
    </cfRule>
    <cfRule type="cellIs" priority="38" operator="between" dxfId="189">
      <formula>121</formula>
      <formula>132</formula>
    </cfRule>
    <cfRule type="cellIs" priority="39" operator="between" dxfId="187">
      <formula>109</formula>
      <formula>120</formula>
    </cfRule>
    <cfRule type="cellIs" priority="40" operator="between" dxfId="186">
      <formula>97</formula>
      <formula>108</formula>
    </cfRule>
    <cfRule type="cellIs" priority="41" operator="between" dxfId="9">
      <formula>85</formula>
      <formula>96</formula>
    </cfRule>
    <cfRule type="cellIs" priority="42" operator="between" dxfId="11">
      <formula>73</formula>
      <formula>84</formula>
    </cfRule>
    <cfRule type="cellIs" priority="43" operator="between" dxfId="12">
      <formula>61</formula>
      <formula>72</formula>
    </cfRule>
    <cfRule type="cellIs" priority="44" operator="between" dxfId="1">
      <formula>49</formula>
      <formula>60</formula>
    </cfRule>
    <cfRule type="cellIs" priority="45" operator="between" dxfId="2">
      <formula>37</formula>
      <formula>48</formula>
    </cfRule>
    <cfRule type="cellIs" priority="47" operator="between" dxfId="4">
      <formula>13</formula>
      <formula>24</formula>
    </cfRule>
    <cfRule type="cellIs" priority="48" operator="between" dxfId="5">
      <formula>1</formula>
      <formula>12</formula>
    </cfRule>
  </conditionalFormatting>
  <conditionalFormatting sqref="C171">
    <cfRule type="cellIs" priority="17" operator="between" dxfId="9">
      <formula>85</formula>
      <formula>96</formula>
    </cfRule>
    <cfRule type="cellIs" priority="23" operator="between" dxfId="4">
      <formula>13</formula>
      <formula>24</formula>
    </cfRule>
    <cfRule type="cellIs" priority="13" operator="between" dxfId="190">
      <formula>133</formula>
      <formula>144</formula>
    </cfRule>
    <cfRule type="cellIs" priority="14" operator="between" dxfId="189">
      <formula>121</formula>
      <formula>132</formula>
    </cfRule>
    <cfRule type="cellIs" priority="24" operator="between" dxfId="5">
      <formula>1</formula>
      <formula>12</formula>
    </cfRule>
    <cfRule type="cellIs" priority="15" operator="between" dxfId="187">
      <formula>109</formula>
      <formula>120</formula>
    </cfRule>
    <cfRule type="cellIs" priority="16" operator="between" dxfId="186">
      <formula>97</formula>
      <formula>108</formula>
    </cfRule>
    <cfRule type="cellIs" priority="18" operator="between" dxfId="11">
      <formula>73</formula>
      <formula>84</formula>
    </cfRule>
    <cfRule type="cellIs" priority="19" operator="between" dxfId="12">
      <formula>61</formula>
      <formula>72</formula>
    </cfRule>
    <cfRule type="cellIs" priority="20" operator="between" dxfId="1">
      <formula>49</formula>
      <formula>60</formula>
    </cfRule>
    <cfRule type="cellIs" priority="21" operator="between" dxfId="2">
      <formula>37</formula>
      <formula>48</formula>
    </cfRule>
    <cfRule type="cellIs" priority="22" operator="between" dxfId="3">
      <formula>25</formula>
      <formula>36</formula>
    </cfRule>
  </conditionalFormatting>
  <conditionalFormatting sqref="D2">
    <cfRule type="expression" priority="530" dxfId="10">
      <formula>OR($A2=11, $A2=23, $A2=35, $A2=47, $A2=59, $A2=71, $A2=83, $A2=95, $A2=107, $A2=119, $A2=131, $A2=143)</formula>
    </cfRule>
    <cfRule type="expression" priority="531" dxfId="7">
      <formula>OR($A2=10, $A2=22, $A2=34, $A2=46, $A2=58, $A2=70, $A2=82, $A2=94, $A2=106, $A2=118, $A2=130, $A2=142)</formula>
    </cfRule>
    <cfRule type="expression" priority="532" dxfId="8">
      <formula>OR($A2=9, $A2=21, $A2=33, $A2=45, $A2=57, $A2=69, $A2=81, $A2=93, $A2=105, $A2=117, $A2=129, $A2=141)</formula>
    </cfRule>
    <cfRule type="expression" priority="534" dxfId="11">
      <formula>OR($A2=7, $A2=19, $A2=31, $A2=43, $A2=55, $A2=67, $A2=79, $A2=91, $A2=103, $A2=115, $A2=127, $A2=139)</formula>
    </cfRule>
    <cfRule type="expression" priority="535" dxfId="12">
      <formula>OR($A2=6, $A2=18, $A2=30, $A2=42, $A2=54, $A2=66, $A2=78, $A2=90, $A2=102, $A2=114, $A2=126, $A2=138)</formula>
    </cfRule>
    <cfRule type="expression" priority="536" dxfId="1">
      <formula>OR($A2=5, $A2=17, $A2=29, $A2=41, $A2=53, $A2=65, $A2=77, $A2=89, $A2=101, $A2=113, $A2=125, $A2=137)</formula>
    </cfRule>
    <cfRule type="expression" priority="537" dxfId="2">
      <formula>OR($A2=4, $A2=16, $A2=28, $A2=40, $A2=52, $A2=64, $A2=76, $A2=88, $A2=100, $A2=112, $A2=124, $A2=136)</formula>
    </cfRule>
    <cfRule type="expression" priority="533" dxfId="9">
      <formula>OR($A2=8, $A2=20, $A2=32, $A2=44, $A2=56, $A2=68, $A2=80, $A2=92, $A2=104, $A2=116, $A2=128, $A2=140)</formula>
    </cfRule>
    <cfRule type="expression" priority="538" dxfId="3">
      <formula>OR($A2=3, $A2=15, $A2=27, $A2=39, $A2=51, $A2=63, $A2=75, $A2=87, $A2=99, $A2=111, $A2=123, $A2=135)</formula>
    </cfRule>
    <cfRule type="expression" priority="539" dxfId="4">
      <formula>OR($A2=2, $A2=14, $A2=26, $A2=38, $A2=50, $A2=62, $A2=74, $A2=86, $A2=98, $A2=110, $A2=122, $A2=134)</formula>
    </cfRule>
    <cfRule type="expression" priority="540" dxfId="5">
      <formula>OR($A2=1, $A2=13, $A2=25, $A2=37, $A2=49, $A2=61, $A2=73, $A2=85, $A2=97, $A2=109, $A2=121, $A2=133)</formula>
    </cfRule>
    <cfRule type="expression" priority="529" dxfId="6">
      <formula>OR($A2=12, $A2=24, $A2=36, $A2=48, $A2=60, $A2=72, $A2=84, $A2=96, $A2=108, $A2=120, $A2=132, $A2=144)</formula>
    </cfRule>
  </conditionalFormatting>
  <conditionalFormatting sqref="D15">
    <cfRule type="expression" priority="289" dxfId="6">
      <formula>OR($A15=12, $A15=24, $A15=36, $A15=48, $A15=60, $A15=72, $A15=84, $A15=96, $A15=108, $A15=120, $A15=132, $A15=144)</formula>
    </cfRule>
    <cfRule type="expression" priority="291" dxfId="7">
      <formula>OR($A15=10, $A15=22, $A15=34, $A15=46, $A15=58, $A15=70, $A15=82, $A15=94, $A15=106, $A15=118, $A15=130, $A15=142)</formula>
    </cfRule>
    <cfRule type="expression" priority="300" dxfId="5">
      <formula>OR($A15=1, $A15=13, $A15=25, $A15=37, $A15=49, $A15=61, $A15=73, $A15=85, $A15=97, $A15=109, $A15=121, $A15=133)</formula>
    </cfRule>
    <cfRule type="expression" priority="299" dxfId="4">
      <formula>OR($A15=2, $A15=14, $A15=26, $A15=38, $A15=50, $A15=62, $A15=74, $A15=86, $A15=98, $A15=110, $A15=122, $A15=134)</formula>
    </cfRule>
    <cfRule type="expression" priority="298" dxfId="3">
      <formula>OR($A15=3, $A15=15, $A15=27, $A15=39, $A15=51, $A15=63, $A15=75, $A15=87, $A15=99, $A15=111, $A15=123, $A15=135)</formula>
    </cfRule>
    <cfRule type="expression" priority="297" dxfId="2">
      <formula>OR($A15=4, $A15=16, $A15=28, $A15=40, $A15=52, $A15=64, $A15=76, $A15=88, $A15=100, $A15=112, $A15=124, $A15=136)</formula>
    </cfRule>
    <cfRule type="expression" priority="296" dxfId="1">
      <formula>OR($A15=5, $A15=17, $A15=29, $A15=41, $A15=53, $A15=65, $A15=77, $A15=89, $A15=101, $A15=113, $A15=125, $A15=137)</formula>
    </cfRule>
    <cfRule type="expression" priority="295" dxfId="12">
      <formula>OR($A15=6, $A15=18, $A15=30, $A15=42, $A15=54, $A15=66, $A15=78, $A15=90, $A15=102, $A15=114, $A15=126, $A15=138)</formula>
    </cfRule>
    <cfRule type="expression" priority="294" dxfId="11">
      <formula>OR($A15=7, $A15=19, $A15=31, $A15=43, $A15=55, $A15=67, $A15=79, $A15=91, $A15=103, $A15=115, $A15=127, $A15=139)</formula>
    </cfRule>
    <cfRule type="expression" priority="293" dxfId="9">
      <formula>OR($A15=8, $A15=20, $A15=32, $A15=44, $A15=56, $A15=68, $A15=80, $A15=92, $A15=104, $A15=116, $A15=128, $A15=140)</formula>
    </cfRule>
    <cfRule type="expression" priority="292" dxfId="8">
      <formula>OR($A15=9, $A15=21, $A15=33, $A15=45, $A15=57, $A15=69, $A15=81, $A15=93, $A15=105, $A15=117, $A15=129, $A15=141)</formula>
    </cfRule>
    <cfRule type="expression" priority="290" dxfId="10">
      <formula>OR($A15=11, $A15=23, $A15=35, $A15=47, $A15=59, $A15=71, $A15=83, $A15=95, $A15=107, $A15=119, $A15=131, $A15=143)</formula>
    </cfRule>
  </conditionalFormatting>
  <conditionalFormatting sqref="D28">
    <cfRule type="expression" priority="276" dxfId="5">
      <formula>OR($A28=1, $A28=13, $A28=25, $A28=37, $A28=49, $A28=61, $A28=73, $A28=85, $A28=97, $A28=109, $A28=121, $A28=133)</formula>
    </cfRule>
    <cfRule type="expression" priority="265" dxfId="6">
      <formula>OR($A28=12, $A28=24, $A28=36, $A28=48, $A28=60, $A28=72, $A28=84, $A28=96, $A28=108, $A28=120, $A28=132, $A28=144)</formula>
    </cfRule>
    <cfRule type="expression" priority="266" dxfId="10">
      <formula>OR($A28=11, $A28=23, $A28=35, $A28=47, $A28=59, $A28=71, $A28=83, $A28=95, $A28=107, $A28=119, $A28=131, $A28=143)</formula>
    </cfRule>
    <cfRule type="expression" priority="270" dxfId="11">
      <formula>OR($A28=7, $A28=19, $A28=31, $A28=43, $A28=55, $A28=67, $A28=79, $A28=91, $A28=103, $A28=115, $A28=127, $A28=139)</formula>
    </cfRule>
    <cfRule type="expression" priority="267" dxfId="7">
      <formula>OR($A28=10, $A28=22, $A28=34, $A28=46, $A28=58, $A28=70, $A28=82, $A28=94, $A28=106, $A28=118, $A28=130, $A28=142)</formula>
    </cfRule>
    <cfRule type="expression" priority="268" dxfId="8">
      <formula>OR($A28=9, $A28=21, $A28=33, $A28=45, $A28=57, $A28=69, $A28=81, $A28=93, $A28=105, $A28=117, $A28=129, $A28=141)</formula>
    </cfRule>
    <cfRule type="expression" priority="269" dxfId="9">
      <formula>OR($A28=8, $A28=20, $A28=32, $A28=44, $A28=56, $A28=68, $A28=80, $A28=92, $A28=104, $A28=116, $A28=128, $A28=140)</formula>
    </cfRule>
    <cfRule type="expression" priority="271" dxfId="12">
      <formula>OR($A28=6, $A28=18, $A28=30, $A28=42, $A28=54, $A28=66, $A28=78, $A28=90, $A28=102, $A28=114, $A28=126, $A28=138)</formula>
    </cfRule>
    <cfRule type="expression" priority="272" dxfId="1">
      <formula>OR($A28=5, $A28=17, $A28=29, $A28=41, $A28=53, $A28=65, $A28=77, $A28=89, $A28=101, $A28=113, $A28=125, $A28=137)</formula>
    </cfRule>
    <cfRule type="expression" priority="273" dxfId="2">
      <formula>OR($A28=4, $A28=16, $A28=28, $A28=40, $A28=52, $A28=64, $A28=76, $A28=88, $A28=100, $A28=112, $A28=124, $A28=136)</formula>
    </cfRule>
    <cfRule type="expression" priority="274" dxfId="3">
      <formula>OR($A28=3, $A28=15, $A28=27, $A28=39, $A28=51, $A28=63, $A28=75, $A28=87, $A28=99, $A28=111, $A28=123, $A28=135)</formula>
    </cfRule>
    <cfRule type="expression" priority="275" dxfId="4">
      <formula>OR($A28=2, $A28=14, $A28=26, $A28=38, $A28=50, $A28=62, $A28=74, $A28=86, $A28=98, $A28=110, $A28=122, $A28=134)</formula>
    </cfRule>
  </conditionalFormatting>
  <conditionalFormatting sqref="D41">
    <cfRule type="expression" priority="242" dxfId="10">
      <formula>OR($A41=11, $A41=23, $A41=35, $A41=47, $A41=59, $A41=71, $A41=83, $A41=95, $A41=107, $A41=119, $A41=131, $A41=143)</formula>
    </cfRule>
    <cfRule type="expression" priority="243" dxfId="7">
      <formula>OR($A41=10, $A41=22, $A41=34, $A41=46, $A41=58, $A41=70, $A41=82, $A41=94, $A41=106, $A41=118, $A41=130, $A41=142)</formula>
    </cfRule>
    <cfRule type="expression" priority="244" dxfId="8">
      <formula>OR($A41=9, $A41=21, $A41=33, $A41=45, $A41=57, $A41=69, $A41=81, $A41=93, $A41=105, $A41=117, $A41=129, $A41=141)</formula>
    </cfRule>
    <cfRule type="expression" priority="245" dxfId="9">
      <formula>OR($A41=8, $A41=20, $A41=32, $A41=44, $A41=56, $A41=68, $A41=80, $A41=92, $A41=104, $A41=116, $A41=128, $A41=140)</formula>
    </cfRule>
    <cfRule type="expression" priority="246" dxfId="11">
      <formula>OR($A41=7, $A41=19, $A41=31, $A41=43, $A41=55, $A41=67, $A41=79, $A41=91, $A41=103, $A41=115, $A41=127, $A41=139)</formula>
    </cfRule>
    <cfRule type="expression" priority="247" dxfId="12">
      <formula>OR($A41=6, $A41=18, $A41=30, $A41=42, $A41=54, $A41=66, $A41=78, $A41=90, $A41=102, $A41=114, $A41=126, $A41=138)</formula>
    </cfRule>
    <cfRule type="expression" priority="248" dxfId="1">
      <formula>OR($A41=5, $A41=17, $A41=29, $A41=41, $A41=53, $A41=65, $A41=77, $A41=89, $A41=101, $A41=113, $A41=125, $A41=137)</formula>
    </cfRule>
    <cfRule type="expression" priority="250" dxfId="3">
      <formula>OR($A41=3, $A41=15, $A41=27, $A41=39, $A41=51, $A41=63, $A41=75, $A41=87, $A41=99, $A41=111, $A41=123, $A41=135)</formula>
    </cfRule>
    <cfRule type="expression" priority="251" dxfId="4">
      <formula>OR($A41=2, $A41=14, $A41=26, $A41=38, $A41=50, $A41=62, $A41=74, $A41=86, $A41=98, $A41=110, $A41=122, $A41=134)</formula>
    </cfRule>
    <cfRule type="expression" priority="252" dxfId="5">
      <formula>OR($A41=1, $A41=13, $A41=25, $A41=37, $A41=49, $A41=61, $A41=73, $A41=85, $A41=97, $A41=109, $A41=121, $A41=133)</formula>
    </cfRule>
    <cfRule type="expression" priority="241" dxfId="6">
      <formula>OR($A41=12, $A41=24, $A41=36, $A41=48, $A41=60, $A41=72, $A41=84, $A41=96, $A41=108, $A41=120, $A41=132, $A41=144)</formula>
    </cfRule>
    <cfRule type="expression" priority="249" dxfId="2">
      <formula>OR($A41=4, $A41=16, $A41=28, $A41=40, $A41=52, $A41=64, $A41=76, $A41=88, $A41=100, $A41=112, $A41=124, $A41=136)</formula>
    </cfRule>
  </conditionalFormatting>
  <conditionalFormatting sqref="D54">
    <cfRule type="expression" priority="217" dxfId="6">
      <formula>OR($A54=12, $A54=24, $A54=36, $A54=48, $A54=60, $A54=72, $A54=84, $A54=96, $A54=108, $A54=120, $A54=132, $A54=144)</formula>
    </cfRule>
    <cfRule type="expression" priority="218" dxfId="10">
      <formula>OR($A54=11, $A54=23, $A54=35, $A54=47, $A54=59, $A54=71, $A54=83, $A54=95, $A54=107, $A54=119, $A54=131, $A54=143)</formula>
    </cfRule>
    <cfRule type="expression" priority="219" dxfId="7">
      <formula>OR($A54=10, $A54=22, $A54=34, $A54=46, $A54=58, $A54=70, $A54=82, $A54=94, $A54=106, $A54=118, $A54=130, $A54=142)</formula>
    </cfRule>
    <cfRule type="expression" priority="220" dxfId="8">
      <formula>OR($A54=9, $A54=21, $A54=33, $A54=45, $A54=57, $A54=69, $A54=81, $A54=93, $A54=105, $A54=117, $A54=129, $A54=141)</formula>
    </cfRule>
    <cfRule type="expression" priority="221" dxfId="9">
      <formula>OR($A54=8, $A54=20, $A54=32, $A54=44, $A54=56, $A54=68, $A54=80, $A54=92, $A54=104, $A54=116, $A54=128, $A54=140)</formula>
    </cfRule>
    <cfRule type="expression" priority="223" dxfId="12">
      <formula>OR($A54=6, $A54=18, $A54=30, $A54=42, $A54=54, $A54=66, $A54=78, $A54=90, $A54=102, $A54=114, $A54=126, $A54=138)</formula>
    </cfRule>
    <cfRule type="expression" priority="224" dxfId="1">
      <formula>OR($A54=5, $A54=17, $A54=29, $A54=41, $A54=53, $A54=65, $A54=77, $A54=89, $A54=101, $A54=113, $A54=125, $A54=137)</formula>
    </cfRule>
    <cfRule type="expression" priority="225" dxfId="2">
      <formula>OR($A54=4, $A54=16, $A54=28, $A54=40, $A54=52, $A54=64, $A54=76, $A54=88, $A54=100, $A54=112, $A54=124, $A54=136)</formula>
    </cfRule>
    <cfRule type="expression" priority="226" dxfId="3">
      <formula>OR($A54=3, $A54=15, $A54=27, $A54=39, $A54=51, $A54=63, $A54=75, $A54=87, $A54=99, $A54=111, $A54=123, $A54=135)</formula>
    </cfRule>
    <cfRule type="expression" priority="227" dxfId="4">
      <formula>OR($A54=2, $A54=14, $A54=26, $A54=38, $A54=50, $A54=62, $A54=74, $A54=86, $A54=98, $A54=110, $A54=122, $A54=134)</formula>
    </cfRule>
    <cfRule type="expression" priority="228" dxfId="5">
      <formula>OR($A54=1, $A54=13, $A54=25, $A54=37, $A54=49, $A54=61, $A54=73, $A54=85, $A54=97, $A54=109, $A54=121, $A54=133)</formula>
    </cfRule>
    <cfRule type="expression" priority="222" dxfId="11">
      <formula>OR($A54=7, $A54=19, $A54=31, $A54=43, $A54=55, $A54=67, $A54=79, $A54=91, $A54=103, $A54=115, $A54=127, $A54=139)</formula>
    </cfRule>
  </conditionalFormatting>
  <conditionalFormatting sqref="D67">
    <cfRule type="expression" priority="193" dxfId="6">
      <formula>OR($A67=12, $A67=24, $A67=36, $A67=48, $A67=60, $A67=72, $A67=84, $A67=96, $A67=108, $A67=120, $A67=132, $A67=144)</formula>
    </cfRule>
    <cfRule type="expression" priority="194" dxfId="10">
      <formula>OR($A67=11, $A67=23, $A67=35, $A67=47, $A67=59, $A67=71, $A67=83, $A67=95, $A67=107, $A67=119, $A67=131, $A67=143)</formula>
    </cfRule>
    <cfRule type="expression" priority="195" dxfId="7">
      <formula>OR($A67=10, $A67=22, $A67=34, $A67=46, $A67=58, $A67=70, $A67=82, $A67=94, $A67=106, $A67=118, $A67=130, $A67=142)</formula>
    </cfRule>
    <cfRule type="expression" priority="196" dxfId="8">
      <formula>OR($A67=9, $A67=21, $A67=33, $A67=45, $A67=57, $A67=69, $A67=81, $A67=93, $A67=105, $A67=117, $A67=129, $A67=141)</formula>
    </cfRule>
    <cfRule type="expression" priority="197" dxfId="9">
      <formula>OR($A67=8, $A67=20, $A67=32, $A67=44, $A67=56, $A67=68, $A67=80, $A67=92, $A67=104, $A67=116, $A67=128, $A67=140)</formula>
    </cfRule>
    <cfRule type="expression" priority="198" dxfId="11">
      <formula>OR($A67=7, $A67=19, $A67=31, $A67=43, $A67=55, $A67=67, $A67=79, $A67=91, $A67=103, $A67=115, $A67=127, $A67=139)</formula>
    </cfRule>
    <cfRule type="expression" priority="199" dxfId="12">
      <formula>OR($A67=6, $A67=18, $A67=30, $A67=42, $A67=54, $A67=66, $A67=78, $A67=90, $A67=102, $A67=114, $A67=126, $A67=138)</formula>
    </cfRule>
    <cfRule type="expression" priority="200" dxfId="1">
      <formula>OR($A67=5, $A67=17, $A67=29, $A67=41, $A67=53, $A67=65, $A67=77, $A67=89, $A67=101, $A67=113, $A67=125, $A67=137)</formula>
    </cfRule>
    <cfRule type="expression" priority="201" dxfId="2">
      <formula>OR($A67=4, $A67=16, $A67=28, $A67=40, $A67=52, $A67=64, $A67=76, $A67=88, $A67=100, $A67=112, $A67=124, $A67=136)</formula>
    </cfRule>
    <cfRule type="expression" priority="202" dxfId="3">
      <formula>OR($A67=3, $A67=15, $A67=27, $A67=39, $A67=51, $A67=63, $A67=75, $A67=87, $A67=99, $A67=111, $A67=123, $A67=135)</formula>
    </cfRule>
    <cfRule type="expression" priority="203" dxfId="4">
      <formula>OR($A67=2, $A67=14, $A67=26, $A67=38, $A67=50, $A67=62, $A67=74, $A67=86, $A67=98, $A67=110, $A67=122, $A67=134)</formula>
    </cfRule>
    <cfRule type="expression" priority="204" dxfId="5">
      <formula>OR($A67=1, $A67=13, $A67=25, $A67=37, $A67=49, $A67=61, $A67=73, $A67=85, $A67=97, $A67=109, $A67=121, $A67=133)</formula>
    </cfRule>
  </conditionalFormatting>
  <conditionalFormatting sqref="D80">
    <cfRule type="expression" priority="178" dxfId="3">
      <formula>OR($A80=3, $A80=15, $A80=27, $A80=39, $A80=51, $A80=63, $A80=75, $A80=87, $A80=99, $A80=111, $A80=123, $A80=135)</formula>
    </cfRule>
    <cfRule type="expression" priority="176" dxfId="1">
      <formula>OR($A80=5, $A80=17, $A80=29, $A80=41, $A80=53, $A80=65, $A80=77, $A80=89, $A80=101, $A80=113, $A80=125, $A80=137)</formula>
    </cfRule>
    <cfRule type="expression" priority="175" dxfId="12">
      <formula>OR($A80=6, $A80=18, $A80=30, $A80=42, $A80=54, $A80=66, $A80=78, $A80=90, $A80=102, $A80=114, $A80=126, $A80=138)</formula>
    </cfRule>
    <cfRule type="expression" priority="174" dxfId="11">
      <formula>OR($A80=7, $A80=19, $A80=31, $A80=43, $A80=55, $A80=67, $A80=79, $A80=91, $A80=103, $A80=115, $A80=127, $A80=139)</formula>
    </cfRule>
    <cfRule type="expression" priority="173" dxfId="9">
      <formula>OR($A80=8, $A80=20, $A80=32, $A80=44, $A80=56, $A80=68, $A80=80, $A80=92, $A80=104, $A80=116, $A80=128, $A80=140)</formula>
    </cfRule>
    <cfRule type="expression" priority="169" dxfId="6">
      <formula>OR($A80=12, $A80=24, $A80=36, $A80=48, $A80=60, $A80=72, $A80=84, $A80=96, $A80=108, $A80=120, $A80=132, $A80=144)</formula>
    </cfRule>
    <cfRule type="expression" priority="172" dxfId="8">
      <formula>OR($A80=9, $A80=21, $A80=33, $A80=45, $A80=57, $A80=69, $A80=81, $A80=93, $A80=105, $A80=117, $A80=129, $A80=141)</formula>
    </cfRule>
    <cfRule type="expression" priority="177" dxfId="2">
      <formula>OR($A80=4, $A80=16, $A80=28, $A80=40, $A80=52, $A80=64, $A80=76, $A80=88, $A80=100, $A80=112, $A80=124, $A80=136)</formula>
    </cfRule>
    <cfRule type="expression" priority="170" dxfId="10">
      <formula>OR($A80=11, $A80=23, $A80=35, $A80=47, $A80=59, $A80=71, $A80=83, $A80=95, $A80=107, $A80=119, $A80=131, $A80=143)</formula>
    </cfRule>
    <cfRule type="expression" priority="171" dxfId="7">
      <formula>OR($A80=10, $A80=22, $A80=34, $A80=46, $A80=58, $A80=70, $A80=82, $A80=94, $A80=106, $A80=118, $A80=130, $A80=142)</formula>
    </cfRule>
    <cfRule type="expression" priority="180" dxfId="5">
      <formula>OR($A80=1, $A80=13, $A80=25, $A80=37, $A80=49, $A80=61, $A80=73, $A80=85, $A80=97, $A80=109, $A80=121, $A80=133)</formula>
    </cfRule>
    <cfRule type="expression" priority="179" dxfId="4">
      <formula>OR($A80=2, $A80=14, $A80=26, $A80=38, $A80=50, $A80=62, $A80=74, $A80=86, $A80=98, $A80=110, $A80=122, $A80=134)</formula>
    </cfRule>
  </conditionalFormatting>
  <conditionalFormatting sqref="D91">
    <cfRule type="expression" priority="490" dxfId="3">
      <formula>OR($A91=3, $A91=15, $A91=27, $A91=39, $A91=51, $A91=63, $A91=75, $A91=87, $A91=99, $A91=111, $A91=123, $A91=135)</formula>
    </cfRule>
    <cfRule type="expression" priority="492" dxfId="5">
      <formula>OR($A91=1, $A91=13, $A91=25, $A91=37, $A91=49, $A91=61, $A91=73, $A91=85, $A91=97, $A91=109, $A91=121, $A91=133)</formula>
    </cfRule>
    <cfRule type="expression" priority="491" dxfId="4">
      <formula>OR($A91=2, $A91=14, $A91=26, $A91=38, $A91=50, $A91=62, $A91=74, $A91=86, $A91=98, $A91=110, $A91=122, $A91=134)</formula>
    </cfRule>
    <cfRule type="expression" priority="489" dxfId="2">
      <formula>OR($A91=4, $A91=16, $A91=28, $A91=40, $A91=52, $A91=64, $A91=76, $A91=88, $A91=100, $A91=112, $A91=124, $A91=136)</formula>
    </cfRule>
    <cfRule type="expression" priority="487" dxfId="12">
      <formula>OR($A91=6, $A91=18, $A91=30, $A91=42, $A91=54, $A91=66, $A91=78, $A91=90, $A91=102, $A91=114, $A91=126, $A91=138)</formula>
    </cfRule>
    <cfRule type="expression" priority="486" dxfId="11">
      <formula>OR($A91=7, $A91=19, $A91=31, $A91=43, $A91=55, $A91=67, $A91=79, $A91=91, $A91=103, $A91=115, $A91=127, $A91=139)</formula>
    </cfRule>
    <cfRule type="expression" priority="488" dxfId="1">
      <formula>OR($A91=5, $A91=17, $A91=29, $A91=41, $A91=53, $A91=65, $A91=77, $A91=89, $A91=101, $A91=113, $A91=125, $A91=137)</formula>
    </cfRule>
    <cfRule type="expression" priority="481" dxfId="6">
      <formula>OR($A91=12, $A91=24, $A91=36, $A91=48, $A91=60, $A91=72, $A91=84, $A91=96, $A91=108, $A91=120, $A91=132, $A91=144)</formula>
    </cfRule>
    <cfRule type="expression" priority="482" dxfId="10">
      <formula>OR($A91=11, $A91=23, $A91=35, $A91=47, $A91=59, $A91=71, $A91=83, $A91=95, $A91=107, $A91=119, $A91=131, $A91=143)</formula>
    </cfRule>
    <cfRule type="expression" priority="484" dxfId="8">
      <formula>OR($A91=9, $A91=21, $A91=33, $A91=45, $A91=57, $A91=69, $A91=81, $A91=93, $A91=105, $A91=117, $A91=129, $A91=141)</formula>
    </cfRule>
    <cfRule type="expression" priority="483" dxfId="7">
      <formula>OR($A91=10, $A91=22, $A91=34, $A91=46, $A91=58, $A91=70, $A91=82, $A91=94, $A91=106, $A91=118, $A91=130, $A91=142)</formula>
    </cfRule>
    <cfRule type="expression" priority="485" dxfId="9">
      <formula>OR($A91=8, $A91=20, $A91=32, $A91=44, $A91=56, $A91=68, $A91=80, $A91=92, $A91=104, $A91=116, $A91=128, $A91=140)</formula>
    </cfRule>
  </conditionalFormatting>
  <conditionalFormatting sqref="D93">
    <cfRule type="expression" priority="152" dxfId="1">
      <formula>OR($A93=5, $A93=17, $A93=29, $A93=41, $A93=53, $A93=65, $A93=77, $A93=89, $A93=101, $A93=113, $A93=125, $A93=137)</formula>
    </cfRule>
    <cfRule type="expression" priority="153" dxfId="2">
      <formula>OR($A93=4, $A93=16, $A93=28, $A93=40, $A93=52, $A93=64, $A93=76, $A93=88, $A93=100, $A93=112, $A93=124, $A93=136)</formula>
    </cfRule>
    <cfRule type="expression" priority="155" dxfId="4">
      <formula>OR($A93=2, $A93=14, $A93=26, $A93=38, $A93=50, $A93=62, $A93=74, $A93=86, $A93=98, $A93=110, $A93=122, $A93=134)</formula>
    </cfRule>
    <cfRule type="expression" priority="156" dxfId="5">
      <formula>OR($A93=1, $A93=13, $A93=25, $A93=37, $A93=49, $A93=61, $A93=73, $A93=85, $A93=97, $A93=109, $A93=121, $A93=133)</formula>
    </cfRule>
    <cfRule type="expression" priority="148" dxfId="8">
      <formula>OR($A93=9, $A93=21, $A93=33, $A93=45, $A93=57, $A93=69, $A93=81, $A93=93, $A93=105, $A93=117, $A93=129, $A93=141)</formula>
    </cfRule>
    <cfRule type="expression" priority="149" dxfId="9">
      <formula>OR($A93=8, $A93=20, $A93=32, $A93=44, $A93=56, $A93=68, $A93=80, $A93=92, $A93=104, $A93=116, $A93=128, $A93=140)</formula>
    </cfRule>
    <cfRule type="expression" priority="151" dxfId="12">
      <formula>OR($A93=6, $A93=18, $A93=30, $A93=42, $A93=54, $A93=66, $A93=78, $A93=90, $A93=102, $A93=114, $A93=126, $A93=138)</formula>
    </cfRule>
    <cfRule type="expression" priority="154" dxfId="3">
      <formula>OR($A93=3, $A93=15, $A93=27, $A93=39, $A93=51, $A93=63, $A93=75, $A93=87, $A93=99, $A93=111, $A93=123, $A93=135)</formula>
    </cfRule>
    <cfRule type="expression" priority="145" dxfId="6">
      <formula>OR($A93=12, $A93=24, $A93=36, $A93=48, $A93=60, $A93=72, $A93=84, $A93=96, $A93=108, $A93=120, $A93=132, $A93=144)</formula>
    </cfRule>
    <cfRule type="expression" priority="146" dxfId="10">
      <formula>OR($A93=11, $A93=23, $A93=35, $A93=47, $A93=59, $A93=71, $A93=83, $A93=95, $A93=107, $A93=119, $A93=131, $A93=143)</formula>
    </cfRule>
    <cfRule type="expression" priority="147" dxfId="7">
      <formula>OR($A93=10, $A93=22, $A93=34, $A93=46, $A93=58, $A93=70, $A93=82, $A93=94, $A93=106, $A93=118, $A93=130, $A93=142)</formula>
    </cfRule>
    <cfRule type="expression" priority="150" dxfId="11">
      <formula>OR($A93=7, $A93=19, $A93=31, $A93=43, $A93=55, $A93=67, $A93=79, $A93=91, $A93=103, $A93=115, $A93=127, $A93=139)</formula>
    </cfRule>
  </conditionalFormatting>
  <conditionalFormatting sqref="D106">
    <cfRule type="expression" priority="125" dxfId="9">
      <formula>OR($A106=8, $A106=20, $A106=32, $A106=44, $A106=56, $A106=68, $A106=80, $A106=92, $A106=104, $A106=116, $A106=128, $A106=140)</formula>
    </cfRule>
    <cfRule type="expression" priority="131" dxfId="4">
      <formula>OR($A106=2, $A106=14, $A106=26, $A106=38, $A106=50, $A106=62, $A106=74, $A106=86, $A106=98, $A106=110, $A106=122, $A106=134)</formula>
    </cfRule>
    <cfRule type="expression" priority="127" dxfId="12">
      <formula>OR($A106=6, $A106=18, $A106=30, $A106=42, $A106=54, $A106=66, $A106=78, $A106=90, $A106=102, $A106=114, $A106=126, $A106=138)</formula>
    </cfRule>
    <cfRule type="expression" priority="128" dxfId="1">
      <formula>OR($A106=5, $A106=17, $A106=29, $A106=41, $A106=53, $A106=65, $A106=77, $A106=89, $A106=101, $A106=113, $A106=125, $A106=137)</formula>
    </cfRule>
    <cfRule type="expression" priority="129" dxfId="2">
      <formula>OR($A106=4, $A106=16, $A106=28, $A106=40, $A106=52, $A106=64, $A106=76, $A106=88, $A106=100, $A106=112, $A106=124, $A106=136)</formula>
    </cfRule>
    <cfRule type="expression" priority="130" dxfId="3">
      <formula>OR($A106=3, $A106=15, $A106=27, $A106=39, $A106=51, $A106=63, $A106=75, $A106=87, $A106=99, $A106=111, $A106=123, $A106=135)</formula>
    </cfRule>
    <cfRule type="expression" priority="121" dxfId="6">
      <formula>OR($A106=12, $A106=24, $A106=36, $A106=48, $A106=60, $A106=72, $A106=84, $A106=96, $A106=108, $A106=120, $A106=132, $A106=144)</formula>
    </cfRule>
    <cfRule type="expression" priority="132" dxfId="5">
      <formula>OR($A106=1, $A106=13, $A106=25, $A106=37, $A106=49, $A106=61, $A106=73, $A106=85, $A106=97, $A106=109, $A106=121, $A106=133)</formula>
    </cfRule>
    <cfRule type="expression" priority="122" dxfId="10">
      <formula>OR($A106=11, $A106=23, $A106=35, $A106=47, $A106=59, $A106=71, $A106=83, $A106=95, $A106=107, $A106=119, $A106=131, $A106=143)</formula>
    </cfRule>
    <cfRule type="expression" priority="123" dxfId="7">
      <formula>OR($A106=10, $A106=22, $A106=34, $A106=46, $A106=58, $A106=70, $A106=82, $A106=94, $A106=106, $A106=118, $A106=130, $A106=142)</formula>
    </cfRule>
    <cfRule type="expression" priority="124" dxfId="8">
      <formula>OR($A106=9, $A106=21, $A106=33, $A106=45, $A106=57, $A106=69, $A106=81, $A106=93, $A106=105, $A106=117, $A106=129, $A106=141)</formula>
    </cfRule>
    <cfRule type="expression" priority="126" dxfId="11">
      <formula>OR($A106=7, $A106=19, $A106=31, $A106=43, $A106=55, $A106=67, $A106=79, $A106=91, $A106=103, $A106=115, $A106=127, $A106=139)</formula>
    </cfRule>
  </conditionalFormatting>
  <conditionalFormatting sqref="D119">
    <cfRule type="expression" priority="107" dxfId="4">
      <formula>OR($A119=2, $A119=14, $A119=26, $A119=38, $A119=50, $A119=62, $A119=74, $A119=86, $A119=98, $A119=110, $A119=122, $A119=134)</formula>
    </cfRule>
    <cfRule type="expression" priority="105" dxfId="2">
      <formula>OR($A119=4, $A119=16, $A119=28, $A119=40, $A119=52, $A119=64, $A119=76, $A119=88, $A119=100, $A119=112, $A119=124, $A119=136)</formula>
    </cfRule>
    <cfRule type="expression" priority="106" dxfId="3">
      <formula>OR($A119=3, $A119=15, $A119=27, $A119=39, $A119=51, $A119=63, $A119=75, $A119=87, $A119=99, $A119=111, $A119=123, $A119=135)</formula>
    </cfRule>
    <cfRule type="expression" priority="104" dxfId="1">
      <formula>OR($A119=5, $A119=17, $A119=29, $A119=41, $A119=53, $A119=65, $A119=77, $A119=89, $A119=101, $A119=113, $A119=125, $A119=137)</formula>
    </cfRule>
    <cfRule type="expression" priority="98" dxfId="10">
      <formula>OR($A119=11, $A119=23, $A119=35, $A119=47, $A119=59, $A119=71, $A119=83, $A119=95, $A119=107, $A119=119, $A119=131, $A119=143)</formula>
    </cfRule>
    <cfRule type="expression" priority="102" dxfId="11">
      <formula>OR($A119=7, $A119=19, $A119=31, $A119=43, $A119=55, $A119=67, $A119=79, $A119=91, $A119=103, $A119=115, $A119=127, $A119=139)</formula>
    </cfRule>
    <cfRule type="expression" priority="103" dxfId="12">
      <formula>OR($A119=6, $A119=18, $A119=30, $A119=42, $A119=54, $A119=66, $A119=78, $A119=90, $A119=102, $A119=114, $A119=126, $A119=138)</formula>
    </cfRule>
    <cfRule type="expression" priority="97" dxfId="6">
      <formula>OR($A119=12, $A119=24, $A119=36, $A119=48, $A119=60, $A119=72, $A119=84, $A119=96, $A119=108, $A119=120, $A119=132, $A119=144)</formula>
    </cfRule>
    <cfRule type="expression" priority="101" dxfId="9">
      <formula>OR($A119=8, $A119=20, $A119=32, $A119=44, $A119=56, $A119=68, $A119=80, $A119=92, $A119=104, $A119=116, $A119=128, $A119=140)</formula>
    </cfRule>
    <cfRule type="expression" priority="100" dxfId="8">
      <formula>OR($A119=9, $A119=21, $A119=33, $A119=45, $A119=57, $A119=69, $A119=81, $A119=93, $A119=105, $A119=117, $A119=129, $A119=141)</formula>
    </cfRule>
    <cfRule type="expression" priority="99" dxfId="7">
      <formula>OR($A119=10, $A119=22, $A119=34, $A119=46, $A119=58, $A119=70, $A119=82, $A119=94, $A119=106, $A119=118, $A119=130, $A119=142)</formula>
    </cfRule>
    <cfRule type="expression" priority="108" dxfId="5">
      <formula>OR($A119=1, $A119=13, $A119=25, $A119=37, $A119=49, $A119=61, $A119=73, $A119=85, $A119=97, $A119=109, $A119=121, $A119=133)</formula>
    </cfRule>
  </conditionalFormatting>
  <conditionalFormatting sqref="D132">
    <cfRule type="expression" priority="78" dxfId="11">
      <formula>OR($A132=7, $A132=19, $A132=31, $A132=43, $A132=55, $A132=67, $A132=79, $A132=91, $A132=103, $A132=115, $A132=127, $A132=139)</formula>
    </cfRule>
    <cfRule type="expression" priority="77" dxfId="9">
      <formula>OR($A132=8, $A132=20, $A132=32, $A132=44, $A132=56, $A132=68, $A132=80, $A132=92, $A132=104, $A132=116, $A132=128, $A132=140)</formula>
    </cfRule>
    <cfRule type="expression" priority="76" dxfId="8">
      <formula>OR($A132=9, $A132=21, $A132=33, $A132=45, $A132=57, $A132=69, $A132=81, $A132=93, $A132=105, $A132=117, $A132=129, $A132=141)</formula>
    </cfRule>
    <cfRule type="expression" priority="75" dxfId="7">
      <formula>OR($A132=10, $A132=22, $A132=34, $A132=46, $A132=58, $A132=70, $A132=82, $A132=94, $A132=106, $A132=118, $A132=130, $A132=142)</formula>
    </cfRule>
    <cfRule type="expression" priority="74" dxfId="10">
      <formula>OR($A132=11, $A132=23, $A132=35, $A132=47, $A132=59, $A132=71, $A132=83, $A132=95, $A132=107, $A132=119, $A132=131, $A132=143)</formula>
    </cfRule>
    <cfRule type="expression" priority="73" dxfId="6">
      <formula>OR($A132=12, $A132=24, $A132=36, $A132=48, $A132=60, $A132=72, $A132=84, $A132=96, $A132=108, $A132=120, $A132=132, $A132=144)</formula>
    </cfRule>
    <cfRule type="expression" priority="83" dxfId="4">
      <formula>OR($A132=2, $A132=14, $A132=26, $A132=38, $A132=50, $A132=62, $A132=74, $A132=86, $A132=98, $A132=110, $A132=122, $A132=134)</formula>
    </cfRule>
    <cfRule type="expression" priority="84" dxfId="5">
      <formula>OR($A132=1, $A132=13, $A132=25, $A132=37, $A132=49, $A132=61, $A132=73, $A132=85, $A132=97, $A132=109, $A132=121, $A132=133)</formula>
    </cfRule>
    <cfRule type="expression" priority="82" dxfId="3">
      <formula>OR($A132=3, $A132=15, $A132=27, $A132=39, $A132=51, $A132=63, $A132=75, $A132=87, $A132=99, $A132=111, $A132=123, $A132=135)</formula>
    </cfRule>
    <cfRule type="expression" priority="81" dxfId="2">
      <formula>OR($A132=4, $A132=16, $A132=28, $A132=40, $A132=52, $A132=64, $A132=76, $A132=88, $A132=100, $A132=112, $A132=124, $A132=136)</formula>
    </cfRule>
    <cfRule type="expression" priority="80" dxfId="1">
      <formula>OR($A132=5, $A132=17, $A132=29, $A132=41, $A132=53, $A132=65, $A132=77, $A132=89, $A132=101, $A132=113, $A132=125, $A132=137)</formula>
    </cfRule>
    <cfRule type="expression" priority="79" dxfId="12">
      <formula>OR($A132=6, $A132=18, $A132=30, $A132=42, $A132=54, $A132=66, $A132=78, $A132=90, $A132=102, $A132=114, $A132=126, $A132=138)</formula>
    </cfRule>
  </conditionalFormatting>
  <conditionalFormatting sqref="D145">
    <cfRule type="expression" priority="49" dxfId="6">
      <formula>OR($A145=12, $A145=24, $A145=36, $A145=48, $A145=60, $A145=72, $A145=84, $A145=96, $A145=108, $A145=120, $A145=132, $A145=144)</formula>
    </cfRule>
    <cfRule type="expression" priority="58" dxfId="3">
      <formula>OR($A145=3, $A145=15, $A145=27, $A145=39, $A145=51, $A145=63, $A145=75, $A145=87, $A145=99, $A145=111, $A145=123, $A145=135)</formula>
    </cfRule>
    <cfRule type="expression" priority="59" dxfId="4">
      <formula>OR($A145=2, $A145=14, $A145=26, $A145=38, $A145=50, $A145=62, $A145=74, $A145=86, $A145=98, $A145=110, $A145=122, $A145=134)</formula>
    </cfRule>
    <cfRule type="expression" priority="60" dxfId="5">
      <formula>OR($A145=1, $A145=13, $A145=25, $A145=37, $A145=49, $A145=61, $A145=73, $A145=85, $A145=97, $A145=109, $A145=121, $A145=133)</formula>
    </cfRule>
    <cfRule type="expression" priority="55" dxfId="12">
      <formula>OR($A145=6, $A145=18, $A145=30, $A145=42, $A145=54, $A145=66, $A145=78, $A145=90, $A145=102, $A145=114, $A145=126, $A145=138)</formula>
    </cfRule>
    <cfRule type="expression" priority="54" dxfId="11">
      <formula>OR($A145=7, $A145=19, $A145=31, $A145=43, $A145=55, $A145=67, $A145=79, $A145=91, $A145=103, $A145=115, $A145=127, $A145=139)</formula>
    </cfRule>
    <cfRule type="expression" priority="53" dxfId="9">
      <formula>OR($A145=8, $A145=20, $A145=32, $A145=44, $A145=56, $A145=68, $A145=80, $A145=92, $A145=104, $A145=116, $A145=128, $A145=140)</formula>
    </cfRule>
    <cfRule type="expression" priority="52" dxfId="8">
      <formula>OR($A145=9, $A145=21, $A145=33, $A145=45, $A145=57, $A145=69, $A145=81, $A145=93, $A145=105, $A145=117, $A145=129, $A145=141)</formula>
    </cfRule>
    <cfRule type="expression" priority="51" dxfId="7">
      <formula>OR($A145=10, $A145=22, $A145=34, $A145=46, $A145=58, $A145=70, $A145=82, $A145=94, $A145=106, $A145=118, $A145=130, $A145=142)</formula>
    </cfRule>
    <cfRule type="expression" priority="56" dxfId="1">
      <formula>OR($A145=5, $A145=17, $A145=29, $A145=41, $A145=53, $A145=65, $A145=77, $A145=89, $A145=101, $A145=113, $A145=125, $A145=137)</formula>
    </cfRule>
    <cfRule type="expression" priority="57" dxfId="2">
      <formula>OR($A145=4, $A145=16, $A145=28, $A145=40, $A145=52, $A145=64, $A145=76, $A145=88, $A145=100, $A145=112, $A145=124, $A145=136)</formula>
    </cfRule>
    <cfRule type="expression" priority="50" dxfId="10">
      <formula>OR($A145=11, $A145=23, $A145=35, $A145=47, $A145=59, $A145=71, $A145=83, $A145=95, $A145=107, $A145=119, $A145=131, $A145=143)</formula>
    </cfRule>
  </conditionalFormatting>
  <conditionalFormatting sqref="D158">
    <cfRule type="expression" priority="36" dxfId="5">
      <formula>OR($A158=1, $A158=13, $A158=25, $A158=37, $A158=49, $A158=61, $A158=73, $A158=85, $A158=97, $A158=109, $A158=121, $A158=133)</formula>
    </cfRule>
    <cfRule type="expression" priority="35" dxfId="4">
      <formula>OR($A158=2, $A158=14, $A158=26, $A158=38, $A158=50, $A158=62, $A158=74, $A158=86, $A158=98, $A158=110, $A158=122, $A158=134)</formula>
    </cfRule>
    <cfRule type="expression" priority="34" dxfId="3">
      <formula>OR($A158=3, $A158=15, $A158=27, $A158=39, $A158=51, $A158=63, $A158=75, $A158=87, $A158=99, $A158=111, $A158=123, $A158=135)</formula>
    </cfRule>
    <cfRule type="expression" priority="33" dxfId="2">
      <formula>OR($A158=4, $A158=16, $A158=28, $A158=40, $A158=52, $A158=64, $A158=76, $A158=88, $A158=100, $A158=112, $A158=124, $A158=136)</formula>
    </cfRule>
    <cfRule type="expression" priority="32" dxfId="1">
      <formula>OR($A158=5, $A158=17, $A158=29, $A158=41, $A158=53, $A158=65, $A158=77, $A158=89, $A158=101, $A158=113, $A158=125, $A158=137)</formula>
    </cfRule>
    <cfRule type="expression" priority="31" dxfId="12">
      <formula>OR($A158=6, $A158=18, $A158=30, $A158=42, $A158=54, $A158=66, $A158=78, $A158=90, $A158=102, $A158=114, $A158=126, $A158=138)</formula>
    </cfRule>
    <cfRule type="expression" priority="30" dxfId="11">
      <formula>OR($A158=7, $A158=19, $A158=31, $A158=43, $A158=55, $A158=67, $A158=79, $A158=91, $A158=103, $A158=115, $A158=127, $A158=139)</formula>
    </cfRule>
    <cfRule type="expression" priority="29" dxfId="9">
      <formula>OR($A158=8, $A158=20, $A158=32, $A158=44, $A158=56, $A158=68, $A158=80, $A158=92, $A158=104, $A158=116, $A158=128, $A158=140)</formula>
    </cfRule>
    <cfRule type="expression" priority="27" dxfId="7">
      <formula>OR($A158=10, $A158=22, $A158=34, $A158=46, $A158=58, $A158=70, $A158=82, $A158=94, $A158=106, $A158=118, $A158=130, $A158=142)</formula>
    </cfRule>
    <cfRule type="expression" priority="25" dxfId="6">
      <formula>OR($A158=12, $A158=24, $A158=36, $A158=48, $A158=60, $A158=72, $A158=84, $A158=96, $A158=108, $A158=120, $A158=132, $A158=144)</formula>
    </cfRule>
    <cfRule type="expression" priority="28" dxfId="8">
      <formula>OR($A158=9, $A158=21, $A158=33, $A158=45, $A158=57, $A158=69, $A158=81, $A158=93, $A158=105, $A158=117, $A158=129, $A158=141)</formula>
    </cfRule>
    <cfRule type="expression" priority="26" dxfId="10">
      <formula>OR($A158=11, $A158=23, $A158=35, $A158=47, $A158=59, $A158=71, $A158=83, $A158=95, $A158=107, $A158=119, $A158=131, $A158=143)</formula>
    </cfRule>
  </conditionalFormatting>
  <conditionalFormatting sqref="D171">
    <cfRule type="expression" priority="7" dxfId="12">
      <formula>OR($A171=6, $A171=18, $A171=30, $A171=42, $A171=54, $A171=66, $A171=78, $A171=90, $A171=102, $A171=114, $A171=126, $A171=138)</formula>
    </cfRule>
    <cfRule type="expression" priority="6" dxfId="11">
      <formula>OR($A171=7, $A171=19, $A171=31, $A171=43, $A171=55, $A171=67, $A171=79, $A171=91, $A171=103, $A171=115, $A171=127, $A171=139)</formula>
    </cfRule>
    <cfRule type="expression" priority="2" dxfId="10">
      <formula>OR($A171=11, $A171=23, $A171=35, $A171=47, $A171=59, $A171=71, $A171=83, $A171=95, $A171=107, $A171=119, $A171=131, $A171=143)</formula>
    </cfRule>
    <cfRule type="expression" priority="5" dxfId="9">
      <formula>OR($A171=8, $A171=20, $A171=32, $A171=44, $A171=56, $A171=68, $A171=80, $A171=92, $A171=104, $A171=116, $A171=128, $A171=140)</formula>
    </cfRule>
    <cfRule type="expression" priority="4" dxfId="8">
      <formula>OR($A171=9, $A171=21, $A171=33, $A171=45, $A171=57, $A171=69, $A171=81, $A171=93, $A171=105, $A171=117, $A171=129, $A171=141)</formula>
    </cfRule>
    <cfRule type="expression" priority="3" dxfId="7">
      <formula>OR($A171=10, $A171=22, $A171=34, $A171=46, $A171=58, $A171=70, $A171=82, $A171=94, $A171=106, $A171=118, $A171=130, $A171=142)</formula>
    </cfRule>
    <cfRule type="expression" priority="1" dxfId="6">
      <formula>OR($A171=12, $A171=24, $A171=36, $A171=48, $A171=60, $A171=72, $A171=84, $A171=96, $A171=108, $A171=120, $A171=132, $A171=144)</formula>
    </cfRule>
    <cfRule type="expression" priority="12" dxfId="5">
      <formula>OR($A171=1, $A171=13, $A171=25, $A171=37, $A171=49, $A171=61, $A171=73, $A171=85, $A171=97, $A171=109, $A171=121, $A171=133)</formula>
    </cfRule>
    <cfRule type="expression" priority="11" dxfId="4">
      <formula>OR($A171=2, $A171=14, $A171=26, $A171=38, $A171=50, $A171=62, $A171=74, $A171=86, $A171=98, $A171=110, $A171=122, $A171=134)</formula>
    </cfRule>
    <cfRule type="expression" priority="10" dxfId="3">
      <formula>OR($A171=3, $A171=15, $A171=27, $A171=39, $A171=51, $A171=63, $A171=75, $A171=87, $A171=99, $A171=111, $A171=123, $A171=135)</formula>
    </cfRule>
    <cfRule type="expression" priority="9" dxfId="2">
      <formula>OR($A171=4, $A171=16, $A171=28, $A171=40, $A171=52, $A171=64, $A171=76, $A171=88, $A171=100, $A171=112, $A171=124, $A171=136)</formula>
    </cfRule>
    <cfRule type="expression" priority="8" dxfId="1">
      <formula>OR($A171=5, $A171=17, $A171=29, $A171=41, $A171=53, $A171=65, $A171=77, $A171=89, $A171=101, $A171=113, $A171=125, $A171=137)</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8" defaultColWidth="9.140625" defaultRowHeight="15"/>
  <cols>
    <col width="28.7109375" customWidth="1" style="773" min="1" max="1"/>
    <col width="10.28515625" bestFit="1" customWidth="1" style="192" min="2" max="2"/>
    <col width="21.28515625" customWidth="1" style="192" min="3" max="3"/>
    <col width="11.5703125" bestFit="1" customWidth="1" style="192" min="4" max="4"/>
    <col width="15.7109375" customWidth="1" style="192" min="5" max="5"/>
    <col width="28.85546875" bestFit="1" customWidth="1" style="192" min="6" max="6"/>
    <col width="16.85546875" customWidth="1" style="192" min="7" max="7"/>
    <col width="17" customWidth="1" style="192" min="8" max="8"/>
    <col width="9.140625" customWidth="1" style="192" min="9" max="16384"/>
  </cols>
  <sheetData>
    <row r="1" ht="15.75" customHeight="1" s="955">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04">
        <f>'House Count'!A2</f>
        <v/>
      </c>
      <c r="B2" s="1205">
        <f>'House Count'!E2</f>
        <v/>
      </c>
      <c r="C2" s="1205">
        <f>'House Count'!B2</f>
        <v/>
      </c>
      <c r="D2" s="1205">
        <f>'House Count'!C2</f>
        <v/>
      </c>
      <c r="E2" s="1205">
        <f>'House Count'!D2</f>
        <v/>
      </c>
      <c r="F2" s="1205">
        <f>IF(G2="RES-SFU","RESIDENTIAL",IF(G2="RES-HOA","RESIDENTIAL",IF(G2="RES-MDU","RESIDENTIAL",IF(G2="COMM-SU","BUSINESS",IF(G2="COM-MTU","BUSINESS",IF(G2="ENT","BUSINESS",""))))))</f>
        <v/>
      </c>
      <c r="G2" s="1205">
        <f>'House Count'!F2</f>
        <v/>
      </c>
      <c r="H2" s="1205">
        <f>'House Count'!H2</f>
        <v/>
      </c>
    </row>
    <row r="3">
      <c r="A3" s="1204">
        <f>'House Count'!A3</f>
        <v/>
      </c>
      <c r="B3" s="1205">
        <f>'House Count'!E3</f>
        <v/>
      </c>
      <c r="C3" s="1205">
        <f>'House Count'!B3</f>
        <v/>
      </c>
      <c r="D3" s="1205">
        <f>'House Count'!C3</f>
        <v/>
      </c>
      <c r="E3" s="1205">
        <f>'House Count'!D3</f>
        <v/>
      </c>
      <c r="F3" s="1205">
        <f>IF(G3="RES-SFU","RESIDENTIAL",IF(G3="RES-HOA","RESIDENTIAL",IF(G3="RES-MDU","RESIDENTIAL",IF(G3="COMM-SU","BUSINESS",IF(G3="COM-MTU","BUSINESS",IF(G3="ENT","BUSINESS",""))))))</f>
        <v/>
      </c>
      <c r="G3" s="1205">
        <f>'House Count'!F3</f>
        <v/>
      </c>
      <c r="H3" s="1205">
        <f>'House Count'!H3</f>
        <v/>
      </c>
    </row>
    <row r="4">
      <c r="A4" s="1204">
        <f>'House Count'!A4</f>
        <v/>
      </c>
      <c r="B4" s="1205">
        <f>'House Count'!E4</f>
        <v/>
      </c>
      <c r="C4" s="1205">
        <f>'House Count'!B4</f>
        <v/>
      </c>
      <c r="D4" s="1205">
        <f>'House Count'!C4</f>
        <v/>
      </c>
      <c r="E4" s="1205">
        <f>'House Count'!D4</f>
        <v/>
      </c>
      <c r="F4" s="1205">
        <f>IF(G4="RES-SFU","RESIDENTIAL",IF(G4="RES-HOA","RESIDENTIAL",IF(G4="RES-MDU","RESIDENTIAL",IF(G4="COMM-SU","BUSINESS",IF(G4="COM-MTU","BUSINESS",IF(G4="ENT","BUSINESS",""))))))</f>
        <v/>
      </c>
      <c r="G4" s="1205">
        <f>'House Count'!F4</f>
        <v/>
      </c>
      <c r="H4" s="1205">
        <f>'House Count'!H4</f>
        <v/>
      </c>
    </row>
    <row r="5">
      <c r="A5" s="1204">
        <f>'House Count'!A5</f>
        <v/>
      </c>
      <c r="B5" s="1205">
        <f>'House Count'!E5</f>
        <v/>
      </c>
      <c r="C5" s="1205">
        <f>'House Count'!B5</f>
        <v/>
      </c>
      <c r="D5" s="1205">
        <f>'House Count'!C5</f>
        <v/>
      </c>
      <c r="E5" s="1205">
        <f>'House Count'!D5</f>
        <v/>
      </c>
      <c r="F5" s="1205">
        <f>IF(G5="RES-SFU","RESIDENTIAL",IF(G5="RES-HOA","RESIDENTIAL",IF(G5="RES-MDU","RESIDENTIAL",IF(G5="COMM-SU","BUSINESS",IF(G5="COM-MTU","BUSINESS",IF(G5="ENT","BUSINESS",""))))))</f>
        <v/>
      </c>
      <c r="G5" s="1205">
        <f>'House Count'!F5</f>
        <v/>
      </c>
      <c r="H5" s="1205">
        <f>'House Count'!H5</f>
        <v/>
      </c>
    </row>
    <row r="6">
      <c r="A6" s="1204">
        <f>'House Count'!A6</f>
        <v/>
      </c>
      <c r="B6" s="1205">
        <f>'House Count'!E6</f>
        <v/>
      </c>
      <c r="C6" s="1205">
        <f>'House Count'!B6</f>
        <v/>
      </c>
      <c r="D6" s="1205">
        <f>'House Count'!C6</f>
        <v/>
      </c>
      <c r="E6" s="1205">
        <f>'House Count'!D6</f>
        <v/>
      </c>
      <c r="F6" s="1205">
        <f>IF(G6="RES-SFU","RESIDENTIAL",IF(G6="RES-HOA","RESIDENTIAL",IF(G6="RES-MDU","RESIDENTIAL",IF(G6="COMM-SU","BUSINESS",IF(G6="COM-MTU","BUSINESS",IF(G6="ENT","BUSINESS",""))))))</f>
        <v/>
      </c>
      <c r="G6" s="1205">
        <f>'House Count'!F6</f>
        <v/>
      </c>
      <c r="H6" s="1205">
        <f>'House Count'!H6</f>
        <v/>
      </c>
    </row>
    <row r="7">
      <c r="A7" s="1204">
        <f>'House Count'!A7</f>
        <v/>
      </c>
      <c r="B7" s="1205">
        <f>'House Count'!E7</f>
        <v/>
      </c>
      <c r="C7" s="1205">
        <f>'House Count'!B7</f>
        <v/>
      </c>
      <c r="D7" s="1205">
        <f>'House Count'!C7</f>
        <v/>
      </c>
      <c r="E7" s="1205">
        <f>'House Count'!D7</f>
        <v/>
      </c>
      <c r="F7" s="1205">
        <f>IF(G7="RES-SFU","RESIDENTIAL",IF(G7="RES-HOA","RESIDENTIAL",IF(G7="RES-MDU","RESIDENTIAL",IF(G7="COMM-SU","BUSINESS",IF(G7="COM-MTU","BUSINESS",IF(G7="ENT","BUSINESS",""))))))</f>
        <v/>
      </c>
      <c r="G7" s="1205">
        <f>'House Count'!F7</f>
        <v/>
      </c>
      <c r="H7" s="1205">
        <f>'House Count'!H7</f>
        <v/>
      </c>
    </row>
    <row r="8">
      <c r="A8" s="1204">
        <f>'House Count'!A8</f>
        <v/>
      </c>
      <c r="B8" s="1205">
        <f>'House Count'!E8</f>
        <v/>
      </c>
      <c r="C8" s="1205">
        <f>'House Count'!B8</f>
        <v/>
      </c>
      <c r="D8" s="1205">
        <f>'House Count'!C8</f>
        <v/>
      </c>
      <c r="E8" s="1205">
        <f>'House Count'!D8</f>
        <v/>
      </c>
      <c r="F8" s="1205">
        <f>IF(G8="RES-SFU","RESIDENTIAL",IF(G8="RES-HOA","RESIDENTIAL",IF(G8="RES-MDU","RESIDENTIAL",IF(G8="COMM-SU","BUSINESS",IF(G8="COM-MTU","BUSINESS",IF(G8="ENT","BUSINESS",""))))))</f>
        <v/>
      </c>
      <c r="G8" s="1205">
        <f>'House Count'!F8</f>
        <v/>
      </c>
      <c r="H8" s="1205">
        <f>'House Count'!H8</f>
        <v/>
      </c>
    </row>
    <row r="9">
      <c r="A9" s="1204">
        <f>'House Count'!A9</f>
        <v/>
      </c>
      <c r="B9" s="1205">
        <f>'House Count'!E9</f>
        <v/>
      </c>
      <c r="C9" s="1205">
        <f>'House Count'!B9</f>
        <v/>
      </c>
      <c r="D9" s="1205">
        <f>'House Count'!C9</f>
        <v/>
      </c>
      <c r="E9" s="1205">
        <f>'House Count'!D9</f>
        <v/>
      </c>
      <c r="F9" s="1205">
        <f>IF(G9="RES-SFU","RESIDENTIAL",IF(G9="RES-HOA","RESIDENTIAL",IF(G9="RES-MDU","RESIDENTIAL",IF(G9="COMM-SU","BUSINESS",IF(G9="COM-MTU","BUSINESS",IF(G9="ENT","BUSINESS",""))))))</f>
        <v/>
      </c>
      <c r="G9" s="1205">
        <f>'House Count'!F9</f>
        <v/>
      </c>
      <c r="H9" s="1205">
        <f>'House Count'!H9</f>
        <v/>
      </c>
    </row>
    <row r="10">
      <c r="A10" s="1204">
        <f>'House Count'!A10</f>
        <v/>
      </c>
      <c r="B10" s="1205">
        <f>'House Count'!E10</f>
        <v/>
      </c>
      <c r="C10" s="1205">
        <f>'House Count'!B10</f>
        <v/>
      </c>
      <c r="D10" s="1205">
        <f>'House Count'!C10</f>
        <v/>
      </c>
      <c r="E10" s="1205">
        <f>'House Count'!D10</f>
        <v/>
      </c>
      <c r="F10" s="1205">
        <f>IF(G10="RES-SFU","RESIDENTIAL",IF(G10="RES-HOA","RESIDENTIAL",IF(G10="RES-MDU","RESIDENTIAL",IF(G10="COMM-SU","BUSINESS",IF(G10="COM-MTU","BUSINESS",IF(G10="ENT","BUSINESS",""))))))</f>
        <v/>
      </c>
      <c r="G10" s="1205">
        <f>'House Count'!F10</f>
        <v/>
      </c>
      <c r="H10" s="1205">
        <f>'House Count'!H10</f>
        <v/>
      </c>
    </row>
    <row r="11">
      <c r="A11" s="1204">
        <f>'House Count'!A11</f>
        <v/>
      </c>
      <c r="B11" s="1205">
        <f>'House Count'!E11</f>
        <v/>
      </c>
      <c r="C11" s="1205">
        <f>'House Count'!B11</f>
        <v/>
      </c>
      <c r="D11" s="1205">
        <f>'House Count'!C11</f>
        <v/>
      </c>
      <c r="E11" s="1205">
        <f>'House Count'!D11</f>
        <v/>
      </c>
      <c r="F11" s="1205">
        <f>IF(G11="RES-SFU","RESIDENTIAL",IF(G11="RES-HOA","RESIDENTIAL",IF(G11="RES-MDU","RESIDENTIAL",IF(G11="COMM-SU","BUSINESS",IF(G11="COM-MTU","BUSINESS",IF(G11="ENT","BUSINESS",""))))))</f>
        <v/>
      </c>
      <c r="G11" s="1205">
        <f>'House Count'!F11</f>
        <v/>
      </c>
      <c r="H11" s="1205">
        <f>'House Count'!H11</f>
        <v/>
      </c>
    </row>
    <row r="12">
      <c r="A12" s="1204">
        <f>'House Count'!A12</f>
        <v/>
      </c>
      <c r="B12" s="1205">
        <f>'House Count'!E12</f>
        <v/>
      </c>
      <c r="C12" s="1205">
        <f>'House Count'!B12</f>
        <v/>
      </c>
      <c r="D12" s="1205">
        <f>'House Count'!C12</f>
        <v/>
      </c>
      <c r="E12" s="1205">
        <f>'House Count'!D12</f>
        <v/>
      </c>
      <c r="F12" s="1205">
        <f>IF(G12="RES-SFU","RESIDENTIAL",IF(G12="RES-HOA","RESIDENTIAL",IF(G12="RES-MDU","RESIDENTIAL",IF(G12="COMM-SU","BUSINESS",IF(G12="COM-MTU","BUSINESS",IF(G12="ENT","BUSINESS",""))))))</f>
        <v/>
      </c>
      <c r="G12" s="1205">
        <f>'House Count'!F12</f>
        <v/>
      </c>
      <c r="H12" s="1205">
        <f>'House Count'!H12</f>
        <v/>
      </c>
    </row>
    <row r="13">
      <c r="A13" s="1204">
        <f>'House Count'!A13</f>
        <v/>
      </c>
      <c r="B13" s="1205">
        <f>'House Count'!E13</f>
        <v/>
      </c>
      <c r="C13" s="1205">
        <f>'House Count'!B13</f>
        <v/>
      </c>
      <c r="D13" s="1205">
        <f>'House Count'!C13</f>
        <v/>
      </c>
      <c r="E13" s="1205">
        <f>'House Count'!D13</f>
        <v/>
      </c>
      <c r="F13" s="1205">
        <f>IF(G13="RES-SFU","RESIDENTIAL",IF(G13="RES-HOA","RESIDENTIAL",IF(G13="RES-MDU","RESIDENTIAL",IF(G13="COMM-SU","BUSINESS",IF(G13="COM-MTU","BUSINESS",IF(G13="ENT","BUSINESS",""))))))</f>
        <v/>
      </c>
      <c r="G13" s="1205">
        <f>'House Count'!F13</f>
        <v/>
      </c>
      <c r="H13" s="1205">
        <f>'House Count'!H13</f>
        <v/>
      </c>
    </row>
    <row r="14">
      <c r="A14" s="1204">
        <f>'House Count'!A14</f>
        <v/>
      </c>
      <c r="B14" s="1205">
        <f>'House Count'!E14</f>
        <v/>
      </c>
      <c r="C14" s="1205">
        <f>'House Count'!B14</f>
        <v/>
      </c>
      <c r="D14" s="1205">
        <f>'House Count'!C14</f>
        <v/>
      </c>
      <c r="E14" s="1205">
        <f>'House Count'!D14</f>
        <v/>
      </c>
      <c r="F14" s="1205">
        <f>IF(G14="RES-SFU","RESIDENTIAL",IF(G14="RES-HOA","RESIDENTIAL",IF(G14="RES-MDU","RESIDENTIAL",IF(G14="COMM-SU","BUSINESS",IF(G14="COM-MTU","BUSINESS",IF(G14="ENT","BUSINESS",""))))))</f>
        <v/>
      </c>
      <c r="G14" s="1205">
        <f>'House Count'!F14</f>
        <v/>
      </c>
      <c r="H14" s="1205">
        <f>'House Count'!H14</f>
        <v/>
      </c>
    </row>
    <row r="15">
      <c r="A15" s="1204">
        <f>'House Count'!A15</f>
        <v/>
      </c>
      <c r="B15" s="1205">
        <f>'House Count'!E15</f>
        <v/>
      </c>
      <c r="C15" s="1205">
        <f>'House Count'!B15</f>
        <v/>
      </c>
      <c r="D15" s="1205">
        <f>'House Count'!C15</f>
        <v/>
      </c>
      <c r="E15" s="1205">
        <f>'House Count'!D15</f>
        <v/>
      </c>
      <c r="F15" s="1205">
        <f>IF(G15="RES-SFU","RESIDENTIAL",IF(G15="RES-HOA","RESIDENTIAL",IF(G15="RES-MDU","RESIDENTIAL",IF(G15="COMM-SU","BUSINESS",IF(G15="COM-MTU","BUSINESS",IF(G15="ENT","BUSINESS",""))))))</f>
        <v/>
      </c>
      <c r="G15" s="1205">
        <f>'House Count'!F15</f>
        <v/>
      </c>
      <c r="H15" s="1205">
        <f>'House Count'!H15</f>
        <v/>
      </c>
    </row>
    <row r="16">
      <c r="A16" s="1204">
        <f>'House Count'!A16</f>
        <v/>
      </c>
      <c r="B16" s="1205">
        <f>'House Count'!E16</f>
        <v/>
      </c>
      <c r="C16" s="1205">
        <f>'House Count'!B16</f>
        <v/>
      </c>
      <c r="D16" s="1205">
        <f>'House Count'!C16</f>
        <v/>
      </c>
      <c r="E16" s="1205">
        <f>'House Count'!D16</f>
        <v/>
      </c>
      <c r="F16" s="1205">
        <f>IF(G16="RES-SFU","RESIDENTIAL",IF(G16="RES-HOA","RESIDENTIAL",IF(G16="RES-MDU","RESIDENTIAL",IF(G16="COMM-SU","BUSINESS",IF(G16="COM-MTU","BUSINESS",IF(G16="ENT","BUSINESS",""))))))</f>
        <v/>
      </c>
      <c r="G16" s="1205">
        <f>'House Count'!F16</f>
        <v/>
      </c>
      <c r="H16" s="1205">
        <f>'House Count'!H16</f>
        <v/>
      </c>
    </row>
    <row r="17">
      <c r="A17" s="1204">
        <f>'House Count'!A17</f>
        <v/>
      </c>
      <c r="B17" s="1205">
        <f>'House Count'!E17</f>
        <v/>
      </c>
      <c r="C17" s="1205">
        <f>'House Count'!B17</f>
        <v/>
      </c>
      <c r="D17" s="1205">
        <f>'House Count'!C17</f>
        <v/>
      </c>
      <c r="E17" s="1205">
        <f>'House Count'!D17</f>
        <v/>
      </c>
      <c r="F17" s="1205">
        <f>IF(G17="RES-SFU","RESIDENTIAL",IF(G17="RES-HOA","RESIDENTIAL",IF(G17="RES-MDU","RESIDENTIAL",IF(G17="COMM-SU","BUSINESS",IF(G17="COM-MTU","BUSINESS",IF(G17="ENT","BUSINESS",""))))))</f>
        <v/>
      </c>
      <c r="G17" s="1205">
        <f>'House Count'!F17</f>
        <v/>
      </c>
      <c r="H17" s="1205">
        <f>'House Count'!H17</f>
        <v/>
      </c>
    </row>
    <row r="18">
      <c r="A18" s="1204">
        <f>'House Count'!A18</f>
        <v/>
      </c>
      <c r="B18" s="1205">
        <f>'House Count'!E18</f>
        <v/>
      </c>
      <c r="C18" s="1205">
        <f>'House Count'!B18</f>
        <v/>
      </c>
      <c r="D18" s="1205">
        <f>'House Count'!C18</f>
        <v/>
      </c>
      <c r="E18" s="1205">
        <f>'House Count'!D18</f>
        <v/>
      </c>
      <c r="F18" s="1205">
        <f>IF(G18="RES-SFU","RESIDENTIAL",IF(G18="RES-HOA","RESIDENTIAL",IF(G18="RES-MDU","RESIDENTIAL",IF(G18="COMM-SU","BUSINESS",IF(G18="COM-MTU","BUSINESS",IF(G18="ENT","BUSINESS",""))))))</f>
        <v/>
      </c>
      <c r="G18" s="1205">
        <f>'House Count'!F18</f>
        <v/>
      </c>
      <c r="H18" s="1205">
        <f>'House Count'!H18</f>
        <v/>
      </c>
    </row>
    <row r="19">
      <c r="A19" s="1204">
        <f>'House Count'!A19</f>
        <v/>
      </c>
      <c r="B19" s="1205">
        <f>'House Count'!E19</f>
        <v/>
      </c>
      <c r="C19" s="1205">
        <f>'House Count'!B19</f>
        <v/>
      </c>
      <c r="D19" s="1205">
        <f>'House Count'!C19</f>
        <v/>
      </c>
      <c r="E19" s="1205">
        <f>'House Count'!D19</f>
        <v/>
      </c>
      <c r="F19" s="1205">
        <f>IF(G19="RES-SFU","RESIDENTIAL",IF(G19="RES-HOA","RESIDENTIAL",IF(G19="RES-MDU","RESIDENTIAL",IF(G19="COMM-SU","BUSINESS",IF(G19="COM-MTU","BUSINESS",IF(G19="ENT","BUSINESS",""))))))</f>
        <v/>
      </c>
      <c r="G19" s="1205">
        <f>'House Count'!F19</f>
        <v/>
      </c>
      <c r="H19" s="1205">
        <f>'House Count'!H19</f>
        <v/>
      </c>
    </row>
    <row r="20">
      <c r="A20" s="1204">
        <f>'House Count'!A20</f>
        <v/>
      </c>
      <c r="B20" s="1205">
        <f>'House Count'!E20</f>
        <v/>
      </c>
      <c r="C20" s="1205">
        <f>'House Count'!B20</f>
        <v/>
      </c>
      <c r="D20" s="1205">
        <f>'House Count'!C20</f>
        <v/>
      </c>
      <c r="E20" s="1205">
        <f>'House Count'!D20</f>
        <v/>
      </c>
      <c r="F20" s="1205">
        <f>IF(G20="RES-SFU","RESIDENTIAL",IF(G20="RES-HOA","RESIDENTIAL",IF(G20="RES-MDU","RESIDENTIAL",IF(G20="COMM-SU","BUSINESS",IF(G20="COM-MTU","BUSINESS",IF(G20="ENT","BUSINESS",""))))))</f>
        <v/>
      </c>
      <c r="G20" s="1205">
        <f>'House Count'!F20</f>
        <v/>
      </c>
      <c r="H20" s="1205">
        <f>'House Count'!H20</f>
        <v/>
      </c>
    </row>
    <row r="21">
      <c r="A21" s="1204">
        <f>'House Count'!A21</f>
        <v/>
      </c>
      <c r="B21" s="1205">
        <f>'House Count'!E21</f>
        <v/>
      </c>
      <c r="C21" s="1205">
        <f>'House Count'!B21</f>
        <v/>
      </c>
      <c r="D21" s="1205">
        <f>'House Count'!C21</f>
        <v/>
      </c>
      <c r="E21" s="1205">
        <f>'House Count'!D21</f>
        <v/>
      </c>
      <c r="F21" s="1205">
        <f>IF(G21="RES-SFU","RESIDENTIAL",IF(G21="RES-HOA","RESIDENTIAL",IF(G21="RES-MDU","RESIDENTIAL",IF(G21="COMM-SU","BUSINESS",IF(G21="COM-MTU","BUSINESS",IF(G21="ENT","BUSINESS",""))))))</f>
        <v/>
      </c>
      <c r="G21" s="1205">
        <f>'House Count'!F21</f>
        <v/>
      </c>
      <c r="H21" s="1205">
        <f>'House Count'!H21</f>
        <v/>
      </c>
    </row>
    <row r="22">
      <c r="A22" s="1204">
        <f>'House Count'!A22</f>
        <v/>
      </c>
      <c r="B22" s="1205">
        <f>'House Count'!E22</f>
        <v/>
      </c>
      <c r="C22" s="1205">
        <f>'House Count'!B22</f>
        <v/>
      </c>
      <c r="D22" s="1205">
        <f>'House Count'!C22</f>
        <v/>
      </c>
      <c r="E22" s="1205">
        <f>'House Count'!D22</f>
        <v/>
      </c>
      <c r="F22" s="1205">
        <f>IF(G22="RES-SFU","RESIDENTIAL",IF(G22="RES-HOA","RESIDENTIAL",IF(G22="RES-MDU","RESIDENTIAL",IF(G22="COMM-SU","BUSINESS",IF(G22="COM-MTU","BUSINESS",IF(G22="ENT","BUSINESS",""))))))</f>
        <v/>
      </c>
      <c r="G22" s="1205">
        <f>'House Count'!F22</f>
        <v/>
      </c>
      <c r="H22" s="1205">
        <f>'House Count'!H22</f>
        <v/>
      </c>
    </row>
    <row r="23">
      <c r="A23" s="1204">
        <f>'House Count'!A23</f>
        <v/>
      </c>
      <c r="B23" s="1205">
        <f>'House Count'!E23</f>
        <v/>
      </c>
      <c r="C23" s="1205">
        <f>'House Count'!B23</f>
        <v/>
      </c>
      <c r="D23" s="1205">
        <f>'House Count'!C23</f>
        <v/>
      </c>
      <c r="E23" s="1205">
        <f>'House Count'!D23</f>
        <v/>
      </c>
      <c r="F23" s="1205">
        <f>IF(G23="RES-SFU","RESIDENTIAL",IF(G23="RES-HOA","RESIDENTIAL",IF(G23="RES-MDU","RESIDENTIAL",IF(G23="COMM-SU","BUSINESS",IF(G23="COM-MTU","BUSINESS",IF(G23="ENT","BUSINESS",""))))))</f>
        <v/>
      </c>
      <c r="G23" s="1205">
        <f>'House Count'!F23</f>
        <v/>
      </c>
      <c r="H23" s="1205">
        <f>'House Count'!H23</f>
        <v/>
      </c>
    </row>
    <row r="24">
      <c r="A24" s="1204">
        <f>'House Count'!A24</f>
        <v/>
      </c>
      <c r="B24" s="1205">
        <f>'House Count'!E24</f>
        <v/>
      </c>
      <c r="C24" s="1205">
        <f>'House Count'!B24</f>
        <v/>
      </c>
      <c r="D24" s="1205">
        <f>'House Count'!C24</f>
        <v/>
      </c>
      <c r="E24" s="1205">
        <f>'House Count'!D24</f>
        <v/>
      </c>
      <c r="F24" s="1205">
        <f>IF(G24="RES-SFU","RESIDENTIAL",IF(G24="RES-HOA","RESIDENTIAL",IF(G24="RES-MDU","RESIDENTIAL",IF(G24="COMM-SU","BUSINESS",IF(G24="COM-MTU","BUSINESS",IF(G24="ENT","BUSINESS",""))))))</f>
        <v/>
      </c>
      <c r="G24" s="1205">
        <f>'House Count'!F24</f>
        <v/>
      </c>
      <c r="H24" s="1205">
        <f>'House Count'!H24</f>
        <v/>
      </c>
    </row>
    <row r="25">
      <c r="A25" s="1204">
        <f>'House Count'!A25</f>
        <v/>
      </c>
      <c r="B25" s="1205">
        <f>'House Count'!E25</f>
        <v/>
      </c>
      <c r="C25" s="1205">
        <f>'House Count'!B25</f>
        <v/>
      </c>
      <c r="D25" s="1205">
        <f>'House Count'!C25</f>
        <v/>
      </c>
      <c r="E25" s="1205">
        <f>'House Count'!D25</f>
        <v/>
      </c>
      <c r="F25" s="1205">
        <f>IF(G25="RES-SFU","RESIDENTIAL",IF(G25="RES-HOA","RESIDENTIAL",IF(G25="RES-MDU","RESIDENTIAL",IF(G25="COMM-SU","BUSINESS",IF(G25="COM-MTU","BUSINESS",IF(G25="ENT","BUSINESS",""))))))</f>
        <v/>
      </c>
      <c r="G25" s="1205">
        <f>'House Count'!F25</f>
        <v/>
      </c>
      <c r="H25" s="1205">
        <f>'House Count'!H25</f>
        <v/>
      </c>
    </row>
    <row r="26">
      <c r="A26" s="1204">
        <f>'House Count'!A26</f>
        <v/>
      </c>
      <c r="B26" s="1205">
        <f>'House Count'!E26</f>
        <v/>
      </c>
      <c r="C26" s="1205">
        <f>'House Count'!B26</f>
        <v/>
      </c>
      <c r="D26" s="1205">
        <f>'House Count'!C26</f>
        <v/>
      </c>
      <c r="E26" s="1205">
        <f>'House Count'!D26</f>
        <v/>
      </c>
      <c r="F26" s="1205">
        <f>IF(G26="RES-SFU","RESIDENTIAL",IF(G26="RES-HOA","RESIDENTIAL",IF(G26="RES-MDU","RESIDENTIAL",IF(G26="COMM-SU","BUSINESS",IF(G26="COM-MTU","BUSINESS",IF(G26="ENT","BUSINESS",""))))))</f>
        <v/>
      </c>
      <c r="G26" s="1205">
        <f>'House Count'!F26</f>
        <v/>
      </c>
      <c r="H26" s="1205">
        <f>'House Count'!H26</f>
        <v/>
      </c>
    </row>
    <row r="27">
      <c r="A27" s="1204">
        <f>'House Count'!A27</f>
        <v/>
      </c>
      <c r="B27" s="1205">
        <f>'House Count'!E27</f>
        <v/>
      </c>
      <c r="C27" s="1205">
        <f>'House Count'!B27</f>
        <v/>
      </c>
      <c r="D27" s="1205">
        <f>'House Count'!C27</f>
        <v/>
      </c>
      <c r="E27" s="1205">
        <f>'House Count'!D27</f>
        <v/>
      </c>
      <c r="F27" s="1205">
        <f>IF(G27="RES-SFU","RESIDENTIAL",IF(G27="RES-HOA","RESIDENTIAL",IF(G27="RES-MDU","RESIDENTIAL",IF(G27="COMM-SU","BUSINESS",IF(G27="COM-MTU","BUSINESS",IF(G27="ENT","BUSINESS",""))))))</f>
        <v/>
      </c>
      <c r="G27" s="1205">
        <f>'House Count'!F27</f>
        <v/>
      </c>
      <c r="H27" s="1205">
        <f>'House Count'!H27</f>
        <v/>
      </c>
    </row>
    <row r="28">
      <c r="A28" s="1204">
        <f>'House Count'!A28</f>
        <v/>
      </c>
      <c r="B28" s="1205">
        <f>'House Count'!E28</f>
        <v/>
      </c>
      <c r="C28" s="1205">
        <f>'House Count'!B28</f>
        <v/>
      </c>
      <c r="D28" s="1205">
        <f>'House Count'!C28</f>
        <v/>
      </c>
      <c r="E28" s="1205">
        <f>'House Count'!D28</f>
        <v/>
      </c>
      <c r="F28" s="1205">
        <f>IF(G28="RES-SFU","RESIDENTIAL",IF(G28="RES-HOA","RESIDENTIAL",IF(G28="RES-MDU","RESIDENTIAL",IF(G28="COMM-SU","BUSINESS",IF(G28="COM-MTU","BUSINESS",IF(G28="ENT","BUSINESS",""))))))</f>
        <v/>
      </c>
      <c r="G28" s="1205">
        <f>'House Count'!F28</f>
        <v/>
      </c>
      <c r="H28" s="1205">
        <f>'House Count'!H28</f>
        <v/>
      </c>
    </row>
    <row r="29">
      <c r="A29" s="1204">
        <f>'House Count'!A29</f>
        <v/>
      </c>
      <c r="B29" s="1205">
        <f>'House Count'!E29</f>
        <v/>
      </c>
      <c r="C29" s="1205">
        <f>'House Count'!B29</f>
        <v/>
      </c>
      <c r="D29" s="1205">
        <f>'House Count'!C29</f>
        <v/>
      </c>
      <c r="E29" s="1205">
        <f>'House Count'!D29</f>
        <v/>
      </c>
      <c r="F29" s="1205">
        <f>IF(G29="RES-SFU","RESIDENTIAL",IF(G29="RES-HOA","RESIDENTIAL",IF(G29="RES-MDU","RESIDENTIAL",IF(G29="COMM-SU","BUSINESS",IF(G29="COM-MTU","BUSINESS",IF(G29="ENT","BUSINESS",""))))))</f>
        <v/>
      </c>
      <c r="G29" s="1205">
        <f>'House Count'!F29</f>
        <v/>
      </c>
      <c r="H29" s="1205">
        <f>'House Count'!H29</f>
        <v/>
      </c>
    </row>
    <row r="30">
      <c r="A30" s="1204">
        <f>'House Count'!A30</f>
        <v/>
      </c>
      <c r="B30" s="1205">
        <f>'House Count'!E30</f>
        <v/>
      </c>
      <c r="C30" s="1205">
        <f>'House Count'!B30</f>
        <v/>
      </c>
      <c r="D30" s="1205">
        <f>'House Count'!C30</f>
        <v/>
      </c>
      <c r="E30" s="1205">
        <f>'House Count'!D30</f>
        <v/>
      </c>
      <c r="F30" s="1205">
        <f>IF(G30="RES-SFU","RESIDENTIAL",IF(G30="RES-HOA","RESIDENTIAL",IF(G30="RES-MDU","RESIDENTIAL",IF(G30="COMM-SU","BUSINESS",IF(G30="COM-MTU","BUSINESS",IF(G30="ENT","BUSINESS",""))))))</f>
        <v/>
      </c>
      <c r="G30" s="1205">
        <f>'House Count'!F30</f>
        <v/>
      </c>
      <c r="H30" s="1205">
        <f>'House Count'!H30</f>
        <v/>
      </c>
    </row>
    <row r="31">
      <c r="A31" s="1204">
        <f>'House Count'!A31</f>
        <v/>
      </c>
      <c r="B31" s="1205">
        <f>'House Count'!E31</f>
        <v/>
      </c>
      <c r="C31" s="1205">
        <f>'House Count'!B31</f>
        <v/>
      </c>
      <c r="D31" s="1205">
        <f>'House Count'!C31</f>
        <v/>
      </c>
      <c r="E31" s="1205">
        <f>'House Count'!D31</f>
        <v/>
      </c>
      <c r="F31" s="1205">
        <f>IF(G31="RES-SFU","RESIDENTIAL",IF(G31="RES-HOA","RESIDENTIAL",IF(G31="RES-MDU","RESIDENTIAL",IF(G31="COMM-SU","BUSINESS",IF(G31="COM-MTU","BUSINESS",IF(G31="ENT","BUSINESS",""))))))</f>
        <v/>
      </c>
      <c r="G31" s="1205">
        <f>'House Count'!F31</f>
        <v/>
      </c>
      <c r="H31" s="1205">
        <f>'House Count'!H31</f>
        <v/>
      </c>
    </row>
    <row r="32">
      <c r="A32" s="1204">
        <f>'House Count'!A32</f>
        <v/>
      </c>
      <c r="B32" s="1205">
        <f>'House Count'!E32</f>
        <v/>
      </c>
      <c r="C32" s="1205">
        <f>'House Count'!B32</f>
        <v/>
      </c>
      <c r="D32" s="1205">
        <f>'House Count'!C32</f>
        <v/>
      </c>
      <c r="E32" s="1205">
        <f>'House Count'!D32</f>
        <v/>
      </c>
      <c r="F32" s="1205">
        <f>IF(G32="RES-SFU","RESIDENTIAL",IF(G32="RES-HOA","RESIDENTIAL",IF(G32="RES-MDU","RESIDENTIAL",IF(G32="COMM-SU","BUSINESS",IF(G32="COM-MTU","BUSINESS",IF(G32="ENT","BUSINESS",""))))))</f>
        <v/>
      </c>
      <c r="G32" s="1205">
        <f>'House Count'!F32</f>
        <v/>
      </c>
      <c r="H32" s="1205">
        <f>'House Count'!H32</f>
        <v/>
      </c>
    </row>
    <row r="33">
      <c r="A33" s="1204">
        <f>'House Count'!A33</f>
        <v/>
      </c>
      <c r="B33" s="1205">
        <f>'House Count'!E33</f>
        <v/>
      </c>
      <c r="C33" s="1205">
        <f>'House Count'!B33</f>
        <v/>
      </c>
      <c r="D33" s="1205">
        <f>'House Count'!C33</f>
        <v/>
      </c>
      <c r="E33" s="1205">
        <f>'House Count'!D33</f>
        <v/>
      </c>
      <c r="F33" s="1205">
        <f>IF(G33="RES-SFU","RESIDENTIAL",IF(G33="RES-HOA","RESIDENTIAL",IF(G33="RES-MDU","RESIDENTIAL",IF(G33="COMM-SU","BUSINESS",IF(G33="COM-MTU","BUSINESS",IF(G33="ENT","BUSINESS",""))))))</f>
        <v/>
      </c>
      <c r="G33" s="1205">
        <f>'House Count'!F33</f>
        <v/>
      </c>
      <c r="H33" s="1205">
        <f>'House Count'!H33</f>
        <v/>
      </c>
    </row>
    <row r="34">
      <c r="A34" s="1204">
        <f>'House Count'!A34</f>
        <v/>
      </c>
      <c r="B34" s="1205">
        <f>'House Count'!E34</f>
        <v/>
      </c>
      <c r="C34" s="1205">
        <f>'House Count'!B34</f>
        <v/>
      </c>
      <c r="D34" s="1205">
        <f>'House Count'!C34</f>
        <v/>
      </c>
      <c r="E34" s="1205">
        <f>'House Count'!D34</f>
        <v/>
      </c>
      <c r="F34" s="1205">
        <f>IF(G34="RES-SFU","RESIDENTIAL",IF(G34="RES-HOA","RESIDENTIAL",IF(G34="RES-MDU","RESIDENTIAL",IF(G34="COMM-SU","BUSINESS",IF(G34="COM-MTU","BUSINESS",IF(G34="ENT","BUSINESS",""))))))</f>
        <v/>
      </c>
      <c r="G34" s="1205">
        <f>'House Count'!F34</f>
        <v/>
      </c>
      <c r="H34" s="1205">
        <f>'House Count'!H34</f>
        <v/>
      </c>
    </row>
    <row r="35">
      <c r="A35" s="1204">
        <f>'House Count'!A35</f>
        <v/>
      </c>
      <c r="B35" s="1205">
        <f>'House Count'!E35</f>
        <v/>
      </c>
      <c r="C35" s="1205">
        <f>'House Count'!B35</f>
        <v/>
      </c>
      <c r="D35" s="1205">
        <f>'House Count'!C35</f>
        <v/>
      </c>
      <c r="E35" s="1205">
        <f>'House Count'!D35</f>
        <v/>
      </c>
      <c r="F35" s="1205">
        <f>IF(G35="RES-SFU","RESIDENTIAL",IF(G35="RES-HOA","RESIDENTIAL",IF(G35="RES-MDU","RESIDENTIAL",IF(G35="COMM-SU","BUSINESS",IF(G35="COM-MTU","BUSINESS",IF(G35="ENT","BUSINESS",""))))))</f>
        <v/>
      </c>
      <c r="G35" s="1205">
        <f>'House Count'!F35</f>
        <v/>
      </c>
      <c r="H35" s="1205">
        <f>'House Count'!H35</f>
        <v/>
      </c>
    </row>
    <row r="36">
      <c r="A36" s="1204">
        <f>'House Count'!A36</f>
        <v/>
      </c>
      <c r="B36" s="1205">
        <f>'House Count'!E36</f>
        <v/>
      </c>
      <c r="C36" s="1205">
        <f>'House Count'!B36</f>
        <v/>
      </c>
      <c r="D36" s="1205">
        <f>'House Count'!C36</f>
        <v/>
      </c>
      <c r="E36" s="1205">
        <f>'House Count'!D36</f>
        <v/>
      </c>
      <c r="F36" s="1205">
        <f>IF(G36="RES-SFU","RESIDENTIAL",IF(G36="RES-HOA","RESIDENTIAL",IF(G36="RES-MDU","RESIDENTIAL",IF(G36="COMM-SU","BUSINESS",IF(G36="COM-MTU","BUSINESS",IF(G36="ENT","BUSINESS",""))))))</f>
        <v/>
      </c>
      <c r="G36" s="1205">
        <f>'House Count'!F36</f>
        <v/>
      </c>
      <c r="H36" s="1205">
        <f>'House Count'!H36</f>
        <v/>
      </c>
    </row>
    <row r="37">
      <c r="A37" s="1204">
        <f>'House Count'!A37</f>
        <v/>
      </c>
      <c r="B37" s="1205">
        <f>'House Count'!E37</f>
        <v/>
      </c>
      <c r="C37" s="1205">
        <f>'House Count'!B37</f>
        <v/>
      </c>
      <c r="D37" s="1205">
        <f>'House Count'!C37</f>
        <v/>
      </c>
      <c r="E37" s="1205">
        <f>'House Count'!D37</f>
        <v/>
      </c>
      <c r="F37" s="1205">
        <f>IF(G37="RES-SFU","RESIDENTIAL",IF(G37="RES-HOA","RESIDENTIAL",IF(G37="RES-MDU","RESIDENTIAL",IF(G37="COMM-SU","BUSINESS",IF(G37="COM-MTU","BUSINESS",IF(G37="ENT","BUSINESS",""))))))</f>
        <v/>
      </c>
      <c r="G37" s="1205">
        <f>'House Count'!F37</f>
        <v/>
      </c>
      <c r="H37" s="1205">
        <f>'House Count'!H37</f>
        <v/>
      </c>
    </row>
    <row r="38">
      <c r="A38" s="1204">
        <f>'House Count'!A38</f>
        <v/>
      </c>
      <c r="B38" s="1205">
        <f>'House Count'!E38</f>
        <v/>
      </c>
      <c r="C38" s="1205">
        <f>'House Count'!B38</f>
        <v/>
      </c>
      <c r="D38" s="1205">
        <f>'House Count'!C38</f>
        <v/>
      </c>
      <c r="E38" s="1205">
        <f>'House Count'!D38</f>
        <v/>
      </c>
      <c r="F38" s="1205">
        <f>IF(G38="RES-SFU","RESIDENTIAL",IF(G38="RES-HOA","RESIDENTIAL",IF(G38="RES-MDU","RESIDENTIAL",IF(G38="COMM-SU","BUSINESS",IF(G38="COM-MTU","BUSINESS",IF(G38="ENT","BUSINESS",""))))))</f>
        <v/>
      </c>
      <c r="G38" s="1205">
        <f>'House Count'!F38</f>
        <v/>
      </c>
      <c r="H38" s="1205">
        <f>'House Count'!H38</f>
        <v/>
      </c>
    </row>
    <row r="39">
      <c r="A39" s="1204">
        <f>'House Count'!A39</f>
        <v/>
      </c>
      <c r="B39" s="1205">
        <f>'House Count'!E39</f>
        <v/>
      </c>
      <c r="C39" s="1205">
        <f>'House Count'!B39</f>
        <v/>
      </c>
      <c r="D39" s="1205">
        <f>'House Count'!C39</f>
        <v/>
      </c>
      <c r="E39" s="1205">
        <f>'House Count'!D39</f>
        <v/>
      </c>
      <c r="F39" s="1205">
        <f>IF(G39="RES-SFU","RESIDENTIAL",IF(G39="RES-HOA","RESIDENTIAL",IF(G39="RES-MDU","RESIDENTIAL",IF(G39="COMM-SU","BUSINESS",IF(G39="COM-MTU","BUSINESS",IF(G39="ENT","BUSINESS",""))))))</f>
        <v/>
      </c>
      <c r="G39" s="1205">
        <f>'House Count'!F39</f>
        <v/>
      </c>
      <c r="H39" s="1205">
        <f>'House Count'!H39</f>
        <v/>
      </c>
    </row>
    <row r="40">
      <c r="A40" s="1204">
        <f>'House Count'!A40</f>
        <v/>
      </c>
      <c r="B40" s="1205">
        <f>'House Count'!E40</f>
        <v/>
      </c>
      <c r="C40" s="1205">
        <f>'House Count'!B40</f>
        <v/>
      </c>
      <c r="D40" s="1205">
        <f>'House Count'!C40</f>
        <v/>
      </c>
      <c r="E40" s="1205">
        <f>'House Count'!D40</f>
        <v/>
      </c>
      <c r="F40" s="1205">
        <f>IF(G40="RES-SFU","RESIDENTIAL",IF(G40="RES-HOA","RESIDENTIAL",IF(G40="RES-MDU","RESIDENTIAL",IF(G40="COMM-SU","BUSINESS",IF(G40="COM-MTU","BUSINESS",IF(G40="ENT","BUSINESS",""))))))</f>
        <v/>
      </c>
      <c r="G40" s="1205">
        <f>'House Count'!F40</f>
        <v/>
      </c>
      <c r="H40" s="1205">
        <f>'House Count'!H40</f>
        <v/>
      </c>
    </row>
    <row r="41">
      <c r="A41" s="1204">
        <f>'House Count'!A41</f>
        <v/>
      </c>
      <c r="B41" s="1205">
        <f>'House Count'!E41</f>
        <v/>
      </c>
      <c r="C41" s="1205">
        <f>'House Count'!B41</f>
        <v/>
      </c>
      <c r="D41" s="1205">
        <f>'House Count'!C41</f>
        <v/>
      </c>
      <c r="E41" s="1205">
        <f>'House Count'!D41</f>
        <v/>
      </c>
      <c r="F41" s="1205">
        <f>IF(G41="RES-SFU","RESIDENTIAL",IF(G41="RES-HOA","RESIDENTIAL",IF(G41="RES-MDU","RESIDENTIAL",IF(G41="COMM-SU","BUSINESS",IF(G41="COM-MTU","BUSINESS",IF(G41="ENT","BUSINESS",""))))))</f>
        <v/>
      </c>
      <c r="G41" s="1205">
        <f>'House Count'!F41</f>
        <v/>
      </c>
      <c r="H41" s="1205">
        <f>'House Count'!H41</f>
        <v/>
      </c>
    </row>
    <row r="42">
      <c r="A42" s="1204">
        <f>'House Count'!A42</f>
        <v/>
      </c>
      <c r="B42" s="1205">
        <f>'House Count'!E42</f>
        <v/>
      </c>
      <c r="C42" s="1205">
        <f>'House Count'!B42</f>
        <v/>
      </c>
      <c r="D42" s="1205">
        <f>'House Count'!C42</f>
        <v/>
      </c>
      <c r="E42" s="1205">
        <f>'House Count'!D42</f>
        <v/>
      </c>
      <c r="F42" s="1205">
        <f>IF(G42="RES-SFU","RESIDENTIAL",IF(G42="RES-HOA","RESIDENTIAL",IF(G42="RES-MDU","RESIDENTIAL",IF(G42="COMM-SU","BUSINESS",IF(G42="COM-MTU","BUSINESS",IF(G42="ENT","BUSINESS",""))))))</f>
        <v/>
      </c>
      <c r="G42" s="1205">
        <f>'House Count'!F42</f>
        <v/>
      </c>
      <c r="H42" s="1205">
        <f>'House Count'!H42</f>
        <v/>
      </c>
    </row>
    <row r="43">
      <c r="A43" s="1204">
        <f>'House Count'!A43</f>
        <v/>
      </c>
      <c r="B43" s="1205">
        <f>'House Count'!E43</f>
        <v/>
      </c>
      <c r="C43" s="1205">
        <f>'House Count'!B43</f>
        <v/>
      </c>
      <c r="D43" s="1205">
        <f>'House Count'!C43</f>
        <v/>
      </c>
      <c r="E43" s="1205">
        <f>'House Count'!D43</f>
        <v/>
      </c>
      <c r="F43" s="1205">
        <f>IF(G43="RES-SFU","RESIDENTIAL",IF(G43="RES-HOA","RESIDENTIAL",IF(G43="RES-MDU","RESIDENTIAL",IF(G43="COMM-SU","BUSINESS",IF(G43="COM-MTU","BUSINESS",IF(G43="ENT","BUSINESS",""))))))</f>
        <v/>
      </c>
      <c r="G43" s="1205">
        <f>'House Count'!F43</f>
        <v/>
      </c>
      <c r="H43" s="1205">
        <f>'House Count'!H43</f>
        <v/>
      </c>
    </row>
    <row r="44">
      <c r="A44" s="1204">
        <f>'House Count'!A44</f>
        <v/>
      </c>
      <c r="B44" s="1205">
        <f>'House Count'!E44</f>
        <v/>
      </c>
      <c r="C44" s="1205">
        <f>'House Count'!B44</f>
        <v/>
      </c>
      <c r="D44" s="1205">
        <f>'House Count'!C44</f>
        <v/>
      </c>
      <c r="E44" s="1205">
        <f>'House Count'!D44</f>
        <v/>
      </c>
      <c r="F44" s="1205">
        <f>IF(G44="RES-SFU","RESIDENTIAL",IF(G44="RES-HOA","RESIDENTIAL",IF(G44="RES-MDU","RESIDENTIAL",IF(G44="COMM-SU","BUSINESS",IF(G44="COM-MTU","BUSINESS",IF(G44="ENT","BUSINESS",""))))))</f>
        <v/>
      </c>
      <c r="G44" s="1205">
        <f>'House Count'!F44</f>
        <v/>
      </c>
      <c r="H44" s="1205">
        <f>'House Count'!H44</f>
        <v/>
      </c>
    </row>
    <row r="45">
      <c r="A45" s="1204">
        <f>'House Count'!A45</f>
        <v/>
      </c>
      <c r="B45" s="1205">
        <f>'House Count'!E45</f>
        <v/>
      </c>
      <c r="C45" s="1205">
        <f>'House Count'!B45</f>
        <v/>
      </c>
      <c r="D45" s="1205">
        <f>'House Count'!C45</f>
        <v/>
      </c>
      <c r="E45" s="1205">
        <f>'House Count'!D45</f>
        <v/>
      </c>
      <c r="F45" s="1205">
        <f>IF(G45="RES-SFU","RESIDENTIAL",IF(G45="RES-HOA","RESIDENTIAL",IF(G45="RES-MDU","RESIDENTIAL",IF(G45="COMM-SU","BUSINESS",IF(G45="COM-MTU","BUSINESS",IF(G45="ENT","BUSINESS",""))))))</f>
        <v/>
      </c>
      <c r="G45" s="1205">
        <f>'House Count'!F45</f>
        <v/>
      </c>
      <c r="H45" s="1205">
        <f>'House Count'!H45</f>
        <v/>
      </c>
    </row>
    <row r="46">
      <c r="A46" s="1204">
        <f>'House Count'!A46</f>
        <v/>
      </c>
      <c r="B46" s="1205">
        <f>'House Count'!E46</f>
        <v/>
      </c>
      <c r="C46" s="1205">
        <f>'House Count'!B46</f>
        <v/>
      </c>
      <c r="D46" s="1205">
        <f>'House Count'!C46</f>
        <v/>
      </c>
      <c r="E46" s="1205">
        <f>'House Count'!D46</f>
        <v/>
      </c>
      <c r="F46" s="1205">
        <f>IF(G46="RES-SFU","RESIDENTIAL",IF(G46="RES-HOA","RESIDENTIAL",IF(G46="RES-MDU","RESIDENTIAL",IF(G46="COMM-SU","BUSINESS",IF(G46="COM-MTU","BUSINESS",IF(G46="ENT","BUSINESS",""))))))</f>
        <v/>
      </c>
      <c r="G46" s="1205">
        <f>'House Count'!F46</f>
        <v/>
      </c>
      <c r="H46" s="1205">
        <f>'House Count'!H46</f>
        <v/>
      </c>
    </row>
    <row r="47">
      <c r="A47" s="1204">
        <f>'House Count'!A47</f>
        <v/>
      </c>
      <c r="B47" s="1205">
        <f>'House Count'!E47</f>
        <v/>
      </c>
      <c r="C47" s="1205">
        <f>'House Count'!B47</f>
        <v/>
      </c>
      <c r="D47" s="1205">
        <f>'House Count'!C47</f>
        <v/>
      </c>
      <c r="E47" s="1205">
        <f>'House Count'!D47</f>
        <v/>
      </c>
      <c r="F47" s="1205">
        <f>IF(G47="RES-SFU","RESIDENTIAL",IF(G47="RES-HOA","RESIDENTIAL",IF(G47="RES-MDU","RESIDENTIAL",IF(G47="COMM-SU","BUSINESS",IF(G47="COM-MTU","BUSINESS",IF(G47="ENT","BUSINESS",""))))))</f>
        <v/>
      </c>
      <c r="G47" s="1205">
        <f>'House Count'!F47</f>
        <v/>
      </c>
      <c r="H47" s="1205">
        <f>'House Count'!H47</f>
        <v/>
      </c>
    </row>
    <row r="48">
      <c r="A48" s="1204">
        <f>'House Count'!A48</f>
        <v/>
      </c>
      <c r="B48" s="1205">
        <f>'House Count'!E48</f>
        <v/>
      </c>
      <c r="C48" s="1205">
        <f>'House Count'!B48</f>
        <v/>
      </c>
      <c r="D48" s="1205">
        <f>'House Count'!C48</f>
        <v/>
      </c>
      <c r="E48" s="1205">
        <f>'House Count'!D48</f>
        <v/>
      </c>
      <c r="F48" s="1205">
        <f>IF(G48="RES-SFU","RESIDENTIAL",IF(G48="RES-HOA","RESIDENTIAL",IF(G48="RES-MDU","RESIDENTIAL",IF(G48="COMM-SU","BUSINESS",IF(G48="COM-MTU","BUSINESS",IF(G48="ENT","BUSINESS",""))))))</f>
        <v/>
      </c>
      <c r="G48" s="1205">
        <f>'House Count'!F48</f>
        <v/>
      </c>
      <c r="H48" s="1205">
        <f>'House Count'!H48</f>
        <v/>
      </c>
    </row>
    <row r="49">
      <c r="A49" s="1204">
        <f>'House Count'!A49</f>
        <v/>
      </c>
      <c r="B49" s="1205">
        <f>'House Count'!E49</f>
        <v/>
      </c>
      <c r="C49" s="1205">
        <f>'House Count'!B49</f>
        <v/>
      </c>
      <c r="D49" s="1205">
        <f>'House Count'!C49</f>
        <v/>
      </c>
      <c r="E49" s="1205">
        <f>'House Count'!D49</f>
        <v/>
      </c>
      <c r="F49" s="1205">
        <f>IF(G49="RES-SFU","RESIDENTIAL",IF(G49="RES-HOA","RESIDENTIAL",IF(G49="RES-MDU","RESIDENTIAL",IF(G49="COMM-SU","BUSINESS",IF(G49="COM-MTU","BUSINESS",IF(G49="ENT","BUSINESS",""))))))</f>
        <v/>
      </c>
      <c r="G49" s="1205">
        <f>'House Count'!F49</f>
        <v/>
      </c>
      <c r="H49" s="1205">
        <f>'House Count'!H49</f>
        <v/>
      </c>
    </row>
    <row r="50">
      <c r="A50" s="1204">
        <f>'House Count'!A50</f>
        <v/>
      </c>
      <c r="B50" s="1205">
        <f>'House Count'!E50</f>
        <v/>
      </c>
      <c r="C50" s="1205">
        <f>'House Count'!B50</f>
        <v/>
      </c>
      <c r="D50" s="1205">
        <f>'House Count'!C50</f>
        <v/>
      </c>
      <c r="E50" s="1205">
        <f>'House Count'!D50</f>
        <v/>
      </c>
      <c r="F50" s="1205">
        <f>IF(G50="RES-SFU","RESIDENTIAL",IF(G50="RES-HOA","RESIDENTIAL",IF(G50="RES-MDU","RESIDENTIAL",IF(G50="COMM-SU","BUSINESS",IF(G50="COM-MTU","BUSINESS",IF(G50="ENT","BUSINESS",""))))))</f>
        <v/>
      </c>
      <c r="G50" s="1205">
        <f>'House Count'!F50</f>
        <v/>
      </c>
      <c r="H50" s="1205">
        <f>'House Count'!H50</f>
        <v/>
      </c>
    </row>
    <row r="51">
      <c r="A51" s="1204">
        <f>'House Count'!A51</f>
        <v/>
      </c>
      <c r="B51" s="1205">
        <f>'House Count'!E51</f>
        <v/>
      </c>
      <c r="C51" s="1205">
        <f>'House Count'!B51</f>
        <v/>
      </c>
      <c r="D51" s="1205">
        <f>'House Count'!C51</f>
        <v/>
      </c>
      <c r="E51" s="1205">
        <f>'House Count'!D51</f>
        <v/>
      </c>
      <c r="F51" s="1205">
        <f>IF(G51="RES-SFU","RESIDENTIAL",IF(G51="RES-HOA","RESIDENTIAL",IF(G51="RES-MDU","RESIDENTIAL",IF(G51="COMM-SU","BUSINESS",IF(G51="COM-MTU","BUSINESS",IF(G51="ENT","BUSINESS",""))))))</f>
        <v/>
      </c>
      <c r="G51" s="1205">
        <f>'House Count'!F51</f>
        <v/>
      </c>
      <c r="H51" s="1205">
        <f>'House Count'!H51</f>
        <v/>
      </c>
    </row>
    <row r="52">
      <c r="A52" s="1204">
        <f>'House Count'!A52</f>
        <v/>
      </c>
      <c r="B52" s="1205">
        <f>'House Count'!E52</f>
        <v/>
      </c>
      <c r="C52" s="1205">
        <f>'House Count'!B52</f>
        <v/>
      </c>
      <c r="D52" s="1205">
        <f>'House Count'!C52</f>
        <v/>
      </c>
      <c r="E52" s="1205">
        <f>'House Count'!D52</f>
        <v/>
      </c>
      <c r="F52" s="1205">
        <f>IF(G52="RES-SFU","RESIDENTIAL",IF(G52="RES-HOA","RESIDENTIAL",IF(G52="RES-MDU","RESIDENTIAL",IF(G52="COMM-SU","BUSINESS",IF(G52="COM-MTU","BUSINESS",IF(G52="ENT","BUSINESS",""))))))</f>
        <v/>
      </c>
      <c r="G52" s="1205">
        <f>'House Count'!F52</f>
        <v/>
      </c>
      <c r="H52" s="1205">
        <f>'House Count'!H52</f>
        <v/>
      </c>
    </row>
    <row r="53">
      <c r="A53" s="1204">
        <f>'House Count'!A53</f>
        <v/>
      </c>
      <c r="B53" s="1205">
        <f>'House Count'!E53</f>
        <v/>
      </c>
      <c r="C53" s="1205">
        <f>'House Count'!B53</f>
        <v/>
      </c>
      <c r="D53" s="1205">
        <f>'House Count'!C53</f>
        <v/>
      </c>
      <c r="E53" s="1205">
        <f>'House Count'!D53</f>
        <v/>
      </c>
      <c r="F53" s="1205">
        <f>IF(G53="RES-SFU","RESIDENTIAL",IF(G53="RES-HOA","RESIDENTIAL",IF(G53="RES-MDU","RESIDENTIAL",IF(G53="COMM-SU","BUSINESS",IF(G53="COM-MTU","BUSINESS",IF(G53="ENT","BUSINESS",""))))))</f>
        <v/>
      </c>
      <c r="G53" s="1205">
        <f>'House Count'!F53</f>
        <v/>
      </c>
      <c r="H53" s="1205">
        <f>'House Count'!H53</f>
        <v/>
      </c>
    </row>
    <row r="54">
      <c r="A54" s="1204">
        <f>'House Count'!A54</f>
        <v/>
      </c>
      <c r="B54" s="1205">
        <f>'House Count'!E54</f>
        <v/>
      </c>
      <c r="C54" s="1205">
        <f>'House Count'!B54</f>
        <v/>
      </c>
      <c r="D54" s="1205">
        <f>'House Count'!C54</f>
        <v/>
      </c>
      <c r="E54" s="1205">
        <f>'House Count'!D54</f>
        <v/>
      </c>
      <c r="F54" s="1205">
        <f>IF(G54="RES-SFU","RESIDENTIAL",IF(G54="RES-HOA","RESIDENTIAL",IF(G54="RES-MDU","RESIDENTIAL",IF(G54="COMM-SU","BUSINESS",IF(G54="COM-MTU","BUSINESS",IF(G54="ENT","BUSINESS",""))))))</f>
        <v/>
      </c>
      <c r="G54" s="1205">
        <f>'House Count'!F54</f>
        <v/>
      </c>
      <c r="H54" s="1205">
        <f>'House Count'!H54</f>
        <v/>
      </c>
    </row>
    <row r="55">
      <c r="A55" s="1204">
        <f>'House Count'!A55</f>
        <v/>
      </c>
      <c r="B55" s="1205">
        <f>'House Count'!E55</f>
        <v/>
      </c>
      <c r="C55" s="1205">
        <f>'House Count'!B55</f>
        <v/>
      </c>
      <c r="D55" s="1205">
        <f>'House Count'!C55</f>
        <v/>
      </c>
      <c r="E55" s="1205">
        <f>'House Count'!D55</f>
        <v/>
      </c>
      <c r="F55" s="1205">
        <f>IF(G55="RES-SFU","RESIDENTIAL",IF(G55="RES-HOA","RESIDENTIAL",IF(G55="RES-MDU","RESIDENTIAL",IF(G55="COMM-SU","BUSINESS",IF(G55="COM-MTU","BUSINESS",IF(G55="ENT","BUSINESS",""))))))</f>
        <v/>
      </c>
      <c r="G55" s="1205">
        <f>'House Count'!F55</f>
        <v/>
      </c>
      <c r="H55" s="1205">
        <f>'House Count'!H55</f>
        <v/>
      </c>
    </row>
    <row r="56">
      <c r="A56" s="1204">
        <f>'House Count'!A56</f>
        <v/>
      </c>
      <c r="B56" s="1205">
        <f>'House Count'!E56</f>
        <v/>
      </c>
      <c r="C56" s="1205">
        <f>'House Count'!B56</f>
        <v/>
      </c>
      <c r="D56" s="1205">
        <f>'House Count'!C56</f>
        <v/>
      </c>
      <c r="E56" s="1205">
        <f>'House Count'!D56</f>
        <v/>
      </c>
      <c r="F56" s="1205">
        <f>IF(G56="RES-SFU","RESIDENTIAL",IF(G56="RES-HOA","RESIDENTIAL",IF(G56="RES-MDU","RESIDENTIAL",IF(G56="COMM-SU","BUSINESS",IF(G56="COM-MTU","BUSINESS",IF(G56="ENT","BUSINESS",""))))))</f>
        <v/>
      </c>
      <c r="G56" s="1205">
        <f>'House Count'!F56</f>
        <v/>
      </c>
      <c r="H56" s="1205">
        <f>'House Count'!H56</f>
        <v/>
      </c>
    </row>
    <row r="57">
      <c r="A57" s="1204">
        <f>'House Count'!A57</f>
        <v/>
      </c>
      <c r="B57" s="1205">
        <f>'House Count'!E57</f>
        <v/>
      </c>
      <c r="C57" s="1205">
        <f>'House Count'!B57</f>
        <v/>
      </c>
      <c r="D57" s="1205">
        <f>'House Count'!C57</f>
        <v/>
      </c>
      <c r="E57" s="1205">
        <f>'House Count'!D57</f>
        <v/>
      </c>
      <c r="F57" s="1205">
        <f>IF(G57="RES-SFU","RESIDENTIAL",IF(G57="RES-HOA","RESIDENTIAL",IF(G57="RES-MDU","RESIDENTIAL",IF(G57="COMM-SU","BUSINESS",IF(G57="COM-MTU","BUSINESS",IF(G57="ENT","BUSINESS",""))))))</f>
        <v/>
      </c>
      <c r="G57" s="1205">
        <f>'House Count'!F57</f>
        <v/>
      </c>
      <c r="H57" s="1205">
        <f>'House Count'!H57</f>
        <v/>
      </c>
    </row>
    <row r="58">
      <c r="A58" s="1204">
        <f>'House Count'!A58</f>
        <v/>
      </c>
      <c r="B58" s="1205">
        <f>'House Count'!E58</f>
        <v/>
      </c>
      <c r="C58" s="1205">
        <f>'House Count'!B58</f>
        <v/>
      </c>
      <c r="D58" s="1205">
        <f>'House Count'!C58</f>
        <v/>
      </c>
      <c r="E58" s="1205">
        <f>'House Count'!D58</f>
        <v/>
      </c>
      <c r="F58" s="1205">
        <f>IF(G58="RES-SFU","RESIDENTIAL",IF(G58="RES-HOA","RESIDENTIAL",IF(G58="RES-MDU","RESIDENTIAL",IF(G58="COMM-SU","BUSINESS",IF(G58="COM-MTU","BUSINESS",IF(G58="ENT","BUSINESS",""))))))</f>
        <v/>
      </c>
      <c r="G58" s="1205">
        <f>'House Count'!F58</f>
        <v/>
      </c>
      <c r="H58" s="1205">
        <f>'House Count'!H58</f>
        <v/>
      </c>
    </row>
    <row r="59">
      <c r="A59" s="1204">
        <f>'House Count'!A59</f>
        <v/>
      </c>
      <c r="B59" s="1205">
        <f>'House Count'!E59</f>
        <v/>
      </c>
      <c r="C59" s="1205">
        <f>'House Count'!B59</f>
        <v/>
      </c>
      <c r="D59" s="1205">
        <f>'House Count'!C59</f>
        <v/>
      </c>
      <c r="E59" s="1205">
        <f>'House Count'!D59</f>
        <v/>
      </c>
      <c r="F59" s="1205">
        <f>IF(G59="RES-SFU","RESIDENTIAL",IF(G59="RES-HOA","RESIDENTIAL",IF(G59="RES-MDU","RESIDENTIAL",IF(G59="COMM-SU","BUSINESS",IF(G59="COM-MTU","BUSINESS",IF(G59="ENT","BUSINESS",""))))))</f>
        <v/>
      </c>
      <c r="G59" s="1205">
        <f>'House Count'!F59</f>
        <v/>
      </c>
      <c r="H59" s="1205">
        <f>'House Count'!H59</f>
        <v/>
      </c>
    </row>
    <row r="60">
      <c r="A60" s="1204">
        <f>'House Count'!A60</f>
        <v/>
      </c>
      <c r="B60" s="1205">
        <f>'House Count'!E60</f>
        <v/>
      </c>
      <c r="C60" s="1205">
        <f>'House Count'!B60</f>
        <v/>
      </c>
      <c r="D60" s="1205">
        <f>'House Count'!C60</f>
        <v/>
      </c>
      <c r="E60" s="1205">
        <f>'House Count'!D60</f>
        <v/>
      </c>
      <c r="F60" s="1205">
        <f>IF(G60="RES-SFU","RESIDENTIAL",IF(G60="RES-HOA","RESIDENTIAL",IF(G60="RES-MDU","RESIDENTIAL",IF(G60="COMM-SU","BUSINESS",IF(G60="COM-MTU","BUSINESS",IF(G60="ENT","BUSINESS",""))))))</f>
        <v/>
      </c>
      <c r="G60" s="1205">
        <f>'House Count'!F60</f>
        <v/>
      </c>
      <c r="H60" s="1205">
        <f>'House Count'!H60</f>
        <v/>
      </c>
    </row>
    <row r="61">
      <c r="A61" s="1204">
        <f>'House Count'!A61</f>
        <v/>
      </c>
      <c r="B61" s="1205">
        <f>'House Count'!E61</f>
        <v/>
      </c>
      <c r="C61" s="1205">
        <f>'House Count'!B61</f>
        <v/>
      </c>
      <c r="D61" s="1205">
        <f>'House Count'!C61</f>
        <v/>
      </c>
      <c r="E61" s="1205">
        <f>'House Count'!D61</f>
        <v/>
      </c>
      <c r="F61" s="1205">
        <f>IF(G61="RES-SFU","RESIDENTIAL",IF(G61="RES-HOA","RESIDENTIAL",IF(G61="RES-MDU","RESIDENTIAL",IF(G61="COMM-SU","BUSINESS",IF(G61="COM-MTU","BUSINESS",IF(G61="ENT","BUSINESS",""))))))</f>
        <v/>
      </c>
      <c r="G61" s="1205">
        <f>'House Count'!F61</f>
        <v/>
      </c>
      <c r="H61" s="1205">
        <f>'House Count'!H61</f>
        <v/>
      </c>
    </row>
    <row r="62">
      <c r="A62" s="1204">
        <f>'House Count'!A62</f>
        <v/>
      </c>
      <c r="B62" s="1205">
        <f>'House Count'!E62</f>
        <v/>
      </c>
      <c r="C62" s="1205">
        <f>'House Count'!B62</f>
        <v/>
      </c>
      <c r="D62" s="1205">
        <f>'House Count'!C62</f>
        <v/>
      </c>
      <c r="E62" s="1205">
        <f>'House Count'!D62</f>
        <v/>
      </c>
      <c r="F62" s="1205">
        <f>IF(G62="RES-SFU","RESIDENTIAL",IF(G62="RES-HOA","RESIDENTIAL",IF(G62="RES-MDU","RESIDENTIAL",IF(G62="COMM-SU","BUSINESS",IF(G62="COM-MTU","BUSINESS",IF(G62="ENT","BUSINESS",""))))))</f>
        <v/>
      </c>
      <c r="G62" s="1205">
        <f>'House Count'!F62</f>
        <v/>
      </c>
      <c r="H62" s="1205">
        <f>'House Count'!H62</f>
        <v/>
      </c>
    </row>
    <row r="63">
      <c r="A63" s="1204">
        <f>'House Count'!A63</f>
        <v/>
      </c>
      <c r="B63" s="1205">
        <f>'House Count'!E63</f>
        <v/>
      </c>
      <c r="C63" s="1205">
        <f>'House Count'!B63</f>
        <v/>
      </c>
      <c r="D63" s="1205">
        <f>'House Count'!C63</f>
        <v/>
      </c>
      <c r="E63" s="1205">
        <f>'House Count'!D63</f>
        <v/>
      </c>
      <c r="F63" s="1205">
        <f>IF(G63="RES-SFU","RESIDENTIAL",IF(G63="RES-HOA","RESIDENTIAL",IF(G63="RES-MDU","RESIDENTIAL",IF(G63="COMM-SU","BUSINESS",IF(G63="COM-MTU","BUSINESS",IF(G63="ENT","BUSINESS",""))))))</f>
        <v/>
      </c>
      <c r="G63" s="1205">
        <f>'House Count'!F63</f>
        <v/>
      </c>
      <c r="H63" s="1205">
        <f>'House Count'!H63</f>
        <v/>
      </c>
    </row>
    <row r="64">
      <c r="A64" s="1204">
        <f>'House Count'!A64</f>
        <v/>
      </c>
      <c r="B64" s="1205">
        <f>'House Count'!E64</f>
        <v/>
      </c>
      <c r="C64" s="1205">
        <f>'House Count'!B64</f>
        <v/>
      </c>
      <c r="D64" s="1205">
        <f>'House Count'!C64</f>
        <v/>
      </c>
      <c r="E64" s="1205">
        <f>'House Count'!D64</f>
        <v/>
      </c>
      <c r="F64" s="1205">
        <f>IF(G64="RES-SFU","RESIDENTIAL",IF(G64="RES-HOA","RESIDENTIAL",IF(G64="RES-MDU","RESIDENTIAL",IF(G64="COMM-SU","BUSINESS",IF(G64="COM-MTU","BUSINESS",IF(G64="ENT","BUSINESS",""))))))</f>
        <v/>
      </c>
      <c r="G64" s="1205">
        <f>'House Count'!F64</f>
        <v/>
      </c>
      <c r="H64" s="1205">
        <f>'House Count'!H64</f>
        <v/>
      </c>
    </row>
    <row r="65">
      <c r="A65" s="1204">
        <f>'House Count'!A65</f>
        <v/>
      </c>
      <c r="B65" s="1205">
        <f>'House Count'!E65</f>
        <v/>
      </c>
      <c r="C65" s="1205">
        <f>'House Count'!B65</f>
        <v/>
      </c>
      <c r="D65" s="1205">
        <f>'House Count'!C65</f>
        <v/>
      </c>
      <c r="E65" s="1205">
        <f>'House Count'!D65</f>
        <v/>
      </c>
      <c r="F65" s="1205">
        <f>IF(G65="RES-SFU","RESIDENTIAL",IF(G65="RES-HOA","RESIDENTIAL",IF(G65="RES-MDU","RESIDENTIAL",IF(G65="COMM-SU","BUSINESS",IF(G65="COM-MTU","BUSINESS",IF(G65="ENT","BUSINESS",""))))))</f>
        <v/>
      </c>
      <c r="G65" s="1205">
        <f>'House Count'!F65</f>
        <v/>
      </c>
      <c r="H65" s="1205">
        <f>'House Count'!H65</f>
        <v/>
      </c>
    </row>
    <row r="66">
      <c r="A66" s="1204">
        <f>'House Count'!A66</f>
        <v/>
      </c>
      <c r="B66" s="1205">
        <f>'House Count'!E66</f>
        <v/>
      </c>
      <c r="C66" s="1205">
        <f>'House Count'!B66</f>
        <v/>
      </c>
      <c r="D66" s="1205">
        <f>'House Count'!C66</f>
        <v/>
      </c>
      <c r="E66" s="1205">
        <f>'House Count'!D66</f>
        <v/>
      </c>
      <c r="F66" s="1205">
        <f>IF(G66="RES-SFU","RESIDENTIAL",IF(G66="RES-HOA","RESIDENTIAL",IF(G66="RES-MDU","RESIDENTIAL",IF(G66="COMM-SU","BUSINESS",IF(G66="COM-MTU","BUSINESS",IF(G66="ENT","BUSINESS",""))))))</f>
        <v/>
      </c>
      <c r="G66" s="1205">
        <f>'House Count'!F66</f>
        <v/>
      </c>
      <c r="H66" s="1205">
        <f>'House Count'!H66</f>
        <v/>
      </c>
    </row>
    <row r="67">
      <c r="A67" s="1204">
        <f>'House Count'!A67</f>
        <v/>
      </c>
      <c r="B67" s="1205">
        <f>'House Count'!E67</f>
        <v/>
      </c>
      <c r="C67" s="1205">
        <f>'House Count'!B67</f>
        <v/>
      </c>
      <c r="D67" s="1205">
        <f>'House Count'!C67</f>
        <v/>
      </c>
      <c r="E67" s="1205">
        <f>'House Count'!D67</f>
        <v/>
      </c>
      <c r="F67" s="1205">
        <f>IF(G67="RES-SFU","RESIDENTIAL",IF(G67="RES-HOA","RESIDENTIAL",IF(G67="RES-MDU","RESIDENTIAL",IF(G67="COMM-SU","BUSINESS",IF(G67="COM-MTU","BUSINESS",IF(G67="ENT","BUSINESS",""))))))</f>
        <v/>
      </c>
      <c r="G67" s="1205">
        <f>'House Count'!F67</f>
        <v/>
      </c>
      <c r="H67" s="1205">
        <f>'House Count'!H67</f>
        <v/>
      </c>
    </row>
    <row r="68">
      <c r="A68" s="1204">
        <f>'House Count'!A68</f>
        <v/>
      </c>
      <c r="B68" s="1205">
        <f>'House Count'!E68</f>
        <v/>
      </c>
      <c r="C68" s="1205">
        <f>'House Count'!B68</f>
        <v/>
      </c>
      <c r="D68" s="1205">
        <f>'House Count'!C68</f>
        <v/>
      </c>
      <c r="E68" s="1205">
        <f>'House Count'!D68</f>
        <v/>
      </c>
      <c r="F68" s="1205">
        <f>IF(G68="RES-SFU","RESIDENTIAL",IF(G68="RES-HOA","RESIDENTIAL",IF(G68="RES-MDU","RESIDENTIAL",IF(G68="COMM-SU","BUSINESS",IF(G68="COM-MTU","BUSINESS",IF(G68="ENT","BUSINESS",""))))))</f>
        <v/>
      </c>
      <c r="G68" s="1205">
        <f>'House Count'!F68</f>
        <v/>
      </c>
      <c r="H68" s="1205">
        <f>'House Count'!H68</f>
        <v/>
      </c>
    </row>
    <row r="69">
      <c r="A69" s="1204">
        <f>'House Count'!A69</f>
        <v/>
      </c>
      <c r="B69" s="1205">
        <f>'House Count'!E69</f>
        <v/>
      </c>
      <c r="C69" s="1205">
        <f>'House Count'!B69</f>
        <v/>
      </c>
      <c r="D69" s="1205">
        <f>'House Count'!C69</f>
        <v/>
      </c>
      <c r="E69" s="1205">
        <f>'House Count'!D69</f>
        <v/>
      </c>
      <c r="F69" s="1205">
        <f>IF(G69="RES-SFU","RESIDENTIAL",IF(G69="RES-HOA","RESIDENTIAL",IF(G69="RES-MDU","RESIDENTIAL",IF(G69="COMM-SU","BUSINESS",IF(G69="COM-MTU","BUSINESS",IF(G69="ENT","BUSINESS",""))))))</f>
        <v/>
      </c>
      <c r="G69" s="1205">
        <f>'House Count'!F69</f>
        <v/>
      </c>
      <c r="H69" s="1205">
        <f>'House Count'!H69</f>
        <v/>
      </c>
    </row>
    <row r="70">
      <c r="A70" s="1204">
        <f>'House Count'!A70</f>
        <v/>
      </c>
      <c r="B70" s="1205">
        <f>'House Count'!E70</f>
        <v/>
      </c>
      <c r="C70" s="1205">
        <f>'House Count'!B70</f>
        <v/>
      </c>
      <c r="D70" s="1205">
        <f>'House Count'!C70</f>
        <v/>
      </c>
      <c r="E70" s="1205">
        <f>'House Count'!D70</f>
        <v/>
      </c>
      <c r="F70" s="1205">
        <f>IF(G70="RES-SFU","RESIDENTIAL",IF(G70="RES-HOA","RESIDENTIAL",IF(G70="RES-MDU","RESIDENTIAL",IF(G70="COMM-SU","BUSINESS",IF(G70="COM-MTU","BUSINESS",IF(G70="ENT","BUSINESS",""))))))</f>
        <v/>
      </c>
      <c r="G70" s="1205">
        <f>'House Count'!F70</f>
        <v/>
      </c>
      <c r="H70" s="1205">
        <f>'House Count'!H70</f>
        <v/>
      </c>
    </row>
    <row r="71">
      <c r="A71" s="1204">
        <f>'House Count'!A71</f>
        <v/>
      </c>
      <c r="B71" s="1205">
        <f>'House Count'!E71</f>
        <v/>
      </c>
      <c r="C71" s="1205">
        <f>'House Count'!B71</f>
        <v/>
      </c>
      <c r="D71" s="1205">
        <f>'House Count'!C71</f>
        <v/>
      </c>
      <c r="E71" s="1205">
        <f>'House Count'!D71</f>
        <v/>
      </c>
      <c r="F71" s="1205">
        <f>IF(G71="RES-SFU","RESIDENTIAL",IF(G71="RES-HOA","RESIDENTIAL",IF(G71="RES-MDU","RESIDENTIAL",IF(G71="COMM-SU","BUSINESS",IF(G71="COM-MTU","BUSINESS",IF(G71="ENT","BUSINESS",""))))))</f>
        <v/>
      </c>
      <c r="G71" s="1205">
        <f>'House Count'!F71</f>
        <v/>
      </c>
      <c r="H71" s="1205">
        <f>'House Count'!H71</f>
        <v/>
      </c>
    </row>
    <row r="72">
      <c r="A72" s="1204">
        <f>'House Count'!A72</f>
        <v/>
      </c>
      <c r="B72" s="1205">
        <f>'House Count'!E72</f>
        <v/>
      </c>
      <c r="C72" s="1205">
        <f>'House Count'!B72</f>
        <v/>
      </c>
      <c r="D72" s="1205">
        <f>'House Count'!C72</f>
        <v/>
      </c>
      <c r="E72" s="1205">
        <f>'House Count'!D72</f>
        <v/>
      </c>
      <c r="F72" s="1205">
        <f>IF(G72="RES-SFU","RESIDENTIAL",IF(G72="RES-HOA","RESIDENTIAL",IF(G72="RES-MDU","RESIDENTIAL",IF(G72="COMM-SU","BUSINESS",IF(G72="COM-MTU","BUSINESS",IF(G72="ENT","BUSINESS",""))))))</f>
        <v/>
      </c>
      <c r="G72" s="1205">
        <f>'House Count'!F72</f>
        <v/>
      </c>
      <c r="H72" s="1205">
        <f>'House Count'!H72</f>
        <v/>
      </c>
    </row>
    <row r="73">
      <c r="A73" s="1204">
        <f>'House Count'!A73</f>
        <v/>
      </c>
      <c r="B73" s="1205">
        <f>'House Count'!E73</f>
        <v/>
      </c>
      <c r="C73" s="1205">
        <f>'House Count'!B73</f>
        <v/>
      </c>
      <c r="D73" s="1205">
        <f>'House Count'!C73</f>
        <v/>
      </c>
      <c r="E73" s="1205">
        <f>'House Count'!D73</f>
        <v/>
      </c>
      <c r="F73" s="1205">
        <f>IF(G73="RES-SFU","RESIDENTIAL",IF(G73="RES-HOA","RESIDENTIAL",IF(G73="RES-MDU","RESIDENTIAL",IF(G73="COMM-SU","BUSINESS",IF(G73="COM-MTU","BUSINESS",IF(G73="ENT","BUSINESS",""))))))</f>
        <v/>
      </c>
      <c r="G73" s="1205">
        <f>'House Count'!F73</f>
        <v/>
      </c>
      <c r="H73" s="1205">
        <f>'House Count'!H73</f>
        <v/>
      </c>
    </row>
    <row r="74">
      <c r="A74" s="1204">
        <f>'House Count'!A74</f>
        <v/>
      </c>
      <c r="B74" s="1205">
        <f>'House Count'!E74</f>
        <v/>
      </c>
      <c r="C74" s="1205">
        <f>'House Count'!B74</f>
        <v/>
      </c>
      <c r="D74" s="1205">
        <f>'House Count'!C74</f>
        <v/>
      </c>
      <c r="E74" s="1205">
        <f>'House Count'!D74</f>
        <v/>
      </c>
      <c r="F74" s="1205">
        <f>IF(G74="RES-SFU","RESIDENTIAL",IF(G74="RES-HOA","RESIDENTIAL",IF(G74="RES-MDU","RESIDENTIAL",IF(G74="COMM-SU","BUSINESS",IF(G74="COM-MTU","BUSINESS",IF(G74="ENT","BUSINESS",""))))))</f>
        <v/>
      </c>
      <c r="G74" s="1205">
        <f>'House Count'!F74</f>
        <v/>
      </c>
      <c r="H74" s="1205">
        <f>'House Count'!H74</f>
        <v/>
      </c>
    </row>
    <row r="75">
      <c r="A75" s="1204">
        <f>'House Count'!A75</f>
        <v/>
      </c>
      <c r="B75" s="1205">
        <f>'House Count'!E75</f>
        <v/>
      </c>
      <c r="C75" s="1205">
        <f>'House Count'!B75</f>
        <v/>
      </c>
      <c r="D75" s="1205">
        <f>'House Count'!C75</f>
        <v/>
      </c>
      <c r="E75" s="1205">
        <f>'House Count'!D75</f>
        <v/>
      </c>
      <c r="F75" s="1205">
        <f>IF(G75="RES-SFU","RESIDENTIAL",IF(G75="RES-HOA","RESIDENTIAL",IF(G75="RES-MDU","RESIDENTIAL",IF(G75="COMM-SU","BUSINESS",IF(G75="COM-MTU","BUSINESS",IF(G75="ENT","BUSINESS",""))))))</f>
        <v/>
      </c>
      <c r="G75" s="1205">
        <f>'House Count'!F75</f>
        <v/>
      </c>
      <c r="H75" s="1205">
        <f>'House Count'!H75</f>
        <v/>
      </c>
    </row>
    <row r="76">
      <c r="A76" s="1204">
        <f>'House Count'!A76</f>
        <v/>
      </c>
      <c r="B76" s="1205">
        <f>'House Count'!E76</f>
        <v/>
      </c>
      <c r="C76" s="1205">
        <f>'House Count'!B76</f>
        <v/>
      </c>
      <c r="D76" s="1205">
        <f>'House Count'!C76</f>
        <v/>
      </c>
      <c r="E76" s="1205">
        <f>'House Count'!D76</f>
        <v/>
      </c>
      <c r="F76" s="1205">
        <f>IF(G76="RES-SFU","RESIDENTIAL",IF(G76="RES-HOA","RESIDENTIAL",IF(G76="RES-MDU","RESIDENTIAL",IF(G76="COMM-SU","BUSINESS",IF(G76="COM-MTU","BUSINESS",IF(G76="ENT","BUSINESS",""))))))</f>
        <v/>
      </c>
      <c r="G76" s="1205">
        <f>'House Count'!F76</f>
        <v/>
      </c>
      <c r="H76" s="1205">
        <f>'House Count'!H76</f>
        <v/>
      </c>
    </row>
    <row r="77">
      <c r="A77" s="1204">
        <f>'House Count'!A77</f>
        <v/>
      </c>
      <c r="B77" s="1205">
        <f>'House Count'!E77</f>
        <v/>
      </c>
      <c r="C77" s="1205">
        <f>'House Count'!B77</f>
        <v/>
      </c>
      <c r="D77" s="1205">
        <f>'House Count'!C77</f>
        <v/>
      </c>
      <c r="E77" s="1205">
        <f>'House Count'!D77</f>
        <v/>
      </c>
      <c r="F77" s="1205">
        <f>IF(G77="RES-SFU","RESIDENTIAL",IF(G77="RES-HOA","RESIDENTIAL",IF(G77="RES-MDU","RESIDENTIAL",IF(G77="COMM-SU","BUSINESS",IF(G77="COM-MTU","BUSINESS",IF(G77="ENT","BUSINESS",""))))))</f>
        <v/>
      </c>
      <c r="G77" s="1205">
        <f>'House Count'!F77</f>
        <v/>
      </c>
      <c r="H77" s="1205">
        <f>'House Count'!H77</f>
        <v/>
      </c>
    </row>
    <row r="78">
      <c r="A78" s="1204">
        <f>'House Count'!A78</f>
        <v/>
      </c>
      <c r="B78" s="1205">
        <f>'House Count'!E78</f>
        <v/>
      </c>
      <c r="C78" s="1205">
        <f>'House Count'!B78</f>
        <v/>
      </c>
      <c r="D78" s="1205">
        <f>'House Count'!C78</f>
        <v/>
      </c>
      <c r="E78" s="1205">
        <f>'House Count'!D78</f>
        <v/>
      </c>
      <c r="F78" s="1205">
        <f>IF(G78="RES-SFU","RESIDENTIAL",IF(G78="RES-HOA","RESIDENTIAL",IF(G78="RES-MDU","RESIDENTIAL",IF(G78="COMM-SU","BUSINESS",IF(G78="COM-MTU","BUSINESS",IF(G78="ENT","BUSINESS",""))))))</f>
        <v/>
      </c>
      <c r="G78" s="1205">
        <f>'House Count'!F78</f>
        <v/>
      </c>
      <c r="H78" s="1205">
        <f>'House Count'!H78</f>
        <v/>
      </c>
    </row>
    <row r="79">
      <c r="A79" s="1204">
        <f>'House Count'!A79</f>
        <v/>
      </c>
      <c r="B79" s="1205">
        <f>'House Count'!E79</f>
        <v/>
      </c>
      <c r="C79" s="1205">
        <f>'House Count'!B79</f>
        <v/>
      </c>
      <c r="D79" s="1205">
        <f>'House Count'!C79</f>
        <v/>
      </c>
      <c r="E79" s="1205">
        <f>'House Count'!D79</f>
        <v/>
      </c>
      <c r="F79" s="1205">
        <f>IF(G79="RES-SFU","RESIDENTIAL",IF(G79="RES-HOA","RESIDENTIAL",IF(G79="RES-MDU","RESIDENTIAL",IF(G79="COMM-SU","BUSINESS",IF(G79="COM-MTU","BUSINESS",IF(G79="ENT","BUSINESS",""))))))</f>
        <v/>
      </c>
      <c r="G79" s="1205">
        <f>'House Count'!F79</f>
        <v/>
      </c>
      <c r="H79" s="1205">
        <f>'House Count'!H79</f>
        <v/>
      </c>
    </row>
    <row r="80">
      <c r="A80" s="1204">
        <f>'House Count'!A80</f>
        <v/>
      </c>
      <c r="B80" s="1205">
        <f>'House Count'!E80</f>
        <v/>
      </c>
      <c r="C80" s="1205">
        <f>'House Count'!B80</f>
        <v/>
      </c>
      <c r="D80" s="1205">
        <f>'House Count'!C80</f>
        <v/>
      </c>
      <c r="E80" s="1205">
        <f>'House Count'!D80</f>
        <v/>
      </c>
      <c r="F80" s="1205">
        <f>IF(G80="RES-SFU","RESIDENTIAL",IF(G80="RES-HOA","RESIDENTIAL",IF(G80="RES-MDU","RESIDENTIAL",IF(G80="COMM-SU","BUSINESS",IF(G80="COM-MTU","BUSINESS",IF(G80="ENT","BUSINESS",""))))))</f>
        <v/>
      </c>
      <c r="G80" s="1205">
        <f>'House Count'!F80</f>
        <v/>
      </c>
      <c r="H80" s="1205">
        <f>'House Count'!H80</f>
        <v/>
      </c>
    </row>
    <row r="81">
      <c r="A81" s="1204">
        <f>'House Count'!A81</f>
        <v/>
      </c>
      <c r="B81" s="1205">
        <f>'House Count'!E81</f>
        <v/>
      </c>
      <c r="C81" s="1205">
        <f>'House Count'!B81</f>
        <v/>
      </c>
      <c r="D81" s="1205">
        <f>'House Count'!C81</f>
        <v/>
      </c>
      <c r="E81" s="1205">
        <f>'House Count'!D81</f>
        <v/>
      </c>
      <c r="F81" s="1205">
        <f>IF(G81="RES-SFU","RESIDENTIAL",IF(G81="RES-HOA","RESIDENTIAL",IF(G81="RES-MDU","RESIDENTIAL",IF(G81="COMM-SU","BUSINESS",IF(G81="COM-MTU","BUSINESS",IF(G81="ENT","BUSINESS",""))))))</f>
        <v/>
      </c>
      <c r="G81" s="1205">
        <f>'House Count'!F81</f>
        <v/>
      </c>
      <c r="H81" s="1205">
        <f>'House Count'!H81</f>
        <v/>
      </c>
    </row>
    <row r="82">
      <c r="A82" s="1204">
        <f>'House Count'!A82</f>
        <v/>
      </c>
      <c r="B82" s="1205">
        <f>'House Count'!E82</f>
        <v/>
      </c>
      <c r="C82" s="1205">
        <f>'House Count'!B82</f>
        <v/>
      </c>
      <c r="D82" s="1205">
        <f>'House Count'!C82</f>
        <v/>
      </c>
      <c r="E82" s="1205">
        <f>'House Count'!D82</f>
        <v/>
      </c>
      <c r="F82" s="1205">
        <f>IF(G82="RES-SFU","RESIDENTIAL",IF(G82="RES-HOA","RESIDENTIAL",IF(G82="RES-MDU","RESIDENTIAL",IF(G82="COMM-SU","BUSINESS",IF(G82="COM-MTU","BUSINESS",IF(G82="ENT","BUSINESS",""))))))</f>
        <v/>
      </c>
      <c r="G82" s="1205">
        <f>'House Count'!F82</f>
        <v/>
      </c>
      <c r="H82" s="1205">
        <f>'House Count'!H82</f>
        <v/>
      </c>
    </row>
    <row r="83">
      <c r="A83" s="1204">
        <f>'House Count'!A83</f>
        <v/>
      </c>
      <c r="B83" s="1205">
        <f>'House Count'!E83</f>
        <v/>
      </c>
      <c r="C83" s="1205">
        <f>'House Count'!B83</f>
        <v/>
      </c>
      <c r="D83" s="1205">
        <f>'House Count'!C83</f>
        <v/>
      </c>
      <c r="E83" s="1205">
        <f>'House Count'!D83</f>
        <v/>
      </c>
      <c r="F83" s="1205">
        <f>IF(G83="RES-SFU","RESIDENTIAL",IF(G83="RES-HOA","RESIDENTIAL",IF(G83="RES-MDU","RESIDENTIAL",IF(G83="COMM-SU","BUSINESS",IF(G83="COM-MTU","BUSINESS",IF(G83="ENT","BUSINESS",""))))))</f>
        <v/>
      </c>
      <c r="G83" s="1205">
        <f>'House Count'!F83</f>
        <v/>
      </c>
      <c r="H83" s="1205">
        <f>'House Count'!H83</f>
        <v/>
      </c>
    </row>
    <row r="84">
      <c r="A84" s="1204">
        <f>'House Count'!A84</f>
        <v/>
      </c>
      <c r="B84" s="1205">
        <f>'House Count'!E84</f>
        <v/>
      </c>
      <c r="C84" s="1205">
        <f>'House Count'!B84</f>
        <v/>
      </c>
      <c r="D84" s="1205">
        <f>'House Count'!C84</f>
        <v/>
      </c>
      <c r="E84" s="1205">
        <f>'House Count'!D84</f>
        <v/>
      </c>
      <c r="F84" s="1205">
        <f>IF(G84="RES-SFU","RESIDENTIAL",IF(G84="RES-HOA","RESIDENTIAL",IF(G84="RES-MDU","RESIDENTIAL",IF(G84="COMM-SU","BUSINESS",IF(G84="COM-MTU","BUSINESS",IF(G84="ENT","BUSINESS",""))))))</f>
        <v/>
      </c>
      <c r="G84" s="1205">
        <f>'House Count'!F84</f>
        <v/>
      </c>
      <c r="H84" s="1205">
        <f>'House Count'!H84</f>
        <v/>
      </c>
    </row>
    <row r="85">
      <c r="A85" s="1204">
        <f>'House Count'!A85</f>
        <v/>
      </c>
      <c r="B85" s="1205">
        <f>'House Count'!E85</f>
        <v/>
      </c>
      <c r="C85" s="1205">
        <f>'House Count'!B85</f>
        <v/>
      </c>
      <c r="D85" s="1205">
        <f>'House Count'!C85</f>
        <v/>
      </c>
      <c r="E85" s="1205">
        <f>'House Count'!D85</f>
        <v/>
      </c>
      <c r="F85" s="1205">
        <f>IF(G85="RES-SFU","RESIDENTIAL",IF(G85="RES-HOA","RESIDENTIAL",IF(G85="RES-MDU","RESIDENTIAL",IF(G85="COMM-SU","BUSINESS",IF(G85="COM-MTU","BUSINESS",IF(G85="ENT","BUSINESS",""))))))</f>
        <v/>
      </c>
      <c r="G85" s="1205">
        <f>'House Count'!F85</f>
        <v/>
      </c>
      <c r="H85" s="1205">
        <f>'House Count'!H85</f>
        <v/>
      </c>
    </row>
    <row r="86">
      <c r="A86" s="1204">
        <f>'House Count'!A86</f>
        <v/>
      </c>
      <c r="B86" s="1205">
        <f>'House Count'!E86</f>
        <v/>
      </c>
      <c r="C86" s="1205">
        <f>'House Count'!B86</f>
        <v/>
      </c>
      <c r="D86" s="1205">
        <f>'House Count'!C86</f>
        <v/>
      </c>
      <c r="E86" s="1205">
        <f>'House Count'!D86</f>
        <v/>
      </c>
      <c r="F86" s="1205">
        <f>IF(G86="RES-SFU","RESIDENTIAL",IF(G86="RES-HOA","RESIDENTIAL",IF(G86="RES-MDU","RESIDENTIAL",IF(G86="COMM-SU","BUSINESS",IF(G86="COM-MTU","BUSINESS",IF(G86="ENT","BUSINESS",""))))))</f>
        <v/>
      </c>
      <c r="G86" s="1205">
        <f>'House Count'!F86</f>
        <v/>
      </c>
      <c r="H86" s="1205">
        <f>'House Count'!H86</f>
        <v/>
      </c>
    </row>
    <row r="87">
      <c r="A87" s="1204">
        <f>'House Count'!A87</f>
        <v/>
      </c>
      <c r="B87" s="1205">
        <f>'House Count'!E87</f>
        <v/>
      </c>
      <c r="C87" s="1205">
        <f>'House Count'!B87</f>
        <v/>
      </c>
      <c r="D87" s="1205">
        <f>'House Count'!C87</f>
        <v/>
      </c>
      <c r="E87" s="1205">
        <f>'House Count'!D87</f>
        <v/>
      </c>
      <c r="F87" s="1205">
        <f>IF(G87="RES-SFU","RESIDENTIAL",IF(G87="RES-HOA","RESIDENTIAL",IF(G87="RES-MDU","RESIDENTIAL",IF(G87="COMM-SU","BUSINESS",IF(G87="COM-MTU","BUSINESS",IF(G87="ENT","BUSINESS",""))))))</f>
        <v/>
      </c>
      <c r="G87" s="1205">
        <f>'House Count'!F87</f>
        <v/>
      </c>
      <c r="H87" s="1205">
        <f>'House Count'!H87</f>
        <v/>
      </c>
    </row>
    <row r="88">
      <c r="A88" s="1204">
        <f>'House Count'!A88</f>
        <v/>
      </c>
      <c r="B88" s="1205">
        <f>'House Count'!E88</f>
        <v/>
      </c>
      <c r="C88" s="1205">
        <f>'House Count'!B88</f>
        <v/>
      </c>
      <c r="D88" s="1205">
        <f>'House Count'!C88</f>
        <v/>
      </c>
      <c r="E88" s="1205">
        <f>'House Count'!D88</f>
        <v/>
      </c>
      <c r="F88" s="1205">
        <f>IF(G88="RES-SFU","RESIDENTIAL",IF(G88="RES-HOA","RESIDENTIAL",IF(G88="RES-MDU","RESIDENTIAL",IF(G88="COMM-SU","BUSINESS",IF(G88="COM-MTU","BUSINESS",IF(G88="ENT","BUSINESS",""))))))</f>
        <v/>
      </c>
      <c r="G88" s="1205">
        <f>'House Count'!F88</f>
        <v/>
      </c>
      <c r="H88" s="1205">
        <f>'House Count'!H88</f>
        <v/>
      </c>
    </row>
    <row r="89">
      <c r="A89" s="1204">
        <f>'House Count'!A89</f>
        <v/>
      </c>
      <c r="B89" s="1205">
        <f>'House Count'!E89</f>
        <v/>
      </c>
      <c r="C89" s="1205">
        <f>'House Count'!B89</f>
        <v/>
      </c>
      <c r="D89" s="1205">
        <f>'House Count'!C89</f>
        <v/>
      </c>
      <c r="E89" s="1205">
        <f>'House Count'!D89</f>
        <v/>
      </c>
      <c r="F89" s="1205">
        <f>IF(G89="RES-SFU","RESIDENTIAL",IF(G89="RES-HOA","RESIDENTIAL",IF(G89="RES-MDU","RESIDENTIAL",IF(G89="COMM-SU","BUSINESS",IF(G89="COM-MTU","BUSINESS",IF(G89="ENT","BUSINESS",""))))))</f>
        <v/>
      </c>
      <c r="G89" s="1205">
        <f>'House Count'!F89</f>
        <v/>
      </c>
      <c r="H89" s="1205">
        <f>'House Count'!H89</f>
        <v/>
      </c>
    </row>
    <row r="90">
      <c r="A90" s="1204">
        <f>'House Count'!A90</f>
        <v/>
      </c>
      <c r="B90" s="1205">
        <f>'House Count'!E90</f>
        <v/>
      </c>
      <c r="C90" s="1205">
        <f>'House Count'!B90</f>
        <v/>
      </c>
      <c r="D90" s="1205">
        <f>'House Count'!C90</f>
        <v/>
      </c>
      <c r="E90" s="1205">
        <f>'House Count'!D90</f>
        <v/>
      </c>
      <c r="F90" s="1205">
        <f>IF(G90="RES-SFU","RESIDENTIAL",IF(G90="RES-HOA","RESIDENTIAL",IF(G90="RES-MDU","RESIDENTIAL",IF(G90="COMM-SU","BUSINESS",IF(G90="COM-MTU","BUSINESS",IF(G90="ENT","BUSINESS",""))))))</f>
        <v/>
      </c>
      <c r="G90" s="1205">
        <f>'House Count'!F90</f>
        <v/>
      </c>
      <c r="H90" s="1205">
        <f>'House Count'!H90</f>
        <v/>
      </c>
    </row>
    <row r="91">
      <c r="A91" s="1204">
        <f>'House Count'!A91</f>
        <v/>
      </c>
      <c r="B91" s="1205">
        <f>'House Count'!E91</f>
        <v/>
      </c>
      <c r="C91" s="1205">
        <f>'House Count'!B91</f>
        <v/>
      </c>
      <c r="D91" s="1205">
        <f>'House Count'!C91</f>
        <v/>
      </c>
      <c r="E91" s="1205">
        <f>'House Count'!D91</f>
        <v/>
      </c>
      <c r="F91" s="1205">
        <f>IF(G91="RES-SFU","RESIDENTIAL",IF(G91="RES-HOA","RESIDENTIAL",IF(G91="RES-MDU","RESIDENTIAL",IF(G91="COMM-SU","BUSINESS",IF(G91="COM-MTU","BUSINESS",IF(G91="ENT","BUSINESS",""))))))</f>
        <v/>
      </c>
      <c r="G91" s="1205">
        <f>'House Count'!F91</f>
        <v/>
      </c>
      <c r="H91" s="1205">
        <f>'House Count'!H91</f>
        <v/>
      </c>
    </row>
    <row r="92">
      <c r="A92" s="1204">
        <f>'House Count'!A92</f>
        <v/>
      </c>
      <c r="B92" s="1205">
        <f>'House Count'!E92</f>
        <v/>
      </c>
      <c r="C92" s="1205">
        <f>'House Count'!B92</f>
        <v/>
      </c>
      <c r="D92" s="1205">
        <f>'House Count'!C92</f>
        <v/>
      </c>
      <c r="E92" s="1205">
        <f>'House Count'!D92</f>
        <v/>
      </c>
      <c r="F92" s="1205">
        <f>IF(G92="RES-SFU","RESIDENTIAL",IF(G92="RES-HOA","RESIDENTIAL",IF(G92="RES-MDU","RESIDENTIAL",IF(G92="COMM-SU","BUSINESS",IF(G92="COM-MTU","BUSINESS",IF(G92="ENT","BUSINESS",""))))))</f>
        <v/>
      </c>
      <c r="G92" s="1205">
        <f>'House Count'!F92</f>
        <v/>
      </c>
      <c r="H92" s="1205">
        <f>'House Count'!H92</f>
        <v/>
      </c>
    </row>
    <row r="93">
      <c r="A93" s="1204">
        <f>'House Count'!A93</f>
        <v/>
      </c>
      <c r="B93" s="1205">
        <f>'House Count'!E93</f>
        <v/>
      </c>
      <c r="C93" s="1205">
        <f>'House Count'!B93</f>
        <v/>
      </c>
      <c r="D93" s="1205">
        <f>'House Count'!C93</f>
        <v/>
      </c>
      <c r="E93" s="1205">
        <f>'House Count'!D93</f>
        <v/>
      </c>
      <c r="F93" s="1205">
        <f>IF(G93="RES-SFU","RESIDENTIAL",IF(G93="RES-HOA","RESIDENTIAL",IF(G93="RES-MDU","RESIDENTIAL",IF(G93="COMM-SU","BUSINESS",IF(G93="COM-MTU","BUSINESS",IF(G93="ENT","BUSINESS",""))))))</f>
        <v/>
      </c>
      <c r="G93" s="1205">
        <f>'House Count'!F93</f>
        <v/>
      </c>
      <c r="H93" s="1205">
        <f>'House Count'!H93</f>
        <v/>
      </c>
    </row>
    <row r="94">
      <c r="A94" s="1204">
        <f>'House Count'!A94</f>
        <v/>
      </c>
      <c r="B94" s="1205">
        <f>'House Count'!E94</f>
        <v/>
      </c>
      <c r="C94" s="1205">
        <f>'House Count'!B94</f>
        <v/>
      </c>
      <c r="D94" s="1205">
        <f>'House Count'!C94</f>
        <v/>
      </c>
      <c r="E94" s="1205">
        <f>'House Count'!D94</f>
        <v/>
      </c>
      <c r="F94" s="1205">
        <f>IF(G94="RES-SFU","RESIDENTIAL",IF(G94="RES-HOA","RESIDENTIAL",IF(G94="RES-MDU","RESIDENTIAL",IF(G94="COMM-SU","BUSINESS",IF(G94="COM-MTU","BUSINESS",IF(G94="ENT","BUSINESS",""))))))</f>
        <v/>
      </c>
      <c r="G94" s="1205">
        <f>'House Count'!F94</f>
        <v/>
      </c>
      <c r="H94" s="1205">
        <f>'House Count'!H94</f>
        <v/>
      </c>
    </row>
    <row r="95">
      <c r="A95" s="1204">
        <f>'House Count'!A95</f>
        <v/>
      </c>
      <c r="B95" s="1205">
        <f>'House Count'!E95</f>
        <v/>
      </c>
      <c r="C95" s="1205">
        <f>'House Count'!B95</f>
        <v/>
      </c>
      <c r="D95" s="1205">
        <f>'House Count'!C95</f>
        <v/>
      </c>
      <c r="E95" s="1205">
        <f>'House Count'!D95</f>
        <v/>
      </c>
      <c r="F95" s="1205">
        <f>IF(G95="RES-SFU","RESIDENTIAL",IF(G95="RES-HOA","RESIDENTIAL",IF(G95="RES-MDU","RESIDENTIAL",IF(G95="COMM-SU","BUSINESS",IF(G95="COM-MTU","BUSINESS",IF(G95="ENT","BUSINESS",""))))))</f>
        <v/>
      </c>
      <c r="G95" s="1205">
        <f>'House Count'!F95</f>
        <v/>
      </c>
      <c r="H95" s="1205">
        <f>'House Count'!H95</f>
        <v/>
      </c>
    </row>
    <row r="96">
      <c r="A96" s="1204">
        <f>'House Count'!A96</f>
        <v/>
      </c>
      <c r="B96" s="1205">
        <f>'House Count'!E96</f>
        <v/>
      </c>
      <c r="C96" s="1205">
        <f>'House Count'!B96</f>
        <v/>
      </c>
      <c r="D96" s="1205">
        <f>'House Count'!C96</f>
        <v/>
      </c>
      <c r="E96" s="1205">
        <f>'House Count'!D96</f>
        <v/>
      </c>
      <c r="F96" s="1205">
        <f>IF(G96="RES-SFU","RESIDENTIAL",IF(G96="RES-HOA","RESIDENTIAL",IF(G96="RES-MDU","RESIDENTIAL",IF(G96="COMM-SU","BUSINESS",IF(G96="COM-MTU","BUSINESS",IF(G96="ENT","BUSINESS",""))))))</f>
        <v/>
      </c>
      <c r="G96" s="1205">
        <f>'House Count'!F96</f>
        <v/>
      </c>
      <c r="H96" s="1205">
        <f>'House Count'!H96</f>
        <v/>
      </c>
    </row>
    <row r="97">
      <c r="A97" s="1204">
        <f>'House Count'!A97</f>
        <v/>
      </c>
      <c r="B97" s="1205">
        <f>'House Count'!E97</f>
        <v/>
      </c>
      <c r="C97" s="1205">
        <f>'House Count'!B97</f>
        <v/>
      </c>
      <c r="D97" s="1205">
        <f>'House Count'!C97</f>
        <v/>
      </c>
      <c r="E97" s="1205">
        <f>'House Count'!D97</f>
        <v/>
      </c>
      <c r="F97" s="1205">
        <f>IF(G97="RES-SFU","RESIDENTIAL",IF(G97="RES-HOA","RESIDENTIAL",IF(G97="RES-MDU","RESIDENTIAL",IF(G97="COMM-SU","BUSINESS",IF(G97="COM-MTU","BUSINESS",IF(G97="ENT","BUSINESS",""))))))</f>
        <v/>
      </c>
      <c r="G97" s="1205">
        <f>'House Count'!F97</f>
        <v/>
      </c>
      <c r="H97" s="1205">
        <f>'House Count'!H97</f>
        <v/>
      </c>
    </row>
    <row r="98">
      <c r="A98" s="1204">
        <f>'House Count'!A98</f>
        <v/>
      </c>
      <c r="B98" s="1205">
        <f>'House Count'!E98</f>
        <v/>
      </c>
      <c r="C98" s="1205">
        <f>'House Count'!B98</f>
        <v/>
      </c>
      <c r="D98" s="1205">
        <f>'House Count'!C98</f>
        <v/>
      </c>
      <c r="E98" s="1205">
        <f>'House Count'!D98</f>
        <v/>
      </c>
      <c r="F98" s="1205">
        <f>IF(G98="RES-SFU","RESIDENTIAL",IF(G98="RES-HOA","RESIDENTIAL",IF(G98="RES-MDU","RESIDENTIAL",IF(G98="COMM-SU","BUSINESS",IF(G98="COM-MTU","BUSINESS",IF(G98="ENT","BUSINESS",""))))))</f>
        <v/>
      </c>
      <c r="G98" s="1205">
        <f>'House Count'!F98</f>
        <v/>
      </c>
      <c r="H98" s="1205">
        <f>'House Count'!H98</f>
        <v/>
      </c>
    </row>
    <row r="99">
      <c r="A99" s="1204">
        <f>'House Count'!A99</f>
        <v/>
      </c>
      <c r="B99" s="1205">
        <f>'House Count'!E99</f>
        <v/>
      </c>
      <c r="C99" s="1205">
        <f>'House Count'!B99</f>
        <v/>
      </c>
      <c r="D99" s="1205">
        <f>'House Count'!C99</f>
        <v/>
      </c>
      <c r="E99" s="1205">
        <f>'House Count'!D99</f>
        <v/>
      </c>
      <c r="F99" s="1205">
        <f>IF(G99="RES-SFU","RESIDENTIAL",IF(G99="RES-HOA","RESIDENTIAL",IF(G99="RES-MDU","RESIDENTIAL",IF(G99="COMM-SU","BUSINESS",IF(G99="COM-MTU","BUSINESS",IF(G99="ENT","BUSINESS",""))))))</f>
        <v/>
      </c>
      <c r="G99" s="1205">
        <f>'House Count'!F99</f>
        <v/>
      </c>
      <c r="H99" s="1205">
        <f>'House Count'!H99</f>
        <v/>
      </c>
    </row>
    <row r="100">
      <c r="A100" s="1204">
        <f>'House Count'!A100</f>
        <v/>
      </c>
      <c r="B100" s="1205">
        <f>'House Count'!E100</f>
        <v/>
      </c>
      <c r="C100" s="1205">
        <f>'House Count'!B100</f>
        <v/>
      </c>
      <c r="D100" s="1205">
        <f>'House Count'!C100</f>
        <v/>
      </c>
      <c r="E100" s="1205">
        <f>'House Count'!D100</f>
        <v/>
      </c>
      <c r="F100" s="1205">
        <f>IF(G100="RES-SFU","RESIDENTIAL",IF(G100="RES-HOA","RESIDENTIAL",IF(G100="RES-MDU","RESIDENTIAL",IF(G100="COMM-SU","BUSINESS",IF(G100="COM-MTU","BUSINESS",IF(G100="ENT","BUSINESS",""))))))</f>
        <v/>
      </c>
      <c r="G100" s="1205">
        <f>'House Count'!F100</f>
        <v/>
      </c>
      <c r="H100" s="1205">
        <f>'House Count'!H100</f>
        <v/>
      </c>
    </row>
    <row r="101">
      <c r="A101" s="1204">
        <f>'House Count'!A101</f>
        <v/>
      </c>
      <c r="B101" s="1205">
        <f>'House Count'!E101</f>
        <v/>
      </c>
      <c r="C101" s="1205">
        <f>'House Count'!B101</f>
        <v/>
      </c>
      <c r="D101" s="1205">
        <f>'House Count'!C101</f>
        <v/>
      </c>
      <c r="E101" s="1205">
        <f>'House Count'!D101</f>
        <v/>
      </c>
      <c r="F101" s="1205">
        <f>IF(G101="RES-SFU","RESIDENTIAL",IF(G101="RES-HOA","RESIDENTIAL",IF(G101="RES-MDU","RESIDENTIAL",IF(G101="COMM-SU","BUSINESS",IF(G101="COM-MTU","BUSINESS",IF(G101="ENT","BUSINESS",""))))))</f>
        <v/>
      </c>
      <c r="G101" s="1205">
        <f>'House Count'!F101</f>
        <v/>
      </c>
      <c r="H101" s="1205">
        <f>'House Count'!H101</f>
        <v/>
      </c>
    </row>
    <row r="102">
      <c r="A102" s="1204">
        <f>'House Count'!A102</f>
        <v/>
      </c>
      <c r="B102" s="1205">
        <f>'House Count'!E102</f>
        <v/>
      </c>
      <c r="C102" s="1205">
        <f>'House Count'!B102</f>
        <v/>
      </c>
      <c r="D102" s="1205">
        <f>'House Count'!C102</f>
        <v/>
      </c>
      <c r="E102" s="1205">
        <f>'House Count'!D102</f>
        <v/>
      </c>
      <c r="F102" s="1205">
        <f>IF(G102="RES-SFU","RESIDENTIAL",IF(G102="RES-HOA","RESIDENTIAL",IF(G102="RES-MDU","RESIDENTIAL",IF(G102="COMM-SU","BUSINESS",IF(G102="COM-MTU","BUSINESS",IF(G102="ENT","BUSINESS",""))))))</f>
        <v/>
      </c>
      <c r="G102" s="1205">
        <f>'House Count'!F102</f>
        <v/>
      </c>
      <c r="H102" s="1205">
        <f>'House Count'!H102</f>
        <v/>
      </c>
    </row>
    <row r="103">
      <c r="A103" s="1204">
        <f>'House Count'!A103</f>
        <v/>
      </c>
      <c r="B103" s="1205">
        <f>'House Count'!E103</f>
        <v/>
      </c>
      <c r="C103" s="1205">
        <f>'House Count'!B103</f>
        <v/>
      </c>
      <c r="D103" s="1205">
        <f>'House Count'!C103</f>
        <v/>
      </c>
      <c r="E103" s="1205">
        <f>'House Count'!D103</f>
        <v/>
      </c>
      <c r="F103" s="1205">
        <f>IF(G103="RES-SFU","RESIDENTIAL",IF(G103="RES-HOA","RESIDENTIAL",IF(G103="RES-MDU","RESIDENTIAL",IF(G103="COMM-SU","BUSINESS",IF(G103="COM-MTU","BUSINESS",IF(G103="ENT","BUSINESS",""))))))</f>
        <v/>
      </c>
      <c r="G103" s="1205">
        <f>'House Count'!F103</f>
        <v/>
      </c>
      <c r="H103" s="1205">
        <f>'House Count'!H103</f>
        <v/>
      </c>
    </row>
    <row r="104">
      <c r="A104" s="1204">
        <f>'House Count'!A104</f>
        <v/>
      </c>
      <c r="B104" s="1205">
        <f>'House Count'!E104</f>
        <v/>
      </c>
      <c r="C104" s="1205">
        <f>'House Count'!B104</f>
        <v/>
      </c>
      <c r="D104" s="1205">
        <f>'House Count'!C104</f>
        <v/>
      </c>
      <c r="E104" s="1205">
        <f>'House Count'!D104</f>
        <v/>
      </c>
      <c r="F104" s="1205">
        <f>IF(G104="RES-SFU","RESIDENTIAL",IF(G104="RES-HOA","RESIDENTIAL",IF(G104="RES-MDU","RESIDENTIAL",IF(G104="COMM-SU","BUSINESS",IF(G104="COM-MTU","BUSINESS",IF(G104="ENT","BUSINESS",""))))))</f>
        <v/>
      </c>
      <c r="G104" s="1205">
        <f>'House Count'!F104</f>
        <v/>
      </c>
      <c r="H104" s="1205">
        <f>'House Count'!H104</f>
        <v/>
      </c>
    </row>
    <row r="105">
      <c r="A105" s="1204">
        <f>'House Count'!A105</f>
        <v/>
      </c>
      <c r="B105" s="1205">
        <f>'House Count'!E105</f>
        <v/>
      </c>
      <c r="C105" s="1205">
        <f>'House Count'!B105</f>
        <v/>
      </c>
      <c r="D105" s="1205">
        <f>'House Count'!C105</f>
        <v/>
      </c>
      <c r="E105" s="1205">
        <f>'House Count'!D105</f>
        <v/>
      </c>
      <c r="F105" s="1205">
        <f>IF(G105="RES-SFU","RESIDENTIAL",IF(G105="RES-HOA","RESIDENTIAL",IF(G105="RES-MDU","RESIDENTIAL",IF(G105="COMM-SU","BUSINESS",IF(G105="COM-MTU","BUSINESS",IF(G105="ENT","BUSINESS",""))))))</f>
        <v/>
      </c>
      <c r="G105" s="1205">
        <f>'House Count'!F105</f>
        <v/>
      </c>
      <c r="H105" s="1205">
        <f>'House Count'!H105</f>
        <v/>
      </c>
    </row>
    <row r="106">
      <c r="A106" s="1204">
        <f>'House Count'!A106</f>
        <v/>
      </c>
      <c r="B106" s="1205">
        <f>'House Count'!E106</f>
        <v/>
      </c>
      <c r="C106" s="1205">
        <f>'House Count'!B106</f>
        <v/>
      </c>
      <c r="D106" s="1205">
        <f>'House Count'!C106</f>
        <v/>
      </c>
      <c r="E106" s="1205">
        <f>'House Count'!D106</f>
        <v/>
      </c>
      <c r="F106" s="1205">
        <f>IF(G106="RES-SFU","RESIDENTIAL",IF(G106="RES-HOA","RESIDENTIAL",IF(G106="RES-MDU","RESIDENTIAL",IF(G106="COMM-SU","BUSINESS",IF(G106="COM-MTU","BUSINESS",IF(G106="ENT","BUSINESS",""))))))</f>
        <v/>
      </c>
      <c r="G106" s="1205">
        <f>'House Count'!F106</f>
        <v/>
      </c>
      <c r="H106" s="1205">
        <f>'House Count'!H106</f>
        <v/>
      </c>
    </row>
    <row r="107">
      <c r="A107" s="1204">
        <f>'House Count'!A107</f>
        <v/>
      </c>
      <c r="B107" s="1205">
        <f>'House Count'!E107</f>
        <v/>
      </c>
      <c r="C107" s="1205">
        <f>'House Count'!B107</f>
        <v/>
      </c>
      <c r="D107" s="1205">
        <f>'House Count'!C107</f>
        <v/>
      </c>
      <c r="E107" s="1205">
        <f>'House Count'!D107</f>
        <v/>
      </c>
      <c r="F107" s="1205">
        <f>IF(G107="RES-SFU","RESIDENTIAL",IF(G107="RES-HOA","RESIDENTIAL",IF(G107="RES-MDU","RESIDENTIAL",IF(G107="COMM-SU","BUSINESS",IF(G107="COM-MTU","BUSINESS",IF(G107="ENT","BUSINESS",""))))))</f>
        <v/>
      </c>
      <c r="G107" s="1205">
        <f>'House Count'!F107</f>
        <v/>
      </c>
      <c r="H107" s="1205">
        <f>'House Count'!H107</f>
        <v/>
      </c>
    </row>
    <row r="108">
      <c r="A108" s="1204">
        <f>'House Count'!A108</f>
        <v/>
      </c>
      <c r="B108" s="1205">
        <f>'House Count'!E108</f>
        <v/>
      </c>
      <c r="C108" s="1205">
        <f>'House Count'!B108</f>
        <v/>
      </c>
      <c r="D108" s="1205">
        <f>'House Count'!C108</f>
        <v/>
      </c>
      <c r="E108" s="1205">
        <f>'House Count'!D108</f>
        <v/>
      </c>
      <c r="F108" s="1205">
        <f>IF(G108="RES-SFU","RESIDENTIAL",IF(G108="RES-HOA","RESIDENTIAL",IF(G108="RES-MDU","RESIDENTIAL",IF(G108="COMM-SU","BUSINESS",IF(G108="COM-MTU","BUSINESS",IF(G108="ENT","BUSINESS",""))))))</f>
        <v/>
      </c>
      <c r="G108" s="1205">
        <f>'House Count'!F108</f>
        <v/>
      </c>
      <c r="H108" s="1205">
        <f>'House Count'!H108</f>
        <v/>
      </c>
    </row>
    <row r="109">
      <c r="A109" s="1204">
        <f>'House Count'!A109</f>
        <v/>
      </c>
      <c r="B109" s="1205">
        <f>'House Count'!E109</f>
        <v/>
      </c>
      <c r="C109" s="1205">
        <f>'House Count'!B109</f>
        <v/>
      </c>
      <c r="D109" s="1205">
        <f>'House Count'!C109</f>
        <v/>
      </c>
      <c r="E109" s="1205">
        <f>'House Count'!D109</f>
        <v/>
      </c>
      <c r="F109" s="1205">
        <f>IF(G109="RES-SFU","RESIDENTIAL",IF(G109="RES-HOA","RESIDENTIAL",IF(G109="RES-MDU","RESIDENTIAL",IF(G109="COMM-SU","BUSINESS",IF(G109="COM-MTU","BUSINESS",IF(G109="ENT","BUSINESS",""))))))</f>
        <v/>
      </c>
      <c r="G109" s="1205">
        <f>'House Count'!F109</f>
        <v/>
      </c>
      <c r="H109" s="1205">
        <f>'House Count'!H109</f>
        <v/>
      </c>
    </row>
    <row r="110">
      <c r="A110" s="1204">
        <f>'House Count'!A110</f>
        <v/>
      </c>
      <c r="B110" s="1205">
        <f>'House Count'!E110</f>
        <v/>
      </c>
      <c r="C110" s="1205">
        <f>'House Count'!B110</f>
        <v/>
      </c>
      <c r="D110" s="1205">
        <f>'House Count'!C110</f>
        <v/>
      </c>
      <c r="E110" s="1205">
        <f>'House Count'!D110</f>
        <v/>
      </c>
      <c r="F110" s="1205">
        <f>IF(G110="RES-SFU","RESIDENTIAL",IF(G110="RES-HOA","RESIDENTIAL",IF(G110="RES-MDU","RESIDENTIAL",IF(G110="COMM-SU","BUSINESS",IF(G110="COM-MTU","BUSINESS",IF(G110="ENT","BUSINESS",""))))))</f>
        <v/>
      </c>
      <c r="G110" s="1205">
        <f>'House Count'!F110</f>
        <v/>
      </c>
      <c r="H110" s="1205">
        <f>'House Count'!H110</f>
        <v/>
      </c>
    </row>
    <row r="111">
      <c r="A111" s="1204">
        <f>'House Count'!A111</f>
        <v/>
      </c>
      <c r="B111" s="1205">
        <f>'House Count'!E111</f>
        <v/>
      </c>
      <c r="C111" s="1205">
        <f>'House Count'!B111</f>
        <v/>
      </c>
      <c r="D111" s="1205">
        <f>'House Count'!C111</f>
        <v/>
      </c>
      <c r="E111" s="1205">
        <f>'House Count'!D111</f>
        <v/>
      </c>
      <c r="F111" s="1205">
        <f>IF(G111="RES-SFU","RESIDENTIAL",IF(G111="RES-HOA","RESIDENTIAL",IF(G111="RES-MDU","RESIDENTIAL",IF(G111="COMM-SU","BUSINESS",IF(G111="COM-MTU","BUSINESS",IF(G111="ENT","BUSINESS",""))))))</f>
        <v/>
      </c>
      <c r="G111" s="1205">
        <f>'House Count'!F111</f>
        <v/>
      </c>
      <c r="H111" s="1205">
        <f>'House Count'!H111</f>
        <v/>
      </c>
    </row>
    <row r="112">
      <c r="A112" s="1204">
        <f>'House Count'!A112</f>
        <v/>
      </c>
      <c r="B112" s="1205">
        <f>'House Count'!E112</f>
        <v/>
      </c>
      <c r="C112" s="1205">
        <f>'House Count'!B112</f>
        <v/>
      </c>
      <c r="D112" s="1205">
        <f>'House Count'!C112</f>
        <v/>
      </c>
      <c r="E112" s="1205">
        <f>'House Count'!D112</f>
        <v/>
      </c>
      <c r="F112" s="1205">
        <f>IF(G112="RES-SFU","RESIDENTIAL",IF(G112="RES-HOA","RESIDENTIAL",IF(G112="RES-MDU","RESIDENTIAL",IF(G112="COMM-SU","BUSINESS",IF(G112="COM-MTU","BUSINESS",IF(G112="ENT","BUSINESS",""))))))</f>
        <v/>
      </c>
      <c r="G112" s="1205">
        <f>'House Count'!F112</f>
        <v/>
      </c>
      <c r="H112" s="1205">
        <f>'House Count'!H112</f>
        <v/>
      </c>
    </row>
    <row r="113">
      <c r="A113" s="1204">
        <f>'House Count'!A113</f>
        <v/>
      </c>
      <c r="B113" s="1205">
        <f>'House Count'!E113</f>
        <v/>
      </c>
      <c r="C113" s="1205">
        <f>'House Count'!B113</f>
        <v/>
      </c>
      <c r="D113" s="1205">
        <f>'House Count'!C113</f>
        <v/>
      </c>
      <c r="E113" s="1205">
        <f>'House Count'!D113</f>
        <v/>
      </c>
      <c r="F113" s="1205">
        <f>IF(G113="RES-SFU","RESIDENTIAL",IF(G113="RES-HOA","RESIDENTIAL",IF(G113="RES-MDU","RESIDENTIAL",IF(G113="COMM-SU","BUSINESS",IF(G113="COM-MTU","BUSINESS",IF(G113="ENT","BUSINESS",""))))))</f>
        <v/>
      </c>
      <c r="G113" s="1205">
        <f>'House Count'!F113</f>
        <v/>
      </c>
      <c r="H113" s="1205">
        <f>'House Count'!H113</f>
        <v/>
      </c>
    </row>
    <row r="114">
      <c r="A114" s="1204">
        <f>'House Count'!A114</f>
        <v/>
      </c>
      <c r="B114" s="1205">
        <f>'House Count'!E114</f>
        <v/>
      </c>
      <c r="C114" s="1205">
        <f>'House Count'!B114</f>
        <v/>
      </c>
      <c r="D114" s="1205">
        <f>'House Count'!C114</f>
        <v/>
      </c>
      <c r="E114" s="1205">
        <f>'House Count'!D114</f>
        <v/>
      </c>
      <c r="F114" s="1205">
        <f>IF(G114="RES-SFU","RESIDENTIAL",IF(G114="RES-HOA","RESIDENTIAL",IF(G114="RES-MDU","RESIDENTIAL",IF(G114="COMM-SU","BUSINESS",IF(G114="COM-MTU","BUSINESS",IF(G114="ENT","BUSINESS",""))))))</f>
        <v/>
      </c>
      <c r="G114" s="1205">
        <f>'House Count'!F114</f>
        <v/>
      </c>
      <c r="H114" s="1205">
        <f>'House Count'!H114</f>
        <v/>
      </c>
    </row>
    <row r="115">
      <c r="A115" s="1204">
        <f>'House Count'!A115</f>
        <v/>
      </c>
      <c r="B115" s="1205">
        <f>'House Count'!E115</f>
        <v/>
      </c>
      <c r="C115" s="1205">
        <f>'House Count'!B115</f>
        <v/>
      </c>
      <c r="D115" s="1205">
        <f>'House Count'!C115</f>
        <v/>
      </c>
      <c r="E115" s="1205">
        <f>'House Count'!D115</f>
        <v/>
      </c>
      <c r="F115" s="1205">
        <f>IF(G115="RES-SFU","RESIDENTIAL",IF(G115="RES-HOA","RESIDENTIAL",IF(G115="RES-MDU","RESIDENTIAL",IF(G115="COMM-SU","BUSINESS",IF(G115="COM-MTU","BUSINESS",IF(G115="ENT","BUSINESS",""))))))</f>
        <v/>
      </c>
      <c r="G115" s="1205">
        <f>'House Count'!F115</f>
        <v/>
      </c>
      <c r="H115" s="1205">
        <f>'House Count'!H115</f>
        <v/>
      </c>
    </row>
    <row r="116">
      <c r="A116" s="1204">
        <f>'House Count'!A116</f>
        <v/>
      </c>
      <c r="B116" s="1205">
        <f>'House Count'!E116</f>
        <v/>
      </c>
      <c r="C116" s="1205">
        <f>'House Count'!B116</f>
        <v/>
      </c>
      <c r="D116" s="1205">
        <f>'House Count'!C116</f>
        <v/>
      </c>
      <c r="E116" s="1205">
        <f>'House Count'!D116</f>
        <v/>
      </c>
      <c r="F116" s="1205">
        <f>IF(G116="RES-SFU","RESIDENTIAL",IF(G116="RES-HOA","RESIDENTIAL",IF(G116="RES-MDU","RESIDENTIAL",IF(G116="COMM-SU","BUSINESS",IF(G116="COM-MTU","BUSINESS",IF(G116="ENT","BUSINESS",""))))))</f>
        <v/>
      </c>
      <c r="G116" s="1205">
        <f>'House Count'!F116</f>
        <v/>
      </c>
      <c r="H116" s="1205">
        <f>'House Count'!H116</f>
        <v/>
      </c>
    </row>
    <row r="117">
      <c r="A117" s="1204">
        <f>'House Count'!A117</f>
        <v/>
      </c>
      <c r="B117" s="1205">
        <f>'House Count'!E117</f>
        <v/>
      </c>
      <c r="C117" s="1205">
        <f>'House Count'!B117</f>
        <v/>
      </c>
      <c r="D117" s="1205">
        <f>'House Count'!C117</f>
        <v/>
      </c>
      <c r="E117" s="1205">
        <f>'House Count'!D117</f>
        <v/>
      </c>
      <c r="F117" s="1205">
        <f>IF(G117="RES-SFU","RESIDENTIAL",IF(G117="RES-HOA","RESIDENTIAL",IF(G117="RES-MDU","RESIDENTIAL",IF(G117="COMM-SU","BUSINESS",IF(G117="COM-MTU","BUSINESS",IF(G117="ENT","BUSINESS",""))))))</f>
        <v/>
      </c>
      <c r="G117" s="1205">
        <f>'House Count'!F117</f>
        <v/>
      </c>
      <c r="H117" s="1205">
        <f>'House Count'!H117</f>
        <v/>
      </c>
    </row>
    <row r="118">
      <c r="A118" s="1204">
        <f>'House Count'!A118</f>
        <v/>
      </c>
      <c r="B118" s="1205">
        <f>'House Count'!E118</f>
        <v/>
      </c>
      <c r="C118" s="1205">
        <f>'House Count'!B118</f>
        <v/>
      </c>
      <c r="D118" s="1205">
        <f>'House Count'!C118</f>
        <v/>
      </c>
      <c r="E118" s="1205">
        <f>'House Count'!D118</f>
        <v/>
      </c>
      <c r="F118" s="1205">
        <f>IF(G118="RES-SFU","RESIDENTIAL",IF(G118="RES-HOA","RESIDENTIAL",IF(G118="RES-MDU","RESIDENTIAL",IF(G118="COMM-SU","BUSINESS",IF(G118="COM-MTU","BUSINESS",IF(G118="ENT","BUSINESS",""))))))</f>
        <v/>
      </c>
      <c r="G118" s="1205">
        <f>'House Count'!F118</f>
        <v/>
      </c>
      <c r="H118" s="1205">
        <f>'House Count'!H118</f>
        <v/>
      </c>
    </row>
    <row r="119">
      <c r="A119" s="1204">
        <f>'House Count'!A119</f>
        <v/>
      </c>
      <c r="B119" s="1205">
        <f>'House Count'!E119</f>
        <v/>
      </c>
      <c r="C119" s="1205">
        <f>'House Count'!B119</f>
        <v/>
      </c>
      <c r="D119" s="1205">
        <f>'House Count'!C119</f>
        <v/>
      </c>
      <c r="E119" s="1205">
        <f>'House Count'!D119</f>
        <v/>
      </c>
      <c r="F119" s="1205">
        <f>IF(G119="RES-SFU","RESIDENTIAL",IF(G119="RES-HOA","RESIDENTIAL",IF(G119="RES-MDU","RESIDENTIAL",IF(G119="COMM-SU","BUSINESS",IF(G119="COM-MTU","BUSINESS",IF(G119="ENT","BUSINESS",""))))))</f>
        <v/>
      </c>
      <c r="G119" s="1205">
        <f>'House Count'!F119</f>
        <v/>
      </c>
      <c r="H119" s="1205">
        <f>'House Count'!H119</f>
        <v/>
      </c>
    </row>
    <row r="120">
      <c r="A120" s="1204">
        <f>'House Count'!A120</f>
        <v/>
      </c>
      <c r="B120" s="1205">
        <f>'House Count'!E120</f>
        <v/>
      </c>
      <c r="C120" s="1205">
        <f>'House Count'!B120</f>
        <v/>
      </c>
      <c r="D120" s="1205">
        <f>'House Count'!C120</f>
        <v/>
      </c>
      <c r="E120" s="1205">
        <f>'House Count'!D120</f>
        <v/>
      </c>
      <c r="F120" s="1205">
        <f>IF(G120="RES-SFU","RESIDENTIAL",IF(G120="RES-HOA","RESIDENTIAL",IF(G120="RES-MDU","RESIDENTIAL",IF(G120="COMM-SU","BUSINESS",IF(G120="COM-MTU","BUSINESS",IF(G120="ENT","BUSINESS",""))))))</f>
        <v/>
      </c>
      <c r="G120" s="1205">
        <f>'House Count'!F120</f>
        <v/>
      </c>
      <c r="H120" s="1205">
        <f>'House Count'!H120</f>
        <v/>
      </c>
    </row>
    <row r="121">
      <c r="A121" s="1204">
        <f>'House Count'!A121</f>
        <v/>
      </c>
      <c r="B121" s="1205">
        <f>'House Count'!E121</f>
        <v/>
      </c>
      <c r="C121" s="1205">
        <f>'House Count'!B121</f>
        <v/>
      </c>
      <c r="D121" s="1205">
        <f>'House Count'!C121</f>
        <v/>
      </c>
      <c r="E121" s="1205">
        <f>'House Count'!D121</f>
        <v/>
      </c>
      <c r="F121" s="1205">
        <f>IF(G121="RES-SFU","RESIDENTIAL",IF(G121="RES-HOA","RESIDENTIAL",IF(G121="RES-MDU","RESIDENTIAL",IF(G121="COMM-SU","BUSINESS",IF(G121="COM-MTU","BUSINESS",IF(G121="ENT","BUSINESS",""))))))</f>
        <v/>
      </c>
      <c r="G121" s="1205">
        <f>'House Count'!F121</f>
        <v/>
      </c>
      <c r="H121" s="1205">
        <f>'House Count'!H121</f>
        <v/>
      </c>
    </row>
    <row r="122">
      <c r="A122" s="1204">
        <f>'House Count'!A122</f>
        <v/>
      </c>
      <c r="B122" s="1205">
        <f>'House Count'!E122</f>
        <v/>
      </c>
      <c r="C122" s="1205">
        <f>'House Count'!B122</f>
        <v/>
      </c>
      <c r="D122" s="1205">
        <f>'House Count'!C122</f>
        <v/>
      </c>
      <c r="E122" s="1205">
        <f>'House Count'!D122</f>
        <v/>
      </c>
      <c r="F122" s="1205">
        <f>IF(G122="RES-SFU","RESIDENTIAL",IF(G122="RES-HOA","RESIDENTIAL",IF(G122="RES-MDU","RESIDENTIAL",IF(G122="COMM-SU","BUSINESS",IF(G122="COM-MTU","BUSINESS",IF(G122="ENT","BUSINESS",""))))))</f>
        <v/>
      </c>
      <c r="G122" s="1205">
        <f>'House Count'!F122</f>
        <v/>
      </c>
      <c r="H122" s="1205">
        <f>'House Count'!H122</f>
        <v/>
      </c>
    </row>
    <row r="123">
      <c r="A123" s="1204">
        <f>'House Count'!A123</f>
        <v/>
      </c>
      <c r="B123" s="1205">
        <f>'House Count'!E123</f>
        <v/>
      </c>
      <c r="C123" s="1205">
        <f>'House Count'!B123</f>
        <v/>
      </c>
      <c r="D123" s="1205">
        <f>'House Count'!C123</f>
        <v/>
      </c>
      <c r="E123" s="1205">
        <f>'House Count'!D123</f>
        <v/>
      </c>
      <c r="F123" s="1205">
        <f>IF(G123="RES-SFU","RESIDENTIAL",IF(G123="RES-HOA","RESIDENTIAL",IF(G123="RES-MDU","RESIDENTIAL",IF(G123="COMM-SU","BUSINESS",IF(G123="COM-MTU","BUSINESS",IF(G123="ENT","BUSINESS",""))))))</f>
        <v/>
      </c>
      <c r="G123" s="1205">
        <f>'House Count'!F123</f>
        <v/>
      </c>
      <c r="H123" s="1205">
        <f>'House Count'!H123</f>
        <v/>
      </c>
    </row>
    <row r="124">
      <c r="A124" s="1204">
        <f>'House Count'!A124</f>
        <v/>
      </c>
      <c r="B124" s="1205">
        <f>'House Count'!E124</f>
        <v/>
      </c>
      <c r="C124" s="1205">
        <f>'House Count'!B124</f>
        <v/>
      </c>
      <c r="D124" s="1205">
        <f>'House Count'!C124</f>
        <v/>
      </c>
      <c r="E124" s="1205">
        <f>'House Count'!D124</f>
        <v/>
      </c>
      <c r="F124" s="1205">
        <f>IF(G124="RES-SFU","RESIDENTIAL",IF(G124="RES-HOA","RESIDENTIAL",IF(G124="RES-MDU","RESIDENTIAL",IF(G124="COMM-SU","BUSINESS",IF(G124="COM-MTU","BUSINESS",IF(G124="ENT","BUSINESS",""))))))</f>
        <v/>
      </c>
      <c r="G124" s="1205">
        <f>'House Count'!F124</f>
        <v/>
      </c>
      <c r="H124" s="1205">
        <f>'House Count'!H124</f>
        <v/>
      </c>
    </row>
    <row r="125">
      <c r="A125" s="1204">
        <f>'House Count'!A125</f>
        <v/>
      </c>
      <c r="B125" s="1205">
        <f>'House Count'!E125</f>
        <v/>
      </c>
      <c r="C125" s="1205">
        <f>'House Count'!B125</f>
        <v/>
      </c>
      <c r="D125" s="1205">
        <f>'House Count'!C125</f>
        <v/>
      </c>
      <c r="E125" s="1205">
        <f>'House Count'!D125</f>
        <v/>
      </c>
      <c r="F125" s="1205">
        <f>IF(G125="RES-SFU","RESIDENTIAL",IF(G125="RES-HOA","RESIDENTIAL",IF(G125="RES-MDU","RESIDENTIAL",IF(G125="COMM-SU","BUSINESS",IF(G125="COM-MTU","BUSINESS",IF(G125="ENT","BUSINESS",""))))))</f>
        <v/>
      </c>
      <c r="G125" s="1205">
        <f>'House Count'!F125</f>
        <v/>
      </c>
      <c r="H125" s="1205">
        <f>'House Count'!H125</f>
        <v/>
      </c>
    </row>
    <row r="126">
      <c r="A126" s="1204">
        <f>'House Count'!A126</f>
        <v/>
      </c>
      <c r="B126" s="1205">
        <f>'House Count'!E126</f>
        <v/>
      </c>
      <c r="C126" s="1205">
        <f>'House Count'!B126</f>
        <v/>
      </c>
      <c r="D126" s="1205">
        <f>'House Count'!C126</f>
        <v/>
      </c>
      <c r="E126" s="1205">
        <f>'House Count'!D126</f>
        <v/>
      </c>
      <c r="F126" s="1205">
        <f>IF(G126="RES-SFU","RESIDENTIAL",IF(G126="RES-HOA","RESIDENTIAL",IF(G126="RES-MDU","RESIDENTIAL",IF(G126="COMM-SU","BUSINESS",IF(G126="COM-MTU","BUSINESS",IF(G126="ENT","BUSINESS",""))))))</f>
        <v/>
      </c>
      <c r="G126" s="1205">
        <f>'House Count'!F126</f>
        <v/>
      </c>
      <c r="H126" s="1205">
        <f>'House Count'!H126</f>
        <v/>
      </c>
    </row>
    <row r="127">
      <c r="A127" s="1204">
        <f>'House Count'!A127</f>
        <v/>
      </c>
      <c r="B127" s="1205">
        <f>'House Count'!E127</f>
        <v/>
      </c>
      <c r="C127" s="1205">
        <f>'House Count'!B127</f>
        <v/>
      </c>
      <c r="D127" s="1205">
        <f>'House Count'!C127</f>
        <v/>
      </c>
      <c r="E127" s="1205">
        <f>'House Count'!D127</f>
        <v/>
      </c>
      <c r="F127" s="1205">
        <f>IF(G127="RES-SFU","RESIDENTIAL",IF(G127="RES-HOA","RESIDENTIAL",IF(G127="RES-MDU","RESIDENTIAL",IF(G127="COMM-SU","BUSINESS",IF(G127="COM-MTU","BUSINESS",IF(G127="ENT","BUSINESS",""))))))</f>
        <v/>
      </c>
      <c r="G127" s="1205">
        <f>'House Count'!F127</f>
        <v/>
      </c>
      <c r="H127" s="1205">
        <f>'House Count'!H127</f>
        <v/>
      </c>
    </row>
    <row r="128">
      <c r="A128" s="1204">
        <f>'House Count'!A128</f>
        <v/>
      </c>
      <c r="B128" s="1205">
        <f>'House Count'!E128</f>
        <v/>
      </c>
      <c r="C128" s="1205">
        <f>'House Count'!B128</f>
        <v/>
      </c>
      <c r="D128" s="1205">
        <f>'House Count'!C128</f>
        <v/>
      </c>
      <c r="E128" s="1205">
        <f>'House Count'!D128</f>
        <v/>
      </c>
      <c r="F128" s="1205">
        <f>IF(G128="RES-SFU","RESIDENTIAL",IF(G128="RES-HOA","RESIDENTIAL",IF(G128="RES-MDU","RESIDENTIAL",IF(G128="COMM-SU","BUSINESS",IF(G128="COM-MTU","BUSINESS",IF(G128="ENT","BUSINESS",""))))))</f>
        <v/>
      </c>
      <c r="G128" s="1205">
        <f>'House Count'!F128</f>
        <v/>
      </c>
      <c r="H128" s="1205">
        <f>'House Count'!H128</f>
        <v/>
      </c>
    </row>
    <row r="129">
      <c r="A129" s="1204">
        <f>'House Count'!A129</f>
        <v/>
      </c>
      <c r="B129" s="1205">
        <f>'House Count'!E129</f>
        <v/>
      </c>
      <c r="C129" s="1205">
        <f>'House Count'!B129</f>
        <v/>
      </c>
      <c r="D129" s="1205">
        <f>'House Count'!C129</f>
        <v/>
      </c>
      <c r="E129" s="1205">
        <f>'House Count'!D129</f>
        <v/>
      </c>
      <c r="F129" s="1205">
        <f>IF(G129="RES-SFU","RESIDENTIAL",IF(G129="RES-HOA","RESIDENTIAL",IF(G129="RES-MDU","RESIDENTIAL",IF(G129="COMM-SU","BUSINESS",IF(G129="COM-MTU","BUSINESS",IF(G129="ENT","BUSINESS",""))))))</f>
        <v/>
      </c>
      <c r="G129" s="1205">
        <f>'House Count'!F129</f>
        <v/>
      </c>
      <c r="H129" s="1205">
        <f>'House Count'!H129</f>
        <v/>
      </c>
    </row>
    <row r="130">
      <c r="A130" s="1204">
        <f>'House Count'!A130</f>
        <v/>
      </c>
      <c r="B130" s="1205">
        <f>'House Count'!E130</f>
        <v/>
      </c>
      <c r="C130" s="1205">
        <f>'House Count'!B130</f>
        <v/>
      </c>
      <c r="D130" s="1205">
        <f>'House Count'!C130</f>
        <v/>
      </c>
      <c r="E130" s="1205">
        <f>'House Count'!D130</f>
        <v/>
      </c>
      <c r="F130" s="1205">
        <f>IF(G130="RES-SFU","RESIDENTIAL",IF(G130="RES-HOA","RESIDENTIAL",IF(G130="RES-MDU","RESIDENTIAL",IF(G130="COMM-SU","BUSINESS",IF(G130="COM-MTU","BUSINESS",IF(G130="ENT","BUSINESS",""))))))</f>
        <v/>
      </c>
      <c r="G130" s="1205">
        <f>'House Count'!F130</f>
        <v/>
      </c>
      <c r="H130" s="1205">
        <f>'House Count'!H130</f>
        <v/>
      </c>
    </row>
    <row r="131">
      <c r="A131" s="1204">
        <f>'House Count'!A131</f>
        <v/>
      </c>
      <c r="B131" s="1205">
        <f>'House Count'!E131</f>
        <v/>
      </c>
      <c r="C131" s="1205">
        <f>'House Count'!B131</f>
        <v/>
      </c>
      <c r="D131" s="1205">
        <f>'House Count'!C131</f>
        <v/>
      </c>
      <c r="E131" s="1205">
        <f>'House Count'!D131</f>
        <v/>
      </c>
      <c r="F131" s="1205">
        <f>IF(G131="RES-SFU","RESIDENTIAL",IF(G131="RES-HOA","RESIDENTIAL",IF(G131="RES-MDU","RESIDENTIAL",IF(G131="COMM-SU","BUSINESS",IF(G131="COM-MTU","BUSINESS",IF(G131="ENT","BUSINESS",""))))))</f>
        <v/>
      </c>
      <c r="G131" s="1205">
        <f>'House Count'!F131</f>
        <v/>
      </c>
      <c r="H131" s="1205">
        <f>'House Count'!H131</f>
        <v/>
      </c>
    </row>
    <row r="132">
      <c r="A132" s="1204">
        <f>'House Count'!A132</f>
        <v/>
      </c>
      <c r="B132" s="1205">
        <f>'House Count'!E132</f>
        <v/>
      </c>
      <c r="C132" s="1205">
        <f>'House Count'!B132</f>
        <v/>
      </c>
      <c r="D132" s="1205">
        <f>'House Count'!C132</f>
        <v/>
      </c>
      <c r="E132" s="1205">
        <f>'House Count'!D132</f>
        <v/>
      </c>
      <c r="F132" s="1205">
        <f>IF(G132="RES-SFU","RESIDENTIAL",IF(G132="RES-HOA","RESIDENTIAL",IF(G132="RES-MDU","RESIDENTIAL",IF(G132="COMM-SU","BUSINESS",IF(G132="COM-MTU","BUSINESS",IF(G132="ENT","BUSINESS",""))))))</f>
        <v/>
      </c>
      <c r="G132" s="1205">
        <f>'House Count'!F132</f>
        <v/>
      </c>
      <c r="H132" s="1205">
        <f>'House Count'!H132</f>
        <v/>
      </c>
    </row>
    <row r="133">
      <c r="A133" s="1204">
        <f>'House Count'!A133</f>
        <v/>
      </c>
      <c r="B133" s="1205">
        <f>'House Count'!E133</f>
        <v/>
      </c>
      <c r="C133" s="1205">
        <f>'House Count'!B133</f>
        <v/>
      </c>
      <c r="D133" s="1205">
        <f>'House Count'!C133</f>
        <v/>
      </c>
      <c r="E133" s="1205">
        <f>'House Count'!D133</f>
        <v/>
      </c>
      <c r="F133" s="1205">
        <f>IF(G133="RES-SFU","RESIDENTIAL",IF(G133="RES-HOA","RESIDENTIAL",IF(G133="RES-MDU","RESIDENTIAL",IF(G133="COMM-SU","BUSINESS",IF(G133="COM-MTU","BUSINESS",IF(G133="ENT","BUSINESS",""))))))</f>
        <v/>
      </c>
      <c r="G133" s="1205">
        <f>'House Count'!F133</f>
        <v/>
      </c>
      <c r="H133" s="1205">
        <f>'House Count'!H133</f>
        <v/>
      </c>
    </row>
    <row r="134">
      <c r="A134" s="1204">
        <f>'House Count'!A134</f>
        <v/>
      </c>
      <c r="B134" s="1205">
        <f>'House Count'!E134</f>
        <v/>
      </c>
      <c r="C134" s="1205">
        <f>'House Count'!B134</f>
        <v/>
      </c>
      <c r="D134" s="1205">
        <f>'House Count'!C134</f>
        <v/>
      </c>
      <c r="E134" s="1205">
        <f>'House Count'!D134</f>
        <v/>
      </c>
      <c r="F134" s="1205">
        <f>IF(G134="RES-SFU","RESIDENTIAL",IF(G134="RES-HOA","RESIDENTIAL",IF(G134="RES-MDU","RESIDENTIAL",IF(G134="COMM-SU","BUSINESS",IF(G134="COM-MTU","BUSINESS",IF(G134="ENT","BUSINESS",""))))))</f>
        <v/>
      </c>
      <c r="G134" s="1205">
        <f>'House Count'!F134</f>
        <v/>
      </c>
      <c r="H134" s="1205">
        <f>'House Count'!H134</f>
        <v/>
      </c>
    </row>
    <row r="135">
      <c r="A135" s="1204">
        <f>'House Count'!A135</f>
        <v/>
      </c>
      <c r="B135" s="1205">
        <f>'House Count'!E135</f>
        <v/>
      </c>
      <c r="C135" s="1205">
        <f>'House Count'!B135</f>
        <v/>
      </c>
      <c r="D135" s="1205">
        <f>'House Count'!C135</f>
        <v/>
      </c>
      <c r="E135" s="1205">
        <f>'House Count'!D135</f>
        <v/>
      </c>
      <c r="F135" s="1205">
        <f>IF(G135="RES-SFU","RESIDENTIAL",IF(G135="RES-HOA","RESIDENTIAL",IF(G135="RES-MDU","RESIDENTIAL",IF(G135="COMM-SU","BUSINESS",IF(G135="COM-MTU","BUSINESS",IF(G135="ENT","BUSINESS",""))))))</f>
        <v/>
      </c>
      <c r="G135" s="1205">
        <f>'House Count'!F135</f>
        <v/>
      </c>
      <c r="H135" s="1205">
        <f>'House Count'!H135</f>
        <v/>
      </c>
    </row>
    <row r="136">
      <c r="A136" s="1204">
        <f>'House Count'!A136</f>
        <v/>
      </c>
      <c r="B136" s="1205">
        <f>'House Count'!E136</f>
        <v/>
      </c>
      <c r="C136" s="1205">
        <f>'House Count'!B136</f>
        <v/>
      </c>
      <c r="D136" s="1205">
        <f>'House Count'!C136</f>
        <v/>
      </c>
      <c r="E136" s="1205">
        <f>'House Count'!D136</f>
        <v/>
      </c>
      <c r="F136" s="1205">
        <f>IF(G136="RES-SFU","RESIDENTIAL",IF(G136="RES-HOA","RESIDENTIAL",IF(G136="RES-MDU","RESIDENTIAL",IF(G136="COMM-SU","BUSINESS",IF(G136="COM-MTU","BUSINESS",IF(G136="ENT","BUSINESS",""))))))</f>
        <v/>
      </c>
      <c r="G136" s="1205">
        <f>'House Count'!F136</f>
        <v/>
      </c>
      <c r="H136" s="1205">
        <f>'House Count'!H136</f>
        <v/>
      </c>
    </row>
    <row r="137">
      <c r="A137" s="1204">
        <f>'House Count'!A137</f>
        <v/>
      </c>
      <c r="B137" s="1205">
        <f>'House Count'!E137</f>
        <v/>
      </c>
      <c r="C137" s="1205">
        <f>'House Count'!B137</f>
        <v/>
      </c>
      <c r="D137" s="1205">
        <f>'House Count'!C137</f>
        <v/>
      </c>
      <c r="E137" s="1205">
        <f>'House Count'!D137</f>
        <v/>
      </c>
      <c r="F137" s="1205">
        <f>IF(G137="RES-SFU","RESIDENTIAL",IF(G137="RES-HOA","RESIDENTIAL",IF(G137="RES-MDU","RESIDENTIAL",IF(G137="COMM-SU","BUSINESS",IF(G137="COM-MTU","BUSINESS",IF(G137="ENT","BUSINESS",""))))))</f>
        <v/>
      </c>
      <c r="G137" s="1205">
        <f>'House Count'!F137</f>
        <v/>
      </c>
      <c r="H137" s="1205">
        <f>'House Count'!H137</f>
        <v/>
      </c>
    </row>
    <row r="138">
      <c r="A138" s="1204">
        <f>'House Count'!A138</f>
        <v/>
      </c>
      <c r="B138" s="1205">
        <f>'House Count'!E138</f>
        <v/>
      </c>
      <c r="C138" s="1205">
        <f>'House Count'!B138</f>
        <v/>
      </c>
      <c r="D138" s="1205">
        <f>'House Count'!C138</f>
        <v/>
      </c>
      <c r="E138" s="1205">
        <f>'House Count'!D138</f>
        <v/>
      </c>
      <c r="F138" s="1205">
        <f>IF(G138="RES-SFU","RESIDENTIAL",IF(G138="RES-HOA","RESIDENTIAL",IF(G138="RES-MDU","RESIDENTIAL",IF(G138="COMM-SU","BUSINESS",IF(G138="COM-MTU","BUSINESS",IF(G138="ENT","BUSINESS",""))))))</f>
        <v/>
      </c>
      <c r="G138" s="1205">
        <f>'House Count'!F138</f>
        <v/>
      </c>
      <c r="H138" s="1205">
        <f>'House Count'!H138</f>
        <v/>
      </c>
    </row>
    <row r="139">
      <c r="A139" s="1204">
        <f>'House Count'!A139</f>
        <v/>
      </c>
      <c r="B139" s="1205">
        <f>'House Count'!E139</f>
        <v/>
      </c>
      <c r="C139" s="1205">
        <f>'House Count'!B139</f>
        <v/>
      </c>
      <c r="D139" s="1205">
        <f>'House Count'!C139</f>
        <v/>
      </c>
      <c r="E139" s="1205">
        <f>'House Count'!D139</f>
        <v/>
      </c>
      <c r="F139" s="1205">
        <f>IF(G139="RES-SFU","RESIDENTIAL",IF(G139="RES-HOA","RESIDENTIAL",IF(G139="RES-MDU","RESIDENTIAL",IF(G139="COMM-SU","BUSINESS",IF(G139="COM-MTU","BUSINESS",IF(G139="ENT","BUSINESS",""))))))</f>
        <v/>
      </c>
      <c r="G139" s="1205">
        <f>'House Count'!F139</f>
        <v/>
      </c>
      <c r="H139" s="1205">
        <f>'House Count'!H139</f>
        <v/>
      </c>
    </row>
    <row r="140">
      <c r="A140" s="1204">
        <f>'House Count'!A140</f>
        <v/>
      </c>
      <c r="B140" s="1205">
        <f>'House Count'!E140</f>
        <v/>
      </c>
      <c r="C140" s="1205">
        <f>'House Count'!B140</f>
        <v/>
      </c>
      <c r="D140" s="1205">
        <f>'House Count'!C140</f>
        <v/>
      </c>
      <c r="E140" s="1205">
        <f>'House Count'!D140</f>
        <v/>
      </c>
      <c r="F140" s="1205">
        <f>IF(G140="RES-SFU","RESIDENTIAL",IF(G140="RES-HOA","RESIDENTIAL",IF(G140="RES-MDU","RESIDENTIAL",IF(G140="COMM-SU","BUSINESS",IF(G140="COM-MTU","BUSINESS",IF(G140="ENT","BUSINESS",""))))))</f>
        <v/>
      </c>
      <c r="G140" s="1205">
        <f>'House Count'!F140</f>
        <v/>
      </c>
      <c r="H140" s="1205">
        <f>'House Count'!H140</f>
        <v/>
      </c>
    </row>
    <row r="141">
      <c r="A141" s="1204">
        <f>'House Count'!A141</f>
        <v/>
      </c>
      <c r="B141" s="1205">
        <f>'House Count'!E141</f>
        <v/>
      </c>
      <c r="C141" s="1205">
        <f>'House Count'!B141</f>
        <v/>
      </c>
      <c r="D141" s="1205">
        <f>'House Count'!C141</f>
        <v/>
      </c>
      <c r="E141" s="1205">
        <f>'House Count'!D141</f>
        <v/>
      </c>
      <c r="F141" s="1205">
        <f>IF(G141="RES-SFU","RESIDENTIAL",IF(G141="RES-HOA","RESIDENTIAL",IF(G141="RES-MDU","RESIDENTIAL",IF(G141="COMM-SU","BUSINESS",IF(G141="COM-MTU","BUSINESS",IF(G141="ENT","BUSINESS",""))))))</f>
        <v/>
      </c>
      <c r="G141" s="1205">
        <f>'House Count'!F141</f>
        <v/>
      </c>
      <c r="H141" s="1205">
        <f>'House Count'!H141</f>
        <v/>
      </c>
    </row>
    <row r="142">
      <c r="A142" s="1204">
        <f>'House Count'!A142</f>
        <v/>
      </c>
      <c r="B142" s="1205">
        <f>'House Count'!E142</f>
        <v/>
      </c>
      <c r="C142" s="1205">
        <f>'House Count'!B142</f>
        <v/>
      </c>
      <c r="D142" s="1205">
        <f>'House Count'!C142</f>
        <v/>
      </c>
      <c r="E142" s="1205">
        <f>'House Count'!D142</f>
        <v/>
      </c>
      <c r="F142" s="1205">
        <f>IF(G142="RES-SFU","RESIDENTIAL",IF(G142="RES-HOA","RESIDENTIAL",IF(G142="RES-MDU","RESIDENTIAL",IF(G142="COMM-SU","BUSINESS",IF(G142="COM-MTU","BUSINESS",IF(G142="ENT","BUSINESS",""))))))</f>
        <v/>
      </c>
      <c r="G142" s="1205">
        <f>'House Count'!F142</f>
        <v/>
      </c>
      <c r="H142" s="1205">
        <f>'House Count'!H142</f>
        <v/>
      </c>
    </row>
    <row r="143">
      <c r="A143" s="1204">
        <f>'House Count'!A143</f>
        <v/>
      </c>
      <c r="B143" s="1205">
        <f>'House Count'!E143</f>
        <v/>
      </c>
      <c r="C143" s="1205">
        <f>'House Count'!B143</f>
        <v/>
      </c>
      <c r="D143" s="1205">
        <f>'House Count'!C143</f>
        <v/>
      </c>
      <c r="E143" s="1205">
        <f>'House Count'!D143</f>
        <v/>
      </c>
      <c r="F143" s="1205">
        <f>IF(G143="RES-SFU","RESIDENTIAL",IF(G143="RES-HOA","RESIDENTIAL",IF(G143="RES-MDU","RESIDENTIAL",IF(G143="COMM-SU","BUSINESS",IF(G143="COM-MTU","BUSINESS",IF(G143="ENT","BUSINESS",""))))))</f>
        <v/>
      </c>
      <c r="G143" s="1205">
        <f>'House Count'!F143</f>
        <v/>
      </c>
      <c r="H143" s="1205">
        <f>'House Count'!H143</f>
        <v/>
      </c>
    </row>
    <row r="144">
      <c r="A144" s="1204">
        <f>'House Count'!A144</f>
        <v/>
      </c>
      <c r="B144" s="1205">
        <f>'House Count'!E144</f>
        <v/>
      </c>
      <c r="C144" s="1205">
        <f>'House Count'!B144</f>
        <v/>
      </c>
      <c r="D144" s="1205">
        <f>'House Count'!C144</f>
        <v/>
      </c>
      <c r="E144" s="1205">
        <f>'House Count'!D144</f>
        <v/>
      </c>
      <c r="F144" s="1205">
        <f>IF(G144="RES-SFU","RESIDENTIAL",IF(G144="RES-HOA","RESIDENTIAL",IF(G144="RES-MDU","RESIDENTIAL",IF(G144="COMM-SU","BUSINESS",IF(G144="COM-MTU","BUSINESS",IF(G144="ENT","BUSINESS",""))))))</f>
        <v/>
      </c>
      <c r="G144" s="1205">
        <f>'House Count'!F144</f>
        <v/>
      </c>
      <c r="H144" s="1205">
        <f>'House Count'!H144</f>
        <v/>
      </c>
    </row>
    <row r="145">
      <c r="A145" s="1204">
        <f>'House Count'!A145</f>
        <v/>
      </c>
      <c r="B145" s="1205">
        <f>'House Count'!E145</f>
        <v/>
      </c>
      <c r="C145" s="1205">
        <f>'House Count'!B145</f>
        <v/>
      </c>
      <c r="D145" s="1205">
        <f>'House Count'!C145</f>
        <v/>
      </c>
      <c r="E145" s="1205">
        <f>'House Count'!D145</f>
        <v/>
      </c>
      <c r="F145" s="1205">
        <f>IF(G145="RES-SFU","RESIDENTIAL",IF(G145="RES-HOA","RESIDENTIAL",IF(G145="RES-MDU","RESIDENTIAL",IF(G145="COMM-SU","BUSINESS",IF(G145="COM-MTU","BUSINESS",IF(G145="ENT","BUSINESS",""))))))</f>
        <v/>
      </c>
      <c r="G145" s="1205">
        <f>'House Count'!F145</f>
        <v/>
      </c>
      <c r="H145" s="1205">
        <f>'House Count'!H145</f>
        <v/>
      </c>
    </row>
    <row r="146">
      <c r="A146" s="1204">
        <f>'House Count'!A146</f>
        <v/>
      </c>
      <c r="B146" s="1205">
        <f>'House Count'!E146</f>
        <v/>
      </c>
      <c r="C146" s="1205">
        <f>'House Count'!B146</f>
        <v/>
      </c>
      <c r="D146" s="1205">
        <f>'House Count'!C146</f>
        <v/>
      </c>
      <c r="E146" s="1205">
        <f>'House Count'!D146</f>
        <v/>
      </c>
      <c r="F146" s="1205">
        <f>IF(G146="RES-SFU","RESIDENTIAL",IF(G146="RES-HOA","RESIDENTIAL",IF(G146="RES-MDU","RESIDENTIAL",IF(G146="COMM-SU","BUSINESS",IF(G146="COM-MTU","BUSINESS",IF(G146="ENT","BUSINESS",""))))))</f>
        <v/>
      </c>
      <c r="G146" s="1205">
        <f>'House Count'!F146</f>
        <v/>
      </c>
      <c r="H146" s="1205">
        <f>'House Count'!H146</f>
        <v/>
      </c>
    </row>
    <row r="147">
      <c r="A147" s="1204">
        <f>'House Count'!A147</f>
        <v/>
      </c>
      <c r="B147" s="1205">
        <f>'House Count'!E147</f>
        <v/>
      </c>
      <c r="C147" s="1205">
        <f>'House Count'!B147</f>
        <v/>
      </c>
      <c r="D147" s="1205">
        <f>'House Count'!C147</f>
        <v/>
      </c>
      <c r="E147" s="1205">
        <f>'House Count'!D147</f>
        <v/>
      </c>
      <c r="F147" s="1205">
        <f>IF(G147="RES-SFU","RESIDENTIAL",IF(G147="RES-HOA","RESIDENTIAL",IF(G147="RES-MDU","RESIDENTIAL",IF(G147="COMM-SU","BUSINESS",IF(G147="COM-MTU","BUSINESS",IF(G147="ENT","BUSINESS",""))))))</f>
        <v/>
      </c>
      <c r="G147" s="1205">
        <f>'House Count'!F147</f>
        <v/>
      </c>
      <c r="H147" s="1205">
        <f>'House Count'!H147</f>
        <v/>
      </c>
    </row>
    <row r="148">
      <c r="A148" s="1204">
        <f>'House Count'!A148</f>
        <v/>
      </c>
      <c r="B148" s="1205">
        <f>'House Count'!E148</f>
        <v/>
      </c>
      <c r="C148" s="1205">
        <f>'House Count'!B148</f>
        <v/>
      </c>
      <c r="D148" s="1205">
        <f>'House Count'!C148</f>
        <v/>
      </c>
      <c r="E148" s="1205">
        <f>'House Count'!D148</f>
        <v/>
      </c>
      <c r="F148" s="1205">
        <f>IF(G148="RES-SFU","RESIDENTIAL",IF(G148="RES-HOA","RESIDENTIAL",IF(G148="RES-MDU","RESIDENTIAL",IF(G148="COMM-SU","BUSINESS",IF(G148="COM-MTU","BUSINESS",IF(G148="ENT","BUSINESS",""))))))</f>
        <v/>
      </c>
      <c r="G148" s="1205">
        <f>'House Count'!F148</f>
        <v/>
      </c>
      <c r="H148" s="1205">
        <f>'House Count'!H148</f>
        <v/>
      </c>
    </row>
    <row r="149">
      <c r="A149" s="1204">
        <f>'House Count'!A149</f>
        <v/>
      </c>
      <c r="B149" s="1205">
        <f>'House Count'!E149</f>
        <v/>
      </c>
      <c r="C149" s="1205">
        <f>'House Count'!B149</f>
        <v/>
      </c>
      <c r="D149" s="1205">
        <f>'House Count'!C149</f>
        <v/>
      </c>
      <c r="E149" s="1205">
        <f>'House Count'!D149</f>
        <v/>
      </c>
      <c r="F149" s="1205">
        <f>IF(G149="RES-SFU","RESIDENTIAL",IF(G149="RES-HOA","RESIDENTIAL",IF(G149="RES-MDU","RESIDENTIAL",IF(G149="COMM-SU","BUSINESS",IF(G149="COM-MTU","BUSINESS",IF(G149="ENT","BUSINESS",""))))))</f>
        <v/>
      </c>
      <c r="G149" s="1205">
        <f>'House Count'!F149</f>
        <v/>
      </c>
      <c r="H149" s="1205">
        <f>'House Count'!H149</f>
        <v/>
      </c>
    </row>
    <row r="150">
      <c r="A150" s="1204">
        <f>'House Count'!A150</f>
        <v/>
      </c>
      <c r="B150" s="1205">
        <f>'House Count'!E150</f>
        <v/>
      </c>
      <c r="C150" s="1205">
        <f>'House Count'!B150</f>
        <v/>
      </c>
      <c r="D150" s="1205">
        <f>'House Count'!C150</f>
        <v/>
      </c>
      <c r="E150" s="1205">
        <f>'House Count'!D150</f>
        <v/>
      </c>
      <c r="F150" s="1205">
        <f>IF(G150="RES-SFU","RESIDENTIAL",IF(G150="RES-HOA","RESIDENTIAL",IF(G150="RES-MDU","RESIDENTIAL",IF(G150="COMM-SU","BUSINESS",IF(G150="COM-MTU","BUSINESS",IF(G150="ENT","BUSINESS",""))))))</f>
        <v/>
      </c>
      <c r="G150" s="1205">
        <f>'House Count'!F150</f>
        <v/>
      </c>
      <c r="H150" s="1205">
        <f>'House Count'!H150</f>
        <v/>
      </c>
    </row>
    <row r="151">
      <c r="A151" s="1204">
        <f>'House Count'!A151</f>
        <v/>
      </c>
      <c r="B151" s="1205">
        <f>'House Count'!E151</f>
        <v/>
      </c>
      <c r="C151" s="1205">
        <f>'House Count'!B151</f>
        <v/>
      </c>
      <c r="D151" s="1205">
        <f>'House Count'!C151</f>
        <v/>
      </c>
      <c r="E151" s="1205">
        <f>'House Count'!D151</f>
        <v/>
      </c>
      <c r="F151" s="1205">
        <f>IF(G151="RES-SFU","RESIDENTIAL",IF(G151="RES-HOA","RESIDENTIAL",IF(G151="RES-MDU","RESIDENTIAL",IF(G151="COMM-SU","BUSINESS",IF(G151="COM-MTU","BUSINESS",IF(G151="ENT","BUSINESS",""))))))</f>
        <v/>
      </c>
      <c r="G151" s="1205">
        <f>'House Count'!F151</f>
        <v/>
      </c>
      <c r="H151" s="1205">
        <f>'House Count'!H151</f>
        <v/>
      </c>
    </row>
    <row r="152">
      <c r="A152" s="1204">
        <f>'House Count'!A152</f>
        <v/>
      </c>
      <c r="B152" s="1205">
        <f>'House Count'!E152</f>
        <v/>
      </c>
      <c r="C152" s="1205">
        <f>'House Count'!B152</f>
        <v/>
      </c>
      <c r="D152" s="1205">
        <f>'House Count'!C152</f>
        <v/>
      </c>
      <c r="E152" s="1205">
        <f>'House Count'!D152</f>
        <v/>
      </c>
      <c r="F152" s="1205">
        <f>IF(G152="RES-SFU","RESIDENTIAL",IF(G152="RES-HOA","RESIDENTIAL",IF(G152="RES-MDU","RESIDENTIAL",IF(G152="COMM-SU","BUSINESS",IF(G152="COM-MTU","BUSINESS",IF(G152="ENT","BUSINESS",""))))))</f>
        <v/>
      </c>
      <c r="G152" s="1205">
        <f>'House Count'!F152</f>
        <v/>
      </c>
      <c r="H152" s="1205">
        <f>'House Count'!H152</f>
        <v/>
      </c>
    </row>
    <row r="153">
      <c r="A153" s="1204">
        <f>'House Count'!A153</f>
        <v/>
      </c>
      <c r="B153" s="1205">
        <f>'House Count'!E153</f>
        <v/>
      </c>
      <c r="C153" s="1205">
        <f>'House Count'!B153</f>
        <v/>
      </c>
      <c r="D153" s="1205">
        <f>'House Count'!C153</f>
        <v/>
      </c>
      <c r="E153" s="1205">
        <f>'House Count'!D153</f>
        <v/>
      </c>
      <c r="F153" s="1205">
        <f>IF(G153="RES-SFU","RESIDENTIAL",IF(G153="RES-HOA","RESIDENTIAL",IF(G153="RES-MDU","RESIDENTIAL",IF(G153="COMM-SU","BUSINESS",IF(G153="COM-MTU","BUSINESS",IF(G153="ENT","BUSINESS",""))))))</f>
        <v/>
      </c>
      <c r="G153" s="1205">
        <f>'House Count'!F153</f>
        <v/>
      </c>
      <c r="H153" s="1205">
        <f>'House Count'!H153</f>
        <v/>
      </c>
    </row>
    <row r="154">
      <c r="A154" s="1204">
        <f>'House Count'!A154</f>
        <v/>
      </c>
      <c r="B154" s="1205">
        <f>'House Count'!E154</f>
        <v/>
      </c>
      <c r="C154" s="1205">
        <f>'House Count'!B154</f>
        <v/>
      </c>
      <c r="D154" s="1205">
        <f>'House Count'!C154</f>
        <v/>
      </c>
      <c r="E154" s="1205">
        <f>'House Count'!D154</f>
        <v/>
      </c>
      <c r="F154" s="1205">
        <f>IF(G154="RES-SFU","RESIDENTIAL",IF(G154="RES-HOA","RESIDENTIAL",IF(G154="RES-MDU","RESIDENTIAL",IF(G154="COMM-SU","BUSINESS",IF(G154="COM-MTU","BUSINESS",IF(G154="ENT","BUSINESS",""))))))</f>
        <v/>
      </c>
      <c r="G154" s="1205">
        <f>'House Count'!F154</f>
        <v/>
      </c>
      <c r="H154" s="1205">
        <f>'House Count'!H154</f>
        <v/>
      </c>
    </row>
    <row r="155">
      <c r="A155" s="1204">
        <f>'House Count'!A155</f>
        <v/>
      </c>
      <c r="B155" s="1205">
        <f>'House Count'!E155</f>
        <v/>
      </c>
      <c r="C155" s="1205">
        <f>'House Count'!B155</f>
        <v/>
      </c>
      <c r="D155" s="1205">
        <f>'House Count'!C155</f>
        <v/>
      </c>
      <c r="E155" s="1205">
        <f>'House Count'!D155</f>
        <v/>
      </c>
      <c r="F155" s="1205">
        <f>IF(G155="RES-SFU","RESIDENTIAL",IF(G155="RES-HOA","RESIDENTIAL",IF(G155="RES-MDU","RESIDENTIAL",IF(G155="COMM-SU","BUSINESS",IF(G155="COM-MTU","BUSINESS",IF(G155="ENT","BUSINESS",""))))))</f>
        <v/>
      </c>
      <c r="G155" s="1205">
        <f>'House Count'!F155</f>
        <v/>
      </c>
      <c r="H155" s="1205">
        <f>'House Count'!H155</f>
        <v/>
      </c>
    </row>
    <row r="156">
      <c r="A156" s="1204">
        <f>'House Count'!A156</f>
        <v/>
      </c>
      <c r="B156" s="1205">
        <f>'House Count'!E156</f>
        <v/>
      </c>
      <c r="C156" s="1205">
        <f>'House Count'!B156</f>
        <v/>
      </c>
      <c r="D156" s="1205">
        <f>'House Count'!C156</f>
        <v/>
      </c>
      <c r="E156" s="1205">
        <f>'House Count'!D156</f>
        <v/>
      </c>
      <c r="F156" s="1205">
        <f>IF(G156="RES-SFU","RESIDENTIAL",IF(G156="RES-HOA","RESIDENTIAL",IF(G156="RES-MDU","RESIDENTIAL",IF(G156="COMM-SU","BUSINESS",IF(G156="COM-MTU","BUSINESS",IF(G156="ENT","BUSINESS",""))))))</f>
        <v/>
      </c>
      <c r="G156" s="1205">
        <f>'House Count'!F156</f>
        <v/>
      </c>
      <c r="H156" s="1205">
        <f>'House Count'!H156</f>
        <v/>
      </c>
    </row>
    <row r="157">
      <c r="A157" s="1204">
        <f>'House Count'!A157</f>
        <v/>
      </c>
      <c r="B157" s="1205">
        <f>'House Count'!E157</f>
        <v/>
      </c>
      <c r="C157" s="1205">
        <f>'House Count'!B157</f>
        <v/>
      </c>
      <c r="D157" s="1205">
        <f>'House Count'!C157</f>
        <v/>
      </c>
      <c r="E157" s="1205">
        <f>'House Count'!D157</f>
        <v/>
      </c>
      <c r="F157" s="1205">
        <f>IF(G157="RES-SFU","RESIDENTIAL",IF(G157="RES-HOA","RESIDENTIAL",IF(G157="RES-MDU","RESIDENTIAL",IF(G157="COMM-SU","BUSINESS",IF(G157="COM-MTU","BUSINESS",IF(G157="ENT","BUSINESS",""))))))</f>
        <v/>
      </c>
      <c r="G157" s="1205">
        <f>'House Count'!F157</f>
        <v/>
      </c>
      <c r="H157" s="1205">
        <f>'House Count'!H157</f>
        <v/>
      </c>
    </row>
    <row r="158">
      <c r="A158" s="1204">
        <f>'House Count'!A158</f>
        <v/>
      </c>
      <c r="B158" s="1205">
        <f>'House Count'!E158</f>
        <v/>
      </c>
      <c r="C158" s="1205">
        <f>'House Count'!B158</f>
        <v/>
      </c>
      <c r="D158" s="1205">
        <f>'House Count'!C158</f>
        <v/>
      </c>
      <c r="E158" s="1205">
        <f>'House Count'!D158</f>
        <v/>
      </c>
      <c r="F158" s="1205">
        <f>IF(G158="RES-SFU","RESIDENTIAL",IF(G158="RES-HOA","RESIDENTIAL",IF(G158="RES-MDU","RESIDENTIAL",IF(G158="COMM-SU","BUSINESS",IF(G158="COM-MTU","BUSINESS",IF(G158="ENT","BUSINESS",""))))))</f>
        <v/>
      </c>
      <c r="G158" s="1205">
        <f>'House Count'!F158</f>
        <v/>
      </c>
      <c r="H158" s="1205">
        <f>'House Count'!H158</f>
        <v/>
      </c>
    </row>
    <row r="159">
      <c r="A159" s="1204">
        <f>'House Count'!A159</f>
        <v/>
      </c>
      <c r="B159" s="1205">
        <f>'House Count'!E159</f>
        <v/>
      </c>
      <c r="C159" s="1205">
        <f>'House Count'!B159</f>
        <v/>
      </c>
      <c r="D159" s="1205">
        <f>'House Count'!C159</f>
        <v/>
      </c>
      <c r="E159" s="1205">
        <f>'House Count'!D159</f>
        <v/>
      </c>
      <c r="F159" s="1205">
        <f>IF(G159="RES-SFU","RESIDENTIAL",IF(G159="RES-HOA","RESIDENTIAL",IF(G159="RES-MDU","RESIDENTIAL",IF(G159="COMM-SU","BUSINESS",IF(G159="COM-MTU","BUSINESS",IF(G159="ENT","BUSINESS",""))))))</f>
        <v/>
      </c>
      <c r="G159" s="1205">
        <f>'House Count'!F159</f>
        <v/>
      </c>
      <c r="H159" s="1205">
        <f>'House Count'!H159</f>
        <v/>
      </c>
    </row>
    <row r="160">
      <c r="A160" s="1204">
        <f>'House Count'!A160</f>
        <v/>
      </c>
      <c r="B160" s="1205">
        <f>'House Count'!E160</f>
        <v/>
      </c>
      <c r="C160" s="1205">
        <f>'House Count'!B160</f>
        <v/>
      </c>
      <c r="D160" s="1205">
        <f>'House Count'!C160</f>
        <v/>
      </c>
      <c r="E160" s="1205">
        <f>'House Count'!D160</f>
        <v/>
      </c>
      <c r="F160" s="1205">
        <f>IF(G160="RES-SFU","RESIDENTIAL",IF(G160="RES-HOA","RESIDENTIAL",IF(G160="RES-MDU","RESIDENTIAL",IF(G160="COMM-SU","BUSINESS",IF(G160="COM-MTU","BUSINESS",IF(G160="ENT","BUSINESS",""))))))</f>
        <v/>
      </c>
      <c r="G160" s="1205">
        <f>'House Count'!F160</f>
        <v/>
      </c>
      <c r="H160" s="1205">
        <f>'House Count'!H160</f>
        <v/>
      </c>
    </row>
    <row r="161">
      <c r="A161" s="1204">
        <f>'House Count'!A161</f>
        <v/>
      </c>
      <c r="B161" s="1205">
        <f>'House Count'!E161</f>
        <v/>
      </c>
      <c r="C161" s="1205">
        <f>'House Count'!B161</f>
        <v/>
      </c>
      <c r="D161" s="1205">
        <f>'House Count'!C161</f>
        <v/>
      </c>
      <c r="E161" s="1205">
        <f>'House Count'!D161</f>
        <v/>
      </c>
      <c r="F161" s="1205">
        <f>IF(G161="RES-SFU","RESIDENTIAL",IF(G161="RES-HOA","RESIDENTIAL",IF(G161="RES-MDU","RESIDENTIAL",IF(G161="COMM-SU","BUSINESS",IF(G161="COM-MTU","BUSINESS",IF(G161="ENT","BUSINESS",""))))))</f>
        <v/>
      </c>
      <c r="G161" s="1205">
        <f>'House Count'!F161</f>
        <v/>
      </c>
      <c r="H161" s="1205">
        <f>'House Count'!H161</f>
        <v/>
      </c>
    </row>
    <row r="162">
      <c r="A162" s="1204">
        <f>'House Count'!A162</f>
        <v/>
      </c>
      <c r="B162" s="1205">
        <f>'House Count'!E162</f>
        <v/>
      </c>
      <c r="C162" s="1205">
        <f>'House Count'!B162</f>
        <v/>
      </c>
      <c r="D162" s="1205">
        <f>'House Count'!C162</f>
        <v/>
      </c>
      <c r="E162" s="1205">
        <f>'House Count'!D162</f>
        <v/>
      </c>
      <c r="F162" s="1205">
        <f>IF(G162="RES-SFU","RESIDENTIAL",IF(G162="RES-HOA","RESIDENTIAL",IF(G162="RES-MDU","RESIDENTIAL",IF(G162="COMM-SU","BUSINESS",IF(G162="COM-MTU","BUSINESS",IF(G162="ENT","BUSINESS",""))))))</f>
        <v/>
      </c>
      <c r="G162" s="1205">
        <f>'House Count'!F162</f>
        <v/>
      </c>
      <c r="H162" s="1205">
        <f>'House Count'!H162</f>
        <v/>
      </c>
    </row>
    <row r="163">
      <c r="A163" s="1204">
        <f>'House Count'!A163</f>
        <v/>
      </c>
      <c r="B163" s="1205">
        <f>'House Count'!E163</f>
        <v/>
      </c>
      <c r="C163" s="1205">
        <f>'House Count'!B163</f>
        <v/>
      </c>
      <c r="D163" s="1205">
        <f>'House Count'!C163</f>
        <v/>
      </c>
      <c r="E163" s="1205">
        <f>'House Count'!D163</f>
        <v/>
      </c>
      <c r="F163" s="1205">
        <f>IF(G163="RES-SFU","RESIDENTIAL",IF(G163="RES-HOA","RESIDENTIAL",IF(G163="RES-MDU","RESIDENTIAL",IF(G163="COMM-SU","BUSINESS",IF(G163="COM-MTU","BUSINESS",IF(G163="ENT","BUSINESS",""))))))</f>
        <v/>
      </c>
      <c r="G163" s="1205">
        <f>'House Count'!F163</f>
        <v/>
      </c>
      <c r="H163" s="1205">
        <f>'House Count'!H163</f>
        <v/>
      </c>
    </row>
    <row r="164">
      <c r="A164" s="1204">
        <f>'House Count'!A164</f>
        <v/>
      </c>
      <c r="B164" s="1205">
        <f>'House Count'!E164</f>
        <v/>
      </c>
      <c r="C164" s="1205">
        <f>'House Count'!B164</f>
        <v/>
      </c>
      <c r="D164" s="1205">
        <f>'House Count'!C164</f>
        <v/>
      </c>
      <c r="E164" s="1205">
        <f>'House Count'!D164</f>
        <v/>
      </c>
      <c r="F164" s="1205">
        <f>IF(G164="RES-SFU","RESIDENTIAL",IF(G164="RES-HOA","RESIDENTIAL",IF(G164="RES-MDU","RESIDENTIAL",IF(G164="COMM-SU","BUSINESS",IF(G164="COM-MTU","BUSINESS",IF(G164="ENT","BUSINESS",""))))))</f>
        <v/>
      </c>
      <c r="G164" s="1205">
        <f>'House Count'!F164</f>
        <v/>
      </c>
      <c r="H164" s="1205">
        <f>'House Count'!H164</f>
        <v/>
      </c>
    </row>
    <row r="165">
      <c r="A165" s="1204">
        <f>'House Count'!A165</f>
        <v/>
      </c>
      <c r="B165" s="1205">
        <f>'House Count'!E165</f>
        <v/>
      </c>
      <c r="C165" s="1205">
        <f>'House Count'!B165</f>
        <v/>
      </c>
      <c r="D165" s="1205">
        <f>'House Count'!C165</f>
        <v/>
      </c>
      <c r="E165" s="1205">
        <f>'House Count'!D165</f>
        <v/>
      </c>
      <c r="F165" s="1205">
        <f>IF(G165="RES-SFU","RESIDENTIAL",IF(G165="RES-HOA","RESIDENTIAL",IF(G165="RES-MDU","RESIDENTIAL",IF(G165="COMM-SU","BUSINESS",IF(G165="COM-MTU","BUSINESS",IF(G165="ENT","BUSINESS",""))))))</f>
        <v/>
      </c>
      <c r="G165" s="1205">
        <f>'House Count'!F165</f>
        <v/>
      </c>
      <c r="H165" s="1205">
        <f>'House Count'!H165</f>
        <v/>
      </c>
    </row>
    <row r="166">
      <c r="A166" s="1204">
        <f>'House Count'!A166</f>
        <v/>
      </c>
      <c r="B166" s="1205">
        <f>'House Count'!E166</f>
        <v/>
      </c>
      <c r="C166" s="1205">
        <f>'House Count'!B166</f>
        <v/>
      </c>
      <c r="D166" s="1205">
        <f>'House Count'!C166</f>
        <v/>
      </c>
      <c r="E166" s="1205">
        <f>'House Count'!D166</f>
        <v/>
      </c>
      <c r="F166" s="1205">
        <f>IF(G166="RES-SFU","RESIDENTIAL",IF(G166="RES-HOA","RESIDENTIAL",IF(G166="RES-MDU","RESIDENTIAL",IF(G166="COMM-SU","BUSINESS",IF(G166="COM-MTU","BUSINESS",IF(G166="ENT","BUSINESS",""))))))</f>
        <v/>
      </c>
      <c r="G166" s="1205">
        <f>'House Count'!F166</f>
        <v/>
      </c>
      <c r="H166" s="1205">
        <f>'House Count'!H166</f>
        <v/>
      </c>
    </row>
    <row r="167">
      <c r="A167" s="1204">
        <f>'House Count'!A167</f>
        <v/>
      </c>
      <c r="B167" s="1205">
        <f>'House Count'!E167</f>
        <v/>
      </c>
      <c r="C167" s="1205">
        <f>'House Count'!B167</f>
        <v/>
      </c>
      <c r="D167" s="1205">
        <f>'House Count'!C167</f>
        <v/>
      </c>
      <c r="E167" s="1205">
        <f>'House Count'!D167</f>
        <v/>
      </c>
      <c r="F167" s="1205">
        <f>IF(G167="RES-SFU","RESIDENTIAL",IF(G167="RES-HOA","RESIDENTIAL",IF(G167="RES-MDU","RESIDENTIAL",IF(G167="COMM-SU","BUSINESS",IF(G167="COM-MTU","BUSINESS",IF(G167="ENT","BUSINESS",""))))))</f>
        <v/>
      </c>
      <c r="G167" s="1205">
        <f>'House Count'!F167</f>
        <v/>
      </c>
      <c r="H167" s="1205">
        <f>'House Count'!H167</f>
        <v/>
      </c>
    </row>
    <row r="168">
      <c r="A168" s="1204">
        <f>'House Count'!A168</f>
        <v/>
      </c>
      <c r="B168" s="1205">
        <f>'House Count'!E168</f>
        <v/>
      </c>
      <c r="C168" s="1205">
        <f>'House Count'!B168</f>
        <v/>
      </c>
      <c r="D168" s="1205">
        <f>'House Count'!C168</f>
        <v/>
      </c>
      <c r="E168" s="1205">
        <f>'House Count'!D168</f>
        <v/>
      </c>
      <c r="F168" s="1205">
        <f>IF(G168="RES-SFU","RESIDENTIAL",IF(G168="RES-HOA","RESIDENTIAL",IF(G168="RES-MDU","RESIDENTIAL",IF(G168="COMM-SU","BUSINESS",IF(G168="COM-MTU","BUSINESS",IF(G168="ENT","BUSINESS",""))))))</f>
        <v/>
      </c>
      <c r="G168" s="1205">
        <f>'House Count'!F168</f>
        <v/>
      </c>
      <c r="H168" s="1205">
        <f>'House Count'!H168</f>
        <v/>
      </c>
    </row>
    <row r="169">
      <c r="A169" s="1204">
        <f>'House Count'!A169</f>
        <v/>
      </c>
      <c r="B169" s="1205">
        <f>'House Count'!E169</f>
        <v/>
      </c>
      <c r="C169" s="1205">
        <f>'House Count'!B169</f>
        <v/>
      </c>
      <c r="D169" s="1205">
        <f>'House Count'!C169</f>
        <v/>
      </c>
      <c r="E169" s="1205">
        <f>'House Count'!D169</f>
        <v/>
      </c>
      <c r="F169" s="1205">
        <f>IF(G169="RES-SFU","RESIDENTIAL",IF(G169="RES-HOA","RESIDENTIAL",IF(G169="RES-MDU","RESIDENTIAL",IF(G169="COMM-SU","BUSINESS",IF(G169="COM-MTU","BUSINESS",IF(G169="ENT","BUSINESS",""))))))</f>
        <v/>
      </c>
      <c r="G169" s="1205">
        <f>'House Count'!F169</f>
        <v/>
      </c>
      <c r="H169" s="1205">
        <f>'House Count'!H169</f>
        <v/>
      </c>
    </row>
    <row r="170">
      <c r="A170" s="1204">
        <f>'House Count'!A170</f>
        <v/>
      </c>
      <c r="B170" s="1205">
        <f>'House Count'!E170</f>
        <v/>
      </c>
      <c r="C170" s="1205">
        <f>'House Count'!B170</f>
        <v/>
      </c>
      <c r="D170" s="1205">
        <f>'House Count'!C170</f>
        <v/>
      </c>
      <c r="E170" s="1205">
        <f>'House Count'!D170</f>
        <v/>
      </c>
      <c r="F170" s="1205">
        <f>IF(G170="RES-SFU","RESIDENTIAL",IF(G170="RES-HOA","RESIDENTIAL",IF(G170="RES-MDU","RESIDENTIAL",IF(G170="COMM-SU","BUSINESS",IF(G170="COM-MTU","BUSINESS",IF(G170="ENT","BUSINESS",""))))))</f>
        <v/>
      </c>
      <c r="G170" s="1205">
        <f>'House Count'!F170</f>
        <v/>
      </c>
      <c r="H170" s="1205">
        <f>'House Count'!H170</f>
        <v/>
      </c>
    </row>
    <row r="171">
      <c r="A171" s="1204">
        <f>'House Count'!A171</f>
        <v/>
      </c>
      <c r="B171" s="1205">
        <f>'House Count'!E171</f>
        <v/>
      </c>
      <c r="C171" s="1205">
        <f>'House Count'!B171</f>
        <v/>
      </c>
      <c r="D171" s="1205">
        <f>'House Count'!C171</f>
        <v/>
      </c>
      <c r="E171" s="1205">
        <f>'House Count'!D171</f>
        <v/>
      </c>
      <c r="F171" s="1205">
        <f>IF(G171="RES-SFU","RESIDENTIAL",IF(G171="RES-HOA","RESIDENTIAL",IF(G171="RES-MDU","RESIDENTIAL",IF(G171="COMM-SU","BUSINESS",IF(G171="COM-MTU","BUSINESS",IF(G171="ENT","BUSINESS",""))))))</f>
        <v/>
      </c>
      <c r="G171" s="1205">
        <f>'House Count'!F171</f>
        <v/>
      </c>
      <c r="H171" s="1205">
        <f>'House Count'!H171</f>
        <v/>
      </c>
    </row>
    <row r="172">
      <c r="A172" s="1204">
        <f>'House Count'!A172</f>
        <v/>
      </c>
      <c r="B172" s="1205">
        <f>'House Count'!E172</f>
        <v/>
      </c>
      <c r="C172" s="1205">
        <f>'House Count'!B172</f>
        <v/>
      </c>
      <c r="D172" s="1205">
        <f>'House Count'!C172</f>
        <v/>
      </c>
      <c r="E172" s="1205">
        <f>'House Count'!D172</f>
        <v/>
      </c>
      <c r="F172" s="1205">
        <f>IF(G172="RES-SFU","RESIDENTIAL",IF(G172="RES-HOA","RESIDENTIAL",IF(G172="RES-MDU","RESIDENTIAL",IF(G172="COMM-SU","BUSINESS",IF(G172="COM-MTU","BUSINESS",IF(G172="ENT","BUSINESS",""))))))</f>
        <v/>
      </c>
      <c r="G172" s="1205">
        <f>'House Count'!F172</f>
        <v/>
      </c>
      <c r="H172" s="1205">
        <f>'House Count'!H172</f>
        <v/>
      </c>
    </row>
    <row r="173">
      <c r="A173" s="1204">
        <f>'House Count'!A173</f>
        <v/>
      </c>
      <c r="B173" s="1205">
        <f>'House Count'!E173</f>
        <v/>
      </c>
      <c r="C173" s="1205">
        <f>'House Count'!B173</f>
        <v/>
      </c>
      <c r="D173" s="1205">
        <f>'House Count'!C173</f>
        <v/>
      </c>
      <c r="E173" s="1205">
        <f>'House Count'!D173</f>
        <v/>
      </c>
      <c r="F173" s="1205">
        <f>IF(G173="RES-SFU","RESIDENTIAL",IF(G173="RES-HOA","RESIDENTIAL",IF(G173="RES-MDU","RESIDENTIAL",IF(G173="COMM-SU","BUSINESS",IF(G173="COM-MTU","BUSINESS",IF(G173="ENT","BUSINESS",""))))))</f>
        <v/>
      </c>
      <c r="G173" s="1205">
        <f>'House Count'!F173</f>
        <v/>
      </c>
      <c r="H173" s="1205">
        <f>'House Count'!H173</f>
        <v/>
      </c>
    </row>
    <row r="174">
      <c r="A174" s="1204">
        <f>'House Count'!A174</f>
        <v/>
      </c>
      <c r="B174" s="1205">
        <f>'House Count'!E174</f>
        <v/>
      </c>
      <c r="C174" s="1205">
        <f>'House Count'!B174</f>
        <v/>
      </c>
      <c r="D174" s="1205">
        <f>'House Count'!C174</f>
        <v/>
      </c>
      <c r="E174" s="1205">
        <f>'House Count'!D174</f>
        <v/>
      </c>
      <c r="F174" s="1205">
        <f>IF(G174="RES-SFU","RESIDENTIAL",IF(G174="RES-HOA","RESIDENTIAL",IF(G174="RES-MDU","RESIDENTIAL",IF(G174="COMM-SU","BUSINESS",IF(G174="COM-MTU","BUSINESS",IF(G174="ENT","BUSINESS",""))))))</f>
        <v/>
      </c>
      <c r="G174" s="1205">
        <f>'House Count'!F174</f>
        <v/>
      </c>
      <c r="H174" s="1205">
        <f>'House Count'!H174</f>
        <v/>
      </c>
    </row>
    <row r="175">
      <c r="A175" s="1204">
        <f>'House Count'!A175</f>
        <v/>
      </c>
      <c r="B175" s="1205">
        <f>'House Count'!E175</f>
        <v/>
      </c>
      <c r="C175" s="1205">
        <f>'House Count'!B175</f>
        <v/>
      </c>
      <c r="D175" s="1205">
        <f>'House Count'!C175</f>
        <v/>
      </c>
      <c r="E175" s="1205">
        <f>'House Count'!D175</f>
        <v/>
      </c>
      <c r="F175" s="1205">
        <f>IF(G175="RES-SFU","RESIDENTIAL",IF(G175="RES-HOA","RESIDENTIAL",IF(G175="RES-MDU","RESIDENTIAL",IF(G175="COMM-SU","BUSINESS",IF(G175="COM-MTU","BUSINESS",IF(G175="ENT","BUSINESS",""))))))</f>
        <v/>
      </c>
      <c r="G175" s="1205">
        <f>'House Count'!F175</f>
        <v/>
      </c>
      <c r="H175" s="1205">
        <f>'House Count'!H175</f>
        <v/>
      </c>
    </row>
    <row r="176">
      <c r="A176" s="1204">
        <f>'House Count'!A176</f>
        <v/>
      </c>
      <c r="B176" s="1205">
        <f>'House Count'!E176</f>
        <v/>
      </c>
      <c r="C176" s="1205">
        <f>'House Count'!B176</f>
        <v/>
      </c>
      <c r="D176" s="1205">
        <f>'House Count'!C176</f>
        <v/>
      </c>
      <c r="E176" s="1205">
        <f>'House Count'!D176</f>
        <v/>
      </c>
      <c r="F176" s="1205">
        <f>IF(G176="RES-SFU","RESIDENTIAL",IF(G176="RES-HOA","RESIDENTIAL",IF(G176="RES-MDU","RESIDENTIAL",IF(G176="COMM-SU","BUSINESS",IF(G176="COM-MTU","BUSINESS",IF(G176="ENT","BUSINESS",""))))))</f>
        <v/>
      </c>
      <c r="G176" s="1205">
        <f>'House Count'!F176</f>
        <v/>
      </c>
      <c r="H176" s="1205">
        <f>'House Count'!H176</f>
        <v/>
      </c>
    </row>
    <row r="177">
      <c r="A177" s="1204">
        <f>'House Count'!A177</f>
        <v/>
      </c>
      <c r="B177" s="1205">
        <f>'House Count'!E177</f>
        <v/>
      </c>
      <c r="C177" s="1205">
        <f>'House Count'!B177</f>
        <v/>
      </c>
      <c r="D177" s="1205">
        <f>'House Count'!C177</f>
        <v/>
      </c>
      <c r="E177" s="1205">
        <f>'House Count'!D177</f>
        <v/>
      </c>
      <c r="F177" s="1205">
        <f>IF(G177="RES-SFU","RESIDENTIAL",IF(G177="RES-HOA","RESIDENTIAL",IF(G177="RES-MDU","RESIDENTIAL",IF(G177="COMM-SU","BUSINESS",IF(G177="COM-MTU","BUSINESS",IF(G177="ENT","BUSINESS",""))))))</f>
        <v/>
      </c>
      <c r="G177" s="1205">
        <f>'House Count'!F177</f>
        <v/>
      </c>
      <c r="H177" s="1205">
        <f>'House Count'!H177</f>
        <v/>
      </c>
    </row>
    <row r="178">
      <c r="A178" s="1204">
        <f>'House Count'!A178</f>
        <v/>
      </c>
      <c r="B178" s="1205">
        <f>'House Count'!E178</f>
        <v/>
      </c>
      <c r="C178" s="1205">
        <f>'House Count'!B178</f>
        <v/>
      </c>
      <c r="D178" s="1205">
        <f>'House Count'!C178</f>
        <v/>
      </c>
      <c r="E178" s="1205">
        <f>'House Count'!D178</f>
        <v/>
      </c>
      <c r="F178" s="1205">
        <f>IF(G178="RES-SFU","RESIDENTIAL",IF(G178="RES-HOA","RESIDENTIAL",IF(G178="RES-MDU","RESIDENTIAL",IF(G178="COMM-SU","BUSINESS",IF(G178="COM-MTU","BUSINESS",IF(G178="ENT","BUSINESS",""))))))</f>
        <v/>
      </c>
      <c r="G178" s="1205">
        <f>'House Count'!F178</f>
        <v/>
      </c>
      <c r="H178" s="1205">
        <f>'House Count'!H178</f>
        <v/>
      </c>
    </row>
    <row r="179">
      <c r="A179" s="1204">
        <f>'House Count'!A179</f>
        <v/>
      </c>
      <c r="B179" s="1205">
        <f>'House Count'!E179</f>
        <v/>
      </c>
      <c r="C179" s="1205">
        <f>'House Count'!B179</f>
        <v/>
      </c>
      <c r="D179" s="1205">
        <f>'House Count'!C179</f>
        <v/>
      </c>
      <c r="E179" s="1205">
        <f>'House Count'!D179</f>
        <v/>
      </c>
      <c r="F179" s="1205">
        <f>IF(G179="RES-SFU","RESIDENTIAL",IF(G179="RES-HOA","RESIDENTIAL",IF(G179="RES-MDU","RESIDENTIAL",IF(G179="COMM-SU","BUSINESS",IF(G179="COM-MTU","BUSINESS",IF(G179="ENT","BUSINESS",""))))))</f>
        <v/>
      </c>
      <c r="G179" s="1205">
        <f>'House Count'!F179</f>
        <v/>
      </c>
      <c r="H179" s="1205">
        <f>'House Count'!H179</f>
        <v/>
      </c>
    </row>
    <row r="180">
      <c r="A180" s="1204">
        <f>'House Count'!A180</f>
        <v/>
      </c>
      <c r="B180" s="1205">
        <f>'House Count'!E180</f>
        <v/>
      </c>
      <c r="C180" s="1205">
        <f>'House Count'!B180</f>
        <v/>
      </c>
      <c r="D180" s="1205">
        <f>'House Count'!C180</f>
        <v/>
      </c>
      <c r="E180" s="1205">
        <f>'House Count'!D180</f>
        <v/>
      </c>
      <c r="F180" s="1205">
        <f>IF(G180="RES-SFU","RESIDENTIAL",IF(G180="RES-HOA","RESIDENTIAL",IF(G180="RES-MDU","RESIDENTIAL",IF(G180="COMM-SU","BUSINESS",IF(G180="COM-MTU","BUSINESS",IF(G180="ENT","BUSINESS",""))))))</f>
        <v/>
      </c>
      <c r="G180" s="1205">
        <f>'House Count'!F180</f>
        <v/>
      </c>
      <c r="H180" s="1205">
        <f>'House Count'!H180</f>
        <v/>
      </c>
    </row>
    <row r="181">
      <c r="A181" s="1204">
        <f>'House Count'!A181</f>
        <v/>
      </c>
      <c r="B181" s="1205">
        <f>'House Count'!E181</f>
        <v/>
      </c>
      <c r="C181" s="1205">
        <f>'House Count'!B181</f>
        <v/>
      </c>
      <c r="D181" s="1205">
        <f>'House Count'!C181</f>
        <v/>
      </c>
      <c r="E181" s="1205">
        <f>'House Count'!D181</f>
        <v/>
      </c>
      <c r="F181" s="1205">
        <f>IF(G181="RES-SFU","RESIDENTIAL",IF(G181="RES-HOA","RESIDENTIAL",IF(G181="RES-MDU","RESIDENTIAL",IF(G181="COMM-SU","BUSINESS",IF(G181="COM-MTU","BUSINESS",IF(G181="ENT","BUSINESS",""))))))</f>
        <v/>
      </c>
      <c r="G181" s="1205">
        <f>'House Count'!F181</f>
        <v/>
      </c>
      <c r="H181" s="1205">
        <f>'House Count'!H181</f>
        <v/>
      </c>
    </row>
    <row r="182">
      <c r="A182" s="1204">
        <f>'House Count'!A182</f>
        <v/>
      </c>
      <c r="B182" s="1205">
        <f>'House Count'!E182</f>
        <v/>
      </c>
      <c r="C182" s="1205">
        <f>'House Count'!B182</f>
        <v/>
      </c>
      <c r="D182" s="1205">
        <f>'House Count'!C182</f>
        <v/>
      </c>
      <c r="E182" s="1205">
        <f>'House Count'!D182</f>
        <v/>
      </c>
      <c r="F182" s="1205">
        <f>IF(G182="RES-SFU","RESIDENTIAL",IF(G182="RES-HOA","RESIDENTIAL",IF(G182="RES-MDU","RESIDENTIAL",IF(G182="COMM-SU","BUSINESS",IF(G182="COM-MTU","BUSINESS",IF(G182="ENT","BUSINESS",""))))))</f>
        <v/>
      </c>
      <c r="G182" s="1205">
        <f>'House Count'!F182</f>
        <v/>
      </c>
      <c r="H182" s="1205">
        <f>'House Count'!H182</f>
        <v/>
      </c>
    </row>
    <row r="183">
      <c r="A183" s="1204">
        <f>'House Count'!A183</f>
        <v/>
      </c>
      <c r="B183" s="1205">
        <f>'House Count'!E183</f>
        <v/>
      </c>
      <c r="C183" s="1205">
        <f>'House Count'!B183</f>
        <v/>
      </c>
      <c r="D183" s="1205">
        <f>'House Count'!C183</f>
        <v/>
      </c>
      <c r="E183" s="1205">
        <f>'House Count'!D183</f>
        <v/>
      </c>
      <c r="F183" s="1205">
        <f>IF(G183="RES-SFU","RESIDENTIAL",IF(G183="RES-HOA","RESIDENTIAL",IF(G183="RES-MDU","RESIDENTIAL",IF(G183="COMM-SU","BUSINESS",IF(G183="COM-MTU","BUSINESS",IF(G183="ENT","BUSINESS",""))))))</f>
        <v/>
      </c>
      <c r="G183" s="1205">
        <f>'House Count'!F183</f>
        <v/>
      </c>
      <c r="H183" s="1205">
        <f>'House Count'!H183</f>
        <v/>
      </c>
    </row>
    <row r="184">
      <c r="A184" s="1204">
        <f>'House Count'!A184</f>
        <v/>
      </c>
      <c r="B184" s="1205">
        <f>'House Count'!E184</f>
        <v/>
      </c>
      <c r="C184" s="1205">
        <f>'House Count'!B184</f>
        <v/>
      </c>
      <c r="D184" s="1205">
        <f>'House Count'!C184</f>
        <v/>
      </c>
      <c r="E184" s="1205">
        <f>'House Count'!D184</f>
        <v/>
      </c>
      <c r="F184" s="1205">
        <f>IF(G184="RES-SFU","RESIDENTIAL",IF(G184="RES-HOA","RESIDENTIAL",IF(G184="RES-MDU","RESIDENTIAL",IF(G184="COMM-SU","BUSINESS",IF(G184="COM-MTU","BUSINESS",IF(G184="ENT","BUSINESS",""))))))</f>
        <v/>
      </c>
      <c r="G184" s="1205">
        <f>'House Count'!F184</f>
        <v/>
      </c>
      <c r="H184" s="1205">
        <f>'House Count'!H184</f>
        <v/>
      </c>
    </row>
    <row r="185">
      <c r="A185" s="1204">
        <f>'House Count'!A185</f>
        <v/>
      </c>
      <c r="B185" s="1205">
        <f>'House Count'!E185</f>
        <v/>
      </c>
      <c r="C185" s="1205">
        <f>'House Count'!B185</f>
        <v/>
      </c>
      <c r="D185" s="1205">
        <f>'House Count'!C185</f>
        <v/>
      </c>
      <c r="E185" s="1205">
        <f>'House Count'!D185</f>
        <v/>
      </c>
      <c r="F185" s="1205">
        <f>IF(G185="RES-SFU","RESIDENTIAL",IF(G185="RES-HOA","RESIDENTIAL",IF(G185="RES-MDU","RESIDENTIAL",IF(G185="COMM-SU","BUSINESS",IF(G185="COM-MTU","BUSINESS",IF(G185="ENT","BUSINESS",""))))))</f>
        <v/>
      </c>
      <c r="G185" s="1205">
        <f>'House Count'!F185</f>
        <v/>
      </c>
      <c r="H185" s="1205">
        <f>'House Count'!H185</f>
        <v/>
      </c>
    </row>
    <row r="186">
      <c r="A186" s="1204">
        <f>'House Count'!A186</f>
        <v/>
      </c>
      <c r="B186" s="1205">
        <f>'House Count'!E186</f>
        <v/>
      </c>
      <c r="C186" s="1205">
        <f>'House Count'!B186</f>
        <v/>
      </c>
      <c r="D186" s="1205">
        <f>'House Count'!C186</f>
        <v/>
      </c>
      <c r="E186" s="1205">
        <f>'House Count'!D186</f>
        <v/>
      </c>
      <c r="F186" s="1205">
        <f>IF(G186="RES-SFU","RESIDENTIAL",IF(G186="RES-HOA","RESIDENTIAL",IF(G186="RES-MDU","RESIDENTIAL",IF(G186="COMM-SU","BUSINESS",IF(G186="COM-MTU","BUSINESS",IF(G186="ENT","BUSINESS",""))))))</f>
        <v/>
      </c>
      <c r="G186" s="1205">
        <f>'House Count'!F186</f>
        <v/>
      </c>
      <c r="H186" s="1205">
        <f>'House Count'!H186</f>
        <v/>
      </c>
    </row>
    <row r="187">
      <c r="A187" s="1204">
        <f>'House Count'!A187</f>
        <v/>
      </c>
      <c r="B187" s="1205">
        <f>'House Count'!E187</f>
        <v/>
      </c>
      <c r="C187" s="1205">
        <f>'House Count'!B187</f>
        <v/>
      </c>
      <c r="D187" s="1205">
        <f>'House Count'!C187</f>
        <v/>
      </c>
      <c r="E187" s="1205">
        <f>'House Count'!D187</f>
        <v/>
      </c>
      <c r="F187" s="1205">
        <f>IF(G187="RES-SFU","RESIDENTIAL",IF(G187="RES-HOA","RESIDENTIAL",IF(G187="RES-MDU","RESIDENTIAL",IF(G187="COMM-SU","BUSINESS",IF(G187="COM-MTU","BUSINESS",IF(G187="ENT","BUSINESS",""))))))</f>
        <v/>
      </c>
      <c r="G187" s="1205">
        <f>'House Count'!F187</f>
        <v/>
      </c>
      <c r="H187" s="1205">
        <f>'House Count'!H187</f>
        <v/>
      </c>
    </row>
    <row r="188">
      <c r="A188" s="1204">
        <f>'House Count'!A188</f>
        <v/>
      </c>
      <c r="B188" s="1205">
        <f>'House Count'!E188</f>
        <v/>
      </c>
      <c r="C188" s="1205">
        <f>'House Count'!B188</f>
        <v/>
      </c>
      <c r="D188" s="1205">
        <f>'House Count'!C188</f>
        <v/>
      </c>
      <c r="E188" s="1205">
        <f>'House Count'!D188</f>
        <v/>
      </c>
      <c r="F188" s="1205">
        <f>IF(G188="RES-SFU","RESIDENTIAL",IF(G188="RES-HOA","RESIDENTIAL",IF(G188="RES-MDU","RESIDENTIAL",IF(G188="COMM-SU","BUSINESS",IF(G188="COM-MTU","BUSINESS",IF(G188="ENT","BUSINESS",""))))))</f>
        <v/>
      </c>
      <c r="G188" s="1205">
        <f>'House Count'!F188</f>
        <v/>
      </c>
      <c r="H188" s="1205">
        <f>'House Count'!H188</f>
        <v/>
      </c>
    </row>
    <row r="189">
      <c r="A189" s="1204">
        <f>'House Count'!A189</f>
        <v/>
      </c>
      <c r="B189" s="1205">
        <f>'House Count'!E189</f>
        <v/>
      </c>
      <c r="C189" s="1205">
        <f>'House Count'!B189</f>
        <v/>
      </c>
      <c r="D189" s="1205">
        <f>'House Count'!C189</f>
        <v/>
      </c>
      <c r="E189" s="1205">
        <f>'House Count'!D189</f>
        <v/>
      </c>
      <c r="F189" s="1205">
        <f>IF(G189="RES-SFU","RESIDENTIAL",IF(G189="RES-HOA","RESIDENTIAL",IF(G189="RES-MDU","RESIDENTIAL",IF(G189="COMM-SU","BUSINESS",IF(G189="COM-MTU","BUSINESS",IF(G189="ENT","BUSINESS",""))))))</f>
        <v/>
      </c>
      <c r="G189" s="1205">
        <f>'House Count'!F189</f>
        <v/>
      </c>
      <c r="H189" s="1205">
        <f>'House Count'!H189</f>
        <v/>
      </c>
    </row>
    <row r="190">
      <c r="A190" s="1204">
        <f>'House Count'!A190</f>
        <v/>
      </c>
      <c r="B190" s="1205">
        <f>'House Count'!E190</f>
        <v/>
      </c>
      <c r="C190" s="1205">
        <f>'House Count'!B190</f>
        <v/>
      </c>
      <c r="D190" s="1205">
        <f>'House Count'!C190</f>
        <v/>
      </c>
      <c r="E190" s="1205">
        <f>'House Count'!D190</f>
        <v/>
      </c>
      <c r="F190" s="1205">
        <f>IF(G190="RES-SFU","RESIDENTIAL",IF(G190="RES-HOA","RESIDENTIAL",IF(G190="RES-MDU","RESIDENTIAL",IF(G190="COMM-SU","BUSINESS",IF(G190="COM-MTU","BUSINESS",IF(G190="ENT","BUSINESS",""))))))</f>
        <v/>
      </c>
      <c r="G190" s="1205">
        <f>'House Count'!F190</f>
        <v/>
      </c>
      <c r="H190" s="1205">
        <f>'House Count'!H190</f>
        <v/>
      </c>
    </row>
    <row r="191">
      <c r="A191" s="1204">
        <f>'House Count'!A191</f>
        <v/>
      </c>
      <c r="B191" s="1205">
        <f>'House Count'!E191</f>
        <v/>
      </c>
      <c r="C191" s="1205">
        <f>'House Count'!B191</f>
        <v/>
      </c>
      <c r="D191" s="1205">
        <f>'House Count'!C191</f>
        <v/>
      </c>
      <c r="E191" s="1205">
        <f>'House Count'!D191</f>
        <v/>
      </c>
      <c r="F191" s="1205">
        <f>IF(G191="RES-SFU","RESIDENTIAL",IF(G191="RES-HOA","RESIDENTIAL",IF(G191="RES-MDU","RESIDENTIAL",IF(G191="COMM-SU","BUSINESS",IF(G191="COM-MTU","BUSINESS",IF(G191="ENT","BUSINESS",""))))))</f>
        <v/>
      </c>
      <c r="G191" s="1205">
        <f>'House Count'!F191</f>
        <v/>
      </c>
      <c r="H191" s="1205">
        <f>'House Count'!H191</f>
        <v/>
      </c>
    </row>
    <row r="192">
      <c r="A192" s="1204">
        <f>'House Count'!A192</f>
        <v/>
      </c>
      <c r="B192" s="1205">
        <f>'House Count'!E192</f>
        <v/>
      </c>
      <c r="C192" s="1205">
        <f>'House Count'!B192</f>
        <v/>
      </c>
      <c r="D192" s="1205">
        <f>'House Count'!C192</f>
        <v/>
      </c>
      <c r="E192" s="1205">
        <f>'House Count'!D192</f>
        <v/>
      </c>
      <c r="F192" s="1205">
        <f>IF(G192="RES-SFU","RESIDENTIAL",IF(G192="RES-HOA","RESIDENTIAL",IF(G192="RES-MDU","RESIDENTIAL",IF(G192="COMM-SU","BUSINESS",IF(G192="COM-MTU","BUSINESS",IF(G192="ENT","BUSINESS",""))))))</f>
        <v/>
      </c>
      <c r="G192" s="1205">
        <f>'House Count'!F192</f>
        <v/>
      </c>
      <c r="H192" s="1205">
        <f>'House Count'!H192</f>
        <v/>
      </c>
    </row>
    <row r="193">
      <c r="A193" s="1204">
        <f>'House Count'!A193</f>
        <v/>
      </c>
      <c r="B193" s="1205">
        <f>'House Count'!E193</f>
        <v/>
      </c>
      <c r="C193" s="1205">
        <f>'House Count'!B193</f>
        <v/>
      </c>
      <c r="D193" s="1205">
        <f>'House Count'!C193</f>
        <v/>
      </c>
      <c r="E193" s="1205">
        <f>'House Count'!D193</f>
        <v/>
      </c>
      <c r="F193" s="1205">
        <f>IF(G193="RES-SFU","RESIDENTIAL",IF(G193="RES-HOA","RESIDENTIAL",IF(G193="RES-MDU","RESIDENTIAL",IF(G193="COMM-SU","BUSINESS",IF(G193="COM-MTU","BUSINESS",IF(G193="ENT","BUSINESS",""))))))</f>
        <v/>
      </c>
      <c r="G193" s="1205">
        <f>'House Count'!F193</f>
        <v/>
      </c>
      <c r="H193" s="1205">
        <f>'House Count'!H193</f>
        <v/>
      </c>
    </row>
    <row r="194">
      <c r="A194" s="1204">
        <f>'House Count'!A194</f>
        <v/>
      </c>
      <c r="B194" s="1205">
        <f>'House Count'!E194</f>
        <v/>
      </c>
      <c r="C194" s="1205">
        <f>'House Count'!B194</f>
        <v/>
      </c>
      <c r="D194" s="1205">
        <f>'House Count'!C194</f>
        <v/>
      </c>
      <c r="E194" s="1205">
        <f>'House Count'!D194</f>
        <v/>
      </c>
      <c r="F194" s="1205">
        <f>IF(G194="RES-SFU","RESIDENTIAL",IF(G194="RES-HOA","RESIDENTIAL",IF(G194="RES-MDU","RESIDENTIAL",IF(G194="COMM-SU","BUSINESS",IF(G194="COM-MTU","BUSINESS",IF(G194="ENT","BUSINESS",""))))))</f>
        <v/>
      </c>
      <c r="G194" s="1205">
        <f>'House Count'!F194</f>
        <v/>
      </c>
      <c r="H194" s="1205">
        <f>'House Count'!H194</f>
        <v/>
      </c>
    </row>
    <row r="195">
      <c r="A195" s="1204">
        <f>'House Count'!A195</f>
        <v/>
      </c>
      <c r="B195" s="1205">
        <f>'House Count'!E195</f>
        <v/>
      </c>
      <c r="C195" s="1205">
        <f>'House Count'!B195</f>
        <v/>
      </c>
      <c r="D195" s="1205">
        <f>'House Count'!C195</f>
        <v/>
      </c>
      <c r="E195" s="1205">
        <f>'House Count'!D195</f>
        <v/>
      </c>
      <c r="F195" s="1205">
        <f>IF(G195="RES-SFU","RESIDENTIAL",IF(G195="RES-HOA","RESIDENTIAL",IF(G195="RES-MDU","RESIDENTIAL",IF(G195="COMM-SU","BUSINESS",IF(G195="COM-MTU","BUSINESS",IF(G195="ENT","BUSINESS",""))))))</f>
        <v/>
      </c>
      <c r="G195" s="1205">
        <f>'House Count'!F195</f>
        <v/>
      </c>
      <c r="H195" s="1205">
        <f>'House Count'!H195</f>
        <v/>
      </c>
    </row>
    <row r="196">
      <c r="A196" s="1204">
        <f>'House Count'!A196</f>
        <v/>
      </c>
      <c r="B196" s="1205">
        <f>'House Count'!E196</f>
        <v/>
      </c>
      <c r="C196" s="1205">
        <f>'House Count'!B196</f>
        <v/>
      </c>
      <c r="D196" s="1205">
        <f>'House Count'!C196</f>
        <v/>
      </c>
      <c r="E196" s="1205">
        <f>'House Count'!D196</f>
        <v/>
      </c>
      <c r="F196" s="1205">
        <f>IF(G196="RES-SFU","RESIDENTIAL",IF(G196="RES-HOA","RESIDENTIAL",IF(G196="RES-MDU","RESIDENTIAL",IF(G196="COMM-SU","BUSINESS",IF(G196="COM-MTU","BUSINESS",IF(G196="ENT","BUSINESS",""))))))</f>
        <v/>
      </c>
      <c r="G196" s="1205">
        <f>'House Count'!F196</f>
        <v/>
      </c>
      <c r="H196" s="1205">
        <f>'House Count'!H196</f>
        <v/>
      </c>
    </row>
    <row r="197">
      <c r="A197" s="1204">
        <f>'House Count'!A197</f>
        <v/>
      </c>
      <c r="B197" s="1205">
        <f>'House Count'!E197</f>
        <v/>
      </c>
      <c r="C197" s="1205">
        <f>'House Count'!B197</f>
        <v/>
      </c>
      <c r="D197" s="1205">
        <f>'House Count'!C197</f>
        <v/>
      </c>
      <c r="E197" s="1205">
        <f>'House Count'!D197</f>
        <v/>
      </c>
      <c r="F197" s="1205">
        <f>IF(G197="RES-SFU","RESIDENTIAL",IF(G197="RES-HOA","RESIDENTIAL",IF(G197="RES-MDU","RESIDENTIAL",IF(G197="COMM-SU","BUSINESS",IF(G197="COM-MTU","BUSINESS",IF(G197="ENT","BUSINESS",""))))))</f>
        <v/>
      </c>
      <c r="G197" s="1205">
        <f>'House Count'!F197</f>
        <v/>
      </c>
      <c r="H197" s="1205">
        <f>'House Count'!H197</f>
        <v/>
      </c>
    </row>
    <row r="198">
      <c r="A198" s="1204">
        <f>'House Count'!A198</f>
        <v/>
      </c>
      <c r="B198" s="1205">
        <f>'House Count'!E198</f>
        <v/>
      </c>
      <c r="C198" s="1205">
        <f>'House Count'!B198</f>
        <v/>
      </c>
      <c r="D198" s="1205">
        <f>'House Count'!C198</f>
        <v/>
      </c>
      <c r="E198" s="1205">
        <f>'House Count'!D198</f>
        <v/>
      </c>
      <c r="F198" s="1205">
        <f>IF(G198="RES-SFU","RESIDENTIAL",IF(G198="RES-HOA","RESIDENTIAL",IF(G198="RES-MDU","RESIDENTIAL",IF(G198="COMM-SU","BUSINESS",IF(G198="COM-MTU","BUSINESS",IF(G198="ENT","BUSINESS",""))))))</f>
        <v/>
      </c>
      <c r="G198" s="1205">
        <f>'House Count'!F198</f>
        <v/>
      </c>
      <c r="H198" s="1205">
        <f>'House Count'!H198</f>
        <v/>
      </c>
    </row>
    <row r="199">
      <c r="A199" s="1204">
        <f>'House Count'!A199</f>
        <v/>
      </c>
      <c r="B199" s="1205">
        <f>'House Count'!E199</f>
        <v/>
      </c>
      <c r="C199" s="1205">
        <f>'House Count'!B199</f>
        <v/>
      </c>
      <c r="D199" s="1205">
        <f>'House Count'!C199</f>
        <v/>
      </c>
      <c r="E199" s="1205">
        <f>'House Count'!D199</f>
        <v/>
      </c>
      <c r="F199" s="1205">
        <f>IF(G199="RES-SFU","RESIDENTIAL",IF(G199="RES-HOA","RESIDENTIAL",IF(G199="RES-MDU","RESIDENTIAL",IF(G199="COMM-SU","BUSINESS",IF(G199="COM-MTU","BUSINESS",IF(G199="ENT","BUSINESS",""))))))</f>
        <v/>
      </c>
      <c r="G199" s="1205">
        <f>'House Count'!F199</f>
        <v/>
      </c>
      <c r="H199" s="1205">
        <f>'House Count'!H199</f>
        <v/>
      </c>
    </row>
    <row r="200">
      <c r="A200" s="1204">
        <f>'House Count'!A200</f>
        <v/>
      </c>
      <c r="B200" s="1205">
        <f>'House Count'!E200</f>
        <v/>
      </c>
      <c r="C200" s="1205">
        <f>'House Count'!B200</f>
        <v/>
      </c>
      <c r="D200" s="1205">
        <f>'House Count'!C200</f>
        <v/>
      </c>
      <c r="E200" s="1205">
        <f>'House Count'!D200</f>
        <v/>
      </c>
      <c r="F200" s="1205">
        <f>IF(G200="RES-SFU","RESIDENTIAL",IF(G200="RES-HOA","RESIDENTIAL",IF(G200="RES-MDU","RESIDENTIAL",IF(G200="COMM-SU","BUSINESS",IF(G200="COM-MTU","BUSINESS",IF(G200="ENT","BUSINESS",""))))))</f>
        <v/>
      </c>
      <c r="G200" s="1205">
        <f>'House Count'!F200</f>
        <v/>
      </c>
      <c r="H200" s="1205">
        <f>'House Count'!H200</f>
        <v/>
      </c>
    </row>
    <row r="201">
      <c r="A201" s="1204">
        <f>'House Count'!A201</f>
        <v/>
      </c>
      <c r="B201" s="1205">
        <f>'House Count'!E201</f>
        <v/>
      </c>
      <c r="C201" s="1205">
        <f>'House Count'!B201</f>
        <v/>
      </c>
      <c r="D201" s="1205">
        <f>'House Count'!C201</f>
        <v/>
      </c>
      <c r="E201" s="1205">
        <f>'House Count'!D201</f>
        <v/>
      </c>
      <c r="F201" s="1205">
        <f>IF(G201="RES-SFU","RESIDENTIAL",IF(G201="RES-HOA","RESIDENTIAL",IF(G201="RES-MDU","RESIDENTIAL",IF(G201="COMM-SU","BUSINESS",IF(G201="COM-MTU","BUSINESS",IF(G201="ENT","BUSINESS",""))))))</f>
        <v/>
      </c>
      <c r="G201" s="1205">
        <f>'House Count'!F201</f>
        <v/>
      </c>
      <c r="H201" s="1205">
        <f>'House Count'!H201</f>
        <v/>
      </c>
    </row>
    <row r="202">
      <c r="A202" s="1204">
        <f>'House Count'!A202</f>
        <v/>
      </c>
      <c r="B202" s="1205">
        <f>'House Count'!E202</f>
        <v/>
      </c>
      <c r="C202" s="1205">
        <f>'House Count'!B202</f>
        <v/>
      </c>
      <c r="D202" s="1205">
        <f>'House Count'!C202</f>
        <v/>
      </c>
      <c r="E202" s="1205">
        <f>'House Count'!D202</f>
        <v/>
      </c>
      <c r="F202" s="1205">
        <f>IF(G202="RES-SFU","RESIDENTIAL",IF(G202="RES-HOA","RESIDENTIAL",IF(G202="RES-MDU","RESIDENTIAL",IF(G202="COMM-SU","BUSINESS",IF(G202="COM-MTU","BUSINESS",IF(G202="ENT","BUSINESS",""))))))</f>
        <v/>
      </c>
      <c r="G202" s="1205">
        <f>'House Count'!F202</f>
        <v/>
      </c>
      <c r="H202" s="1205">
        <f>'House Count'!H202</f>
        <v/>
      </c>
    </row>
    <row r="203">
      <c r="A203" s="1204">
        <f>'House Count'!A203</f>
        <v/>
      </c>
      <c r="B203" s="1205">
        <f>'House Count'!E203</f>
        <v/>
      </c>
      <c r="C203" s="1205">
        <f>'House Count'!B203</f>
        <v/>
      </c>
      <c r="D203" s="1205">
        <f>'House Count'!C203</f>
        <v/>
      </c>
      <c r="E203" s="1205">
        <f>'House Count'!D203</f>
        <v/>
      </c>
      <c r="F203" s="1205">
        <f>IF(G203="RES-SFU","RESIDENTIAL",IF(G203="RES-HOA","RESIDENTIAL",IF(G203="RES-MDU","RESIDENTIAL",IF(G203="COMM-SU","BUSINESS",IF(G203="COM-MTU","BUSINESS",IF(G203="ENT","BUSINESS",""))))))</f>
        <v/>
      </c>
      <c r="G203" s="1205">
        <f>'House Count'!F203</f>
        <v/>
      </c>
      <c r="H203" s="1205">
        <f>'House Count'!H203</f>
        <v/>
      </c>
    </row>
    <row r="204">
      <c r="A204" s="1204">
        <f>'House Count'!A204</f>
        <v/>
      </c>
      <c r="B204" s="1205">
        <f>'House Count'!E204</f>
        <v/>
      </c>
      <c r="C204" s="1205">
        <f>'House Count'!B204</f>
        <v/>
      </c>
      <c r="D204" s="1205">
        <f>'House Count'!C204</f>
        <v/>
      </c>
      <c r="E204" s="1205">
        <f>'House Count'!D204</f>
        <v/>
      </c>
      <c r="F204" s="1205">
        <f>IF(G204="RES-SFU","RESIDENTIAL",IF(G204="RES-HOA","RESIDENTIAL",IF(G204="RES-MDU","RESIDENTIAL",IF(G204="COMM-SU","BUSINESS",IF(G204="COM-MTU","BUSINESS",IF(G204="ENT","BUSINESS",""))))))</f>
        <v/>
      </c>
      <c r="G204" s="1205">
        <f>'House Count'!F204</f>
        <v/>
      </c>
      <c r="H204" s="1205">
        <f>'House Count'!H204</f>
        <v/>
      </c>
    </row>
    <row r="205">
      <c r="A205" s="1204">
        <f>'House Count'!A205</f>
        <v/>
      </c>
      <c r="B205" s="1205">
        <f>'House Count'!E205</f>
        <v/>
      </c>
      <c r="C205" s="1205">
        <f>'House Count'!B205</f>
        <v/>
      </c>
      <c r="D205" s="1205">
        <f>'House Count'!C205</f>
        <v/>
      </c>
      <c r="E205" s="1205">
        <f>'House Count'!D205</f>
        <v/>
      </c>
      <c r="F205" s="1205">
        <f>IF(G205="RES-SFU","RESIDENTIAL",IF(G205="RES-HOA","RESIDENTIAL",IF(G205="RES-MDU","RESIDENTIAL",IF(G205="COMM-SU","BUSINESS",IF(G205="COM-MTU","BUSINESS",IF(G205="ENT","BUSINESS",""))))))</f>
        <v/>
      </c>
      <c r="G205" s="1205">
        <f>'House Count'!F205</f>
        <v/>
      </c>
      <c r="H205" s="1205">
        <f>'House Count'!H205</f>
        <v/>
      </c>
    </row>
    <row r="206">
      <c r="A206" s="1204">
        <f>'House Count'!A206</f>
        <v/>
      </c>
      <c r="B206" s="1205">
        <f>'House Count'!E206</f>
        <v/>
      </c>
      <c r="C206" s="1205">
        <f>'House Count'!B206</f>
        <v/>
      </c>
      <c r="D206" s="1205">
        <f>'House Count'!C206</f>
        <v/>
      </c>
      <c r="E206" s="1205">
        <f>'House Count'!D206</f>
        <v/>
      </c>
      <c r="F206" s="1205">
        <f>IF(G206="RES-SFU","RESIDENTIAL",IF(G206="RES-HOA","RESIDENTIAL",IF(G206="RES-MDU","RESIDENTIAL",IF(G206="COMM-SU","BUSINESS",IF(G206="COM-MTU","BUSINESS",IF(G206="ENT","BUSINESS",""))))))</f>
        <v/>
      </c>
      <c r="G206" s="1205">
        <f>'House Count'!F206</f>
        <v/>
      </c>
      <c r="H206" s="1205">
        <f>'House Count'!H206</f>
        <v/>
      </c>
    </row>
    <row r="207">
      <c r="A207" s="1204">
        <f>'House Count'!A207</f>
        <v/>
      </c>
      <c r="B207" s="1205">
        <f>'House Count'!E207</f>
        <v/>
      </c>
      <c r="C207" s="1205">
        <f>'House Count'!B207</f>
        <v/>
      </c>
      <c r="D207" s="1205">
        <f>'House Count'!C207</f>
        <v/>
      </c>
      <c r="E207" s="1205">
        <f>'House Count'!D207</f>
        <v/>
      </c>
      <c r="F207" s="1205">
        <f>IF(G207="RES-SFU","RESIDENTIAL",IF(G207="RES-HOA","RESIDENTIAL",IF(G207="RES-MDU","RESIDENTIAL",IF(G207="COMM-SU","BUSINESS",IF(G207="COM-MTU","BUSINESS",IF(G207="ENT","BUSINESS",""))))))</f>
        <v/>
      </c>
      <c r="G207" s="1205">
        <f>'House Count'!F207</f>
        <v/>
      </c>
      <c r="H207" s="1205">
        <f>'House Count'!H207</f>
        <v/>
      </c>
    </row>
    <row r="208">
      <c r="A208" s="1204">
        <f>'House Count'!A208</f>
        <v/>
      </c>
      <c r="B208" s="1205">
        <f>'House Count'!E208</f>
        <v/>
      </c>
      <c r="C208" s="1205">
        <f>'House Count'!B208</f>
        <v/>
      </c>
      <c r="D208" s="1205">
        <f>'House Count'!C208</f>
        <v/>
      </c>
      <c r="E208" s="1205">
        <f>'House Count'!D208</f>
        <v/>
      </c>
      <c r="F208" s="1205">
        <f>IF(G208="RES-SFU","RESIDENTIAL",IF(G208="RES-HOA","RESIDENTIAL",IF(G208="RES-MDU","RESIDENTIAL",IF(G208="COMM-SU","BUSINESS",IF(G208="COM-MTU","BUSINESS",IF(G208="ENT","BUSINESS",""))))))</f>
        <v/>
      </c>
      <c r="G208" s="1205">
        <f>'House Count'!F208</f>
        <v/>
      </c>
      <c r="H208" s="1205">
        <f>'House Count'!H208</f>
        <v/>
      </c>
    </row>
    <row r="209">
      <c r="A209" s="1204">
        <f>'House Count'!A209</f>
        <v/>
      </c>
      <c r="B209" s="1205">
        <f>'House Count'!E209</f>
        <v/>
      </c>
      <c r="C209" s="1205">
        <f>'House Count'!B209</f>
        <v/>
      </c>
      <c r="D209" s="1205">
        <f>'House Count'!C209</f>
        <v/>
      </c>
      <c r="E209" s="1205">
        <f>'House Count'!D209</f>
        <v/>
      </c>
      <c r="F209" s="1205">
        <f>IF(G209="RES-SFU","RESIDENTIAL",IF(G209="RES-HOA","RESIDENTIAL",IF(G209="RES-MDU","RESIDENTIAL",IF(G209="COMM-SU","BUSINESS",IF(G209="COM-MTU","BUSINESS",IF(G209="ENT","BUSINESS",""))))))</f>
        <v/>
      </c>
      <c r="G209" s="1205">
        <f>'House Count'!F209</f>
        <v/>
      </c>
      <c r="H209" s="1205">
        <f>'House Count'!H209</f>
        <v/>
      </c>
    </row>
    <row r="210">
      <c r="A210" s="1204">
        <f>'House Count'!A210</f>
        <v/>
      </c>
      <c r="B210" s="1205">
        <f>'House Count'!E210</f>
        <v/>
      </c>
      <c r="C210" s="1205">
        <f>'House Count'!B210</f>
        <v/>
      </c>
      <c r="D210" s="1205">
        <f>'House Count'!C210</f>
        <v/>
      </c>
      <c r="E210" s="1205">
        <f>'House Count'!D210</f>
        <v/>
      </c>
      <c r="F210" s="1205">
        <f>IF(G210="RES-SFU","RESIDENTIAL",IF(G210="RES-HOA","RESIDENTIAL",IF(G210="RES-MDU","RESIDENTIAL",IF(G210="COMM-SU","BUSINESS",IF(G210="COM-MTU","BUSINESS",IF(G210="ENT","BUSINESS",""))))))</f>
        <v/>
      </c>
      <c r="G210" s="1205">
        <f>'House Count'!F210</f>
        <v/>
      </c>
      <c r="H210" s="1205">
        <f>'House Count'!H210</f>
        <v/>
      </c>
    </row>
    <row r="211">
      <c r="A211" s="1204">
        <f>'House Count'!A211</f>
        <v/>
      </c>
      <c r="B211" s="1205">
        <f>'House Count'!E211</f>
        <v/>
      </c>
      <c r="C211" s="1205">
        <f>'House Count'!B211</f>
        <v/>
      </c>
      <c r="D211" s="1205">
        <f>'House Count'!C211</f>
        <v/>
      </c>
      <c r="E211" s="1205">
        <f>'House Count'!D211</f>
        <v/>
      </c>
      <c r="F211" s="1205">
        <f>IF(G211="RES-SFU","RESIDENTIAL",IF(G211="RES-HOA","RESIDENTIAL",IF(G211="RES-MDU","RESIDENTIAL",IF(G211="COMM-SU","BUSINESS",IF(G211="COM-MTU","BUSINESS",IF(G211="ENT","BUSINESS",""))))))</f>
        <v/>
      </c>
      <c r="G211" s="1205">
        <f>'House Count'!F211</f>
        <v/>
      </c>
      <c r="H211" s="1205">
        <f>'House Count'!H211</f>
        <v/>
      </c>
    </row>
    <row r="212">
      <c r="A212" s="1204">
        <f>'House Count'!A212</f>
        <v/>
      </c>
      <c r="B212" s="1205">
        <f>'House Count'!E212</f>
        <v/>
      </c>
      <c r="C212" s="1205">
        <f>'House Count'!B212</f>
        <v/>
      </c>
      <c r="D212" s="1205">
        <f>'House Count'!C212</f>
        <v/>
      </c>
      <c r="E212" s="1205">
        <f>'House Count'!D212</f>
        <v/>
      </c>
      <c r="F212" s="1205">
        <f>IF(G212="RES-SFU","RESIDENTIAL",IF(G212="RES-HOA","RESIDENTIAL",IF(G212="RES-MDU","RESIDENTIAL",IF(G212="COMM-SU","BUSINESS",IF(G212="COM-MTU","BUSINESS",IF(G212="ENT","BUSINESS",""))))))</f>
        <v/>
      </c>
      <c r="G212" s="1205">
        <f>'House Count'!F212</f>
        <v/>
      </c>
      <c r="H212" s="1205">
        <f>'House Count'!H212</f>
        <v/>
      </c>
    </row>
    <row r="213">
      <c r="A213" s="1204">
        <f>'House Count'!A213</f>
        <v/>
      </c>
      <c r="B213" s="1205">
        <f>'House Count'!E213</f>
        <v/>
      </c>
      <c r="C213" s="1205">
        <f>'House Count'!B213</f>
        <v/>
      </c>
      <c r="D213" s="1205">
        <f>'House Count'!C213</f>
        <v/>
      </c>
      <c r="E213" s="1205">
        <f>'House Count'!D213</f>
        <v/>
      </c>
      <c r="F213" s="1205">
        <f>IF(G213="RES-SFU","RESIDENTIAL",IF(G213="RES-HOA","RESIDENTIAL",IF(G213="RES-MDU","RESIDENTIAL",IF(G213="COMM-SU","BUSINESS",IF(G213="COM-MTU","BUSINESS",IF(G213="ENT","BUSINESS",""))))))</f>
        <v/>
      </c>
      <c r="G213" s="1205">
        <f>'House Count'!F213</f>
        <v/>
      </c>
      <c r="H213" s="1205">
        <f>'House Count'!H213</f>
        <v/>
      </c>
    </row>
    <row r="214">
      <c r="A214" s="1204">
        <f>'House Count'!A214</f>
        <v/>
      </c>
      <c r="B214" s="1205">
        <f>'House Count'!E214</f>
        <v/>
      </c>
      <c r="C214" s="1205">
        <f>'House Count'!B214</f>
        <v/>
      </c>
      <c r="D214" s="1205">
        <f>'House Count'!C214</f>
        <v/>
      </c>
      <c r="E214" s="1205">
        <f>'House Count'!D214</f>
        <v/>
      </c>
      <c r="F214" s="1205">
        <f>IF(G214="RES-SFU","RESIDENTIAL",IF(G214="RES-HOA","RESIDENTIAL",IF(G214="RES-MDU","RESIDENTIAL",IF(G214="COMM-SU","BUSINESS",IF(G214="COM-MTU","BUSINESS",IF(G214="ENT","BUSINESS",""))))))</f>
        <v/>
      </c>
      <c r="G214" s="1205">
        <f>'House Count'!F214</f>
        <v/>
      </c>
      <c r="H214" s="1205">
        <f>'House Count'!H214</f>
        <v/>
      </c>
    </row>
    <row r="215">
      <c r="A215" s="1204">
        <f>'House Count'!A215</f>
        <v/>
      </c>
      <c r="B215" s="1205">
        <f>'House Count'!E215</f>
        <v/>
      </c>
      <c r="C215" s="1205">
        <f>'House Count'!B215</f>
        <v/>
      </c>
      <c r="D215" s="1205">
        <f>'House Count'!C215</f>
        <v/>
      </c>
      <c r="E215" s="1205">
        <f>'House Count'!D215</f>
        <v/>
      </c>
      <c r="F215" s="1205">
        <f>IF(G215="RES-SFU","RESIDENTIAL",IF(G215="RES-HOA","RESIDENTIAL",IF(G215="RES-MDU","RESIDENTIAL",IF(G215="COMM-SU","BUSINESS",IF(G215="COM-MTU","BUSINESS",IF(G215="ENT","BUSINESS",""))))))</f>
        <v/>
      </c>
      <c r="G215" s="1205">
        <f>'House Count'!F215</f>
        <v/>
      </c>
      <c r="H215" s="1205">
        <f>'House Count'!H215</f>
        <v/>
      </c>
    </row>
    <row r="216">
      <c r="A216" s="1204">
        <f>'House Count'!A216</f>
        <v/>
      </c>
      <c r="B216" s="1205">
        <f>'House Count'!E216</f>
        <v/>
      </c>
      <c r="C216" s="1205">
        <f>'House Count'!B216</f>
        <v/>
      </c>
      <c r="D216" s="1205">
        <f>'House Count'!C216</f>
        <v/>
      </c>
      <c r="E216" s="1205">
        <f>'House Count'!D216</f>
        <v/>
      </c>
      <c r="F216" s="1205">
        <f>IF(G216="RES-SFU","RESIDENTIAL",IF(G216="RES-HOA","RESIDENTIAL",IF(G216="RES-MDU","RESIDENTIAL",IF(G216="COMM-SU","BUSINESS",IF(G216="COM-MTU","BUSINESS",IF(G216="ENT","BUSINESS",""))))))</f>
        <v/>
      </c>
      <c r="G216" s="1205">
        <f>'House Count'!F216</f>
        <v/>
      </c>
      <c r="H216" s="1205">
        <f>'House Count'!H216</f>
        <v/>
      </c>
    </row>
    <row r="217">
      <c r="A217" s="1204">
        <f>'House Count'!A217</f>
        <v/>
      </c>
      <c r="B217" s="1205">
        <f>'House Count'!E217</f>
        <v/>
      </c>
      <c r="C217" s="1205">
        <f>'House Count'!B217</f>
        <v/>
      </c>
      <c r="D217" s="1205">
        <f>'House Count'!C217</f>
        <v/>
      </c>
      <c r="E217" s="1205">
        <f>'House Count'!D217</f>
        <v/>
      </c>
      <c r="F217" s="1205">
        <f>IF(G217="RES-SFU","RESIDENTIAL",IF(G217="RES-HOA","RESIDENTIAL",IF(G217="RES-MDU","RESIDENTIAL",IF(G217="COMM-SU","BUSINESS",IF(G217="COM-MTU","BUSINESS",IF(G217="ENT","BUSINESS",""))))))</f>
        <v/>
      </c>
      <c r="G217" s="1205">
        <f>'House Count'!F217</f>
        <v/>
      </c>
      <c r="H217" s="1205">
        <f>'House Count'!H217</f>
        <v/>
      </c>
    </row>
    <row r="218">
      <c r="A218" s="1204">
        <f>'House Count'!A218</f>
        <v/>
      </c>
      <c r="B218" s="1205">
        <f>'House Count'!E218</f>
        <v/>
      </c>
      <c r="C218" s="1205">
        <f>'House Count'!B218</f>
        <v/>
      </c>
      <c r="D218" s="1205">
        <f>'House Count'!C218</f>
        <v/>
      </c>
      <c r="E218" s="1205">
        <f>'House Count'!D218</f>
        <v/>
      </c>
      <c r="F218" s="1205">
        <f>IF(G218="RES-SFU","RESIDENTIAL",IF(G218="RES-HOA","RESIDENTIAL",IF(G218="RES-MDU","RESIDENTIAL",IF(G218="COMM-SU","BUSINESS",IF(G218="COM-MTU","BUSINESS",IF(G218="ENT","BUSINESS",""))))))</f>
        <v/>
      </c>
      <c r="G218" s="1205">
        <f>'House Count'!F218</f>
        <v/>
      </c>
      <c r="H218" s="1205">
        <f>'House Count'!H218</f>
        <v/>
      </c>
    </row>
    <row r="219">
      <c r="A219" s="1204">
        <f>'House Count'!A219</f>
        <v/>
      </c>
      <c r="B219" s="1205">
        <f>'House Count'!E219</f>
        <v/>
      </c>
      <c r="C219" s="1205">
        <f>'House Count'!B219</f>
        <v/>
      </c>
      <c r="D219" s="1205">
        <f>'House Count'!C219</f>
        <v/>
      </c>
      <c r="E219" s="1205">
        <f>'House Count'!D219</f>
        <v/>
      </c>
      <c r="F219" s="1205">
        <f>IF(G219="RES-SFU","RESIDENTIAL",IF(G219="RES-HOA","RESIDENTIAL",IF(G219="RES-MDU","RESIDENTIAL",IF(G219="COMM-SU","BUSINESS",IF(G219="COM-MTU","BUSINESS",IF(G219="ENT","BUSINESS",""))))))</f>
        <v/>
      </c>
      <c r="G219" s="1205">
        <f>'House Count'!F219</f>
        <v/>
      </c>
      <c r="H219" s="1205">
        <f>'House Count'!H219</f>
        <v/>
      </c>
    </row>
    <row r="220">
      <c r="A220" s="1204">
        <f>'House Count'!A220</f>
        <v/>
      </c>
      <c r="B220" s="1205">
        <f>'House Count'!E220</f>
        <v/>
      </c>
      <c r="C220" s="1205">
        <f>'House Count'!B220</f>
        <v/>
      </c>
      <c r="D220" s="1205">
        <f>'House Count'!C220</f>
        <v/>
      </c>
      <c r="E220" s="1205">
        <f>'House Count'!D220</f>
        <v/>
      </c>
      <c r="F220" s="1205">
        <f>IF(G220="RES-SFU","RESIDENTIAL",IF(G220="RES-HOA","RESIDENTIAL",IF(G220="RES-MDU","RESIDENTIAL",IF(G220="COMM-SU","BUSINESS",IF(G220="COM-MTU","BUSINESS",IF(G220="ENT","BUSINESS",""))))))</f>
        <v/>
      </c>
      <c r="G220" s="1205">
        <f>'House Count'!F220</f>
        <v/>
      </c>
      <c r="H220" s="1205">
        <f>'House Count'!H220</f>
        <v/>
      </c>
    </row>
    <row r="221">
      <c r="A221" s="1204">
        <f>'House Count'!A221</f>
        <v/>
      </c>
      <c r="B221" s="1205">
        <f>'House Count'!E221</f>
        <v/>
      </c>
      <c r="C221" s="1205">
        <f>'House Count'!B221</f>
        <v/>
      </c>
      <c r="D221" s="1205">
        <f>'House Count'!C221</f>
        <v/>
      </c>
      <c r="E221" s="1205">
        <f>'House Count'!D221</f>
        <v/>
      </c>
      <c r="F221" s="1205">
        <f>IF(G221="RES-SFU","RESIDENTIAL",IF(G221="RES-HOA","RESIDENTIAL",IF(G221="RES-MDU","RESIDENTIAL",IF(G221="COMM-SU","BUSINESS",IF(G221="COM-MTU","BUSINESS",IF(G221="ENT","BUSINESS",""))))))</f>
        <v/>
      </c>
      <c r="G221" s="1205">
        <f>'House Count'!F221</f>
        <v/>
      </c>
      <c r="H221" s="1205">
        <f>'House Count'!H221</f>
        <v/>
      </c>
    </row>
    <row r="222">
      <c r="A222" s="1204">
        <f>'House Count'!A222</f>
        <v/>
      </c>
      <c r="B222" s="1205">
        <f>'House Count'!E222</f>
        <v/>
      </c>
      <c r="C222" s="1205">
        <f>'House Count'!B222</f>
        <v/>
      </c>
      <c r="D222" s="1205">
        <f>'House Count'!C222</f>
        <v/>
      </c>
      <c r="E222" s="1205">
        <f>'House Count'!D222</f>
        <v/>
      </c>
      <c r="F222" s="1205">
        <f>IF(G222="RES-SFU","RESIDENTIAL",IF(G222="RES-HOA","RESIDENTIAL",IF(G222="RES-MDU","RESIDENTIAL",IF(G222="COMM-SU","BUSINESS",IF(G222="COM-MTU","BUSINESS",IF(G222="ENT","BUSINESS",""))))))</f>
        <v/>
      </c>
      <c r="G222" s="1205">
        <f>'House Count'!F222</f>
        <v/>
      </c>
      <c r="H222" s="1205">
        <f>'House Count'!H222</f>
        <v/>
      </c>
    </row>
    <row r="223">
      <c r="A223" s="1204">
        <f>'House Count'!A223</f>
        <v/>
      </c>
      <c r="B223" s="1205">
        <f>'House Count'!E223</f>
        <v/>
      </c>
      <c r="C223" s="1205">
        <f>'House Count'!B223</f>
        <v/>
      </c>
      <c r="D223" s="1205">
        <f>'House Count'!C223</f>
        <v/>
      </c>
      <c r="E223" s="1205">
        <f>'House Count'!D223</f>
        <v/>
      </c>
      <c r="F223" s="1205">
        <f>IF(G223="RES-SFU","RESIDENTIAL",IF(G223="RES-HOA","RESIDENTIAL",IF(G223="RES-MDU","RESIDENTIAL",IF(G223="COMM-SU","BUSINESS",IF(G223="COM-MTU","BUSINESS",IF(G223="ENT","BUSINESS",""))))))</f>
        <v/>
      </c>
      <c r="G223" s="1205">
        <f>'House Count'!F223</f>
        <v/>
      </c>
      <c r="H223" s="1205">
        <f>'House Count'!H223</f>
        <v/>
      </c>
    </row>
    <row r="224">
      <c r="A224" s="1204">
        <f>'House Count'!A224</f>
        <v/>
      </c>
      <c r="B224" s="1205">
        <f>'House Count'!E224</f>
        <v/>
      </c>
      <c r="C224" s="1205">
        <f>'House Count'!B224</f>
        <v/>
      </c>
      <c r="D224" s="1205">
        <f>'House Count'!C224</f>
        <v/>
      </c>
      <c r="E224" s="1205">
        <f>'House Count'!D224</f>
        <v/>
      </c>
      <c r="F224" s="1205">
        <f>IF(G224="RES-SFU","RESIDENTIAL",IF(G224="RES-HOA","RESIDENTIAL",IF(G224="RES-MDU","RESIDENTIAL",IF(G224="COMM-SU","BUSINESS",IF(G224="COM-MTU","BUSINESS",IF(G224="ENT","BUSINESS",""))))))</f>
        <v/>
      </c>
      <c r="G224" s="1205">
        <f>'House Count'!F224</f>
        <v/>
      </c>
      <c r="H224" s="1205">
        <f>'House Count'!H224</f>
        <v/>
      </c>
    </row>
    <row r="225">
      <c r="A225" s="1204">
        <f>'House Count'!A225</f>
        <v/>
      </c>
      <c r="B225" s="1205">
        <f>'House Count'!E225</f>
        <v/>
      </c>
      <c r="C225" s="1205">
        <f>'House Count'!B225</f>
        <v/>
      </c>
      <c r="D225" s="1205">
        <f>'House Count'!C225</f>
        <v/>
      </c>
      <c r="E225" s="1205">
        <f>'House Count'!D225</f>
        <v/>
      </c>
      <c r="F225" s="1205">
        <f>IF(G225="RES-SFU","RESIDENTIAL",IF(G225="RES-HOA","RESIDENTIAL",IF(G225="RES-MDU","RESIDENTIAL",IF(G225="COMM-SU","BUSINESS",IF(G225="COM-MTU","BUSINESS",IF(G225="ENT","BUSINESS",""))))))</f>
        <v/>
      </c>
      <c r="G225" s="1205">
        <f>'House Count'!F225</f>
        <v/>
      </c>
      <c r="H225" s="1205">
        <f>'House Count'!H225</f>
        <v/>
      </c>
    </row>
    <row r="226">
      <c r="A226" s="1204">
        <f>'House Count'!A226</f>
        <v/>
      </c>
      <c r="B226" s="1205">
        <f>'House Count'!E226</f>
        <v/>
      </c>
      <c r="C226" s="1205">
        <f>'House Count'!B226</f>
        <v/>
      </c>
      <c r="D226" s="1205">
        <f>'House Count'!C226</f>
        <v/>
      </c>
      <c r="E226" s="1205">
        <f>'House Count'!D226</f>
        <v/>
      </c>
      <c r="F226" s="1205">
        <f>IF(G226="RES-SFU","RESIDENTIAL",IF(G226="RES-HOA","RESIDENTIAL",IF(G226="RES-MDU","RESIDENTIAL",IF(G226="COMM-SU","BUSINESS",IF(G226="COM-MTU","BUSINESS",IF(G226="ENT","BUSINESS",""))))))</f>
        <v/>
      </c>
      <c r="G226" s="1205">
        <f>'House Count'!F226</f>
        <v/>
      </c>
      <c r="H226" s="1205">
        <f>'House Count'!H226</f>
        <v/>
      </c>
    </row>
    <row r="227">
      <c r="A227" s="1204">
        <f>'House Count'!A227</f>
        <v/>
      </c>
      <c r="B227" s="1205">
        <f>'House Count'!E227</f>
        <v/>
      </c>
      <c r="C227" s="1205">
        <f>'House Count'!B227</f>
        <v/>
      </c>
      <c r="D227" s="1205">
        <f>'House Count'!C227</f>
        <v/>
      </c>
      <c r="E227" s="1205">
        <f>'House Count'!D227</f>
        <v/>
      </c>
      <c r="F227" s="1205">
        <f>IF(G227="RES-SFU","RESIDENTIAL",IF(G227="RES-HOA","RESIDENTIAL",IF(G227="RES-MDU","RESIDENTIAL",IF(G227="COMM-SU","BUSINESS",IF(G227="COM-MTU","BUSINESS",IF(G227="ENT","BUSINESS",""))))))</f>
        <v/>
      </c>
      <c r="G227" s="1205">
        <f>'House Count'!F227</f>
        <v/>
      </c>
      <c r="H227" s="1205">
        <f>'House Count'!H227</f>
        <v/>
      </c>
    </row>
    <row r="228">
      <c r="A228" s="1204">
        <f>'House Count'!A228</f>
        <v/>
      </c>
      <c r="B228" s="1205">
        <f>'House Count'!E228</f>
        <v/>
      </c>
      <c r="C228" s="1205">
        <f>'House Count'!B228</f>
        <v/>
      </c>
      <c r="D228" s="1205">
        <f>'House Count'!C228</f>
        <v/>
      </c>
      <c r="E228" s="1205">
        <f>'House Count'!D228</f>
        <v/>
      </c>
      <c r="F228" s="1205">
        <f>IF(G228="RES-SFU","RESIDENTIAL",IF(G228="RES-HOA","RESIDENTIAL",IF(G228="RES-MDU","RESIDENTIAL",IF(G228="COMM-SU","BUSINESS",IF(G228="COM-MTU","BUSINESS",IF(G228="ENT","BUSINESS",""))))))</f>
        <v/>
      </c>
      <c r="G228" s="1205">
        <f>'House Count'!F228</f>
        <v/>
      </c>
      <c r="H228" s="1205">
        <f>'House Count'!H228</f>
        <v/>
      </c>
    </row>
    <row r="229">
      <c r="A229" s="1204">
        <f>'House Count'!A229</f>
        <v/>
      </c>
      <c r="B229" s="1205">
        <f>'House Count'!E229</f>
        <v/>
      </c>
      <c r="C229" s="1205">
        <f>'House Count'!B229</f>
        <v/>
      </c>
      <c r="D229" s="1205">
        <f>'House Count'!C229</f>
        <v/>
      </c>
      <c r="E229" s="1205">
        <f>'House Count'!D229</f>
        <v/>
      </c>
      <c r="F229" s="1205">
        <f>IF(G229="RES-SFU","RESIDENTIAL",IF(G229="RES-HOA","RESIDENTIAL",IF(G229="RES-MDU","RESIDENTIAL",IF(G229="COMM-SU","BUSINESS",IF(G229="COM-MTU","BUSINESS",IF(G229="ENT","BUSINESS",""))))))</f>
        <v/>
      </c>
      <c r="G229" s="1205">
        <f>'House Count'!F229</f>
        <v/>
      </c>
      <c r="H229" s="1205">
        <f>'House Count'!H229</f>
        <v/>
      </c>
    </row>
    <row r="230">
      <c r="A230" s="1204">
        <f>'House Count'!A230</f>
        <v/>
      </c>
      <c r="B230" s="1205">
        <f>'House Count'!E230</f>
        <v/>
      </c>
      <c r="C230" s="1205">
        <f>'House Count'!B230</f>
        <v/>
      </c>
      <c r="D230" s="1205">
        <f>'House Count'!C230</f>
        <v/>
      </c>
      <c r="E230" s="1205">
        <f>'House Count'!D230</f>
        <v/>
      </c>
      <c r="F230" s="1205">
        <f>IF(G230="RES-SFU","RESIDENTIAL",IF(G230="RES-HOA","RESIDENTIAL",IF(G230="RES-MDU","RESIDENTIAL",IF(G230="COMM-SU","BUSINESS",IF(G230="COM-MTU","BUSINESS",IF(G230="ENT","BUSINESS",""))))))</f>
        <v/>
      </c>
      <c r="G230" s="1205">
        <f>'House Count'!F230</f>
        <v/>
      </c>
      <c r="H230" s="1205">
        <f>'House Count'!H230</f>
        <v/>
      </c>
    </row>
    <row r="231">
      <c r="A231" s="1204">
        <f>'House Count'!A231</f>
        <v/>
      </c>
      <c r="B231" s="1205">
        <f>'House Count'!E231</f>
        <v/>
      </c>
      <c r="C231" s="1205">
        <f>'House Count'!B231</f>
        <v/>
      </c>
      <c r="D231" s="1205">
        <f>'House Count'!C231</f>
        <v/>
      </c>
      <c r="E231" s="1205">
        <f>'House Count'!D231</f>
        <v/>
      </c>
      <c r="F231" s="1205">
        <f>IF(G231="RES-SFU","RESIDENTIAL",IF(G231="RES-HOA","RESIDENTIAL",IF(G231="RES-MDU","RESIDENTIAL",IF(G231="COMM-SU","BUSINESS",IF(G231="COM-MTU","BUSINESS",IF(G231="ENT","BUSINESS",""))))))</f>
        <v/>
      </c>
      <c r="G231" s="1205">
        <f>'House Count'!F231</f>
        <v/>
      </c>
      <c r="H231" s="1205">
        <f>'House Count'!H231</f>
        <v/>
      </c>
    </row>
    <row r="232">
      <c r="A232" s="1204">
        <f>'House Count'!A232</f>
        <v/>
      </c>
      <c r="B232" s="1205">
        <f>'House Count'!E232</f>
        <v/>
      </c>
      <c r="C232" s="1205">
        <f>'House Count'!B232</f>
        <v/>
      </c>
      <c r="D232" s="1205">
        <f>'House Count'!C232</f>
        <v/>
      </c>
      <c r="E232" s="1205">
        <f>'House Count'!D232</f>
        <v/>
      </c>
      <c r="F232" s="1205">
        <f>IF(G232="RES-SFU","RESIDENTIAL",IF(G232="RES-HOA","RESIDENTIAL",IF(G232="RES-MDU","RESIDENTIAL",IF(G232="COMM-SU","BUSINESS",IF(G232="COM-MTU","BUSINESS",IF(G232="ENT","BUSINESS",""))))))</f>
        <v/>
      </c>
      <c r="G232" s="1205">
        <f>'House Count'!F232</f>
        <v/>
      </c>
      <c r="H232" s="1205">
        <f>'House Count'!H232</f>
        <v/>
      </c>
    </row>
    <row r="233">
      <c r="A233" s="1204">
        <f>'House Count'!A233</f>
        <v/>
      </c>
      <c r="B233" s="1205">
        <f>'House Count'!E233</f>
        <v/>
      </c>
      <c r="C233" s="1205">
        <f>'House Count'!B233</f>
        <v/>
      </c>
      <c r="D233" s="1205">
        <f>'House Count'!C233</f>
        <v/>
      </c>
      <c r="E233" s="1205">
        <f>'House Count'!D233</f>
        <v/>
      </c>
      <c r="F233" s="1205">
        <f>IF(G233="RES-SFU","RESIDENTIAL",IF(G233="RES-HOA","RESIDENTIAL",IF(G233="RES-MDU","RESIDENTIAL",IF(G233="COMM-SU","BUSINESS",IF(G233="COM-MTU","BUSINESS",IF(G233="ENT","BUSINESS",""))))))</f>
        <v/>
      </c>
      <c r="G233" s="1205">
        <f>'House Count'!F233</f>
        <v/>
      </c>
      <c r="H233" s="1205">
        <f>'House Count'!H233</f>
        <v/>
      </c>
    </row>
    <row r="234">
      <c r="A234" s="1204">
        <f>'House Count'!A234</f>
        <v/>
      </c>
      <c r="B234" s="1205">
        <f>'House Count'!E234</f>
        <v/>
      </c>
      <c r="C234" s="1205">
        <f>'House Count'!B234</f>
        <v/>
      </c>
      <c r="D234" s="1205">
        <f>'House Count'!C234</f>
        <v/>
      </c>
      <c r="E234" s="1205">
        <f>'House Count'!D234</f>
        <v/>
      </c>
      <c r="F234" s="1205">
        <f>IF(G234="RES-SFU","RESIDENTIAL",IF(G234="RES-HOA","RESIDENTIAL",IF(G234="RES-MDU","RESIDENTIAL",IF(G234="COMM-SU","BUSINESS",IF(G234="COM-MTU","BUSINESS",IF(G234="ENT","BUSINESS",""))))))</f>
        <v/>
      </c>
      <c r="G234" s="1205">
        <f>'House Count'!F234</f>
        <v/>
      </c>
      <c r="H234" s="1205">
        <f>'House Count'!H234</f>
        <v/>
      </c>
    </row>
    <row r="235">
      <c r="A235" s="1204">
        <f>'House Count'!A235</f>
        <v/>
      </c>
      <c r="B235" s="1205">
        <f>'House Count'!E235</f>
        <v/>
      </c>
      <c r="C235" s="1205">
        <f>'House Count'!B235</f>
        <v/>
      </c>
      <c r="D235" s="1205">
        <f>'House Count'!C235</f>
        <v/>
      </c>
      <c r="E235" s="1205">
        <f>'House Count'!D235</f>
        <v/>
      </c>
      <c r="F235" s="1205">
        <f>IF(G235="RES-SFU","RESIDENTIAL",IF(G235="RES-HOA","RESIDENTIAL",IF(G235="RES-MDU","RESIDENTIAL",IF(G235="COMM-SU","BUSINESS",IF(G235="COM-MTU","BUSINESS",IF(G235="ENT","BUSINESS",""))))))</f>
        <v/>
      </c>
      <c r="G235" s="1205">
        <f>'House Count'!F235</f>
        <v/>
      </c>
      <c r="H235" s="1205">
        <f>'House Count'!H235</f>
        <v/>
      </c>
    </row>
    <row r="236">
      <c r="A236" s="1204">
        <f>'House Count'!A236</f>
        <v/>
      </c>
      <c r="B236" s="1205">
        <f>'House Count'!E236</f>
        <v/>
      </c>
      <c r="C236" s="1205">
        <f>'House Count'!B236</f>
        <v/>
      </c>
      <c r="D236" s="1205">
        <f>'House Count'!C236</f>
        <v/>
      </c>
      <c r="E236" s="1205">
        <f>'House Count'!D236</f>
        <v/>
      </c>
      <c r="F236" s="1205">
        <f>IF(G236="RES-SFU","RESIDENTIAL",IF(G236="RES-HOA","RESIDENTIAL",IF(G236="RES-MDU","RESIDENTIAL",IF(G236="COMM-SU","BUSINESS",IF(G236="COM-MTU","BUSINESS",IF(G236="ENT","BUSINESS",""))))))</f>
        <v/>
      </c>
      <c r="G236" s="1205">
        <f>'House Count'!F236</f>
        <v/>
      </c>
      <c r="H236" s="1205">
        <f>'House Count'!H236</f>
        <v/>
      </c>
    </row>
    <row r="237">
      <c r="A237" s="1204">
        <f>'House Count'!A237</f>
        <v/>
      </c>
      <c r="B237" s="1205">
        <f>'House Count'!E237</f>
        <v/>
      </c>
      <c r="C237" s="1205">
        <f>'House Count'!B237</f>
        <v/>
      </c>
      <c r="D237" s="1205">
        <f>'House Count'!C237</f>
        <v/>
      </c>
      <c r="E237" s="1205">
        <f>'House Count'!D237</f>
        <v/>
      </c>
      <c r="F237" s="1205">
        <f>IF(G237="RES-SFU","RESIDENTIAL",IF(G237="RES-HOA","RESIDENTIAL",IF(G237="RES-MDU","RESIDENTIAL",IF(G237="COMM-SU","BUSINESS",IF(G237="COM-MTU","BUSINESS",IF(G237="ENT","BUSINESS",""))))))</f>
        <v/>
      </c>
      <c r="G237" s="1205">
        <f>'House Count'!F237</f>
        <v/>
      </c>
      <c r="H237" s="1205">
        <f>'House Count'!H237</f>
        <v/>
      </c>
    </row>
    <row r="238">
      <c r="A238" s="1204">
        <f>'House Count'!A238</f>
        <v/>
      </c>
      <c r="B238" s="1205">
        <f>'House Count'!E238</f>
        <v/>
      </c>
      <c r="C238" s="1205">
        <f>'House Count'!B238</f>
        <v/>
      </c>
      <c r="D238" s="1205">
        <f>'House Count'!C238</f>
        <v/>
      </c>
      <c r="E238" s="1205">
        <f>'House Count'!D238</f>
        <v/>
      </c>
      <c r="F238" s="1205">
        <f>IF(G238="RES-SFU","RESIDENTIAL",IF(G238="RES-HOA","RESIDENTIAL",IF(G238="RES-MDU","RESIDENTIAL",IF(G238="COMM-SU","BUSINESS",IF(G238="COM-MTU","BUSINESS",IF(G238="ENT","BUSINESS",""))))))</f>
        <v/>
      </c>
      <c r="G238" s="1205">
        <f>'House Count'!F238</f>
        <v/>
      </c>
      <c r="H238" s="1205">
        <f>'House Count'!H238</f>
        <v/>
      </c>
    </row>
    <row r="239">
      <c r="A239" s="1204">
        <f>'House Count'!A239</f>
        <v/>
      </c>
      <c r="B239" s="1205">
        <f>'House Count'!E239</f>
        <v/>
      </c>
      <c r="C239" s="1205">
        <f>'House Count'!B239</f>
        <v/>
      </c>
      <c r="D239" s="1205">
        <f>'House Count'!C239</f>
        <v/>
      </c>
      <c r="E239" s="1205">
        <f>'House Count'!D239</f>
        <v/>
      </c>
      <c r="F239" s="1205">
        <f>IF(G239="RES-SFU","RESIDENTIAL",IF(G239="RES-HOA","RESIDENTIAL",IF(G239="RES-MDU","RESIDENTIAL",IF(G239="COMM-SU","BUSINESS",IF(G239="COM-MTU","BUSINESS",IF(G239="ENT","BUSINESS",""))))))</f>
        <v/>
      </c>
      <c r="G239" s="1205">
        <f>'House Count'!F239</f>
        <v/>
      </c>
      <c r="H239" s="1205">
        <f>'House Count'!H239</f>
        <v/>
      </c>
    </row>
    <row r="240">
      <c r="A240" s="1204">
        <f>'House Count'!A240</f>
        <v/>
      </c>
      <c r="B240" s="1205">
        <f>'House Count'!E240</f>
        <v/>
      </c>
      <c r="C240" s="1205">
        <f>'House Count'!B240</f>
        <v/>
      </c>
      <c r="D240" s="1205">
        <f>'House Count'!C240</f>
        <v/>
      </c>
      <c r="E240" s="1205">
        <f>'House Count'!D240</f>
        <v/>
      </c>
      <c r="F240" s="1205">
        <f>IF(G240="RES-SFU","RESIDENTIAL",IF(G240="RES-HOA","RESIDENTIAL",IF(G240="RES-MDU","RESIDENTIAL",IF(G240="COMM-SU","BUSINESS",IF(G240="COM-MTU","BUSINESS",IF(G240="ENT","BUSINESS",""))))))</f>
        <v/>
      </c>
      <c r="G240" s="1205">
        <f>'House Count'!F240</f>
        <v/>
      </c>
      <c r="H240" s="1205">
        <f>'House Count'!H240</f>
        <v/>
      </c>
    </row>
    <row r="241">
      <c r="A241" s="1204">
        <f>'House Count'!A241</f>
        <v/>
      </c>
      <c r="B241" s="1205">
        <f>'House Count'!E241</f>
        <v/>
      </c>
      <c r="C241" s="1205">
        <f>'House Count'!B241</f>
        <v/>
      </c>
      <c r="D241" s="1205">
        <f>'House Count'!C241</f>
        <v/>
      </c>
      <c r="E241" s="1205">
        <f>'House Count'!D241</f>
        <v/>
      </c>
      <c r="F241" s="1205">
        <f>IF(G241="RES-SFU","RESIDENTIAL",IF(G241="RES-HOA","RESIDENTIAL",IF(G241="RES-MDU","RESIDENTIAL",IF(G241="COMM-SU","BUSINESS",IF(G241="COM-MTU","BUSINESS",IF(G241="ENT","BUSINESS",""))))))</f>
        <v/>
      </c>
      <c r="G241" s="1205">
        <f>'House Count'!F241</f>
        <v/>
      </c>
      <c r="H241" s="1205">
        <f>'House Count'!H241</f>
        <v/>
      </c>
    </row>
    <row r="242">
      <c r="A242" s="1204">
        <f>'House Count'!A242</f>
        <v/>
      </c>
      <c r="B242" s="1205">
        <f>'House Count'!E242</f>
        <v/>
      </c>
      <c r="C242" s="1205">
        <f>'House Count'!B242</f>
        <v/>
      </c>
      <c r="D242" s="1205">
        <f>'House Count'!C242</f>
        <v/>
      </c>
      <c r="E242" s="1205">
        <f>'House Count'!D242</f>
        <v/>
      </c>
      <c r="F242" s="1205">
        <f>IF(G242="RES-SFU","RESIDENTIAL",IF(G242="RES-HOA","RESIDENTIAL",IF(G242="RES-MDU","RESIDENTIAL",IF(G242="COMM-SU","BUSINESS",IF(G242="COM-MTU","BUSINESS",IF(G242="ENT","BUSINESS",""))))))</f>
        <v/>
      </c>
      <c r="G242" s="1205">
        <f>'House Count'!F242</f>
        <v/>
      </c>
      <c r="H242" s="1205">
        <f>'House Count'!H242</f>
        <v/>
      </c>
    </row>
    <row r="243">
      <c r="A243" s="1204">
        <f>'House Count'!A243</f>
        <v/>
      </c>
      <c r="B243" s="1205">
        <f>'House Count'!E243</f>
        <v/>
      </c>
      <c r="C243" s="1205">
        <f>'House Count'!B243</f>
        <v/>
      </c>
      <c r="D243" s="1205">
        <f>'House Count'!C243</f>
        <v/>
      </c>
      <c r="E243" s="1205">
        <f>'House Count'!D243</f>
        <v/>
      </c>
      <c r="F243" s="1205">
        <f>IF(G243="RES-SFU","RESIDENTIAL",IF(G243="RES-HOA","RESIDENTIAL",IF(G243="RES-MDU","RESIDENTIAL",IF(G243="COMM-SU","BUSINESS",IF(G243="COM-MTU","BUSINESS",IF(G243="ENT","BUSINESS",""))))))</f>
        <v/>
      </c>
      <c r="G243" s="1205">
        <f>'House Count'!F243</f>
        <v/>
      </c>
      <c r="H243" s="1205">
        <f>'House Count'!H243</f>
        <v/>
      </c>
    </row>
    <row r="244">
      <c r="A244" s="1204">
        <f>'House Count'!A244</f>
        <v/>
      </c>
      <c r="B244" s="1205">
        <f>'House Count'!E244</f>
        <v/>
      </c>
      <c r="C244" s="1205">
        <f>'House Count'!B244</f>
        <v/>
      </c>
      <c r="D244" s="1205">
        <f>'House Count'!C244</f>
        <v/>
      </c>
      <c r="E244" s="1205">
        <f>'House Count'!D244</f>
        <v/>
      </c>
      <c r="F244" s="1205">
        <f>IF(G244="RES-SFU","RESIDENTIAL",IF(G244="RES-HOA","RESIDENTIAL",IF(G244="RES-MDU","RESIDENTIAL",IF(G244="COMM-SU","BUSINESS",IF(G244="COM-MTU","BUSINESS",IF(G244="ENT","BUSINESS",""))))))</f>
        <v/>
      </c>
      <c r="G244" s="1205">
        <f>'House Count'!F244</f>
        <v/>
      </c>
      <c r="H244" s="1205">
        <f>'House Count'!H244</f>
        <v/>
      </c>
    </row>
    <row r="245">
      <c r="A245" s="1204">
        <f>'House Count'!A245</f>
        <v/>
      </c>
      <c r="B245" s="1205">
        <f>'House Count'!E245</f>
        <v/>
      </c>
      <c r="C245" s="1205">
        <f>'House Count'!B245</f>
        <v/>
      </c>
      <c r="D245" s="1205">
        <f>'House Count'!C245</f>
        <v/>
      </c>
      <c r="E245" s="1205">
        <f>'House Count'!D245</f>
        <v/>
      </c>
      <c r="F245" s="1205">
        <f>IF(G245="RES-SFU","RESIDENTIAL",IF(G245="RES-HOA","RESIDENTIAL",IF(G245="RES-MDU","RESIDENTIAL",IF(G245="COMM-SU","BUSINESS",IF(G245="COM-MTU","BUSINESS",IF(G245="ENT","BUSINESS",""))))))</f>
        <v/>
      </c>
      <c r="G245" s="1205">
        <f>'House Count'!F245</f>
        <v/>
      </c>
      <c r="H245" s="1205">
        <f>'House Count'!H245</f>
        <v/>
      </c>
    </row>
    <row r="246">
      <c r="A246" s="1204">
        <f>'House Count'!A246</f>
        <v/>
      </c>
      <c r="B246" s="1205">
        <f>'House Count'!E246</f>
        <v/>
      </c>
      <c r="C246" s="1205">
        <f>'House Count'!B246</f>
        <v/>
      </c>
      <c r="D246" s="1205">
        <f>'House Count'!C246</f>
        <v/>
      </c>
      <c r="E246" s="1205">
        <f>'House Count'!D246</f>
        <v/>
      </c>
      <c r="F246" s="1205">
        <f>IF(G246="RES-SFU","RESIDENTIAL",IF(G246="RES-HOA","RESIDENTIAL",IF(G246="RES-MDU","RESIDENTIAL",IF(G246="COMM-SU","BUSINESS",IF(G246="COM-MTU","BUSINESS",IF(G246="ENT","BUSINESS",""))))))</f>
        <v/>
      </c>
      <c r="G246" s="1205">
        <f>'House Count'!F246</f>
        <v/>
      </c>
      <c r="H246" s="1205">
        <f>'House Count'!H246</f>
        <v/>
      </c>
    </row>
    <row r="247">
      <c r="A247" s="1204">
        <f>'House Count'!A247</f>
        <v/>
      </c>
      <c r="B247" s="1205">
        <f>'House Count'!E247</f>
        <v/>
      </c>
      <c r="C247" s="1205">
        <f>'House Count'!B247</f>
        <v/>
      </c>
      <c r="D247" s="1205">
        <f>'House Count'!C247</f>
        <v/>
      </c>
      <c r="E247" s="1205">
        <f>'House Count'!D247</f>
        <v/>
      </c>
      <c r="F247" s="1205">
        <f>IF(G247="RES-SFU","RESIDENTIAL",IF(G247="RES-HOA","RESIDENTIAL",IF(G247="RES-MDU","RESIDENTIAL",IF(G247="COMM-SU","BUSINESS",IF(G247="COM-MTU","BUSINESS",IF(G247="ENT","BUSINESS",""))))))</f>
        <v/>
      </c>
      <c r="G247" s="1205">
        <f>'House Count'!F247</f>
        <v/>
      </c>
      <c r="H247" s="1205">
        <f>'House Count'!H247</f>
        <v/>
      </c>
    </row>
    <row r="248">
      <c r="A248" s="1204">
        <f>'House Count'!A248</f>
        <v/>
      </c>
      <c r="B248" s="1205">
        <f>'House Count'!E248</f>
        <v/>
      </c>
      <c r="C248" s="1205">
        <f>'House Count'!B248</f>
        <v/>
      </c>
      <c r="D248" s="1205">
        <f>'House Count'!C248</f>
        <v/>
      </c>
      <c r="E248" s="1205">
        <f>'House Count'!D248</f>
        <v/>
      </c>
      <c r="F248" s="1205">
        <f>IF(G248="RES-SFU","RESIDENTIAL",IF(G248="RES-HOA","RESIDENTIAL",IF(G248="RES-MDU","RESIDENTIAL",IF(G248="COMM-SU","BUSINESS",IF(G248="COM-MTU","BUSINESS",IF(G248="ENT","BUSINESS",""))))))</f>
        <v/>
      </c>
      <c r="G248" s="1205">
        <f>'House Count'!F248</f>
        <v/>
      </c>
      <c r="H248" s="1205">
        <f>'House Count'!H248</f>
        <v/>
      </c>
    </row>
    <row r="249">
      <c r="A249" s="1204">
        <f>'House Count'!A249</f>
        <v/>
      </c>
      <c r="B249" s="1205">
        <f>'House Count'!E249</f>
        <v/>
      </c>
      <c r="C249" s="1205">
        <f>'House Count'!B249</f>
        <v/>
      </c>
      <c r="D249" s="1205">
        <f>'House Count'!C249</f>
        <v/>
      </c>
      <c r="E249" s="1205">
        <f>'House Count'!D249</f>
        <v/>
      </c>
      <c r="F249" s="1205">
        <f>IF(G249="RES-SFU","RESIDENTIAL",IF(G249="RES-HOA","RESIDENTIAL",IF(G249="RES-MDU","RESIDENTIAL",IF(G249="COMM-SU","BUSINESS",IF(G249="COM-MTU","BUSINESS",IF(G249="ENT","BUSINESS",""))))))</f>
        <v/>
      </c>
      <c r="G249" s="1205">
        <f>'House Count'!F249</f>
        <v/>
      </c>
      <c r="H249" s="1205">
        <f>'House Count'!H249</f>
        <v/>
      </c>
    </row>
    <row r="250">
      <c r="A250" s="1204">
        <f>'House Count'!A250</f>
        <v/>
      </c>
      <c r="B250" s="1205">
        <f>'House Count'!E250</f>
        <v/>
      </c>
      <c r="C250" s="1205">
        <f>'House Count'!B250</f>
        <v/>
      </c>
      <c r="D250" s="1205">
        <f>'House Count'!C250</f>
        <v/>
      </c>
      <c r="E250" s="1205">
        <f>'House Count'!D250</f>
        <v/>
      </c>
      <c r="F250" s="1205">
        <f>IF(G250="RES-SFU","RESIDENTIAL",IF(G250="RES-HOA","RESIDENTIAL",IF(G250="RES-MDU","RESIDENTIAL",IF(G250="COMM-SU","BUSINESS",IF(G250="COM-MTU","BUSINESS",IF(G250="ENT","BUSINESS",""))))))</f>
        <v/>
      </c>
      <c r="G250" s="1205">
        <f>'House Count'!F250</f>
        <v/>
      </c>
      <c r="H250" s="1205">
        <f>'House Count'!H250</f>
        <v/>
      </c>
    </row>
    <row r="251">
      <c r="A251" s="1204">
        <f>'House Count'!A251</f>
        <v/>
      </c>
      <c r="B251" s="1205">
        <f>'House Count'!E251</f>
        <v/>
      </c>
      <c r="C251" s="1205">
        <f>'House Count'!B251</f>
        <v/>
      </c>
      <c r="D251" s="1205">
        <f>'House Count'!C251</f>
        <v/>
      </c>
      <c r="E251" s="1205">
        <f>'House Count'!D251</f>
        <v/>
      </c>
      <c r="F251" s="1205">
        <f>IF(G251="RES-SFU","RESIDENTIAL",IF(G251="RES-HOA","RESIDENTIAL",IF(G251="RES-MDU","RESIDENTIAL",IF(G251="COMM-SU","BUSINESS",IF(G251="COM-MTU","BUSINESS",IF(G251="ENT","BUSINESS",""))))))</f>
        <v/>
      </c>
      <c r="G251" s="1205">
        <f>'House Count'!F251</f>
        <v/>
      </c>
      <c r="H251" s="1205">
        <f>'House Count'!H251</f>
        <v/>
      </c>
    </row>
    <row r="252">
      <c r="A252" s="1204">
        <f>'House Count'!A252</f>
        <v/>
      </c>
      <c r="B252" s="1205">
        <f>'House Count'!E252</f>
        <v/>
      </c>
      <c r="C252" s="1205">
        <f>'House Count'!B252</f>
        <v/>
      </c>
      <c r="D252" s="1205">
        <f>'House Count'!C252</f>
        <v/>
      </c>
      <c r="E252" s="1205">
        <f>'House Count'!D252</f>
        <v/>
      </c>
      <c r="F252" s="1205">
        <f>IF(G252="RES-SFU","RESIDENTIAL",IF(G252="RES-HOA","RESIDENTIAL",IF(G252="RES-MDU","RESIDENTIAL",IF(G252="COMM-SU","BUSINESS",IF(G252="COM-MTU","BUSINESS",IF(G252="ENT","BUSINESS",""))))))</f>
        <v/>
      </c>
      <c r="G252" s="1205">
        <f>'House Count'!F252</f>
        <v/>
      </c>
      <c r="H252" s="1205">
        <f>'House Count'!H252</f>
        <v/>
      </c>
    </row>
    <row r="253">
      <c r="A253" s="1204">
        <f>'House Count'!A253</f>
        <v/>
      </c>
      <c r="B253" s="1205">
        <f>'House Count'!E253</f>
        <v/>
      </c>
      <c r="C253" s="1205">
        <f>'House Count'!B253</f>
        <v/>
      </c>
      <c r="D253" s="1205">
        <f>'House Count'!C253</f>
        <v/>
      </c>
      <c r="E253" s="1205">
        <f>'House Count'!D253</f>
        <v/>
      </c>
      <c r="F253" s="1205">
        <f>IF(G253="RES-SFU","RESIDENTIAL",IF(G253="RES-HOA","RESIDENTIAL",IF(G253="RES-MDU","RESIDENTIAL",IF(G253="COMM-SU","BUSINESS",IF(G253="COM-MTU","BUSINESS",IF(G253="ENT","BUSINESS",""))))))</f>
        <v/>
      </c>
      <c r="G253" s="1205">
        <f>'House Count'!F253</f>
        <v/>
      </c>
      <c r="H253" s="1205">
        <f>'House Count'!H253</f>
        <v/>
      </c>
    </row>
    <row r="254">
      <c r="A254" s="1204">
        <f>'House Count'!A254</f>
        <v/>
      </c>
      <c r="B254" s="1205">
        <f>'House Count'!E254</f>
        <v/>
      </c>
      <c r="C254" s="1205">
        <f>'House Count'!B254</f>
        <v/>
      </c>
      <c r="D254" s="1205">
        <f>'House Count'!C254</f>
        <v/>
      </c>
      <c r="E254" s="1205">
        <f>'House Count'!D254</f>
        <v/>
      </c>
      <c r="F254" s="1205">
        <f>IF(G254="RES-SFU","RESIDENTIAL",IF(G254="RES-HOA","RESIDENTIAL",IF(G254="RES-MDU","RESIDENTIAL",IF(G254="COMM-SU","BUSINESS",IF(G254="COM-MTU","BUSINESS",IF(G254="ENT","BUSINESS",""))))))</f>
        <v/>
      </c>
      <c r="G254" s="1205">
        <f>'House Count'!F254</f>
        <v/>
      </c>
      <c r="H254" s="1205">
        <f>'House Count'!H254</f>
        <v/>
      </c>
    </row>
    <row r="255">
      <c r="A255" s="1204">
        <f>'House Count'!A255</f>
        <v/>
      </c>
      <c r="B255" s="1205">
        <f>'House Count'!E255</f>
        <v/>
      </c>
      <c r="C255" s="1205">
        <f>'House Count'!B255</f>
        <v/>
      </c>
      <c r="D255" s="1205">
        <f>'House Count'!C255</f>
        <v/>
      </c>
      <c r="E255" s="1205">
        <f>'House Count'!D255</f>
        <v/>
      </c>
      <c r="F255" s="1205">
        <f>IF(G255="RES-SFU","RESIDENTIAL",IF(G255="RES-HOA","RESIDENTIAL",IF(G255="RES-MDU","RESIDENTIAL",IF(G255="COMM-SU","BUSINESS",IF(G255="COM-MTU","BUSINESS",IF(G255="ENT","BUSINESS",""))))))</f>
        <v/>
      </c>
      <c r="G255" s="1205">
        <f>'House Count'!F255</f>
        <v/>
      </c>
      <c r="H255" s="1205">
        <f>'House Count'!H255</f>
        <v/>
      </c>
    </row>
    <row r="256">
      <c r="A256" s="1204">
        <f>'House Count'!A256</f>
        <v/>
      </c>
      <c r="B256" s="1205">
        <f>'House Count'!E256</f>
        <v/>
      </c>
      <c r="C256" s="1205">
        <f>'House Count'!B256</f>
        <v/>
      </c>
      <c r="D256" s="1205">
        <f>'House Count'!C256</f>
        <v/>
      </c>
      <c r="E256" s="1205">
        <f>'House Count'!D256</f>
        <v/>
      </c>
      <c r="F256" s="1205">
        <f>IF(G256="RES-SFU","RESIDENTIAL",IF(G256="RES-HOA","RESIDENTIAL",IF(G256="RES-MDU","RESIDENTIAL",IF(G256="COMM-SU","BUSINESS",IF(G256="COM-MTU","BUSINESS",IF(G256="ENT","BUSINESS",""))))))</f>
        <v/>
      </c>
      <c r="G256" s="1205">
        <f>'House Count'!F256</f>
        <v/>
      </c>
      <c r="H256" s="1205">
        <f>'House Count'!H256</f>
        <v/>
      </c>
    </row>
    <row r="257">
      <c r="A257" s="1204">
        <f>'House Count'!A257</f>
        <v/>
      </c>
      <c r="B257" s="1205">
        <f>'House Count'!E257</f>
        <v/>
      </c>
      <c r="C257" s="1205">
        <f>'House Count'!B257</f>
        <v/>
      </c>
      <c r="D257" s="1205">
        <f>'House Count'!C257</f>
        <v/>
      </c>
      <c r="E257" s="1205">
        <f>'House Count'!D257</f>
        <v/>
      </c>
      <c r="F257" s="1205">
        <f>IF(G257="RES-SFU","RESIDENTIAL",IF(G257="RES-HOA","RESIDENTIAL",IF(G257="RES-MDU","RESIDENTIAL",IF(G257="COMM-SU","BUSINESS",IF(G257="COM-MTU","BUSINESS",IF(G257="ENT","BUSINESS",""))))))</f>
        <v/>
      </c>
      <c r="G257" s="1205">
        <f>'House Count'!F257</f>
        <v/>
      </c>
      <c r="H257" s="1205">
        <f>'House Count'!H257</f>
        <v/>
      </c>
    </row>
    <row r="258">
      <c r="A258" s="1204">
        <f>'House Count'!A258</f>
        <v/>
      </c>
      <c r="B258" s="1205">
        <f>'House Count'!E258</f>
        <v/>
      </c>
      <c r="C258" s="1205">
        <f>'House Count'!B258</f>
        <v/>
      </c>
      <c r="D258" s="1205">
        <f>'House Count'!C258</f>
        <v/>
      </c>
      <c r="E258" s="1205">
        <f>'House Count'!D258</f>
        <v/>
      </c>
      <c r="F258" s="1205">
        <f>IF(G258="RES-SFU","RESIDENTIAL",IF(G258="RES-HOA","RESIDENTIAL",IF(G258="RES-MDU","RESIDENTIAL",IF(G258="COMM-SU","BUSINESS",IF(G258="COM-MTU","BUSINESS",IF(G258="ENT","BUSINESS",""))))))</f>
        <v/>
      </c>
      <c r="G258" s="1205">
        <f>'House Count'!F258</f>
        <v/>
      </c>
      <c r="H258" s="1205">
        <f>'House Count'!H258</f>
        <v/>
      </c>
    </row>
    <row r="259">
      <c r="A259" s="1204">
        <f>'House Count'!A259</f>
        <v/>
      </c>
      <c r="B259" s="1205">
        <f>'House Count'!E259</f>
        <v/>
      </c>
      <c r="C259" s="1205">
        <f>'House Count'!B259</f>
        <v/>
      </c>
      <c r="D259" s="1205">
        <f>'House Count'!C259</f>
        <v/>
      </c>
      <c r="E259" s="1205">
        <f>'House Count'!D259</f>
        <v/>
      </c>
      <c r="F259" s="1205">
        <f>IF(G259="RES-SFU","RESIDENTIAL",IF(G259="RES-HOA","RESIDENTIAL",IF(G259="RES-MDU","RESIDENTIAL",IF(G259="COMM-SU","BUSINESS",IF(G259="COM-MTU","BUSINESS",IF(G259="ENT","BUSINESS",""))))))</f>
        <v/>
      </c>
      <c r="G259" s="1205">
        <f>'House Count'!F259</f>
        <v/>
      </c>
      <c r="H259" s="1205">
        <f>'House Count'!H259</f>
        <v/>
      </c>
    </row>
    <row r="260">
      <c r="A260" s="1204">
        <f>'House Count'!A260</f>
        <v/>
      </c>
      <c r="B260" s="1205">
        <f>'House Count'!E260</f>
        <v/>
      </c>
      <c r="C260" s="1205">
        <f>'House Count'!B260</f>
        <v/>
      </c>
      <c r="D260" s="1205">
        <f>'House Count'!C260</f>
        <v/>
      </c>
      <c r="E260" s="1205">
        <f>'House Count'!D260</f>
        <v/>
      </c>
      <c r="F260" s="1205">
        <f>IF(G260="RES-SFU","RESIDENTIAL",IF(G260="RES-HOA","RESIDENTIAL",IF(G260="RES-MDU","RESIDENTIAL",IF(G260="COMM-SU","BUSINESS",IF(G260="COM-MTU","BUSINESS",IF(G260="ENT","BUSINESS",""))))))</f>
        <v/>
      </c>
      <c r="G260" s="1205">
        <f>'House Count'!F260</f>
        <v/>
      </c>
      <c r="H260" s="1205">
        <f>'House Count'!H260</f>
        <v/>
      </c>
    </row>
    <row r="261">
      <c r="A261" s="1204">
        <f>'House Count'!A261</f>
        <v/>
      </c>
      <c r="B261" s="1205">
        <f>'House Count'!E261</f>
        <v/>
      </c>
      <c r="C261" s="1205">
        <f>'House Count'!B261</f>
        <v/>
      </c>
      <c r="D261" s="1205">
        <f>'House Count'!C261</f>
        <v/>
      </c>
      <c r="E261" s="1205">
        <f>'House Count'!D261</f>
        <v/>
      </c>
      <c r="F261" s="1205">
        <f>IF(G261="RES-SFU","RESIDENTIAL",IF(G261="RES-HOA","RESIDENTIAL",IF(G261="RES-MDU","RESIDENTIAL",IF(G261="COMM-SU","BUSINESS",IF(G261="COM-MTU","BUSINESS",IF(G261="ENT","BUSINESS",""))))))</f>
        <v/>
      </c>
      <c r="G261" s="1205">
        <f>'House Count'!F261</f>
        <v/>
      </c>
      <c r="H261" s="1205">
        <f>'House Count'!H261</f>
        <v/>
      </c>
    </row>
    <row r="262">
      <c r="A262" s="1204">
        <f>'House Count'!A262</f>
        <v/>
      </c>
      <c r="B262" s="1205">
        <f>'House Count'!E262</f>
        <v/>
      </c>
      <c r="C262" s="1205">
        <f>'House Count'!B262</f>
        <v/>
      </c>
      <c r="D262" s="1205">
        <f>'House Count'!C262</f>
        <v/>
      </c>
      <c r="E262" s="1205">
        <f>'House Count'!D262</f>
        <v/>
      </c>
      <c r="F262" s="1205">
        <f>IF(G262="RES-SFU","RESIDENTIAL",IF(G262="RES-HOA","RESIDENTIAL",IF(G262="RES-MDU","RESIDENTIAL",IF(G262="COMM-SU","BUSINESS",IF(G262="COM-MTU","BUSINESS",IF(G262="ENT","BUSINESS",""))))))</f>
        <v/>
      </c>
      <c r="G262" s="1205">
        <f>'House Count'!F262</f>
        <v/>
      </c>
      <c r="H262" s="1205">
        <f>'House Count'!H262</f>
        <v/>
      </c>
    </row>
    <row r="263">
      <c r="A263" s="1204">
        <f>'House Count'!A263</f>
        <v/>
      </c>
      <c r="B263" s="1205">
        <f>'House Count'!E263</f>
        <v/>
      </c>
      <c r="C263" s="1205">
        <f>'House Count'!B263</f>
        <v/>
      </c>
      <c r="D263" s="1205">
        <f>'House Count'!C263</f>
        <v/>
      </c>
      <c r="E263" s="1205">
        <f>'House Count'!D263</f>
        <v/>
      </c>
      <c r="F263" s="1205">
        <f>IF(G263="RES-SFU","RESIDENTIAL",IF(G263="RES-HOA","RESIDENTIAL",IF(G263="RES-MDU","RESIDENTIAL",IF(G263="COMM-SU","BUSINESS",IF(G263="COM-MTU","BUSINESS",IF(G263="ENT","BUSINESS",""))))))</f>
        <v/>
      </c>
      <c r="G263" s="1205">
        <f>'House Count'!F263</f>
        <v/>
      </c>
      <c r="H263" s="1205">
        <f>'House Count'!H263</f>
        <v/>
      </c>
    </row>
    <row r="264">
      <c r="A264" s="1204">
        <f>'House Count'!A264</f>
        <v/>
      </c>
      <c r="B264" s="1205">
        <f>'House Count'!E264</f>
        <v/>
      </c>
      <c r="C264" s="1205">
        <f>'House Count'!B264</f>
        <v/>
      </c>
      <c r="D264" s="1205">
        <f>'House Count'!C264</f>
        <v/>
      </c>
      <c r="E264" s="1205">
        <f>'House Count'!D264</f>
        <v/>
      </c>
      <c r="F264" s="1205">
        <f>IF(G264="RES-SFU","RESIDENTIAL",IF(G264="RES-HOA","RESIDENTIAL",IF(G264="RES-MDU","RESIDENTIAL",IF(G264="COMM-SU","BUSINESS",IF(G264="COM-MTU","BUSINESS",IF(G264="ENT","BUSINESS",""))))))</f>
        <v/>
      </c>
      <c r="G264" s="1205">
        <f>'House Count'!F264</f>
        <v/>
      </c>
      <c r="H264" s="1205">
        <f>'House Count'!H264</f>
        <v/>
      </c>
    </row>
    <row r="265">
      <c r="A265" s="1204">
        <f>'House Count'!A265</f>
        <v/>
      </c>
      <c r="B265" s="1205">
        <f>'House Count'!E265</f>
        <v/>
      </c>
      <c r="C265" s="1205">
        <f>'House Count'!B265</f>
        <v/>
      </c>
      <c r="D265" s="1205">
        <f>'House Count'!C265</f>
        <v/>
      </c>
      <c r="E265" s="1205">
        <f>'House Count'!D265</f>
        <v/>
      </c>
      <c r="F265" s="1205">
        <f>IF(G265="RES-SFU","RESIDENTIAL",IF(G265="RES-HOA","RESIDENTIAL",IF(G265="RES-MDU","RESIDENTIAL",IF(G265="COMM-SU","BUSINESS",IF(G265="COM-MTU","BUSINESS",IF(G265="ENT","BUSINESS",""))))))</f>
        <v/>
      </c>
      <c r="G265" s="1205">
        <f>'House Count'!F265</f>
        <v/>
      </c>
      <c r="H265" s="1205">
        <f>'House Count'!H265</f>
        <v/>
      </c>
    </row>
    <row r="266">
      <c r="A266" s="1204">
        <f>'House Count'!A266</f>
        <v/>
      </c>
      <c r="B266" s="1205">
        <f>'House Count'!E266</f>
        <v/>
      </c>
      <c r="C266" s="1205">
        <f>'House Count'!B266</f>
        <v/>
      </c>
      <c r="D266" s="1205">
        <f>'House Count'!C266</f>
        <v/>
      </c>
      <c r="E266" s="1205">
        <f>'House Count'!D266</f>
        <v/>
      </c>
      <c r="F266" s="1205">
        <f>IF(G266="RES-SFU","RESIDENTIAL",IF(G266="RES-HOA","RESIDENTIAL",IF(G266="RES-MDU","RESIDENTIAL",IF(G266="COMM-SU","BUSINESS",IF(G266="COM-MTU","BUSINESS",IF(G266="ENT","BUSINESS",""))))))</f>
        <v/>
      </c>
      <c r="G266" s="1205">
        <f>'House Count'!F266</f>
        <v/>
      </c>
      <c r="H266" s="1205">
        <f>'House Count'!H266</f>
        <v/>
      </c>
    </row>
    <row r="267">
      <c r="A267" s="1204">
        <f>'House Count'!A267</f>
        <v/>
      </c>
      <c r="B267" s="1205">
        <f>'House Count'!E267</f>
        <v/>
      </c>
      <c r="C267" s="1205">
        <f>'House Count'!B267</f>
        <v/>
      </c>
      <c r="D267" s="1205">
        <f>'House Count'!C267</f>
        <v/>
      </c>
      <c r="E267" s="1205">
        <f>'House Count'!D267</f>
        <v/>
      </c>
      <c r="F267" s="1205">
        <f>IF(G267="RES-SFU","RESIDENTIAL",IF(G267="RES-HOA","RESIDENTIAL",IF(G267="RES-MDU","RESIDENTIAL",IF(G267="COMM-SU","BUSINESS",IF(G267="COM-MTU","BUSINESS",IF(G267="ENT","BUSINESS",""))))))</f>
        <v/>
      </c>
      <c r="G267" s="1205">
        <f>'House Count'!F267</f>
        <v/>
      </c>
      <c r="H267" s="1205">
        <f>'House Count'!H267</f>
        <v/>
      </c>
    </row>
    <row r="268">
      <c r="A268" s="1204">
        <f>'House Count'!A268</f>
        <v/>
      </c>
      <c r="B268" s="1205">
        <f>'House Count'!E268</f>
        <v/>
      </c>
      <c r="C268" s="1205">
        <f>'House Count'!B268</f>
        <v/>
      </c>
      <c r="D268" s="1205">
        <f>'House Count'!C268</f>
        <v/>
      </c>
      <c r="E268" s="1205">
        <f>'House Count'!D268</f>
        <v/>
      </c>
      <c r="F268" s="1205">
        <f>IF(G268="RES-SFU","RESIDENTIAL",IF(G268="RES-HOA","RESIDENTIAL",IF(G268="RES-MDU","RESIDENTIAL",IF(G268="COMM-SU","BUSINESS",IF(G268="COM-MTU","BUSINESS",IF(G268="ENT","BUSINESS",""))))))</f>
        <v/>
      </c>
      <c r="G268" s="1205">
        <f>'House Count'!F268</f>
        <v/>
      </c>
      <c r="H268" s="1205">
        <f>'House Count'!H268</f>
        <v/>
      </c>
    </row>
    <row r="269">
      <c r="A269" s="1204">
        <f>'House Count'!A269</f>
        <v/>
      </c>
      <c r="B269" s="1205">
        <f>'House Count'!E269</f>
        <v/>
      </c>
      <c r="C269" s="1205">
        <f>'House Count'!B269</f>
        <v/>
      </c>
      <c r="D269" s="1205">
        <f>'House Count'!C269</f>
        <v/>
      </c>
      <c r="E269" s="1205">
        <f>'House Count'!D269</f>
        <v/>
      </c>
      <c r="F269" s="1205">
        <f>IF(G269="RES-SFU","RESIDENTIAL",IF(G269="RES-HOA","RESIDENTIAL",IF(G269="RES-MDU","RESIDENTIAL",IF(G269="COMM-SU","BUSINESS",IF(G269="COM-MTU","BUSINESS",IF(G269="ENT","BUSINESS",""))))))</f>
        <v/>
      </c>
      <c r="G269" s="1205">
        <f>'House Count'!F269</f>
        <v/>
      </c>
      <c r="H269" s="1205">
        <f>'House Count'!H269</f>
        <v/>
      </c>
    </row>
    <row r="270">
      <c r="A270" s="1204">
        <f>'House Count'!A270</f>
        <v/>
      </c>
      <c r="B270" s="1205">
        <f>'House Count'!E270</f>
        <v/>
      </c>
      <c r="C270" s="1205">
        <f>'House Count'!B270</f>
        <v/>
      </c>
      <c r="D270" s="1205">
        <f>'House Count'!C270</f>
        <v/>
      </c>
      <c r="E270" s="1205">
        <f>'House Count'!D270</f>
        <v/>
      </c>
      <c r="F270" s="1205">
        <f>IF(G270="RES-SFU","RESIDENTIAL",IF(G270="RES-HOA","RESIDENTIAL",IF(G270="RES-MDU","RESIDENTIAL",IF(G270="COMM-SU","BUSINESS",IF(G270="COM-MTU","BUSINESS",IF(G270="ENT","BUSINESS",""))))))</f>
        <v/>
      </c>
      <c r="G270" s="1205">
        <f>'House Count'!F270</f>
        <v/>
      </c>
      <c r="H270" s="1205">
        <f>'House Count'!H270</f>
        <v/>
      </c>
    </row>
    <row r="271">
      <c r="A271" s="1204">
        <f>'House Count'!A271</f>
        <v/>
      </c>
      <c r="B271" s="1205">
        <f>'House Count'!E271</f>
        <v/>
      </c>
      <c r="C271" s="1205">
        <f>'House Count'!B271</f>
        <v/>
      </c>
      <c r="D271" s="1205">
        <f>'House Count'!C271</f>
        <v/>
      </c>
      <c r="E271" s="1205">
        <f>'House Count'!D271</f>
        <v/>
      </c>
      <c r="F271" s="1205">
        <f>IF(G271="RES-SFU","RESIDENTIAL",IF(G271="RES-HOA","RESIDENTIAL",IF(G271="RES-MDU","RESIDENTIAL",IF(G271="COMM-SU","BUSINESS",IF(G271="COM-MTU","BUSINESS",IF(G271="ENT","BUSINESS",""))))))</f>
        <v/>
      </c>
      <c r="G271" s="1205">
        <f>'House Count'!F271</f>
        <v/>
      </c>
      <c r="H271" s="1205">
        <f>'House Count'!H271</f>
        <v/>
      </c>
    </row>
    <row r="272">
      <c r="A272" s="1204">
        <f>'House Count'!A272</f>
        <v/>
      </c>
      <c r="B272" s="1205">
        <f>'House Count'!E272</f>
        <v/>
      </c>
      <c r="C272" s="1205">
        <f>'House Count'!B272</f>
        <v/>
      </c>
      <c r="D272" s="1205">
        <f>'House Count'!C272</f>
        <v/>
      </c>
      <c r="E272" s="1205">
        <f>'House Count'!D272</f>
        <v/>
      </c>
      <c r="F272" s="1205">
        <f>IF(G272="RES-SFU","RESIDENTIAL",IF(G272="RES-HOA","RESIDENTIAL",IF(G272="RES-MDU","RESIDENTIAL",IF(G272="COMM-SU","BUSINESS",IF(G272="COM-MTU","BUSINESS",IF(G272="ENT","BUSINESS",""))))))</f>
        <v/>
      </c>
      <c r="G272" s="1205">
        <f>'House Count'!F272</f>
        <v/>
      </c>
      <c r="H272" s="1205">
        <f>'House Count'!H272</f>
        <v/>
      </c>
    </row>
    <row r="273">
      <c r="A273" s="1204">
        <f>'House Count'!A273</f>
        <v/>
      </c>
      <c r="B273" s="1205">
        <f>'House Count'!E273</f>
        <v/>
      </c>
      <c r="C273" s="1205">
        <f>'House Count'!B273</f>
        <v/>
      </c>
      <c r="D273" s="1205">
        <f>'House Count'!C273</f>
        <v/>
      </c>
      <c r="E273" s="1205">
        <f>'House Count'!D273</f>
        <v/>
      </c>
      <c r="F273" s="1205">
        <f>IF(G273="RES-SFU","RESIDENTIAL",IF(G273="RES-HOA","RESIDENTIAL",IF(G273="RES-MDU","RESIDENTIAL",IF(G273="COMM-SU","BUSINESS",IF(G273="COM-MTU","BUSINESS",IF(G273="ENT","BUSINESS",""))))))</f>
        <v/>
      </c>
      <c r="G273" s="1205">
        <f>'House Count'!F273</f>
        <v/>
      </c>
      <c r="H273" s="1205">
        <f>'House Count'!H273</f>
        <v/>
      </c>
    </row>
    <row r="274">
      <c r="A274" s="1204">
        <f>'House Count'!A274</f>
        <v/>
      </c>
      <c r="B274" s="1205">
        <f>'House Count'!E274</f>
        <v/>
      </c>
      <c r="C274" s="1205">
        <f>'House Count'!B274</f>
        <v/>
      </c>
      <c r="D274" s="1205">
        <f>'House Count'!C274</f>
        <v/>
      </c>
      <c r="E274" s="1205">
        <f>'House Count'!D274</f>
        <v/>
      </c>
      <c r="F274" s="1205">
        <f>IF(G274="RES-SFU","RESIDENTIAL",IF(G274="RES-HOA","RESIDENTIAL",IF(G274="RES-MDU","RESIDENTIAL",IF(G274="COMM-SU","BUSINESS",IF(G274="COM-MTU","BUSINESS",IF(G274="ENT","BUSINESS",""))))))</f>
        <v/>
      </c>
      <c r="G274" s="1205">
        <f>'House Count'!F274</f>
        <v/>
      </c>
      <c r="H274" s="1205">
        <f>'House Count'!H274</f>
        <v/>
      </c>
    </row>
    <row r="275">
      <c r="A275" s="1204">
        <f>'House Count'!A275</f>
        <v/>
      </c>
      <c r="B275" s="1205">
        <f>'House Count'!E275</f>
        <v/>
      </c>
      <c r="C275" s="1205">
        <f>'House Count'!B275</f>
        <v/>
      </c>
      <c r="D275" s="1205">
        <f>'House Count'!C275</f>
        <v/>
      </c>
      <c r="E275" s="1205">
        <f>'House Count'!D275</f>
        <v/>
      </c>
      <c r="F275" s="1205">
        <f>IF(G275="RES-SFU","RESIDENTIAL",IF(G275="RES-HOA","RESIDENTIAL",IF(G275="RES-MDU","RESIDENTIAL",IF(G275="COMM-SU","BUSINESS",IF(G275="COM-MTU","BUSINESS",IF(G275="ENT","BUSINESS",""))))))</f>
        <v/>
      </c>
      <c r="G275" s="1205">
        <f>'House Count'!F275</f>
        <v/>
      </c>
      <c r="H275" s="1205">
        <f>'House Count'!H275</f>
        <v/>
      </c>
    </row>
    <row r="276">
      <c r="A276" s="1204">
        <f>'House Count'!A276</f>
        <v/>
      </c>
      <c r="B276" s="1205">
        <f>'House Count'!E276</f>
        <v/>
      </c>
      <c r="C276" s="1205">
        <f>'House Count'!B276</f>
        <v/>
      </c>
      <c r="D276" s="1205">
        <f>'House Count'!C276</f>
        <v/>
      </c>
      <c r="E276" s="1205">
        <f>'House Count'!D276</f>
        <v/>
      </c>
      <c r="F276" s="1205">
        <f>IF(G276="RES-SFU","RESIDENTIAL",IF(G276="RES-HOA","RESIDENTIAL",IF(G276="RES-MDU","RESIDENTIAL",IF(G276="COMM-SU","BUSINESS",IF(G276="COM-MTU","BUSINESS",IF(G276="ENT","BUSINESS",""))))))</f>
        <v/>
      </c>
      <c r="G276" s="1205">
        <f>'House Count'!F276</f>
        <v/>
      </c>
      <c r="H276" s="1205">
        <f>'House Count'!H276</f>
        <v/>
      </c>
    </row>
    <row r="277">
      <c r="A277" s="1204">
        <f>'House Count'!A277</f>
        <v/>
      </c>
      <c r="B277" s="1205">
        <f>'House Count'!E277</f>
        <v/>
      </c>
      <c r="C277" s="1205">
        <f>'House Count'!B277</f>
        <v/>
      </c>
      <c r="D277" s="1205">
        <f>'House Count'!C277</f>
        <v/>
      </c>
      <c r="E277" s="1205">
        <f>'House Count'!D277</f>
        <v/>
      </c>
      <c r="F277" s="1205">
        <f>IF(G277="RES-SFU","RESIDENTIAL",IF(G277="RES-HOA","RESIDENTIAL",IF(G277="RES-MDU","RESIDENTIAL",IF(G277="COMM-SU","BUSINESS",IF(G277="COM-MTU","BUSINESS",IF(G277="ENT","BUSINESS",""))))))</f>
        <v/>
      </c>
      <c r="G277" s="1205">
        <f>'House Count'!F277</f>
        <v/>
      </c>
      <c r="H277" s="1205">
        <f>'House Count'!H277</f>
        <v/>
      </c>
    </row>
    <row r="278">
      <c r="A278" s="1204">
        <f>'House Count'!A278</f>
        <v/>
      </c>
      <c r="B278" s="1205">
        <f>'House Count'!E278</f>
        <v/>
      </c>
      <c r="C278" s="1205">
        <f>'House Count'!B278</f>
        <v/>
      </c>
      <c r="D278" s="1205">
        <f>'House Count'!C278</f>
        <v/>
      </c>
      <c r="E278" s="1205">
        <f>'House Count'!D278</f>
        <v/>
      </c>
      <c r="F278" s="1205">
        <f>IF(G278="RES-SFU","RESIDENTIAL",IF(G278="RES-HOA","RESIDENTIAL",IF(G278="RES-MDU","RESIDENTIAL",IF(G278="COMM-SU","BUSINESS",IF(G278="COM-MTU","BUSINESS",IF(G278="ENT","BUSINESS",""))))))</f>
        <v/>
      </c>
      <c r="G278" s="1205">
        <f>'House Count'!F278</f>
        <v/>
      </c>
      <c r="H278" s="1205">
        <f>'House Count'!H278</f>
        <v/>
      </c>
    </row>
    <row r="279">
      <c r="A279" s="1204">
        <f>'House Count'!A279</f>
        <v/>
      </c>
      <c r="B279" s="1205">
        <f>'House Count'!E279</f>
        <v/>
      </c>
      <c r="C279" s="1205">
        <f>'House Count'!B279</f>
        <v/>
      </c>
      <c r="D279" s="1205">
        <f>'House Count'!C279</f>
        <v/>
      </c>
      <c r="E279" s="1205">
        <f>'House Count'!D279</f>
        <v/>
      </c>
      <c r="F279" s="1205">
        <f>IF(G279="RES-SFU","RESIDENTIAL",IF(G279="RES-HOA","RESIDENTIAL",IF(G279="RES-MDU","RESIDENTIAL",IF(G279="COMM-SU","BUSINESS",IF(G279="COM-MTU","BUSINESS",IF(G279="ENT","BUSINESS",""))))))</f>
        <v/>
      </c>
      <c r="G279" s="1205">
        <f>'House Count'!F279</f>
        <v/>
      </c>
      <c r="H279" s="1205">
        <f>'House Count'!H279</f>
        <v/>
      </c>
    </row>
    <row r="280">
      <c r="A280" s="1204">
        <f>'House Count'!A280</f>
        <v/>
      </c>
      <c r="B280" s="1205">
        <f>'House Count'!E280</f>
        <v/>
      </c>
      <c r="C280" s="1205">
        <f>'House Count'!B280</f>
        <v/>
      </c>
      <c r="D280" s="1205">
        <f>'House Count'!C280</f>
        <v/>
      </c>
      <c r="E280" s="1205">
        <f>'House Count'!D280</f>
        <v/>
      </c>
      <c r="F280" s="1205">
        <f>IF(G280="RES-SFU","RESIDENTIAL",IF(G280="RES-HOA","RESIDENTIAL",IF(G280="RES-MDU","RESIDENTIAL",IF(G280="COMM-SU","BUSINESS",IF(G280="COM-MTU","BUSINESS",IF(G280="ENT","BUSINESS",""))))))</f>
        <v/>
      </c>
      <c r="G280" s="1205">
        <f>'House Count'!F280</f>
        <v/>
      </c>
      <c r="H280" s="1205">
        <f>'House Count'!H280</f>
        <v/>
      </c>
    </row>
    <row r="281">
      <c r="A281" s="1204">
        <f>'House Count'!A281</f>
        <v/>
      </c>
      <c r="B281" s="1205">
        <f>'House Count'!E281</f>
        <v/>
      </c>
      <c r="C281" s="1205">
        <f>'House Count'!B281</f>
        <v/>
      </c>
      <c r="D281" s="1205">
        <f>'House Count'!C281</f>
        <v/>
      </c>
      <c r="E281" s="1205">
        <f>'House Count'!D281</f>
        <v/>
      </c>
      <c r="F281" s="1205">
        <f>IF(G281="RES-SFU","RESIDENTIAL",IF(G281="RES-HOA","RESIDENTIAL",IF(G281="RES-MDU","RESIDENTIAL",IF(G281="COMM-SU","BUSINESS",IF(G281="COM-MTU","BUSINESS",IF(G281="ENT","BUSINESS",""))))))</f>
        <v/>
      </c>
      <c r="G281" s="1205">
        <f>'House Count'!F281</f>
        <v/>
      </c>
      <c r="H281" s="1205">
        <f>'House Count'!H281</f>
        <v/>
      </c>
    </row>
    <row r="282">
      <c r="A282" s="1204">
        <f>'House Count'!A282</f>
        <v/>
      </c>
      <c r="B282" s="1205">
        <f>'House Count'!E282</f>
        <v/>
      </c>
      <c r="C282" s="1205">
        <f>'House Count'!B282</f>
        <v/>
      </c>
      <c r="D282" s="1205">
        <f>'House Count'!C282</f>
        <v/>
      </c>
      <c r="E282" s="1205">
        <f>'House Count'!D282</f>
        <v/>
      </c>
      <c r="F282" s="1205">
        <f>IF(G282="RES-SFU","RESIDENTIAL",IF(G282="RES-HOA","RESIDENTIAL",IF(G282="RES-MDU","RESIDENTIAL",IF(G282="COMM-SU","BUSINESS",IF(G282="COM-MTU","BUSINESS",IF(G282="ENT","BUSINESS",""))))))</f>
        <v/>
      </c>
      <c r="G282" s="1205">
        <f>'House Count'!F282</f>
        <v/>
      </c>
      <c r="H282" s="1205">
        <f>'House Count'!H282</f>
        <v/>
      </c>
    </row>
    <row r="283">
      <c r="A283" s="1204">
        <f>'House Count'!A283</f>
        <v/>
      </c>
      <c r="B283" s="1205">
        <f>'House Count'!E283</f>
        <v/>
      </c>
      <c r="C283" s="1205">
        <f>'House Count'!B283</f>
        <v/>
      </c>
      <c r="D283" s="1205">
        <f>'House Count'!C283</f>
        <v/>
      </c>
      <c r="E283" s="1205">
        <f>'House Count'!D283</f>
        <v/>
      </c>
      <c r="F283" s="1205">
        <f>IF(G283="RES-SFU","RESIDENTIAL",IF(G283="RES-HOA","RESIDENTIAL",IF(G283="RES-MDU","RESIDENTIAL",IF(G283="COMM-SU","BUSINESS",IF(G283="COM-MTU","BUSINESS",IF(G283="ENT","BUSINESS",""))))))</f>
        <v/>
      </c>
      <c r="G283" s="1205">
        <f>'House Count'!F283</f>
        <v/>
      </c>
      <c r="H283" s="1205">
        <f>'House Count'!H283</f>
        <v/>
      </c>
    </row>
    <row r="284">
      <c r="A284" s="1204">
        <f>'House Count'!A284</f>
        <v/>
      </c>
      <c r="B284" s="1205">
        <f>'House Count'!E284</f>
        <v/>
      </c>
      <c r="C284" s="1205">
        <f>'House Count'!B284</f>
        <v/>
      </c>
      <c r="D284" s="1205">
        <f>'House Count'!C284</f>
        <v/>
      </c>
      <c r="E284" s="1205">
        <f>'House Count'!D284</f>
        <v/>
      </c>
      <c r="F284" s="1205">
        <f>IF(G284="RES-SFU","RESIDENTIAL",IF(G284="RES-HOA","RESIDENTIAL",IF(G284="RES-MDU","RESIDENTIAL",IF(G284="COMM-SU","BUSINESS",IF(G284="COM-MTU","BUSINESS",IF(G284="ENT","BUSINESS",""))))))</f>
        <v/>
      </c>
      <c r="G284" s="1205">
        <f>'House Count'!F284</f>
        <v/>
      </c>
      <c r="H284" s="1205">
        <f>'House Count'!H284</f>
        <v/>
      </c>
    </row>
    <row r="285">
      <c r="A285" s="1204">
        <f>'House Count'!A285</f>
        <v/>
      </c>
      <c r="B285" s="1205">
        <f>'House Count'!E285</f>
        <v/>
      </c>
      <c r="C285" s="1205">
        <f>'House Count'!B285</f>
        <v/>
      </c>
      <c r="D285" s="1205">
        <f>'House Count'!C285</f>
        <v/>
      </c>
      <c r="E285" s="1205">
        <f>'House Count'!D285</f>
        <v/>
      </c>
      <c r="F285" s="1205">
        <f>IF(G285="RES-SFU","RESIDENTIAL",IF(G285="RES-HOA","RESIDENTIAL",IF(G285="RES-MDU","RESIDENTIAL",IF(G285="COMM-SU","BUSINESS",IF(G285="COM-MTU","BUSINESS",IF(G285="ENT","BUSINESS",""))))))</f>
        <v/>
      </c>
      <c r="G285" s="1205">
        <f>'House Count'!F285</f>
        <v/>
      </c>
      <c r="H285" s="1205">
        <f>'House Count'!H285</f>
        <v/>
      </c>
    </row>
    <row r="286">
      <c r="A286" s="1204">
        <f>'House Count'!A286</f>
        <v/>
      </c>
      <c r="B286" s="1205">
        <f>'House Count'!E286</f>
        <v/>
      </c>
      <c r="C286" s="1205">
        <f>'House Count'!B286</f>
        <v/>
      </c>
      <c r="D286" s="1205">
        <f>'House Count'!C286</f>
        <v/>
      </c>
      <c r="E286" s="1205">
        <f>'House Count'!D286</f>
        <v/>
      </c>
      <c r="F286" s="1205">
        <f>IF(G286="RES-SFU","RESIDENTIAL",IF(G286="RES-HOA","RESIDENTIAL",IF(G286="RES-MDU","RESIDENTIAL",IF(G286="COMM-SU","BUSINESS",IF(G286="COM-MTU","BUSINESS",IF(G286="ENT","BUSINESS",""))))))</f>
        <v/>
      </c>
      <c r="G286" s="1205">
        <f>'House Count'!F286</f>
        <v/>
      </c>
      <c r="H286" s="1205">
        <f>'House Count'!H286</f>
        <v/>
      </c>
    </row>
    <row r="287">
      <c r="A287" s="1204">
        <f>'House Count'!A287</f>
        <v/>
      </c>
      <c r="B287" s="1205">
        <f>'House Count'!E287</f>
        <v/>
      </c>
      <c r="C287" s="1205">
        <f>'House Count'!B287</f>
        <v/>
      </c>
      <c r="D287" s="1205">
        <f>'House Count'!C287</f>
        <v/>
      </c>
      <c r="E287" s="1205">
        <f>'House Count'!D287</f>
        <v/>
      </c>
      <c r="F287" s="1205">
        <f>IF(G287="RES-SFU","RESIDENTIAL",IF(G287="RES-HOA","RESIDENTIAL",IF(G287="RES-MDU","RESIDENTIAL",IF(G287="COMM-SU","BUSINESS",IF(G287="COM-MTU","BUSINESS",IF(G287="ENT","BUSINESS",""))))))</f>
        <v/>
      </c>
      <c r="G287" s="1205">
        <f>'House Count'!F287</f>
        <v/>
      </c>
      <c r="H287" s="1205">
        <f>'House Count'!H287</f>
        <v/>
      </c>
    </row>
    <row r="288">
      <c r="A288" s="1204">
        <f>'House Count'!A288</f>
        <v/>
      </c>
      <c r="B288" s="1205">
        <f>'House Count'!E288</f>
        <v/>
      </c>
      <c r="C288" s="1205">
        <f>'House Count'!B288</f>
        <v/>
      </c>
      <c r="D288" s="1205">
        <f>'House Count'!C288</f>
        <v/>
      </c>
      <c r="E288" s="1205">
        <f>'House Count'!D288</f>
        <v/>
      </c>
      <c r="F288" s="1205">
        <f>IF(G288="RES-SFU","RESIDENTIAL",IF(G288="RES-HOA","RESIDENTIAL",IF(G288="RES-MDU","RESIDENTIAL",IF(G288="COMM-SU","BUSINESS",IF(G288="COM-MTU","BUSINESS",IF(G288="ENT","BUSINESS",""))))))</f>
        <v/>
      </c>
      <c r="G288" s="1205">
        <f>'House Count'!F288</f>
        <v/>
      </c>
      <c r="H288" s="1205">
        <f>'House Count'!H288</f>
        <v/>
      </c>
    </row>
    <row r="289">
      <c r="A289" s="1204">
        <f>'House Count'!A289</f>
        <v/>
      </c>
      <c r="B289" s="1205">
        <f>'House Count'!E289</f>
        <v/>
      </c>
      <c r="C289" s="1205">
        <f>'House Count'!B289</f>
        <v/>
      </c>
      <c r="D289" s="1205">
        <f>'House Count'!C289</f>
        <v/>
      </c>
      <c r="E289" s="1205">
        <f>'House Count'!D289</f>
        <v/>
      </c>
      <c r="F289" s="1205">
        <f>IF(G289="RES-SFU","RESIDENTIAL",IF(G289="RES-HOA","RESIDENTIAL",IF(G289="RES-MDU","RESIDENTIAL",IF(G289="COMM-SU","BUSINESS",IF(G289="COM-MTU","BUSINESS",IF(G289="ENT","BUSINESS",""))))))</f>
        <v/>
      </c>
      <c r="G289" s="1205">
        <f>'House Count'!F289</f>
        <v/>
      </c>
      <c r="H289" s="1205">
        <f>'House Count'!H289</f>
        <v/>
      </c>
    </row>
    <row r="290">
      <c r="A290" s="1204">
        <f>'House Count'!A290</f>
        <v/>
      </c>
      <c r="B290" s="1205">
        <f>'House Count'!E290</f>
        <v/>
      </c>
      <c r="C290" s="1205">
        <f>'House Count'!B290</f>
        <v/>
      </c>
      <c r="D290" s="1205">
        <f>'House Count'!C290</f>
        <v/>
      </c>
      <c r="E290" s="1205">
        <f>'House Count'!D290</f>
        <v/>
      </c>
      <c r="F290" s="1205">
        <f>IF(G290="RES-SFU","RESIDENTIAL",IF(G290="RES-HOA","RESIDENTIAL",IF(G290="RES-MDU","RESIDENTIAL",IF(G290="COMM-SU","BUSINESS",IF(G290="COM-MTU","BUSINESS",IF(G290="ENT","BUSINESS",""))))))</f>
        <v/>
      </c>
      <c r="G290" s="1205">
        <f>'House Count'!F290</f>
        <v/>
      </c>
      <c r="H290" s="1205">
        <f>'House Count'!H290</f>
        <v/>
      </c>
    </row>
    <row r="291">
      <c r="A291" s="1204">
        <f>'House Count'!A291</f>
        <v/>
      </c>
      <c r="B291" s="1205">
        <f>'House Count'!E291</f>
        <v/>
      </c>
      <c r="C291" s="1205">
        <f>'House Count'!B291</f>
        <v/>
      </c>
      <c r="D291" s="1205">
        <f>'House Count'!C291</f>
        <v/>
      </c>
      <c r="E291" s="1205">
        <f>'House Count'!D291</f>
        <v/>
      </c>
      <c r="F291" s="1205">
        <f>IF(G291="RES-SFU","RESIDENTIAL",IF(G291="RES-HOA","RESIDENTIAL",IF(G291="RES-MDU","RESIDENTIAL",IF(G291="COMM-SU","BUSINESS",IF(G291="COM-MTU","BUSINESS",IF(G291="ENT","BUSINESS",""))))))</f>
        <v/>
      </c>
      <c r="G291" s="1205">
        <f>'House Count'!F291</f>
        <v/>
      </c>
      <c r="H291" s="1205">
        <f>'House Count'!H291</f>
        <v/>
      </c>
    </row>
    <row r="292">
      <c r="A292" s="1204">
        <f>'House Count'!A292</f>
        <v/>
      </c>
      <c r="B292" s="1205">
        <f>'House Count'!E292</f>
        <v/>
      </c>
      <c r="C292" s="1205">
        <f>'House Count'!B292</f>
        <v/>
      </c>
      <c r="D292" s="1205">
        <f>'House Count'!C292</f>
        <v/>
      </c>
      <c r="E292" s="1205">
        <f>'House Count'!D292</f>
        <v/>
      </c>
      <c r="F292" s="1205">
        <f>IF(G292="RES-SFU","RESIDENTIAL",IF(G292="RES-HOA","RESIDENTIAL",IF(G292="RES-MDU","RESIDENTIAL",IF(G292="COMM-SU","BUSINESS",IF(G292="COM-MTU","BUSINESS",IF(G292="ENT","BUSINESS",""))))))</f>
        <v/>
      </c>
      <c r="G292" s="1205">
        <f>'House Count'!F292</f>
        <v/>
      </c>
      <c r="H292" s="1205">
        <f>'House Count'!H292</f>
        <v/>
      </c>
    </row>
    <row r="293">
      <c r="A293" s="1204">
        <f>'House Count'!A293</f>
        <v/>
      </c>
      <c r="B293" s="1205">
        <f>'House Count'!E293</f>
        <v/>
      </c>
      <c r="C293" s="1205">
        <f>'House Count'!B293</f>
        <v/>
      </c>
      <c r="D293" s="1205">
        <f>'House Count'!C293</f>
        <v/>
      </c>
      <c r="E293" s="1205">
        <f>'House Count'!D293</f>
        <v/>
      </c>
      <c r="F293" s="1205">
        <f>IF(G293="RES-SFU","RESIDENTIAL",IF(G293="RES-HOA","RESIDENTIAL",IF(G293="RES-MDU","RESIDENTIAL",IF(G293="COMM-SU","BUSINESS",IF(G293="COM-MTU","BUSINESS",IF(G293="ENT","BUSINESS",""))))))</f>
        <v/>
      </c>
      <c r="G293" s="1205">
        <f>'House Count'!F293</f>
        <v/>
      </c>
      <c r="H293" s="1205">
        <f>'House Count'!H293</f>
        <v/>
      </c>
    </row>
    <row r="294">
      <c r="A294" s="1204">
        <f>'House Count'!A294</f>
        <v/>
      </c>
      <c r="B294" s="1205">
        <f>'House Count'!E294</f>
        <v/>
      </c>
      <c r="C294" s="1205">
        <f>'House Count'!B294</f>
        <v/>
      </c>
      <c r="D294" s="1205">
        <f>'House Count'!C294</f>
        <v/>
      </c>
      <c r="E294" s="1205">
        <f>'House Count'!D294</f>
        <v/>
      </c>
      <c r="F294" s="1205">
        <f>IF(G294="RES-SFU","RESIDENTIAL",IF(G294="RES-HOA","RESIDENTIAL",IF(G294="RES-MDU","RESIDENTIAL",IF(G294="COMM-SU","BUSINESS",IF(G294="COM-MTU","BUSINESS",IF(G294="ENT","BUSINESS",""))))))</f>
        <v/>
      </c>
      <c r="G294" s="1205">
        <f>'House Count'!F294</f>
        <v/>
      </c>
      <c r="H294" s="1205">
        <f>'House Count'!H294</f>
        <v/>
      </c>
    </row>
    <row r="295">
      <c r="A295" s="1204">
        <f>'House Count'!A295</f>
        <v/>
      </c>
      <c r="B295" s="1205">
        <f>'House Count'!E295</f>
        <v/>
      </c>
      <c r="C295" s="1205">
        <f>'House Count'!B295</f>
        <v/>
      </c>
      <c r="D295" s="1205">
        <f>'House Count'!C295</f>
        <v/>
      </c>
      <c r="E295" s="1205">
        <f>'House Count'!D295</f>
        <v/>
      </c>
      <c r="F295" s="1205">
        <f>IF(G295="RES-SFU","RESIDENTIAL",IF(G295="RES-HOA","RESIDENTIAL",IF(G295="RES-MDU","RESIDENTIAL",IF(G295="COMM-SU","BUSINESS",IF(G295="COM-MTU","BUSINESS",IF(G295="ENT","BUSINESS",""))))))</f>
        <v/>
      </c>
      <c r="G295" s="1205">
        <f>'House Count'!F295</f>
        <v/>
      </c>
      <c r="H295" s="1205">
        <f>'House Count'!H295</f>
        <v/>
      </c>
    </row>
    <row r="296">
      <c r="A296" s="1204">
        <f>'House Count'!A296</f>
        <v/>
      </c>
      <c r="B296" s="1205">
        <f>'House Count'!E296</f>
        <v/>
      </c>
      <c r="C296" s="1205">
        <f>'House Count'!B296</f>
        <v/>
      </c>
      <c r="D296" s="1205">
        <f>'House Count'!C296</f>
        <v/>
      </c>
      <c r="E296" s="1205">
        <f>'House Count'!D296</f>
        <v/>
      </c>
      <c r="F296" s="1205">
        <f>IF(G296="RES-SFU","RESIDENTIAL",IF(G296="RES-HOA","RESIDENTIAL",IF(G296="RES-MDU","RESIDENTIAL",IF(G296="COMM-SU","BUSINESS",IF(G296="COM-MTU","BUSINESS",IF(G296="ENT","BUSINESS",""))))))</f>
        <v/>
      </c>
      <c r="G296" s="1205">
        <f>'House Count'!F296</f>
        <v/>
      </c>
      <c r="H296" s="1205">
        <f>'House Count'!H296</f>
        <v/>
      </c>
    </row>
    <row r="297">
      <c r="A297" s="1204">
        <f>'House Count'!A297</f>
        <v/>
      </c>
      <c r="B297" s="1205">
        <f>'House Count'!E297</f>
        <v/>
      </c>
      <c r="C297" s="1205">
        <f>'House Count'!B297</f>
        <v/>
      </c>
      <c r="D297" s="1205">
        <f>'House Count'!C297</f>
        <v/>
      </c>
      <c r="E297" s="1205">
        <f>'House Count'!D297</f>
        <v/>
      </c>
      <c r="F297" s="1205">
        <f>IF(G297="RES-SFU","RESIDENTIAL",IF(G297="RES-HOA","RESIDENTIAL",IF(G297="RES-MDU","RESIDENTIAL",IF(G297="COMM-SU","BUSINESS",IF(G297="COM-MTU","BUSINESS",IF(G297="ENT","BUSINESS",""))))))</f>
        <v/>
      </c>
      <c r="G297" s="1205">
        <f>'House Count'!F297</f>
        <v/>
      </c>
      <c r="H297" s="1205">
        <f>'House Count'!H297</f>
        <v/>
      </c>
    </row>
    <row r="298">
      <c r="A298" s="1204">
        <f>'House Count'!A298</f>
        <v/>
      </c>
      <c r="B298" s="1205">
        <f>'House Count'!E298</f>
        <v/>
      </c>
      <c r="C298" s="1205">
        <f>'House Count'!B298</f>
        <v/>
      </c>
      <c r="D298" s="1205">
        <f>'House Count'!C298</f>
        <v/>
      </c>
      <c r="E298" s="1205">
        <f>'House Count'!D298</f>
        <v/>
      </c>
      <c r="F298" s="1205">
        <f>IF(G298="RES-SFU","RESIDENTIAL",IF(G298="RES-HOA","RESIDENTIAL",IF(G298="RES-MDU","RESIDENTIAL",IF(G298="COMM-SU","BUSINESS",IF(G298="COM-MTU","BUSINESS",IF(G298="ENT","BUSINESS",""))))))</f>
        <v/>
      </c>
      <c r="G298" s="1205">
        <f>'House Count'!F298</f>
        <v/>
      </c>
      <c r="H298" s="1205">
        <f>'House Count'!H298</f>
        <v/>
      </c>
    </row>
    <row r="299">
      <c r="A299" s="1204">
        <f>'House Count'!A299</f>
        <v/>
      </c>
      <c r="B299" s="1205">
        <f>'House Count'!E299</f>
        <v/>
      </c>
      <c r="C299" s="1205">
        <f>'House Count'!B299</f>
        <v/>
      </c>
      <c r="D299" s="1205">
        <f>'House Count'!C299</f>
        <v/>
      </c>
      <c r="E299" s="1205">
        <f>'House Count'!D299</f>
        <v/>
      </c>
      <c r="F299" s="1205">
        <f>IF(G299="RES-SFU","RESIDENTIAL",IF(G299="RES-HOA","RESIDENTIAL",IF(G299="RES-MDU","RESIDENTIAL",IF(G299="COMM-SU","BUSINESS",IF(G299="COM-MTU","BUSINESS",IF(G299="ENT","BUSINESS",""))))))</f>
        <v/>
      </c>
      <c r="G299" s="1205">
        <f>'House Count'!F299</f>
        <v/>
      </c>
      <c r="H299" s="1205">
        <f>'House Count'!H299</f>
        <v/>
      </c>
    </row>
    <row r="300">
      <c r="A300" s="1204">
        <f>'House Count'!A300</f>
        <v/>
      </c>
      <c r="B300" s="1205">
        <f>'House Count'!E300</f>
        <v/>
      </c>
      <c r="C300" s="1205">
        <f>'House Count'!B300</f>
        <v/>
      </c>
      <c r="D300" s="1205">
        <f>'House Count'!C300</f>
        <v/>
      </c>
      <c r="E300" s="1205">
        <f>'House Count'!D300</f>
        <v/>
      </c>
      <c r="F300" s="1205">
        <f>IF(G300="RES-SFU","RESIDENTIAL",IF(G300="RES-HOA","RESIDENTIAL",IF(G300="RES-MDU","RESIDENTIAL",IF(G300="COMM-SU","BUSINESS",IF(G300="COM-MTU","BUSINESS",IF(G300="ENT","BUSINESS",""))))))</f>
        <v/>
      </c>
      <c r="G300" s="1205">
        <f>'House Count'!F300</f>
        <v/>
      </c>
      <c r="H300" s="1205">
        <f>'House Count'!H300</f>
        <v/>
      </c>
    </row>
    <row r="301">
      <c r="A301" s="1204">
        <f>'House Count'!A301</f>
        <v/>
      </c>
      <c r="B301" s="1205">
        <f>'House Count'!E301</f>
        <v/>
      </c>
      <c r="C301" s="1205">
        <f>'House Count'!B301</f>
        <v/>
      </c>
      <c r="D301" s="1205">
        <f>'House Count'!C301</f>
        <v/>
      </c>
      <c r="E301" s="1205">
        <f>'House Count'!D301</f>
        <v/>
      </c>
      <c r="F301" s="1205">
        <f>IF(G301="RES-SFU","RESIDENTIAL",IF(G301="RES-HOA","RESIDENTIAL",IF(G301="RES-MDU","RESIDENTIAL",IF(G301="COMM-SU","BUSINESS",IF(G301="COM-MTU","BUSINESS",IF(G301="ENT","BUSINESS",""))))))</f>
        <v/>
      </c>
      <c r="G301" s="1205">
        <f>'House Count'!F301</f>
        <v/>
      </c>
      <c r="H301" s="1205">
        <f>'House Count'!H301</f>
        <v/>
      </c>
    </row>
    <row r="302">
      <c r="A302" s="1204">
        <f>'House Count'!A302</f>
        <v/>
      </c>
      <c r="B302" s="1205">
        <f>'House Count'!E302</f>
        <v/>
      </c>
      <c r="C302" s="1205">
        <f>'House Count'!B302</f>
        <v/>
      </c>
      <c r="D302" s="1205">
        <f>'House Count'!C302</f>
        <v/>
      </c>
      <c r="E302" s="1205">
        <f>'House Count'!D302</f>
        <v/>
      </c>
      <c r="F302" s="1205">
        <f>IF(G302="RES-SFU","RESIDENTIAL",IF(G302="RES-HOA","RESIDENTIAL",IF(G302="RES-MDU","RESIDENTIAL",IF(G302="COMM-SU","BUSINESS",IF(G302="COM-MTU","BUSINESS",IF(G302="ENT","BUSINESS",""))))))</f>
        <v/>
      </c>
      <c r="G302" s="1205">
        <f>'House Count'!F302</f>
        <v/>
      </c>
      <c r="H302" s="1205">
        <f>'House Count'!H302</f>
        <v/>
      </c>
    </row>
    <row r="303">
      <c r="A303" s="1204">
        <f>'House Count'!A303</f>
        <v/>
      </c>
      <c r="B303" s="1205">
        <f>'House Count'!E303</f>
        <v/>
      </c>
      <c r="C303" s="1205">
        <f>'House Count'!B303</f>
        <v/>
      </c>
      <c r="D303" s="1205">
        <f>'House Count'!C303</f>
        <v/>
      </c>
      <c r="E303" s="1205">
        <f>'House Count'!D303</f>
        <v/>
      </c>
      <c r="F303" s="1205">
        <f>IF(G303="RES-SFU","RESIDENTIAL",IF(G303="RES-HOA","RESIDENTIAL",IF(G303="RES-MDU","RESIDENTIAL",IF(G303="COMM-SU","BUSINESS",IF(G303="COM-MTU","BUSINESS",IF(G303="ENT","BUSINESS",""))))))</f>
        <v/>
      </c>
      <c r="G303" s="1205">
        <f>'House Count'!F303</f>
        <v/>
      </c>
      <c r="H303" s="1205">
        <f>'House Count'!H303</f>
        <v/>
      </c>
    </row>
    <row r="304">
      <c r="A304" s="1204">
        <f>'House Count'!A304</f>
        <v/>
      </c>
      <c r="B304" s="1205">
        <f>'House Count'!E304</f>
        <v/>
      </c>
      <c r="C304" s="1205">
        <f>'House Count'!B304</f>
        <v/>
      </c>
      <c r="D304" s="1205">
        <f>'House Count'!C304</f>
        <v/>
      </c>
      <c r="E304" s="1205">
        <f>'House Count'!D304</f>
        <v/>
      </c>
      <c r="F304" s="1205">
        <f>IF(G304="RES-SFU","RESIDENTIAL",IF(G304="RES-HOA","RESIDENTIAL",IF(G304="RES-MDU","RESIDENTIAL",IF(G304="COMM-SU","BUSINESS",IF(G304="COM-MTU","BUSINESS",IF(G304="ENT","BUSINESS",""))))))</f>
        <v/>
      </c>
      <c r="G304" s="1205">
        <f>'House Count'!F304</f>
        <v/>
      </c>
      <c r="H304" s="1205">
        <f>'House Count'!H304</f>
        <v/>
      </c>
    </row>
    <row r="305">
      <c r="A305" s="1204">
        <f>'House Count'!A305</f>
        <v/>
      </c>
      <c r="B305" s="1205">
        <f>'House Count'!E305</f>
        <v/>
      </c>
      <c r="C305" s="1205">
        <f>'House Count'!B305</f>
        <v/>
      </c>
      <c r="D305" s="1205">
        <f>'House Count'!C305</f>
        <v/>
      </c>
      <c r="E305" s="1205">
        <f>'House Count'!D305</f>
        <v/>
      </c>
      <c r="F305" s="1205">
        <f>IF(G305="RES-SFU","RESIDENTIAL",IF(G305="RES-HOA","RESIDENTIAL",IF(G305="RES-MDU","RESIDENTIAL",IF(G305="COMM-SU","BUSINESS",IF(G305="COM-MTU","BUSINESS",IF(G305="ENT","BUSINESS",""))))))</f>
        <v/>
      </c>
      <c r="G305" s="1205">
        <f>'House Count'!F305</f>
        <v/>
      </c>
      <c r="H305" s="1205">
        <f>'House Count'!H305</f>
        <v/>
      </c>
    </row>
    <row r="306">
      <c r="A306" s="1204">
        <f>'House Count'!A306</f>
        <v/>
      </c>
      <c r="B306" s="1205">
        <f>'House Count'!E306</f>
        <v/>
      </c>
      <c r="C306" s="1205">
        <f>'House Count'!B306</f>
        <v/>
      </c>
      <c r="D306" s="1205">
        <f>'House Count'!C306</f>
        <v/>
      </c>
      <c r="E306" s="1205">
        <f>'House Count'!D306</f>
        <v/>
      </c>
      <c r="F306" s="1205">
        <f>IF(G306="RES-SFU","RESIDENTIAL",IF(G306="RES-HOA","RESIDENTIAL",IF(G306="RES-MDU","RESIDENTIAL",IF(G306="COMM-SU","BUSINESS",IF(G306="COM-MTU","BUSINESS",IF(G306="ENT","BUSINESS",""))))))</f>
        <v/>
      </c>
      <c r="G306" s="1205">
        <f>'House Count'!F306</f>
        <v/>
      </c>
      <c r="H306" s="1205">
        <f>'House Count'!H306</f>
        <v/>
      </c>
    </row>
    <row r="307">
      <c r="A307" s="1204">
        <f>'House Count'!A307</f>
        <v/>
      </c>
      <c r="B307" s="1205">
        <f>'House Count'!E307</f>
        <v/>
      </c>
      <c r="C307" s="1205">
        <f>'House Count'!B307</f>
        <v/>
      </c>
      <c r="D307" s="1205">
        <f>'House Count'!C307</f>
        <v/>
      </c>
      <c r="E307" s="1205">
        <f>'House Count'!D307</f>
        <v/>
      </c>
      <c r="F307" s="1205">
        <f>IF(G307="RES-SFU","RESIDENTIAL",IF(G307="RES-HOA","RESIDENTIAL",IF(G307="RES-MDU","RESIDENTIAL",IF(G307="COMM-SU","BUSINESS",IF(G307="COM-MTU","BUSINESS",IF(G307="ENT","BUSINESS",""))))))</f>
        <v/>
      </c>
      <c r="G307" s="1205">
        <f>'House Count'!F307</f>
        <v/>
      </c>
      <c r="H307" s="1205">
        <f>'House Count'!H307</f>
        <v/>
      </c>
    </row>
    <row r="308">
      <c r="A308" s="1204">
        <f>'House Count'!A308</f>
        <v/>
      </c>
      <c r="B308" s="1205">
        <f>'House Count'!E308</f>
        <v/>
      </c>
      <c r="C308" s="1205">
        <f>'House Count'!B308</f>
        <v/>
      </c>
      <c r="D308" s="1205">
        <f>'House Count'!C308</f>
        <v/>
      </c>
      <c r="E308" s="1205">
        <f>'House Count'!D308</f>
        <v/>
      </c>
      <c r="F308" s="1205">
        <f>IF(G308="RES-SFU","RESIDENTIAL",IF(G308="RES-HOA","RESIDENTIAL",IF(G308="RES-MDU","RESIDENTIAL",IF(G308="COMM-SU","BUSINESS",IF(G308="COM-MTU","BUSINESS",IF(G308="ENT","BUSINESS",""))))))</f>
        <v/>
      </c>
      <c r="G308" s="1205">
        <f>'House Count'!F308</f>
        <v/>
      </c>
      <c r="H308" s="1205">
        <f>'House Count'!H308</f>
        <v/>
      </c>
    </row>
    <row r="309">
      <c r="A309" s="1204">
        <f>'House Count'!A309</f>
        <v/>
      </c>
      <c r="B309" s="1205">
        <f>'House Count'!E309</f>
        <v/>
      </c>
      <c r="C309" s="1205">
        <f>'House Count'!B309</f>
        <v/>
      </c>
      <c r="D309" s="1205">
        <f>'House Count'!C309</f>
        <v/>
      </c>
      <c r="E309" s="1205">
        <f>'House Count'!D309</f>
        <v/>
      </c>
      <c r="F309" s="1205">
        <f>IF(G309="RES-SFU","RESIDENTIAL",IF(G309="RES-HOA","RESIDENTIAL",IF(G309="RES-MDU","RESIDENTIAL",IF(G309="COMM-SU","BUSINESS",IF(G309="COM-MTU","BUSINESS",IF(G309="ENT","BUSINESS",""))))))</f>
        <v/>
      </c>
      <c r="G309" s="1205">
        <f>'House Count'!F309</f>
        <v/>
      </c>
      <c r="H309" s="1205">
        <f>'House Count'!H309</f>
        <v/>
      </c>
    </row>
    <row r="310">
      <c r="A310" s="1204">
        <f>'House Count'!A310</f>
        <v/>
      </c>
      <c r="B310" s="1205">
        <f>'House Count'!E310</f>
        <v/>
      </c>
      <c r="C310" s="1205">
        <f>'House Count'!B310</f>
        <v/>
      </c>
      <c r="D310" s="1205">
        <f>'House Count'!C310</f>
        <v/>
      </c>
      <c r="E310" s="1205">
        <f>'House Count'!D310</f>
        <v/>
      </c>
      <c r="F310" s="1205">
        <f>IF(G310="RES-SFU","RESIDENTIAL",IF(G310="RES-HOA","RESIDENTIAL",IF(G310="RES-MDU","RESIDENTIAL",IF(G310="COMM-SU","BUSINESS",IF(G310="COM-MTU","BUSINESS",IF(G310="ENT","BUSINESS",""))))))</f>
        <v/>
      </c>
      <c r="G310" s="1205">
        <f>'House Count'!F310</f>
        <v/>
      </c>
      <c r="H310" s="1205">
        <f>'House Count'!H310</f>
        <v/>
      </c>
    </row>
    <row r="311">
      <c r="A311" s="1204">
        <f>'House Count'!A311</f>
        <v/>
      </c>
      <c r="B311" s="1205">
        <f>'House Count'!E311</f>
        <v/>
      </c>
      <c r="C311" s="1205">
        <f>'House Count'!B311</f>
        <v/>
      </c>
      <c r="D311" s="1205">
        <f>'House Count'!C311</f>
        <v/>
      </c>
      <c r="E311" s="1205">
        <f>'House Count'!D311</f>
        <v/>
      </c>
      <c r="F311" s="1205">
        <f>IF(G311="RES-SFU","RESIDENTIAL",IF(G311="RES-HOA","RESIDENTIAL",IF(G311="RES-MDU","RESIDENTIAL",IF(G311="COMM-SU","BUSINESS",IF(G311="COM-MTU","BUSINESS",IF(G311="ENT","BUSINESS",""))))))</f>
        <v/>
      </c>
      <c r="G311" s="1205">
        <f>'House Count'!F311</f>
        <v/>
      </c>
      <c r="H311" s="1205">
        <f>'House Count'!H311</f>
        <v/>
      </c>
    </row>
    <row r="312">
      <c r="A312" s="1204">
        <f>'House Count'!A312</f>
        <v/>
      </c>
      <c r="B312" s="1205">
        <f>'House Count'!E312</f>
        <v/>
      </c>
      <c r="C312" s="1205">
        <f>'House Count'!B312</f>
        <v/>
      </c>
      <c r="D312" s="1205">
        <f>'House Count'!C312</f>
        <v/>
      </c>
      <c r="E312" s="1205">
        <f>'House Count'!D312</f>
        <v/>
      </c>
      <c r="F312" s="1205">
        <f>IF(G312="RES-SFU","RESIDENTIAL",IF(G312="RES-HOA","RESIDENTIAL",IF(G312="RES-MDU","RESIDENTIAL",IF(G312="COMM-SU","BUSINESS",IF(G312="COM-MTU","BUSINESS",IF(G312="ENT","BUSINESS",""))))))</f>
        <v/>
      </c>
      <c r="G312" s="1205">
        <f>'House Count'!F312</f>
        <v/>
      </c>
      <c r="H312" s="1205">
        <f>'House Count'!H312</f>
        <v/>
      </c>
    </row>
    <row r="313">
      <c r="A313" s="1204">
        <f>'House Count'!A313</f>
        <v/>
      </c>
      <c r="B313" s="1205">
        <f>'House Count'!E313</f>
        <v/>
      </c>
      <c r="C313" s="1205">
        <f>'House Count'!B313</f>
        <v/>
      </c>
      <c r="D313" s="1205">
        <f>'House Count'!C313</f>
        <v/>
      </c>
      <c r="E313" s="1205">
        <f>'House Count'!D313</f>
        <v/>
      </c>
      <c r="F313" s="1205">
        <f>IF(G313="RES-SFU","RESIDENTIAL",IF(G313="RES-HOA","RESIDENTIAL",IF(G313="RES-MDU","RESIDENTIAL",IF(G313="COMM-SU","BUSINESS",IF(G313="COM-MTU","BUSINESS",IF(G313="ENT","BUSINESS",""))))))</f>
        <v/>
      </c>
      <c r="G313" s="1205">
        <f>'House Count'!F313</f>
        <v/>
      </c>
      <c r="H313" s="1205">
        <f>'House Count'!H313</f>
        <v/>
      </c>
    </row>
    <row r="314">
      <c r="A314" s="1204">
        <f>'House Count'!A314</f>
        <v/>
      </c>
      <c r="B314" s="1205">
        <f>'House Count'!E314</f>
        <v/>
      </c>
      <c r="C314" s="1205">
        <f>'House Count'!B314</f>
        <v/>
      </c>
      <c r="D314" s="1205">
        <f>'House Count'!C314</f>
        <v/>
      </c>
      <c r="E314" s="1205">
        <f>'House Count'!D314</f>
        <v/>
      </c>
      <c r="F314" s="1205">
        <f>IF(G314="RES-SFU","RESIDENTIAL",IF(G314="RES-HOA","RESIDENTIAL",IF(G314="RES-MDU","RESIDENTIAL",IF(G314="COMM-SU","BUSINESS",IF(G314="COM-MTU","BUSINESS",IF(G314="ENT","BUSINESS",""))))))</f>
        <v/>
      </c>
      <c r="G314" s="1205">
        <f>'House Count'!F314</f>
        <v/>
      </c>
      <c r="H314" s="1205">
        <f>'House Count'!H314</f>
        <v/>
      </c>
    </row>
    <row r="315">
      <c r="A315" s="1204">
        <f>'House Count'!A315</f>
        <v/>
      </c>
      <c r="B315" s="1205">
        <f>'House Count'!E315</f>
        <v/>
      </c>
      <c r="C315" s="1205">
        <f>'House Count'!B315</f>
        <v/>
      </c>
      <c r="D315" s="1205">
        <f>'House Count'!C315</f>
        <v/>
      </c>
      <c r="E315" s="1205">
        <f>'House Count'!D315</f>
        <v/>
      </c>
      <c r="F315" s="1205">
        <f>IF(G315="RES-SFU","RESIDENTIAL",IF(G315="RES-HOA","RESIDENTIAL",IF(G315="RES-MDU","RESIDENTIAL",IF(G315="COMM-SU","BUSINESS",IF(G315="COM-MTU","BUSINESS",IF(G315="ENT","BUSINESS",""))))))</f>
        <v/>
      </c>
      <c r="G315" s="1205">
        <f>'House Count'!F315</f>
        <v/>
      </c>
      <c r="H315" s="1205">
        <f>'House Count'!H315</f>
        <v/>
      </c>
    </row>
    <row r="316">
      <c r="A316" s="1204">
        <f>'House Count'!A316</f>
        <v/>
      </c>
      <c r="B316" s="1205">
        <f>'House Count'!E316</f>
        <v/>
      </c>
      <c r="C316" s="1205">
        <f>'House Count'!B316</f>
        <v/>
      </c>
      <c r="D316" s="1205">
        <f>'House Count'!C316</f>
        <v/>
      </c>
      <c r="E316" s="1205">
        <f>'House Count'!D316</f>
        <v/>
      </c>
      <c r="F316" s="1205">
        <f>IF(G316="RES-SFU","RESIDENTIAL",IF(G316="RES-HOA","RESIDENTIAL",IF(G316="RES-MDU","RESIDENTIAL",IF(G316="COMM-SU","BUSINESS",IF(G316="COM-MTU","BUSINESS",IF(G316="ENT","BUSINESS",""))))))</f>
        <v/>
      </c>
      <c r="G316" s="1205">
        <f>'House Count'!F316</f>
        <v/>
      </c>
      <c r="H316" s="1205">
        <f>'House Count'!H316</f>
        <v/>
      </c>
    </row>
    <row r="317">
      <c r="A317" s="1204">
        <f>'House Count'!A317</f>
        <v/>
      </c>
      <c r="B317" s="1205">
        <f>'House Count'!E317</f>
        <v/>
      </c>
      <c r="C317" s="1205">
        <f>'House Count'!B317</f>
        <v/>
      </c>
      <c r="D317" s="1205">
        <f>'House Count'!C317</f>
        <v/>
      </c>
      <c r="E317" s="1205">
        <f>'House Count'!D317</f>
        <v/>
      </c>
      <c r="F317" s="1205">
        <f>IF(G317="RES-SFU","RESIDENTIAL",IF(G317="RES-HOA","RESIDENTIAL",IF(G317="RES-MDU","RESIDENTIAL",IF(G317="COMM-SU","BUSINESS",IF(G317="COM-MTU","BUSINESS",IF(G317="ENT","BUSINESS",""))))))</f>
        <v/>
      </c>
      <c r="G317" s="1205">
        <f>'House Count'!F317</f>
        <v/>
      </c>
      <c r="H317" s="1205">
        <f>'House Count'!H317</f>
        <v/>
      </c>
    </row>
    <row r="318">
      <c r="A318" s="1204">
        <f>'House Count'!A318</f>
        <v/>
      </c>
      <c r="B318" s="1205">
        <f>'House Count'!E318</f>
        <v/>
      </c>
      <c r="C318" s="1205">
        <f>'House Count'!B318</f>
        <v/>
      </c>
      <c r="D318" s="1205">
        <f>'House Count'!C318</f>
        <v/>
      </c>
      <c r="E318" s="1205">
        <f>'House Count'!D318</f>
        <v/>
      </c>
      <c r="F318" s="1205">
        <f>IF(G318="RES-SFU","RESIDENTIAL",IF(G318="RES-HOA","RESIDENTIAL",IF(G318="RES-MDU","RESIDENTIAL",IF(G318="COMM-SU","BUSINESS",IF(G318="COM-MTU","BUSINESS",IF(G318="ENT","BUSINESS",""))))))</f>
        <v/>
      </c>
      <c r="G318" s="1205">
        <f>'House Count'!F318</f>
        <v/>
      </c>
      <c r="H318" s="1205">
        <f>'House Count'!H318</f>
        <v/>
      </c>
    </row>
    <row r="319">
      <c r="A319" s="1204">
        <f>'House Count'!A319</f>
        <v/>
      </c>
      <c r="B319" s="1205">
        <f>'House Count'!E319</f>
        <v/>
      </c>
      <c r="C319" s="1205">
        <f>'House Count'!B319</f>
        <v/>
      </c>
      <c r="D319" s="1205">
        <f>'House Count'!C319</f>
        <v/>
      </c>
      <c r="E319" s="1205">
        <f>'House Count'!D319</f>
        <v/>
      </c>
      <c r="F319" s="1205">
        <f>IF(G319="RES-SFU","RESIDENTIAL",IF(G319="RES-HOA","RESIDENTIAL",IF(G319="RES-MDU","RESIDENTIAL",IF(G319="COMM-SU","BUSINESS",IF(G319="COM-MTU","BUSINESS",IF(G319="ENT","BUSINESS",""))))))</f>
        <v/>
      </c>
      <c r="G319" s="1205">
        <f>'House Count'!F319</f>
        <v/>
      </c>
      <c r="H319" s="1205">
        <f>'House Count'!H319</f>
        <v/>
      </c>
    </row>
    <row r="320">
      <c r="A320" s="1204">
        <f>'House Count'!A320</f>
        <v/>
      </c>
      <c r="B320" s="1205">
        <f>'House Count'!E320</f>
        <v/>
      </c>
      <c r="C320" s="1205">
        <f>'House Count'!B320</f>
        <v/>
      </c>
      <c r="D320" s="1205">
        <f>'House Count'!C320</f>
        <v/>
      </c>
      <c r="E320" s="1205">
        <f>'House Count'!D320</f>
        <v/>
      </c>
      <c r="F320" s="1205">
        <f>IF(G320="RES-SFU","RESIDENTIAL",IF(G320="RES-HOA","RESIDENTIAL",IF(G320="RES-MDU","RESIDENTIAL",IF(G320="COMM-SU","BUSINESS",IF(G320="COM-MTU","BUSINESS",IF(G320="ENT","BUSINESS",""))))))</f>
        <v/>
      </c>
      <c r="G320" s="1205">
        <f>'House Count'!F320</f>
        <v/>
      </c>
      <c r="H320" s="1205">
        <f>'House Count'!H320</f>
        <v/>
      </c>
    </row>
    <row r="321">
      <c r="A321" s="1204">
        <f>'House Count'!A321</f>
        <v/>
      </c>
      <c r="B321" s="1205">
        <f>'House Count'!E321</f>
        <v/>
      </c>
      <c r="C321" s="1205">
        <f>'House Count'!B321</f>
        <v/>
      </c>
      <c r="D321" s="1205">
        <f>'House Count'!C321</f>
        <v/>
      </c>
      <c r="E321" s="1205">
        <f>'House Count'!D321</f>
        <v/>
      </c>
      <c r="F321" s="1205">
        <f>IF(G321="RES-SFU","RESIDENTIAL",IF(G321="RES-HOA","RESIDENTIAL",IF(G321="RES-MDU","RESIDENTIAL",IF(G321="COMM-SU","BUSINESS",IF(G321="COM-MTU","BUSINESS",IF(G321="ENT","BUSINESS",""))))))</f>
        <v/>
      </c>
      <c r="G321" s="1205">
        <f>'House Count'!F321</f>
        <v/>
      </c>
      <c r="H321" s="1205">
        <f>'House Count'!H321</f>
        <v/>
      </c>
    </row>
    <row r="322">
      <c r="A322" s="1204">
        <f>'House Count'!A322</f>
        <v/>
      </c>
      <c r="B322" s="1205">
        <f>'House Count'!E322</f>
        <v/>
      </c>
      <c r="C322" s="1205">
        <f>'House Count'!B322</f>
        <v/>
      </c>
      <c r="D322" s="1205">
        <f>'House Count'!C322</f>
        <v/>
      </c>
      <c r="E322" s="1205">
        <f>'House Count'!D322</f>
        <v/>
      </c>
      <c r="F322" s="1205">
        <f>IF(G322="RES-SFU","RESIDENTIAL",IF(G322="RES-HOA","RESIDENTIAL",IF(G322="RES-MDU","RESIDENTIAL",IF(G322="COMM-SU","BUSINESS",IF(G322="COM-MTU","BUSINESS",IF(G322="ENT","BUSINESS",""))))))</f>
        <v/>
      </c>
      <c r="G322" s="1205">
        <f>'House Count'!F322</f>
        <v/>
      </c>
      <c r="H322" s="1205">
        <f>'House Count'!H322</f>
        <v/>
      </c>
    </row>
    <row r="323">
      <c r="A323" s="1204">
        <f>'House Count'!A323</f>
        <v/>
      </c>
      <c r="B323" s="1205">
        <f>'House Count'!E323</f>
        <v/>
      </c>
      <c r="C323" s="1205">
        <f>'House Count'!B323</f>
        <v/>
      </c>
      <c r="D323" s="1205">
        <f>'House Count'!C323</f>
        <v/>
      </c>
      <c r="E323" s="1205">
        <f>'House Count'!D323</f>
        <v/>
      </c>
      <c r="F323" s="1205">
        <f>IF(G323="RES-SFU","RESIDENTIAL",IF(G323="RES-HOA","RESIDENTIAL",IF(G323="RES-MDU","RESIDENTIAL",IF(G323="COMM-SU","BUSINESS",IF(G323="COM-MTU","BUSINESS",IF(G323="ENT","BUSINESS",""))))))</f>
        <v/>
      </c>
      <c r="G323" s="1205">
        <f>'House Count'!F323</f>
        <v/>
      </c>
      <c r="H323" s="1205">
        <f>'House Count'!H323</f>
        <v/>
      </c>
    </row>
    <row r="324">
      <c r="A324" s="1204">
        <f>'House Count'!A324</f>
        <v/>
      </c>
      <c r="B324" s="1205">
        <f>'House Count'!E324</f>
        <v/>
      </c>
      <c r="C324" s="1205">
        <f>'House Count'!B324</f>
        <v/>
      </c>
      <c r="D324" s="1205">
        <f>'House Count'!C324</f>
        <v/>
      </c>
      <c r="E324" s="1205">
        <f>'House Count'!D324</f>
        <v/>
      </c>
      <c r="F324" s="1205">
        <f>IF(G324="RES-SFU","RESIDENTIAL",IF(G324="RES-HOA","RESIDENTIAL",IF(G324="RES-MDU","RESIDENTIAL",IF(G324="COMM-SU","BUSINESS",IF(G324="COM-MTU","BUSINESS",IF(G324="ENT","BUSINESS",""))))))</f>
        <v/>
      </c>
      <c r="G324" s="1205">
        <f>'House Count'!F324</f>
        <v/>
      </c>
      <c r="H324" s="1205">
        <f>'House Count'!H324</f>
        <v/>
      </c>
    </row>
    <row r="325">
      <c r="A325" s="1204">
        <f>'House Count'!A325</f>
        <v/>
      </c>
      <c r="B325" s="1205">
        <f>'House Count'!E325</f>
        <v/>
      </c>
      <c r="C325" s="1205">
        <f>'House Count'!B325</f>
        <v/>
      </c>
      <c r="D325" s="1205">
        <f>'House Count'!C325</f>
        <v/>
      </c>
      <c r="E325" s="1205">
        <f>'House Count'!D325</f>
        <v/>
      </c>
      <c r="F325" s="1205">
        <f>IF(G325="RES-SFU","RESIDENTIAL",IF(G325="RES-HOA","RESIDENTIAL",IF(G325="RES-MDU","RESIDENTIAL",IF(G325="COMM-SU","BUSINESS",IF(G325="COM-MTU","BUSINESS",IF(G325="ENT","BUSINESS",""))))))</f>
        <v/>
      </c>
      <c r="G325" s="1205">
        <f>'House Count'!F325</f>
        <v/>
      </c>
      <c r="H325" s="1205">
        <f>'House Count'!H325</f>
        <v/>
      </c>
    </row>
    <row r="326">
      <c r="A326" s="1204">
        <f>'House Count'!A326</f>
        <v/>
      </c>
      <c r="B326" s="1205">
        <f>'House Count'!E326</f>
        <v/>
      </c>
      <c r="C326" s="1205">
        <f>'House Count'!B326</f>
        <v/>
      </c>
      <c r="D326" s="1205">
        <f>'House Count'!C326</f>
        <v/>
      </c>
      <c r="E326" s="1205">
        <f>'House Count'!D326</f>
        <v/>
      </c>
      <c r="F326" s="1205">
        <f>IF(G326="RES-SFU","RESIDENTIAL",IF(G326="RES-HOA","RESIDENTIAL",IF(G326="RES-MDU","RESIDENTIAL",IF(G326="COMM-SU","BUSINESS",IF(G326="COM-MTU","BUSINESS",IF(G326="ENT","BUSINESS",""))))))</f>
        <v/>
      </c>
      <c r="G326" s="1205">
        <f>'House Count'!F326</f>
        <v/>
      </c>
      <c r="H326" s="1205">
        <f>'House Count'!H326</f>
        <v/>
      </c>
    </row>
    <row r="327">
      <c r="A327" s="1204">
        <f>'House Count'!A327</f>
        <v/>
      </c>
      <c r="B327" s="1205">
        <f>'House Count'!E327</f>
        <v/>
      </c>
      <c r="C327" s="1205">
        <f>'House Count'!B327</f>
        <v/>
      </c>
      <c r="D327" s="1205">
        <f>'House Count'!C327</f>
        <v/>
      </c>
      <c r="E327" s="1205">
        <f>'House Count'!D327</f>
        <v/>
      </c>
      <c r="F327" s="1205">
        <f>IF(G327="RES-SFU","RESIDENTIAL",IF(G327="RES-HOA","RESIDENTIAL",IF(G327="RES-MDU","RESIDENTIAL",IF(G327="COMM-SU","BUSINESS",IF(G327="COM-MTU","BUSINESS",IF(G327="ENT","BUSINESS",""))))))</f>
        <v/>
      </c>
      <c r="G327" s="1205">
        <f>'House Count'!F327</f>
        <v/>
      </c>
      <c r="H327" s="1205">
        <f>'House Count'!H327</f>
        <v/>
      </c>
    </row>
    <row r="328">
      <c r="A328" s="1204">
        <f>'House Count'!A328</f>
        <v/>
      </c>
      <c r="B328" s="1205">
        <f>'House Count'!E328</f>
        <v/>
      </c>
      <c r="C328" s="1205">
        <f>'House Count'!B328</f>
        <v/>
      </c>
      <c r="D328" s="1205">
        <f>'House Count'!C328</f>
        <v/>
      </c>
      <c r="E328" s="1205">
        <f>'House Count'!D328</f>
        <v/>
      </c>
      <c r="F328" s="1205">
        <f>IF(G328="RES-SFU","RESIDENTIAL",IF(G328="RES-HOA","RESIDENTIAL",IF(G328="RES-MDU","RESIDENTIAL",IF(G328="COMM-SU","BUSINESS",IF(G328="COM-MTU","BUSINESS",IF(G328="ENT","BUSINESS",""))))))</f>
        <v/>
      </c>
      <c r="G328" s="1205">
        <f>'House Count'!F328</f>
        <v/>
      </c>
      <c r="H328" s="1205">
        <f>'House Count'!H328</f>
        <v/>
      </c>
    </row>
    <row r="329">
      <c r="A329" s="1204">
        <f>'House Count'!A329</f>
        <v/>
      </c>
      <c r="B329" s="1205">
        <f>'House Count'!E329</f>
        <v/>
      </c>
      <c r="C329" s="1205">
        <f>'House Count'!B329</f>
        <v/>
      </c>
      <c r="D329" s="1205">
        <f>'House Count'!C329</f>
        <v/>
      </c>
      <c r="E329" s="1205">
        <f>'House Count'!D329</f>
        <v/>
      </c>
      <c r="F329" s="1205">
        <f>IF(G329="RES-SFU","RESIDENTIAL",IF(G329="RES-HOA","RESIDENTIAL",IF(G329="RES-MDU","RESIDENTIAL",IF(G329="COMM-SU","BUSINESS",IF(G329="COM-MTU","BUSINESS",IF(G329="ENT","BUSINESS",""))))))</f>
        <v/>
      </c>
      <c r="G329" s="1205">
        <f>'House Count'!F329</f>
        <v/>
      </c>
      <c r="H329" s="1205">
        <f>'House Count'!H329</f>
        <v/>
      </c>
    </row>
    <row r="330">
      <c r="A330" s="1204">
        <f>'House Count'!A330</f>
        <v/>
      </c>
      <c r="B330" s="1205">
        <f>'House Count'!E330</f>
        <v/>
      </c>
      <c r="C330" s="1205">
        <f>'House Count'!B330</f>
        <v/>
      </c>
      <c r="D330" s="1205">
        <f>'House Count'!C330</f>
        <v/>
      </c>
      <c r="E330" s="1205">
        <f>'House Count'!D330</f>
        <v/>
      </c>
      <c r="F330" s="1205">
        <f>IF(G330="RES-SFU","RESIDENTIAL",IF(G330="RES-HOA","RESIDENTIAL",IF(G330="RES-MDU","RESIDENTIAL",IF(G330="COMM-SU","BUSINESS",IF(G330="COM-MTU","BUSINESS",IF(G330="ENT","BUSINESS",""))))))</f>
        <v/>
      </c>
      <c r="G330" s="1205">
        <f>'House Count'!F330</f>
        <v/>
      </c>
      <c r="H330" s="1205">
        <f>'House Count'!H330</f>
        <v/>
      </c>
    </row>
    <row r="331">
      <c r="A331" s="1204">
        <f>'House Count'!A331</f>
        <v/>
      </c>
      <c r="B331" s="1205">
        <f>'House Count'!E331</f>
        <v/>
      </c>
      <c r="C331" s="1205">
        <f>'House Count'!B331</f>
        <v/>
      </c>
      <c r="D331" s="1205">
        <f>'House Count'!C331</f>
        <v/>
      </c>
      <c r="E331" s="1205">
        <f>'House Count'!D331</f>
        <v/>
      </c>
      <c r="F331" s="1205">
        <f>IF(G331="RES-SFU","RESIDENTIAL",IF(G331="RES-HOA","RESIDENTIAL",IF(G331="RES-MDU","RESIDENTIAL",IF(G331="COMM-SU","BUSINESS",IF(G331="COM-MTU","BUSINESS",IF(G331="ENT","BUSINESS",""))))))</f>
        <v/>
      </c>
      <c r="G331" s="1205">
        <f>'House Count'!F331</f>
        <v/>
      </c>
      <c r="H331" s="1205">
        <f>'House Count'!H331</f>
        <v/>
      </c>
    </row>
    <row r="332">
      <c r="A332" s="1204">
        <f>'House Count'!A332</f>
        <v/>
      </c>
      <c r="B332" s="1205">
        <f>'House Count'!E332</f>
        <v/>
      </c>
      <c r="C332" s="1205">
        <f>'House Count'!B332</f>
        <v/>
      </c>
      <c r="D332" s="1205">
        <f>'House Count'!C332</f>
        <v/>
      </c>
      <c r="E332" s="1205">
        <f>'House Count'!D332</f>
        <v/>
      </c>
      <c r="F332" s="1205">
        <f>IF(G332="RES-SFU","RESIDENTIAL",IF(G332="RES-HOA","RESIDENTIAL",IF(G332="RES-MDU","RESIDENTIAL",IF(G332="COMM-SU","BUSINESS",IF(G332="COM-MTU","BUSINESS",IF(G332="ENT","BUSINESS",""))))))</f>
        <v/>
      </c>
      <c r="G332" s="1205">
        <f>'House Count'!F332</f>
        <v/>
      </c>
      <c r="H332" s="1205">
        <f>'House Count'!H332</f>
        <v/>
      </c>
    </row>
    <row r="333">
      <c r="A333" s="1204">
        <f>'House Count'!A333</f>
        <v/>
      </c>
      <c r="B333" s="1205">
        <f>'House Count'!E333</f>
        <v/>
      </c>
      <c r="C333" s="1205">
        <f>'House Count'!B333</f>
        <v/>
      </c>
      <c r="D333" s="1205">
        <f>'House Count'!C333</f>
        <v/>
      </c>
      <c r="E333" s="1205">
        <f>'House Count'!D333</f>
        <v/>
      </c>
      <c r="F333" s="1205">
        <f>IF(G333="RES-SFU","RESIDENTIAL",IF(G333="RES-HOA","RESIDENTIAL",IF(G333="RES-MDU","RESIDENTIAL",IF(G333="COMM-SU","BUSINESS",IF(G333="COM-MTU","BUSINESS",IF(G333="ENT","BUSINESS",""))))))</f>
        <v/>
      </c>
      <c r="G333" s="1205">
        <f>'House Count'!F333</f>
        <v/>
      </c>
      <c r="H333" s="1205">
        <f>'House Count'!H333</f>
        <v/>
      </c>
    </row>
    <row r="334">
      <c r="A334" s="1204">
        <f>'House Count'!A334</f>
        <v/>
      </c>
      <c r="B334" s="1205">
        <f>'House Count'!E334</f>
        <v/>
      </c>
      <c r="C334" s="1205">
        <f>'House Count'!B334</f>
        <v/>
      </c>
      <c r="D334" s="1205">
        <f>'House Count'!C334</f>
        <v/>
      </c>
      <c r="E334" s="1205">
        <f>'House Count'!D334</f>
        <v/>
      </c>
      <c r="F334" s="1205">
        <f>IF(G334="RES-SFU","RESIDENTIAL",IF(G334="RES-HOA","RESIDENTIAL",IF(G334="RES-MDU","RESIDENTIAL",IF(G334="COMM-SU","BUSINESS",IF(G334="COM-MTU","BUSINESS",IF(G334="ENT","BUSINESS",""))))))</f>
        <v/>
      </c>
      <c r="G334" s="1205">
        <f>'House Count'!F334</f>
        <v/>
      </c>
      <c r="H334" s="1205">
        <f>'House Count'!H334</f>
        <v/>
      </c>
    </row>
    <row r="335">
      <c r="A335" s="1204">
        <f>'House Count'!A335</f>
        <v/>
      </c>
      <c r="B335" s="1205">
        <f>'House Count'!E335</f>
        <v/>
      </c>
      <c r="C335" s="1205">
        <f>'House Count'!B335</f>
        <v/>
      </c>
      <c r="D335" s="1205">
        <f>'House Count'!C335</f>
        <v/>
      </c>
      <c r="E335" s="1205">
        <f>'House Count'!D335</f>
        <v/>
      </c>
      <c r="F335" s="1205">
        <f>IF(G335="RES-SFU","RESIDENTIAL",IF(G335="RES-HOA","RESIDENTIAL",IF(G335="RES-MDU","RESIDENTIAL",IF(G335="COMM-SU","BUSINESS",IF(G335="COM-MTU","BUSINESS",IF(G335="ENT","BUSINESS",""))))))</f>
        <v/>
      </c>
      <c r="G335" s="1205">
        <f>'House Count'!F335</f>
        <v/>
      </c>
      <c r="H335" s="1205">
        <f>'House Count'!H335</f>
        <v/>
      </c>
    </row>
    <row r="336">
      <c r="A336" s="1204">
        <f>'House Count'!A336</f>
        <v/>
      </c>
      <c r="B336" s="1205">
        <f>'House Count'!E336</f>
        <v/>
      </c>
      <c r="C336" s="1205">
        <f>'House Count'!B336</f>
        <v/>
      </c>
      <c r="D336" s="1205">
        <f>'House Count'!C336</f>
        <v/>
      </c>
      <c r="E336" s="1205">
        <f>'House Count'!D336</f>
        <v/>
      </c>
      <c r="F336" s="1205">
        <f>IF(G336="RES-SFU","RESIDENTIAL",IF(G336="RES-HOA","RESIDENTIAL",IF(G336="RES-MDU","RESIDENTIAL",IF(G336="COMM-SU","BUSINESS",IF(G336="COM-MTU","BUSINESS",IF(G336="ENT","BUSINESS",""))))))</f>
        <v/>
      </c>
      <c r="G336" s="1205">
        <f>'House Count'!F336</f>
        <v/>
      </c>
      <c r="H336" s="1205">
        <f>'House Count'!H336</f>
        <v/>
      </c>
    </row>
    <row r="337">
      <c r="A337" s="1204">
        <f>'House Count'!A337</f>
        <v/>
      </c>
      <c r="B337" s="1205">
        <f>'House Count'!E337</f>
        <v/>
      </c>
      <c r="C337" s="1205">
        <f>'House Count'!B337</f>
        <v/>
      </c>
      <c r="D337" s="1205">
        <f>'House Count'!C337</f>
        <v/>
      </c>
      <c r="E337" s="1205">
        <f>'House Count'!D337</f>
        <v/>
      </c>
      <c r="F337" s="1205">
        <f>IF(G337="RES-SFU","RESIDENTIAL",IF(G337="RES-HOA","RESIDENTIAL",IF(G337="RES-MDU","RESIDENTIAL",IF(G337="COMM-SU","BUSINESS",IF(G337="COM-MTU","BUSINESS",IF(G337="ENT","BUSINESS",""))))))</f>
        <v/>
      </c>
      <c r="G337" s="1205">
        <f>'House Count'!F337</f>
        <v/>
      </c>
      <c r="H337" s="1205">
        <f>'House Count'!H337</f>
        <v/>
      </c>
    </row>
    <row r="338">
      <c r="A338" s="1204">
        <f>'House Count'!A338</f>
        <v/>
      </c>
      <c r="B338" s="1205">
        <f>'House Count'!E338</f>
        <v/>
      </c>
      <c r="C338" s="1205">
        <f>'House Count'!B338</f>
        <v/>
      </c>
      <c r="D338" s="1205">
        <f>'House Count'!C338</f>
        <v/>
      </c>
      <c r="E338" s="1205">
        <f>'House Count'!D338</f>
        <v/>
      </c>
      <c r="F338" s="1205">
        <f>IF(G338="RES-SFU","RESIDENTIAL",IF(G338="RES-HOA","RESIDENTIAL",IF(G338="RES-MDU","RESIDENTIAL",IF(G338="COMM-SU","BUSINESS",IF(G338="COM-MTU","BUSINESS",IF(G338="ENT","BUSINESS",""))))))</f>
        <v/>
      </c>
      <c r="G338" s="1205">
        <f>'House Count'!F338</f>
        <v/>
      </c>
      <c r="H338" s="1205">
        <f>'House Count'!H338</f>
        <v/>
      </c>
    </row>
    <row r="339">
      <c r="A339" s="1204">
        <f>'House Count'!A339</f>
        <v/>
      </c>
      <c r="B339" s="1205">
        <f>'House Count'!E339</f>
        <v/>
      </c>
      <c r="C339" s="1205">
        <f>'House Count'!B339</f>
        <v/>
      </c>
      <c r="D339" s="1205">
        <f>'House Count'!C339</f>
        <v/>
      </c>
      <c r="E339" s="1205">
        <f>'House Count'!D339</f>
        <v/>
      </c>
      <c r="F339" s="1205">
        <f>IF(G339="RES-SFU","RESIDENTIAL",IF(G339="RES-HOA","RESIDENTIAL",IF(G339="RES-MDU","RESIDENTIAL",IF(G339="COMM-SU","BUSINESS",IF(G339="COM-MTU","BUSINESS",IF(G339="ENT","BUSINESS",""))))))</f>
        <v/>
      </c>
      <c r="G339" s="1205">
        <f>'House Count'!F339</f>
        <v/>
      </c>
      <c r="H339" s="1205">
        <f>'House Count'!H339</f>
        <v/>
      </c>
    </row>
    <row r="340">
      <c r="A340" s="1204">
        <f>'House Count'!A340</f>
        <v/>
      </c>
      <c r="B340" s="1205">
        <f>'House Count'!E340</f>
        <v/>
      </c>
      <c r="C340" s="1205">
        <f>'House Count'!B340</f>
        <v/>
      </c>
      <c r="D340" s="1205">
        <f>'House Count'!C340</f>
        <v/>
      </c>
      <c r="E340" s="1205">
        <f>'House Count'!D340</f>
        <v/>
      </c>
      <c r="F340" s="1205">
        <f>IF(G340="RES-SFU","RESIDENTIAL",IF(G340="RES-HOA","RESIDENTIAL",IF(G340="RES-MDU","RESIDENTIAL",IF(G340="COMM-SU","BUSINESS",IF(G340="COM-MTU","BUSINESS",IF(G340="ENT","BUSINESS",""))))))</f>
        <v/>
      </c>
      <c r="G340" s="1205">
        <f>'House Count'!F340</f>
        <v/>
      </c>
      <c r="H340" s="1205">
        <f>'House Count'!H340</f>
        <v/>
      </c>
    </row>
    <row r="341">
      <c r="A341" s="1204">
        <f>'House Count'!A341</f>
        <v/>
      </c>
      <c r="B341" s="1205">
        <f>'House Count'!E341</f>
        <v/>
      </c>
      <c r="C341" s="1205">
        <f>'House Count'!B341</f>
        <v/>
      </c>
      <c r="D341" s="1205">
        <f>'House Count'!C341</f>
        <v/>
      </c>
      <c r="E341" s="1205">
        <f>'House Count'!D341</f>
        <v/>
      </c>
      <c r="F341" s="1205">
        <f>IF(G341="RES-SFU","RESIDENTIAL",IF(G341="RES-HOA","RESIDENTIAL",IF(G341="RES-MDU","RESIDENTIAL",IF(G341="COMM-SU","BUSINESS",IF(G341="COM-MTU","BUSINESS",IF(G341="ENT","BUSINESS",""))))))</f>
        <v/>
      </c>
      <c r="G341" s="1205">
        <f>'House Count'!F341</f>
        <v/>
      </c>
      <c r="H341" s="1205">
        <f>'House Count'!H341</f>
        <v/>
      </c>
    </row>
    <row r="342">
      <c r="A342" s="1204">
        <f>'House Count'!A342</f>
        <v/>
      </c>
      <c r="B342" s="1205">
        <f>'House Count'!E342</f>
        <v/>
      </c>
      <c r="C342" s="1205">
        <f>'House Count'!B342</f>
        <v/>
      </c>
      <c r="D342" s="1205">
        <f>'House Count'!C342</f>
        <v/>
      </c>
      <c r="E342" s="1205">
        <f>'House Count'!D342</f>
        <v/>
      </c>
      <c r="F342" s="1205">
        <f>IF(G342="RES-SFU","RESIDENTIAL",IF(G342="RES-HOA","RESIDENTIAL",IF(G342="RES-MDU","RESIDENTIAL",IF(G342="COMM-SU","BUSINESS",IF(G342="COM-MTU","BUSINESS",IF(G342="ENT","BUSINESS",""))))))</f>
        <v/>
      </c>
      <c r="G342" s="1205">
        <f>'House Count'!F342</f>
        <v/>
      </c>
      <c r="H342" s="1205">
        <f>'House Count'!H342</f>
        <v/>
      </c>
    </row>
    <row r="343">
      <c r="A343" s="1204">
        <f>'House Count'!A343</f>
        <v/>
      </c>
      <c r="B343" s="1205">
        <f>'House Count'!E343</f>
        <v/>
      </c>
      <c r="C343" s="1205">
        <f>'House Count'!B343</f>
        <v/>
      </c>
      <c r="D343" s="1205">
        <f>'House Count'!C343</f>
        <v/>
      </c>
      <c r="E343" s="1205">
        <f>'House Count'!D343</f>
        <v/>
      </c>
      <c r="F343" s="1205">
        <f>IF(G343="RES-SFU","RESIDENTIAL",IF(G343="RES-HOA","RESIDENTIAL",IF(G343="RES-MDU","RESIDENTIAL",IF(G343="COMM-SU","BUSINESS",IF(G343="COM-MTU","BUSINESS",IF(G343="ENT","BUSINESS",""))))))</f>
        <v/>
      </c>
      <c r="G343" s="1205">
        <f>'House Count'!F343</f>
        <v/>
      </c>
      <c r="H343" s="1205">
        <f>'House Count'!H343</f>
        <v/>
      </c>
    </row>
    <row r="344">
      <c r="A344" s="1204">
        <f>'House Count'!A344</f>
        <v/>
      </c>
      <c r="B344" s="1205">
        <f>'House Count'!E344</f>
        <v/>
      </c>
      <c r="C344" s="1205">
        <f>'House Count'!B344</f>
        <v/>
      </c>
      <c r="D344" s="1205">
        <f>'House Count'!C344</f>
        <v/>
      </c>
      <c r="E344" s="1205">
        <f>'House Count'!D344</f>
        <v/>
      </c>
      <c r="F344" s="1205">
        <f>IF(G344="RES-SFU","RESIDENTIAL",IF(G344="RES-HOA","RESIDENTIAL",IF(G344="RES-MDU","RESIDENTIAL",IF(G344="COMM-SU","BUSINESS",IF(G344="COM-MTU","BUSINESS",IF(G344="ENT","BUSINESS",""))))))</f>
        <v/>
      </c>
      <c r="G344" s="1205">
        <f>'House Count'!F344</f>
        <v/>
      </c>
      <c r="H344" s="1205">
        <f>'House Count'!H344</f>
        <v/>
      </c>
    </row>
    <row r="345">
      <c r="A345" s="1204">
        <f>'House Count'!A345</f>
        <v/>
      </c>
      <c r="B345" s="1205">
        <f>'House Count'!E345</f>
        <v/>
      </c>
      <c r="C345" s="1205">
        <f>'House Count'!B345</f>
        <v/>
      </c>
      <c r="D345" s="1205">
        <f>'House Count'!C345</f>
        <v/>
      </c>
      <c r="E345" s="1205">
        <f>'House Count'!D345</f>
        <v/>
      </c>
      <c r="F345" s="1205">
        <f>IF(G345="RES-SFU","RESIDENTIAL",IF(G345="RES-HOA","RESIDENTIAL",IF(G345="RES-MDU","RESIDENTIAL",IF(G345="COMM-SU","BUSINESS",IF(G345="COM-MTU","BUSINESS",IF(G345="ENT","BUSINESS",""))))))</f>
        <v/>
      </c>
      <c r="G345" s="1205">
        <f>'House Count'!F345</f>
        <v/>
      </c>
      <c r="H345" s="1205">
        <f>'House Count'!H345</f>
        <v/>
      </c>
    </row>
    <row r="346">
      <c r="A346" s="1204">
        <f>'House Count'!A346</f>
        <v/>
      </c>
      <c r="B346" s="1205">
        <f>'House Count'!E346</f>
        <v/>
      </c>
      <c r="C346" s="1205">
        <f>'House Count'!B346</f>
        <v/>
      </c>
      <c r="D346" s="1205">
        <f>'House Count'!C346</f>
        <v/>
      </c>
      <c r="E346" s="1205">
        <f>'House Count'!D346</f>
        <v/>
      </c>
      <c r="F346" s="1205">
        <f>IF(G346="RES-SFU","RESIDENTIAL",IF(G346="RES-HOA","RESIDENTIAL",IF(G346="RES-MDU","RESIDENTIAL",IF(G346="COMM-SU","BUSINESS",IF(G346="COM-MTU","BUSINESS",IF(G346="ENT","BUSINESS",""))))))</f>
        <v/>
      </c>
      <c r="G346" s="1205">
        <f>'House Count'!F346</f>
        <v/>
      </c>
      <c r="H346" s="1205">
        <f>'House Count'!H346</f>
        <v/>
      </c>
    </row>
    <row r="347">
      <c r="A347" s="1204">
        <f>'House Count'!A347</f>
        <v/>
      </c>
      <c r="B347" s="1205">
        <f>'House Count'!E347</f>
        <v/>
      </c>
      <c r="C347" s="1205">
        <f>'House Count'!B347</f>
        <v/>
      </c>
      <c r="D347" s="1205">
        <f>'House Count'!C347</f>
        <v/>
      </c>
      <c r="E347" s="1205">
        <f>'House Count'!D347</f>
        <v/>
      </c>
      <c r="F347" s="1205">
        <f>IF(G347="RES-SFU","RESIDENTIAL",IF(G347="RES-HOA","RESIDENTIAL",IF(G347="RES-MDU","RESIDENTIAL",IF(G347="COMM-SU","BUSINESS",IF(G347="COM-MTU","BUSINESS",IF(G347="ENT","BUSINESS",""))))))</f>
        <v/>
      </c>
      <c r="G347" s="1205">
        <f>'House Count'!F347</f>
        <v/>
      </c>
      <c r="H347" s="1205">
        <f>'House Count'!H347</f>
        <v/>
      </c>
    </row>
    <row r="348">
      <c r="A348" s="1204">
        <f>'House Count'!A348</f>
        <v/>
      </c>
      <c r="B348" s="1205">
        <f>'House Count'!E348</f>
        <v/>
      </c>
      <c r="C348" s="1205">
        <f>'House Count'!B348</f>
        <v/>
      </c>
      <c r="D348" s="1205">
        <f>'House Count'!C348</f>
        <v/>
      </c>
      <c r="E348" s="1205">
        <f>'House Count'!D348</f>
        <v/>
      </c>
      <c r="F348" s="1205">
        <f>IF(G348="RES-SFU","RESIDENTIAL",IF(G348="RES-HOA","RESIDENTIAL",IF(G348="RES-MDU","RESIDENTIAL",IF(G348="COMM-SU","BUSINESS",IF(G348="COM-MTU","BUSINESS",IF(G348="ENT","BUSINESS",""))))))</f>
        <v/>
      </c>
      <c r="G348" s="1205">
        <f>'House Count'!F348</f>
        <v/>
      </c>
      <c r="H348" s="1205">
        <f>'House Count'!H348</f>
        <v/>
      </c>
    </row>
    <row r="349">
      <c r="A349" s="1204">
        <f>'House Count'!A349</f>
        <v/>
      </c>
      <c r="B349" s="1205">
        <f>'House Count'!E349</f>
        <v/>
      </c>
      <c r="C349" s="1205">
        <f>'House Count'!B349</f>
        <v/>
      </c>
      <c r="D349" s="1205">
        <f>'House Count'!C349</f>
        <v/>
      </c>
      <c r="E349" s="1205">
        <f>'House Count'!D349</f>
        <v/>
      </c>
      <c r="F349" s="1205">
        <f>IF(G349="RES-SFU","RESIDENTIAL",IF(G349="RES-HOA","RESIDENTIAL",IF(G349="RES-MDU","RESIDENTIAL",IF(G349="COMM-SU","BUSINESS",IF(G349="COM-MTU","BUSINESS",IF(G349="ENT","BUSINESS",""))))))</f>
        <v/>
      </c>
      <c r="G349" s="1205">
        <f>'House Count'!F349</f>
        <v/>
      </c>
      <c r="H349" s="1205">
        <f>'House Count'!H349</f>
        <v/>
      </c>
    </row>
    <row r="350">
      <c r="A350" s="1204">
        <f>'House Count'!A350</f>
        <v/>
      </c>
      <c r="B350" s="1205">
        <f>'House Count'!E350</f>
        <v/>
      </c>
      <c r="C350" s="1205">
        <f>'House Count'!B350</f>
        <v/>
      </c>
      <c r="D350" s="1205">
        <f>'House Count'!C350</f>
        <v/>
      </c>
      <c r="E350" s="1205">
        <f>'House Count'!D350</f>
        <v/>
      </c>
      <c r="F350" s="1205">
        <f>IF(G350="RES-SFU","RESIDENTIAL",IF(G350="RES-HOA","RESIDENTIAL",IF(G350="RES-MDU","RESIDENTIAL",IF(G350="COMM-SU","BUSINESS",IF(G350="COM-MTU","BUSINESS",IF(G350="ENT","BUSINESS",""))))))</f>
        <v/>
      </c>
      <c r="G350" s="1205">
        <f>'House Count'!F350</f>
        <v/>
      </c>
      <c r="H350" s="1205">
        <f>'House Count'!H350</f>
        <v/>
      </c>
    </row>
    <row r="351">
      <c r="A351" s="1204">
        <f>'House Count'!A351</f>
        <v/>
      </c>
      <c r="B351" s="1205">
        <f>'House Count'!E351</f>
        <v/>
      </c>
      <c r="C351" s="1205">
        <f>'House Count'!B351</f>
        <v/>
      </c>
      <c r="D351" s="1205">
        <f>'House Count'!C351</f>
        <v/>
      </c>
      <c r="E351" s="1205">
        <f>'House Count'!D351</f>
        <v/>
      </c>
      <c r="F351" s="1205">
        <f>IF(G351="RES-SFU","RESIDENTIAL",IF(G351="RES-HOA","RESIDENTIAL",IF(G351="RES-MDU","RESIDENTIAL",IF(G351="COMM-SU","BUSINESS",IF(G351="COM-MTU","BUSINESS",IF(G351="ENT","BUSINESS",""))))))</f>
        <v/>
      </c>
      <c r="G351" s="1205">
        <f>'House Count'!F351</f>
        <v/>
      </c>
      <c r="H351" s="1205">
        <f>'House Count'!H351</f>
        <v/>
      </c>
    </row>
    <row r="352">
      <c r="A352" s="1204">
        <f>'House Count'!A352</f>
        <v/>
      </c>
      <c r="B352" s="1205">
        <f>'House Count'!E352</f>
        <v/>
      </c>
      <c r="C352" s="1205">
        <f>'House Count'!B352</f>
        <v/>
      </c>
      <c r="D352" s="1205">
        <f>'House Count'!C352</f>
        <v/>
      </c>
      <c r="E352" s="1205">
        <f>'House Count'!D352</f>
        <v/>
      </c>
      <c r="F352" s="1205">
        <f>IF(G352="RES-SFU","RESIDENTIAL",IF(G352="RES-HOA","RESIDENTIAL",IF(G352="RES-MDU","RESIDENTIAL",IF(G352="COMM-SU","BUSINESS",IF(G352="COM-MTU","BUSINESS",IF(G352="ENT","BUSINESS",""))))))</f>
        <v/>
      </c>
      <c r="G352" s="1205">
        <f>'House Count'!F352</f>
        <v/>
      </c>
      <c r="H352" s="1205">
        <f>'House Count'!H352</f>
        <v/>
      </c>
    </row>
    <row r="353">
      <c r="A353" s="1204">
        <f>'House Count'!A353</f>
        <v/>
      </c>
      <c r="B353" s="1205">
        <f>'House Count'!E353</f>
        <v/>
      </c>
      <c r="C353" s="1205">
        <f>'House Count'!B353</f>
        <v/>
      </c>
      <c r="D353" s="1205">
        <f>'House Count'!C353</f>
        <v/>
      </c>
      <c r="E353" s="1205">
        <f>'House Count'!D353</f>
        <v/>
      </c>
      <c r="F353" s="1205">
        <f>IF(G353="RES-SFU","RESIDENTIAL",IF(G353="RES-HOA","RESIDENTIAL",IF(G353="RES-MDU","RESIDENTIAL",IF(G353="COMM-SU","BUSINESS",IF(G353="COM-MTU","BUSINESS",IF(G353="ENT","BUSINESS",""))))))</f>
        <v/>
      </c>
      <c r="G353" s="1205">
        <f>'House Count'!F353</f>
        <v/>
      </c>
      <c r="H353" s="1205">
        <f>'House Count'!H353</f>
        <v/>
      </c>
    </row>
    <row r="354">
      <c r="A354" s="1204">
        <f>'House Count'!A354</f>
        <v/>
      </c>
      <c r="B354" s="1205">
        <f>'House Count'!E354</f>
        <v/>
      </c>
      <c r="C354" s="1205">
        <f>'House Count'!B354</f>
        <v/>
      </c>
      <c r="D354" s="1205">
        <f>'House Count'!C354</f>
        <v/>
      </c>
      <c r="E354" s="1205">
        <f>'House Count'!D354</f>
        <v/>
      </c>
      <c r="F354" s="1205">
        <f>IF(G354="RES-SFU","RESIDENTIAL",IF(G354="RES-HOA","RESIDENTIAL",IF(G354="RES-MDU","RESIDENTIAL",IF(G354="COMM-SU","BUSINESS",IF(G354="COM-MTU","BUSINESS",IF(G354="ENT","BUSINESS",""))))))</f>
        <v/>
      </c>
      <c r="G354" s="1205">
        <f>'House Count'!F354</f>
        <v/>
      </c>
      <c r="H354" s="1205">
        <f>'House Count'!H354</f>
        <v/>
      </c>
    </row>
    <row r="355">
      <c r="A355" s="1204">
        <f>'House Count'!A355</f>
        <v/>
      </c>
      <c r="B355" s="1205">
        <f>'House Count'!E355</f>
        <v/>
      </c>
      <c r="C355" s="1205">
        <f>'House Count'!B355</f>
        <v/>
      </c>
      <c r="D355" s="1205">
        <f>'House Count'!C355</f>
        <v/>
      </c>
      <c r="E355" s="1205">
        <f>'House Count'!D355</f>
        <v/>
      </c>
      <c r="F355" s="1205">
        <f>IF(G355="RES-SFU","RESIDENTIAL",IF(G355="RES-HOA","RESIDENTIAL",IF(G355="RES-MDU","RESIDENTIAL",IF(G355="COMM-SU","BUSINESS",IF(G355="COM-MTU","BUSINESS",IF(G355="ENT","BUSINESS",""))))))</f>
        <v/>
      </c>
      <c r="G355" s="1205">
        <f>'House Count'!F355</f>
        <v/>
      </c>
      <c r="H355" s="1205">
        <f>'House Count'!H355</f>
        <v/>
      </c>
    </row>
    <row r="356">
      <c r="A356" s="1204">
        <f>'House Count'!A356</f>
        <v/>
      </c>
      <c r="B356" s="1205">
        <f>'House Count'!E356</f>
        <v/>
      </c>
      <c r="C356" s="1205">
        <f>'House Count'!B356</f>
        <v/>
      </c>
      <c r="D356" s="1205">
        <f>'House Count'!C356</f>
        <v/>
      </c>
      <c r="E356" s="1205">
        <f>'House Count'!D356</f>
        <v/>
      </c>
      <c r="F356" s="1205">
        <f>IF(G356="RES-SFU","RESIDENTIAL",IF(G356="RES-HOA","RESIDENTIAL",IF(G356="RES-MDU","RESIDENTIAL",IF(G356="COMM-SU","BUSINESS",IF(G356="COM-MTU","BUSINESS",IF(G356="ENT","BUSINESS",""))))))</f>
        <v/>
      </c>
      <c r="G356" s="1205">
        <f>'House Count'!F356</f>
        <v/>
      </c>
      <c r="H356" s="1205">
        <f>'House Count'!H356</f>
        <v/>
      </c>
    </row>
    <row r="357">
      <c r="A357" s="1204">
        <f>'House Count'!A357</f>
        <v/>
      </c>
      <c r="B357" s="1205">
        <f>'House Count'!E357</f>
        <v/>
      </c>
      <c r="C357" s="1205">
        <f>'House Count'!B357</f>
        <v/>
      </c>
      <c r="D357" s="1205">
        <f>'House Count'!C357</f>
        <v/>
      </c>
      <c r="E357" s="1205">
        <f>'House Count'!D357</f>
        <v/>
      </c>
      <c r="F357" s="1205">
        <f>IF(G357="RES-SFU","RESIDENTIAL",IF(G357="RES-HOA","RESIDENTIAL",IF(G357="RES-MDU","RESIDENTIAL",IF(G357="COMM-SU","BUSINESS",IF(G357="COM-MTU","BUSINESS",IF(G357="ENT","BUSINESS",""))))))</f>
        <v/>
      </c>
      <c r="G357" s="1205">
        <f>'House Count'!F357</f>
        <v/>
      </c>
      <c r="H357" s="1205">
        <f>'House Count'!H357</f>
        <v/>
      </c>
    </row>
    <row r="358">
      <c r="A358" s="1204">
        <f>'House Count'!A358</f>
        <v/>
      </c>
      <c r="B358" s="1205">
        <f>'House Count'!E358</f>
        <v/>
      </c>
      <c r="C358" s="1205">
        <f>'House Count'!B358</f>
        <v/>
      </c>
      <c r="D358" s="1205">
        <f>'House Count'!C358</f>
        <v/>
      </c>
      <c r="E358" s="1205">
        <f>'House Count'!D358</f>
        <v/>
      </c>
      <c r="F358" s="1205">
        <f>IF(G358="RES-SFU","RESIDENTIAL",IF(G358="RES-HOA","RESIDENTIAL",IF(G358="RES-MDU","RESIDENTIAL",IF(G358="COMM-SU","BUSINESS",IF(G358="COM-MTU","BUSINESS",IF(G358="ENT","BUSINESS",""))))))</f>
        <v/>
      </c>
      <c r="G358" s="1205">
        <f>'House Count'!F358</f>
        <v/>
      </c>
      <c r="H358" s="1205">
        <f>'House Count'!H358</f>
        <v/>
      </c>
    </row>
    <row r="359">
      <c r="A359" s="1204">
        <f>'House Count'!A359</f>
        <v/>
      </c>
      <c r="B359" s="1205">
        <f>'House Count'!E359</f>
        <v/>
      </c>
      <c r="C359" s="1205">
        <f>'House Count'!B359</f>
        <v/>
      </c>
      <c r="D359" s="1205">
        <f>'House Count'!C359</f>
        <v/>
      </c>
      <c r="E359" s="1205">
        <f>'House Count'!D359</f>
        <v/>
      </c>
      <c r="F359" s="1205">
        <f>IF(G359="RES-SFU","RESIDENTIAL",IF(G359="RES-HOA","RESIDENTIAL",IF(G359="RES-MDU","RESIDENTIAL",IF(G359="COMM-SU","BUSINESS",IF(G359="COM-MTU","BUSINESS",IF(G359="ENT","BUSINESS",""))))))</f>
        <v/>
      </c>
      <c r="G359" s="1205">
        <f>'House Count'!F359</f>
        <v/>
      </c>
      <c r="H359" s="1205">
        <f>'House Count'!H359</f>
        <v/>
      </c>
    </row>
    <row r="360">
      <c r="A360" s="1204">
        <f>'House Count'!A360</f>
        <v/>
      </c>
      <c r="B360" s="1205">
        <f>'House Count'!E360</f>
        <v/>
      </c>
      <c r="C360" s="1205">
        <f>'House Count'!B360</f>
        <v/>
      </c>
      <c r="D360" s="1205">
        <f>'House Count'!C360</f>
        <v/>
      </c>
      <c r="E360" s="1205">
        <f>'House Count'!D360</f>
        <v/>
      </c>
      <c r="F360" s="1205">
        <f>IF(G360="RES-SFU","RESIDENTIAL",IF(G360="RES-HOA","RESIDENTIAL",IF(G360="RES-MDU","RESIDENTIAL",IF(G360="COMM-SU","BUSINESS",IF(G360="COM-MTU","BUSINESS",IF(G360="ENT","BUSINESS",""))))))</f>
        <v/>
      </c>
      <c r="G360" s="1205">
        <f>'House Count'!F360</f>
        <v/>
      </c>
      <c r="H360" s="1205">
        <f>'House Count'!H360</f>
        <v/>
      </c>
    </row>
    <row r="361">
      <c r="A361" s="1204">
        <f>'House Count'!A361</f>
        <v/>
      </c>
      <c r="B361" s="1205">
        <f>'House Count'!E361</f>
        <v/>
      </c>
      <c r="C361" s="1205">
        <f>'House Count'!B361</f>
        <v/>
      </c>
      <c r="D361" s="1205">
        <f>'House Count'!C361</f>
        <v/>
      </c>
      <c r="E361" s="1205">
        <f>'House Count'!D361</f>
        <v/>
      </c>
      <c r="F361" s="1205">
        <f>IF(G361="RES-SFU","RESIDENTIAL",IF(G361="RES-HOA","RESIDENTIAL",IF(G361="RES-MDU","RESIDENTIAL",IF(G361="COMM-SU","BUSINESS",IF(G361="COM-MTU","BUSINESS",IF(G361="ENT","BUSINESS",""))))))</f>
        <v/>
      </c>
      <c r="G361" s="1205">
        <f>'House Count'!F361</f>
        <v/>
      </c>
      <c r="H361" s="1205">
        <f>'House Count'!H361</f>
        <v/>
      </c>
    </row>
    <row r="362">
      <c r="A362" s="1204">
        <f>'House Count'!A362</f>
        <v/>
      </c>
      <c r="B362" s="1205">
        <f>'House Count'!E362</f>
        <v/>
      </c>
      <c r="C362" s="1205">
        <f>'House Count'!B362</f>
        <v/>
      </c>
      <c r="D362" s="1205">
        <f>'House Count'!C362</f>
        <v/>
      </c>
      <c r="E362" s="1205">
        <f>'House Count'!D362</f>
        <v/>
      </c>
      <c r="F362" s="1205">
        <f>IF(G362="RES-SFU","RESIDENTIAL",IF(G362="RES-HOA","RESIDENTIAL",IF(G362="RES-MDU","RESIDENTIAL",IF(G362="COMM-SU","BUSINESS",IF(G362="COM-MTU","BUSINESS",IF(G362="ENT","BUSINESS",""))))))</f>
        <v/>
      </c>
      <c r="G362" s="1205">
        <f>'House Count'!F362</f>
        <v/>
      </c>
      <c r="H362" s="1205">
        <f>'House Count'!H362</f>
        <v/>
      </c>
    </row>
    <row r="363">
      <c r="A363" s="1204">
        <f>'House Count'!A363</f>
        <v/>
      </c>
      <c r="B363" s="1205">
        <f>'House Count'!E363</f>
        <v/>
      </c>
      <c r="C363" s="1205">
        <f>'House Count'!B363</f>
        <v/>
      </c>
      <c r="D363" s="1205">
        <f>'House Count'!C363</f>
        <v/>
      </c>
      <c r="E363" s="1205">
        <f>'House Count'!D363</f>
        <v/>
      </c>
      <c r="F363" s="1205">
        <f>IF(G363="RES-SFU","RESIDENTIAL",IF(G363="RES-HOA","RESIDENTIAL",IF(G363="RES-MDU","RESIDENTIAL",IF(G363="COMM-SU","BUSINESS",IF(G363="COM-MTU","BUSINESS",IF(G363="ENT","BUSINESS",""))))))</f>
        <v/>
      </c>
      <c r="G363" s="1205">
        <f>'House Count'!F363</f>
        <v/>
      </c>
      <c r="H363" s="1205">
        <f>'House Count'!H363</f>
        <v/>
      </c>
    </row>
    <row r="364">
      <c r="A364" s="1204">
        <f>'House Count'!A364</f>
        <v/>
      </c>
      <c r="B364" s="1205">
        <f>'House Count'!E364</f>
        <v/>
      </c>
      <c r="C364" s="1205">
        <f>'House Count'!B364</f>
        <v/>
      </c>
      <c r="D364" s="1205">
        <f>'House Count'!C364</f>
        <v/>
      </c>
      <c r="E364" s="1205">
        <f>'House Count'!D364</f>
        <v/>
      </c>
      <c r="F364" s="1205">
        <f>IF(G364="RES-SFU","RESIDENTIAL",IF(G364="RES-HOA","RESIDENTIAL",IF(G364="RES-MDU","RESIDENTIAL",IF(G364="COMM-SU","BUSINESS",IF(G364="COM-MTU","BUSINESS",IF(G364="ENT","BUSINESS",""))))))</f>
        <v/>
      </c>
      <c r="G364" s="1205">
        <f>'House Count'!F364</f>
        <v/>
      </c>
      <c r="H364" s="1205">
        <f>'House Count'!H364</f>
        <v/>
      </c>
    </row>
    <row r="365">
      <c r="A365" s="1204">
        <f>'House Count'!A365</f>
        <v/>
      </c>
      <c r="B365" s="1205">
        <f>'House Count'!E365</f>
        <v/>
      </c>
      <c r="C365" s="1205">
        <f>'House Count'!B365</f>
        <v/>
      </c>
      <c r="D365" s="1205">
        <f>'House Count'!C365</f>
        <v/>
      </c>
      <c r="E365" s="1205">
        <f>'House Count'!D365</f>
        <v/>
      </c>
      <c r="F365" s="1205">
        <f>IF(G365="RES-SFU","RESIDENTIAL",IF(G365="RES-HOA","RESIDENTIAL",IF(G365="RES-MDU","RESIDENTIAL",IF(G365="COMM-SU","BUSINESS",IF(G365="COM-MTU","BUSINESS",IF(G365="ENT","BUSINESS",""))))))</f>
        <v/>
      </c>
      <c r="G365" s="1205">
        <f>'House Count'!F365</f>
        <v/>
      </c>
      <c r="H365" s="1205">
        <f>'House Count'!H365</f>
        <v/>
      </c>
    </row>
    <row r="366">
      <c r="A366" s="1204">
        <f>'House Count'!A366</f>
        <v/>
      </c>
      <c r="B366" s="1205">
        <f>'House Count'!E366</f>
        <v/>
      </c>
      <c r="C366" s="1205">
        <f>'House Count'!B366</f>
        <v/>
      </c>
      <c r="D366" s="1205">
        <f>'House Count'!C366</f>
        <v/>
      </c>
      <c r="E366" s="1205">
        <f>'House Count'!D366</f>
        <v/>
      </c>
      <c r="F366" s="1205">
        <f>IF(G366="RES-SFU","RESIDENTIAL",IF(G366="RES-HOA","RESIDENTIAL",IF(G366="RES-MDU","RESIDENTIAL",IF(G366="COMM-SU","BUSINESS",IF(G366="COM-MTU","BUSINESS",IF(G366="ENT","BUSINESS",""))))))</f>
        <v/>
      </c>
      <c r="G366" s="1205">
        <f>'House Count'!F366</f>
        <v/>
      </c>
      <c r="H366" s="1205">
        <f>'House Count'!H366</f>
        <v/>
      </c>
    </row>
    <row r="367">
      <c r="A367" s="1204">
        <f>'House Count'!A367</f>
        <v/>
      </c>
      <c r="B367" s="1205">
        <f>'House Count'!E367</f>
        <v/>
      </c>
      <c r="C367" s="1205">
        <f>'House Count'!B367</f>
        <v/>
      </c>
      <c r="D367" s="1205">
        <f>'House Count'!C367</f>
        <v/>
      </c>
      <c r="E367" s="1205">
        <f>'House Count'!D367</f>
        <v/>
      </c>
      <c r="F367" s="1205">
        <f>IF(G367="RES-SFU","RESIDENTIAL",IF(G367="RES-HOA","RESIDENTIAL",IF(G367="RES-MDU","RESIDENTIAL",IF(G367="COMM-SU","BUSINESS",IF(G367="COM-MTU","BUSINESS",IF(G367="ENT","BUSINESS",""))))))</f>
        <v/>
      </c>
      <c r="G367" s="1205">
        <f>'House Count'!F367</f>
        <v/>
      </c>
      <c r="H367" s="1205">
        <f>'House Count'!H367</f>
        <v/>
      </c>
    </row>
    <row r="368">
      <c r="A368" s="1204">
        <f>'House Count'!A368</f>
        <v/>
      </c>
      <c r="B368" s="1205">
        <f>'House Count'!E368</f>
        <v/>
      </c>
      <c r="C368" s="1205">
        <f>'House Count'!B368</f>
        <v/>
      </c>
      <c r="D368" s="1205">
        <f>'House Count'!C368</f>
        <v/>
      </c>
      <c r="E368" s="1205">
        <f>'House Count'!D368</f>
        <v/>
      </c>
      <c r="F368" s="1205">
        <f>IF(G368="RES-SFU","RESIDENTIAL",IF(G368="RES-HOA","RESIDENTIAL",IF(G368="RES-MDU","RESIDENTIAL",IF(G368="COMM-SU","BUSINESS",IF(G368="COM-MTU","BUSINESS",IF(G368="ENT","BUSINESS",""))))))</f>
        <v/>
      </c>
      <c r="G368" s="1205">
        <f>'House Count'!F368</f>
        <v/>
      </c>
      <c r="H368" s="1205">
        <f>'House Count'!H368</f>
        <v/>
      </c>
    </row>
    <row r="369">
      <c r="A369" s="1204">
        <f>'House Count'!A369</f>
        <v/>
      </c>
      <c r="B369" s="1205">
        <f>'House Count'!E369</f>
        <v/>
      </c>
      <c r="C369" s="1205">
        <f>'House Count'!B369</f>
        <v/>
      </c>
      <c r="D369" s="1205">
        <f>'House Count'!C369</f>
        <v/>
      </c>
      <c r="E369" s="1205">
        <f>'House Count'!D369</f>
        <v/>
      </c>
      <c r="F369" s="1205">
        <f>IF(G369="RES-SFU","RESIDENTIAL",IF(G369="RES-HOA","RESIDENTIAL",IF(G369="RES-MDU","RESIDENTIAL",IF(G369="COMM-SU","BUSINESS",IF(G369="COM-MTU","BUSINESS",IF(G369="ENT","BUSINESS",""))))))</f>
        <v/>
      </c>
      <c r="G369" s="1205">
        <f>'House Count'!F369</f>
        <v/>
      </c>
      <c r="H369" s="1205">
        <f>'House Count'!H369</f>
        <v/>
      </c>
    </row>
    <row r="370">
      <c r="A370" s="1204">
        <f>'House Count'!A370</f>
        <v/>
      </c>
      <c r="B370" s="1205">
        <f>'House Count'!E370</f>
        <v/>
      </c>
      <c r="C370" s="1205">
        <f>'House Count'!B370</f>
        <v/>
      </c>
      <c r="D370" s="1205">
        <f>'House Count'!C370</f>
        <v/>
      </c>
      <c r="E370" s="1205">
        <f>'House Count'!D370</f>
        <v/>
      </c>
      <c r="F370" s="1205">
        <f>IF(G370="RES-SFU","RESIDENTIAL",IF(G370="RES-HOA","RESIDENTIAL",IF(G370="RES-MDU","RESIDENTIAL",IF(G370="COMM-SU","BUSINESS",IF(G370="COM-MTU","BUSINESS",IF(G370="ENT","BUSINESS",""))))))</f>
        <v/>
      </c>
      <c r="G370" s="1205">
        <f>'House Count'!F370</f>
        <v/>
      </c>
      <c r="H370" s="1205">
        <f>'House Count'!H370</f>
        <v/>
      </c>
    </row>
    <row r="371">
      <c r="A371" s="1204">
        <f>'House Count'!A371</f>
        <v/>
      </c>
      <c r="B371" s="1205">
        <f>'House Count'!E371</f>
        <v/>
      </c>
      <c r="C371" s="1205">
        <f>'House Count'!B371</f>
        <v/>
      </c>
      <c r="D371" s="1205">
        <f>'House Count'!C371</f>
        <v/>
      </c>
      <c r="E371" s="1205">
        <f>'House Count'!D371</f>
        <v/>
      </c>
      <c r="F371" s="1205">
        <f>IF(G371="RES-SFU","RESIDENTIAL",IF(G371="RES-HOA","RESIDENTIAL",IF(G371="RES-MDU","RESIDENTIAL",IF(G371="COMM-SU","BUSINESS",IF(G371="COM-MTU","BUSINESS",IF(G371="ENT","BUSINESS",""))))))</f>
        <v/>
      </c>
      <c r="G371" s="1205">
        <f>'House Count'!F371</f>
        <v/>
      </c>
      <c r="H371" s="1205">
        <f>'House Count'!H371</f>
        <v/>
      </c>
    </row>
    <row r="372">
      <c r="A372" s="1204">
        <f>'House Count'!A372</f>
        <v/>
      </c>
      <c r="B372" s="1205">
        <f>'House Count'!E372</f>
        <v/>
      </c>
      <c r="C372" s="1205">
        <f>'House Count'!B372</f>
        <v/>
      </c>
      <c r="D372" s="1205">
        <f>'House Count'!C372</f>
        <v/>
      </c>
      <c r="E372" s="1205">
        <f>'House Count'!D372</f>
        <v/>
      </c>
      <c r="F372" s="1205">
        <f>IF(G372="RES-SFU","RESIDENTIAL",IF(G372="RES-HOA","RESIDENTIAL",IF(G372="RES-MDU","RESIDENTIAL",IF(G372="COMM-SU","BUSINESS",IF(G372="COM-MTU","BUSINESS",IF(G372="ENT","BUSINESS",""))))))</f>
        <v/>
      </c>
      <c r="G372" s="1205">
        <f>'House Count'!F372</f>
        <v/>
      </c>
      <c r="H372" s="1205">
        <f>'House Count'!H372</f>
        <v/>
      </c>
    </row>
    <row r="373">
      <c r="A373" s="1204">
        <f>'House Count'!A373</f>
        <v/>
      </c>
      <c r="B373" s="1205">
        <f>'House Count'!E373</f>
        <v/>
      </c>
      <c r="C373" s="1205">
        <f>'House Count'!B373</f>
        <v/>
      </c>
      <c r="D373" s="1205">
        <f>'House Count'!C373</f>
        <v/>
      </c>
      <c r="E373" s="1205">
        <f>'House Count'!D373</f>
        <v/>
      </c>
      <c r="F373" s="1205">
        <f>IF(G373="RES-SFU","RESIDENTIAL",IF(G373="RES-HOA","RESIDENTIAL",IF(G373="RES-MDU","RESIDENTIAL",IF(G373="COMM-SU","BUSINESS",IF(G373="COM-MTU","BUSINESS",IF(G373="ENT","BUSINESS",""))))))</f>
        <v/>
      </c>
      <c r="G373" s="1205">
        <f>'House Count'!F373</f>
        <v/>
      </c>
      <c r="H373" s="1205">
        <f>'House Count'!H373</f>
        <v/>
      </c>
    </row>
    <row r="374">
      <c r="A374" s="1204">
        <f>'House Count'!A374</f>
        <v/>
      </c>
      <c r="B374" s="1205">
        <f>'House Count'!E374</f>
        <v/>
      </c>
      <c r="C374" s="1205">
        <f>'House Count'!B374</f>
        <v/>
      </c>
      <c r="D374" s="1205">
        <f>'House Count'!C374</f>
        <v/>
      </c>
      <c r="E374" s="1205">
        <f>'House Count'!D374</f>
        <v/>
      </c>
      <c r="F374" s="1205">
        <f>IF(G374="RES-SFU","RESIDENTIAL",IF(G374="RES-HOA","RESIDENTIAL",IF(G374="RES-MDU","RESIDENTIAL",IF(G374="COMM-SU","BUSINESS",IF(G374="COM-MTU","BUSINESS",IF(G374="ENT","BUSINESS",""))))))</f>
        <v/>
      </c>
      <c r="G374" s="1205">
        <f>'House Count'!F374</f>
        <v/>
      </c>
      <c r="H374" s="1205">
        <f>'House Count'!H374</f>
        <v/>
      </c>
    </row>
    <row r="375">
      <c r="A375" s="1204">
        <f>'House Count'!A375</f>
        <v/>
      </c>
      <c r="B375" s="1205">
        <f>'House Count'!E375</f>
        <v/>
      </c>
      <c r="C375" s="1205">
        <f>'House Count'!B375</f>
        <v/>
      </c>
      <c r="D375" s="1205">
        <f>'House Count'!C375</f>
        <v/>
      </c>
      <c r="E375" s="1205">
        <f>'House Count'!D375</f>
        <v/>
      </c>
      <c r="F375" s="1205">
        <f>IF(G375="RES-SFU","RESIDENTIAL",IF(G375="RES-HOA","RESIDENTIAL",IF(G375="RES-MDU","RESIDENTIAL",IF(G375="COMM-SU","BUSINESS",IF(G375="COM-MTU","BUSINESS",IF(G375="ENT","BUSINESS",""))))))</f>
        <v/>
      </c>
      <c r="G375" s="1205">
        <f>'House Count'!F375</f>
        <v/>
      </c>
      <c r="H375" s="1205">
        <f>'House Count'!H375</f>
        <v/>
      </c>
    </row>
    <row r="376">
      <c r="A376" s="1204">
        <f>'House Count'!A376</f>
        <v/>
      </c>
      <c r="B376" s="1205">
        <f>'House Count'!E376</f>
        <v/>
      </c>
      <c r="C376" s="1205">
        <f>'House Count'!B376</f>
        <v/>
      </c>
      <c r="D376" s="1205">
        <f>'House Count'!C376</f>
        <v/>
      </c>
      <c r="E376" s="1205">
        <f>'House Count'!D376</f>
        <v/>
      </c>
      <c r="F376" s="1205">
        <f>IF(G376="RES-SFU","RESIDENTIAL",IF(G376="RES-HOA","RESIDENTIAL",IF(G376="RES-MDU","RESIDENTIAL",IF(G376="COMM-SU","BUSINESS",IF(G376="COM-MTU","BUSINESS",IF(G376="ENT","BUSINESS",""))))))</f>
        <v/>
      </c>
      <c r="G376" s="1205">
        <f>'House Count'!F376</f>
        <v/>
      </c>
      <c r="H376" s="1205">
        <f>'House Count'!H376</f>
        <v/>
      </c>
    </row>
    <row r="377">
      <c r="A377" s="1204">
        <f>'House Count'!A377</f>
        <v/>
      </c>
      <c r="B377" s="1205">
        <f>'House Count'!E377</f>
        <v/>
      </c>
      <c r="C377" s="1205">
        <f>'House Count'!B377</f>
        <v/>
      </c>
      <c r="D377" s="1205">
        <f>'House Count'!C377</f>
        <v/>
      </c>
      <c r="E377" s="1205">
        <f>'House Count'!D377</f>
        <v/>
      </c>
      <c r="F377" s="1205">
        <f>IF(G377="RES-SFU","RESIDENTIAL",IF(G377="RES-HOA","RESIDENTIAL",IF(G377="RES-MDU","RESIDENTIAL",IF(G377="COMM-SU","BUSINESS",IF(G377="COM-MTU","BUSINESS",IF(G377="ENT","BUSINESS",""))))))</f>
        <v/>
      </c>
      <c r="G377" s="1205">
        <f>'House Count'!F377</f>
        <v/>
      </c>
      <c r="H377" s="1205">
        <f>'House Count'!H377</f>
        <v/>
      </c>
    </row>
    <row r="378">
      <c r="A378" s="1204">
        <f>'House Count'!A378</f>
        <v/>
      </c>
      <c r="B378" s="1205">
        <f>'House Count'!E378</f>
        <v/>
      </c>
      <c r="C378" s="1205">
        <f>'House Count'!B378</f>
        <v/>
      </c>
      <c r="D378" s="1205">
        <f>'House Count'!C378</f>
        <v/>
      </c>
      <c r="E378" s="1205">
        <f>'House Count'!D378</f>
        <v/>
      </c>
      <c r="F378" s="1205">
        <f>IF(G378="RES-SFU","RESIDENTIAL",IF(G378="RES-HOA","RESIDENTIAL",IF(G378="RES-MDU","RESIDENTIAL",IF(G378="COMM-SU","BUSINESS",IF(G378="COM-MTU","BUSINESS",IF(G378="ENT","BUSINESS",""))))))</f>
        <v/>
      </c>
      <c r="G378" s="1205">
        <f>'House Count'!F378</f>
        <v/>
      </c>
      <c r="H378" s="1205">
        <f>'House Count'!H378</f>
        <v/>
      </c>
    </row>
    <row r="379">
      <c r="A379" s="1204">
        <f>'House Count'!A379</f>
        <v/>
      </c>
      <c r="B379" s="1205">
        <f>'House Count'!E379</f>
        <v/>
      </c>
      <c r="C379" s="1205">
        <f>'House Count'!B379</f>
        <v/>
      </c>
      <c r="D379" s="1205">
        <f>'House Count'!C379</f>
        <v/>
      </c>
      <c r="E379" s="1205">
        <f>'House Count'!D379</f>
        <v/>
      </c>
      <c r="F379" s="1205">
        <f>IF(G379="RES-SFU","RESIDENTIAL",IF(G379="RES-HOA","RESIDENTIAL",IF(G379="RES-MDU","RESIDENTIAL",IF(G379="COMM-SU","BUSINESS",IF(G379="COM-MTU","BUSINESS",IF(G379="ENT","BUSINESS",""))))))</f>
        <v/>
      </c>
      <c r="G379" s="1205">
        <f>'House Count'!F379</f>
        <v/>
      </c>
      <c r="H379" s="1205">
        <f>'House Count'!H379</f>
        <v/>
      </c>
    </row>
    <row r="380">
      <c r="A380" s="1204">
        <f>'House Count'!A380</f>
        <v/>
      </c>
      <c r="B380" s="1205">
        <f>'House Count'!E380</f>
        <v/>
      </c>
      <c r="C380" s="1205">
        <f>'House Count'!B380</f>
        <v/>
      </c>
      <c r="D380" s="1205">
        <f>'House Count'!C380</f>
        <v/>
      </c>
      <c r="E380" s="1205">
        <f>'House Count'!D380</f>
        <v/>
      </c>
      <c r="F380" s="1205">
        <f>IF(G380="RES-SFU","RESIDENTIAL",IF(G380="RES-HOA","RESIDENTIAL",IF(G380="RES-MDU","RESIDENTIAL",IF(G380="COMM-SU","BUSINESS",IF(G380="COM-MTU","BUSINESS",IF(G380="ENT","BUSINESS",""))))))</f>
        <v/>
      </c>
      <c r="G380" s="1205">
        <f>'House Count'!F380</f>
        <v/>
      </c>
      <c r="H380" s="1205">
        <f>'House Count'!H380</f>
        <v/>
      </c>
    </row>
    <row r="381">
      <c r="A381" s="1204">
        <f>'House Count'!A381</f>
        <v/>
      </c>
      <c r="B381" s="1205">
        <f>'House Count'!E381</f>
        <v/>
      </c>
      <c r="C381" s="1205">
        <f>'House Count'!B381</f>
        <v/>
      </c>
      <c r="D381" s="1205">
        <f>'House Count'!C381</f>
        <v/>
      </c>
      <c r="E381" s="1205">
        <f>'House Count'!D381</f>
        <v/>
      </c>
      <c r="F381" s="1205">
        <f>IF(G381="RES-SFU","RESIDENTIAL",IF(G381="RES-HOA","RESIDENTIAL",IF(G381="RES-MDU","RESIDENTIAL",IF(G381="COMM-SU","BUSINESS",IF(G381="COM-MTU","BUSINESS",IF(G381="ENT","BUSINESS",""))))))</f>
        <v/>
      </c>
      <c r="G381" s="1205">
        <f>'House Count'!F381</f>
        <v/>
      </c>
      <c r="H381" s="1205">
        <f>'House Count'!H381</f>
        <v/>
      </c>
    </row>
    <row r="382">
      <c r="A382" s="1204">
        <f>'House Count'!A382</f>
        <v/>
      </c>
      <c r="B382" s="1205">
        <f>'House Count'!E382</f>
        <v/>
      </c>
      <c r="C382" s="1205">
        <f>'House Count'!B382</f>
        <v/>
      </c>
      <c r="D382" s="1205">
        <f>'House Count'!C382</f>
        <v/>
      </c>
      <c r="E382" s="1205">
        <f>'House Count'!D382</f>
        <v/>
      </c>
      <c r="F382" s="1205">
        <f>IF(G382="RES-SFU","RESIDENTIAL",IF(G382="RES-HOA","RESIDENTIAL",IF(G382="RES-MDU","RESIDENTIAL",IF(G382="COMM-SU","BUSINESS",IF(G382="COM-MTU","BUSINESS",IF(G382="ENT","BUSINESS",""))))))</f>
        <v/>
      </c>
      <c r="G382" s="1205">
        <f>'House Count'!F382</f>
        <v/>
      </c>
      <c r="H382" s="1205">
        <f>'House Count'!H382</f>
        <v/>
      </c>
    </row>
    <row r="383">
      <c r="A383" s="1204">
        <f>'House Count'!A383</f>
        <v/>
      </c>
      <c r="B383" s="1205">
        <f>'House Count'!E383</f>
        <v/>
      </c>
      <c r="C383" s="1205">
        <f>'House Count'!B383</f>
        <v/>
      </c>
      <c r="D383" s="1205">
        <f>'House Count'!C383</f>
        <v/>
      </c>
      <c r="E383" s="1205">
        <f>'House Count'!D383</f>
        <v/>
      </c>
      <c r="F383" s="1205">
        <f>IF(G383="RES-SFU","RESIDENTIAL",IF(G383="RES-HOA","RESIDENTIAL",IF(G383="RES-MDU","RESIDENTIAL",IF(G383="COMM-SU","BUSINESS",IF(G383="COM-MTU","BUSINESS",IF(G383="ENT","BUSINESS",""))))))</f>
        <v/>
      </c>
      <c r="G383" s="1205">
        <f>'House Count'!F383</f>
        <v/>
      </c>
      <c r="H383" s="1205">
        <f>'House Count'!H383</f>
        <v/>
      </c>
    </row>
    <row r="384">
      <c r="A384" s="1204">
        <f>'House Count'!A384</f>
        <v/>
      </c>
      <c r="B384" s="1205">
        <f>'House Count'!E384</f>
        <v/>
      </c>
      <c r="C384" s="1205">
        <f>'House Count'!B384</f>
        <v/>
      </c>
      <c r="D384" s="1205">
        <f>'House Count'!C384</f>
        <v/>
      </c>
      <c r="E384" s="1205">
        <f>'House Count'!D384</f>
        <v/>
      </c>
      <c r="F384" s="1205">
        <f>IF(G384="RES-SFU","RESIDENTIAL",IF(G384="RES-HOA","RESIDENTIAL",IF(G384="RES-MDU","RESIDENTIAL",IF(G384="COMM-SU","BUSINESS",IF(G384="COM-MTU","BUSINESS",IF(G384="ENT","BUSINESS",""))))))</f>
        <v/>
      </c>
      <c r="G384" s="1205">
        <f>'House Count'!F384</f>
        <v/>
      </c>
      <c r="H384" s="1205">
        <f>'House Count'!H384</f>
        <v/>
      </c>
    </row>
    <row r="385">
      <c r="A385" s="1204">
        <f>'House Count'!A385</f>
        <v/>
      </c>
      <c r="B385" s="1205">
        <f>'House Count'!E385</f>
        <v/>
      </c>
      <c r="C385" s="1205">
        <f>'House Count'!B385</f>
        <v/>
      </c>
      <c r="D385" s="1205">
        <f>'House Count'!C385</f>
        <v/>
      </c>
      <c r="E385" s="1205">
        <f>'House Count'!D385</f>
        <v/>
      </c>
      <c r="F385" s="1205">
        <f>IF(G385="RES-SFU","RESIDENTIAL",IF(G385="RES-HOA","RESIDENTIAL",IF(G385="RES-MDU","RESIDENTIAL",IF(G385="COMM-SU","BUSINESS",IF(G385="COM-MTU","BUSINESS",IF(G385="ENT","BUSINESS",""))))))</f>
        <v/>
      </c>
      <c r="G385" s="1205">
        <f>'House Count'!F385</f>
        <v/>
      </c>
      <c r="H385" s="1205">
        <f>'House Count'!H385</f>
        <v/>
      </c>
    </row>
    <row r="386">
      <c r="A386" s="1204">
        <f>'House Count'!A386</f>
        <v/>
      </c>
      <c r="B386" s="1205">
        <f>'House Count'!E386</f>
        <v/>
      </c>
      <c r="C386" s="1205">
        <f>'House Count'!B386</f>
        <v/>
      </c>
      <c r="D386" s="1205">
        <f>'House Count'!C386</f>
        <v/>
      </c>
      <c r="E386" s="1205">
        <f>'House Count'!D386</f>
        <v/>
      </c>
      <c r="F386" s="1205">
        <f>IF(G386="RES-SFU","RESIDENTIAL",IF(G386="RES-HOA","RESIDENTIAL",IF(G386="RES-MDU","RESIDENTIAL",IF(G386="COMM-SU","BUSINESS",IF(G386="COM-MTU","BUSINESS",IF(G386="ENT","BUSINESS",""))))))</f>
        <v/>
      </c>
      <c r="G386" s="1205">
        <f>'House Count'!F386</f>
        <v/>
      </c>
      <c r="H386" s="1205">
        <f>'House Count'!H386</f>
        <v/>
      </c>
    </row>
    <row r="387">
      <c r="A387" s="1204">
        <f>'House Count'!A387</f>
        <v/>
      </c>
      <c r="B387" s="1205">
        <f>'House Count'!E387</f>
        <v/>
      </c>
      <c r="C387" s="1205">
        <f>'House Count'!B387</f>
        <v/>
      </c>
      <c r="D387" s="1205">
        <f>'House Count'!C387</f>
        <v/>
      </c>
      <c r="E387" s="1205">
        <f>'House Count'!D387</f>
        <v/>
      </c>
      <c r="F387" s="1205">
        <f>IF(G387="RES-SFU","RESIDENTIAL",IF(G387="RES-HOA","RESIDENTIAL",IF(G387="RES-MDU","RESIDENTIAL",IF(G387="COMM-SU","BUSINESS",IF(G387="COM-MTU","BUSINESS",IF(G387="ENT","BUSINESS",""))))))</f>
        <v/>
      </c>
      <c r="G387" s="1205">
        <f>'House Count'!F387</f>
        <v/>
      </c>
      <c r="H387" s="1205">
        <f>'House Count'!H387</f>
        <v/>
      </c>
    </row>
    <row r="388">
      <c r="A388" s="1204">
        <f>'House Count'!A388</f>
        <v/>
      </c>
      <c r="B388" s="1205">
        <f>'House Count'!E388</f>
        <v/>
      </c>
      <c r="C388" s="1205">
        <f>'House Count'!B388</f>
        <v/>
      </c>
      <c r="D388" s="1205">
        <f>'House Count'!C388</f>
        <v/>
      </c>
      <c r="E388" s="1205">
        <f>'House Count'!D388</f>
        <v/>
      </c>
      <c r="F388" s="1205">
        <f>IF(G388="RES-SFU","RESIDENTIAL",IF(G388="RES-HOA","RESIDENTIAL",IF(G388="RES-MDU","RESIDENTIAL",IF(G388="COMM-SU","BUSINESS",IF(G388="COM-MTU","BUSINESS",IF(G388="ENT","BUSINESS",""))))))</f>
        <v/>
      </c>
      <c r="G388" s="1205">
        <f>'House Count'!F388</f>
        <v/>
      </c>
      <c r="H388" s="1205">
        <f>'House Count'!H388</f>
        <v/>
      </c>
    </row>
    <row r="389">
      <c r="A389" s="1204">
        <f>'House Count'!A389</f>
        <v/>
      </c>
      <c r="B389" s="1205">
        <f>'House Count'!E389</f>
        <v/>
      </c>
      <c r="C389" s="1205">
        <f>'House Count'!B389</f>
        <v/>
      </c>
      <c r="D389" s="1205">
        <f>'House Count'!C389</f>
        <v/>
      </c>
      <c r="E389" s="1205">
        <f>'House Count'!D389</f>
        <v/>
      </c>
      <c r="F389" s="1205">
        <f>IF(G389="RES-SFU","RESIDENTIAL",IF(G389="RES-HOA","RESIDENTIAL",IF(G389="RES-MDU","RESIDENTIAL",IF(G389="COMM-SU","BUSINESS",IF(G389="COM-MTU","BUSINESS",IF(G389="ENT","BUSINESS",""))))))</f>
        <v/>
      </c>
      <c r="G389" s="1205">
        <f>'House Count'!F389</f>
        <v/>
      </c>
      <c r="H389" s="1205">
        <f>'House Count'!H389</f>
        <v/>
      </c>
    </row>
    <row r="390">
      <c r="A390" s="1204">
        <f>'House Count'!A390</f>
        <v/>
      </c>
      <c r="B390" s="1205">
        <f>'House Count'!E390</f>
        <v/>
      </c>
      <c r="C390" s="1205">
        <f>'House Count'!B390</f>
        <v/>
      </c>
      <c r="D390" s="1205">
        <f>'House Count'!C390</f>
        <v/>
      </c>
      <c r="E390" s="1205">
        <f>'House Count'!D390</f>
        <v/>
      </c>
      <c r="F390" s="1205">
        <f>IF(G390="RES-SFU","RESIDENTIAL",IF(G390="RES-HOA","RESIDENTIAL",IF(G390="RES-MDU","RESIDENTIAL",IF(G390="COMM-SU","BUSINESS",IF(G390="COM-MTU","BUSINESS",IF(G390="ENT","BUSINESS",""))))))</f>
        <v/>
      </c>
      <c r="G390" s="1205">
        <f>'House Count'!F390</f>
        <v/>
      </c>
      <c r="H390" s="1205">
        <f>'House Count'!H390</f>
        <v/>
      </c>
    </row>
    <row r="391">
      <c r="A391" s="1204">
        <f>'House Count'!A391</f>
        <v/>
      </c>
      <c r="B391" s="1205">
        <f>'House Count'!E391</f>
        <v/>
      </c>
      <c r="C391" s="1205">
        <f>'House Count'!B391</f>
        <v/>
      </c>
      <c r="D391" s="1205">
        <f>'House Count'!C391</f>
        <v/>
      </c>
      <c r="E391" s="1205">
        <f>'House Count'!D391</f>
        <v/>
      </c>
      <c r="F391" s="1205">
        <f>IF(G391="RES-SFU","RESIDENTIAL",IF(G391="RES-HOA","RESIDENTIAL",IF(G391="RES-MDU","RESIDENTIAL",IF(G391="COMM-SU","BUSINESS",IF(G391="COM-MTU","BUSINESS",IF(G391="ENT","BUSINESS",""))))))</f>
        <v/>
      </c>
      <c r="G391" s="1205">
        <f>'House Count'!F391</f>
        <v/>
      </c>
      <c r="H391" s="1205">
        <f>'House Count'!H391</f>
        <v/>
      </c>
    </row>
    <row r="392">
      <c r="A392" s="1204">
        <f>'House Count'!A392</f>
        <v/>
      </c>
      <c r="B392" s="1205">
        <f>'House Count'!E392</f>
        <v/>
      </c>
      <c r="C392" s="1205">
        <f>'House Count'!B392</f>
        <v/>
      </c>
      <c r="D392" s="1205">
        <f>'House Count'!C392</f>
        <v/>
      </c>
      <c r="E392" s="1205">
        <f>'House Count'!D392</f>
        <v/>
      </c>
      <c r="F392" s="1205">
        <f>IF(G392="RES-SFU","RESIDENTIAL",IF(G392="RES-HOA","RESIDENTIAL",IF(G392="RES-MDU","RESIDENTIAL",IF(G392="COMM-SU","BUSINESS",IF(G392="COM-MTU","BUSINESS",IF(G392="ENT","BUSINESS",""))))))</f>
        <v/>
      </c>
      <c r="G392" s="1205">
        <f>'House Count'!F392</f>
        <v/>
      </c>
      <c r="H392" s="1205">
        <f>'House Count'!H392</f>
        <v/>
      </c>
    </row>
    <row r="393">
      <c r="A393" s="1204">
        <f>'House Count'!A393</f>
        <v/>
      </c>
      <c r="B393" s="1205">
        <f>'House Count'!E393</f>
        <v/>
      </c>
      <c r="C393" s="1205">
        <f>'House Count'!B393</f>
        <v/>
      </c>
      <c r="D393" s="1205">
        <f>'House Count'!C393</f>
        <v/>
      </c>
      <c r="E393" s="1205">
        <f>'House Count'!D393</f>
        <v/>
      </c>
      <c r="F393" s="1205">
        <f>IF(G393="RES-SFU","RESIDENTIAL",IF(G393="RES-HOA","RESIDENTIAL",IF(G393="RES-MDU","RESIDENTIAL",IF(G393="COMM-SU","BUSINESS",IF(G393="COM-MTU","BUSINESS",IF(G393="ENT","BUSINESS",""))))))</f>
        <v/>
      </c>
      <c r="G393" s="1205">
        <f>'House Count'!F393</f>
        <v/>
      </c>
      <c r="H393" s="1205">
        <f>'House Count'!H393</f>
        <v/>
      </c>
    </row>
    <row r="394">
      <c r="A394" s="1204">
        <f>'House Count'!A394</f>
        <v/>
      </c>
      <c r="B394" s="1205">
        <f>'House Count'!E394</f>
        <v/>
      </c>
      <c r="C394" s="1205">
        <f>'House Count'!B394</f>
        <v/>
      </c>
      <c r="D394" s="1205">
        <f>'House Count'!C394</f>
        <v/>
      </c>
      <c r="E394" s="1205">
        <f>'House Count'!D394</f>
        <v/>
      </c>
      <c r="F394" s="1205">
        <f>IF(G394="RES-SFU","RESIDENTIAL",IF(G394="RES-HOA","RESIDENTIAL",IF(G394="RES-MDU","RESIDENTIAL",IF(G394="COMM-SU","BUSINESS",IF(G394="COM-MTU","BUSINESS",IF(G394="ENT","BUSINESS",""))))))</f>
        <v/>
      </c>
      <c r="G394" s="1205">
        <f>'House Count'!F394</f>
        <v/>
      </c>
      <c r="H394" s="1205">
        <f>'House Count'!H394</f>
        <v/>
      </c>
    </row>
    <row r="395">
      <c r="A395" s="1204">
        <f>'House Count'!A395</f>
        <v/>
      </c>
      <c r="B395" s="1205">
        <f>'House Count'!E395</f>
        <v/>
      </c>
      <c r="C395" s="1205">
        <f>'House Count'!B395</f>
        <v/>
      </c>
      <c r="D395" s="1205">
        <f>'House Count'!C395</f>
        <v/>
      </c>
      <c r="E395" s="1205">
        <f>'House Count'!D395</f>
        <v/>
      </c>
      <c r="F395" s="1205">
        <f>IF(G395="RES-SFU","RESIDENTIAL",IF(G395="RES-HOA","RESIDENTIAL",IF(G395="RES-MDU","RESIDENTIAL",IF(G395="COMM-SU","BUSINESS",IF(G395="COM-MTU","BUSINESS",IF(G395="ENT","BUSINESS",""))))))</f>
        <v/>
      </c>
      <c r="G395" s="1205">
        <f>'House Count'!F395</f>
        <v/>
      </c>
      <c r="H395" s="1205">
        <f>'House Count'!H395</f>
        <v/>
      </c>
    </row>
    <row r="396">
      <c r="A396" s="1204">
        <f>'House Count'!A396</f>
        <v/>
      </c>
      <c r="B396" s="1205">
        <f>'House Count'!E396</f>
        <v/>
      </c>
      <c r="C396" s="1205">
        <f>'House Count'!B396</f>
        <v/>
      </c>
      <c r="D396" s="1205">
        <f>'House Count'!C396</f>
        <v/>
      </c>
      <c r="E396" s="1205">
        <f>'House Count'!D396</f>
        <v/>
      </c>
      <c r="F396" s="1205">
        <f>IF(G396="RES-SFU","RESIDENTIAL",IF(G396="RES-HOA","RESIDENTIAL",IF(G396="RES-MDU","RESIDENTIAL",IF(G396="COMM-SU","BUSINESS",IF(G396="COM-MTU","BUSINESS",IF(G396="ENT","BUSINESS",""))))))</f>
        <v/>
      </c>
      <c r="G396" s="1205">
        <f>'House Count'!F396</f>
        <v/>
      </c>
      <c r="H396" s="1205">
        <f>'House Count'!H396</f>
        <v/>
      </c>
    </row>
    <row r="397">
      <c r="A397" s="1204">
        <f>'House Count'!A397</f>
        <v/>
      </c>
      <c r="B397" s="1205">
        <f>'House Count'!E397</f>
        <v/>
      </c>
      <c r="C397" s="1205">
        <f>'House Count'!B397</f>
        <v/>
      </c>
      <c r="D397" s="1205">
        <f>'House Count'!C397</f>
        <v/>
      </c>
      <c r="E397" s="1205">
        <f>'House Count'!D397</f>
        <v/>
      </c>
      <c r="F397" s="1205">
        <f>IF(G397="RES-SFU","RESIDENTIAL",IF(G397="RES-HOA","RESIDENTIAL",IF(G397="RES-MDU","RESIDENTIAL",IF(G397="COMM-SU","BUSINESS",IF(G397="COM-MTU","BUSINESS",IF(G397="ENT","BUSINESS",""))))))</f>
        <v/>
      </c>
      <c r="G397" s="1205">
        <f>'House Count'!F397</f>
        <v/>
      </c>
      <c r="H397" s="1205">
        <f>'House Count'!H397</f>
        <v/>
      </c>
    </row>
    <row r="398">
      <c r="A398" s="1204">
        <f>'House Count'!A398</f>
        <v/>
      </c>
      <c r="B398" s="1205">
        <f>'House Count'!E398</f>
        <v/>
      </c>
      <c r="C398" s="1205">
        <f>'House Count'!B398</f>
        <v/>
      </c>
      <c r="D398" s="1205">
        <f>'House Count'!C398</f>
        <v/>
      </c>
      <c r="E398" s="1205">
        <f>'House Count'!D398</f>
        <v/>
      </c>
      <c r="F398" s="1205">
        <f>IF(G398="RES-SFU","RESIDENTIAL",IF(G398="RES-HOA","RESIDENTIAL",IF(G398="RES-MDU","RESIDENTIAL",IF(G398="COMM-SU","BUSINESS",IF(G398="COM-MTU","BUSINESS",IF(G398="ENT","BUSINESS",""))))))</f>
        <v/>
      </c>
      <c r="G398" s="1205">
        <f>'House Count'!F398</f>
        <v/>
      </c>
      <c r="H398" s="1205">
        <f>'House Count'!H398</f>
        <v/>
      </c>
    </row>
    <row r="399">
      <c r="A399" s="1204">
        <f>'House Count'!A399</f>
        <v/>
      </c>
      <c r="B399" s="1205">
        <f>'House Count'!E399</f>
        <v/>
      </c>
      <c r="C399" s="1205">
        <f>'House Count'!B399</f>
        <v/>
      </c>
      <c r="D399" s="1205">
        <f>'House Count'!C399</f>
        <v/>
      </c>
      <c r="E399" s="1205">
        <f>'House Count'!D399</f>
        <v/>
      </c>
      <c r="F399" s="1205">
        <f>IF(G399="RES-SFU","RESIDENTIAL",IF(G399="RES-HOA","RESIDENTIAL",IF(G399="RES-MDU","RESIDENTIAL",IF(G399="COMM-SU","BUSINESS",IF(G399="COM-MTU","BUSINESS",IF(G399="ENT","BUSINESS",""))))))</f>
        <v/>
      </c>
      <c r="G399" s="1205">
        <f>'House Count'!F399</f>
        <v/>
      </c>
      <c r="H399" s="1205">
        <f>'House Count'!H399</f>
        <v/>
      </c>
    </row>
    <row r="400">
      <c r="A400" s="1204">
        <f>'House Count'!A400</f>
        <v/>
      </c>
      <c r="B400" s="1205">
        <f>'House Count'!E400</f>
        <v/>
      </c>
      <c r="C400" s="1205">
        <f>'House Count'!B400</f>
        <v/>
      </c>
      <c r="D400" s="1205">
        <f>'House Count'!C400</f>
        <v/>
      </c>
      <c r="E400" s="1205">
        <f>'House Count'!D400</f>
        <v/>
      </c>
      <c r="F400" s="1205">
        <f>IF(G400="RES-SFU","RESIDENTIAL",IF(G400="RES-HOA","RESIDENTIAL",IF(G400="RES-MDU","RESIDENTIAL",IF(G400="COMM-SU","BUSINESS",IF(G400="COM-MTU","BUSINESS",IF(G400="ENT","BUSINESS",""))))))</f>
        <v/>
      </c>
      <c r="G400" s="1205">
        <f>'House Count'!F400</f>
        <v/>
      </c>
      <c r="H400" s="1205">
        <f>'House Count'!H400</f>
        <v/>
      </c>
    </row>
    <row r="401">
      <c r="A401" s="1204">
        <f>'House Count'!A401</f>
        <v/>
      </c>
      <c r="B401" s="1205">
        <f>'House Count'!E401</f>
        <v/>
      </c>
      <c r="C401" s="1205">
        <f>'House Count'!B401</f>
        <v/>
      </c>
      <c r="D401" s="1205">
        <f>'House Count'!C401</f>
        <v/>
      </c>
      <c r="E401" s="1205">
        <f>'House Count'!D401</f>
        <v/>
      </c>
      <c r="F401" s="1205">
        <f>IF(G401="RES-SFU","RESIDENTIAL",IF(G401="RES-HOA","RESIDENTIAL",IF(G401="RES-MDU","RESIDENTIAL",IF(G401="COMM-SU","BUSINESS",IF(G401="COM-MTU","BUSINESS",IF(G401="ENT","BUSINESS",""))))))</f>
        <v/>
      </c>
      <c r="G401" s="1205">
        <f>'House Count'!F401</f>
        <v/>
      </c>
      <c r="H401" s="1205">
        <f>'House Count'!H401</f>
        <v/>
      </c>
    </row>
    <row r="402">
      <c r="A402" s="1204">
        <f>'House Count'!A402</f>
        <v/>
      </c>
      <c r="B402" s="1205">
        <f>'House Count'!E402</f>
        <v/>
      </c>
      <c r="C402" s="1205">
        <f>'House Count'!B402</f>
        <v/>
      </c>
      <c r="D402" s="1205">
        <f>'House Count'!C402</f>
        <v/>
      </c>
      <c r="E402" s="1205">
        <f>'House Count'!D402</f>
        <v/>
      </c>
      <c r="F402" s="1205">
        <f>IF(G402="RES-SFU","RESIDENTIAL",IF(G402="RES-HOA","RESIDENTIAL",IF(G402="RES-MDU","RESIDENTIAL",IF(G402="COMM-SU","BUSINESS",IF(G402="COM-MTU","BUSINESS",IF(G402="ENT","BUSINESS",""))))))</f>
        <v/>
      </c>
      <c r="G402" s="1205">
        <f>'House Count'!F402</f>
        <v/>
      </c>
      <c r="H402" s="1205">
        <f>'House Count'!H402</f>
        <v/>
      </c>
    </row>
    <row r="403">
      <c r="A403" s="1204">
        <f>'House Count'!A403</f>
        <v/>
      </c>
      <c r="B403" s="1205">
        <f>'House Count'!E403</f>
        <v/>
      </c>
      <c r="C403" s="1205">
        <f>'House Count'!B403</f>
        <v/>
      </c>
      <c r="D403" s="1205">
        <f>'House Count'!C403</f>
        <v/>
      </c>
      <c r="E403" s="1205">
        <f>'House Count'!D403</f>
        <v/>
      </c>
      <c r="F403" s="1205">
        <f>IF(G403="RES-SFU","RESIDENTIAL",IF(G403="RES-HOA","RESIDENTIAL",IF(G403="RES-MDU","RESIDENTIAL",IF(G403="COMM-SU","BUSINESS",IF(G403="COM-MTU","BUSINESS",IF(G403="ENT","BUSINESS",""))))))</f>
        <v/>
      </c>
      <c r="G403" s="1205">
        <f>'House Count'!F403</f>
        <v/>
      </c>
      <c r="H403" s="1205">
        <f>'House Count'!H403</f>
        <v/>
      </c>
    </row>
    <row r="404">
      <c r="A404" s="1204">
        <f>'House Count'!A404</f>
        <v/>
      </c>
      <c r="B404" s="1205">
        <f>'House Count'!E404</f>
        <v/>
      </c>
      <c r="C404" s="1205">
        <f>'House Count'!B404</f>
        <v/>
      </c>
      <c r="D404" s="1205">
        <f>'House Count'!C404</f>
        <v/>
      </c>
      <c r="E404" s="1205">
        <f>'House Count'!D404</f>
        <v/>
      </c>
      <c r="F404" s="1205">
        <f>IF(G404="RES-SFU","RESIDENTIAL",IF(G404="RES-HOA","RESIDENTIAL",IF(G404="RES-MDU","RESIDENTIAL",IF(G404="COMM-SU","BUSINESS",IF(G404="COM-MTU","BUSINESS",IF(G404="ENT","BUSINESS",""))))))</f>
        <v/>
      </c>
      <c r="G404" s="1205">
        <f>'House Count'!F404</f>
        <v/>
      </c>
      <c r="H404" s="1205">
        <f>'House Count'!H404</f>
        <v/>
      </c>
    </row>
    <row r="405">
      <c r="A405" s="1204">
        <f>'House Count'!A405</f>
        <v/>
      </c>
      <c r="B405" s="1205">
        <f>'House Count'!E405</f>
        <v/>
      </c>
      <c r="C405" s="1205">
        <f>'House Count'!B405</f>
        <v/>
      </c>
      <c r="D405" s="1205">
        <f>'House Count'!C405</f>
        <v/>
      </c>
      <c r="E405" s="1205">
        <f>'House Count'!D405</f>
        <v/>
      </c>
      <c r="F405" s="1205">
        <f>IF(G405="RES-SFU","RESIDENTIAL",IF(G405="RES-HOA","RESIDENTIAL",IF(G405="RES-MDU","RESIDENTIAL",IF(G405="COMM-SU","BUSINESS",IF(G405="COM-MTU","BUSINESS",IF(G405="ENT","BUSINESS",""))))))</f>
        <v/>
      </c>
      <c r="G405" s="1205">
        <f>'House Count'!F405</f>
        <v/>
      </c>
      <c r="H405" s="1205">
        <f>'House Count'!H405</f>
        <v/>
      </c>
    </row>
    <row r="406">
      <c r="A406" s="1204">
        <f>'House Count'!A406</f>
        <v/>
      </c>
      <c r="B406" s="1205">
        <f>'House Count'!E406</f>
        <v/>
      </c>
      <c r="C406" s="1205">
        <f>'House Count'!B406</f>
        <v/>
      </c>
      <c r="D406" s="1205">
        <f>'House Count'!C406</f>
        <v/>
      </c>
      <c r="E406" s="1205">
        <f>'House Count'!D406</f>
        <v/>
      </c>
      <c r="F406" s="1205">
        <f>IF(G406="RES-SFU","RESIDENTIAL",IF(G406="RES-HOA","RESIDENTIAL",IF(G406="RES-MDU","RESIDENTIAL",IF(G406="COMM-SU","BUSINESS",IF(G406="COM-MTU","BUSINESS",IF(G406="ENT","BUSINESS",""))))))</f>
        <v/>
      </c>
      <c r="G406" s="1205">
        <f>'House Count'!F406</f>
        <v/>
      </c>
      <c r="H406" s="1205">
        <f>'House Count'!H406</f>
        <v/>
      </c>
    </row>
    <row r="407">
      <c r="A407" s="1204">
        <f>'House Count'!A407</f>
        <v/>
      </c>
      <c r="B407" s="1205">
        <f>'House Count'!E407</f>
        <v/>
      </c>
      <c r="C407" s="1205">
        <f>'House Count'!B407</f>
        <v/>
      </c>
      <c r="D407" s="1205">
        <f>'House Count'!C407</f>
        <v/>
      </c>
      <c r="E407" s="1205">
        <f>'House Count'!D407</f>
        <v/>
      </c>
      <c r="F407" s="1205">
        <f>IF(G407="RES-SFU","RESIDENTIAL",IF(G407="RES-HOA","RESIDENTIAL",IF(G407="RES-MDU","RESIDENTIAL",IF(G407="COMM-SU","BUSINESS",IF(G407="COM-MTU","BUSINESS",IF(G407="ENT","BUSINESS",""))))))</f>
        <v/>
      </c>
      <c r="G407" s="1205">
        <f>'House Count'!F407</f>
        <v/>
      </c>
      <c r="H407" s="1205">
        <f>'House Count'!H407</f>
        <v/>
      </c>
    </row>
    <row r="408">
      <c r="A408" s="1204">
        <f>'House Count'!A408</f>
        <v/>
      </c>
      <c r="B408" s="1205">
        <f>'House Count'!E408</f>
        <v/>
      </c>
      <c r="C408" s="1205">
        <f>'House Count'!B408</f>
        <v/>
      </c>
      <c r="D408" s="1205">
        <f>'House Count'!C408</f>
        <v/>
      </c>
      <c r="E408" s="1205">
        <f>'House Count'!D408</f>
        <v/>
      </c>
      <c r="F408" s="1205">
        <f>IF(G408="RES-SFU","RESIDENTIAL",IF(G408="RES-HOA","RESIDENTIAL",IF(G408="RES-MDU","RESIDENTIAL",IF(G408="COMM-SU","BUSINESS",IF(G408="COM-MTU","BUSINESS",IF(G408="ENT","BUSINESS",""))))))</f>
        <v/>
      </c>
      <c r="G408" s="1205">
        <f>'House Count'!F408</f>
        <v/>
      </c>
      <c r="H408" s="1205">
        <f>'House Count'!H408</f>
        <v/>
      </c>
    </row>
    <row r="409">
      <c r="A409" s="1204">
        <f>'House Count'!A409</f>
        <v/>
      </c>
      <c r="B409" s="1205">
        <f>'House Count'!E409</f>
        <v/>
      </c>
      <c r="C409" s="1205">
        <f>'House Count'!B409</f>
        <v/>
      </c>
      <c r="D409" s="1205">
        <f>'House Count'!C409</f>
        <v/>
      </c>
      <c r="E409" s="1205">
        <f>'House Count'!D409</f>
        <v/>
      </c>
      <c r="F409" s="1205">
        <f>IF(G409="RES-SFU","RESIDENTIAL",IF(G409="RES-HOA","RESIDENTIAL",IF(G409="RES-MDU","RESIDENTIAL",IF(G409="COMM-SU","BUSINESS",IF(G409="COM-MTU","BUSINESS",IF(G409="ENT","BUSINESS",""))))))</f>
        <v/>
      </c>
      <c r="G409" s="1205">
        <f>'House Count'!F409</f>
        <v/>
      </c>
      <c r="H409" s="1205">
        <f>'House Count'!H409</f>
        <v/>
      </c>
    </row>
    <row r="410">
      <c r="A410" s="1204">
        <f>'House Count'!A410</f>
        <v/>
      </c>
      <c r="B410" s="1205">
        <f>'House Count'!E410</f>
        <v/>
      </c>
      <c r="C410" s="1205">
        <f>'House Count'!B410</f>
        <v/>
      </c>
      <c r="D410" s="1205">
        <f>'House Count'!C410</f>
        <v/>
      </c>
      <c r="E410" s="1205">
        <f>'House Count'!D410</f>
        <v/>
      </c>
      <c r="F410" s="1205">
        <f>IF(G410="RES-SFU","RESIDENTIAL",IF(G410="RES-HOA","RESIDENTIAL",IF(G410="RES-MDU","RESIDENTIAL",IF(G410="COMM-SU","BUSINESS",IF(G410="COM-MTU","BUSINESS",IF(G410="ENT","BUSINESS",""))))))</f>
        <v/>
      </c>
      <c r="G410" s="1205">
        <f>'House Count'!F410</f>
        <v/>
      </c>
      <c r="H410" s="1205">
        <f>'House Count'!H410</f>
        <v/>
      </c>
    </row>
    <row r="411">
      <c r="A411" s="1204">
        <f>'House Count'!A411</f>
        <v/>
      </c>
      <c r="B411" s="1205">
        <f>'House Count'!E411</f>
        <v/>
      </c>
      <c r="C411" s="1205">
        <f>'House Count'!B411</f>
        <v/>
      </c>
      <c r="D411" s="1205">
        <f>'House Count'!C411</f>
        <v/>
      </c>
      <c r="E411" s="1205">
        <f>'House Count'!D411</f>
        <v/>
      </c>
      <c r="F411" s="1205">
        <f>IF(G411="RES-SFU","RESIDENTIAL",IF(G411="RES-HOA","RESIDENTIAL",IF(G411="RES-MDU","RESIDENTIAL",IF(G411="COMM-SU","BUSINESS",IF(G411="COM-MTU","BUSINESS",IF(G411="ENT","BUSINESS",""))))))</f>
        <v/>
      </c>
      <c r="G411" s="1205">
        <f>'House Count'!F411</f>
        <v/>
      </c>
      <c r="H411" s="1205">
        <f>'House Count'!H411</f>
        <v/>
      </c>
    </row>
    <row r="412">
      <c r="A412" s="1204">
        <f>'House Count'!A412</f>
        <v/>
      </c>
      <c r="B412" s="1205">
        <f>'House Count'!E412</f>
        <v/>
      </c>
      <c r="C412" s="1205">
        <f>'House Count'!B412</f>
        <v/>
      </c>
      <c r="D412" s="1205">
        <f>'House Count'!C412</f>
        <v/>
      </c>
      <c r="E412" s="1205">
        <f>'House Count'!D412</f>
        <v/>
      </c>
      <c r="F412" s="1205">
        <f>IF(G412="RES-SFU","RESIDENTIAL",IF(G412="RES-HOA","RESIDENTIAL",IF(G412="RES-MDU","RESIDENTIAL",IF(G412="COMM-SU","BUSINESS",IF(G412="COM-MTU","BUSINESS",IF(G412="ENT","BUSINESS",""))))))</f>
        <v/>
      </c>
      <c r="G412" s="1205">
        <f>'House Count'!F412</f>
        <v/>
      </c>
      <c r="H412" s="1205">
        <f>'House Count'!H412</f>
        <v/>
      </c>
    </row>
    <row r="413">
      <c r="A413" s="1204">
        <f>'House Count'!A413</f>
        <v/>
      </c>
      <c r="B413" s="1205">
        <f>'House Count'!E413</f>
        <v/>
      </c>
      <c r="C413" s="1205">
        <f>'House Count'!B413</f>
        <v/>
      </c>
      <c r="D413" s="1205">
        <f>'House Count'!C413</f>
        <v/>
      </c>
      <c r="E413" s="1205">
        <f>'House Count'!D413</f>
        <v/>
      </c>
      <c r="F413" s="1205">
        <f>IF(G413="RES-SFU","RESIDENTIAL",IF(G413="RES-HOA","RESIDENTIAL",IF(G413="RES-MDU","RESIDENTIAL",IF(G413="COMM-SU","BUSINESS",IF(G413="COM-MTU","BUSINESS",IF(G413="ENT","BUSINESS",""))))))</f>
        <v/>
      </c>
      <c r="G413" s="1205">
        <f>'House Count'!F413</f>
        <v/>
      </c>
      <c r="H413" s="1205">
        <f>'House Count'!H413</f>
        <v/>
      </c>
    </row>
    <row r="414">
      <c r="A414" s="1204">
        <f>'House Count'!A414</f>
        <v/>
      </c>
      <c r="B414" s="1205">
        <f>'House Count'!E414</f>
        <v/>
      </c>
      <c r="C414" s="1205">
        <f>'House Count'!B414</f>
        <v/>
      </c>
      <c r="D414" s="1205">
        <f>'House Count'!C414</f>
        <v/>
      </c>
      <c r="E414" s="1205">
        <f>'House Count'!D414</f>
        <v/>
      </c>
      <c r="F414" s="1205">
        <f>IF(G414="RES-SFU","RESIDENTIAL",IF(G414="RES-HOA","RESIDENTIAL",IF(G414="RES-MDU","RESIDENTIAL",IF(G414="COMM-SU","BUSINESS",IF(G414="COM-MTU","BUSINESS",IF(G414="ENT","BUSINESS",""))))))</f>
        <v/>
      </c>
      <c r="G414" s="1205">
        <f>'House Count'!F414</f>
        <v/>
      </c>
      <c r="H414" s="1205">
        <f>'House Count'!H414</f>
        <v/>
      </c>
    </row>
    <row r="415">
      <c r="A415" s="1204">
        <f>'House Count'!A415</f>
        <v/>
      </c>
      <c r="B415" s="1205">
        <f>'House Count'!E415</f>
        <v/>
      </c>
      <c r="C415" s="1205">
        <f>'House Count'!B415</f>
        <v/>
      </c>
      <c r="D415" s="1205">
        <f>'House Count'!C415</f>
        <v/>
      </c>
      <c r="E415" s="1205">
        <f>'House Count'!D415</f>
        <v/>
      </c>
      <c r="F415" s="1205">
        <f>IF(G415="RES-SFU","RESIDENTIAL",IF(G415="RES-HOA","RESIDENTIAL",IF(G415="RES-MDU","RESIDENTIAL",IF(G415="COMM-SU","BUSINESS",IF(G415="COM-MTU","BUSINESS",IF(G415="ENT","BUSINESS",""))))))</f>
        <v/>
      </c>
      <c r="G415" s="1205">
        <f>'House Count'!F415</f>
        <v/>
      </c>
      <c r="H415" s="1205">
        <f>'House Count'!H415</f>
        <v/>
      </c>
    </row>
    <row r="416">
      <c r="A416" s="1204">
        <f>'House Count'!A416</f>
        <v/>
      </c>
      <c r="B416" s="1205">
        <f>'House Count'!E416</f>
        <v/>
      </c>
      <c r="C416" s="1205">
        <f>'House Count'!B416</f>
        <v/>
      </c>
      <c r="D416" s="1205">
        <f>'House Count'!C416</f>
        <v/>
      </c>
      <c r="E416" s="1205">
        <f>'House Count'!D416</f>
        <v/>
      </c>
      <c r="F416" s="1205">
        <f>IF(G416="RES-SFU","RESIDENTIAL",IF(G416="RES-HOA","RESIDENTIAL",IF(G416="RES-MDU","RESIDENTIAL",IF(G416="COMM-SU","BUSINESS",IF(G416="COM-MTU","BUSINESS",IF(G416="ENT","BUSINESS",""))))))</f>
        <v/>
      </c>
      <c r="G416" s="1205">
        <f>'House Count'!F416</f>
        <v/>
      </c>
      <c r="H416" s="1205">
        <f>'House Count'!H416</f>
        <v/>
      </c>
    </row>
    <row r="417">
      <c r="A417" s="1204">
        <f>'House Count'!A417</f>
        <v/>
      </c>
      <c r="B417" s="1205">
        <f>'House Count'!E417</f>
        <v/>
      </c>
      <c r="C417" s="1205">
        <f>'House Count'!B417</f>
        <v/>
      </c>
      <c r="D417" s="1205">
        <f>'House Count'!C417</f>
        <v/>
      </c>
      <c r="E417" s="1205">
        <f>'House Count'!D417</f>
        <v/>
      </c>
      <c r="F417" s="1205">
        <f>IF(G417="RES-SFU","RESIDENTIAL",IF(G417="RES-HOA","RESIDENTIAL",IF(G417="RES-MDU","RESIDENTIAL",IF(G417="COMM-SU","BUSINESS",IF(G417="COM-MTU","BUSINESS",IF(G417="ENT","BUSINESS",""))))))</f>
        <v/>
      </c>
      <c r="G417" s="1205">
        <f>'House Count'!F417</f>
        <v/>
      </c>
      <c r="H417" s="1205">
        <f>'House Count'!H417</f>
        <v/>
      </c>
    </row>
    <row r="418">
      <c r="A418" s="1204">
        <f>'House Count'!A418</f>
        <v/>
      </c>
      <c r="B418" s="1205">
        <f>'House Count'!E418</f>
        <v/>
      </c>
      <c r="C418" s="1205">
        <f>'House Count'!B418</f>
        <v/>
      </c>
      <c r="D418" s="1205">
        <f>'House Count'!C418</f>
        <v/>
      </c>
      <c r="E418" s="1205">
        <f>'House Count'!D418</f>
        <v/>
      </c>
      <c r="F418" s="1205">
        <f>IF(G418="RES-SFU","RESIDENTIAL",IF(G418="RES-HOA","RESIDENTIAL",IF(G418="RES-MDU","RESIDENTIAL",IF(G418="COMM-SU","BUSINESS",IF(G418="COM-MTU","BUSINESS",IF(G418="ENT","BUSINESS",""))))))</f>
        <v/>
      </c>
      <c r="G418" s="1205">
        <f>'House Count'!F418</f>
        <v/>
      </c>
      <c r="H418" s="1205">
        <f>'House Count'!H418</f>
        <v/>
      </c>
    </row>
    <row r="419">
      <c r="A419" s="1204">
        <f>'House Count'!A419</f>
        <v/>
      </c>
      <c r="B419" s="1205">
        <f>'House Count'!E419</f>
        <v/>
      </c>
      <c r="C419" s="1205">
        <f>'House Count'!B419</f>
        <v/>
      </c>
      <c r="D419" s="1205">
        <f>'House Count'!C419</f>
        <v/>
      </c>
      <c r="E419" s="1205">
        <f>'House Count'!D419</f>
        <v/>
      </c>
      <c r="F419" s="1205">
        <f>IF(G419="RES-SFU","RESIDENTIAL",IF(G419="RES-HOA","RESIDENTIAL",IF(G419="RES-MDU","RESIDENTIAL",IF(G419="COMM-SU","BUSINESS",IF(G419="COM-MTU","BUSINESS",IF(G419="ENT","BUSINESS",""))))))</f>
        <v/>
      </c>
      <c r="G419" s="1205">
        <f>'House Count'!F419</f>
        <v/>
      </c>
      <c r="H419" s="1205">
        <f>'House Count'!H419</f>
        <v/>
      </c>
    </row>
    <row r="420">
      <c r="A420" s="1204">
        <f>'House Count'!A420</f>
        <v/>
      </c>
      <c r="B420" s="1205">
        <f>'House Count'!E420</f>
        <v/>
      </c>
      <c r="C420" s="1205">
        <f>'House Count'!B420</f>
        <v/>
      </c>
      <c r="D420" s="1205">
        <f>'House Count'!C420</f>
        <v/>
      </c>
      <c r="E420" s="1205">
        <f>'House Count'!D420</f>
        <v/>
      </c>
      <c r="F420" s="1205">
        <f>IF(G420="RES-SFU","RESIDENTIAL",IF(G420="RES-HOA","RESIDENTIAL",IF(G420="RES-MDU","RESIDENTIAL",IF(G420="COMM-SU","BUSINESS",IF(G420="COM-MTU","BUSINESS",IF(G420="ENT","BUSINESS",""))))))</f>
        <v/>
      </c>
      <c r="G420" s="1205">
        <f>'House Count'!F420</f>
        <v/>
      </c>
      <c r="H420" s="1205">
        <f>'House Count'!H420</f>
        <v/>
      </c>
    </row>
    <row r="421">
      <c r="A421" s="1204">
        <f>'House Count'!A421</f>
        <v/>
      </c>
      <c r="B421" s="1205">
        <f>'House Count'!E421</f>
        <v/>
      </c>
      <c r="C421" s="1205">
        <f>'House Count'!B421</f>
        <v/>
      </c>
      <c r="D421" s="1205">
        <f>'House Count'!C421</f>
        <v/>
      </c>
      <c r="E421" s="1205">
        <f>'House Count'!D421</f>
        <v/>
      </c>
      <c r="F421" s="1205">
        <f>IF(G421="RES-SFU","RESIDENTIAL",IF(G421="RES-HOA","RESIDENTIAL",IF(G421="RES-MDU","RESIDENTIAL",IF(G421="COMM-SU","BUSINESS",IF(G421="COM-MTU","BUSINESS",IF(G421="ENT","BUSINESS",""))))))</f>
        <v/>
      </c>
      <c r="G421" s="1205">
        <f>'House Count'!F421</f>
        <v/>
      </c>
      <c r="H421" s="1205">
        <f>'House Count'!H421</f>
        <v/>
      </c>
    </row>
    <row r="422">
      <c r="A422" s="1204">
        <f>'House Count'!A422</f>
        <v/>
      </c>
      <c r="B422" s="1205">
        <f>'House Count'!E422</f>
        <v/>
      </c>
      <c r="C422" s="1205">
        <f>'House Count'!B422</f>
        <v/>
      </c>
      <c r="D422" s="1205">
        <f>'House Count'!C422</f>
        <v/>
      </c>
      <c r="E422" s="1205">
        <f>'House Count'!D422</f>
        <v/>
      </c>
      <c r="F422" s="1205">
        <f>IF(G422="RES-SFU","RESIDENTIAL",IF(G422="RES-HOA","RESIDENTIAL",IF(G422="RES-MDU","RESIDENTIAL",IF(G422="COMM-SU","BUSINESS",IF(G422="COM-MTU","BUSINESS",IF(G422="ENT","BUSINESS",""))))))</f>
        <v/>
      </c>
      <c r="G422" s="1205">
        <f>'House Count'!F422</f>
        <v/>
      </c>
      <c r="H422" s="1205">
        <f>'House Count'!H422</f>
        <v/>
      </c>
    </row>
    <row r="423">
      <c r="A423" s="1204">
        <f>'House Count'!A423</f>
        <v/>
      </c>
      <c r="B423" s="1205">
        <f>'House Count'!E423</f>
        <v/>
      </c>
      <c r="C423" s="1205">
        <f>'House Count'!B423</f>
        <v/>
      </c>
      <c r="D423" s="1205">
        <f>'House Count'!C423</f>
        <v/>
      </c>
      <c r="E423" s="1205">
        <f>'House Count'!D423</f>
        <v/>
      </c>
      <c r="F423" s="1205">
        <f>IF(G423="RES-SFU","RESIDENTIAL",IF(G423="RES-HOA","RESIDENTIAL",IF(G423="RES-MDU","RESIDENTIAL",IF(G423="COMM-SU","BUSINESS",IF(G423="COM-MTU","BUSINESS",IF(G423="ENT","BUSINESS",""))))))</f>
        <v/>
      </c>
      <c r="G423" s="1205">
        <f>'House Count'!F423</f>
        <v/>
      </c>
      <c r="H423" s="1205">
        <f>'House Count'!H423</f>
        <v/>
      </c>
    </row>
    <row r="424">
      <c r="A424" s="1204">
        <f>'House Count'!A424</f>
        <v/>
      </c>
      <c r="B424" s="1205">
        <f>'House Count'!E424</f>
        <v/>
      </c>
      <c r="C424" s="1205">
        <f>'House Count'!B424</f>
        <v/>
      </c>
      <c r="D424" s="1205">
        <f>'House Count'!C424</f>
        <v/>
      </c>
      <c r="E424" s="1205">
        <f>'House Count'!D424</f>
        <v/>
      </c>
      <c r="F424" s="1205">
        <f>IF(G424="RES-SFU","RESIDENTIAL",IF(G424="RES-HOA","RESIDENTIAL",IF(G424="RES-MDU","RESIDENTIAL",IF(G424="COMM-SU","BUSINESS",IF(G424="COM-MTU","BUSINESS",IF(G424="ENT","BUSINESS",""))))))</f>
        <v/>
      </c>
      <c r="G424" s="1205">
        <f>'House Count'!F424</f>
        <v/>
      </c>
      <c r="H424" s="1205">
        <f>'House Count'!H424</f>
        <v/>
      </c>
    </row>
    <row r="425">
      <c r="A425" s="1204">
        <f>'House Count'!A425</f>
        <v/>
      </c>
      <c r="B425" s="1205">
        <f>'House Count'!E425</f>
        <v/>
      </c>
      <c r="C425" s="1205">
        <f>'House Count'!B425</f>
        <v/>
      </c>
      <c r="D425" s="1205">
        <f>'House Count'!C425</f>
        <v/>
      </c>
      <c r="E425" s="1205">
        <f>'House Count'!D425</f>
        <v/>
      </c>
      <c r="F425" s="1205">
        <f>IF(G425="RES-SFU","RESIDENTIAL",IF(G425="RES-HOA","RESIDENTIAL",IF(G425="RES-MDU","RESIDENTIAL",IF(G425="COMM-SU","BUSINESS",IF(G425="COM-MTU","BUSINESS",IF(G425="ENT","BUSINESS",""))))))</f>
        <v/>
      </c>
      <c r="G425" s="1205">
        <f>'House Count'!F425</f>
        <v/>
      </c>
      <c r="H425" s="1205">
        <f>'House Count'!H425</f>
        <v/>
      </c>
    </row>
    <row r="426">
      <c r="A426" s="1204">
        <f>'House Count'!A426</f>
        <v/>
      </c>
      <c r="B426" s="1205">
        <f>'House Count'!E426</f>
        <v/>
      </c>
      <c r="C426" s="1205">
        <f>'House Count'!B426</f>
        <v/>
      </c>
      <c r="D426" s="1205">
        <f>'House Count'!C426</f>
        <v/>
      </c>
      <c r="E426" s="1205">
        <f>'House Count'!D426</f>
        <v/>
      </c>
      <c r="F426" s="1205">
        <f>IF(G426="RES-SFU","RESIDENTIAL",IF(G426="RES-HOA","RESIDENTIAL",IF(G426="RES-MDU","RESIDENTIAL",IF(G426="COMM-SU","BUSINESS",IF(G426="COM-MTU","BUSINESS",IF(G426="ENT","BUSINESS",""))))))</f>
        <v/>
      </c>
      <c r="G426" s="1205">
        <f>'House Count'!F426</f>
        <v/>
      </c>
      <c r="H426" s="1205">
        <f>'House Count'!H426</f>
        <v/>
      </c>
    </row>
    <row r="427">
      <c r="A427" s="1204">
        <f>'House Count'!A427</f>
        <v/>
      </c>
      <c r="B427" s="1205">
        <f>'House Count'!E427</f>
        <v/>
      </c>
      <c r="C427" s="1205">
        <f>'House Count'!B427</f>
        <v/>
      </c>
      <c r="D427" s="1205">
        <f>'House Count'!C427</f>
        <v/>
      </c>
      <c r="E427" s="1205">
        <f>'House Count'!D427</f>
        <v/>
      </c>
      <c r="F427" s="1205">
        <f>IF(G427="RES-SFU","RESIDENTIAL",IF(G427="RES-HOA","RESIDENTIAL",IF(G427="RES-MDU","RESIDENTIAL",IF(G427="COMM-SU","BUSINESS",IF(G427="COM-MTU","BUSINESS",IF(G427="ENT","BUSINESS",""))))))</f>
        <v/>
      </c>
      <c r="G427" s="1205">
        <f>'House Count'!F427</f>
        <v/>
      </c>
      <c r="H427" s="1205">
        <f>'House Count'!H427</f>
        <v/>
      </c>
    </row>
    <row r="428">
      <c r="A428" s="1204">
        <f>'House Count'!A428</f>
        <v/>
      </c>
      <c r="B428" s="1205">
        <f>'House Count'!E428</f>
        <v/>
      </c>
      <c r="C428" s="1205">
        <f>'House Count'!B428</f>
        <v/>
      </c>
      <c r="D428" s="1205">
        <f>'House Count'!C428</f>
        <v/>
      </c>
      <c r="E428" s="1205">
        <f>'House Count'!D428</f>
        <v/>
      </c>
      <c r="F428" s="1205">
        <f>IF(G428="RES-SFU","RESIDENTIAL",IF(G428="RES-HOA","RESIDENTIAL",IF(G428="RES-MDU","RESIDENTIAL",IF(G428="COMM-SU","BUSINESS",IF(G428="COM-MTU","BUSINESS",IF(G428="ENT","BUSINESS",""))))))</f>
        <v/>
      </c>
      <c r="G428" s="1205">
        <f>'House Count'!F428</f>
        <v/>
      </c>
      <c r="H428" s="1205">
        <f>'House Count'!H428</f>
        <v/>
      </c>
    </row>
    <row r="429">
      <c r="A429" s="1204">
        <f>'House Count'!A429</f>
        <v/>
      </c>
      <c r="B429" s="1205">
        <f>'House Count'!E429</f>
        <v/>
      </c>
      <c r="C429" s="1205">
        <f>'House Count'!B429</f>
        <v/>
      </c>
      <c r="D429" s="1205">
        <f>'House Count'!C429</f>
        <v/>
      </c>
      <c r="E429" s="1205">
        <f>'House Count'!D429</f>
        <v/>
      </c>
      <c r="F429" s="1205">
        <f>IF(G429="RES-SFU","RESIDENTIAL",IF(G429="RES-HOA","RESIDENTIAL",IF(G429="RES-MDU","RESIDENTIAL",IF(G429="COMM-SU","BUSINESS",IF(G429="COM-MTU","BUSINESS",IF(G429="ENT","BUSINESS",""))))))</f>
        <v/>
      </c>
      <c r="G429" s="1205">
        <f>'House Count'!F429</f>
        <v/>
      </c>
      <c r="H429" s="1205">
        <f>'House Count'!H429</f>
        <v/>
      </c>
    </row>
    <row r="430">
      <c r="A430" s="1204">
        <f>'House Count'!A430</f>
        <v/>
      </c>
      <c r="B430" s="1205">
        <f>'House Count'!E430</f>
        <v/>
      </c>
      <c r="C430" s="1205">
        <f>'House Count'!B430</f>
        <v/>
      </c>
      <c r="D430" s="1205">
        <f>'House Count'!C430</f>
        <v/>
      </c>
      <c r="E430" s="1205">
        <f>'House Count'!D430</f>
        <v/>
      </c>
      <c r="F430" s="1205">
        <f>IF(G430="RES-SFU","RESIDENTIAL",IF(G430="RES-HOA","RESIDENTIAL",IF(G430="RES-MDU","RESIDENTIAL",IF(G430="COMM-SU","BUSINESS",IF(G430="COM-MTU","BUSINESS",IF(G430="ENT","BUSINESS",""))))))</f>
        <v/>
      </c>
      <c r="G430" s="1205">
        <f>'House Count'!F430</f>
        <v/>
      </c>
      <c r="H430" s="1205">
        <f>'House Count'!H430</f>
        <v/>
      </c>
    </row>
    <row r="431">
      <c r="A431" s="1204">
        <f>'House Count'!A431</f>
        <v/>
      </c>
      <c r="B431" s="1205">
        <f>'House Count'!E431</f>
        <v/>
      </c>
      <c r="C431" s="1205">
        <f>'House Count'!B431</f>
        <v/>
      </c>
      <c r="D431" s="1205">
        <f>'House Count'!C431</f>
        <v/>
      </c>
      <c r="E431" s="1205">
        <f>'House Count'!D431</f>
        <v/>
      </c>
      <c r="F431" s="1205">
        <f>IF(G431="RES-SFU","RESIDENTIAL",IF(G431="RES-HOA","RESIDENTIAL",IF(G431="RES-MDU","RESIDENTIAL",IF(G431="COMM-SU","BUSINESS",IF(G431="COM-MTU","BUSINESS",IF(G431="ENT","BUSINESS",""))))))</f>
        <v/>
      </c>
      <c r="G431" s="1205">
        <f>'House Count'!F431</f>
        <v/>
      </c>
      <c r="H431" s="1205">
        <f>'House Count'!H431</f>
        <v/>
      </c>
    </row>
    <row r="432">
      <c r="A432" s="1204">
        <f>'House Count'!A432</f>
        <v/>
      </c>
      <c r="B432" s="1205">
        <f>'House Count'!E432</f>
        <v/>
      </c>
      <c r="C432" s="1205">
        <f>'House Count'!B432</f>
        <v/>
      </c>
      <c r="D432" s="1205">
        <f>'House Count'!C432</f>
        <v/>
      </c>
      <c r="E432" s="1205">
        <f>'House Count'!D432</f>
        <v/>
      </c>
      <c r="F432" s="1205">
        <f>IF(G432="RES-SFU","RESIDENTIAL",IF(G432="RES-HOA","RESIDENTIAL",IF(G432="RES-MDU","RESIDENTIAL",IF(G432="COMM-SU","BUSINESS",IF(G432="COM-MTU","BUSINESS",IF(G432="ENT","BUSINESS",""))))))</f>
        <v/>
      </c>
      <c r="G432" s="1205">
        <f>'House Count'!F432</f>
        <v/>
      </c>
      <c r="H432" s="1205">
        <f>'House Count'!H432</f>
        <v/>
      </c>
    </row>
    <row r="433">
      <c r="A433" s="1204">
        <f>'House Count'!A433</f>
        <v/>
      </c>
      <c r="B433" s="1205">
        <f>'House Count'!E433</f>
        <v/>
      </c>
      <c r="C433" s="1205">
        <f>'House Count'!B433</f>
        <v/>
      </c>
      <c r="D433" s="1205">
        <f>'House Count'!C433</f>
        <v/>
      </c>
      <c r="E433" s="1205">
        <f>'House Count'!D433</f>
        <v/>
      </c>
      <c r="F433" s="1205">
        <f>IF(G433="RES-SFU","RESIDENTIAL",IF(G433="RES-HOA","RESIDENTIAL",IF(G433="RES-MDU","RESIDENTIAL",IF(G433="COMM-SU","BUSINESS",IF(G433="COM-MTU","BUSINESS",IF(G433="ENT","BUSINESS",""))))))</f>
        <v/>
      </c>
      <c r="G433" s="1205">
        <f>'House Count'!F433</f>
        <v/>
      </c>
      <c r="H433" s="1205">
        <f>'House Count'!H433</f>
        <v/>
      </c>
    </row>
    <row r="434">
      <c r="A434" s="1204">
        <f>'House Count'!A434</f>
        <v/>
      </c>
      <c r="B434" s="1205">
        <f>'House Count'!E434</f>
        <v/>
      </c>
      <c r="C434" s="1205">
        <f>'House Count'!B434</f>
        <v/>
      </c>
      <c r="D434" s="1205">
        <f>'House Count'!C434</f>
        <v/>
      </c>
      <c r="E434" s="1205">
        <f>'House Count'!D434</f>
        <v/>
      </c>
      <c r="F434" s="1205">
        <f>IF(G434="RES-SFU","RESIDENTIAL",IF(G434="RES-HOA","RESIDENTIAL",IF(G434="RES-MDU","RESIDENTIAL",IF(G434="COMM-SU","BUSINESS",IF(G434="COM-MTU","BUSINESS",IF(G434="ENT","BUSINESS",""))))))</f>
        <v/>
      </c>
      <c r="G434" s="1205">
        <f>'House Count'!F434</f>
        <v/>
      </c>
      <c r="H434" s="1205">
        <f>'House Count'!H434</f>
        <v/>
      </c>
    </row>
    <row r="435">
      <c r="A435" s="1204">
        <f>'House Count'!A435</f>
        <v/>
      </c>
      <c r="B435" s="1205">
        <f>'House Count'!E435</f>
        <v/>
      </c>
      <c r="C435" s="1205">
        <f>'House Count'!B435</f>
        <v/>
      </c>
      <c r="D435" s="1205">
        <f>'House Count'!C435</f>
        <v/>
      </c>
      <c r="E435" s="1205">
        <f>'House Count'!D435</f>
        <v/>
      </c>
      <c r="F435" s="1205">
        <f>IF(G435="RES-SFU","RESIDENTIAL",IF(G435="RES-HOA","RESIDENTIAL",IF(G435="RES-MDU","RESIDENTIAL",IF(G435="COMM-SU","BUSINESS",IF(G435="COM-MTU","BUSINESS",IF(G435="ENT","BUSINESS",""))))))</f>
        <v/>
      </c>
      <c r="G435" s="1205">
        <f>'House Count'!F435</f>
        <v/>
      </c>
      <c r="H435" s="1205">
        <f>'House Count'!H435</f>
        <v/>
      </c>
    </row>
    <row r="436">
      <c r="A436" s="1204">
        <f>'House Count'!A436</f>
        <v/>
      </c>
      <c r="B436" s="1205">
        <f>'House Count'!E436</f>
        <v/>
      </c>
      <c r="C436" s="1205">
        <f>'House Count'!B436</f>
        <v/>
      </c>
      <c r="D436" s="1205">
        <f>'House Count'!C436</f>
        <v/>
      </c>
      <c r="E436" s="1205">
        <f>'House Count'!D436</f>
        <v/>
      </c>
      <c r="F436" s="1205">
        <f>IF(G436="RES-SFU","RESIDENTIAL",IF(G436="RES-HOA","RESIDENTIAL",IF(G436="RES-MDU","RESIDENTIAL",IF(G436="COMM-SU","BUSINESS",IF(G436="COM-MTU","BUSINESS",IF(G436="ENT","BUSINESS",""))))))</f>
        <v/>
      </c>
      <c r="G436" s="1205">
        <f>'House Count'!F436</f>
        <v/>
      </c>
      <c r="H436" s="1205">
        <f>'House Count'!H436</f>
        <v/>
      </c>
    </row>
    <row r="437">
      <c r="A437" s="1204">
        <f>'House Count'!A437</f>
        <v/>
      </c>
      <c r="B437" s="1205">
        <f>'House Count'!E437</f>
        <v/>
      </c>
      <c r="C437" s="1205">
        <f>'House Count'!B437</f>
        <v/>
      </c>
      <c r="D437" s="1205">
        <f>'House Count'!C437</f>
        <v/>
      </c>
      <c r="E437" s="1205">
        <f>'House Count'!D437</f>
        <v/>
      </c>
      <c r="F437" s="1205">
        <f>IF(G437="RES-SFU","RESIDENTIAL",IF(G437="RES-HOA","RESIDENTIAL",IF(G437="RES-MDU","RESIDENTIAL",IF(G437="COMM-SU","BUSINESS",IF(G437="COM-MTU","BUSINESS",IF(G437="ENT","BUSINESS",""))))))</f>
        <v/>
      </c>
      <c r="G437" s="1205">
        <f>'House Count'!F437</f>
        <v/>
      </c>
      <c r="H437" s="1205">
        <f>'House Count'!H437</f>
        <v/>
      </c>
    </row>
    <row r="438">
      <c r="A438" s="1204">
        <f>'House Count'!A438</f>
        <v/>
      </c>
      <c r="B438" s="1205">
        <f>'House Count'!E438</f>
        <v/>
      </c>
      <c r="C438" s="1205">
        <f>'House Count'!B438</f>
        <v/>
      </c>
      <c r="D438" s="1205">
        <f>'House Count'!C438</f>
        <v/>
      </c>
      <c r="E438" s="1205">
        <f>'House Count'!D438</f>
        <v/>
      </c>
      <c r="F438" s="1205">
        <f>IF(G438="RES-SFU","RESIDENTIAL",IF(G438="RES-HOA","RESIDENTIAL",IF(G438="RES-MDU","RESIDENTIAL",IF(G438="COMM-SU","BUSINESS",IF(G438="COM-MTU","BUSINESS",IF(G438="ENT","BUSINESS",""))))))</f>
        <v/>
      </c>
      <c r="G438" s="1205">
        <f>'House Count'!F438</f>
        <v/>
      </c>
      <c r="H438" s="1205">
        <f>'House Count'!H438</f>
        <v/>
      </c>
    </row>
    <row r="439">
      <c r="A439" s="1204">
        <f>'House Count'!A439</f>
        <v/>
      </c>
      <c r="B439" s="1205">
        <f>'House Count'!E439</f>
        <v/>
      </c>
      <c r="C439" s="1205">
        <f>'House Count'!B439</f>
        <v/>
      </c>
      <c r="D439" s="1205">
        <f>'House Count'!C439</f>
        <v/>
      </c>
      <c r="E439" s="1205">
        <f>'House Count'!D439</f>
        <v/>
      </c>
      <c r="F439" s="1205">
        <f>IF(G439="RES-SFU","RESIDENTIAL",IF(G439="RES-HOA","RESIDENTIAL",IF(G439="RES-MDU","RESIDENTIAL",IF(G439="COMM-SU","BUSINESS",IF(G439="COM-MTU","BUSINESS",IF(G439="ENT","BUSINESS",""))))))</f>
        <v/>
      </c>
      <c r="G439" s="1205">
        <f>'House Count'!F439</f>
        <v/>
      </c>
      <c r="H439" s="1205">
        <f>'House Count'!H439</f>
        <v/>
      </c>
    </row>
    <row r="440">
      <c r="A440" s="1204">
        <f>'House Count'!A440</f>
        <v/>
      </c>
      <c r="B440" s="1205">
        <f>'House Count'!E440</f>
        <v/>
      </c>
      <c r="C440" s="1205">
        <f>'House Count'!B440</f>
        <v/>
      </c>
      <c r="D440" s="1205">
        <f>'House Count'!C440</f>
        <v/>
      </c>
      <c r="E440" s="1205">
        <f>'House Count'!D440</f>
        <v/>
      </c>
      <c r="F440" s="1205">
        <f>IF(G440="RES-SFU","RESIDENTIAL",IF(G440="RES-HOA","RESIDENTIAL",IF(G440="RES-MDU","RESIDENTIAL",IF(G440="COMM-SU","BUSINESS",IF(G440="COM-MTU","BUSINESS",IF(G440="ENT","BUSINESS",""))))))</f>
        <v/>
      </c>
      <c r="G440" s="1205">
        <f>'House Count'!F440</f>
        <v/>
      </c>
      <c r="H440" s="1205">
        <f>'House Count'!H440</f>
        <v/>
      </c>
    </row>
    <row r="441">
      <c r="A441" s="1204">
        <f>'House Count'!A441</f>
        <v/>
      </c>
      <c r="B441" s="1205">
        <f>'House Count'!E441</f>
        <v/>
      </c>
      <c r="C441" s="1205">
        <f>'House Count'!B441</f>
        <v/>
      </c>
      <c r="D441" s="1205">
        <f>'House Count'!C441</f>
        <v/>
      </c>
      <c r="E441" s="1205">
        <f>'House Count'!D441</f>
        <v/>
      </c>
      <c r="F441" s="1205">
        <f>IF(G441="RES-SFU","RESIDENTIAL",IF(G441="RES-HOA","RESIDENTIAL",IF(G441="RES-MDU","RESIDENTIAL",IF(G441="COMM-SU","BUSINESS",IF(G441="COM-MTU","BUSINESS",IF(G441="ENT","BUSINESS",""))))))</f>
        <v/>
      </c>
      <c r="G441" s="1205">
        <f>'House Count'!F441</f>
        <v/>
      </c>
      <c r="H441" s="1205">
        <f>'House Count'!H441</f>
        <v/>
      </c>
    </row>
    <row r="442">
      <c r="A442" s="1204">
        <f>'House Count'!A442</f>
        <v/>
      </c>
      <c r="B442" s="1205">
        <f>'House Count'!E442</f>
        <v/>
      </c>
      <c r="C442" s="1205">
        <f>'House Count'!B442</f>
        <v/>
      </c>
      <c r="D442" s="1205">
        <f>'House Count'!C442</f>
        <v/>
      </c>
      <c r="E442" s="1205">
        <f>'House Count'!D442</f>
        <v/>
      </c>
      <c r="F442" s="1205">
        <f>IF(G442="RES-SFU","RESIDENTIAL",IF(G442="RES-HOA","RESIDENTIAL",IF(G442="RES-MDU","RESIDENTIAL",IF(G442="COMM-SU","BUSINESS",IF(G442="COM-MTU","BUSINESS",IF(G442="ENT","BUSINESS",""))))))</f>
        <v/>
      </c>
      <c r="G442" s="1205">
        <f>'House Count'!F442</f>
        <v/>
      </c>
      <c r="H442" s="1205">
        <f>'House Count'!H442</f>
        <v/>
      </c>
    </row>
    <row r="443">
      <c r="A443" s="1204">
        <f>'House Count'!A443</f>
        <v/>
      </c>
      <c r="B443" s="1205">
        <f>'House Count'!E443</f>
        <v/>
      </c>
      <c r="C443" s="1205">
        <f>'House Count'!B443</f>
        <v/>
      </c>
      <c r="D443" s="1205">
        <f>'House Count'!C443</f>
        <v/>
      </c>
      <c r="E443" s="1205">
        <f>'House Count'!D443</f>
        <v/>
      </c>
      <c r="F443" s="1205">
        <f>IF(G443="RES-SFU","RESIDENTIAL",IF(G443="RES-HOA","RESIDENTIAL",IF(G443="RES-MDU","RESIDENTIAL",IF(G443="COMM-SU","BUSINESS",IF(G443="COM-MTU","BUSINESS",IF(G443="ENT","BUSINESS",""))))))</f>
        <v/>
      </c>
      <c r="G443" s="1205">
        <f>'House Count'!F443</f>
        <v/>
      </c>
      <c r="H443" s="1205">
        <f>'House Count'!H443</f>
        <v/>
      </c>
    </row>
    <row r="444">
      <c r="A444" s="1204">
        <f>'House Count'!A444</f>
        <v/>
      </c>
      <c r="B444" s="1205">
        <f>'House Count'!E444</f>
        <v/>
      </c>
      <c r="C444" s="1205">
        <f>'House Count'!B444</f>
        <v/>
      </c>
      <c r="D444" s="1205">
        <f>'House Count'!C444</f>
        <v/>
      </c>
      <c r="E444" s="1205">
        <f>'House Count'!D444</f>
        <v/>
      </c>
      <c r="F444" s="1205">
        <f>IF(G444="RES-SFU","RESIDENTIAL",IF(G444="RES-HOA","RESIDENTIAL",IF(G444="RES-MDU","RESIDENTIAL",IF(G444="COMM-SU","BUSINESS",IF(G444="COM-MTU","BUSINESS",IF(G444="ENT","BUSINESS",""))))))</f>
        <v/>
      </c>
      <c r="G444" s="1205">
        <f>'House Count'!F444</f>
        <v/>
      </c>
      <c r="H444" s="1205">
        <f>'House Count'!H444</f>
        <v/>
      </c>
    </row>
    <row r="445">
      <c r="A445" s="1204">
        <f>'House Count'!A445</f>
        <v/>
      </c>
      <c r="B445" s="1205">
        <f>'House Count'!E445</f>
        <v/>
      </c>
      <c r="C445" s="1205">
        <f>'House Count'!B445</f>
        <v/>
      </c>
      <c r="D445" s="1205">
        <f>'House Count'!C445</f>
        <v/>
      </c>
      <c r="E445" s="1205">
        <f>'House Count'!D445</f>
        <v/>
      </c>
      <c r="F445" s="1205">
        <f>IF(G445="RES-SFU","RESIDENTIAL",IF(G445="RES-HOA","RESIDENTIAL",IF(G445="RES-MDU","RESIDENTIAL",IF(G445="COMM-SU","BUSINESS",IF(G445="COM-MTU","BUSINESS",IF(G445="ENT","BUSINESS",""))))))</f>
        <v/>
      </c>
      <c r="G445" s="1205">
        <f>'House Count'!F445</f>
        <v/>
      </c>
      <c r="H445" s="1205">
        <f>'House Count'!H445</f>
        <v/>
      </c>
    </row>
    <row r="446">
      <c r="A446" s="1204">
        <f>'House Count'!A446</f>
        <v/>
      </c>
      <c r="B446" s="1205">
        <f>'House Count'!E446</f>
        <v/>
      </c>
      <c r="C446" s="1205">
        <f>'House Count'!B446</f>
        <v/>
      </c>
      <c r="D446" s="1205">
        <f>'House Count'!C446</f>
        <v/>
      </c>
      <c r="E446" s="1205">
        <f>'House Count'!D446</f>
        <v/>
      </c>
      <c r="F446" s="1205">
        <f>IF(G446="RES-SFU","RESIDENTIAL",IF(G446="RES-HOA","RESIDENTIAL",IF(G446="RES-MDU","RESIDENTIAL",IF(G446="COMM-SU","BUSINESS",IF(G446="COM-MTU","BUSINESS",IF(G446="ENT","BUSINESS",""))))))</f>
        <v/>
      </c>
      <c r="G446" s="1205">
        <f>'House Count'!F446</f>
        <v/>
      </c>
      <c r="H446" s="1205">
        <f>'House Count'!H446</f>
        <v/>
      </c>
    </row>
    <row r="447">
      <c r="A447" s="1204">
        <f>'House Count'!A447</f>
        <v/>
      </c>
      <c r="B447" s="1205">
        <f>'House Count'!E447</f>
        <v/>
      </c>
      <c r="C447" s="1205">
        <f>'House Count'!B447</f>
        <v/>
      </c>
      <c r="D447" s="1205">
        <f>'House Count'!C447</f>
        <v/>
      </c>
      <c r="E447" s="1205">
        <f>'House Count'!D447</f>
        <v/>
      </c>
      <c r="F447" s="1205">
        <f>IF(G447="RES-SFU","RESIDENTIAL",IF(G447="RES-HOA","RESIDENTIAL",IF(G447="RES-MDU","RESIDENTIAL",IF(G447="COMM-SU","BUSINESS",IF(G447="COM-MTU","BUSINESS",IF(G447="ENT","BUSINESS",""))))))</f>
        <v/>
      </c>
      <c r="G447" s="1205">
        <f>'House Count'!F447</f>
        <v/>
      </c>
      <c r="H447" s="1205">
        <f>'House Count'!H447</f>
        <v/>
      </c>
    </row>
    <row r="448">
      <c r="A448" s="1204">
        <f>'House Count'!A448</f>
        <v/>
      </c>
      <c r="B448" s="1205">
        <f>'House Count'!E448</f>
        <v/>
      </c>
      <c r="C448" s="1205">
        <f>'House Count'!B448</f>
        <v/>
      </c>
      <c r="D448" s="1205">
        <f>'House Count'!C448</f>
        <v/>
      </c>
      <c r="E448" s="1205">
        <f>'House Count'!D448</f>
        <v/>
      </c>
      <c r="F448" s="1205">
        <f>IF(G448="RES-SFU","RESIDENTIAL",IF(G448="RES-HOA","RESIDENTIAL",IF(G448="RES-MDU","RESIDENTIAL",IF(G448="COMM-SU","BUSINESS",IF(G448="COM-MTU","BUSINESS",IF(G448="ENT","BUSINESS",""))))))</f>
        <v/>
      </c>
      <c r="G448" s="1205">
        <f>'House Count'!F448</f>
        <v/>
      </c>
      <c r="H448" s="1205">
        <f>'House Count'!H448</f>
        <v/>
      </c>
    </row>
    <row r="449">
      <c r="A449" s="1204">
        <f>'House Count'!A449</f>
        <v/>
      </c>
      <c r="B449" s="1205">
        <f>'House Count'!E449</f>
        <v/>
      </c>
      <c r="C449" s="1205">
        <f>'House Count'!B449</f>
        <v/>
      </c>
      <c r="D449" s="1205">
        <f>'House Count'!C449</f>
        <v/>
      </c>
      <c r="E449" s="1205">
        <f>'House Count'!D449</f>
        <v/>
      </c>
      <c r="F449" s="1205">
        <f>IF(G449="RES-SFU","RESIDENTIAL",IF(G449="RES-HOA","RESIDENTIAL",IF(G449="RES-MDU","RESIDENTIAL",IF(G449="COMM-SU","BUSINESS",IF(G449="COM-MTU","BUSINESS",IF(G449="ENT","BUSINESS",""))))))</f>
        <v/>
      </c>
      <c r="G449" s="1205">
        <f>'House Count'!F449</f>
        <v/>
      </c>
      <c r="H449" s="1205">
        <f>'House Count'!H449</f>
        <v/>
      </c>
    </row>
    <row r="450">
      <c r="A450" s="1204">
        <f>'House Count'!A450</f>
        <v/>
      </c>
      <c r="B450" s="1205">
        <f>'House Count'!E450</f>
        <v/>
      </c>
      <c r="C450" s="1205">
        <f>'House Count'!B450</f>
        <v/>
      </c>
      <c r="D450" s="1205">
        <f>'House Count'!C450</f>
        <v/>
      </c>
      <c r="E450" s="1205">
        <f>'House Count'!D450</f>
        <v/>
      </c>
      <c r="F450" s="1205">
        <f>IF(G450="RES-SFU","RESIDENTIAL",IF(G450="RES-HOA","RESIDENTIAL",IF(G450="RES-MDU","RESIDENTIAL",IF(G450="COMM-SU","BUSINESS",IF(G450="COM-MTU","BUSINESS",IF(G450="ENT","BUSINESS",""))))))</f>
        <v/>
      </c>
      <c r="G450" s="1205">
        <f>'House Count'!F450</f>
        <v/>
      </c>
      <c r="H450" s="1205">
        <f>'House Count'!H450</f>
        <v/>
      </c>
    </row>
    <row r="451">
      <c r="A451" s="1204">
        <f>'House Count'!A451</f>
        <v/>
      </c>
      <c r="B451" s="1205">
        <f>'House Count'!E451</f>
        <v/>
      </c>
      <c r="C451" s="1205">
        <f>'House Count'!B451</f>
        <v/>
      </c>
      <c r="D451" s="1205">
        <f>'House Count'!C451</f>
        <v/>
      </c>
      <c r="E451" s="1205">
        <f>'House Count'!D451</f>
        <v/>
      </c>
      <c r="F451" s="1205">
        <f>IF(G451="RES-SFU","RESIDENTIAL",IF(G451="RES-HOA","RESIDENTIAL",IF(G451="RES-MDU","RESIDENTIAL",IF(G451="COMM-SU","BUSINESS",IF(G451="COM-MTU","BUSINESS",IF(G451="ENT","BUSINESS",""))))))</f>
        <v/>
      </c>
      <c r="G451" s="1205">
        <f>'House Count'!F451</f>
        <v/>
      </c>
      <c r="H451" s="1205">
        <f>'House Count'!H451</f>
        <v/>
      </c>
    </row>
    <row r="452">
      <c r="A452" s="1204">
        <f>'House Count'!A452</f>
        <v/>
      </c>
      <c r="B452" s="1205">
        <f>'House Count'!E452</f>
        <v/>
      </c>
      <c r="C452" s="1205">
        <f>'House Count'!B452</f>
        <v/>
      </c>
      <c r="D452" s="1205">
        <f>'House Count'!C452</f>
        <v/>
      </c>
      <c r="E452" s="1205">
        <f>'House Count'!D452</f>
        <v/>
      </c>
      <c r="F452" s="1205">
        <f>IF(G452="RES-SFU","RESIDENTIAL",IF(G452="RES-HOA","RESIDENTIAL",IF(G452="RES-MDU","RESIDENTIAL",IF(G452="COMM-SU","BUSINESS",IF(G452="COM-MTU","BUSINESS",IF(G452="ENT","BUSINESS",""))))))</f>
        <v/>
      </c>
      <c r="G452" s="1205">
        <f>'House Count'!F452</f>
        <v/>
      </c>
      <c r="H452" s="1205">
        <f>'House Count'!H452</f>
        <v/>
      </c>
    </row>
    <row r="453">
      <c r="A453" s="1204">
        <f>'House Count'!A453</f>
        <v/>
      </c>
      <c r="B453" s="1205">
        <f>'House Count'!E453</f>
        <v/>
      </c>
      <c r="C453" s="1205">
        <f>'House Count'!B453</f>
        <v/>
      </c>
      <c r="D453" s="1205">
        <f>'House Count'!C453</f>
        <v/>
      </c>
      <c r="E453" s="1205">
        <f>'House Count'!D453</f>
        <v/>
      </c>
      <c r="F453" s="1205">
        <f>IF(G453="RES-SFU","RESIDENTIAL",IF(G453="RES-HOA","RESIDENTIAL",IF(G453="RES-MDU","RESIDENTIAL",IF(G453="COMM-SU","BUSINESS",IF(G453="COM-MTU","BUSINESS",IF(G453="ENT","BUSINESS",""))))))</f>
        <v/>
      </c>
      <c r="G453" s="1205">
        <f>'House Count'!F453</f>
        <v/>
      </c>
      <c r="H453" s="1205">
        <f>'House Count'!H453</f>
        <v/>
      </c>
    </row>
    <row r="454">
      <c r="A454" s="1204">
        <f>'House Count'!A454</f>
        <v/>
      </c>
      <c r="B454" s="1205">
        <f>'House Count'!E454</f>
        <v/>
      </c>
      <c r="C454" s="1205">
        <f>'House Count'!B454</f>
        <v/>
      </c>
      <c r="D454" s="1205">
        <f>'House Count'!C454</f>
        <v/>
      </c>
      <c r="E454" s="1205">
        <f>'House Count'!D454</f>
        <v/>
      </c>
      <c r="F454" s="1205">
        <f>IF(G454="RES-SFU","RESIDENTIAL",IF(G454="RES-HOA","RESIDENTIAL",IF(G454="RES-MDU","RESIDENTIAL",IF(G454="COMM-SU","BUSINESS",IF(G454="COM-MTU","BUSINESS",IF(G454="ENT","BUSINESS",""))))))</f>
        <v/>
      </c>
      <c r="G454" s="1205">
        <f>'House Count'!F454</f>
        <v/>
      </c>
      <c r="H454" s="1205">
        <f>'House Count'!H454</f>
        <v/>
      </c>
    </row>
    <row r="455">
      <c r="A455" s="1204">
        <f>'House Count'!A455</f>
        <v/>
      </c>
      <c r="B455" s="1205">
        <f>'House Count'!E455</f>
        <v/>
      </c>
      <c r="C455" s="1205">
        <f>'House Count'!B455</f>
        <v/>
      </c>
      <c r="D455" s="1205">
        <f>'House Count'!C455</f>
        <v/>
      </c>
      <c r="E455" s="1205">
        <f>'House Count'!D455</f>
        <v/>
      </c>
      <c r="F455" s="1205">
        <f>IF(G455="RES-SFU","RESIDENTIAL",IF(G455="RES-HOA","RESIDENTIAL",IF(G455="RES-MDU","RESIDENTIAL",IF(G455="COMM-SU","BUSINESS",IF(G455="COM-MTU","BUSINESS",IF(G455="ENT","BUSINESS",""))))))</f>
        <v/>
      </c>
      <c r="G455" s="1205">
        <f>'House Count'!F455</f>
        <v/>
      </c>
      <c r="H455" s="1205">
        <f>'House Count'!H455</f>
        <v/>
      </c>
    </row>
    <row r="456">
      <c r="A456" s="1204">
        <f>'House Count'!A456</f>
        <v/>
      </c>
      <c r="B456" s="1205">
        <f>'House Count'!E456</f>
        <v/>
      </c>
      <c r="C456" s="1205">
        <f>'House Count'!B456</f>
        <v/>
      </c>
      <c r="D456" s="1205">
        <f>'House Count'!C456</f>
        <v/>
      </c>
      <c r="E456" s="1205">
        <f>'House Count'!D456</f>
        <v/>
      </c>
      <c r="F456" s="1205">
        <f>IF(G456="RES-SFU","RESIDENTIAL",IF(G456="RES-HOA","RESIDENTIAL",IF(G456="RES-MDU","RESIDENTIAL",IF(G456="COMM-SU","BUSINESS",IF(G456="COM-MTU","BUSINESS",IF(G456="ENT","BUSINESS",""))))))</f>
        <v/>
      </c>
      <c r="G456" s="1205">
        <f>'House Count'!F456</f>
        <v/>
      </c>
      <c r="H456" s="1205">
        <f>'House Count'!H456</f>
        <v/>
      </c>
    </row>
    <row r="457">
      <c r="A457" s="1204">
        <f>'House Count'!A457</f>
        <v/>
      </c>
      <c r="B457" s="1205">
        <f>'House Count'!E457</f>
        <v/>
      </c>
      <c r="C457" s="1205">
        <f>'House Count'!B457</f>
        <v/>
      </c>
      <c r="D457" s="1205">
        <f>'House Count'!C457</f>
        <v/>
      </c>
      <c r="E457" s="1205">
        <f>'House Count'!D457</f>
        <v/>
      </c>
      <c r="F457" s="1205">
        <f>IF(G457="RES-SFU","RESIDENTIAL",IF(G457="RES-HOA","RESIDENTIAL",IF(G457="RES-MDU","RESIDENTIAL",IF(G457="COMM-SU","BUSINESS",IF(G457="COM-MTU","BUSINESS",IF(G457="ENT","BUSINESS",""))))))</f>
        <v/>
      </c>
      <c r="G457" s="1205">
        <f>'House Count'!F457</f>
        <v/>
      </c>
      <c r="H457" s="1205">
        <f>'House Count'!H457</f>
        <v/>
      </c>
    </row>
    <row r="458">
      <c r="A458" s="1204">
        <f>'House Count'!A458</f>
        <v/>
      </c>
      <c r="B458" s="1205">
        <f>'House Count'!E458</f>
        <v/>
      </c>
      <c r="C458" s="1205">
        <f>'House Count'!B458</f>
        <v/>
      </c>
      <c r="D458" s="1205">
        <f>'House Count'!C458</f>
        <v/>
      </c>
      <c r="E458" s="1205">
        <f>'House Count'!D458</f>
        <v/>
      </c>
      <c r="F458" s="1205">
        <f>IF(G458="RES-SFU","RESIDENTIAL",IF(G458="RES-HOA","RESIDENTIAL",IF(G458="RES-MDU","RESIDENTIAL",IF(G458="COMM-SU","BUSINESS",IF(G458="COM-MTU","BUSINESS",IF(G458="ENT","BUSINESS",""))))))</f>
        <v/>
      </c>
      <c r="G458" s="1205">
        <f>'House Count'!F458</f>
        <v/>
      </c>
      <c r="H458" s="1205">
        <f>'House Count'!H458</f>
        <v/>
      </c>
    </row>
    <row r="459">
      <c r="A459" s="1204">
        <f>'House Count'!A459</f>
        <v/>
      </c>
      <c r="B459" s="1205">
        <f>'House Count'!E459</f>
        <v/>
      </c>
      <c r="C459" s="1205">
        <f>'House Count'!B459</f>
        <v/>
      </c>
      <c r="D459" s="1205">
        <f>'House Count'!C459</f>
        <v/>
      </c>
      <c r="E459" s="1205">
        <f>'House Count'!D459</f>
        <v/>
      </c>
      <c r="F459" s="1205">
        <f>IF(G459="RES-SFU","RESIDENTIAL",IF(G459="RES-HOA","RESIDENTIAL",IF(G459="RES-MDU","RESIDENTIAL",IF(G459="COMM-SU","BUSINESS",IF(G459="COM-MTU","BUSINESS",IF(G459="ENT","BUSINESS",""))))))</f>
        <v/>
      </c>
      <c r="G459" s="1205">
        <f>'House Count'!F459</f>
        <v/>
      </c>
      <c r="H459" s="1205">
        <f>'House Count'!H459</f>
        <v/>
      </c>
    </row>
    <row r="460">
      <c r="A460" s="1204">
        <f>'House Count'!A460</f>
        <v/>
      </c>
      <c r="B460" s="1205">
        <f>'House Count'!E460</f>
        <v/>
      </c>
      <c r="C460" s="1205">
        <f>'House Count'!B460</f>
        <v/>
      </c>
      <c r="D460" s="1205">
        <f>'House Count'!C460</f>
        <v/>
      </c>
      <c r="E460" s="1205">
        <f>'House Count'!D460</f>
        <v/>
      </c>
      <c r="F460" s="1205">
        <f>IF(G460="RES-SFU","RESIDENTIAL",IF(G460="RES-HOA","RESIDENTIAL",IF(G460="RES-MDU","RESIDENTIAL",IF(G460="COMM-SU","BUSINESS",IF(G460="COM-MTU","BUSINESS",IF(G460="ENT","BUSINESS",""))))))</f>
        <v/>
      </c>
      <c r="G460" s="1205">
        <f>'House Count'!F460</f>
        <v/>
      </c>
      <c r="H460" s="1205">
        <f>'House Count'!H460</f>
        <v/>
      </c>
    </row>
    <row r="461">
      <c r="A461" s="1204">
        <f>'House Count'!A461</f>
        <v/>
      </c>
      <c r="B461" s="1205">
        <f>'House Count'!E461</f>
        <v/>
      </c>
      <c r="C461" s="1205">
        <f>'House Count'!B461</f>
        <v/>
      </c>
      <c r="D461" s="1205">
        <f>'House Count'!C461</f>
        <v/>
      </c>
      <c r="E461" s="1205">
        <f>'House Count'!D461</f>
        <v/>
      </c>
      <c r="F461" s="1205">
        <f>IF(G461="RES-SFU","RESIDENTIAL",IF(G461="RES-HOA","RESIDENTIAL",IF(G461="RES-MDU","RESIDENTIAL",IF(G461="COMM-SU","BUSINESS",IF(G461="COM-MTU","BUSINESS",IF(G461="ENT","BUSINESS",""))))))</f>
        <v/>
      </c>
      <c r="G461" s="1205">
        <f>'House Count'!F461</f>
        <v/>
      </c>
      <c r="H461" s="1205">
        <f>'House Count'!H461</f>
        <v/>
      </c>
    </row>
    <row r="462">
      <c r="A462" s="1204">
        <f>'House Count'!A462</f>
        <v/>
      </c>
      <c r="B462" s="1205">
        <f>'House Count'!E462</f>
        <v/>
      </c>
      <c r="C462" s="1205">
        <f>'House Count'!B462</f>
        <v/>
      </c>
      <c r="D462" s="1205">
        <f>'House Count'!C462</f>
        <v/>
      </c>
      <c r="E462" s="1205">
        <f>'House Count'!D462</f>
        <v/>
      </c>
      <c r="F462" s="1205">
        <f>IF(G462="RES-SFU","RESIDENTIAL",IF(G462="RES-HOA","RESIDENTIAL",IF(G462="RES-MDU","RESIDENTIAL",IF(G462="COMM-SU","BUSINESS",IF(G462="COM-MTU","BUSINESS",IF(G462="ENT","BUSINESS",""))))))</f>
        <v/>
      </c>
      <c r="G462" s="1205">
        <f>'House Count'!F462</f>
        <v/>
      </c>
      <c r="H462" s="1205">
        <f>'House Count'!H462</f>
        <v/>
      </c>
    </row>
    <row r="463">
      <c r="A463" s="1204">
        <f>'House Count'!A463</f>
        <v/>
      </c>
      <c r="B463" s="1205">
        <f>'House Count'!E463</f>
        <v/>
      </c>
      <c r="C463" s="1205">
        <f>'House Count'!B463</f>
        <v/>
      </c>
      <c r="D463" s="1205">
        <f>'House Count'!C463</f>
        <v/>
      </c>
      <c r="E463" s="1205">
        <f>'House Count'!D463</f>
        <v/>
      </c>
      <c r="F463" s="1205">
        <f>IF(G463="RES-SFU","RESIDENTIAL",IF(G463="RES-HOA","RESIDENTIAL",IF(G463="RES-MDU","RESIDENTIAL",IF(G463="COMM-SU","BUSINESS",IF(G463="COM-MTU","BUSINESS",IF(G463="ENT","BUSINESS",""))))))</f>
        <v/>
      </c>
      <c r="G463" s="1205">
        <f>'House Count'!F463</f>
        <v/>
      </c>
      <c r="H463" s="1205">
        <f>'House Count'!H463</f>
        <v/>
      </c>
    </row>
    <row r="464">
      <c r="A464" s="1204">
        <f>'House Count'!A464</f>
        <v/>
      </c>
      <c r="B464" s="1205">
        <f>'House Count'!E464</f>
        <v/>
      </c>
      <c r="C464" s="1205">
        <f>'House Count'!B464</f>
        <v/>
      </c>
      <c r="D464" s="1205">
        <f>'House Count'!C464</f>
        <v/>
      </c>
      <c r="E464" s="1205">
        <f>'House Count'!D464</f>
        <v/>
      </c>
      <c r="F464" s="1205">
        <f>IF(G464="RES-SFU","RESIDENTIAL",IF(G464="RES-HOA","RESIDENTIAL",IF(G464="RES-MDU","RESIDENTIAL",IF(G464="COMM-SU","BUSINESS",IF(G464="COM-MTU","BUSINESS",IF(G464="ENT","BUSINESS",""))))))</f>
        <v/>
      </c>
      <c r="G464" s="1205">
        <f>'House Count'!F464</f>
        <v/>
      </c>
      <c r="H464" s="1205">
        <f>'House Count'!H464</f>
        <v/>
      </c>
    </row>
    <row r="465">
      <c r="A465" s="1204">
        <f>'House Count'!A465</f>
        <v/>
      </c>
      <c r="B465" s="1205">
        <f>'House Count'!E465</f>
        <v/>
      </c>
      <c r="C465" s="1205">
        <f>'House Count'!B465</f>
        <v/>
      </c>
      <c r="D465" s="1205">
        <f>'House Count'!C465</f>
        <v/>
      </c>
      <c r="E465" s="1205">
        <f>'House Count'!D465</f>
        <v/>
      </c>
      <c r="F465" s="1205">
        <f>IF(G465="RES-SFU","RESIDENTIAL",IF(G465="RES-HOA","RESIDENTIAL",IF(G465="RES-MDU","RESIDENTIAL",IF(G465="COMM-SU","BUSINESS",IF(G465="COM-MTU","BUSINESS",IF(G465="ENT","BUSINESS",""))))))</f>
        <v/>
      </c>
      <c r="G465" s="1205">
        <f>'House Count'!F465</f>
        <v/>
      </c>
      <c r="H465" s="1205">
        <f>'House Count'!H465</f>
        <v/>
      </c>
    </row>
    <row r="466">
      <c r="A466" s="1204">
        <f>'House Count'!A466</f>
        <v/>
      </c>
      <c r="B466" s="1205">
        <f>'House Count'!E466</f>
        <v/>
      </c>
      <c r="C466" s="1205">
        <f>'House Count'!B466</f>
        <v/>
      </c>
      <c r="D466" s="1205">
        <f>'House Count'!C466</f>
        <v/>
      </c>
      <c r="E466" s="1205">
        <f>'House Count'!D466</f>
        <v/>
      </c>
      <c r="F466" s="1205">
        <f>IF(G466="RES-SFU","RESIDENTIAL",IF(G466="RES-HOA","RESIDENTIAL",IF(G466="RES-MDU","RESIDENTIAL",IF(G466="COMM-SU","BUSINESS",IF(G466="COM-MTU","BUSINESS",IF(G466="ENT","BUSINESS",""))))))</f>
        <v/>
      </c>
      <c r="G466" s="1205">
        <f>'House Count'!F466</f>
        <v/>
      </c>
      <c r="H466" s="1205">
        <f>'House Count'!H466</f>
        <v/>
      </c>
    </row>
    <row r="467">
      <c r="A467" s="1204">
        <f>'House Count'!A467</f>
        <v/>
      </c>
      <c r="B467" s="1205">
        <f>'House Count'!E467</f>
        <v/>
      </c>
      <c r="C467" s="1205">
        <f>'House Count'!B467</f>
        <v/>
      </c>
      <c r="D467" s="1205">
        <f>'House Count'!C467</f>
        <v/>
      </c>
      <c r="E467" s="1205">
        <f>'House Count'!D467</f>
        <v/>
      </c>
      <c r="F467" s="1205">
        <f>IF(G467="RES-SFU","RESIDENTIAL",IF(G467="RES-HOA","RESIDENTIAL",IF(G467="RES-MDU","RESIDENTIAL",IF(G467="COMM-SU","BUSINESS",IF(G467="COM-MTU","BUSINESS",IF(G467="ENT","BUSINESS",""))))))</f>
        <v/>
      </c>
      <c r="G467" s="1205">
        <f>'House Count'!F467</f>
        <v/>
      </c>
      <c r="H467" s="1205">
        <f>'House Count'!H467</f>
        <v/>
      </c>
    </row>
    <row r="468">
      <c r="A468" s="1204">
        <f>'House Count'!A468</f>
        <v/>
      </c>
      <c r="B468" s="1205">
        <f>'House Count'!E468</f>
        <v/>
      </c>
      <c r="C468" s="1205">
        <f>'House Count'!B468</f>
        <v/>
      </c>
      <c r="D468" s="1205">
        <f>'House Count'!C468</f>
        <v/>
      </c>
      <c r="E468" s="1205">
        <f>'House Count'!D468</f>
        <v/>
      </c>
      <c r="F468" s="1205">
        <f>IF(G468="RES-SFU","RESIDENTIAL",IF(G468="RES-HOA","RESIDENTIAL",IF(G468="RES-MDU","RESIDENTIAL",IF(G468="COMM-SU","BUSINESS",IF(G468="COM-MTU","BUSINESS",IF(G468="ENT","BUSINESS",""))))))</f>
        <v/>
      </c>
      <c r="G468" s="1205">
        <f>'House Count'!F468</f>
        <v/>
      </c>
      <c r="H468" s="1205">
        <f>'House Count'!H468</f>
        <v/>
      </c>
    </row>
    <row r="469">
      <c r="A469" s="1204">
        <f>'House Count'!A469</f>
        <v/>
      </c>
      <c r="B469" s="1205">
        <f>'House Count'!E469</f>
        <v/>
      </c>
      <c r="C469" s="1205">
        <f>'House Count'!B469</f>
        <v/>
      </c>
      <c r="D469" s="1205">
        <f>'House Count'!C469</f>
        <v/>
      </c>
      <c r="E469" s="1205">
        <f>'House Count'!D469</f>
        <v/>
      </c>
      <c r="F469" s="1205">
        <f>IF(G469="RES-SFU","RESIDENTIAL",IF(G469="RES-HOA","RESIDENTIAL",IF(G469="RES-MDU","RESIDENTIAL",IF(G469="COMM-SU","BUSINESS",IF(G469="COM-MTU","BUSINESS",IF(G469="ENT","BUSINESS",""))))))</f>
        <v/>
      </c>
      <c r="G469" s="1205">
        <f>'House Count'!F469</f>
        <v/>
      </c>
      <c r="H469" s="1205">
        <f>'House Count'!H469</f>
        <v/>
      </c>
    </row>
    <row r="470">
      <c r="A470" s="1204">
        <f>'House Count'!A470</f>
        <v/>
      </c>
      <c r="B470" s="1205">
        <f>'House Count'!E470</f>
        <v/>
      </c>
      <c r="C470" s="1205">
        <f>'House Count'!B470</f>
        <v/>
      </c>
      <c r="D470" s="1205">
        <f>'House Count'!C470</f>
        <v/>
      </c>
      <c r="E470" s="1205">
        <f>'House Count'!D470</f>
        <v/>
      </c>
      <c r="F470" s="1205">
        <f>IF(G470="RES-SFU","RESIDENTIAL",IF(G470="RES-HOA","RESIDENTIAL",IF(G470="RES-MDU","RESIDENTIAL",IF(G470="COMM-SU","BUSINESS",IF(G470="COM-MTU","BUSINESS",IF(G470="ENT","BUSINESS",""))))))</f>
        <v/>
      </c>
      <c r="G470" s="1205">
        <f>'House Count'!F470</f>
        <v/>
      </c>
      <c r="H470" s="1205">
        <f>'House Count'!H470</f>
        <v/>
      </c>
    </row>
    <row r="471">
      <c r="A471" s="1204">
        <f>'House Count'!A471</f>
        <v/>
      </c>
      <c r="B471" s="1205">
        <f>'House Count'!E471</f>
        <v/>
      </c>
      <c r="C471" s="1205">
        <f>'House Count'!B471</f>
        <v/>
      </c>
      <c r="D471" s="1205">
        <f>'House Count'!C471</f>
        <v/>
      </c>
      <c r="E471" s="1205">
        <f>'House Count'!D471</f>
        <v/>
      </c>
      <c r="F471" s="1205">
        <f>IF(G471="RES-SFU","RESIDENTIAL",IF(G471="RES-HOA","RESIDENTIAL",IF(G471="RES-MDU","RESIDENTIAL",IF(G471="COMM-SU","BUSINESS",IF(G471="COM-MTU","BUSINESS",IF(G471="ENT","BUSINESS",""))))))</f>
        <v/>
      </c>
      <c r="G471" s="1205">
        <f>'House Count'!F471</f>
        <v/>
      </c>
      <c r="H471" s="1205">
        <f>'House Count'!H471</f>
        <v/>
      </c>
    </row>
    <row r="472">
      <c r="A472" s="1204">
        <f>'House Count'!A472</f>
        <v/>
      </c>
      <c r="B472" s="1205">
        <f>'House Count'!E472</f>
        <v/>
      </c>
      <c r="C472" s="1205">
        <f>'House Count'!B472</f>
        <v/>
      </c>
      <c r="D472" s="1205">
        <f>'House Count'!C472</f>
        <v/>
      </c>
      <c r="E472" s="1205">
        <f>'House Count'!D472</f>
        <v/>
      </c>
      <c r="F472" s="1205">
        <f>IF(G472="RES-SFU","RESIDENTIAL",IF(G472="RES-HOA","RESIDENTIAL",IF(G472="RES-MDU","RESIDENTIAL",IF(G472="COMM-SU","BUSINESS",IF(G472="COM-MTU","BUSINESS",IF(G472="ENT","BUSINESS",""))))))</f>
        <v/>
      </c>
      <c r="G472" s="1205">
        <f>'House Count'!F472</f>
        <v/>
      </c>
      <c r="H472" s="1205">
        <f>'House Count'!H472</f>
        <v/>
      </c>
    </row>
    <row r="473">
      <c r="A473" s="1204">
        <f>'House Count'!A473</f>
        <v/>
      </c>
      <c r="B473" s="1205">
        <f>'House Count'!E473</f>
        <v/>
      </c>
      <c r="C473" s="1205">
        <f>'House Count'!B473</f>
        <v/>
      </c>
      <c r="D473" s="1205">
        <f>'House Count'!C473</f>
        <v/>
      </c>
      <c r="E473" s="1205">
        <f>'House Count'!D473</f>
        <v/>
      </c>
      <c r="F473" s="1205">
        <f>IF(G473="RES-SFU","RESIDENTIAL",IF(G473="RES-HOA","RESIDENTIAL",IF(G473="RES-MDU","RESIDENTIAL",IF(G473="COMM-SU","BUSINESS",IF(G473="COM-MTU","BUSINESS",IF(G473="ENT","BUSINESS",""))))))</f>
        <v/>
      </c>
      <c r="G473" s="1205">
        <f>'House Count'!F473</f>
        <v/>
      </c>
      <c r="H473" s="1205">
        <f>'House Count'!H473</f>
        <v/>
      </c>
    </row>
    <row r="474">
      <c r="A474" s="1204">
        <f>'House Count'!A474</f>
        <v/>
      </c>
      <c r="B474" s="1205">
        <f>'House Count'!E474</f>
        <v/>
      </c>
      <c r="C474" s="1205">
        <f>'House Count'!B474</f>
        <v/>
      </c>
      <c r="D474" s="1205">
        <f>'House Count'!C474</f>
        <v/>
      </c>
      <c r="E474" s="1205">
        <f>'House Count'!D474</f>
        <v/>
      </c>
      <c r="F474" s="1205">
        <f>IF(G474="RES-SFU","RESIDENTIAL",IF(G474="RES-HOA","RESIDENTIAL",IF(G474="RES-MDU","RESIDENTIAL",IF(G474="COMM-SU","BUSINESS",IF(G474="COM-MTU","BUSINESS",IF(G474="ENT","BUSINESS",""))))))</f>
        <v/>
      </c>
      <c r="G474" s="1205">
        <f>'House Count'!F474</f>
        <v/>
      </c>
      <c r="H474" s="1205">
        <f>'House Count'!H474</f>
        <v/>
      </c>
    </row>
    <row r="475">
      <c r="A475" s="1204">
        <f>'House Count'!A475</f>
        <v/>
      </c>
      <c r="B475" s="1205">
        <f>'House Count'!E475</f>
        <v/>
      </c>
      <c r="C475" s="1205">
        <f>'House Count'!B475</f>
        <v/>
      </c>
      <c r="D475" s="1205">
        <f>'House Count'!C475</f>
        <v/>
      </c>
      <c r="E475" s="1205">
        <f>'House Count'!D475</f>
        <v/>
      </c>
      <c r="F475" s="1205">
        <f>IF(G475="RES-SFU","RESIDENTIAL",IF(G475="RES-HOA","RESIDENTIAL",IF(G475="RES-MDU","RESIDENTIAL",IF(G475="COMM-SU","BUSINESS",IF(G475="COM-MTU","BUSINESS",IF(G475="ENT","BUSINESS",""))))))</f>
        <v/>
      </c>
      <c r="G475" s="1205">
        <f>'House Count'!F475</f>
        <v/>
      </c>
      <c r="H475" s="1205">
        <f>'House Count'!H475</f>
        <v/>
      </c>
    </row>
    <row r="476">
      <c r="A476" s="1204">
        <f>'House Count'!A476</f>
        <v/>
      </c>
      <c r="B476" s="1205">
        <f>'House Count'!E476</f>
        <v/>
      </c>
      <c r="C476" s="1205">
        <f>'House Count'!B476</f>
        <v/>
      </c>
      <c r="D476" s="1205">
        <f>'House Count'!C476</f>
        <v/>
      </c>
      <c r="E476" s="1205">
        <f>'House Count'!D476</f>
        <v/>
      </c>
      <c r="F476" s="1205">
        <f>IF(G476="RES-SFU","RESIDENTIAL",IF(G476="RES-HOA","RESIDENTIAL",IF(G476="RES-MDU","RESIDENTIAL",IF(G476="COMM-SU","BUSINESS",IF(G476="COM-MTU","BUSINESS",IF(G476="ENT","BUSINESS",""))))))</f>
        <v/>
      </c>
      <c r="G476" s="1205">
        <f>'House Count'!F476</f>
        <v/>
      </c>
      <c r="H476" s="1205">
        <f>'House Count'!H476</f>
        <v/>
      </c>
    </row>
    <row r="477">
      <c r="A477" s="1204">
        <f>'House Count'!A477</f>
        <v/>
      </c>
      <c r="B477" s="1205">
        <f>'House Count'!E477</f>
        <v/>
      </c>
      <c r="C477" s="1205">
        <f>'House Count'!B477</f>
        <v/>
      </c>
      <c r="D477" s="1205">
        <f>'House Count'!C477</f>
        <v/>
      </c>
      <c r="E477" s="1205">
        <f>'House Count'!D477</f>
        <v/>
      </c>
      <c r="F477" s="1205">
        <f>IF(G477="RES-SFU","RESIDENTIAL",IF(G477="RES-HOA","RESIDENTIAL",IF(G477="RES-MDU","RESIDENTIAL",IF(G477="COMM-SU","BUSINESS",IF(G477="COM-MTU","BUSINESS",IF(G477="ENT","BUSINESS",""))))))</f>
        <v/>
      </c>
      <c r="G477" s="1205">
        <f>'House Count'!F477</f>
        <v/>
      </c>
      <c r="H477" s="1205">
        <f>'House Count'!H477</f>
        <v/>
      </c>
    </row>
    <row r="478">
      <c r="A478" s="1204">
        <f>'House Count'!A478</f>
        <v/>
      </c>
      <c r="B478" s="1205">
        <f>'House Count'!E478</f>
        <v/>
      </c>
      <c r="C478" s="1205">
        <f>'House Count'!B478</f>
        <v/>
      </c>
      <c r="D478" s="1205">
        <f>'House Count'!C478</f>
        <v/>
      </c>
      <c r="E478" s="1205">
        <f>'House Count'!D478</f>
        <v/>
      </c>
      <c r="F478" s="1205">
        <f>IF(G478="RES-SFU","RESIDENTIAL",IF(G478="RES-HOA","RESIDENTIAL",IF(G478="RES-MDU","RESIDENTIAL",IF(G478="COMM-SU","BUSINESS",IF(G478="COM-MTU","BUSINESS",IF(G478="ENT","BUSINESS",""))))))</f>
        <v/>
      </c>
      <c r="G478" s="1205">
        <f>'House Count'!F478</f>
        <v/>
      </c>
      <c r="H478" s="1205">
        <f>'House Count'!H478</f>
        <v/>
      </c>
    </row>
    <row r="479">
      <c r="A479" s="1204">
        <f>'House Count'!A479</f>
        <v/>
      </c>
      <c r="B479" s="1205">
        <f>'House Count'!E479</f>
        <v/>
      </c>
      <c r="C479" s="1205">
        <f>'House Count'!B479</f>
        <v/>
      </c>
      <c r="D479" s="1205">
        <f>'House Count'!C479</f>
        <v/>
      </c>
      <c r="E479" s="1205">
        <f>'House Count'!D479</f>
        <v/>
      </c>
      <c r="F479" s="1205">
        <f>IF(G479="RES-SFU","RESIDENTIAL",IF(G479="RES-HOA","RESIDENTIAL",IF(G479="RES-MDU","RESIDENTIAL",IF(G479="COMM-SU","BUSINESS",IF(G479="COM-MTU","BUSINESS",IF(G479="ENT","BUSINESS",""))))))</f>
        <v/>
      </c>
      <c r="G479" s="1205">
        <f>'House Count'!F479</f>
        <v/>
      </c>
      <c r="H479" s="1205">
        <f>'House Count'!H479</f>
        <v/>
      </c>
    </row>
    <row r="480">
      <c r="A480" s="1204">
        <f>'House Count'!A480</f>
        <v/>
      </c>
      <c r="B480" s="1205">
        <f>'House Count'!E480</f>
        <v/>
      </c>
      <c r="C480" s="1205">
        <f>'House Count'!B480</f>
        <v/>
      </c>
      <c r="D480" s="1205">
        <f>'House Count'!C480</f>
        <v/>
      </c>
      <c r="E480" s="1205">
        <f>'House Count'!D480</f>
        <v/>
      </c>
      <c r="F480" s="1205">
        <f>IF(G480="RES-SFU","RESIDENTIAL",IF(G480="RES-HOA","RESIDENTIAL",IF(G480="RES-MDU","RESIDENTIAL",IF(G480="COMM-SU","BUSINESS",IF(G480="COM-MTU","BUSINESS",IF(G480="ENT","BUSINESS",""))))))</f>
        <v/>
      </c>
      <c r="G480" s="1205">
        <f>'House Count'!F480</f>
        <v/>
      </c>
      <c r="H480" s="1205">
        <f>'House Count'!H480</f>
        <v/>
      </c>
    </row>
    <row r="481">
      <c r="A481" s="1204">
        <f>'House Count'!A481</f>
        <v/>
      </c>
      <c r="B481" s="1205">
        <f>'House Count'!E481</f>
        <v/>
      </c>
      <c r="C481" s="1205">
        <f>'House Count'!B481</f>
        <v/>
      </c>
      <c r="D481" s="1205">
        <f>'House Count'!C481</f>
        <v/>
      </c>
      <c r="E481" s="1205">
        <f>'House Count'!D481</f>
        <v/>
      </c>
      <c r="F481" s="1205">
        <f>IF(G481="RES-SFU","RESIDENTIAL",IF(G481="RES-HOA","RESIDENTIAL",IF(G481="RES-MDU","RESIDENTIAL",IF(G481="COMM-SU","BUSINESS",IF(G481="COM-MTU","BUSINESS",IF(G481="ENT","BUSINESS",""))))))</f>
        <v/>
      </c>
      <c r="G481" s="1205">
        <f>'House Count'!F481</f>
        <v/>
      </c>
      <c r="H481" s="1205">
        <f>'House Count'!H481</f>
        <v/>
      </c>
    </row>
    <row r="482">
      <c r="A482" s="1204">
        <f>'House Count'!A482</f>
        <v/>
      </c>
      <c r="B482" s="1205">
        <f>'House Count'!E482</f>
        <v/>
      </c>
      <c r="C482" s="1205">
        <f>'House Count'!B482</f>
        <v/>
      </c>
      <c r="D482" s="1205">
        <f>'House Count'!C482</f>
        <v/>
      </c>
      <c r="E482" s="1205">
        <f>'House Count'!D482</f>
        <v/>
      </c>
      <c r="F482" s="1205">
        <f>IF(G482="RES-SFU","RESIDENTIAL",IF(G482="RES-HOA","RESIDENTIAL",IF(G482="RES-MDU","RESIDENTIAL",IF(G482="COMM-SU","BUSINESS",IF(G482="COM-MTU","BUSINESS",IF(G482="ENT","BUSINESS",""))))))</f>
        <v/>
      </c>
      <c r="G482" s="1205">
        <f>'House Count'!F482</f>
        <v/>
      </c>
      <c r="H482" s="1205">
        <f>'House Count'!H482</f>
        <v/>
      </c>
    </row>
    <row r="483">
      <c r="A483" s="1204">
        <f>'House Count'!A483</f>
        <v/>
      </c>
      <c r="B483" s="1205">
        <f>'House Count'!E483</f>
        <v/>
      </c>
      <c r="C483" s="1205">
        <f>'House Count'!B483</f>
        <v/>
      </c>
      <c r="D483" s="1205">
        <f>'House Count'!C483</f>
        <v/>
      </c>
      <c r="E483" s="1205">
        <f>'House Count'!D483</f>
        <v/>
      </c>
      <c r="F483" s="1205">
        <f>IF(G483="RES-SFU","RESIDENTIAL",IF(G483="RES-HOA","RESIDENTIAL",IF(G483="RES-MDU","RESIDENTIAL",IF(G483="COMM-SU","BUSINESS",IF(G483="COM-MTU","BUSINESS",IF(G483="ENT","BUSINESS",""))))))</f>
        <v/>
      </c>
      <c r="G483" s="1205">
        <f>'House Count'!F483</f>
        <v/>
      </c>
      <c r="H483" s="1205">
        <f>'House Count'!H483</f>
        <v/>
      </c>
    </row>
    <row r="484">
      <c r="A484" s="1204">
        <f>'House Count'!A484</f>
        <v/>
      </c>
      <c r="B484" s="1205">
        <f>'House Count'!E484</f>
        <v/>
      </c>
      <c r="C484" s="1205">
        <f>'House Count'!B484</f>
        <v/>
      </c>
      <c r="D484" s="1205">
        <f>'House Count'!C484</f>
        <v/>
      </c>
      <c r="E484" s="1205">
        <f>'House Count'!D484</f>
        <v/>
      </c>
      <c r="F484" s="1205">
        <f>IF(G484="RES-SFU","RESIDENTIAL",IF(G484="RES-HOA","RESIDENTIAL",IF(G484="RES-MDU","RESIDENTIAL",IF(G484="COMM-SU","BUSINESS",IF(G484="COM-MTU","BUSINESS",IF(G484="ENT","BUSINESS",""))))))</f>
        <v/>
      </c>
      <c r="G484" s="1205">
        <f>'House Count'!F484</f>
        <v/>
      </c>
      <c r="H484" s="1205">
        <f>'House Count'!H484</f>
        <v/>
      </c>
    </row>
    <row r="485">
      <c r="A485" s="1204">
        <f>'House Count'!A485</f>
        <v/>
      </c>
      <c r="B485" s="1205">
        <f>'House Count'!E485</f>
        <v/>
      </c>
      <c r="C485" s="1205">
        <f>'House Count'!B485</f>
        <v/>
      </c>
      <c r="D485" s="1205">
        <f>'House Count'!C485</f>
        <v/>
      </c>
      <c r="E485" s="1205">
        <f>'House Count'!D485</f>
        <v/>
      </c>
      <c r="F485" s="1205">
        <f>IF(G485="RES-SFU","RESIDENTIAL",IF(G485="RES-HOA","RESIDENTIAL",IF(G485="RES-MDU","RESIDENTIAL",IF(G485="COMM-SU","BUSINESS",IF(G485="COM-MTU","BUSINESS",IF(G485="ENT","BUSINESS",""))))))</f>
        <v/>
      </c>
      <c r="G485" s="1205">
        <f>'House Count'!F485</f>
        <v/>
      </c>
      <c r="H485" s="1205">
        <f>'House Count'!H485</f>
        <v/>
      </c>
    </row>
    <row r="486">
      <c r="A486" s="1204">
        <f>'House Count'!A486</f>
        <v/>
      </c>
      <c r="B486" s="1205">
        <f>'House Count'!E486</f>
        <v/>
      </c>
      <c r="C486" s="1205">
        <f>'House Count'!B486</f>
        <v/>
      </c>
      <c r="D486" s="1205">
        <f>'House Count'!C486</f>
        <v/>
      </c>
      <c r="E486" s="1205">
        <f>'House Count'!D486</f>
        <v/>
      </c>
      <c r="F486" s="1205">
        <f>IF(G486="RES-SFU","RESIDENTIAL",IF(G486="RES-HOA","RESIDENTIAL",IF(G486="RES-MDU","RESIDENTIAL",IF(G486="COMM-SU","BUSINESS",IF(G486="COM-MTU","BUSINESS",IF(G486="ENT","BUSINESS",""))))))</f>
        <v/>
      </c>
      <c r="G486" s="1205">
        <f>'House Count'!F486</f>
        <v/>
      </c>
      <c r="H486" s="1205">
        <f>'House Count'!H486</f>
        <v/>
      </c>
    </row>
    <row r="487">
      <c r="A487" s="1204">
        <f>'House Count'!A487</f>
        <v/>
      </c>
      <c r="B487" s="1205">
        <f>'House Count'!E487</f>
        <v/>
      </c>
      <c r="C487" s="1205">
        <f>'House Count'!B487</f>
        <v/>
      </c>
      <c r="D487" s="1205">
        <f>'House Count'!C487</f>
        <v/>
      </c>
      <c r="E487" s="1205">
        <f>'House Count'!D487</f>
        <v/>
      </c>
      <c r="F487" s="1205">
        <f>IF(G487="RES-SFU","RESIDENTIAL",IF(G487="RES-HOA","RESIDENTIAL",IF(G487="RES-MDU","RESIDENTIAL",IF(G487="COMM-SU","BUSINESS",IF(G487="COM-MTU","BUSINESS",IF(G487="ENT","BUSINESS",""))))))</f>
        <v/>
      </c>
      <c r="G487" s="1205">
        <f>'House Count'!F487</f>
        <v/>
      </c>
      <c r="H487" s="1205">
        <f>'House Count'!H487</f>
        <v/>
      </c>
    </row>
    <row r="488">
      <c r="A488" s="1204">
        <f>'House Count'!A488</f>
        <v/>
      </c>
      <c r="B488" s="1205">
        <f>'House Count'!E488</f>
        <v/>
      </c>
      <c r="C488" s="1205">
        <f>'House Count'!B488</f>
        <v/>
      </c>
      <c r="D488" s="1205">
        <f>'House Count'!C488</f>
        <v/>
      </c>
      <c r="E488" s="1205">
        <f>'House Count'!D488</f>
        <v/>
      </c>
      <c r="F488" s="1205">
        <f>IF(G488="RES-SFU","RESIDENTIAL",IF(G488="RES-HOA","RESIDENTIAL",IF(G488="RES-MDU","RESIDENTIAL",IF(G488="COMM-SU","BUSINESS",IF(G488="COM-MTU","BUSINESS",IF(G488="ENT","BUSINESS",""))))))</f>
        <v/>
      </c>
      <c r="G488" s="1205">
        <f>'House Count'!F488</f>
        <v/>
      </c>
      <c r="H488" s="1205">
        <f>'House Count'!H488</f>
        <v/>
      </c>
    </row>
    <row r="489">
      <c r="A489" s="1204">
        <f>'House Count'!A489</f>
        <v/>
      </c>
      <c r="B489" s="1205">
        <f>'House Count'!E489</f>
        <v/>
      </c>
      <c r="C489" s="1205">
        <f>'House Count'!B489</f>
        <v/>
      </c>
      <c r="D489" s="1205">
        <f>'House Count'!C489</f>
        <v/>
      </c>
      <c r="E489" s="1205">
        <f>'House Count'!D489</f>
        <v/>
      </c>
      <c r="F489" s="1205">
        <f>IF(G489="RES-SFU","RESIDENTIAL",IF(G489="RES-HOA","RESIDENTIAL",IF(G489="RES-MDU","RESIDENTIAL",IF(G489="COMM-SU","BUSINESS",IF(G489="COM-MTU","BUSINESS",IF(G489="ENT","BUSINESS",""))))))</f>
        <v/>
      </c>
      <c r="G489" s="1205">
        <f>'House Count'!F489</f>
        <v/>
      </c>
      <c r="H489" s="1205">
        <f>'House Count'!H489</f>
        <v/>
      </c>
    </row>
    <row r="490">
      <c r="A490" s="1204">
        <f>'House Count'!A490</f>
        <v/>
      </c>
      <c r="B490" s="1205">
        <f>'House Count'!E490</f>
        <v/>
      </c>
      <c r="C490" s="1205">
        <f>'House Count'!B490</f>
        <v/>
      </c>
      <c r="D490" s="1205">
        <f>'House Count'!C490</f>
        <v/>
      </c>
      <c r="E490" s="1205">
        <f>'House Count'!D490</f>
        <v/>
      </c>
      <c r="F490" s="1205">
        <f>IF(G490="RES-SFU","RESIDENTIAL",IF(G490="RES-HOA","RESIDENTIAL",IF(G490="RES-MDU","RESIDENTIAL",IF(G490="COMM-SU","BUSINESS",IF(G490="COM-MTU","BUSINESS",IF(G490="ENT","BUSINESS",""))))))</f>
        <v/>
      </c>
      <c r="G490" s="1205">
        <f>'House Count'!F490</f>
        <v/>
      </c>
      <c r="H490" s="1205">
        <f>'House Count'!H490</f>
        <v/>
      </c>
    </row>
    <row r="491">
      <c r="A491" s="1204">
        <f>'House Count'!A491</f>
        <v/>
      </c>
      <c r="B491" s="1205">
        <f>'House Count'!E491</f>
        <v/>
      </c>
      <c r="C491" s="1205">
        <f>'House Count'!B491</f>
        <v/>
      </c>
      <c r="D491" s="1205">
        <f>'House Count'!C491</f>
        <v/>
      </c>
      <c r="E491" s="1205">
        <f>'House Count'!D491</f>
        <v/>
      </c>
      <c r="F491" s="1205">
        <f>IF(G491="RES-SFU","RESIDENTIAL",IF(G491="RES-HOA","RESIDENTIAL",IF(G491="RES-MDU","RESIDENTIAL",IF(G491="COMM-SU","BUSINESS",IF(G491="COM-MTU","BUSINESS",IF(G491="ENT","BUSINESS",""))))))</f>
        <v/>
      </c>
      <c r="G491" s="1205">
        <f>'House Count'!F491</f>
        <v/>
      </c>
      <c r="H491" s="1205">
        <f>'House Count'!H491</f>
        <v/>
      </c>
    </row>
    <row r="492">
      <c r="A492" s="1204">
        <f>'House Count'!A492</f>
        <v/>
      </c>
      <c r="B492" s="1205">
        <f>'House Count'!E492</f>
        <v/>
      </c>
      <c r="C492" s="1205">
        <f>'House Count'!B492</f>
        <v/>
      </c>
      <c r="D492" s="1205">
        <f>'House Count'!C492</f>
        <v/>
      </c>
      <c r="E492" s="1205">
        <f>'House Count'!D492</f>
        <v/>
      </c>
      <c r="F492" s="1205">
        <f>IF(G492="RES-SFU","RESIDENTIAL",IF(G492="RES-HOA","RESIDENTIAL",IF(G492="RES-MDU","RESIDENTIAL",IF(G492="COMM-SU","BUSINESS",IF(G492="COM-MTU","BUSINESS",IF(G492="ENT","BUSINESS",""))))))</f>
        <v/>
      </c>
      <c r="G492" s="1205">
        <f>'House Count'!F492</f>
        <v/>
      </c>
      <c r="H492" s="1205">
        <f>'House Count'!H492</f>
        <v/>
      </c>
    </row>
    <row r="493">
      <c r="A493" s="1204">
        <f>'House Count'!A493</f>
        <v/>
      </c>
      <c r="B493" s="1205">
        <f>'House Count'!E493</f>
        <v/>
      </c>
      <c r="C493" s="1205">
        <f>'House Count'!B493</f>
        <v/>
      </c>
      <c r="D493" s="1205">
        <f>'House Count'!C493</f>
        <v/>
      </c>
      <c r="E493" s="1205">
        <f>'House Count'!D493</f>
        <v/>
      </c>
      <c r="F493" s="1205">
        <f>IF(G493="RES-SFU","RESIDENTIAL",IF(G493="RES-HOA","RESIDENTIAL",IF(G493="RES-MDU","RESIDENTIAL",IF(G493="COMM-SU","BUSINESS",IF(G493="COM-MTU","BUSINESS",IF(G493="ENT","BUSINESS",""))))))</f>
        <v/>
      </c>
      <c r="G493" s="1205">
        <f>'House Count'!F493</f>
        <v/>
      </c>
      <c r="H493" s="1205">
        <f>'House Count'!H493</f>
        <v/>
      </c>
    </row>
    <row r="494">
      <c r="A494" s="1204">
        <f>'House Count'!A494</f>
        <v/>
      </c>
      <c r="B494" s="1205">
        <f>'House Count'!E494</f>
        <v/>
      </c>
      <c r="C494" s="1205">
        <f>'House Count'!B494</f>
        <v/>
      </c>
      <c r="D494" s="1205">
        <f>'House Count'!C494</f>
        <v/>
      </c>
      <c r="E494" s="1205">
        <f>'House Count'!D494</f>
        <v/>
      </c>
      <c r="F494" s="1205">
        <f>IF(G494="RES-SFU","RESIDENTIAL",IF(G494="RES-HOA","RESIDENTIAL",IF(G494="RES-MDU","RESIDENTIAL",IF(G494="COMM-SU","BUSINESS",IF(G494="COM-MTU","BUSINESS",IF(G494="ENT","BUSINESS",""))))))</f>
        <v/>
      </c>
      <c r="G494" s="1205">
        <f>'House Count'!F494</f>
        <v/>
      </c>
      <c r="H494" s="1205">
        <f>'House Count'!H494</f>
        <v/>
      </c>
    </row>
    <row r="495">
      <c r="A495" s="1204">
        <f>'House Count'!A495</f>
        <v/>
      </c>
      <c r="B495" s="1205">
        <f>'House Count'!E495</f>
        <v/>
      </c>
      <c r="C495" s="1205">
        <f>'House Count'!B495</f>
        <v/>
      </c>
      <c r="D495" s="1205">
        <f>'House Count'!C495</f>
        <v/>
      </c>
      <c r="E495" s="1205">
        <f>'House Count'!D495</f>
        <v/>
      </c>
      <c r="F495" s="1205">
        <f>IF(G495="RES-SFU","RESIDENTIAL",IF(G495="RES-HOA","RESIDENTIAL",IF(G495="RES-MDU","RESIDENTIAL",IF(G495="COMM-SU","BUSINESS",IF(G495="COM-MTU","BUSINESS",IF(G495="ENT","BUSINESS",""))))))</f>
        <v/>
      </c>
      <c r="G495" s="1205">
        <f>'House Count'!F495</f>
        <v/>
      </c>
      <c r="H495" s="1205">
        <f>'House Count'!H495</f>
        <v/>
      </c>
    </row>
    <row r="496">
      <c r="A496" s="1204">
        <f>'House Count'!A496</f>
        <v/>
      </c>
      <c r="B496" s="1205">
        <f>'House Count'!E496</f>
        <v/>
      </c>
      <c r="C496" s="1205">
        <f>'House Count'!B496</f>
        <v/>
      </c>
      <c r="D496" s="1205">
        <f>'House Count'!C496</f>
        <v/>
      </c>
      <c r="E496" s="1205">
        <f>'House Count'!D496</f>
        <v/>
      </c>
      <c r="F496" s="1205">
        <f>IF(G496="RES-SFU","RESIDENTIAL",IF(G496="RES-HOA","RESIDENTIAL",IF(G496="RES-MDU","RESIDENTIAL",IF(G496="COMM-SU","BUSINESS",IF(G496="COM-MTU","BUSINESS",IF(G496="ENT","BUSINESS",""))))))</f>
        <v/>
      </c>
      <c r="G496" s="1205">
        <f>'House Count'!F496</f>
        <v/>
      </c>
      <c r="H496" s="1205">
        <f>'House Count'!H496</f>
        <v/>
      </c>
    </row>
    <row r="497">
      <c r="A497" s="1204">
        <f>'House Count'!A497</f>
        <v/>
      </c>
      <c r="B497" s="1205">
        <f>'House Count'!E497</f>
        <v/>
      </c>
      <c r="C497" s="1205">
        <f>'House Count'!B497</f>
        <v/>
      </c>
      <c r="D497" s="1205">
        <f>'House Count'!C497</f>
        <v/>
      </c>
      <c r="E497" s="1205">
        <f>'House Count'!D497</f>
        <v/>
      </c>
      <c r="F497" s="1205">
        <f>IF(G497="RES-SFU","RESIDENTIAL",IF(G497="RES-HOA","RESIDENTIAL",IF(G497="RES-MDU","RESIDENTIAL",IF(G497="COMM-SU","BUSINESS",IF(G497="COM-MTU","BUSINESS",IF(G497="ENT","BUSINESS",""))))))</f>
        <v/>
      </c>
      <c r="G497" s="1205">
        <f>'House Count'!F497</f>
        <v/>
      </c>
      <c r="H497" s="1205">
        <f>'House Count'!H497</f>
        <v/>
      </c>
    </row>
    <row r="498">
      <c r="A498" s="1204">
        <f>'House Count'!A498</f>
        <v/>
      </c>
      <c r="B498" s="1205">
        <f>'House Count'!E498</f>
        <v/>
      </c>
      <c r="C498" s="1205">
        <f>'House Count'!B498</f>
        <v/>
      </c>
      <c r="D498" s="1205">
        <f>'House Count'!C498</f>
        <v/>
      </c>
      <c r="E498" s="1205">
        <f>'House Count'!D498</f>
        <v/>
      </c>
      <c r="F498" s="1205">
        <f>IF(G498="RES-SFU","RESIDENTIAL",IF(G498="RES-HOA","RESIDENTIAL",IF(G498="RES-MDU","RESIDENTIAL",IF(G498="COMM-SU","BUSINESS",IF(G498="COM-MTU","BUSINESS",IF(G498="ENT","BUSINESS",""))))))</f>
        <v/>
      </c>
      <c r="G498" s="1205">
        <f>'House Count'!F498</f>
        <v/>
      </c>
      <c r="H498" s="1205">
        <f>'House Count'!H498</f>
        <v/>
      </c>
    </row>
    <row r="499">
      <c r="A499" s="1204">
        <f>'House Count'!A499</f>
        <v/>
      </c>
      <c r="B499" s="1205">
        <f>'House Count'!E499</f>
        <v/>
      </c>
      <c r="C499" s="1205">
        <f>'House Count'!B499</f>
        <v/>
      </c>
      <c r="D499" s="1205">
        <f>'House Count'!C499</f>
        <v/>
      </c>
      <c r="E499" s="1205">
        <f>'House Count'!D499</f>
        <v/>
      </c>
      <c r="F499" s="1205">
        <f>IF(G499="RES-SFU","RESIDENTIAL",IF(G499="RES-HOA","RESIDENTIAL",IF(G499="RES-MDU","RESIDENTIAL",IF(G499="COMM-SU","BUSINESS",IF(G499="COM-MTU","BUSINESS",IF(G499="ENT","BUSINESS",""))))))</f>
        <v/>
      </c>
      <c r="G499" s="1205">
        <f>'House Count'!F499</f>
        <v/>
      </c>
      <c r="H499" s="1205">
        <f>'House Count'!H499</f>
        <v/>
      </c>
    </row>
    <row r="500">
      <c r="A500" s="1204">
        <f>'House Count'!A500</f>
        <v/>
      </c>
      <c r="B500" s="1205">
        <f>'House Count'!E500</f>
        <v/>
      </c>
      <c r="C500" s="1205">
        <f>'House Count'!B500</f>
        <v/>
      </c>
      <c r="D500" s="1205">
        <f>'House Count'!C500</f>
        <v/>
      </c>
      <c r="E500" s="1205">
        <f>'House Count'!D500</f>
        <v/>
      </c>
      <c r="F500" s="1205">
        <f>IF(G500="RES-SFU","RESIDENTIAL",IF(G500="RES-HOA","RESIDENTIAL",IF(G500="RES-MDU","RESIDENTIAL",IF(G500="COMM-SU","BUSINESS",IF(G500="COM-MTU","BUSINESS",IF(G500="ENT","BUSINESS",""))))))</f>
        <v/>
      </c>
      <c r="G500" s="1205">
        <f>'House Count'!F500</f>
        <v/>
      </c>
      <c r="H500" s="1205">
        <f>'House Count'!H500</f>
        <v/>
      </c>
    </row>
    <row r="501">
      <c r="A501" s="1204">
        <f>'House Count'!A501</f>
        <v/>
      </c>
      <c r="B501" s="1205">
        <f>'House Count'!E501</f>
        <v/>
      </c>
      <c r="C501" s="1205">
        <f>'House Count'!B501</f>
        <v/>
      </c>
      <c r="D501" s="1205">
        <f>'House Count'!C501</f>
        <v/>
      </c>
      <c r="E501" s="1205">
        <f>'House Count'!D501</f>
        <v/>
      </c>
      <c r="F501" s="1205">
        <f>IF(G501="RES-SFU","RESIDENTIAL",IF(G501="RES-HOA","RESIDENTIAL",IF(G501="RES-MDU","RESIDENTIAL",IF(G501="COMM-SU","BUSINESS",IF(G501="COM-MTU","BUSINESS",IF(G501="ENT","BUSINESS",""))))))</f>
        <v/>
      </c>
      <c r="G501" s="1205">
        <f>'House Count'!F501</f>
        <v/>
      </c>
      <c r="H501" s="1205">
        <f>'House Count'!H501</f>
        <v/>
      </c>
    </row>
    <row r="502">
      <c r="A502" s="1204">
        <f>'House Count'!A502</f>
        <v/>
      </c>
      <c r="B502" s="1205">
        <f>'House Count'!E502</f>
        <v/>
      </c>
      <c r="C502" s="1205">
        <f>'House Count'!B502</f>
        <v/>
      </c>
      <c r="D502" s="1205">
        <f>'House Count'!C502</f>
        <v/>
      </c>
      <c r="E502" s="1205">
        <f>'House Count'!D502</f>
        <v/>
      </c>
      <c r="F502" s="1205">
        <f>IF(G502="RES-SFU","RESIDENTIAL",IF(G502="RES-HOA","RESIDENTIAL",IF(G502="RES-MDU","RESIDENTIAL",IF(G502="COMM-SU","BUSINESS",IF(G502="COM-MTU","BUSINESS",IF(G502="ENT","BUSINESS",""))))))</f>
        <v/>
      </c>
      <c r="G502" s="1205">
        <f>'House Count'!F502</f>
        <v/>
      </c>
      <c r="H502" s="1205">
        <f>'House Count'!H502</f>
        <v/>
      </c>
    </row>
    <row r="503">
      <c r="A503" s="1204">
        <f>'House Count'!A503</f>
        <v/>
      </c>
      <c r="B503" s="1205">
        <f>'House Count'!E503</f>
        <v/>
      </c>
      <c r="C503" s="1205">
        <f>'House Count'!B503</f>
        <v/>
      </c>
      <c r="D503" s="1205">
        <f>'House Count'!C503</f>
        <v/>
      </c>
      <c r="E503" s="1205">
        <f>'House Count'!D503</f>
        <v/>
      </c>
      <c r="F503" s="1205">
        <f>IF(G503="RES-SFU","RESIDENTIAL",IF(G503="RES-HOA","RESIDENTIAL",IF(G503="RES-MDU","RESIDENTIAL",IF(G503="COMM-SU","BUSINESS",IF(G503="COM-MTU","BUSINESS",IF(G503="ENT","BUSINESS",""))))))</f>
        <v/>
      </c>
      <c r="G503" s="1205">
        <f>'House Count'!F503</f>
        <v/>
      </c>
      <c r="H503" s="1205">
        <f>'House Count'!H503</f>
        <v/>
      </c>
    </row>
    <row r="504">
      <c r="A504" s="1204">
        <f>'House Count'!A504</f>
        <v/>
      </c>
      <c r="B504" s="1205">
        <f>'House Count'!E504</f>
        <v/>
      </c>
      <c r="C504" s="1205">
        <f>'House Count'!B504</f>
        <v/>
      </c>
      <c r="D504" s="1205">
        <f>'House Count'!C504</f>
        <v/>
      </c>
      <c r="E504" s="1205">
        <f>'House Count'!D504</f>
        <v/>
      </c>
      <c r="F504" s="1205">
        <f>IF(G504="RES-SFU","RESIDENTIAL",IF(G504="RES-HOA","RESIDENTIAL",IF(G504="RES-MDU","RESIDENTIAL",IF(G504="COMM-SU","BUSINESS",IF(G504="COM-MTU","BUSINESS",IF(G504="ENT","BUSINESS",""))))))</f>
        <v/>
      </c>
      <c r="G504" s="1205">
        <f>'House Count'!F504</f>
        <v/>
      </c>
      <c r="H504" s="1205">
        <f>'House Count'!H504</f>
        <v/>
      </c>
    </row>
    <row r="505">
      <c r="A505" s="1204">
        <f>'House Count'!A505</f>
        <v/>
      </c>
      <c r="B505" s="1205">
        <f>'House Count'!E505</f>
        <v/>
      </c>
      <c r="C505" s="1205">
        <f>'House Count'!B505</f>
        <v/>
      </c>
      <c r="D505" s="1205">
        <f>'House Count'!C505</f>
        <v/>
      </c>
      <c r="E505" s="1205">
        <f>'House Count'!D505</f>
        <v/>
      </c>
      <c r="F505" s="1205">
        <f>IF(G505="RES-SFU","RESIDENTIAL",IF(G505="RES-HOA","RESIDENTIAL",IF(G505="RES-MDU","RESIDENTIAL",IF(G505="COMM-SU","BUSINESS",IF(G505="COM-MTU","BUSINESS",IF(G505="ENT","BUSINESS",""))))))</f>
        <v/>
      </c>
      <c r="G505" s="1205">
        <f>'House Count'!F505</f>
        <v/>
      </c>
      <c r="H505" s="1205">
        <f>'House Count'!H505</f>
        <v/>
      </c>
    </row>
    <row r="506">
      <c r="A506" s="1204">
        <f>'House Count'!A506</f>
        <v/>
      </c>
      <c r="B506" s="1205">
        <f>'House Count'!E506</f>
        <v/>
      </c>
      <c r="C506" s="1205">
        <f>'House Count'!B506</f>
        <v/>
      </c>
      <c r="D506" s="1205">
        <f>'House Count'!C506</f>
        <v/>
      </c>
      <c r="E506" s="1205">
        <f>'House Count'!D506</f>
        <v/>
      </c>
      <c r="F506" s="1205">
        <f>IF(G506="RES-SFU","RESIDENTIAL",IF(G506="RES-HOA","RESIDENTIAL",IF(G506="RES-MDU","RESIDENTIAL",IF(G506="COMM-SU","BUSINESS",IF(G506="COM-MTU","BUSINESS",IF(G506="ENT","BUSINESS",""))))))</f>
        <v/>
      </c>
      <c r="G506" s="1205">
        <f>'House Count'!F506</f>
        <v/>
      </c>
      <c r="H506" s="1205">
        <f>'House Count'!H506</f>
        <v/>
      </c>
    </row>
    <row r="507">
      <c r="A507" s="1204">
        <f>'House Count'!A507</f>
        <v/>
      </c>
      <c r="B507" s="1205">
        <f>'House Count'!E507</f>
        <v/>
      </c>
      <c r="C507" s="1205">
        <f>'House Count'!B507</f>
        <v/>
      </c>
      <c r="D507" s="1205">
        <f>'House Count'!C507</f>
        <v/>
      </c>
      <c r="E507" s="1205">
        <f>'House Count'!D507</f>
        <v/>
      </c>
      <c r="F507" s="1205">
        <f>IF(G507="RES-SFU","RESIDENTIAL",IF(G507="RES-HOA","RESIDENTIAL",IF(G507="RES-MDU","RESIDENTIAL",IF(G507="COMM-SU","BUSINESS",IF(G507="COM-MTU","BUSINESS",IF(G507="ENT","BUSINESS",""))))))</f>
        <v/>
      </c>
      <c r="G507" s="1205">
        <f>'House Count'!F507</f>
        <v/>
      </c>
      <c r="H507" s="1205">
        <f>'House Count'!H507</f>
        <v/>
      </c>
    </row>
    <row r="508">
      <c r="A508" s="1204">
        <f>'House Count'!A508</f>
        <v/>
      </c>
      <c r="B508" s="1205">
        <f>'House Count'!E508</f>
        <v/>
      </c>
      <c r="C508" s="1205">
        <f>'House Count'!B508</f>
        <v/>
      </c>
      <c r="D508" s="1205">
        <f>'House Count'!C508</f>
        <v/>
      </c>
      <c r="E508" s="1205">
        <f>'House Count'!D508</f>
        <v/>
      </c>
      <c r="F508" s="1205">
        <f>IF(G508="RES-SFU","RESIDENTIAL",IF(G508="RES-HOA","RESIDENTIAL",IF(G508="RES-MDU","RESIDENTIAL",IF(G508="COMM-SU","BUSINESS",IF(G508="COM-MTU","BUSINESS",IF(G508="ENT","BUSINESS",""))))))</f>
        <v/>
      </c>
      <c r="G508" s="1205">
        <f>'House Count'!F508</f>
        <v/>
      </c>
      <c r="H508" s="1205">
        <f>'House Count'!H508</f>
        <v/>
      </c>
    </row>
    <row r="509">
      <c r="A509" s="1204">
        <f>'House Count'!A509</f>
        <v/>
      </c>
      <c r="B509" s="1205">
        <f>'House Count'!E509</f>
        <v/>
      </c>
      <c r="C509" s="1205">
        <f>'House Count'!B509</f>
        <v/>
      </c>
      <c r="D509" s="1205">
        <f>'House Count'!C509</f>
        <v/>
      </c>
      <c r="E509" s="1205">
        <f>'House Count'!D509</f>
        <v/>
      </c>
      <c r="F509" s="1205">
        <f>IF(G509="RES-SFU","RESIDENTIAL",IF(G509="RES-HOA","RESIDENTIAL",IF(G509="RES-MDU","RESIDENTIAL",IF(G509="COMM-SU","BUSINESS",IF(G509="COM-MTU","BUSINESS",IF(G509="ENT","BUSINESS",""))))))</f>
        <v/>
      </c>
      <c r="G509" s="1205">
        <f>'House Count'!F509</f>
        <v/>
      </c>
      <c r="H509" s="1205">
        <f>'House Count'!H509</f>
        <v/>
      </c>
    </row>
    <row r="510">
      <c r="A510" s="1204">
        <f>'House Count'!A510</f>
        <v/>
      </c>
      <c r="B510" s="1205">
        <f>'House Count'!E510</f>
        <v/>
      </c>
      <c r="C510" s="1205">
        <f>'House Count'!B510</f>
        <v/>
      </c>
      <c r="D510" s="1205">
        <f>'House Count'!C510</f>
        <v/>
      </c>
      <c r="E510" s="1205">
        <f>'House Count'!D510</f>
        <v/>
      </c>
      <c r="F510" s="1205">
        <f>IF(G510="RES-SFU","RESIDENTIAL",IF(G510="RES-HOA","RESIDENTIAL",IF(G510="RES-MDU","RESIDENTIAL",IF(G510="COMM-SU","BUSINESS",IF(G510="COM-MTU","BUSINESS",IF(G510="ENT","BUSINESS",""))))))</f>
        <v/>
      </c>
      <c r="G510" s="1205">
        <f>'House Count'!F510</f>
        <v/>
      </c>
      <c r="H510" s="1205">
        <f>'House Count'!H510</f>
        <v/>
      </c>
    </row>
    <row r="511">
      <c r="A511" s="1204">
        <f>'House Count'!A511</f>
        <v/>
      </c>
      <c r="B511" s="1205">
        <f>'House Count'!E511</f>
        <v/>
      </c>
      <c r="C511" s="1205">
        <f>'House Count'!B511</f>
        <v/>
      </c>
      <c r="D511" s="1205">
        <f>'House Count'!C511</f>
        <v/>
      </c>
      <c r="E511" s="1205">
        <f>'House Count'!D511</f>
        <v/>
      </c>
      <c r="F511" s="1205">
        <f>IF(G511="RES-SFU","RESIDENTIAL",IF(G511="RES-HOA","RESIDENTIAL",IF(G511="RES-MDU","RESIDENTIAL",IF(G511="COMM-SU","BUSINESS",IF(G511="COM-MTU","BUSINESS",IF(G511="ENT","BUSINESS",""))))))</f>
        <v/>
      </c>
      <c r="G511" s="1205">
        <f>'House Count'!F511</f>
        <v/>
      </c>
      <c r="H511" s="1205">
        <f>'House Count'!H511</f>
        <v/>
      </c>
    </row>
    <row r="512">
      <c r="A512" s="1204">
        <f>'House Count'!A512</f>
        <v/>
      </c>
      <c r="B512" s="1205">
        <f>'House Count'!E512</f>
        <v/>
      </c>
      <c r="C512" s="1205">
        <f>'House Count'!B512</f>
        <v/>
      </c>
      <c r="D512" s="1205">
        <f>'House Count'!C512</f>
        <v/>
      </c>
      <c r="E512" s="1205">
        <f>'House Count'!D512</f>
        <v/>
      </c>
      <c r="F512" s="1205">
        <f>IF(G512="RES-SFU","RESIDENTIAL",IF(G512="RES-HOA","RESIDENTIAL",IF(G512="RES-MDU","RESIDENTIAL",IF(G512="COMM-SU","BUSINESS",IF(G512="COM-MTU","BUSINESS",IF(G512="ENT","BUSINESS",""))))))</f>
        <v/>
      </c>
      <c r="G512" s="1205">
        <f>'House Count'!F512</f>
        <v/>
      </c>
      <c r="H512" s="1205">
        <f>'House Count'!H512</f>
        <v/>
      </c>
    </row>
    <row r="513">
      <c r="A513" s="1204">
        <f>'House Count'!A513</f>
        <v/>
      </c>
      <c r="B513" s="1205">
        <f>'House Count'!E513</f>
        <v/>
      </c>
      <c r="C513" s="1205">
        <f>'House Count'!B513</f>
        <v/>
      </c>
      <c r="D513" s="1205">
        <f>'House Count'!C513</f>
        <v/>
      </c>
      <c r="E513" s="1205">
        <f>'House Count'!D513</f>
        <v/>
      </c>
      <c r="F513" s="1205">
        <f>IF(G513="RES-SFU","RESIDENTIAL",IF(G513="RES-HOA","RESIDENTIAL",IF(G513="RES-MDU","RESIDENTIAL",IF(G513="COMM-SU","BUSINESS",IF(G513="COM-MTU","BUSINESS",IF(G513="ENT","BUSINESS",""))))))</f>
        <v/>
      </c>
      <c r="G513" s="1205">
        <f>'House Count'!F513</f>
        <v/>
      </c>
      <c r="H513" s="1205">
        <f>'House Count'!H513</f>
        <v/>
      </c>
    </row>
    <row r="514">
      <c r="A514" s="1204">
        <f>'House Count'!A514</f>
        <v/>
      </c>
      <c r="B514" s="1205">
        <f>'House Count'!E514</f>
        <v/>
      </c>
      <c r="C514" s="1205">
        <f>'House Count'!B514</f>
        <v/>
      </c>
      <c r="D514" s="1205">
        <f>'House Count'!C514</f>
        <v/>
      </c>
      <c r="E514" s="1205">
        <f>'House Count'!D514</f>
        <v/>
      </c>
      <c r="F514" s="1205">
        <f>IF(G514="RES-SFU","RESIDENTIAL",IF(G514="RES-HOA","RESIDENTIAL",IF(G514="RES-MDU","RESIDENTIAL",IF(G514="COMM-SU","BUSINESS",IF(G514="COM-MTU","BUSINESS",IF(G514="ENT","BUSINESS",""))))))</f>
        <v/>
      </c>
      <c r="G514" s="1205">
        <f>'House Count'!F514</f>
        <v/>
      </c>
      <c r="H514" s="1205">
        <f>'House Count'!H514</f>
        <v/>
      </c>
    </row>
    <row r="515">
      <c r="A515" s="1204">
        <f>'House Count'!A515</f>
        <v/>
      </c>
      <c r="B515" s="1205">
        <f>'House Count'!E515</f>
        <v/>
      </c>
      <c r="C515" s="1205">
        <f>'House Count'!B515</f>
        <v/>
      </c>
      <c r="D515" s="1205">
        <f>'House Count'!C515</f>
        <v/>
      </c>
      <c r="E515" s="1205">
        <f>'House Count'!D515</f>
        <v/>
      </c>
      <c r="F515" s="1205">
        <f>IF(G515="RES-SFU","RESIDENTIAL",IF(G515="RES-HOA","RESIDENTIAL",IF(G515="RES-MDU","RESIDENTIAL",IF(G515="COMM-SU","BUSINESS",IF(G515="COM-MTU","BUSINESS",IF(G515="ENT","BUSINESS",""))))))</f>
        <v/>
      </c>
      <c r="G515" s="1205">
        <f>'House Count'!F515</f>
        <v/>
      </c>
      <c r="H515" s="1205">
        <f>'House Count'!H515</f>
        <v/>
      </c>
    </row>
    <row r="516">
      <c r="A516" s="1204">
        <f>'House Count'!A516</f>
        <v/>
      </c>
      <c r="B516" s="1205">
        <f>'House Count'!E516</f>
        <v/>
      </c>
      <c r="C516" s="1205">
        <f>'House Count'!B516</f>
        <v/>
      </c>
      <c r="D516" s="1205">
        <f>'House Count'!C516</f>
        <v/>
      </c>
      <c r="E516" s="1205">
        <f>'House Count'!D516</f>
        <v/>
      </c>
      <c r="F516" s="1205">
        <f>IF(G516="RES-SFU","RESIDENTIAL",IF(G516="RES-HOA","RESIDENTIAL",IF(G516="RES-MDU","RESIDENTIAL",IF(G516="COMM-SU","BUSINESS",IF(G516="COM-MTU","BUSINESS",IF(G516="ENT","BUSINESS",""))))))</f>
        <v/>
      </c>
      <c r="G516" s="1205">
        <f>'House Count'!F516</f>
        <v/>
      </c>
      <c r="H516" s="1205">
        <f>'House Count'!H516</f>
        <v/>
      </c>
    </row>
    <row r="517">
      <c r="A517" s="1204">
        <f>'House Count'!A517</f>
        <v/>
      </c>
      <c r="B517" s="1205">
        <f>'House Count'!E517</f>
        <v/>
      </c>
      <c r="C517" s="1205">
        <f>'House Count'!B517</f>
        <v/>
      </c>
      <c r="D517" s="1205">
        <f>'House Count'!C517</f>
        <v/>
      </c>
      <c r="E517" s="1205">
        <f>'House Count'!D517</f>
        <v/>
      </c>
      <c r="F517" s="1205">
        <f>IF(G517="RES-SFU","RESIDENTIAL",IF(G517="RES-HOA","RESIDENTIAL",IF(G517="RES-MDU","RESIDENTIAL",IF(G517="COMM-SU","BUSINESS",IF(G517="COM-MTU","BUSINESS",IF(G517="ENT","BUSINESS",""))))))</f>
        <v/>
      </c>
      <c r="G517" s="1205">
        <f>'House Count'!F517</f>
        <v/>
      </c>
      <c r="H517" s="1205">
        <f>'House Count'!H517</f>
        <v/>
      </c>
    </row>
    <row r="518">
      <c r="A518" s="1204">
        <f>'House Count'!A518</f>
        <v/>
      </c>
      <c r="B518" s="1205">
        <f>'House Count'!E518</f>
        <v/>
      </c>
      <c r="C518" s="1205">
        <f>'House Count'!B518</f>
        <v/>
      </c>
      <c r="D518" s="1205">
        <f>'House Count'!C518</f>
        <v/>
      </c>
      <c r="E518" s="1205">
        <f>'House Count'!D518</f>
        <v/>
      </c>
      <c r="F518" s="1205">
        <f>IF(G518="RES-SFU","RESIDENTIAL",IF(G518="RES-HOA","RESIDENTIAL",IF(G518="RES-MDU","RESIDENTIAL",IF(G518="COMM-SU","BUSINESS",IF(G518="COM-MTU","BUSINESS",IF(G518="ENT","BUSINESS",""))))))</f>
        <v/>
      </c>
      <c r="G518" s="1205">
        <f>'House Count'!F518</f>
        <v/>
      </c>
      <c r="H518" s="1205">
        <f>'House Count'!H518</f>
        <v/>
      </c>
    </row>
    <row r="519">
      <c r="A519" s="1204">
        <f>'House Count'!A519</f>
        <v/>
      </c>
      <c r="B519" s="1205">
        <f>'House Count'!E519</f>
        <v/>
      </c>
      <c r="C519" s="1205">
        <f>'House Count'!B519</f>
        <v/>
      </c>
      <c r="D519" s="1205">
        <f>'House Count'!C519</f>
        <v/>
      </c>
      <c r="E519" s="1205">
        <f>'House Count'!D519</f>
        <v/>
      </c>
      <c r="F519" s="1205">
        <f>IF(G519="RES-SFU","RESIDENTIAL",IF(G519="RES-HOA","RESIDENTIAL",IF(G519="RES-MDU","RESIDENTIAL",IF(G519="COMM-SU","BUSINESS",IF(G519="COM-MTU","BUSINESS",IF(G519="ENT","BUSINESS",""))))))</f>
        <v/>
      </c>
      <c r="G519" s="1205">
        <f>'House Count'!F519</f>
        <v/>
      </c>
      <c r="H519" s="1205">
        <f>'House Count'!H519</f>
        <v/>
      </c>
    </row>
    <row r="520">
      <c r="A520" s="1204">
        <f>'House Count'!A520</f>
        <v/>
      </c>
      <c r="B520" s="1205">
        <f>'House Count'!E520</f>
        <v/>
      </c>
      <c r="C520" s="1205">
        <f>'House Count'!B520</f>
        <v/>
      </c>
      <c r="D520" s="1205">
        <f>'House Count'!C520</f>
        <v/>
      </c>
      <c r="E520" s="1205">
        <f>'House Count'!D520</f>
        <v/>
      </c>
      <c r="F520" s="1205">
        <f>IF(G520="RES-SFU","RESIDENTIAL",IF(G520="RES-HOA","RESIDENTIAL",IF(G520="RES-MDU","RESIDENTIAL",IF(G520="COMM-SU","BUSINESS",IF(G520="COM-MTU","BUSINESS",IF(G520="ENT","BUSINESS",""))))))</f>
        <v/>
      </c>
      <c r="G520" s="1205">
        <f>'House Count'!F520</f>
        <v/>
      </c>
      <c r="H520" s="1205">
        <f>'House Count'!H520</f>
        <v/>
      </c>
    </row>
    <row r="521">
      <c r="A521" s="1204">
        <f>'House Count'!A521</f>
        <v/>
      </c>
      <c r="B521" s="1205">
        <f>'House Count'!E521</f>
        <v/>
      </c>
      <c r="C521" s="1205">
        <f>'House Count'!B521</f>
        <v/>
      </c>
      <c r="D521" s="1205">
        <f>'House Count'!C521</f>
        <v/>
      </c>
      <c r="E521" s="1205">
        <f>'House Count'!D521</f>
        <v/>
      </c>
      <c r="F521" s="1205">
        <f>IF(G521="RES-SFU","RESIDENTIAL",IF(G521="RES-HOA","RESIDENTIAL",IF(G521="RES-MDU","RESIDENTIAL",IF(G521="COMM-SU","BUSINESS",IF(G521="COM-MTU","BUSINESS",IF(G521="ENT","BUSINESS",""))))))</f>
        <v/>
      </c>
      <c r="G521" s="1205">
        <f>'House Count'!F521</f>
        <v/>
      </c>
      <c r="H521" s="1205">
        <f>'House Count'!H521</f>
        <v/>
      </c>
    </row>
    <row r="522">
      <c r="A522" s="1204">
        <f>'House Count'!A522</f>
        <v/>
      </c>
      <c r="B522" s="1205">
        <f>'House Count'!E522</f>
        <v/>
      </c>
      <c r="C522" s="1205">
        <f>'House Count'!B522</f>
        <v/>
      </c>
      <c r="D522" s="1205">
        <f>'House Count'!C522</f>
        <v/>
      </c>
      <c r="E522" s="1205">
        <f>'House Count'!D522</f>
        <v/>
      </c>
      <c r="F522" s="1205">
        <f>IF(G522="RES-SFU","RESIDENTIAL",IF(G522="RES-HOA","RESIDENTIAL",IF(G522="RES-MDU","RESIDENTIAL",IF(G522="COMM-SU","BUSINESS",IF(G522="COM-MTU","BUSINESS",IF(G522="ENT","BUSINESS",""))))))</f>
        <v/>
      </c>
      <c r="G522" s="1205">
        <f>'House Count'!F522</f>
        <v/>
      </c>
      <c r="H522" s="1205">
        <f>'House Count'!H522</f>
        <v/>
      </c>
    </row>
    <row r="523">
      <c r="A523" s="1204">
        <f>'House Count'!A523</f>
        <v/>
      </c>
      <c r="B523" s="1205">
        <f>'House Count'!E523</f>
        <v/>
      </c>
      <c r="C523" s="1205">
        <f>'House Count'!B523</f>
        <v/>
      </c>
      <c r="D523" s="1205">
        <f>'House Count'!C523</f>
        <v/>
      </c>
      <c r="E523" s="1205">
        <f>'House Count'!D523</f>
        <v/>
      </c>
      <c r="F523" s="1205">
        <f>IF(G523="RES-SFU","RESIDENTIAL",IF(G523="RES-HOA","RESIDENTIAL",IF(G523="RES-MDU","RESIDENTIAL",IF(G523="COMM-SU","BUSINESS",IF(G523="COM-MTU","BUSINESS",IF(G523="ENT","BUSINESS",""))))))</f>
        <v/>
      </c>
      <c r="G523" s="1205">
        <f>'House Count'!F523</f>
        <v/>
      </c>
      <c r="H523" s="1205">
        <f>'House Count'!H523</f>
        <v/>
      </c>
    </row>
    <row r="524">
      <c r="A524" s="1204">
        <f>'House Count'!A524</f>
        <v/>
      </c>
      <c r="B524" s="1205">
        <f>'House Count'!E524</f>
        <v/>
      </c>
      <c r="C524" s="1205">
        <f>'House Count'!B524</f>
        <v/>
      </c>
      <c r="D524" s="1205">
        <f>'House Count'!C524</f>
        <v/>
      </c>
      <c r="E524" s="1205">
        <f>'House Count'!D524</f>
        <v/>
      </c>
      <c r="F524" s="1205">
        <f>IF(G524="RES-SFU","RESIDENTIAL",IF(G524="RES-HOA","RESIDENTIAL",IF(G524="RES-MDU","RESIDENTIAL",IF(G524="COMM-SU","BUSINESS",IF(G524="COM-MTU","BUSINESS",IF(G524="ENT","BUSINESS",""))))))</f>
        <v/>
      </c>
      <c r="G524" s="1205">
        <f>'House Count'!F524</f>
        <v/>
      </c>
      <c r="H524" s="1205">
        <f>'House Count'!H524</f>
        <v/>
      </c>
    </row>
    <row r="525">
      <c r="A525" s="1204">
        <f>'House Count'!A525</f>
        <v/>
      </c>
      <c r="B525" s="1205">
        <f>'House Count'!E525</f>
        <v/>
      </c>
      <c r="C525" s="1205">
        <f>'House Count'!B525</f>
        <v/>
      </c>
      <c r="D525" s="1205">
        <f>'House Count'!C525</f>
        <v/>
      </c>
      <c r="E525" s="1205">
        <f>'House Count'!D525</f>
        <v/>
      </c>
      <c r="F525" s="1205">
        <f>IF(G525="RES-SFU","RESIDENTIAL",IF(G525="RES-HOA","RESIDENTIAL",IF(G525="RES-MDU","RESIDENTIAL",IF(G525="COMM-SU","BUSINESS",IF(G525="COM-MTU","BUSINESS",IF(G525="ENT","BUSINESS",""))))))</f>
        <v/>
      </c>
      <c r="G525" s="1205">
        <f>'House Count'!F525</f>
        <v/>
      </c>
      <c r="H525" s="1205">
        <f>'House Count'!H525</f>
        <v/>
      </c>
    </row>
    <row r="526">
      <c r="A526" s="1204">
        <f>'House Count'!A526</f>
        <v/>
      </c>
      <c r="B526" s="1205">
        <f>'House Count'!E526</f>
        <v/>
      </c>
      <c r="C526" s="1205">
        <f>'House Count'!B526</f>
        <v/>
      </c>
      <c r="D526" s="1205">
        <f>'House Count'!C526</f>
        <v/>
      </c>
      <c r="E526" s="1205">
        <f>'House Count'!D526</f>
        <v/>
      </c>
      <c r="F526" s="1205">
        <f>IF(G526="RES-SFU","RESIDENTIAL",IF(G526="RES-HOA","RESIDENTIAL",IF(G526="RES-MDU","RESIDENTIAL",IF(G526="COMM-SU","BUSINESS",IF(G526="COM-MTU","BUSINESS",IF(G526="ENT","BUSINESS",""))))))</f>
        <v/>
      </c>
      <c r="G526" s="1205">
        <f>'House Count'!F526</f>
        <v/>
      </c>
      <c r="H526" s="1205">
        <f>'House Count'!H526</f>
        <v/>
      </c>
    </row>
    <row r="527">
      <c r="A527" s="1204">
        <f>'House Count'!A527</f>
        <v/>
      </c>
      <c r="B527" s="1205">
        <f>'House Count'!E527</f>
        <v/>
      </c>
      <c r="C527" s="1205">
        <f>'House Count'!B527</f>
        <v/>
      </c>
      <c r="D527" s="1205">
        <f>'House Count'!C527</f>
        <v/>
      </c>
      <c r="E527" s="1205">
        <f>'House Count'!D527</f>
        <v/>
      </c>
      <c r="F527" s="1205">
        <f>IF(G527="RES-SFU","RESIDENTIAL",IF(G527="RES-HOA","RESIDENTIAL",IF(G527="RES-MDU","RESIDENTIAL",IF(G527="COMM-SU","BUSINESS",IF(G527="COM-MTU","BUSINESS",IF(G527="ENT","BUSINESS",""))))))</f>
        <v/>
      </c>
      <c r="G527" s="1205">
        <f>'House Count'!F527</f>
        <v/>
      </c>
      <c r="H527" s="1205">
        <f>'House Count'!H527</f>
        <v/>
      </c>
    </row>
    <row r="528">
      <c r="A528" s="1204">
        <f>'House Count'!A528</f>
        <v/>
      </c>
      <c r="B528" s="1205">
        <f>'House Count'!E528</f>
        <v/>
      </c>
      <c r="C528" s="1205">
        <f>'House Count'!B528</f>
        <v/>
      </c>
      <c r="D528" s="1205">
        <f>'House Count'!C528</f>
        <v/>
      </c>
      <c r="E528" s="1205">
        <f>'House Count'!D528</f>
        <v/>
      </c>
      <c r="F528" s="1205">
        <f>IF(G528="RES-SFU","RESIDENTIAL",IF(G528="RES-HOA","RESIDENTIAL",IF(G528="RES-MDU","RESIDENTIAL",IF(G528="COMM-SU","BUSINESS",IF(G528="COM-MTU","BUSINESS",IF(G528="ENT","BUSINESS",""))))))</f>
        <v/>
      </c>
      <c r="G528" s="1205">
        <f>'House Count'!F528</f>
        <v/>
      </c>
      <c r="H528" s="1205">
        <f>'House Count'!H528</f>
        <v/>
      </c>
    </row>
    <row r="529">
      <c r="A529" s="1204">
        <f>'House Count'!A529</f>
        <v/>
      </c>
      <c r="B529" s="1205">
        <f>'House Count'!E529</f>
        <v/>
      </c>
      <c r="C529" s="1205">
        <f>'House Count'!B529</f>
        <v/>
      </c>
      <c r="D529" s="1205">
        <f>'House Count'!C529</f>
        <v/>
      </c>
      <c r="E529" s="1205">
        <f>'House Count'!D529</f>
        <v/>
      </c>
      <c r="F529" s="1205">
        <f>IF(G529="RES-SFU","RESIDENTIAL",IF(G529="RES-HOA","RESIDENTIAL",IF(G529="RES-MDU","RESIDENTIAL",IF(G529="COMM-SU","BUSINESS",IF(G529="COM-MTU","BUSINESS",IF(G529="ENT","BUSINESS",""))))))</f>
        <v/>
      </c>
      <c r="G529" s="1205">
        <f>'House Count'!F529</f>
        <v/>
      </c>
      <c r="H529" s="1205">
        <f>'House Count'!H529</f>
        <v/>
      </c>
    </row>
    <row r="530">
      <c r="A530" s="1204">
        <f>'House Count'!A530</f>
        <v/>
      </c>
      <c r="B530" s="1205">
        <f>'House Count'!E530</f>
        <v/>
      </c>
      <c r="C530" s="1205">
        <f>'House Count'!B530</f>
        <v/>
      </c>
      <c r="D530" s="1205">
        <f>'House Count'!C530</f>
        <v/>
      </c>
      <c r="E530" s="1205">
        <f>'House Count'!D530</f>
        <v/>
      </c>
      <c r="F530" s="1205">
        <f>IF(G530="RES-SFU","RESIDENTIAL",IF(G530="RES-HOA","RESIDENTIAL",IF(G530="RES-MDU","RESIDENTIAL",IF(G530="COMM-SU","BUSINESS",IF(G530="COM-MTU","BUSINESS",IF(G530="ENT","BUSINESS",""))))))</f>
        <v/>
      </c>
      <c r="G530" s="1205">
        <f>'House Count'!F530</f>
        <v/>
      </c>
      <c r="H530" s="1205">
        <f>'House Count'!H530</f>
        <v/>
      </c>
    </row>
    <row r="531">
      <c r="A531" s="1204">
        <f>'House Count'!A531</f>
        <v/>
      </c>
      <c r="B531" s="1205">
        <f>'House Count'!E531</f>
        <v/>
      </c>
      <c r="C531" s="1205">
        <f>'House Count'!B531</f>
        <v/>
      </c>
      <c r="D531" s="1205">
        <f>'House Count'!C531</f>
        <v/>
      </c>
      <c r="E531" s="1205">
        <f>'House Count'!D531</f>
        <v/>
      </c>
      <c r="F531" s="1205">
        <f>IF(G531="RES-SFU","RESIDENTIAL",IF(G531="RES-HOA","RESIDENTIAL",IF(G531="RES-MDU","RESIDENTIAL",IF(G531="COMM-SU","BUSINESS",IF(G531="COM-MTU","BUSINESS",IF(G531="ENT","BUSINESS",""))))))</f>
        <v/>
      </c>
      <c r="G531" s="1205">
        <f>'House Count'!F531</f>
        <v/>
      </c>
      <c r="H531" s="1205">
        <f>'House Count'!H531</f>
        <v/>
      </c>
    </row>
    <row r="532">
      <c r="A532" s="1204">
        <f>'House Count'!A532</f>
        <v/>
      </c>
      <c r="B532" s="1205">
        <f>'House Count'!E532</f>
        <v/>
      </c>
      <c r="C532" s="1205">
        <f>'House Count'!B532</f>
        <v/>
      </c>
      <c r="D532" s="1205">
        <f>'House Count'!C532</f>
        <v/>
      </c>
      <c r="E532" s="1205">
        <f>'House Count'!D532</f>
        <v/>
      </c>
      <c r="F532" s="1205">
        <f>IF(G532="RES-SFU","RESIDENTIAL",IF(G532="RES-HOA","RESIDENTIAL",IF(G532="RES-MDU","RESIDENTIAL",IF(G532="COMM-SU","BUSINESS",IF(G532="COM-MTU","BUSINESS",IF(G532="ENT","BUSINESS",""))))))</f>
        <v/>
      </c>
      <c r="G532" s="1205">
        <f>'House Count'!F532</f>
        <v/>
      </c>
      <c r="H532" s="1205">
        <f>'House Count'!H532</f>
        <v/>
      </c>
    </row>
    <row r="533">
      <c r="A533" s="1204">
        <f>'House Count'!A533</f>
        <v/>
      </c>
      <c r="B533" s="1205">
        <f>'House Count'!E533</f>
        <v/>
      </c>
      <c r="C533" s="1205">
        <f>'House Count'!B533</f>
        <v/>
      </c>
      <c r="D533" s="1205">
        <f>'House Count'!C533</f>
        <v/>
      </c>
      <c r="E533" s="1205">
        <f>'House Count'!D533</f>
        <v/>
      </c>
      <c r="F533" s="1205">
        <f>IF(G533="RES-SFU","RESIDENTIAL",IF(G533="RES-HOA","RESIDENTIAL",IF(G533="RES-MDU","RESIDENTIAL",IF(G533="COMM-SU","BUSINESS",IF(G533="COM-MTU","BUSINESS",IF(G533="ENT","BUSINESS",""))))))</f>
        <v/>
      </c>
      <c r="G533" s="1205">
        <f>'House Count'!F533</f>
        <v/>
      </c>
      <c r="H533" s="1205">
        <f>'House Count'!H533</f>
        <v/>
      </c>
    </row>
    <row r="534">
      <c r="A534" s="1204">
        <f>'House Count'!A534</f>
        <v/>
      </c>
      <c r="B534" s="1205">
        <f>'House Count'!E534</f>
        <v/>
      </c>
      <c r="C534" s="1205">
        <f>'House Count'!B534</f>
        <v/>
      </c>
      <c r="D534" s="1205">
        <f>'House Count'!C534</f>
        <v/>
      </c>
      <c r="E534" s="1205">
        <f>'House Count'!D534</f>
        <v/>
      </c>
      <c r="F534" s="1205">
        <f>IF(G534="RES-SFU","RESIDENTIAL",IF(G534="RES-HOA","RESIDENTIAL",IF(G534="RES-MDU","RESIDENTIAL",IF(G534="COMM-SU","BUSINESS",IF(G534="COM-MTU","BUSINESS",IF(G534="ENT","BUSINESS",""))))))</f>
        <v/>
      </c>
      <c r="G534" s="1205">
        <f>'House Count'!F534</f>
        <v/>
      </c>
      <c r="H534" s="1205">
        <f>'House Count'!H534</f>
        <v/>
      </c>
    </row>
    <row r="535">
      <c r="A535" s="1204">
        <f>'House Count'!A535</f>
        <v/>
      </c>
      <c r="B535" s="1205">
        <f>'House Count'!E535</f>
        <v/>
      </c>
      <c r="C535" s="1205">
        <f>'House Count'!B535</f>
        <v/>
      </c>
      <c r="D535" s="1205">
        <f>'House Count'!C535</f>
        <v/>
      </c>
      <c r="E535" s="1205">
        <f>'House Count'!D535</f>
        <v/>
      </c>
      <c r="F535" s="1205">
        <f>IF(G535="RES-SFU","RESIDENTIAL",IF(G535="RES-HOA","RESIDENTIAL",IF(G535="RES-MDU","RESIDENTIAL",IF(G535="COMM-SU","BUSINESS",IF(G535="COM-MTU","BUSINESS",IF(G535="ENT","BUSINESS",""))))))</f>
        <v/>
      </c>
      <c r="G535" s="1205">
        <f>'House Count'!F535</f>
        <v/>
      </c>
      <c r="H535" s="1205">
        <f>'House Count'!H535</f>
        <v/>
      </c>
    </row>
    <row r="536">
      <c r="A536" s="1204">
        <f>'House Count'!A536</f>
        <v/>
      </c>
      <c r="B536" s="1205">
        <f>'House Count'!E536</f>
        <v/>
      </c>
      <c r="C536" s="1205">
        <f>'House Count'!B536</f>
        <v/>
      </c>
      <c r="D536" s="1205">
        <f>'House Count'!C536</f>
        <v/>
      </c>
      <c r="E536" s="1205">
        <f>'House Count'!D536</f>
        <v/>
      </c>
      <c r="F536" s="1205">
        <f>IF(G536="RES-SFU","RESIDENTIAL",IF(G536="RES-HOA","RESIDENTIAL",IF(G536="RES-MDU","RESIDENTIAL",IF(G536="COMM-SU","BUSINESS",IF(G536="COM-MTU","BUSINESS",IF(G536="ENT","BUSINESS",""))))))</f>
        <v/>
      </c>
      <c r="G536" s="1205">
        <f>'House Count'!F536</f>
        <v/>
      </c>
      <c r="H536" s="1205">
        <f>'House Count'!H536</f>
        <v/>
      </c>
    </row>
    <row r="537">
      <c r="A537" s="1204">
        <f>'House Count'!A537</f>
        <v/>
      </c>
      <c r="B537" s="1205">
        <f>'House Count'!E537</f>
        <v/>
      </c>
      <c r="C537" s="1205">
        <f>'House Count'!B537</f>
        <v/>
      </c>
      <c r="D537" s="1205">
        <f>'House Count'!C537</f>
        <v/>
      </c>
      <c r="E537" s="1205">
        <f>'House Count'!D537</f>
        <v/>
      </c>
      <c r="F537" s="1205">
        <f>IF(G537="RES-SFU","RESIDENTIAL",IF(G537="RES-HOA","RESIDENTIAL",IF(G537="RES-MDU","RESIDENTIAL",IF(G537="COMM-SU","BUSINESS",IF(G537="COM-MTU","BUSINESS",IF(G537="ENT","BUSINESS",""))))))</f>
        <v/>
      </c>
      <c r="G537" s="1205">
        <f>'House Count'!F537</f>
        <v/>
      </c>
      <c r="H537" s="1205">
        <f>'House Count'!H537</f>
        <v/>
      </c>
    </row>
    <row r="538">
      <c r="A538" s="1204">
        <f>'House Count'!A538</f>
        <v/>
      </c>
      <c r="B538" s="1205">
        <f>'House Count'!E538</f>
        <v/>
      </c>
      <c r="C538" s="1205">
        <f>'House Count'!B538</f>
        <v/>
      </c>
      <c r="D538" s="1205">
        <f>'House Count'!C538</f>
        <v/>
      </c>
      <c r="E538" s="1205">
        <f>'House Count'!D538</f>
        <v/>
      </c>
      <c r="F538" s="1205">
        <f>IF(G538="RES-SFU","RESIDENTIAL",IF(G538="RES-HOA","RESIDENTIAL",IF(G538="RES-MDU","RESIDENTIAL",IF(G538="COMM-SU","BUSINESS",IF(G538="COM-MTU","BUSINESS",IF(G538="ENT","BUSINESS",""))))))</f>
        <v/>
      </c>
      <c r="G538" s="1205">
        <f>'House Count'!F538</f>
        <v/>
      </c>
      <c r="H538" s="1205">
        <f>'House Count'!H538</f>
        <v/>
      </c>
    </row>
    <row r="539">
      <c r="A539" s="1204">
        <f>'House Count'!A539</f>
        <v/>
      </c>
      <c r="B539" s="1205">
        <f>'House Count'!E539</f>
        <v/>
      </c>
      <c r="C539" s="1205">
        <f>'House Count'!B539</f>
        <v/>
      </c>
      <c r="D539" s="1205">
        <f>'House Count'!C539</f>
        <v/>
      </c>
      <c r="E539" s="1205">
        <f>'House Count'!D539</f>
        <v/>
      </c>
      <c r="F539" s="1205">
        <f>IF(G539="RES-SFU","RESIDENTIAL",IF(G539="RES-HOA","RESIDENTIAL",IF(G539="RES-MDU","RESIDENTIAL",IF(G539="COMM-SU","BUSINESS",IF(G539="COM-MTU","BUSINESS",IF(G539="ENT","BUSINESS",""))))))</f>
        <v/>
      </c>
      <c r="G539" s="1205">
        <f>'House Count'!F539</f>
        <v/>
      </c>
      <c r="H539" s="1205">
        <f>'House Count'!H539</f>
        <v/>
      </c>
    </row>
    <row r="540">
      <c r="A540" s="1204">
        <f>'House Count'!A540</f>
        <v/>
      </c>
      <c r="B540" s="1205">
        <f>'House Count'!E540</f>
        <v/>
      </c>
      <c r="C540" s="1205">
        <f>'House Count'!B540</f>
        <v/>
      </c>
      <c r="D540" s="1205">
        <f>'House Count'!C540</f>
        <v/>
      </c>
      <c r="E540" s="1205">
        <f>'House Count'!D540</f>
        <v/>
      </c>
      <c r="F540" s="1205">
        <f>IF(G540="RES-SFU","RESIDENTIAL",IF(G540="RES-HOA","RESIDENTIAL",IF(G540="RES-MDU","RESIDENTIAL",IF(G540="COMM-SU","BUSINESS",IF(G540="COM-MTU","BUSINESS",IF(G540="ENT","BUSINESS",""))))))</f>
        <v/>
      </c>
      <c r="G540" s="1205">
        <f>'House Count'!F540</f>
        <v/>
      </c>
      <c r="H540" s="1205">
        <f>'House Count'!H540</f>
        <v/>
      </c>
    </row>
    <row r="541">
      <c r="A541" s="1204">
        <f>'House Count'!A541</f>
        <v/>
      </c>
      <c r="B541" s="1205">
        <f>'House Count'!E541</f>
        <v/>
      </c>
      <c r="C541" s="1205">
        <f>'House Count'!B541</f>
        <v/>
      </c>
      <c r="D541" s="1205">
        <f>'House Count'!C541</f>
        <v/>
      </c>
      <c r="E541" s="1205">
        <f>'House Count'!D541</f>
        <v/>
      </c>
      <c r="F541" s="1205">
        <f>IF(G541="RES-SFU","RESIDENTIAL",IF(G541="RES-HOA","RESIDENTIAL",IF(G541="RES-MDU","RESIDENTIAL",IF(G541="COMM-SU","BUSINESS",IF(G541="COM-MTU","BUSINESS",IF(G541="ENT","BUSINESS",""))))))</f>
        <v/>
      </c>
      <c r="G541" s="1205">
        <f>'House Count'!F541</f>
        <v/>
      </c>
      <c r="H541" s="1205">
        <f>'House Count'!H541</f>
        <v/>
      </c>
    </row>
    <row r="542">
      <c r="A542" s="1204">
        <f>'House Count'!A542</f>
        <v/>
      </c>
      <c r="B542" s="1205">
        <f>'House Count'!E542</f>
        <v/>
      </c>
      <c r="C542" s="1205">
        <f>'House Count'!B542</f>
        <v/>
      </c>
      <c r="D542" s="1205">
        <f>'House Count'!C542</f>
        <v/>
      </c>
      <c r="E542" s="1205">
        <f>'House Count'!D542</f>
        <v/>
      </c>
      <c r="F542" s="1205">
        <f>IF(G542="RES-SFU","RESIDENTIAL",IF(G542="RES-HOA","RESIDENTIAL",IF(G542="RES-MDU","RESIDENTIAL",IF(G542="COMM-SU","BUSINESS",IF(G542="COM-MTU","BUSINESS",IF(G542="ENT","BUSINESS",""))))))</f>
        <v/>
      </c>
      <c r="G542" s="1205">
        <f>'House Count'!F542</f>
        <v/>
      </c>
      <c r="H542" s="1205">
        <f>'House Count'!H542</f>
        <v/>
      </c>
    </row>
    <row r="543">
      <c r="A543" s="1204">
        <f>'House Count'!A543</f>
        <v/>
      </c>
      <c r="B543" s="1205">
        <f>'House Count'!E543</f>
        <v/>
      </c>
      <c r="C543" s="1205">
        <f>'House Count'!B543</f>
        <v/>
      </c>
      <c r="D543" s="1205">
        <f>'House Count'!C543</f>
        <v/>
      </c>
      <c r="E543" s="1205">
        <f>'House Count'!D543</f>
        <v/>
      </c>
      <c r="F543" s="1205">
        <f>IF(G543="RES-SFU","RESIDENTIAL",IF(G543="RES-HOA","RESIDENTIAL",IF(G543="RES-MDU","RESIDENTIAL",IF(G543="COMM-SU","BUSINESS",IF(G543="COM-MTU","BUSINESS",IF(G543="ENT","BUSINESS",""))))))</f>
        <v/>
      </c>
      <c r="G543" s="1205">
        <f>'House Count'!F543</f>
        <v/>
      </c>
      <c r="H543" s="1205">
        <f>'House Count'!H543</f>
        <v/>
      </c>
    </row>
    <row r="544">
      <c r="A544" s="1204">
        <f>'House Count'!A544</f>
        <v/>
      </c>
      <c r="B544" s="1205">
        <f>'House Count'!E544</f>
        <v/>
      </c>
      <c r="C544" s="1205">
        <f>'House Count'!B544</f>
        <v/>
      </c>
      <c r="D544" s="1205">
        <f>'House Count'!C544</f>
        <v/>
      </c>
      <c r="E544" s="1205">
        <f>'House Count'!D544</f>
        <v/>
      </c>
      <c r="F544" s="1205">
        <f>IF(G544="RES-SFU","RESIDENTIAL",IF(G544="RES-HOA","RESIDENTIAL",IF(G544="RES-MDU","RESIDENTIAL",IF(G544="COMM-SU","BUSINESS",IF(G544="COM-MTU","BUSINESS",IF(G544="ENT","BUSINESS",""))))))</f>
        <v/>
      </c>
      <c r="G544" s="1205">
        <f>'House Count'!F544</f>
        <v/>
      </c>
      <c r="H544" s="1205">
        <f>'House Count'!H544</f>
        <v/>
      </c>
    </row>
    <row r="545">
      <c r="A545" s="1204">
        <f>'House Count'!A545</f>
        <v/>
      </c>
      <c r="B545" s="1205">
        <f>'House Count'!E545</f>
        <v/>
      </c>
      <c r="C545" s="1205">
        <f>'House Count'!B545</f>
        <v/>
      </c>
      <c r="D545" s="1205">
        <f>'House Count'!C545</f>
        <v/>
      </c>
      <c r="E545" s="1205">
        <f>'House Count'!D545</f>
        <v/>
      </c>
      <c r="F545" s="1205">
        <f>IF(G545="RES-SFU","RESIDENTIAL",IF(G545="RES-HOA","RESIDENTIAL",IF(G545="RES-MDU","RESIDENTIAL",IF(G545="COMM-SU","BUSINESS",IF(G545="COM-MTU","BUSINESS",IF(G545="ENT","BUSINESS",""))))))</f>
        <v/>
      </c>
      <c r="G545" s="1205">
        <f>'House Count'!F545</f>
        <v/>
      </c>
      <c r="H545" s="1205">
        <f>'House Count'!H545</f>
        <v/>
      </c>
    </row>
    <row r="546">
      <c r="A546" s="1204">
        <f>'House Count'!A546</f>
        <v/>
      </c>
      <c r="B546" s="1205">
        <f>'House Count'!E546</f>
        <v/>
      </c>
      <c r="C546" s="1205">
        <f>'House Count'!B546</f>
        <v/>
      </c>
      <c r="D546" s="1205">
        <f>'House Count'!C546</f>
        <v/>
      </c>
      <c r="E546" s="1205">
        <f>'House Count'!D546</f>
        <v/>
      </c>
      <c r="F546" s="1205">
        <f>IF(G546="RES-SFU","RESIDENTIAL",IF(G546="RES-HOA","RESIDENTIAL",IF(G546="RES-MDU","RESIDENTIAL",IF(G546="COMM-SU","BUSINESS",IF(G546="COM-MTU","BUSINESS",IF(G546="ENT","BUSINESS",""))))))</f>
        <v/>
      </c>
      <c r="G546" s="1205">
        <f>'House Count'!F546</f>
        <v/>
      </c>
      <c r="H546" s="1205">
        <f>'House Count'!H546</f>
        <v/>
      </c>
    </row>
    <row r="547">
      <c r="A547" s="1204">
        <f>'House Count'!A547</f>
        <v/>
      </c>
      <c r="B547" s="1205">
        <f>'House Count'!E547</f>
        <v/>
      </c>
      <c r="C547" s="1205">
        <f>'House Count'!B547</f>
        <v/>
      </c>
      <c r="D547" s="1205">
        <f>'House Count'!C547</f>
        <v/>
      </c>
      <c r="E547" s="1205">
        <f>'House Count'!D547</f>
        <v/>
      </c>
      <c r="F547" s="1205">
        <f>IF(G547="RES-SFU","RESIDENTIAL",IF(G547="RES-HOA","RESIDENTIAL",IF(G547="RES-MDU","RESIDENTIAL",IF(G547="COMM-SU","BUSINESS",IF(G547="COM-MTU","BUSINESS",IF(G547="ENT","BUSINESS",""))))))</f>
        <v/>
      </c>
      <c r="G547" s="1205">
        <f>'House Count'!F547</f>
        <v/>
      </c>
      <c r="H547" s="1205">
        <f>'House Count'!H547</f>
        <v/>
      </c>
    </row>
    <row r="548">
      <c r="A548" s="1204">
        <f>'House Count'!A548</f>
        <v/>
      </c>
      <c r="B548" s="1205">
        <f>'House Count'!E548</f>
        <v/>
      </c>
      <c r="C548" s="1205">
        <f>'House Count'!B548</f>
        <v/>
      </c>
      <c r="D548" s="1205">
        <f>'House Count'!C548</f>
        <v/>
      </c>
      <c r="E548" s="1205">
        <f>'House Count'!D548</f>
        <v/>
      </c>
      <c r="F548" s="1205">
        <f>IF(G548="RES-SFU","RESIDENTIAL",IF(G548="RES-HOA","RESIDENTIAL",IF(G548="RES-MDU","RESIDENTIAL",IF(G548="COMM-SU","BUSINESS",IF(G548="COM-MTU","BUSINESS",IF(G548="ENT","BUSINESS",""))))))</f>
        <v/>
      </c>
      <c r="G548" s="1205">
        <f>'House Count'!F548</f>
        <v/>
      </c>
      <c r="H548" s="1205">
        <f>'House Count'!H548</f>
        <v/>
      </c>
    </row>
    <row r="549">
      <c r="A549" s="1204">
        <f>'House Count'!A549</f>
        <v/>
      </c>
      <c r="B549" s="1205">
        <f>'House Count'!E549</f>
        <v/>
      </c>
      <c r="C549" s="1205">
        <f>'House Count'!B549</f>
        <v/>
      </c>
      <c r="D549" s="1205">
        <f>'House Count'!C549</f>
        <v/>
      </c>
      <c r="E549" s="1205">
        <f>'House Count'!D549</f>
        <v/>
      </c>
      <c r="F549" s="1205">
        <f>IF(G549="RES-SFU","RESIDENTIAL",IF(G549="RES-HOA","RESIDENTIAL",IF(G549="RES-MDU","RESIDENTIAL",IF(G549="COMM-SU","BUSINESS",IF(G549="COM-MTU","BUSINESS",IF(G549="ENT","BUSINESS",""))))))</f>
        <v/>
      </c>
      <c r="G549" s="1205">
        <f>'House Count'!F549</f>
        <v/>
      </c>
      <c r="H549" s="1205">
        <f>'House Count'!H549</f>
        <v/>
      </c>
    </row>
    <row r="550">
      <c r="A550" s="1204">
        <f>'House Count'!A550</f>
        <v/>
      </c>
      <c r="B550" s="1205">
        <f>'House Count'!E550</f>
        <v/>
      </c>
      <c r="C550" s="1205">
        <f>'House Count'!B550</f>
        <v/>
      </c>
      <c r="D550" s="1205">
        <f>'House Count'!C550</f>
        <v/>
      </c>
      <c r="E550" s="1205">
        <f>'House Count'!D550</f>
        <v/>
      </c>
      <c r="F550" s="1205">
        <f>IF(G550="RES-SFU","RESIDENTIAL",IF(G550="RES-HOA","RESIDENTIAL",IF(G550="RES-MDU","RESIDENTIAL",IF(G550="COMM-SU","BUSINESS",IF(G550="COM-MTU","BUSINESS",IF(G550="ENT","BUSINESS",""))))))</f>
        <v/>
      </c>
      <c r="G550" s="1205">
        <f>'House Count'!F550</f>
        <v/>
      </c>
      <c r="H550" s="1205">
        <f>'House Count'!H550</f>
        <v/>
      </c>
    </row>
    <row r="551">
      <c r="A551" s="1204">
        <f>'House Count'!A551</f>
        <v/>
      </c>
      <c r="B551" s="1205">
        <f>'House Count'!E551</f>
        <v/>
      </c>
      <c r="C551" s="1205">
        <f>'House Count'!B551</f>
        <v/>
      </c>
      <c r="D551" s="1205">
        <f>'House Count'!C551</f>
        <v/>
      </c>
      <c r="E551" s="1205">
        <f>'House Count'!D551</f>
        <v/>
      </c>
      <c r="F551" s="1205">
        <f>IF(G551="RES-SFU","RESIDENTIAL",IF(G551="RES-HOA","RESIDENTIAL",IF(G551="RES-MDU","RESIDENTIAL",IF(G551="COMM-SU","BUSINESS",IF(G551="COM-MTU","BUSINESS",IF(G551="ENT","BUSINESS",""))))))</f>
        <v/>
      </c>
      <c r="G551" s="1205">
        <f>'House Count'!F551</f>
        <v/>
      </c>
      <c r="H551" s="1205">
        <f>'House Count'!H551</f>
        <v/>
      </c>
    </row>
    <row r="552">
      <c r="A552" s="1204">
        <f>'House Count'!A552</f>
        <v/>
      </c>
      <c r="B552" s="1205">
        <f>'House Count'!E552</f>
        <v/>
      </c>
      <c r="C552" s="1205">
        <f>'House Count'!B552</f>
        <v/>
      </c>
      <c r="D552" s="1205">
        <f>'House Count'!C552</f>
        <v/>
      </c>
      <c r="E552" s="1205">
        <f>'House Count'!D552</f>
        <v/>
      </c>
      <c r="F552" s="1205">
        <f>IF(G552="RES-SFU","RESIDENTIAL",IF(G552="RES-HOA","RESIDENTIAL",IF(G552="RES-MDU","RESIDENTIAL",IF(G552="COMM-SU","BUSINESS",IF(G552="COM-MTU","BUSINESS",IF(G552="ENT","BUSINESS",""))))))</f>
        <v/>
      </c>
      <c r="G552" s="1205">
        <f>'House Count'!F552</f>
        <v/>
      </c>
      <c r="H552" s="1205">
        <f>'House Count'!H552</f>
        <v/>
      </c>
    </row>
    <row r="553">
      <c r="A553" s="1204">
        <f>'House Count'!A553</f>
        <v/>
      </c>
      <c r="B553" s="1205">
        <f>'House Count'!E553</f>
        <v/>
      </c>
      <c r="C553" s="1205">
        <f>'House Count'!B553</f>
        <v/>
      </c>
      <c r="D553" s="1205">
        <f>'House Count'!C553</f>
        <v/>
      </c>
      <c r="E553" s="1205">
        <f>'House Count'!D553</f>
        <v/>
      </c>
      <c r="F553" s="1205">
        <f>IF(G553="RES-SFU","RESIDENTIAL",IF(G553="RES-HOA","RESIDENTIAL",IF(G553="RES-MDU","RESIDENTIAL",IF(G553="COMM-SU","BUSINESS",IF(G553="COM-MTU","BUSINESS",IF(G553="ENT","BUSINESS",""))))))</f>
        <v/>
      </c>
      <c r="G553" s="1205">
        <f>'House Count'!F553</f>
        <v/>
      </c>
      <c r="H553" s="1205">
        <f>'House Count'!H553</f>
        <v/>
      </c>
    </row>
    <row r="554">
      <c r="A554" s="1204">
        <f>'House Count'!A554</f>
        <v/>
      </c>
      <c r="B554" s="1205">
        <f>'House Count'!E554</f>
        <v/>
      </c>
      <c r="C554" s="1205">
        <f>'House Count'!B554</f>
        <v/>
      </c>
      <c r="D554" s="1205">
        <f>'House Count'!C554</f>
        <v/>
      </c>
      <c r="E554" s="1205">
        <f>'House Count'!D554</f>
        <v/>
      </c>
      <c r="F554" s="1205">
        <f>IF(G554="RES-SFU","RESIDENTIAL",IF(G554="RES-HOA","RESIDENTIAL",IF(G554="RES-MDU","RESIDENTIAL",IF(G554="COMM-SU","BUSINESS",IF(G554="COM-MTU","BUSINESS",IF(G554="ENT","BUSINESS",""))))))</f>
        <v/>
      </c>
      <c r="G554" s="1205">
        <f>'House Count'!F554</f>
        <v/>
      </c>
      <c r="H554" s="1205">
        <f>'House Count'!H554</f>
        <v/>
      </c>
    </row>
    <row r="555">
      <c r="A555" s="1204">
        <f>'House Count'!A555</f>
        <v/>
      </c>
      <c r="B555" s="1205">
        <f>'House Count'!E555</f>
        <v/>
      </c>
      <c r="C555" s="1205">
        <f>'House Count'!B555</f>
        <v/>
      </c>
      <c r="D555" s="1205">
        <f>'House Count'!C555</f>
        <v/>
      </c>
      <c r="E555" s="1205">
        <f>'House Count'!D555</f>
        <v/>
      </c>
      <c r="F555" s="1205">
        <f>IF(G555="RES-SFU","RESIDENTIAL",IF(G555="RES-HOA","RESIDENTIAL",IF(G555="RES-MDU","RESIDENTIAL",IF(G555="COMM-SU","BUSINESS",IF(G555="COM-MTU","BUSINESS",IF(G555="ENT","BUSINESS",""))))))</f>
        <v/>
      </c>
      <c r="G555" s="1205">
        <f>'House Count'!F555</f>
        <v/>
      </c>
      <c r="H555" s="1205">
        <f>'House Count'!H555</f>
        <v/>
      </c>
    </row>
    <row r="556">
      <c r="A556" s="1204">
        <f>'House Count'!A556</f>
        <v/>
      </c>
      <c r="B556" s="1205">
        <f>'House Count'!E556</f>
        <v/>
      </c>
      <c r="C556" s="1205">
        <f>'House Count'!B556</f>
        <v/>
      </c>
      <c r="D556" s="1205">
        <f>'House Count'!C556</f>
        <v/>
      </c>
      <c r="E556" s="1205">
        <f>'House Count'!D556</f>
        <v/>
      </c>
      <c r="F556" s="1205">
        <f>IF(G556="RES-SFU","RESIDENTIAL",IF(G556="RES-HOA","RESIDENTIAL",IF(G556="RES-MDU","RESIDENTIAL",IF(G556="COMM-SU","BUSINESS",IF(G556="COM-MTU","BUSINESS",IF(G556="ENT","BUSINESS",""))))))</f>
        <v/>
      </c>
      <c r="G556" s="1205">
        <f>'House Count'!F556</f>
        <v/>
      </c>
      <c r="H556" s="1205">
        <f>'House Count'!H556</f>
        <v/>
      </c>
    </row>
    <row r="557">
      <c r="A557" s="1204">
        <f>'House Count'!A557</f>
        <v/>
      </c>
      <c r="B557" s="1205">
        <f>'House Count'!E557</f>
        <v/>
      </c>
      <c r="C557" s="1205">
        <f>'House Count'!B557</f>
        <v/>
      </c>
      <c r="D557" s="1205">
        <f>'House Count'!C557</f>
        <v/>
      </c>
      <c r="E557" s="1205">
        <f>'House Count'!D557</f>
        <v/>
      </c>
      <c r="F557" s="1205">
        <f>IF(G557="RES-SFU","RESIDENTIAL",IF(G557="RES-HOA","RESIDENTIAL",IF(G557="RES-MDU","RESIDENTIAL",IF(G557="COMM-SU","BUSINESS",IF(G557="COM-MTU","BUSINESS",IF(G557="ENT","BUSINESS",""))))))</f>
        <v/>
      </c>
      <c r="G557" s="1205">
        <f>'House Count'!F557</f>
        <v/>
      </c>
      <c r="H557" s="1205">
        <f>'House Count'!H557</f>
        <v/>
      </c>
    </row>
    <row r="558">
      <c r="A558" s="1204">
        <f>'House Count'!A558</f>
        <v/>
      </c>
      <c r="B558" s="1205">
        <f>'House Count'!E558</f>
        <v/>
      </c>
      <c r="C558" s="1205">
        <f>'House Count'!B558</f>
        <v/>
      </c>
      <c r="D558" s="1205">
        <f>'House Count'!C558</f>
        <v/>
      </c>
      <c r="E558" s="1205">
        <f>'House Count'!D558</f>
        <v/>
      </c>
      <c r="F558" s="1205">
        <f>IF(G558="RES-SFU","RESIDENTIAL",IF(G558="RES-HOA","RESIDENTIAL",IF(G558="RES-MDU","RESIDENTIAL",IF(G558="COMM-SU","BUSINESS",IF(G558="COM-MTU","BUSINESS",IF(G558="ENT","BUSINESS",""))))))</f>
        <v/>
      </c>
      <c r="G558" s="1205">
        <f>'House Count'!F558</f>
        <v/>
      </c>
      <c r="H558" s="1205">
        <f>'House Count'!H558</f>
        <v/>
      </c>
    </row>
    <row r="559">
      <c r="A559" s="1204">
        <f>'House Count'!A559</f>
        <v/>
      </c>
      <c r="B559" s="1205">
        <f>'House Count'!E559</f>
        <v/>
      </c>
      <c r="C559" s="1205">
        <f>'House Count'!B559</f>
        <v/>
      </c>
      <c r="D559" s="1205">
        <f>'House Count'!C559</f>
        <v/>
      </c>
      <c r="E559" s="1205">
        <f>'House Count'!D559</f>
        <v/>
      </c>
      <c r="F559" s="1205">
        <f>IF(G559="RES-SFU","RESIDENTIAL",IF(G559="RES-HOA","RESIDENTIAL",IF(G559="RES-MDU","RESIDENTIAL",IF(G559="COMM-SU","BUSINESS",IF(G559="COM-MTU","BUSINESS",IF(G559="ENT","BUSINESS",""))))))</f>
        <v/>
      </c>
      <c r="G559" s="1205">
        <f>'House Count'!F559</f>
        <v/>
      </c>
      <c r="H559" s="1205">
        <f>'House Count'!H559</f>
        <v/>
      </c>
    </row>
    <row r="560">
      <c r="A560" s="1204">
        <f>'House Count'!A560</f>
        <v/>
      </c>
      <c r="B560" s="1205">
        <f>'House Count'!E560</f>
        <v/>
      </c>
      <c r="C560" s="1205">
        <f>'House Count'!B560</f>
        <v/>
      </c>
      <c r="D560" s="1205">
        <f>'House Count'!C560</f>
        <v/>
      </c>
      <c r="E560" s="1205">
        <f>'House Count'!D560</f>
        <v/>
      </c>
      <c r="F560" s="1205">
        <f>IF(G560="RES-SFU","RESIDENTIAL",IF(G560="RES-HOA","RESIDENTIAL",IF(G560="RES-MDU","RESIDENTIAL",IF(G560="COMM-SU","BUSINESS",IF(G560="COM-MTU","BUSINESS",IF(G560="ENT","BUSINESS",""))))))</f>
        <v/>
      </c>
      <c r="G560" s="1205">
        <f>'House Count'!F560</f>
        <v/>
      </c>
      <c r="H560" s="1205">
        <f>'House Count'!H560</f>
        <v/>
      </c>
    </row>
    <row r="561">
      <c r="A561" s="1204">
        <f>'House Count'!A561</f>
        <v/>
      </c>
      <c r="B561" s="1205">
        <f>'House Count'!E561</f>
        <v/>
      </c>
      <c r="C561" s="1205">
        <f>'House Count'!B561</f>
        <v/>
      </c>
      <c r="D561" s="1205">
        <f>'House Count'!C561</f>
        <v/>
      </c>
      <c r="E561" s="1205">
        <f>'House Count'!D561</f>
        <v/>
      </c>
      <c r="F561" s="1205">
        <f>IF(G561="RES-SFU","RESIDENTIAL",IF(G561="RES-HOA","RESIDENTIAL",IF(G561="RES-MDU","RESIDENTIAL",IF(G561="COMM-SU","BUSINESS",IF(G561="COM-MTU","BUSINESS",IF(G561="ENT","BUSINESS",""))))))</f>
        <v/>
      </c>
      <c r="G561" s="1205">
        <f>'House Count'!F561</f>
        <v/>
      </c>
      <c r="H561" s="1205">
        <f>'House Count'!H561</f>
        <v/>
      </c>
    </row>
    <row r="562">
      <c r="A562" s="1204">
        <f>'House Count'!A562</f>
        <v/>
      </c>
      <c r="B562" s="1205">
        <f>'House Count'!E562</f>
        <v/>
      </c>
      <c r="C562" s="1205">
        <f>'House Count'!B562</f>
        <v/>
      </c>
      <c r="D562" s="1205">
        <f>'House Count'!C562</f>
        <v/>
      </c>
      <c r="E562" s="1205">
        <f>'House Count'!D562</f>
        <v/>
      </c>
      <c r="F562" s="1205">
        <f>IF(G562="RES-SFU","RESIDENTIAL",IF(G562="RES-HOA","RESIDENTIAL",IF(G562="RES-MDU","RESIDENTIAL",IF(G562="COMM-SU","BUSINESS",IF(G562="COM-MTU","BUSINESS",IF(G562="ENT","BUSINESS",""))))))</f>
        <v/>
      </c>
      <c r="G562" s="1205">
        <f>'House Count'!F562</f>
        <v/>
      </c>
      <c r="H562" s="1205">
        <f>'House Count'!H562</f>
        <v/>
      </c>
    </row>
    <row r="563">
      <c r="A563" s="1204">
        <f>'House Count'!A563</f>
        <v/>
      </c>
      <c r="B563" s="1205">
        <f>'House Count'!E563</f>
        <v/>
      </c>
      <c r="C563" s="1205">
        <f>'House Count'!B563</f>
        <v/>
      </c>
      <c r="D563" s="1205">
        <f>'House Count'!C563</f>
        <v/>
      </c>
      <c r="E563" s="1205">
        <f>'House Count'!D563</f>
        <v/>
      </c>
      <c r="F563" s="1205">
        <f>IF(G563="RES-SFU","RESIDENTIAL",IF(G563="RES-HOA","RESIDENTIAL",IF(G563="RES-MDU","RESIDENTIAL",IF(G563="COMM-SU","BUSINESS",IF(G563="COM-MTU","BUSINESS",IF(G563="ENT","BUSINESS",""))))))</f>
        <v/>
      </c>
      <c r="G563" s="1205">
        <f>'House Count'!F563</f>
        <v/>
      </c>
      <c r="H563" s="1205">
        <f>'House Count'!H563</f>
        <v/>
      </c>
    </row>
    <row r="564">
      <c r="A564" s="1204">
        <f>'House Count'!A564</f>
        <v/>
      </c>
      <c r="B564" s="1205">
        <f>'House Count'!E564</f>
        <v/>
      </c>
      <c r="C564" s="1205">
        <f>'House Count'!B564</f>
        <v/>
      </c>
      <c r="D564" s="1205">
        <f>'House Count'!C564</f>
        <v/>
      </c>
      <c r="E564" s="1205">
        <f>'House Count'!D564</f>
        <v/>
      </c>
      <c r="F564" s="1205">
        <f>IF(G564="RES-SFU","RESIDENTIAL",IF(G564="RES-HOA","RESIDENTIAL",IF(G564="RES-MDU","RESIDENTIAL",IF(G564="COMM-SU","BUSINESS",IF(G564="COM-MTU","BUSINESS",IF(G564="ENT","BUSINESS",""))))))</f>
        <v/>
      </c>
      <c r="G564" s="1205">
        <f>'House Count'!F564</f>
        <v/>
      </c>
      <c r="H564" s="1205">
        <f>'House Count'!H564</f>
        <v/>
      </c>
    </row>
    <row r="565">
      <c r="A565" s="1204">
        <f>'House Count'!A565</f>
        <v/>
      </c>
      <c r="B565" s="1205">
        <f>'House Count'!E565</f>
        <v/>
      </c>
      <c r="C565" s="1205">
        <f>'House Count'!B565</f>
        <v/>
      </c>
      <c r="D565" s="1205">
        <f>'House Count'!C565</f>
        <v/>
      </c>
      <c r="E565" s="1205">
        <f>'House Count'!D565</f>
        <v/>
      </c>
      <c r="F565" s="1205">
        <f>IF(G565="RES-SFU","RESIDENTIAL",IF(G565="RES-HOA","RESIDENTIAL",IF(G565="RES-MDU","RESIDENTIAL",IF(G565="COMM-SU","BUSINESS",IF(G565="COM-MTU","BUSINESS",IF(G565="ENT","BUSINESS",""))))))</f>
        <v/>
      </c>
      <c r="G565" s="1205">
        <f>'House Count'!F565</f>
        <v/>
      </c>
      <c r="H565" s="1205">
        <f>'House Count'!H565</f>
        <v/>
      </c>
    </row>
    <row r="566">
      <c r="A566" s="1204">
        <f>'House Count'!A566</f>
        <v/>
      </c>
      <c r="B566" s="1205">
        <f>'House Count'!E566</f>
        <v/>
      </c>
      <c r="C566" s="1205">
        <f>'House Count'!B566</f>
        <v/>
      </c>
      <c r="D566" s="1205">
        <f>'House Count'!C566</f>
        <v/>
      </c>
      <c r="E566" s="1205">
        <f>'House Count'!D566</f>
        <v/>
      </c>
      <c r="F566" s="1205">
        <f>IF(G566="RES-SFU","RESIDENTIAL",IF(G566="RES-HOA","RESIDENTIAL",IF(G566="RES-MDU","RESIDENTIAL",IF(G566="COMM-SU","BUSINESS",IF(G566="COM-MTU","BUSINESS",IF(G566="ENT","BUSINESS",""))))))</f>
        <v/>
      </c>
      <c r="G566" s="1205">
        <f>'House Count'!F566</f>
        <v/>
      </c>
      <c r="H566" s="1205">
        <f>'House Count'!H566</f>
        <v/>
      </c>
    </row>
    <row r="567">
      <c r="A567" s="1204">
        <f>'House Count'!A567</f>
        <v/>
      </c>
      <c r="B567" s="1205">
        <f>'House Count'!E567</f>
        <v/>
      </c>
      <c r="C567" s="1205">
        <f>'House Count'!B567</f>
        <v/>
      </c>
      <c r="D567" s="1205">
        <f>'House Count'!C567</f>
        <v/>
      </c>
      <c r="E567" s="1205">
        <f>'House Count'!D567</f>
        <v/>
      </c>
      <c r="F567" s="1205">
        <f>IF(G567="RES-SFU","RESIDENTIAL",IF(G567="RES-HOA","RESIDENTIAL",IF(G567="RES-MDU","RESIDENTIAL",IF(G567="COMM-SU","BUSINESS",IF(G567="COM-MTU","BUSINESS",IF(G567="ENT","BUSINESS",""))))))</f>
        <v/>
      </c>
      <c r="G567" s="1205">
        <f>'House Count'!F567</f>
        <v/>
      </c>
      <c r="H567" s="1205">
        <f>'House Count'!H567</f>
        <v/>
      </c>
    </row>
    <row r="568">
      <c r="A568" s="1204">
        <f>'House Count'!A568</f>
        <v/>
      </c>
      <c r="B568" s="1205">
        <f>'House Count'!E568</f>
        <v/>
      </c>
      <c r="C568" s="1205">
        <f>'House Count'!B568</f>
        <v/>
      </c>
      <c r="D568" s="1205">
        <f>'House Count'!C568</f>
        <v/>
      </c>
      <c r="E568" s="1205">
        <f>'House Count'!D568</f>
        <v/>
      </c>
      <c r="F568" s="1205">
        <f>IF(G568="RES-SFU","RESIDENTIAL",IF(G568="RES-HOA","RESIDENTIAL",IF(G568="RES-MDU","RESIDENTIAL",IF(G568="COMM-SU","BUSINESS",IF(G568="COM-MTU","BUSINESS",IF(G568="ENT","BUSINESS",""))))))</f>
        <v/>
      </c>
      <c r="G568" s="1205">
        <f>'House Count'!F568</f>
        <v/>
      </c>
      <c r="H568" s="1205">
        <f>'House Count'!H568</f>
        <v/>
      </c>
    </row>
    <row r="569">
      <c r="A569" s="1204">
        <f>'House Count'!A569</f>
        <v/>
      </c>
      <c r="B569" s="1205">
        <f>'House Count'!E569</f>
        <v/>
      </c>
      <c r="C569" s="1205">
        <f>'House Count'!B569</f>
        <v/>
      </c>
      <c r="D569" s="1205">
        <f>'House Count'!C569</f>
        <v/>
      </c>
      <c r="E569" s="1205">
        <f>'House Count'!D569</f>
        <v/>
      </c>
      <c r="F569" s="1205">
        <f>IF(G569="RES-SFU","RESIDENTIAL",IF(G569="RES-HOA","RESIDENTIAL",IF(G569="RES-MDU","RESIDENTIAL",IF(G569="COMM-SU","BUSINESS",IF(G569="COM-MTU","BUSINESS",IF(G569="ENT","BUSINESS",""))))))</f>
        <v/>
      </c>
      <c r="G569" s="1205">
        <f>'House Count'!F569</f>
        <v/>
      </c>
      <c r="H569" s="1205">
        <f>'House Count'!H569</f>
        <v/>
      </c>
    </row>
    <row r="570">
      <c r="A570" s="1204">
        <f>'House Count'!A570</f>
        <v/>
      </c>
      <c r="B570" s="1205">
        <f>'House Count'!E570</f>
        <v/>
      </c>
      <c r="C570" s="1205">
        <f>'House Count'!B570</f>
        <v/>
      </c>
      <c r="D570" s="1205">
        <f>'House Count'!C570</f>
        <v/>
      </c>
      <c r="E570" s="1205">
        <f>'House Count'!D570</f>
        <v/>
      </c>
      <c r="F570" s="1205">
        <f>IF(G570="RES-SFU","RESIDENTIAL",IF(G570="RES-HOA","RESIDENTIAL",IF(G570="RES-MDU","RESIDENTIAL",IF(G570="COMM-SU","BUSINESS",IF(G570="COM-MTU","BUSINESS",IF(G570="ENT","BUSINESS",""))))))</f>
        <v/>
      </c>
      <c r="G570" s="1205">
        <f>'House Count'!F570</f>
        <v/>
      </c>
      <c r="H570" s="1205">
        <f>'House Count'!H570</f>
        <v/>
      </c>
    </row>
    <row r="571">
      <c r="A571" s="1204">
        <f>'House Count'!A571</f>
        <v/>
      </c>
      <c r="B571" s="1205">
        <f>'House Count'!E571</f>
        <v/>
      </c>
      <c r="C571" s="1205">
        <f>'House Count'!B571</f>
        <v/>
      </c>
      <c r="D571" s="1205">
        <f>'House Count'!C571</f>
        <v/>
      </c>
      <c r="E571" s="1205">
        <f>'House Count'!D571</f>
        <v/>
      </c>
      <c r="F571" s="1205">
        <f>IF(G571="RES-SFU","RESIDENTIAL",IF(G571="RES-HOA","RESIDENTIAL",IF(G571="RES-MDU","RESIDENTIAL",IF(G571="COMM-SU","BUSINESS",IF(G571="COM-MTU","BUSINESS",IF(G571="ENT","BUSINESS",""))))))</f>
        <v/>
      </c>
      <c r="G571" s="1205">
        <f>'House Count'!F571</f>
        <v/>
      </c>
      <c r="H571" s="1205">
        <f>'House Count'!H571</f>
        <v/>
      </c>
    </row>
    <row r="572">
      <c r="A572" s="1204">
        <f>'House Count'!A572</f>
        <v/>
      </c>
      <c r="B572" s="1205">
        <f>'House Count'!E572</f>
        <v/>
      </c>
      <c r="C572" s="1205">
        <f>'House Count'!B572</f>
        <v/>
      </c>
      <c r="D572" s="1205">
        <f>'House Count'!C572</f>
        <v/>
      </c>
      <c r="E572" s="1205">
        <f>'House Count'!D572</f>
        <v/>
      </c>
      <c r="F572" s="1205">
        <f>IF(G572="RES-SFU","RESIDENTIAL",IF(G572="RES-HOA","RESIDENTIAL",IF(G572="RES-MDU","RESIDENTIAL",IF(G572="COMM-SU","BUSINESS",IF(G572="COM-MTU","BUSINESS",IF(G572="ENT","BUSINESS",""))))))</f>
        <v/>
      </c>
      <c r="G572" s="1205">
        <f>'House Count'!F572</f>
        <v/>
      </c>
      <c r="H572" s="1205">
        <f>'House Count'!H572</f>
        <v/>
      </c>
    </row>
    <row r="573">
      <c r="A573" s="1204">
        <f>'House Count'!A573</f>
        <v/>
      </c>
      <c r="B573" s="1205">
        <f>'House Count'!E573</f>
        <v/>
      </c>
      <c r="C573" s="1205">
        <f>'House Count'!B573</f>
        <v/>
      </c>
      <c r="D573" s="1205">
        <f>'House Count'!C573</f>
        <v/>
      </c>
      <c r="E573" s="1205">
        <f>'House Count'!D573</f>
        <v/>
      </c>
      <c r="F573" s="1205">
        <f>IF(G573="RES-SFU","RESIDENTIAL",IF(G573="RES-HOA","RESIDENTIAL",IF(G573="RES-MDU","RESIDENTIAL",IF(G573="COMM-SU","BUSINESS",IF(G573="COM-MTU","BUSINESS",IF(G573="ENT","BUSINESS",""))))))</f>
        <v/>
      </c>
      <c r="G573" s="1205">
        <f>'House Count'!F573</f>
        <v/>
      </c>
      <c r="H573" s="1205">
        <f>'House Count'!H573</f>
        <v/>
      </c>
    </row>
    <row r="574">
      <c r="A574" s="1204">
        <f>'House Count'!A574</f>
        <v/>
      </c>
      <c r="B574" s="1205">
        <f>'House Count'!E574</f>
        <v/>
      </c>
      <c r="C574" s="1205">
        <f>'House Count'!B574</f>
        <v/>
      </c>
      <c r="D574" s="1205">
        <f>'House Count'!C574</f>
        <v/>
      </c>
      <c r="E574" s="1205">
        <f>'House Count'!D574</f>
        <v/>
      </c>
      <c r="F574" s="1205">
        <f>IF(G574="RES-SFU","RESIDENTIAL",IF(G574="RES-HOA","RESIDENTIAL",IF(G574="RES-MDU","RESIDENTIAL",IF(G574="COMM-SU","BUSINESS",IF(G574="COM-MTU","BUSINESS",IF(G574="ENT","BUSINESS",""))))))</f>
        <v/>
      </c>
      <c r="G574" s="1205">
        <f>'House Count'!F574</f>
        <v/>
      </c>
      <c r="H574" s="1205">
        <f>'House Count'!H574</f>
        <v/>
      </c>
    </row>
    <row r="575">
      <c r="A575" s="1204">
        <f>'House Count'!A575</f>
        <v/>
      </c>
      <c r="B575" s="1205">
        <f>'House Count'!E575</f>
        <v/>
      </c>
      <c r="C575" s="1205">
        <f>'House Count'!B575</f>
        <v/>
      </c>
      <c r="D575" s="1205">
        <f>'House Count'!C575</f>
        <v/>
      </c>
      <c r="E575" s="1205">
        <f>'House Count'!D575</f>
        <v/>
      </c>
      <c r="F575" s="1205">
        <f>IF(G575="RES-SFU","RESIDENTIAL",IF(G575="RES-HOA","RESIDENTIAL",IF(G575="RES-MDU","RESIDENTIAL",IF(G575="COMM-SU","BUSINESS",IF(G575="COM-MTU","BUSINESS",IF(G575="ENT","BUSINESS",""))))))</f>
        <v/>
      </c>
      <c r="G575" s="1205">
        <f>'House Count'!F575</f>
        <v/>
      </c>
      <c r="H575" s="1205">
        <f>'House Count'!H575</f>
        <v/>
      </c>
    </row>
    <row r="576">
      <c r="A576" s="1204">
        <f>'House Count'!A576</f>
        <v/>
      </c>
      <c r="B576" s="1205">
        <f>'House Count'!E576</f>
        <v/>
      </c>
      <c r="C576" s="1205">
        <f>'House Count'!B576</f>
        <v/>
      </c>
      <c r="D576" s="1205">
        <f>'House Count'!C576</f>
        <v/>
      </c>
      <c r="E576" s="1205">
        <f>'House Count'!D576</f>
        <v/>
      </c>
      <c r="F576" s="1205">
        <f>IF(G576="RES-SFU","RESIDENTIAL",IF(G576="RES-HOA","RESIDENTIAL",IF(G576="RES-MDU","RESIDENTIAL",IF(G576="COMM-SU","BUSINESS",IF(G576="COM-MTU","BUSINESS",IF(G576="ENT","BUSINESS",""))))))</f>
        <v/>
      </c>
      <c r="G576" s="1205">
        <f>'House Count'!F576</f>
        <v/>
      </c>
      <c r="H576" s="1205">
        <f>'House Count'!H576</f>
        <v/>
      </c>
    </row>
    <row r="577">
      <c r="A577" s="1204">
        <f>'House Count'!A577</f>
        <v/>
      </c>
      <c r="B577" s="1205">
        <f>'House Count'!E577</f>
        <v/>
      </c>
      <c r="C577" s="1205">
        <f>'House Count'!B577</f>
        <v/>
      </c>
      <c r="D577" s="1205">
        <f>'House Count'!C577</f>
        <v/>
      </c>
      <c r="E577" s="1205">
        <f>'House Count'!D577</f>
        <v/>
      </c>
      <c r="F577" s="1205">
        <f>IF(G577="RES-SFU","RESIDENTIAL",IF(G577="RES-HOA","RESIDENTIAL",IF(G577="RES-MDU","RESIDENTIAL",IF(G577="COMM-SU","BUSINESS",IF(G577="COM-MTU","BUSINESS",IF(G577="ENT","BUSINESS",""))))))</f>
        <v/>
      </c>
      <c r="G577" s="1205">
        <f>'House Count'!F577</f>
        <v/>
      </c>
      <c r="H577" s="1205">
        <f>'House Count'!H577</f>
        <v/>
      </c>
    </row>
    <row r="578">
      <c r="A578" s="1204">
        <f>'House Count'!A578</f>
        <v/>
      </c>
      <c r="B578" s="1205">
        <f>'House Count'!E578</f>
        <v/>
      </c>
      <c r="C578" s="1205">
        <f>'House Count'!B578</f>
        <v/>
      </c>
      <c r="D578" s="1205">
        <f>'House Count'!C578</f>
        <v/>
      </c>
      <c r="E578" s="1205">
        <f>'House Count'!D578</f>
        <v/>
      </c>
      <c r="F578" s="1205">
        <f>IF(G578="RES-SFU","RESIDENTIAL",IF(G578="RES-HOA","RESIDENTIAL",IF(G578="RES-MDU","RESIDENTIAL",IF(G578="COMM-SU","BUSINESS",IF(G578="COM-MTU","BUSINESS",IF(G578="ENT","BUSINESS",""))))))</f>
        <v/>
      </c>
      <c r="G578" s="1205">
        <f>'House Count'!F578</f>
        <v/>
      </c>
      <c r="H578" s="1205">
        <f>'House Count'!H578</f>
        <v/>
      </c>
    </row>
    <row r="579">
      <c r="A579" s="1204">
        <f>'House Count'!A579</f>
        <v/>
      </c>
      <c r="B579" s="1205">
        <f>'House Count'!E579</f>
        <v/>
      </c>
      <c r="C579" s="1205">
        <f>'House Count'!B579</f>
        <v/>
      </c>
      <c r="D579" s="1205">
        <f>'House Count'!C579</f>
        <v/>
      </c>
      <c r="E579" s="1205">
        <f>'House Count'!D579</f>
        <v/>
      </c>
      <c r="F579" s="1205">
        <f>IF(G579="RES-SFU","RESIDENTIAL",IF(G579="RES-HOA","RESIDENTIAL",IF(G579="RES-MDU","RESIDENTIAL",IF(G579="COMM-SU","BUSINESS",IF(G579="COM-MTU","BUSINESS",IF(G579="ENT","BUSINESS",""))))))</f>
        <v/>
      </c>
      <c r="G579" s="1205">
        <f>'House Count'!F579</f>
        <v/>
      </c>
      <c r="H579" s="1205">
        <f>'House Count'!H579</f>
        <v/>
      </c>
    </row>
    <row r="580">
      <c r="A580" s="1204">
        <f>'House Count'!A580</f>
        <v/>
      </c>
      <c r="B580" s="1205">
        <f>'House Count'!E580</f>
        <v/>
      </c>
      <c r="C580" s="1205">
        <f>'House Count'!B580</f>
        <v/>
      </c>
      <c r="D580" s="1205">
        <f>'House Count'!C580</f>
        <v/>
      </c>
      <c r="E580" s="1205">
        <f>'House Count'!D580</f>
        <v/>
      </c>
      <c r="F580" s="1205">
        <f>IF(G580="RES-SFU","RESIDENTIAL",IF(G580="RES-HOA","RESIDENTIAL",IF(G580="RES-MDU","RESIDENTIAL",IF(G580="COMM-SU","BUSINESS",IF(G580="COM-MTU","BUSINESS",IF(G580="ENT","BUSINESS",""))))))</f>
        <v/>
      </c>
      <c r="G580" s="1205">
        <f>'House Count'!F580</f>
        <v/>
      </c>
      <c r="H580" s="1205">
        <f>'House Count'!H580</f>
        <v/>
      </c>
    </row>
    <row r="581">
      <c r="A581" s="1204">
        <f>'House Count'!A581</f>
        <v/>
      </c>
      <c r="B581" s="1205">
        <f>'House Count'!E581</f>
        <v/>
      </c>
      <c r="C581" s="1205">
        <f>'House Count'!B581</f>
        <v/>
      </c>
      <c r="D581" s="1205">
        <f>'House Count'!C581</f>
        <v/>
      </c>
      <c r="E581" s="1205">
        <f>'House Count'!D581</f>
        <v/>
      </c>
      <c r="F581" s="1205">
        <f>IF(G581="RES-SFU","RESIDENTIAL",IF(G581="RES-HOA","RESIDENTIAL",IF(G581="RES-MDU","RESIDENTIAL",IF(G581="COMM-SU","BUSINESS",IF(G581="COM-MTU","BUSINESS",IF(G581="ENT","BUSINESS",""))))))</f>
        <v/>
      </c>
      <c r="G581" s="1205">
        <f>'House Count'!F581</f>
        <v/>
      </c>
      <c r="H581" s="1205">
        <f>'House Count'!H581</f>
        <v/>
      </c>
    </row>
    <row r="582">
      <c r="A582" s="1204">
        <f>'House Count'!A582</f>
        <v/>
      </c>
      <c r="B582" s="1205">
        <f>'House Count'!E582</f>
        <v/>
      </c>
      <c r="C582" s="1205">
        <f>'House Count'!B582</f>
        <v/>
      </c>
      <c r="D582" s="1205">
        <f>'House Count'!C582</f>
        <v/>
      </c>
      <c r="E582" s="1205">
        <f>'House Count'!D582</f>
        <v/>
      </c>
      <c r="F582" s="1205">
        <f>IF(G582="RES-SFU","RESIDENTIAL",IF(G582="RES-HOA","RESIDENTIAL",IF(G582="RES-MDU","RESIDENTIAL",IF(G582="COMM-SU","BUSINESS",IF(G582="COM-MTU","BUSINESS",IF(G582="ENT","BUSINESS",""))))))</f>
        <v/>
      </c>
      <c r="G582" s="1205">
        <f>'House Count'!F582</f>
        <v/>
      </c>
      <c r="H582" s="1205">
        <f>'House Count'!H582</f>
        <v/>
      </c>
    </row>
    <row r="583">
      <c r="A583" s="1204">
        <f>'House Count'!A583</f>
        <v/>
      </c>
      <c r="B583" s="1205">
        <f>'House Count'!E583</f>
        <v/>
      </c>
      <c r="C583" s="1205">
        <f>'House Count'!B583</f>
        <v/>
      </c>
      <c r="D583" s="1205">
        <f>'House Count'!C583</f>
        <v/>
      </c>
      <c r="E583" s="1205">
        <f>'House Count'!D583</f>
        <v/>
      </c>
      <c r="F583" s="1205">
        <f>IF(G583="RES-SFU","RESIDENTIAL",IF(G583="RES-HOA","RESIDENTIAL",IF(G583="RES-MDU","RESIDENTIAL",IF(G583="COMM-SU","BUSINESS",IF(G583="COM-MTU","BUSINESS",IF(G583="ENT","BUSINESS",""))))))</f>
        <v/>
      </c>
      <c r="G583" s="1205">
        <f>'House Count'!F583</f>
        <v/>
      </c>
      <c r="H583" s="1205">
        <f>'House Count'!H583</f>
        <v/>
      </c>
    </row>
    <row r="584">
      <c r="A584" s="1204">
        <f>'House Count'!A584</f>
        <v/>
      </c>
      <c r="B584" s="1205">
        <f>'House Count'!E584</f>
        <v/>
      </c>
      <c r="C584" s="1205">
        <f>'House Count'!B584</f>
        <v/>
      </c>
      <c r="D584" s="1205">
        <f>'House Count'!C584</f>
        <v/>
      </c>
      <c r="E584" s="1205">
        <f>'House Count'!D584</f>
        <v/>
      </c>
      <c r="F584" s="1205">
        <f>IF(G584="RES-SFU","RESIDENTIAL",IF(G584="RES-HOA","RESIDENTIAL",IF(G584="RES-MDU","RESIDENTIAL",IF(G584="COMM-SU","BUSINESS",IF(G584="COM-MTU","BUSINESS",IF(G584="ENT","BUSINESS",""))))))</f>
        <v/>
      </c>
      <c r="G584" s="1205">
        <f>'House Count'!F584</f>
        <v/>
      </c>
      <c r="H584" s="1205">
        <f>'House Count'!H584</f>
        <v/>
      </c>
    </row>
    <row r="585">
      <c r="A585" s="1204">
        <f>'House Count'!A585</f>
        <v/>
      </c>
      <c r="B585" s="1205">
        <f>'House Count'!E585</f>
        <v/>
      </c>
      <c r="C585" s="1205">
        <f>'House Count'!B585</f>
        <v/>
      </c>
      <c r="D585" s="1205">
        <f>'House Count'!C585</f>
        <v/>
      </c>
      <c r="E585" s="1205">
        <f>'House Count'!D585</f>
        <v/>
      </c>
      <c r="F585" s="1205">
        <f>IF(G585="RES-SFU","RESIDENTIAL",IF(G585="RES-HOA","RESIDENTIAL",IF(G585="RES-MDU","RESIDENTIAL",IF(G585="COMM-SU","BUSINESS",IF(G585="COM-MTU","BUSINESS",IF(G585="ENT","BUSINESS",""))))))</f>
        <v/>
      </c>
      <c r="G585" s="1205">
        <f>'House Count'!F585</f>
        <v/>
      </c>
      <c r="H585" s="1205">
        <f>'House Count'!H585</f>
        <v/>
      </c>
    </row>
    <row r="586">
      <c r="A586" s="1204">
        <f>'House Count'!A586</f>
        <v/>
      </c>
      <c r="B586" s="1205">
        <f>'House Count'!E586</f>
        <v/>
      </c>
      <c r="C586" s="1205">
        <f>'House Count'!B586</f>
        <v/>
      </c>
      <c r="D586" s="1205">
        <f>'House Count'!C586</f>
        <v/>
      </c>
      <c r="E586" s="1205">
        <f>'House Count'!D586</f>
        <v/>
      </c>
      <c r="F586" s="1205">
        <f>IF(G586="RES-SFU","RESIDENTIAL",IF(G586="RES-HOA","RESIDENTIAL",IF(G586="RES-MDU","RESIDENTIAL",IF(G586="COMM-SU","BUSINESS",IF(G586="COM-MTU","BUSINESS",IF(G586="ENT","BUSINESS",""))))))</f>
        <v/>
      </c>
      <c r="G586" s="1205">
        <f>'House Count'!F586</f>
        <v/>
      </c>
      <c r="H586" s="1205">
        <f>'House Count'!H586</f>
        <v/>
      </c>
    </row>
    <row r="587">
      <c r="A587" s="1204">
        <f>'House Count'!A587</f>
        <v/>
      </c>
      <c r="B587" s="1205">
        <f>'House Count'!E587</f>
        <v/>
      </c>
      <c r="C587" s="1205">
        <f>'House Count'!B587</f>
        <v/>
      </c>
      <c r="D587" s="1205">
        <f>'House Count'!C587</f>
        <v/>
      </c>
      <c r="E587" s="1205">
        <f>'House Count'!D587</f>
        <v/>
      </c>
      <c r="F587" s="1205">
        <f>IF(G587="RES-SFU","RESIDENTIAL",IF(G587="RES-HOA","RESIDENTIAL",IF(G587="RES-MDU","RESIDENTIAL",IF(G587="COMM-SU","BUSINESS",IF(G587="COM-MTU","BUSINESS",IF(G587="ENT","BUSINESS",""))))))</f>
        <v/>
      </c>
      <c r="G587" s="1205">
        <f>'House Count'!F587</f>
        <v/>
      </c>
      <c r="H587" s="1205">
        <f>'House Count'!H587</f>
        <v/>
      </c>
    </row>
    <row r="588">
      <c r="A588" s="1204">
        <f>'House Count'!A588</f>
        <v/>
      </c>
      <c r="B588" s="1205">
        <f>'House Count'!E588</f>
        <v/>
      </c>
      <c r="C588" s="1205">
        <f>'House Count'!B588</f>
        <v/>
      </c>
      <c r="D588" s="1205">
        <f>'House Count'!C588</f>
        <v/>
      </c>
      <c r="E588" s="1205">
        <f>'House Count'!D588</f>
        <v/>
      </c>
      <c r="F588" s="1205">
        <f>IF(G588="RES-SFU","RESIDENTIAL",IF(G588="RES-HOA","RESIDENTIAL",IF(G588="RES-MDU","RESIDENTIAL",IF(G588="COMM-SU","BUSINESS",IF(G588="COM-MTU","BUSINESS",IF(G588="ENT","BUSINESS",""))))))</f>
        <v/>
      </c>
      <c r="G588" s="1205">
        <f>'House Count'!F588</f>
        <v/>
      </c>
      <c r="H588" s="1205">
        <f>'House Count'!H588</f>
        <v/>
      </c>
    </row>
    <row r="589">
      <c r="A589" s="1204">
        <f>'House Count'!A589</f>
        <v/>
      </c>
      <c r="B589" s="1205">
        <f>'House Count'!E589</f>
        <v/>
      </c>
      <c r="C589" s="1205">
        <f>'House Count'!B589</f>
        <v/>
      </c>
      <c r="D589" s="1205">
        <f>'House Count'!C589</f>
        <v/>
      </c>
      <c r="E589" s="1205">
        <f>'House Count'!D589</f>
        <v/>
      </c>
      <c r="F589" s="1205">
        <f>IF(G589="RES-SFU","RESIDENTIAL",IF(G589="RES-HOA","RESIDENTIAL",IF(G589="RES-MDU","RESIDENTIAL",IF(G589="COMM-SU","BUSINESS",IF(G589="COM-MTU","BUSINESS",IF(G589="ENT","BUSINESS",""))))))</f>
        <v/>
      </c>
      <c r="G589" s="1205">
        <f>'House Count'!F589</f>
        <v/>
      </c>
      <c r="H589" s="1205">
        <f>'House Count'!H589</f>
        <v/>
      </c>
    </row>
    <row r="590">
      <c r="A590" s="1204">
        <f>'House Count'!A590</f>
        <v/>
      </c>
      <c r="B590" s="1205">
        <f>'House Count'!E590</f>
        <v/>
      </c>
      <c r="C590" s="1205">
        <f>'House Count'!B590</f>
        <v/>
      </c>
      <c r="D590" s="1205">
        <f>'House Count'!C590</f>
        <v/>
      </c>
      <c r="E590" s="1205">
        <f>'House Count'!D590</f>
        <v/>
      </c>
      <c r="F590" s="1205">
        <f>IF(G590="RES-SFU","RESIDENTIAL",IF(G590="RES-HOA","RESIDENTIAL",IF(G590="RES-MDU","RESIDENTIAL",IF(G590="COMM-SU","BUSINESS",IF(G590="COM-MTU","BUSINESS",IF(G590="ENT","BUSINESS",""))))))</f>
        <v/>
      </c>
      <c r="G590" s="1205">
        <f>'House Count'!F590</f>
        <v/>
      </c>
      <c r="H590" s="1205">
        <f>'House Count'!H590</f>
        <v/>
      </c>
    </row>
    <row r="591">
      <c r="A591" s="1204">
        <f>'House Count'!A591</f>
        <v/>
      </c>
      <c r="B591" s="1205">
        <f>'House Count'!E591</f>
        <v/>
      </c>
      <c r="C591" s="1205">
        <f>'House Count'!B591</f>
        <v/>
      </c>
      <c r="D591" s="1205">
        <f>'House Count'!C591</f>
        <v/>
      </c>
      <c r="E591" s="1205">
        <f>'House Count'!D591</f>
        <v/>
      </c>
      <c r="F591" s="1205">
        <f>IF(G591="RES-SFU","RESIDENTIAL",IF(G591="RES-HOA","RESIDENTIAL",IF(G591="RES-MDU","RESIDENTIAL",IF(G591="COMM-SU","BUSINESS",IF(G591="COM-MTU","BUSINESS",IF(G591="ENT","BUSINESS",""))))))</f>
        <v/>
      </c>
      <c r="G591" s="1205">
        <f>'House Count'!F591</f>
        <v/>
      </c>
      <c r="H591" s="1205">
        <f>'House Count'!H591</f>
        <v/>
      </c>
    </row>
    <row r="592">
      <c r="A592" s="1204">
        <f>'House Count'!A592</f>
        <v/>
      </c>
      <c r="B592" s="1205">
        <f>'House Count'!E592</f>
        <v/>
      </c>
      <c r="C592" s="1205">
        <f>'House Count'!B592</f>
        <v/>
      </c>
      <c r="D592" s="1205">
        <f>'House Count'!C592</f>
        <v/>
      </c>
      <c r="E592" s="1205">
        <f>'House Count'!D592</f>
        <v/>
      </c>
      <c r="F592" s="1205">
        <f>IF(G592="RES-SFU","RESIDENTIAL",IF(G592="RES-HOA","RESIDENTIAL",IF(G592="RES-MDU","RESIDENTIAL",IF(G592="COMM-SU","BUSINESS",IF(G592="COM-MTU","BUSINESS",IF(G592="ENT","BUSINESS",""))))))</f>
        <v/>
      </c>
      <c r="G592" s="1205">
        <f>'House Count'!F592</f>
        <v/>
      </c>
      <c r="H592" s="1205">
        <f>'House Count'!H592</f>
        <v/>
      </c>
    </row>
    <row r="593">
      <c r="A593" s="1204">
        <f>'House Count'!A593</f>
        <v/>
      </c>
      <c r="B593" s="1205">
        <f>'House Count'!E593</f>
        <v/>
      </c>
      <c r="C593" s="1205">
        <f>'House Count'!B593</f>
        <v/>
      </c>
      <c r="D593" s="1205">
        <f>'House Count'!C593</f>
        <v/>
      </c>
      <c r="E593" s="1205">
        <f>'House Count'!D593</f>
        <v/>
      </c>
      <c r="F593" s="1205">
        <f>IF(G593="RES-SFU","RESIDENTIAL",IF(G593="RES-HOA","RESIDENTIAL",IF(G593="RES-MDU","RESIDENTIAL",IF(G593="COMM-SU","BUSINESS",IF(G593="COM-MTU","BUSINESS",IF(G593="ENT","BUSINESS",""))))))</f>
        <v/>
      </c>
      <c r="G593" s="1205">
        <f>'House Count'!F593</f>
        <v/>
      </c>
      <c r="H593" s="1205">
        <f>'House Count'!H593</f>
        <v/>
      </c>
    </row>
    <row r="594">
      <c r="A594" s="1204">
        <f>'House Count'!A594</f>
        <v/>
      </c>
      <c r="B594" s="1205">
        <f>'House Count'!E594</f>
        <v/>
      </c>
      <c r="C594" s="1205">
        <f>'House Count'!B594</f>
        <v/>
      </c>
      <c r="D594" s="1205">
        <f>'House Count'!C594</f>
        <v/>
      </c>
      <c r="E594" s="1205">
        <f>'House Count'!D594</f>
        <v/>
      </c>
      <c r="F594" s="1205">
        <f>IF(G594="RES-SFU","RESIDENTIAL",IF(G594="RES-HOA","RESIDENTIAL",IF(G594="RES-MDU","RESIDENTIAL",IF(G594="COMM-SU","BUSINESS",IF(G594="COM-MTU","BUSINESS",IF(G594="ENT","BUSINESS",""))))))</f>
        <v/>
      </c>
      <c r="G594" s="1205">
        <f>'House Count'!F594</f>
        <v/>
      </c>
      <c r="H594" s="1205">
        <f>'House Count'!H594</f>
        <v/>
      </c>
    </row>
    <row r="595">
      <c r="A595" s="1204">
        <f>'House Count'!A595</f>
        <v/>
      </c>
      <c r="B595" s="1205">
        <f>'House Count'!E595</f>
        <v/>
      </c>
      <c r="C595" s="1205">
        <f>'House Count'!B595</f>
        <v/>
      </c>
      <c r="D595" s="1205">
        <f>'House Count'!C595</f>
        <v/>
      </c>
      <c r="E595" s="1205">
        <f>'House Count'!D595</f>
        <v/>
      </c>
      <c r="F595" s="1205">
        <f>IF(G595="RES-SFU","RESIDENTIAL",IF(G595="RES-HOA","RESIDENTIAL",IF(G595="RES-MDU","RESIDENTIAL",IF(G595="COMM-SU","BUSINESS",IF(G595="COM-MTU","BUSINESS",IF(G595="ENT","BUSINESS",""))))))</f>
        <v/>
      </c>
      <c r="G595" s="1205">
        <f>'House Count'!F595</f>
        <v/>
      </c>
      <c r="H595" s="1205">
        <f>'House Count'!H595</f>
        <v/>
      </c>
    </row>
    <row r="596">
      <c r="A596" s="1204">
        <f>'House Count'!A596</f>
        <v/>
      </c>
      <c r="B596" s="1205">
        <f>'House Count'!E596</f>
        <v/>
      </c>
      <c r="C596" s="1205">
        <f>'House Count'!B596</f>
        <v/>
      </c>
      <c r="D596" s="1205">
        <f>'House Count'!C596</f>
        <v/>
      </c>
      <c r="E596" s="1205">
        <f>'House Count'!D596</f>
        <v/>
      </c>
      <c r="F596" s="1205">
        <f>IF(G596="RES-SFU","RESIDENTIAL",IF(G596="RES-HOA","RESIDENTIAL",IF(G596="RES-MDU","RESIDENTIAL",IF(G596="COMM-SU","BUSINESS",IF(G596="COM-MTU","BUSINESS",IF(G596="ENT","BUSINESS",""))))))</f>
        <v/>
      </c>
      <c r="G596" s="1205">
        <f>'House Count'!F596</f>
        <v/>
      </c>
      <c r="H596" s="1205">
        <f>'House Count'!H596</f>
        <v/>
      </c>
    </row>
    <row r="597">
      <c r="A597" s="1204">
        <f>'House Count'!A597</f>
        <v/>
      </c>
      <c r="B597" s="1205">
        <f>'House Count'!E597</f>
        <v/>
      </c>
      <c r="C597" s="1205">
        <f>'House Count'!B597</f>
        <v/>
      </c>
      <c r="D597" s="1205">
        <f>'House Count'!C597</f>
        <v/>
      </c>
      <c r="E597" s="1205">
        <f>'House Count'!D597</f>
        <v/>
      </c>
      <c r="F597" s="1205">
        <f>IF(G597="RES-SFU","RESIDENTIAL",IF(G597="RES-HOA","RESIDENTIAL",IF(G597="RES-MDU","RESIDENTIAL",IF(G597="COMM-SU","BUSINESS",IF(G597="COM-MTU","BUSINESS",IF(G597="ENT","BUSINESS",""))))))</f>
        <v/>
      </c>
      <c r="G597" s="1205">
        <f>'House Count'!F597</f>
        <v/>
      </c>
      <c r="H597" s="1205">
        <f>'House Count'!H597</f>
        <v/>
      </c>
    </row>
    <row r="598">
      <c r="A598" s="1204">
        <f>'House Count'!A598</f>
        <v/>
      </c>
      <c r="B598" s="1205">
        <f>'House Count'!E598</f>
        <v/>
      </c>
      <c r="C598" s="1205">
        <f>'House Count'!B598</f>
        <v/>
      </c>
      <c r="D598" s="1205">
        <f>'House Count'!C598</f>
        <v/>
      </c>
      <c r="E598" s="1205">
        <f>'House Count'!D598</f>
        <v/>
      </c>
      <c r="F598" s="1205">
        <f>IF(G598="RES-SFU","RESIDENTIAL",IF(G598="RES-HOA","RESIDENTIAL",IF(G598="RES-MDU","RESIDENTIAL",IF(G598="COMM-SU","BUSINESS",IF(G598="COM-MTU","BUSINESS",IF(G598="ENT","BUSINESS",""))))))</f>
        <v/>
      </c>
      <c r="G598" s="1205">
        <f>'House Count'!F598</f>
        <v/>
      </c>
      <c r="H598" s="1205">
        <f>'House Count'!H598</f>
        <v/>
      </c>
    </row>
    <row r="599">
      <c r="A599" s="1204">
        <f>'House Count'!A599</f>
        <v/>
      </c>
      <c r="B599" s="1205">
        <f>'House Count'!E599</f>
        <v/>
      </c>
      <c r="C599" s="1205">
        <f>'House Count'!B599</f>
        <v/>
      </c>
      <c r="D599" s="1205">
        <f>'House Count'!C599</f>
        <v/>
      </c>
      <c r="E599" s="1205">
        <f>'House Count'!D599</f>
        <v/>
      </c>
      <c r="F599" s="1205">
        <f>IF(G599="RES-SFU","RESIDENTIAL",IF(G599="RES-HOA","RESIDENTIAL",IF(G599="RES-MDU","RESIDENTIAL",IF(G599="COMM-SU","BUSINESS",IF(G599="COM-MTU","BUSINESS",IF(G599="ENT","BUSINESS",""))))))</f>
        <v/>
      </c>
      <c r="G599" s="1205">
        <f>'House Count'!F599</f>
        <v/>
      </c>
      <c r="H599" s="1205">
        <f>'House Count'!H599</f>
        <v/>
      </c>
    </row>
    <row r="600">
      <c r="A600" s="1204">
        <f>'House Count'!A600</f>
        <v/>
      </c>
      <c r="B600" s="1205">
        <f>'House Count'!E600</f>
        <v/>
      </c>
      <c r="C600" s="1205">
        <f>'House Count'!B600</f>
        <v/>
      </c>
      <c r="D600" s="1205">
        <f>'House Count'!C600</f>
        <v/>
      </c>
      <c r="E600" s="1205">
        <f>'House Count'!D600</f>
        <v/>
      </c>
      <c r="F600" s="1205">
        <f>IF(G600="RES-SFU","RESIDENTIAL",IF(G600="RES-HOA","RESIDENTIAL",IF(G600="RES-MDU","RESIDENTIAL",IF(G600="COMM-SU","BUSINESS",IF(G600="COM-MTU","BUSINESS",IF(G600="ENT","BUSINESS",""))))))</f>
        <v/>
      </c>
      <c r="G600" s="1205">
        <f>'House Count'!F600</f>
        <v/>
      </c>
      <c r="H600" s="1205">
        <f>'House Count'!H600</f>
        <v/>
      </c>
    </row>
    <row r="601">
      <c r="A601" s="1204">
        <f>'House Count'!A601</f>
        <v/>
      </c>
      <c r="B601" s="1205">
        <f>'House Count'!E601</f>
        <v/>
      </c>
      <c r="C601" s="1205">
        <f>'House Count'!B601</f>
        <v/>
      </c>
      <c r="D601" s="1205">
        <f>'House Count'!C601</f>
        <v/>
      </c>
      <c r="E601" s="1205">
        <f>'House Count'!D601</f>
        <v/>
      </c>
      <c r="F601" s="1205">
        <f>IF(G601="RES-SFU","RESIDENTIAL",IF(G601="RES-HOA","RESIDENTIAL",IF(G601="RES-MDU","RESIDENTIAL",IF(G601="COMM-SU","BUSINESS",IF(G601="COM-MTU","BUSINESS",IF(G601="ENT","BUSINESS",""))))))</f>
        <v/>
      </c>
      <c r="G601" s="1205">
        <f>'House Count'!F601</f>
        <v/>
      </c>
      <c r="H601" s="1205">
        <f>'House Count'!H601</f>
        <v/>
      </c>
    </row>
    <row r="602">
      <c r="A602" s="1204">
        <f>'House Count'!A602</f>
        <v/>
      </c>
      <c r="B602" s="1205">
        <f>'House Count'!E602</f>
        <v/>
      </c>
      <c r="C602" s="1205">
        <f>'House Count'!B602</f>
        <v/>
      </c>
      <c r="D602" s="1205">
        <f>'House Count'!C602</f>
        <v/>
      </c>
      <c r="E602" s="1205">
        <f>'House Count'!D602</f>
        <v/>
      </c>
      <c r="F602" s="1205">
        <f>IF(G602="RES-SFU","RESIDENTIAL",IF(G602="RES-HOA","RESIDENTIAL",IF(G602="RES-MDU","RESIDENTIAL",IF(G602="COMM-SU","BUSINESS",IF(G602="COM-MTU","BUSINESS",IF(G602="ENT","BUSINESS",""))))))</f>
        <v/>
      </c>
      <c r="G602" s="1205">
        <f>'House Count'!F602</f>
        <v/>
      </c>
      <c r="H602" s="1205">
        <f>'House Count'!H602</f>
        <v/>
      </c>
    </row>
    <row r="603">
      <c r="A603" s="1204">
        <f>'House Count'!A603</f>
        <v/>
      </c>
      <c r="B603" s="1205">
        <f>'House Count'!E603</f>
        <v/>
      </c>
      <c r="C603" s="1205">
        <f>'House Count'!B603</f>
        <v/>
      </c>
      <c r="D603" s="1205">
        <f>'House Count'!C603</f>
        <v/>
      </c>
      <c r="E603" s="1205">
        <f>'House Count'!D603</f>
        <v/>
      </c>
      <c r="F603" s="1205">
        <f>IF(G603="RES-SFU","RESIDENTIAL",IF(G603="RES-HOA","RESIDENTIAL",IF(G603="RES-MDU","RESIDENTIAL",IF(G603="COMM-SU","BUSINESS",IF(G603="COM-MTU","BUSINESS",IF(G603="ENT","BUSINESS",""))))))</f>
        <v/>
      </c>
      <c r="G603" s="1205">
        <f>'House Count'!F603</f>
        <v/>
      </c>
      <c r="H603" s="1205">
        <f>'House Count'!H603</f>
        <v/>
      </c>
    </row>
    <row r="604">
      <c r="A604" s="1204">
        <f>'House Count'!A604</f>
        <v/>
      </c>
      <c r="B604" s="1205">
        <f>'House Count'!E604</f>
        <v/>
      </c>
      <c r="C604" s="1205">
        <f>'House Count'!B604</f>
        <v/>
      </c>
      <c r="D604" s="1205">
        <f>'House Count'!C604</f>
        <v/>
      </c>
      <c r="E604" s="1205">
        <f>'House Count'!D604</f>
        <v/>
      </c>
      <c r="F604" s="1205">
        <f>IF(G604="RES-SFU","RESIDENTIAL",IF(G604="RES-HOA","RESIDENTIAL",IF(G604="RES-MDU","RESIDENTIAL",IF(G604="COMM-SU","BUSINESS",IF(G604="COM-MTU","BUSINESS",IF(G604="ENT","BUSINESS",""))))))</f>
        <v/>
      </c>
      <c r="G604" s="1205">
        <f>'House Count'!F604</f>
        <v/>
      </c>
      <c r="H604" s="1205">
        <f>'House Count'!H604</f>
        <v/>
      </c>
    </row>
    <row r="605">
      <c r="A605" s="1204">
        <f>'House Count'!A605</f>
        <v/>
      </c>
      <c r="B605" s="1205">
        <f>'House Count'!E605</f>
        <v/>
      </c>
      <c r="C605" s="1205">
        <f>'House Count'!B605</f>
        <v/>
      </c>
      <c r="D605" s="1205">
        <f>'House Count'!C605</f>
        <v/>
      </c>
      <c r="E605" s="1205">
        <f>'House Count'!D605</f>
        <v/>
      </c>
      <c r="F605" s="1205">
        <f>IF(G605="RES-SFU","RESIDENTIAL",IF(G605="RES-HOA","RESIDENTIAL",IF(G605="RES-MDU","RESIDENTIAL",IF(G605="COMM-SU","BUSINESS",IF(G605="COM-MTU","BUSINESS",IF(G605="ENT","BUSINESS",""))))))</f>
        <v/>
      </c>
      <c r="G605" s="1205">
        <f>'House Count'!F605</f>
        <v/>
      </c>
      <c r="H605" s="1205">
        <f>'House Count'!H605</f>
        <v/>
      </c>
    </row>
    <row r="606">
      <c r="A606" s="1204">
        <f>'House Count'!A606</f>
        <v/>
      </c>
      <c r="B606" s="1205">
        <f>'House Count'!E606</f>
        <v/>
      </c>
      <c r="C606" s="1205">
        <f>'House Count'!B606</f>
        <v/>
      </c>
      <c r="D606" s="1205">
        <f>'House Count'!C606</f>
        <v/>
      </c>
      <c r="E606" s="1205">
        <f>'House Count'!D606</f>
        <v/>
      </c>
      <c r="F606" s="1205">
        <f>IF(G606="RES-SFU","RESIDENTIAL",IF(G606="RES-HOA","RESIDENTIAL",IF(G606="RES-MDU","RESIDENTIAL",IF(G606="COMM-SU","BUSINESS",IF(G606="COM-MTU","BUSINESS",IF(G606="ENT","BUSINESS",""))))))</f>
        <v/>
      </c>
      <c r="G606" s="1205">
        <f>'House Count'!F606</f>
        <v/>
      </c>
      <c r="H606" s="1205">
        <f>'House Count'!H606</f>
        <v/>
      </c>
    </row>
    <row r="607">
      <c r="A607" s="1204">
        <f>'House Count'!A607</f>
        <v/>
      </c>
      <c r="B607" s="1205">
        <f>'House Count'!E607</f>
        <v/>
      </c>
      <c r="C607" s="1205">
        <f>'House Count'!B607</f>
        <v/>
      </c>
      <c r="D607" s="1205">
        <f>'House Count'!C607</f>
        <v/>
      </c>
      <c r="E607" s="1205">
        <f>'House Count'!D607</f>
        <v/>
      </c>
      <c r="F607" s="1205">
        <f>IF(G607="RES-SFU","RESIDENTIAL",IF(G607="RES-HOA","RESIDENTIAL",IF(G607="RES-MDU","RESIDENTIAL",IF(G607="COMM-SU","BUSINESS",IF(G607="COM-MTU","BUSINESS",IF(G607="ENT","BUSINESS",""))))))</f>
        <v/>
      </c>
      <c r="G607" s="1205">
        <f>'House Count'!F607</f>
        <v/>
      </c>
      <c r="H607" s="1205">
        <f>'House Count'!H607</f>
        <v/>
      </c>
    </row>
    <row r="608">
      <c r="A608" s="1204">
        <f>'House Count'!A608</f>
        <v/>
      </c>
      <c r="B608" s="1205">
        <f>'House Count'!E608</f>
        <v/>
      </c>
      <c r="C608" s="1205">
        <f>'House Count'!B608</f>
        <v/>
      </c>
      <c r="D608" s="1205">
        <f>'House Count'!C608</f>
        <v/>
      </c>
      <c r="E608" s="1205">
        <f>'House Count'!D608</f>
        <v/>
      </c>
      <c r="F608" s="1205">
        <f>IF(G608="RES-SFU","RESIDENTIAL",IF(G608="RES-HOA","RESIDENTIAL",IF(G608="RES-MDU","RESIDENTIAL",IF(G608="COMM-SU","BUSINESS",IF(G608="COM-MTU","BUSINESS",IF(G608="ENT","BUSINESS",""))))))</f>
        <v/>
      </c>
      <c r="G608" s="1205">
        <f>'House Count'!F608</f>
        <v/>
      </c>
      <c r="H608" s="1205">
        <f>'House Count'!H608</f>
        <v/>
      </c>
    </row>
    <row r="609">
      <c r="A609" s="1204">
        <f>'House Count'!A609</f>
        <v/>
      </c>
      <c r="B609" s="1205">
        <f>'House Count'!E609</f>
        <v/>
      </c>
      <c r="C609" s="1205">
        <f>'House Count'!B609</f>
        <v/>
      </c>
      <c r="D609" s="1205">
        <f>'House Count'!C609</f>
        <v/>
      </c>
      <c r="E609" s="1205">
        <f>'House Count'!D609</f>
        <v/>
      </c>
      <c r="F609" s="1205">
        <f>IF(G609="RES-SFU","RESIDENTIAL",IF(G609="RES-HOA","RESIDENTIAL",IF(G609="RES-MDU","RESIDENTIAL",IF(G609="COMM-SU","BUSINESS",IF(G609="COM-MTU","BUSINESS",IF(G609="ENT","BUSINESS",""))))))</f>
        <v/>
      </c>
      <c r="G609" s="1205">
        <f>'House Count'!F609</f>
        <v/>
      </c>
      <c r="H609" s="1205">
        <f>'House Count'!H609</f>
        <v/>
      </c>
    </row>
    <row r="610">
      <c r="A610" s="1204">
        <f>'House Count'!A610</f>
        <v/>
      </c>
      <c r="B610" s="1205">
        <f>'House Count'!E610</f>
        <v/>
      </c>
      <c r="C610" s="1205">
        <f>'House Count'!B610</f>
        <v/>
      </c>
      <c r="D610" s="1205">
        <f>'House Count'!C610</f>
        <v/>
      </c>
      <c r="E610" s="1205">
        <f>'House Count'!D610</f>
        <v/>
      </c>
      <c r="F610" s="1205">
        <f>IF(G610="RES-SFU","RESIDENTIAL",IF(G610="RES-HOA","RESIDENTIAL",IF(G610="RES-MDU","RESIDENTIAL",IF(G610="COMM-SU","BUSINESS",IF(G610="COM-MTU","BUSINESS",IF(G610="ENT","BUSINESS",""))))))</f>
        <v/>
      </c>
      <c r="G610" s="1205">
        <f>'House Count'!F610</f>
        <v/>
      </c>
      <c r="H610" s="1205">
        <f>'House Count'!H610</f>
        <v/>
      </c>
    </row>
    <row r="611">
      <c r="A611" s="1204">
        <f>'House Count'!A611</f>
        <v/>
      </c>
      <c r="B611" s="1205">
        <f>'House Count'!E611</f>
        <v/>
      </c>
      <c r="C611" s="1205">
        <f>'House Count'!B611</f>
        <v/>
      </c>
      <c r="D611" s="1205">
        <f>'House Count'!C611</f>
        <v/>
      </c>
      <c r="E611" s="1205">
        <f>'House Count'!D611</f>
        <v/>
      </c>
      <c r="F611" s="1205">
        <f>IF(G611="RES-SFU","RESIDENTIAL",IF(G611="RES-HOA","RESIDENTIAL",IF(G611="RES-MDU","RESIDENTIAL",IF(G611="COMM-SU","BUSINESS",IF(G611="COM-MTU","BUSINESS",IF(G611="ENT","BUSINESS",""))))))</f>
        <v/>
      </c>
      <c r="G611" s="1205">
        <f>'House Count'!F611</f>
        <v/>
      </c>
      <c r="H611" s="1205">
        <f>'House Count'!H611</f>
        <v/>
      </c>
    </row>
    <row r="612">
      <c r="A612" s="1204">
        <f>'House Count'!A612</f>
        <v/>
      </c>
      <c r="B612" s="1205">
        <f>'House Count'!E612</f>
        <v/>
      </c>
      <c r="C612" s="1205">
        <f>'House Count'!B612</f>
        <v/>
      </c>
      <c r="D612" s="1205">
        <f>'House Count'!C612</f>
        <v/>
      </c>
      <c r="E612" s="1205">
        <f>'House Count'!D612</f>
        <v/>
      </c>
      <c r="F612" s="1205">
        <f>IF(G612="RES-SFU","RESIDENTIAL",IF(G612="RES-HOA","RESIDENTIAL",IF(G612="RES-MDU","RESIDENTIAL",IF(G612="COMM-SU","BUSINESS",IF(G612="COM-MTU","BUSINESS",IF(G612="ENT","BUSINESS",""))))))</f>
        <v/>
      </c>
      <c r="G612" s="1205">
        <f>'House Count'!F612</f>
        <v/>
      </c>
      <c r="H612" s="1205">
        <f>'House Count'!H612</f>
        <v/>
      </c>
    </row>
    <row r="613">
      <c r="A613" s="1204">
        <f>'House Count'!A613</f>
        <v/>
      </c>
      <c r="B613" s="1205">
        <f>'House Count'!E613</f>
        <v/>
      </c>
      <c r="C613" s="1205">
        <f>'House Count'!B613</f>
        <v/>
      </c>
      <c r="D613" s="1205">
        <f>'House Count'!C613</f>
        <v/>
      </c>
      <c r="E613" s="1205">
        <f>'House Count'!D613</f>
        <v/>
      </c>
      <c r="F613" s="1205">
        <f>IF(G613="RES-SFU","RESIDENTIAL",IF(G613="RES-HOA","RESIDENTIAL",IF(G613="RES-MDU","RESIDENTIAL",IF(G613="COMM-SU","BUSINESS",IF(G613="COM-MTU","BUSINESS",IF(G613="ENT","BUSINESS",""))))))</f>
        <v/>
      </c>
      <c r="G613" s="1205">
        <f>'House Count'!F613</f>
        <v/>
      </c>
      <c r="H613" s="1205">
        <f>'House Count'!H613</f>
        <v/>
      </c>
    </row>
    <row r="614">
      <c r="A614" s="1204">
        <f>'House Count'!A614</f>
        <v/>
      </c>
      <c r="B614" s="1205">
        <f>'House Count'!E614</f>
        <v/>
      </c>
      <c r="C614" s="1205">
        <f>'House Count'!B614</f>
        <v/>
      </c>
      <c r="D614" s="1205">
        <f>'House Count'!C614</f>
        <v/>
      </c>
      <c r="E614" s="1205">
        <f>'House Count'!D614</f>
        <v/>
      </c>
      <c r="F614" s="1205">
        <f>IF(G614="RES-SFU","RESIDENTIAL",IF(G614="RES-HOA","RESIDENTIAL",IF(G614="RES-MDU","RESIDENTIAL",IF(G614="COMM-SU","BUSINESS",IF(G614="COM-MTU","BUSINESS",IF(G614="ENT","BUSINESS",""))))))</f>
        <v/>
      </c>
      <c r="G614" s="1205">
        <f>'House Count'!F614</f>
        <v/>
      </c>
      <c r="H614" s="1205">
        <f>'House Count'!H614</f>
        <v/>
      </c>
    </row>
    <row r="615">
      <c r="A615" s="1204">
        <f>'House Count'!A615</f>
        <v/>
      </c>
      <c r="B615" s="1205">
        <f>'House Count'!E615</f>
        <v/>
      </c>
      <c r="C615" s="1205">
        <f>'House Count'!B615</f>
        <v/>
      </c>
      <c r="D615" s="1205">
        <f>'House Count'!C615</f>
        <v/>
      </c>
      <c r="E615" s="1205">
        <f>'House Count'!D615</f>
        <v/>
      </c>
      <c r="F615" s="1205">
        <f>IF(G615="RES-SFU","RESIDENTIAL",IF(G615="RES-HOA","RESIDENTIAL",IF(G615="RES-MDU","RESIDENTIAL",IF(G615="COMM-SU","BUSINESS",IF(G615="COM-MTU","BUSINESS",IF(G615="ENT","BUSINESS",""))))))</f>
        <v/>
      </c>
      <c r="G615" s="1205">
        <f>'House Count'!F615</f>
        <v/>
      </c>
      <c r="H615" s="1205">
        <f>'House Count'!H615</f>
        <v/>
      </c>
    </row>
    <row r="616">
      <c r="A616" s="1204">
        <f>'House Count'!A616</f>
        <v/>
      </c>
      <c r="B616" s="1205">
        <f>'House Count'!E616</f>
        <v/>
      </c>
      <c r="C616" s="1205">
        <f>'House Count'!B616</f>
        <v/>
      </c>
      <c r="D616" s="1205">
        <f>'House Count'!C616</f>
        <v/>
      </c>
      <c r="E616" s="1205">
        <f>'House Count'!D616</f>
        <v/>
      </c>
      <c r="F616" s="1205">
        <f>IF(G616="RES-SFU","RESIDENTIAL",IF(G616="RES-HOA","RESIDENTIAL",IF(G616="RES-MDU","RESIDENTIAL",IF(G616="COMM-SU","BUSINESS",IF(G616="COM-MTU","BUSINESS",IF(G616="ENT","BUSINESS",""))))))</f>
        <v/>
      </c>
      <c r="G616" s="1205">
        <f>'House Count'!F616</f>
        <v/>
      </c>
      <c r="H616" s="1205">
        <f>'House Count'!H616</f>
        <v/>
      </c>
    </row>
    <row r="617">
      <c r="A617" s="1204">
        <f>'House Count'!A617</f>
        <v/>
      </c>
      <c r="B617" s="1205">
        <f>'House Count'!E617</f>
        <v/>
      </c>
      <c r="C617" s="1205">
        <f>'House Count'!B617</f>
        <v/>
      </c>
      <c r="D617" s="1205">
        <f>'House Count'!C617</f>
        <v/>
      </c>
      <c r="E617" s="1205">
        <f>'House Count'!D617</f>
        <v/>
      </c>
      <c r="F617" s="1205">
        <f>IF(G617="RES-SFU","RESIDENTIAL",IF(G617="RES-HOA","RESIDENTIAL",IF(G617="RES-MDU","RESIDENTIAL",IF(G617="COMM-SU","BUSINESS",IF(G617="COM-MTU","BUSINESS",IF(G617="ENT","BUSINESS",""))))))</f>
        <v/>
      </c>
      <c r="G617" s="1205">
        <f>'House Count'!F617</f>
        <v/>
      </c>
      <c r="H617" s="1205">
        <f>'House Count'!H617</f>
        <v/>
      </c>
    </row>
    <row r="618">
      <c r="A618" s="1204">
        <f>'House Count'!A618</f>
        <v/>
      </c>
      <c r="B618" s="1205">
        <f>'House Count'!E618</f>
        <v/>
      </c>
      <c r="C618" s="1205">
        <f>'House Count'!B618</f>
        <v/>
      </c>
      <c r="D618" s="1205">
        <f>'House Count'!C618</f>
        <v/>
      </c>
      <c r="E618" s="1205">
        <f>'House Count'!D618</f>
        <v/>
      </c>
      <c r="F618" s="1205">
        <f>IF(G618="RES-SFU","RESIDENTIAL",IF(G618="RES-HOA","RESIDENTIAL",IF(G618="RES-MDU","RESIDENTIAL",IF(G618="COMM-SU","BUSINESS",IF(G618="COM-MTU","BUSINESS",IF(G618="ENT","BUSINESS",""))))))</f>
        <v/>
      </c>
      <c r="G618" s="1205">
        <f>'House Count'!F618</f>
        <v/>
      </c>
      <c r="H618" s="1205">
        <f>'House Count'!H618</f>
        <v/>
      </c>
    </row>
    <row r="619">
      <c r="A619" s="1204">
        <f>'House Count'!A619</f>
        <v/>
      </c>
      <c r="B619" s="1205">
        <f>'House Count'!E619</f>
        <v/>
      </c>
      <c r="C619" s="1205">
        <f>'House Count'!B619</f>
        <v/>
      </c>
      <c r="D619" s="1205">
        <f>'House Count'!C619</f>
        <v/>
      </c>
      <c r="E619" s="1205">
        <f>'House Count'!D619</f>
        <v/>
      </c>
      <c r="F619" s="1205">
        <f>IF(G619="RES-SFU","RESIDENTIAL",IF(G619="RES-HOA","RESIDENTIAL",IF(G619="RES-MDU","RESIDENTIAL",IF(G619="COMM-SU","BUSINESS",IF(G619="COM-MTU","BUSINESS",IF(G619="ENT","BUSINESS",""))))))</f>
        <v/>
      </c>
      <c r="G619" s="1205">
        <f>'House Count'!F619</f>
        <v/>
      </c>
      <c r="H619" s="1205">
        <f>'House Count'!H619</f>
        <v/>
      </c>
    </row>
    <row r="620">
      <c r="A620" s="1204">
        <f>'House Count'!A620</f>
        <v/>
      </c>
      <c r="B620" s="1205">
        <f>'House Count'!E620</f>
        <v/>
      </c>
      <c r="C620" s="1205">
        <f>'House Count'!B620</f>
        <v/>
      </c>
      <c r="D620" s="1205">
        <f>'House Count'!C620</f>
        <v/>
      </c>
      <c r="E620" s="1205">
        <f>'House Count'!D620</f>
        <v/>
      </c>
      <c r="F620" s="1205">
        <f>IF(G620="RES-SFU","RESIDENTIAL",IF(G620="RES-HOA","RESIDENTIAL",IF(G620="RES-MDU","RESIDENTIAL",IF(G620="COMM-SU","BUSINESS",IF(G620="COM-MTU","BUSINESS",IF(G620="ENT","BUSINESS",""))))))</f>
        <v/>
      </c>
      <c r="G620" s="1205">
        <f>'House Count'!F620</f>
        <v/>
      </c>
      <c r="H620" s="1205">
        <f>'House Count'!H620</f>
        <v/>
      </c>
    </row>
    <row r="621">
      <c r="A621" s="1204">
        <f>'House Count'!A621</f>
        <v/>
      </c>
      <c r="B621" s="1205">
        <f>'House Count'!E621</f>
        <v/>
      </c>
      <c r="C621" s="1205">
        <f>'House Count'!B621</f>
        <v/>
      </c>
      <c r="D621" s="1205">
        <f>'House Count'!C621</f>
        <v/>
      </c>
      <c r="E621" s="1205">
        <f>'House Count'!D621</f>
        <v/>
      </c>
      <c r="F621" s="1205">
        <f>IF(G621="RES-SFU","RESIDENTIAL",IF(G621="RES-HOA","RESIDENTIAL",IF(G621="RES-MDU","RESIDENTIAL",IF(G621="COMM-SU","BUSINESS",IF(G621="COM-MTU","BUSINESS",IF(G621="ENT","BUSINESS",""))))))</f>
        <v/>
      </c>
      <c r="G621" s="1205">
        <f>'House Count'!F621</f>
        <v/>
      </c>
      <c r="H621" s="1205">
        <f>'House Count'!H621</f>
        <v/>
      </c>
    </row>
    <row r="622">
      <c r="A622" s="1204">
        <f>'House Count'!A622</f>
        <v/>
      </c>
      <c r="B622" s="1205">
        <f>'House Count'!E622</f>
        <v/>
      </c>
      <c r="C622" s="1205">
        <f>'House Count'!B622</f>
        <v/>
      </c>
      <c r="D622" s="1205">
        <f>'House Count'!C622</f>
        <v/>
      </c>
      <c r="E622" s="1205">
        <f>'House Count'!D622</f>
        <v/>
      </c>
      <c r="F622" s="1205">
        <f>IF(G622="RES-SFU","RESIDENTIAL",IF(G622="RES-HOA","RESIDENTIAL",IF(G622="RES-MDU","RESIDENTIAL",IF(G622="COMM-SU","BUSINESS",IF(G622="COM-MTU","BUSINESS",IF(G622="ENT","BUSINESS",""))))))</f>
        <v/>
      </c>
      <c r="G622" s="1205">
        <f>'House Count'!F622</f>
        <v/>
      </c>
      <c r="H622" s="1205">
        <f>'House Count'!H622</f>
        <v/>
      </c>
    </row>
    <row r="623">
      <c r="A623" s="1204">
        <f>'House Count'!A623</f>
        <v/>
      </c>
      <c r="B623" s="1205">
        <f>'House Count'!E623</f>
        <v/>
      </c>
      <c r="C623" s="1205">
        <f>'House Count'!B623</f>
        <v/>
      </c>
      <c r="D623" s="1205">
        <f>'House Count'!C623</f>
        <v/>
      </c>
      <c r="E623" s="1205">
        <f>'House Count'!D623</f>
        <v/>
      </c>
      <c r="F623" s="1205">
        <f>IF(G623="RES-SFU","RESIDENTIAL",IF(G623="RES-HOA","RESIDENTIAL",IF(G623="RES-MDU","RESIDENTIAL",IF(G623="COMM-SU","BUSINESS",IF(G623="COM-MTU","BUSINESS",IF(G623="ENT","BUSINESS",""))))))</f>
        <v/>
      </c>
      <c r="G623" s="1205">
        <f>'House Count'!F623</f>
        <v/>
      </c>
      <c r="H623" s="1205">
        <f>'House Count'!H623</f>
        <v/>
      </c>
    </row>
    <row r="624">
      <c r="A624" s="1204">
        <f>'House Count'!A624</f>
        <v/>
      </c>
      <c r="B624" s="1205">
        <f>'House Count'!E624</f>
        <v/>
      </c>
      <c r="C624" s="1205">
        <f>'House Count'!B624</f>
        <v/>
      </c>
      <c r="D624" s="1205">
        <f>'House Count'!C624</f>
        <v/>
      </c>
      <c r="E624" s="1205">
        <f>'House Count'!D624</f>
        <v/>
      </c>
      <c r="F624" s="1205">
        <f>IF(G624="RES-SFU","RESIDENTIAL",IF(G624="RES-HOA","RESIDENTIAL",IF(G624="RES-MDU","RESIDENTIAL",IF(G624="COMM-SU","BUSINESS",IF(G624="COM-MTU","BUSINESS",IF(G624="ENT","BUSINESS",""))))))</f>
        <v/>
      </c>
      <c r="G624" s="1205">
        <f>'House Count'!F624</f>
        <v/>
      </c>
      <c r="H624" s="1205">
        <f>'House Count'!H624</f>
        <v/>
      </c>
    </row>
    <row r="625">
      <c r="A625" s="1204">
        <f>'House Count'!A625</f>
        <v/>
      </c>
      <c r="B625" s="1205">
        <f>'House Count'!E625</f>
        <v/>
      </c>
      <c r="C625" s="1205">
        <f>'House Count'!B625</f>
        <v/>
      </c>
      <c r="D625" s="1205">
        <f>'House Count'!C625</f>
        <v/>
      </c>
      <c r="E625" s="1205">
        <f>'House Count'!D625</f>
        <v/>
      </c>
      <c r="F625" s="1205">
        <f>IF(G625="RES-SFU","RESIDENTIAL",IF(G625="RES-HOA","RESIDENTIAL",IF(G625="RES-MDU","RESIDENTIAL",IF(G625="COMM-SU","BUSINESS",IF(G625="COM-MTU","BUSINESS",IF(G625="ENT","BUSINESS",""))))))</f>
        <v/>
      </c>
      <c r="G625" s="1205">
        <f>'House Count'!F625</f>
        <v/>
      </c>
      <c r="H625" s="1205">
        <f>'House Count'!H625</f>
        <v/>
      </c>
    </row>
    <row r="626">
      <c r="A626" s="1204">
        <f>'House Count'!A626</f>
        <v/>
      </c>
      <c r="B626" s="1205">
        <f>'House Count'!E626</f>
        <v/>
      </c>
      <c r="C626" s="1205">
        <f>'House Count'!B626</f>
        <v/>
      </c>
      <c r="D626" s="1205">
        <f>'House Count'!C626</f>
        <v/>
      </c>
      <c r="E626" s="1205">
        <f>'House Count'!D626</f>
        <v/>
      </c>
      <c r="F626" s="1205">
        <f>IF(G626="RES-SFU","RESIDENTIAL",IF(G626="RES-HOA","RESIDENTIAL",IF(G626="RES-MDU","RESIDENTIAL",IF(G626="COMM-SU","BUSINESS",IF(G626="COM-MTU","BUSINESS",IF(G626="ENT","BUSINESS",""))))))</f>
        <v/>
      </c>
      <c r="G626" s="1205">
        <f>'House Count'!F626</f>
        <v/>
      </c>
      <c r="H626" s="1205">
        <f>'House Count'!H626</f>
        <v/>
      </c>
    </row>
    <row r="627">
      <c r="A627" s="1204">
        <f>'House Count'!A627</f>
        <v/>
      </c>
      <c r="B627" s="1205">
        <f>'House Count'!E627</f>
        <v/>
      </c>
      <c r="C627" s="1205">
        <f>'House Count'!B627</f>
        <v/>
      </c>
      <c r="D627" s="1205">
        <f>'House Count'!C627</f>
        <v/>
      </c>
      <c r="E627" s="1205">
        <f>'House Count'!D627</f>
        <v/>
      </c>
      <c r="F627" s="1205">
        <f>IF(G627="RES-SFU","RESIDENTIAL",IF(G627="RES-HOA","RESIDENTIAL",IF(G627="RES-MDU","RESIDENTIAL",IF(G627="COMM-SU","BUSINESS",IF(G627="COM-MTU","BUSINESS",IF(G627="ENT","BUSINESS",""))))))</f>
        <v/>
      </c>
      <c r="G627" s="1205">
        <f>'House Count'!F627</f>
        <v/>
      </c>
      <c r="H627" s="1205">
        <f>'House Count'!H627</f>
        <v/>
      </c>
    </row>
    <row r="628">
      <c r="A628" s="1204">
        <f>'House Count'!A628</f>
        <v/>
      </c>
      <c r="B628" s="1205">
        <f>'House Count'!E628</f>
        <v/>
      </c>
      <c r="C628" s="1205">
        <f>'House Count'!B628</f>
        <v/>
      </c>
      <c r="D628" s="1205">
        <f>'House Count'!C628</f>
        <v/>
      </c>
      <c r="E628" s="1205">
        <f>'House Count'!D628</f>
        <v/>
      </c>
      <c r="F628" s="1205">
        <f>IF(G628="RES-SFU","RESIDENTIAL",IF(G628="RES-HOA","RESIDENTIAL",IF(G628="RES-MDU","RESIDENTIAL",IF(G628="COMM-SU","BUSINESS",IF(G628="COM-MTU","BUSINESS",IF(G628="ENT","BUSINESS",""))))))</f>
        <v/>
      </c>
      <c r="G628" s="1205">
        <f>'House Count'!F628</f>
        <v/>
      </c>
      <c r="H628" s="1205">
        <f>'House Count'!H628</f>
        <v/>
      </c>
    </row>
    <row r="629">
      <c r="A629" s="1204">
        <f>'House Count'!A629</f>
        <v/>
      </c>
      <c r="B629" s="1205">
        <f>'House Count'!E629</f>
        <v/>
      </c>
      <c r="C629" s="1205">
        <f>'House Count'!B629</f>
        <v/>
      </c>
      <c r="D629" s="1205">
        <f>'House Count'!C629</f>
        <v/>
      </c>
      <c r="E629" s="1205">
        <f>'House Count'!D629</f>
        <v/>
      </c>
      <c r="F629" s="1205">
        <f>IF(G629="RES-SFU","RESIDENTIAL",IF(G629="RES-HOA","RESIDENTIAL",IF(G629="RES-MDU","RESIDENTIAL",IF(G629="COMM-SU","BUSINESS",IF(G629="COM-MTU","BUSINESS",IF(G629="ENT","BUSINESS",""))))))</f>
        <v/>
      </c>
      <c r="G629" s="1205">
        <f>'House Count'!F629</f>
        <v/>
      </c>
      <c r="H629" s="1205">
        <f>'House Count'!H629</f>
        <v/>
      </c>
    </row>
    <row r="630">
      <c r="A630" s="1204">
        <f>'House Count'!A630</f>
        <v/>
      </c>
      <c r="B630" s="1205">
        <f>'House Count'!E630</f>
        <v/>
      </c>
      <c r="C630" s="1205">
        <f>'House Count'!B630</f>
        <v/>
      </c>
      <c r="D630" s="1205">
        <f>'House Count'!C630</f>
        <v/>
      </c>
      <c r="E630" s="1205">
        <f>'House Count'!D630</f>
        <v/>
      </c>
      <c r="F630" s="1205">
        <f>IF(G630="RES-SFU","RESIDENTIAL",IF(G630="RES-HOA","RESIDENTIAL",IF(G630="RES-MDU","RESIDENTIAL",IF(G630="COMM-SU","BUSINESS",IF(G630="COM-MTU","BUSINESS",IF(G630="ENT","BUSINESS",""))))))</f>
        <v/>
      </c>
      <c r="G630" s="1205">
        <f>'House Count'!F630</f>
        <v/>
      </c>
      <c r="H630" s="1205">
        <f>'House Count'!H630</f>
        <v/>
      </c>
    </row>
    <row r="631">
      <c r="A631" s="1204">
        <f>'House Count'!A631</f>
        <v/>
      </c>
      <c r="B631" s="1205">
        <f>'House Count'!E631</f>
        <v/>
      </c>
      <c r="C631" s="1205">
        <f>'House Count'!B631</f>
        <v/>
      </c>
      <c r="D631" s="1205">
        <f>'House Count'!C631</f>
        <v/>
      </c>
      <c r="E631" s="1205">
        <f>'House Count'!D631</f>
        <v/>
      </c>
      <c r="F631" s="1205">
        <f>IF(G631="RES-SFU","RESIDENTIAL",IF(G631="RES-HOA","RESIDENTIAL",IF(G631="RES-MDU","RESIDENTIAL",IF(G631="COMM-SU","BUSINESS",IF(G631="COM-MTU","BUSINESS",IF(G631="ENT","BUSINESS",""))))))</f>
        <v/>
      </c>
      <c r="G631" s="1205">
        <f>'House Count'!F631</f>
        <v/>
      </c>
      <c r="H631" s="1205">
        <f>'House Count'!H631</f>
        <v/>
      </c>
    </row>
    <row r="632">
      <c r="A632" s="1204">
        <f>'House Count'!A632</f>
        <v/>
      </c>
      <c r="B632" s="1205">
        <f>'House Count'!E632</f>
        <v/>
      </c>
      <c r="C632" s="1205">
        <f>'House Count'!B632</f>
        <v/>
      </c>
      <c r="D632" s="1205">
        <f>'House Count'!C632</f>
        <v/>
      </c>
      <c r="E632" s="1205">
        <f>'House Count'!D632</f>
        <v/>
      </c>
      <c r="F632" s="1205">
        <f>IF(G632="RES-SFU","RESIDENTIAL",IF(G632="RES-HOA","RESIDENTIAL",IF(G632="RES-MDU","RESIDENTIAL",IF(G632="COMM-SU","BUSINESS",IF(G632="COM-MTU","BUSINESS",IF(G632="ENT","BUSINESS",""))))))</f>
        <v/>
      </c>
      <c r="G632" s="1205">
        <f>'House Count'!F632</f>
        <v/>
      </c>
      <c r="H632" s="1205">
        <f>'House Count'!H632</f>
        <v/>
      </c>
    </row>
    <row r="633">
      <c r="A633" s="1204">
        <f>'House Count'!A633</f>
        <v/>
      </c>
      <c r="B633" s="1205">
        <f>'House Count'!E633</f>
        <v/>
      </c>
      <c r="C633" s="1205">
        <f>'House Count'!B633</f>
        <v/>
      </c>
      <c r="D633" s="1205">
        <f>'House Count'!C633</f>
        <v/>
      </c>
      <c r="E633" s="1205">
        <f>'House Count'!D633</f>
        <v/>
      </c>
      <c r="F633" s="1205">
        <f>IF(G633="RES-SFU","RESIDENTIAL",IF(G633="RES-HOA","RESIDENTIAL",IF(G633="RES-MDU","RESIDENTIAL",IF(G633="COMM-SU","BUSINESS",IF(G633="COM-MTU","BUSINESS",IF(G633="ENT","BUSINESS",""))))))</f>
        <v/>
      </c>
      <c r="G633" s="1205">
        <f>'House Count'!F633</f>
        <v/>
      </c>
      <c r="H633" s="1205">
        <f>'House Count'!H633</f>
        <v/>
      </c>
    </row>
    <row r="634">
      <c r="A634" s="1204">
        <f>'House Count'!A634</f>
        <v/>
      </c>
      <c r="B634" s="1205">
        <f>'House Count'!E634</f>
        <v/>
      </c>
      <c r="C634" s="1205">
        <f>'House Count'!B634</f>
        <v/>
      </c>
      <c r="D634" s="1205">
        <f>'House Count'!C634</f>
        <v/>
      </c>
      <c r="E634" s="1205">
        <f>'House Count'!D634</f>
        <v/>
      </c>
      <c r="F634" s="1205">
        <f>IF(G634="RES-SFU","RESIDENTIAL",IF(G634="RES-HOA","RESIDENTIAL",IF(G634="RES-MDU","RESIDENTIAL",IF(G634="COMM-SU","BUSINESS",IF(G634="COM-MTU","BUSINESS",IF(G634="ENT","BUSINESS",""))))))</f>
        <v/>
      </c>
      <c r="G634" s="1205">
        <f>'House Count'!F634</f>
        <v/>
      </c>
      <c r="H634" s="1205">
        <f>'House Count'!H634</f>
        <v/>
      </c>
    </row>
    <row r="635">
      <c r="A635" s="1204">
        <f>'House Count'!A635</f>
        <v/>
      </c>
      <c r="B635" s="1205">
        <f>'House Count'!E635</f>
        <v/>
      </c>
      <c r="C635" s="1205">
        <f>'House Count'!B635</f>
        <v/>
      </c>
      <c r="D635" s="1205">
        <f>'House Count'!C635</f>
        <v/>
      </c>
      <c r="E635" s="1205">
        <f>'House Count'!D635</f>
        <v/>
      </c>
      <c r="F635" s="1205">
        <f>IF(G635="RES-SFU","RESIDENTIAL",IF(G635="RES-HOA","RESIDENTIAL",IF(G635="RES-MDU","RESIDENTIAL",IF(G635="COMM-SU","BUSINESS",IF(G635="COM-MTU","BUSINESS",IF(G635="ENT","BUSINESS",""))))))</f>
        <v/>
      </c>
      <c r="G635" s="1205">
        <f>'House Count'!F635</f>
        <v/>
      </c>
      <c r="H635" s="1205">
        <f>'House Count'!H635</f>
        <v/>
      </c>
    </row>
    <row r="636">
      <c r="A636" s="1204">
        <f>'House Count'!A636</f>
        <v/>
      </c>
      <c r="B636" s="1205">
        <f>'House Count'!E636</f>
        <v/>
      </c>
      <c r="C636" s="1205">
        <f>'House Count'!B636</f>
        <v/>
      </c>
      <c r="D636" s="1205">
        <f>'House Count'!C636</f>
        <v/>
      </c>
      <c r="E636" s="1205">
        <f>'House Count'!D636</f>
        <v/>
      </c>
      <c r="F636" s="1205">
        <f>IF(G636="RES-SFU","RESIDENTIAL",IF(G636="RES-HOA","RESIDENTIAL",IF(G636="RES-MDU","RESIDENTIAL",IF(G636="COMM-SU","BUSINESS",IF(G636="COM-MTU","BUSINESS",IF(G636="ENT","BUSINESS",""))))))</f>
        <v/>
      </c>
      <c r="G636" s="1205">
        <f>'House Count'!F636</f>
        <v/>
      </c>
      <c r="H636" s="1205">
        <f>'House Count'!H636</f>
        <v/>
      </c>
    </row>
    <row r="637">
      <c r="A637" s="1204">
        <f>'House Count'!A637</f>
        <v/>
      </c>
      <c r="B637" s="1205">
        <f>'House Count'!E637</f>
        <v/>
      </c>
      <c r="C637" s="1205">
        <f>'House Count'!B637</f>
        <v/>
      </c>
      <c r="D637" s="1205">
        <f>'House Count'!C637</f>
        <v/>
      </c>
      <c r="E637" s="1205">
        <f>'House Count'!D637</f>
        <v/>
      </c>
      <c r="F637" s="1205">
        <f>IF(G637="RES-SFU","RESIDENTIAL",IF(G637="RES-HOA","RESIDENTIAL",IF(G637="RES-MDU","RESIDENTIAL",IF(G637="COMM-SU","BUSINESS",IF(G637="COM-MTU","BUSINESS",IF(G637="ENT","BUSINESS",""))))))</f>
        <v/>
      </c>
      <c r="G637" s="1205">
        <f>'House Count'!F637</f>
        <v/>
      </c>
      <c r="H637" s="1205">
        <f>'House Count'!H637</f>
        <v/>
      </c>
    </row>
    <row r="638">
      <c r="A638" s="1204">
        <f>'House Count'!A638</f>
        <v/>
      </c>
      <c r="B638" s="1205">
        <f>'House Count'!E638</f>
        <v/>
      </c>
      <c r="C638" s="1205">
        <f>'House Count'!B638</f>
        <v/>
      </c>
      <c r="D638" s="1205">
        <f>'House Count'!C638</f>
        <v/>
      </c>
      <c r="E638" s="1205">
        <f>'House Count'!D638</f>
        <v/>
      </c>
      <c r="F638" s="1205">
        <f>IF(G638="RES-SFU","RESIDENTIAL",IF(G638="RES-HOA","RESIDENTIAL",IF(G638="RES-MDU","RESIDENTIAL",IF(G638="COMM-SU","BUSINESS",IF(G638="COM-MTU","BUSINESS",IF(G638="ENT","BUSINESS",""))))))</f>
        <v/>
      </c>
      <c r="G638" s="1205">
        <f>'House Count'!F638</f>
        <v/>
      </c>
      <c r="H638" s="1205">
        <f>'House Count'!H638</f>
        <v/>
      </c>
    </row>
    <row r="639">
      <c r="A639" s="1204">
        <f>'House Count'!A639</f>
        <v/>
      </c>
      <c r="B639" s="1205">
        <f>'House Count'!E639</f>
        <v/>
      </c>
      <c r="C639" s="1205">
        <f>'House Count'!B639</f>
        <v/>
      </c>
      <c r="D639" s="1205">
        <f>'House Count'!C639</f>
        <v/>
      </c>
      <c r="E639" s="1205">
        <f>'House Count'!D639</f>
        <v/>
      </c>
      <c r="F639" s="1205">
        <f>IF(G639="RES-SFU","RESIDENTIAL",IF(G639="RES-HOA","RESIDENTIAL",IF(G639="RES-MDU","RESIDENTIAL",IF(G639="COMM-SU","BUSINESS",IF(G639="COM-MTU","BUSINESS",IF(G639="ENT","BUSINESS",""))))))</f>
        <v/>
      </c>
      <c r="G639" s="1205">
        <f>'House Count'!F639</f>
        <v/>
      </c>
      <c r="H639" s="1205">
        <f>'House Count'!H639</f>
        <v/>
      </c>
    </row>
    <row r="640">
      <c r="A640" s="1204">
        <f>'House Count'!A640</f>
        <v/>
      </c>
      <c r="B640" s="1205">
        <f>'House Count'!E640</f>
        <v/>
      </c>
      <c r="C640" s="1205">
        <f>'House Count'!B640</f>
        <v/>
      </c>
      <c r="D640" s="1205">
        <f>'House Count'!C640</f>
        <v/>
      </c>
      <c r="E640" s="1205">
        <f>'House Count'!D640</f>
        <v/>
      </c>
      <c r="F640" s="1205">
        <f>IF(G640="RES-SFU","RESIDENTIAL",IF(G640="RES-HOA","RESIDENTIAL",IF(G640="RES-MDU","RESIDENTIAL",IF(G640="COMM-SU","BUSINESS",IF(G640="COM-MTU","BUSINESS",IF(G640="ENT","BUSINESS",""))))))</f>
        <v/>
      </c>
      <c r="G640" s="1205">
        <f>'House Count'!F640</f>
        <v/>
      </c>
      <c r="H640" s="1205">
        <f>'House Count'!H640</f>
        <v/>
      </c>
    </row>
    <row r="641">
      <c r="A641" s="1204">
        <f>'House Count'!A641</f>
        <v/>
      </c>
      <c r="B641" s="1205">
        <f>'House Count'!E641</f>
        <v/>
      </c>
      <c r="C641" s="1205">
        <f>'House Count'!B641</f>
        <v/>
      </c>
      <c r="D641" s="1205">
        <f>'House Count'!C641</f>
        <v/>
      </c>
      <c r="E641" s="1205">
        <f>'House Count'!D641</f>
        <v/>
      </c>
      <c r="F641" s="1205">
        <f>IF(G641="RES-SFU","RESIDENTIAL",IF(G641="RES-HOA","RESIDENTIAL",IF(G641="RES-MDU","RESIDENTIAL",IF(G641="COMM-SU","BUSINESS",IF(G641="COM-MTU","BUSINESS",IF(G641="ENT","BUSINESS",""))))))</f>
        <v/>
      </c>
      <c r="G641" s="1205">
        <f>'House Count'!F641</f>
        <v/>
      </c>
      <c r="H641" s="1205">
        <f>'House Count'!H641</f>
        <v/>
      </c>
    </row>
    <row r="642">
      <c r="A642" s="1204">
        <f>'House Count'!A642</f>
        <v/>
      </c>
      <c r="B642" s="1205">
        <f>'House Count'!E642</f>
        <v/>
      </c>
      <c r="C642" s="1205">
        <f>'House Count'!B642</f>
        <v/>
      </c>
      <c r="D642" s="1205">
        <f>'House Count'!C642</f>
        <v/>
      </c>
      <c r="E642" s="1205">
        <f>'House Count'!D642</f>
        <v/>
      </c>
      <c r="F642" s="1205">
        <f>IF(G642="RES-SFU","RESIDENTIAL",IF(G642="RES-HOA","RESIDENTIAL",IF(G642="RES-MDU","RESIDENTIAL",IF(G642="COMM-SU","BUSINESS",IF(G642="COM-MTU","BUSINESS",IF(G642="ENT","BUSINESS",""))))))</f>
        <v/>
      </c>
      <c r="G642" s="1205">
        <f>'House Count'!F642</f>
        <v/>
      </c>
      <c r="H642" s="1205">
        <f>'House Count'!H642</f>
        <v/>
      </c>
    </row>
    <row r="643">
      <c r="A643" s="1204">
        <f>'House Count'!A643</f>
        <v/>
      </c>
      <c r="B643" s="1205">
        <f>'House Count'!E643</f>
        <v/>
      </c>
      <c r="C643" s="1205">
        <f>'House Count'!B643</f>
        <v/>
      </c>
      <c r="D643" s="1205">
        <f>'House Count'!C643</f>
        <v/>
      </c>
      <c r="E643" s="1205">
        <f>'House Count'!D643</f>
        <v/>
      </c>
      <c r="F643" s="1205">
        <f>IF(G643="RES-SFU","RESIDENTIAL",IF(G643="RES-HOA","RESIDENTIAL",IF(G643="RES-MDU","RESIDENTIAL",IF(G643="COMM-SU","BUSINESS",IF(G643="COM-MTU","BUSINESS",IF(G643="ENT","BUSINESS",""))))))</f>
        <v/>
      </c>
      <c r="G643" s="1205">
        <f>'House Count'!F643</f>
        <v/>
      </c>
      <c r="H643" s="1205">
        <f>'House Count'!H643</f>
        <v/>
      </c>
    </row>
    <row r="644">
      <c r="A644" s="1204">
        <f>'House Count'!A644</f>
        <v/>
      </c>
      <c r="B644" s="1205">
        <f>'House Count'!E644</f>
        <v/>
      </c>
      <c r="C644" s="1205">
        <f>'House Count'!B644</f>
        <v/>
      </c>
      <c r="D644" s="1205">
        <f>'House Count'!C644</f>
        <v/>
      </c>
      <c r="E644" s="1205">
        <f>'House Count'!D644</f>
        <v/>
      </c>
      <c r="F644" s="1205">
        <f>IF(G644="RES-SFU","RESIDENTIAL",IF(G644="RES-HOA","RESIDENTIAL",IF(G644="RES-MDU","RESIDENTIAL",IF(G644="COMM-SU","BUSINESS",IF(G644="COM-MTU","BUSINESS",IF(G644="ENT","BUSINESS",""))))))</f>
        <v/>
      </c>
      <c r="G644" s="1205">
        <f>'House Count'!F644</f>
        <v/>
      </c>
      <c r="H644" s="1205">
        <f>'House Count'!H644</f>
        <v/>
      </c>
    </row>
    <row r="645">
      <c r="A645" s="1204">
        <f>'House Count'!A645</f>
        <v/>
      </c>
      <c r="B645" s="1205">
        <f>'House Count'!E645</f>
        <v/>
      </c>
      <c r="C645" s="1205">
        <f>'House Count'!B645</f>
        <v/>
      </c>
      <c r="D645" s="1205">
        <f>'House Count'!C645</f>
        <v/>
      </c>
      <c r="E645" s="1205">
        <f>'House Count'!D645</f>
        <v/>
      </c>
      <c r="F645" s="1205">
        <f>IF(G645="RES-SFU","RESIDENTIAL",IF(G645="RES-HOA","RESIDENTIAL",IF(G645="RES-MDU","RESIDENTIAL",IF(G645="COMM-SU","BUSINESS",IF(G645="COM-MTU","BUSINESS",IF(G645="ENT","BUSINESS",""))))))</f>
        <v/>
      </c>
      <c r="G645" s="1205">
        <f>'House Count'!F645</f>
        <v/>
      </c>
      <c r="H645" s="1205">
        <f>'House Count'!H645</f>
        <v/>
      </c>
    </row>
    <row r="646">
      <c r="A646" s="1204">
        <f>'House Count'!A646</f>
        <v/>
      </c>
      <c r="B646" s="1205">
        <f>'House Count'!E646</f>
        <v/>
      </c>
      <c r="C646" s="1205">
        <f>'House Count'!B646</f>
        <v/>
      </c>
      <c r="D646" s="1205">
        <f>'House Count'!C646</f>
        <v/>
      </c>
      <c r="E646" s="1205">
        <f>'House Count'!D646</f>
        <v/>
      </c>
      <c r="F646" s="1205">
        <f>IF(G646="RES-SFU","RESIDENTIAL",IF(G646="RES-HOA","RESIDENTIAL",IF(G646="RES-MDU","RESIDENTIAL",IF(G646="COMM-SU","BUSINESS",IF(G646="COM-MTU","BUSINESS",IF(G646="ENT","BUSINESS",""))))))</f>
        <v/>
      </c>
      <c r="G646" s="1205">
        <f>'House Count'!F646</f>
        <v/>
      </c>
      <c r="H646" s="1205">
        <f>'House Count'!H646</f>
        <v/>
      </c>
    </row>
    <row r="647">
      <c r="A647" s="1204">
        <f>'House Count'!A647</f>
        <v/>
      </c>
      <c r="B647" s="1205">
        <f>'House Count'!E647</f>
        <v/>
      </c>
      <c r="C647" s="1205">
        <f>'House Count'!B647</f>
        <v/>
      </c>
      <c r="D647" s="1205">
        <f>'House Count'!C647</f>
        <v/>
      </c>
      <c r="E647" s="1205">
        <f>'House Count'!D647</f>
        <v/>
      </c>
      <c r="F647" s="1205">
        <f>IF(G647="RES-SFU","RESIDENTIAL",IF(G647="RES-HOA","RESIDENTIAL",IF(G647="RES-MDU","RESIDENTIAL",IF(G647="COMM-SU","BUSINESS",IF(G647="COM-MTU","BUSINESS",IF(G647="ENT","BUSINESS",""))))))</f>
        <v/>
      </c>
      <c r="G647" s="1205">
        <f>'House Count'!F647</f>
        <v/>
      </c>
      <c r="H647" s="1205">
        <f>'House Count'!H647</f>
        <v/>
      </c>
    </row>
    <row r="648">
      <c r="A648" s="1204">
        <f>'House Count'!A648</f>
        <v/>
      </c>
      <c r="B648" s="1205">
        <f>'House Count'!E648</f>
        <v/>
      </c>
      <c r="C648" s="1205">
        <f>'House Count'!B648</f>
        <v/>
      </c>
      <c r="D648" s="1205">
        <f>'House Count'!C648</f>
        <v/>
      </c>
      <c r="E648" s="1205">
        <f>'House Count'!D648</f>
        <v/>
      </c>
      <c r="F648" s="1205">
        <f>IF(G648="RES-SFU","RESIDENTIAL",IF(G648="RES-HOA","RESIDENTIAL",IF(G648="RES-MDU","RESIDENTIAL",IF(G648="COMM-SU","BUSINESS",IF(G648="COM-MTU","BUSINESS",IF(G648="ENT","BUSINESS",""))))))</f>
        <v/>
      </c>
      <c r="G648" s="1205">
        <f>'House Count'!F648</f>
        <v/>
      </c>
      <c r="H648" s="1205">
        <f>'House Count'!H648</f>
        <v/>
      </c>
    </row>
    <row r="649">
      <c r="A649" s="1204">
        <f>'House Count'!A649</f>
        <v/>
      </c>
      <c r="B649" s="1205">
        <f>'House Count'!E649</f>
        <v/>
      </c>
      <c r="C649" s="1205">
        <f>'House Count'!B649</f>
        <v/>
      </c>
      <c r="D649" s="1205">
        <f>'House Count'!C649</f>
        <v/>
      </c>
      <c r="E649" s="1205">
        <f>'House Count'!D649</f>
        <v/>
      </c>
      <c r="F649" s="1205">
        <f>IF(G649="RES-SFU","RESIDENTIAL",IF(G649="RES-HOA","RESIDENTIAL",IF(G649="RES-MDU","RESIDENTIAL",IF(G649="COMM-SU","BUSINESS",IF(G649="COM-MTU","BUSINESS",IF(G649="ENT","BUSINESS",""))))))</f>
        <v/>
      </c>
      <c r="G649" s="1205">
        <f>'House Count'!F649</f>
        <v/>
      </c>
      <c r="H649" s="1205">
        <f>'House Count'!H649</f>
        <v/>
      </c>
    </row>
    <row r="650">
      <c r="A650" s="1204">
        <f>'House Count'!A650</f>
        <v/>
      </c>
      <c r="B650" s="1205">
        <f>'House Count'!E650</f>
        <v/>
      </c>
      <c r="C650" s="1205">
        <f>'House Count'!B650</f>
        <v/>
      </c>
      <c r="D650" s="1205">
        <f>'House Count'!C650</f>
        <v/>
      </c>
      <c r="E650" s="1205">
        <f>'House Count'!D650</f>
        <v/>
      </c>
      <c r="F650" s="1205">
        <f>IF(G650="RES-SFU","RESIDENTIAL",IF(G650="RES-HOA","RESIDENTIAL",IF(G650="RES-MDU","RESIDENTIAL",IF(G650="COMM-SU","BUSINESS",IF(G650="COM-MTU","BUSINESS",IF(G650="ENT","BUSINESS",""))))))</f>
        <v/>
      </c>
      <c r="G650" s="1205">
        <f>'House Count'!F650</f>
        <v/>
      </c>
      <c r="H650" s="1205">
        <f>'House Count'!H650</f>
        <v/>
      </c>
    </row>
    <row r="651">
      <c r="A651" s="1204">
        <f>'House Count'!A651</f>
        <v/>
      </c>
      <c r="B651" s="1205">
        <f>'House Count'!E651</f>
        <v/>
      </c>
      <c r="C651" s="1205">
        <f>'House Count'!B651</f>
        <v/>
      </c>
      <c r="D651" s="1205">
        <f>'House Count'!C651</f>
        <v/>
      </c>
      <c r="E651" s="1205">
        <f>'House Count'!D651</f>
        <v/>
      </c>
      <c r="F651" s="1205">
        <f>IF(G651="RES-SFU","RESIDENTIAL",IF(G651="RES-HOA","RESIDENTIAL",IF(G651="RES-MDU","RESIDENTIAL",IF(G651="COMM-SU","BUSINESS",IF(G651="COM-MTU","BUSINESS",IF(G651="ENT","BUSINESS",""))))))</f>
        <v/>
      </c>
      <c r="G651" s="1205">
        <f>'House Count'!F651</f>
        <v/>
      </c>
      <c r="H651" s="1205">
        <f>'House Count'!H651</f>
        <v/>
      </c>
    </row>
    <row r="652">
      <c r="A652" s="1204">
        <f>'House Count'!A652</f>
        <v/>
      </c>
      <c r="B652" s="1205">
        <f>'House Count'!E652</f>
        <v/>
      </c>
      <c r="C652" s="1205">
        <f>'House Count'!B652</f>
        <v/>
      </c>
      <c r="D652" s="1205">
        <f>'House Count'!C652</f>
        <v/>
      </c>
      <c r="E652" s="1205">
        <f>'House Count'!D652</f>
        <v/>
      </c>
      <c r="F652" s="1205">
        <f>IF(G652="RES-SFU","RESIDENTIAL",IF(G652="RES-HOA","RESIDENTIAL",IF(G652="RES-MDU","RESIDENTIAL",IF(G652="COMM-SU","BUSINESS",IF(G652="COM-MTU","BUSINESS",IF(G652="ENT","BUSINESS",""))))))</f>
        <v/>
      </c>
      <c r="G652" s="1205">
        <f>'House Count'!F652</f>
        <v/>
      </c>
      <c r="H652" s="1205">
        <f>'House Count'!H652</f>
        <v/>
      </c>
    </row>
    <row r="653">
      <c r="A653" s="1204">
        <f>'House Count'!A653</f>
        <v/>
      </c>
      <c r="B653" s="1205">
        <f>'House Count'!E653</f>
        <v/>
      </c>
      <c r="C653" s="1205">
        <f>'House Count'!B653</f>
        <v/>
      </c>
      <c r="D653" s="1205">
        <f>'House Count'!C653</f>
        <v/>
      </c>
      <c r="E653" s="1205">
        <f>'House Count'!D653</f>
        <v/>
      </c>
      <c r="F653" s="1205">
        <f>IF(G653="RES-SFU","RESIDENTIAL",IF(G653="RES-HOA","RESIDENTIAL",IF(G653="RES-MDU","RESIDENTIAL",IF(G653="COMM-SU","BUSINESS",IF(G653="COM-MTU","BUSINESS",IF(G653="ENT","BUSINESS",""))))))</f>
        <v/>
      </c>
      <c r="G653" s="1205">
        <f>'House Count'!F653</f>
        <v/>
      </c>
      <c r="H653" s="1205">
        <f>'House Count'!H653</f>
        <v/>
      </c>
    </row>
    <row r="654">
      <c r="A654" s="1204">
        <f>'House Count'!A654</f>
        <v/>
      </c>
      <c r="B654" s="1205">
        <f>'House Count'!E654</f>
        <v/>
      </c>
      <c r="C654" s="1205">
        <f>'House Count'!B654</f>
        <v/>
      </c>
      <c r="D654" s="1205">
        <f>'House Count'!C654</f>
        <v/>
      </c>
      <c r="E654" s="1205">
        <f>'House Count'!D654</f>
        <v/>
      </c>
      <c r="F654" s="1205">
        <f>IF(G654="RES-SFU","RESIDENTIAL",IF(G654="RES-HOA","RESIDENTIAL",IF(G654="RES-MDU","RESIDENTIAL",IF(G654="COMM-SU","BUSINESS",IF(G654="COM-MTU","BUSINESS",IF(G654="ENT","BUSINESS",""))))))</f>
        <v/>
      </c>
      <c r="G654" s="1205">
        <f>'House Count'!F654</f>
        <v/>
      </c>
      <c r="H654" s="1205">
        <f>'House Count'!H654</f>
        <v/>
      </c>
    </row>
    <row r="655">
      <c r="A655" s="1204">
        <f>'House Count'!A655</f>
        <v/>
      </c>
      <c r="B655" s="1205">
        <f>'House Count'!E655</f>
        <v/>
      </c>
      <c r="C655" s="1205">
        <f>'House Count'!B655</f>
        <v/>
      </c>
      <c r="D655" s="1205">
        <f>'House Count'!C655</f>
        <v/>
      </c>
      <c r="E655" s="1205">
        <f>'House Count'!D655</f>
        <v/>
      </c>
      <c r="F655" s="1205">
        <f>IF(G655="RES-SFU","RESIDENTIAL",IF(G655="RES-HOA","RESIDENTIAL",IF(G655="RES-MDU","RESIDENTIAL",IF(G655="COMM-SU","BUSINESS",IF(G655="COM-MTU","BUSINESS",IF(G655="ENT","BUSINESS",""))))))</f>
        <v/>
      </c>
      <c r="G655" s="1205">
        <f>'House Count'!F655</f>
        <v/>
      </c>
      <c r="H655" s="1205">
        <f>'House Count'!H655</f>
        <v/>
      </c>
    </row>
    <row r="656">
      <c r="A656" s="1204">
        <f>'House Count'!A656</f>
        <v/>
      </c>
      <c r="B656" s="1205">
        <f>'House Count'!E656</f>
        <v/>
      </c>
      <c r="C656" s="1205">
        <f>'House Count'!B656</f>
        <v/>
      </c>
      <c r="D656" s="1205">
        <f>'House Count'!C656</f>
        <v/>
      </c>
      <c r="E656" s="1205">
        <f>'House Count'!D656</f>
        <v/>
      </c>
      <c r="F656" s="1205">
        <f>IF(G656="RES-SFU","RESIDENTIAL",IF(G656="RES-HOA","RESIDENTIAL",IF(G656="RES-MDU","RESIDENTIAL",IF(G656="COMM-SU","BUSINESS",IF(G656="COM-MTU","BUSINESS",IF(G656="ENT","BUSINESS",""))))))</f>
        <v/>
      </c>
      <c r="G656" s="1205">
        <f>'House Count'!F656</f>
        <v/>
      </c>
      <c r="H656" s="1205">
        <f>'House Count'!H656</f>
        <v/>
      </c>
    </row>
    <row r="657">
      <c r="A657" s="1204">
        <f>'House Count'!A657</f>
        <v/>
      </c>
      <c r="B657" s="1205">
        <f>'House Count'!E657</f>
        <v/>
      </c>
      <c r="C657" s="1205">
        <f>'House Count'!B657</f>
        <v/>
      </c>
      <c r="D657" s="1205">
        <f>'House Count'!C657</f>
        <v/>
      </c>
      <c r="E657" s="1205">
        <f>'House Count'!D657</f>
        <v/>
      </c>
      <c r="F657" s="1205">
        <f>IF(G657="RES-SFU","RESIDENTIAL",IF(G657="RES-HOA","RESIDENTIAL",IF(G657="RES-MDU","RESIDENTIAL",IF(G657="COMM-SU","BUSINESS",IF(G657="COM-MTU","BUSINESS",IF(G657="ENT","BUSINESS",""))))))</f>
        <v/>
      </c>
      <c r="G657" s="1205">
        <f>'House Count'!F657</f>
        <v/>
      </c>
      <c r="H657" s="1205">
        <f>'House Count'!H657</f>
        <v/>
      </c>
    </row>
    <row r="658">
      <c r="A658" s="1204">
        <f>'House Count'!A658</f>
        <v/>
      </c>
      <c r="B658" s="1205">
        <f>'House Count'!E658</f>
        <v/>
      </c>
      <c r="C658" s="1205">
        <f>'House Count'!B658</f>
        <v/>
      </c>
      <c r="D658" s="1205">
        <f>'House Count'!C658</f>
        <v/>
      </c>
      <c r="E658" s="1205">
        <f>'House Count'!D658</f>
        <v/>
      </c>
      <c r="F658" s="1205">
        <f>IF(G658="RES-SFU","RESIDENTIAL",IF(G658="RES-HOA","RESIDENTIAL",IF(G658="RES-MDU","RESIDENTIAL",IF(G658="COMM-SU","BUSINESS",IF(G658="COM-MTU","BUSINESS",IF(G658="ENT","BUSINESS",""))))))</f>
        <v/>
      </c>
      <c r="G658" s="1205">
        <f>'House Count'!F658</f>
        <v/>
      </c>
      <c r="H658" s="1205">
        <f>'House Count'!H658</f>
        <v/>
      </c>
    </row>
    <row r="659">
      <c r="A659" s="1204">
        <f>'House Count'!A659</f>
        <v/>
      </c>
      <c r="B659" s="1205">
        <f>'House Count'!E659</f>
        <v/>
      </c>
      <c r="C659" s="1205">
        <f>'House Count'!B659</f>
        <v/>
      </c>
      <c r="D659" s="1205">
        <f>'House Count'!C659</f>
        <v/>
      </c>
      <c r="E659" s="1205">
        <f>'House Count'!D659</f>
        <v/>
      </c>
      <c r="F659" s="1205">
        <f>IF(G659="RES-SFU","RESIDENTIAL",IF(G659="RES-HOA","RESIDENTIAL",IF(G659="RES-MDU","RESIDENTIAL",IF(G659="COMM-SU","BUSINESS",IF(G659="COM-MTU","BUSINESS",IF(G659="ENT","BUSINESS",""))))))</f>
        <v/>
      </c>
      <c r="G659" s="1205">
        <f>'House Count'!F659</f>
        <v/>
      </c>
      <c r="H659" s="1205">
        <f>'House Count'!H659</f>
        <v/>
      </c>
    </row>
    <row r="660">
      <c r="A660" s="1204">
        <f>'House Count'!A660</f>
        <v/>
      </c>
      <c r="B660" s="1205">
        <f>'House Count'!E660</f>
        <v/>
      </c>
      <c r="C660" s="1205">
        <f>'House Count'!B660</f>
        <v/>
      </c>
      <c r="D660" s="1205">
        <f>'House Count'!C660</f>
        <v/>
      </c>
      <c r="E660" s="1205">
        <f>'House Count'!D660</f>
        <v/>
      </c>
      <c r="F660" s="1205">
        <f>IF(G660="RES-SFU","RESIDENTIAL",IF(G660="RES-HOA","RESIDENTIAL",IF(G660="RES-MDU","RESIDENTIAL",IF(G660="COMM-SU","BUSINESS",IF(G660="COM-MTU","BUSINESS",IF(G660="ENT","BUSINESS",""))))))</f>
        <v/>
      </c>
      <c r="G660" s="1205">
        <f>'House Count'!F660</f>
        <v/>
      </c>
      <c r="H660" s="1205">
        <f>'House Count'!H660</f>
        <v/>
      </c>
    </row>
    <row r="661">
      <c r="A661" s="1204">
        <f>'House Count'!A661</f>
        <v/>
      </c>
      <c r="B661" s="1205">
        <f>'House Count'!E661</f>
        <v/>
      </c>
      <c r="C661" s="1205">
        <f>'House Count'!B661</f>
        <v/>
      </c>
      <c r="D661" s="1205">
        <f>'House Count'!C661</f>
        <v/>
      </c>
      <c r="E661" s="1205">
        <f>'House Count'!D661</f>
        <v/>
      </c>
      <c r="F661" s="1205">
        <f>IF(G661="RES-SFU","RESIDENTIAL",IF(G661="RES-HOA","RESIDENTIAL",IF(G661="RES-MDU","RESIDENTIAL",IF(G661="COMM-SU","BUSINESS",IF(G661="COM-MTU","BUSINESS",IF(G661="ENT","BUSINESS",""))))))</f>
        <v/>
      </c>
      <c r="G661" s="1205">
        <f>'House Count'!F661</f>
        <v/>
      </c>
      <c r="H661" s="1205">
        <f>'House Count'!H661</f>
        <v/>
      </c>
    </row>
    <row r="662">
      <c r="A662" s="1204">
        <f>'House Count'!A662</f>
        <v/>
      </c>
      <c r="B662" s="1205">
        <f>'House Count'!E662</f>
        <v/>
      </c>
      <c r="C662" s="1205">
        <f>'House Count'!B662</f>
        <v/>
      </c>
      <c r="D662" s="1205">
        <f>'House Count'!C662</f>
        <v/>
      </c>
      <c r="E662" s="1205">
        <f>'House Count'!D662</f>
        <v/>
      </c>
      <c r="F662" s="1205">
        <f>IF(G662="RES-SFU","RESIDENTIAL",IF(G662="RES-HOA","RESIDENTIAL",IF(G662="RES-MDU","RESIDENTIAL",IF(G662="COMM-SU","BUSINESS",IF(G662="COM-MTU","BUSINESS",IF(G662="ENT","BUSINESS",""))))))</f>
        <v/>
      </c>
      <c r="G662" s="1205">
        <f>'House Count'!F662</f>
        <v/>
      </c>
      <c r="H662" s="1205">
        <f>'House Count'!H662</f>
        <v/>
      </c>
    </row>
    <row r="663">
      <c r="A663" s="1204">
        <f>'House Count'!A663</f>
        <v/>
      </c>
      <c r="B663" s="1205">
        <f>'House Count'!E663</f>
        <v/>
      </c>
      <c r="C663" s="1205">
        <f>'House Count'!B663</f>
        <v/>
      </c>
      <c r="D663" s="1205">
        <f>'House Count'!C663</f>
        <v/>
      </c>
      <c r="E663" s="1205">
        <f>'House Count'!D663</f>
        <v/>
      </c>
      <c r="F663" s="1205">
        <f>IF(G663="RES-SFU","RESIDENTIAL",IF(G663="RES-HOA","RESIDENTIAL",IF(G663="RES-MDU","RESIDENTIAL",IF(G663="COMM-SU","BUSINESS",IF(G663="COM-MTU","BUSINESS",IF(G663="ENT","BUSINESS",""))))))</f>
        <v/>
      </c>
      <c r="G663" s="1205">
        <f>'House Count'!F663</f>
        <v/>
      </c>
      <c r="H663" s="1205">
        <f>'House Count'!H663</f>
        <v/>
      </c>
    </row>
    <row r="664">
      <c r="A664" s="1204">
        <f>'House Count'!A664</f>
        <v/>
      </c>
      <c r="B664" s="1205">
        <f>'House Count'!E664</f>
        <v/>
      </c>
      <c r="C664" s="1205">
        <f>'House Count'!B664</f>
        <v/>
      </c>
      <c r="D664" s="1205">
        <f>'House Count'!C664</f>
        <v/>
      </c>
      <c r="E664" s="1205">
        <f>'House Count'!D664</f>
        <v/>
      </c>
      <c r="F664" s="1205">
        <f>IF(G664="RES-SFU","RESIDENTIAL",IF(G664="RES-HOA","RESIDENTIAL",IF(G664="RES-MDU","RESIDENTIAL",IF(G664="COMM-SU","BUSINESS",IF(G664="COM-MTU","BUSINESS",IF(G664="ENT","BUSINESS",""))))))</f>
        <v/>
      </c>
      <c r="G664" s="1205">
        <f>'House Count'!F664</f>
        <v/>
      </c>
      <c r="H664" s="1205">
        <f>'House Count'!H664</f>
        <v/>
      </c>
    </row>
    <row r="665">
      <c r="A665" s="1204">
        <f>'House Count'!A665</f>
        <v/>
      </c>
      <c r="B665" s="1205">
        <f>'House Count'!E665</f>
        <v/>
      </c>
      <c r="C665" s="1205">
        <f>'House Count'!B665</f>
        <v/>
      </c>
      <c r="D665" s="1205">
        <f>'House Count'!C665</f>
        <v/>
      </c>
      <c r="E665" s="1205">
        <f>'House Count'!D665</f>
        <v/>
      </c>
      <c r="F665" s="1205">
        <f>IF(G665="RES-SFU","RESIDENTIAL",IF(G665="RES-HOA","RESIDENTIAL",IF(G665="RES-MDU","RESIDENTIAL",IF(G665="COMM-SU","BUSINESS",IF(G665="COM-MTU","BUSINESS",IF(G665="ENT","BUSINESS",""))))))</f>
        <v/>
      </c>
      <c r="G665" s="1205">
        <f>'House Count'!F665</f>
        <v/>
      </c>
      <c r="H665" s="1205">
        <f>'House Count'!H665</f>
        <v/>
      </c>
    </row>
    <row r="666">
      <c r="A666" s="1204">
        <f>'House Count'!A666</f>
        <v/>
      </c>
      <c r="B666" s="1205">
        <f>'House Count'!E666</f>
        <v/>
      </c>
      <c r="C666" s="1205">
        <f>'House Count'!B666</f>
        <v/>
      </c>
      <c r="D666" s="1205">
        <f>'House Count'!C666</f>
        <v/>
      </c>
      <c r="E666" s="1205">
        <f>'House Count'!D666</f>
        <v/>
      </c>
      <c r="F666" s="1205">
        <f>IF(G666="RES-SFU","RESIDENTIAL",IF(G666="RES-HOA","RESIDENTIAL",IF(G666="RES-MDU","RESIDENTIAL",IF(G666="COMM-SU","BUSINESS",IF(G666="COM-MTU","BUSINESS",IF(G666="ENT","BUSINESS",""))))))</f>
        <v/>
      </c>
      <c r="G666" s="1205">
        <f>'House Count'!F666</f>
        <v/>
      </c>
      <c r="H666" s="1205">
        <f>'House Count'!H666</f>
        <v/>
      </c>
    </row>
    <row r="667">
      <c r="A667" s="1204">
        <f>'House Count'!A667</f>
        <v/>
      </c>
      <c r="B667" s="1205">
        <f>'House Count'!E667</f>
        <v/>
      </c>
      <c r="C667" s="1205">
        <f>'House Count'!B667</f>
        <v/>
      </c>
      <c r="D667" s="1205">
        <f>'House Count'!C667</f>
        <v/>
      </c>
      <c r="E667" s="1205">
        <f>'House Count'!D667</f>
        <v/>
      </c>
      <c r="F667" s="1205">
        <f>IF(G667="RES-SFU","RESIDENTIAL",IF(G667="RES-HOA","RESIDENTIAL",IF(G667="RES-MDU","RESIDENTIAL",IF(G667="COMM-SU","BUSINESS",IF(G667="COM-MTU","BUSINESS",IF(G667="ENT","BUSINESS",""))))))</f>
        <v/>
      </c>
      <c r="G667" s="1205">
        <f>'House Count'!F667</f>
        <v/>
      </c>
      <c r="H667" s="1205">
        <f>'House Count'!H667</f>
        <v/>
      </c>
    </row>
    <row r="668">
      <c r="A668" s="1204">
        <f>'House Count'!A668</f>
        <v/>
      </c>
      <c r="B668" s="1205">
        <f>'House Count'!E668</f>
        <v/>
      </c>
      <c r="C668" s="1205">
        <f>'House Count'!B668</f>
        <v/>
      </c>
      <c r="D668" s="1205">
        <f>'House Count'!C668</f>
        <v/>
      </c>
      <c r="E668" s="1205">
        <f>'House Count'!D668</f>
        <v/>
      </c>
      <c r="F668" s="1205">
        <f>IF(G668="RES-SFU","RESIDENTIAL",IF(G668="RES-HOA","RESIDENTIAL",IF(G668="RES-MDU","RESIDENTIAL",IF(G668="COMM-SU","BUSINESS",IF(G668="COM-MTU","BUSINESS",IF(G668="ENT","BUSINESS",""))))))</f>
        <v/>
      </c>
      <c r="G668" s="1205">
        <f>'House Count'!F668</f>
        <v/>
      </c>
      <c r="H668" s="1205">
        <f>'House Count'!H668</f>
        <v/>
      </c>
    </row>
    <row r="669">
      <c r="A669" s="1204">
        <f>'House Count'!A669</f>
        <v/>
      </c>
      <c r="B669" s="1205">
        <f>'House Count'!E669</f>
        <v/>
      </c>
      <c r="C669" s="1205">
        <f>'House Count'!B669</f>
        <v/>
      </c>
      <c r="D669" s="1205">
        <f>'House Count'!C669</f>
        <v/>
      </c>
      <c r="E669" s="1205">
        <f>'House Count'!D669</f>
        <v/>
      </c>
      <c r="F669" s="1205">
        <f>IF(G669="RES-SFU","RESIDENTIAL",IF(G669="RES-HOA","RESIDENTIAL",IF(G669="RES-MDU","RESIDENTIAL",IF(G669="COMM-SU","BUSINESS",IF(G669="COM-MTU","BUSINESS",IF(G669="ENT","BUSINESS",""))))))</f>
        <v/>
      </c>
      <c r="G669" s="1205">
        <f>'House Count'!F669</f>
        <v/>
      </c>
      <c r="H669" s="1205">
        <f>'House Count'!H669</f>
        <v/>
      </c>
    </row>
    <row r="670">
      <c r="A670" s="1204">
        <f>'House Count'!A670</f>
        <v/>
      </c>
      <c r="B670" s="1205">
        <f>'House Count'!E670</f>
        <v/>
      </c>
      <c r="C670" s="1205">
        <f>'House Count'!B670</f>
        <v/>
      </c>
      <c r="D670" s="1205">
        <f>'House Count'!C670</f>
        <v/>
      </c>
      <c r="E670" s="1205">
        <f>'House Count'!D670</f>
        <v/>
      </c>
      <c r="F670" s="1205">
        <f>IF(G670="RES-SFU","RESIDENTIAL",IF(G670="RES-HOA","RESIDENTIAL",IF(G670="RES-MDU","RESIDENTIAL",IF(G670="COMM-SU","BUSINESS",IF(G670="COM-MTU","BUSINESS",IF(G670="ENT","BUSINESS",""))))))</f>
        <v/>
      </c>
      <c r="G670" s="1205">
        <f>'House Count'!F670</f>
        <v/>
      </c>
      <c r="H670" s="1205">
        <f>'House Count'!H670</f>
        <v/>
      </c>
    </row>
    <row r="671">
      <c r="A671" s="1204">
        <f>'House Count'!A671</f>
        <v/>
      </c>
      <c r="B671" s="1205">
        <f>'House Count'!E671</f>
        <v/>
      </c>
      <c r="C671" s="1205">
        <f>'House Count'!B671</f>
        <v/>
      </c>
      <c r="D671" s="1205">
        <f>'House Count'!C671</f>
        <v/>
      </c>
      <c r="E671" s="1205">
        <f>'House Count'!D671</f>
        <v/>
      </c>
      <c r="F671" s="1205">
        <f>IF(G671="RES-SFU","RESIDENTIAL",IF(G671="RES-HOA","RESIDENTIAL",IF(G671="RES-MDU","RESIDENTIAL",IF(G671="COMM-SU","BUSINESS",IF(G671="COM-MTU","BUSINESS",IF(G671="ENT","BUSINESS",""))))))</f>
        <v/>
      </c>
      <c r="G671" s="1205">
        <f>'House Count'!F671</f>
        <v/>
      </c>
      <c r="H671" s="1205">
        <f>'House Count'!H671</f>
        <v/>
      </c>
    </row>
    <row r="672">
      <c r="A672" s="1204">
        <f>'House Count'!A672</f>
        <v/>
      </c>
      <c r="B672" s="1205">
        <f>'House Count'!E672</f>
        <v/>
      </c>
      <c r="C672" s="1205">
        <f>'House Count'!B672</f>
        <v/>
      </c>
      <c r="D672" s="1205">
        <f>'House Count'!C672</f>
        <v/>
      </c>
      <c r="E672" s="1205">
        <f>'House Count'!D672</f>
        <v/>
      </c>
      <c r="F672" s="1205">
        <f>IF(G672="RES-SFU","RESIDENTIAL",IF(G672="RES-HOA","RESIDENTIAL",IF(G672="RES-MDU","RESIDENTIAL",IF(G672="COMM-SU","BUSINESS",IF(G672="COM-MTU","BUSINESS",IF(G672="ENT","BUSINESS",""))))))</f>
        <v/>
      </c>
      <c r="G672" s="1205">
        <f>'House Count'!F672</f>
        <v/>
      </c>
      <c r="H672" s="1205">
        <f>'House Count'!H672</f>
        <v/>
      </c>
    </row>
    <row r="673">
      <c r="A673" s="1204">
        <f>'House Count'!A673</f>
        <v/>
      </c>
      <c r="B673" s="1205">
        <f>'House Count'!E673</f>
        <v/>
      </c>
      <c r="C673" s="1205">
        <f>'House Count'!B673</f>
        <v/>
      </c>
      <c r="D673" s="1205">
        <f>'House Count'!C673</f>
        <v/>
      </c>
      <c r="E673" s="1205">
        <f>'House Count'!D673</f>
        <v/>
      </c>
      <c r="F673" s="1205">
        <f>IF(G673="RES-SFU","RESIDENTIAL",IF(G673="RES-HOA","RESIDENTIAL",IF(G673="RES-MDU","RESIDENTIAL",IF(G673="COMM-SU","BUSINESS",IF(G673="COM-MTU","BUSINESS",IF(G673="ENT","BUSINESS",""))))))</f>
        <v/>
      </c>
      <c r="G673" s="1205">
        <f>'House Count'!F673</f>
        <v/>
      </c>
      <c r="H673" s="1205">
        <f>'House Count'!H673</f>
        <v/>
      </c>
    </row>
    <row r="674">
      <c r="A674" s="1204">
        <f>'House Count'!A674</f>
        <v/>
      </c>
      <c r="B674" s="1205">
        <f>'House Count'!E674</f>
        <v/>
      </c>
      <c r="C674" s="1205">
        <f>'House Count'!B674</f>
        <v/>
      </c>
      <c r="D674" s="1205">
        <f>'House Count'!C674</f>
        <v/>
      </c>
      <c r="E674" s="1205">
        <f>'House Count'!D674</f>
        <v/>
      </c>
      <c r="F674" s="1205">
        <f>IF(G674="RES-SFU","RESIDENTIAL",IF(G674="RES-HOA","RESIDENTIAL",IF(G674="RES-MDU","RESIDENTIAL",IF(G674="COMM-SU","BUSINESS",IF(G674="COM-MTU","BUSINESS",IF(G674="ENT","BUSINESS",""))))))</f>
        <v/>
      </c>
      <c r="G674" s="1205">
        <f>'House Count'!F674</f>
        <v/>
      </c>
      <c r="H674" s="1205">
        <f>'House Count'!H674</f>
        <v/>
      </c>
    </row>
    <row r="675">
      <c r="A675" s="1204">
        <f>'House Count'!A675</f>
        <v/>
      </c>
      <c r="B675" s="1205">
        <f>'House Count'!E675</f>
        <v/>
      </c>
      <c r="C675" s="1205">
        <f>'House Count'!B675</f>
        <v/>
      </c>
      <c r="D675" s="1205">
        <f>'House Count'!C675</f>
        <v/>
      </c>
      <c r="E675" s="1205">
        <f>'House Count'!D675</f>
        <v/>
      </c>
      <c r="F675" s="1205">
        <f>IF(G675="RES-SFU","RESIDENTIAL",IF(G675="RES-HOA","RESIDENTIAL",IF(G675="RES-MDU","RESIDENTIAL",IF(G675="COMM-SU","BUSINESS",IF(G675="COM-MTU","BUSINESS",IF(G675="ENT","BUSINESS",""))))))</f>
        <v/>
      </c>
      <c r="G675" s="1205">
        <f>'House Count'!F675</f>
        <v/>
      </c>
      <c r="H675" s="1205">
        <f>'House Count'!H675</f>
        <v/>
      </c>
    </row>
    <row r="676">
      <c r="A676" s="1204">
        <f>'House Count'!A676</f>
        <v/>
      </c>
      <c r="B676" s="1205">
        <f>'House Count'!E676</f>
        <v/>
      </c>
      <c r="C676" s="1205">
        <f>'House Count'!B676</f>
        <v/>
      </c>
      <c r="D676" s="1205">
        <f>'House Count'!C676</f>
        <v/>
      </c>
      <c r="E676" s="1205">
        <f>'House Count'!D676</f>
        <v/>
      </c>
      <c r="F676" s="1205">
        <f>IF(G676="RES-SFU","RESIDENTIAL",IF(G676="RES-HOA","RESIDENTIAL",IF(G676="RES-MDU","RESIDENTIAL",IF(G676="COMM-SU","BUSINESS",IF(G676="COM-MTU","BUSINESS",IF(G676="ENT","BUSINESS",""))))))</f>
        <v/>
      </c>
      <c r="G676" s="1205">
        <f>'House Count'!F676</f>
        <v/>
      </c>
      <c r="H676" s="1205">
        <f>'House Count'!H676</f>
        <v/>
      </c>
    </row>
    <row r="677">
      <c r="A677" s="1204">
        <f>'House Count'!A677</f>
        <v/>
      </c>
      <c r="B677" s="1205">
        <f>'House Count'!E677</f>
        <v/>
      </c>
      <c r="C677" s="1205">
        <f>'House Count'!B677</f>
        <v/>
      </c>
      <c r="D677" s="1205">
        <f>'House Count'!C677</f>
        <v/>
      </c>
      <c r="E677" s="1205">
        <f>'House Count'!D677</f>
        <v/>
      </c>
      <c r="F677" s="1205">
        <f>IF(G677="RES-SFU","RESIDENTIAL",IF(G677="RES-HOA","RESIDENTIAL",IF(G677="RES-MDU","RESIDENTIAL",IF(G677="COMM-SU","BUSINESS",IF(G677="COM-MTU","BUSINESS",IF(G677="ENT","BUSINESS",""))))))</f>
        <v/>
      </c>
      <c r="G677" s="1205">
        <f>'House Count'!F677</f>
        <v/>
      </c>
      <c r="H677" s="1205">
        <f>'House Count'!H677</f>
        <v/>
      </c>
    </row>
    <row r="678">
      <c r="A678" s="1204">
        <f>'House Count'!A678</f>
        <v/>
      </c>
      <c r="B678" s="1205">
        <f>'House Count'!E678</f>
        <v/>
      </c>
      <c r="C678" s="1205">
        <f>'House Count'!B678</f>
        <v/>
      </c>
      <c r="D678" s="1205">
        <f>'House Count'!C678</f>
        <v/>
      </c>
      <c r="E678" s="1205">
        <f>'House Count'!D678</f>
        <v/>
      </c>
      <c r="F678" s="1205">
        <f>IF(G678="RES-SFU","RESIDENTIAL",IF(G678="RES-HOA","RESIDENTIAL",IF(G678="RES-MDU","RESIDENTIAL",IF(G678="COMM-SU","BUSINESS",IF(G678="COM-MTU","BUSINESS",IF(G678="ENT","BUSINESS",""))))))</f>
        <v/>
      </c>
      <c r="G678" s="1205">
        <f>'House Count'!F678</f>
        <v/>
      </c>
      <c r="H678" s="1205">
        <f>'House Count'!H678</f>
        <v/>
      </c>
    </row>
    <row r="679">
      <c r="A679" s="1204">
        <f>'House Count'!A679</f>
        <v/>
      </c>
      <c r="B679" s="1205">
        <f>'House Count'!E679</f>
        <v/>
      </c>
      <c r="C679" s="1205">
        <f>'House Count'!B679</f>
        <v/>
      </c>
      <c r="D679" s="1205">
        <f>'House Count'!C679</f>
        <v/>
      </c>
      <c r="E679" s="1205">
        <f>'House Count'!D679</f>
        <v/>
      </c>
      <c r="F679" s="1205">
        <f>IF(G679="RES-SFU","RESIDENTIAL",IF(G679="RES-HOA","RESIDENTIAL",IF(G679="RES-MDU","RESIDENTIAL",IF(G679="COMM-SU","BUSINESS",IF(G679="COM-MTU","BUSINESS",IF(G679="ENT","BUSINESS",""))))))</f>
        <v/>
      </c>
      <c r="G679" s="1205">
        <f>'House Count'!F679</f>
        <v/>
      </c>
      <c r="H679" s="1205">
        <f>'House Count'!H679</f>
        <v/>
      </c>
    </row>
    <row r="680">
      <c r="A680" s="1204">
        <f>'House Count'!A680</f>
        <v/>
      </c>
      <c r="B680" s="1205">
        <f>'House Count'!E680</f>
        <v/>
      </c>
      <c r="C680" s="1205">
        <f>'House Count'!B680</f>
        <v/>
      </c>
      <c r="D680" s="1205">
        <f>'House Count'!C680</f>
        <v/>
      </c>
      <c r="E680" s="1205">
        <f>'House Count'!D680</f>
        <v/>
      </c>
      <c r="F680" s="1205">
        <f>IF(G680="RES-SFU","RESIDENTIAL",IF(G680="RES-HOA","RESIDENTIAL",IF(G680="RES-MDU","RESIDENTIAL",IF(G680="COMM-SU","BUSINESS",IF(G680="COM-MTU","BUSINESS",IF(G680="ENT","BUSINESS",""))))))</f>
        <v/>
      </c>
      <c r="G680" s="1205">
        <f>'House Count'!F680</f>
        <v/>
      </c>
      <c r="H680" s="1205">
        <f>'House Count'!H680</f>
        <v/>
      </c>
    </row>
    <row r="681">
      <c r="A681" s="1204">
        <f>'House Count'!A681</f>
        <v/>
      </c>
      <c r="B681" s="1205">
        <f>'House Count'!E681</f>
        <v/>
      </c>
      <c r="C681" s="1205">
        <f>'House Count'!B681</f>
        <v/>
      </c>
      <c r="D681" s="1205">
        <f>'House Count'!C681</f>
        <v/>
      </c>
      <c r="E681" s="1205">
        <f>'House Count'!D681</f>
        <v/>
      </c>
      <c r="F681" s="1205">
        <f>IF(G681="RES-SFU","RESIDENTIAL",IF(G681="RES-HOA","RESIDENTIAL",IF(G681="RES-MDU","RESIDENTIAL",IF(G681="COMM-SU","BUSINESS",IF(G681="COM-MTU","BUSINESS",IF(G681="ENT","BUSINESS",""))))))</f>
        <v/>
      </c>
      <c r="G681" s="1205">
        <f>'House Count'!F681</f>
        <v/>
      </c>
      <c r="H681" s="1205">
        <f>'House Count'!H681</f>
        <v/>
      </c>
    </row>
    <row r="682">
      <c r="A682" s="1204">
        <f>'House Count'!A682</f>
        <v/>
      </c>
      <c r="B682" s="1205">
        <f>'House Count'!E682</f>
        <v/>
      </c>
      <c r="C682" s="1205">
        <f>'House Count'!B682</f>
        <v/>
      </c>
      <c r="D682" s="1205">
        <f>'House Count'!C682</f>
        <v/>
      </c>
      <c r="E682" s="1205">
        <f>'House Count'!D682</f>
        <v/>
      </c>
      <c r="F682" s="1205">
        <f>IF(G682="RES-SFU","RESIDENTIAL",IF(G682="RES-HOA","RESIDENTIAL",IF(G682="RES-MDU","RESIDENTIAL",IF(G682="COMM-SU","BUSINESS",IF(G682="COM-MTU","BUSINESS",IF(G682="ENT","BUSINESS",""))))))</f>
        <v/>
      </c>
      <c r="G682" s="1205">
        <f>'House Count'!F682</f>
        <v/>
      </c>
      <c r="H682" s="1205">
        <f>'House Count'!H682</f>
        <v/>
      </c>
    </row>
    <row r="683">
      <c r="A683" s="1204">
        <f>'House Count'!A683</f>
        <v/>
      </c>
      <c r="B683" s="1205">
        <f>'House Count'!E683</f>
        <v/>
      </c>
      <c r="C683" s="1205">
        <f>'House Count'!B683</f>
        <v/>
      </c>
      <c r="D683" s="1205">
        <f>'House Count'!C683</f>
        <v/>
      </c>
      <c r="E683" s="1205">
        <f>'House Count'!D683</f>
        <v/>
      </c>
      <c r="F683" s="1205">
        <f>IF(G683="RES-SFU","RESIDENTIAL",IF(G683="RES-HOA","RESIDENTIAL",IF(G683="RES-MDU","RESIDENTIAL",IF(G683="COMM-SU","BUSINESS",IF(G683="COM-MTU","BUSINESS",IF(G683="ENT","BUSINESS",""))))))</f>
        <v/>
      </c>
      <c r="G683" s="1205">
        <f>'House Count'!F683</f>
        <v/>
      </c>
      <c r="H683" s="1205">
        <f>'House Count'!H683</f>
        <v/>
      </c>
    </row>
    <row r="684">
      <c r="A684" s="1204">
        <f>'House Count'!A684</f>
        <v/>
      </c>
      <c r="B684" s="1205">
        <f>'House Count'!E684</f>
        <v/>
      </c>
      <c r="C684" s="1205">
        <f>'House Count'!B684</f>
        <v/>
      </c>
      <c r="D684" s="1205">
        <f>'House Count'!C684</f>
        <v/>
      </c>
      <c r="E684" s="1205">
        <f>'House Count'!D684</f>
        <v/>
      </c>
      <c r="F684" s="1205">
        <f>IF(G684="RES-SFU","RESIDENTIAL",IF(G684="RES-HOA","RESIDENTIAL",IF(G684="RES-MDU","RESIDENTIAL",IF(G684="COMM-SU","BUSINESS",IF(G684="COM-MTU","BUSINESS",IF(G684="ENT","BUSINESS",""))))))</f>
        <v/>
      </c>
      <c r="G684" s="1205">
        <f>'House Count'!F684</f>
        <v/>
      </c>
      <c r="H684" s="1205">
        <f>'House Count'!H684</f>
        <v/>
      </c>
    </row>
    <row r="685">
      <c r="A685" s="1204">
        <f>'House Count'!A685</f>
        <v/>
      </c>
      <c r="B685" s="1205">
        <f>'House Count'!E685</f>
        <v/>
      </c>
      <c r="C685" s="1205">
        <f>'House Count'!B685</f>
        <v/>
      </c>
      <c r="D685" s="1205">
        <f>'House Count'!C685</f>
        <v/>
      </c>
      <c r="E685" s="1205">
        <f>'House Count'!D685</f>
        <v/>
      </c>
      <c r="F685" s="1205">
        <f>IF(G685="RES-SFU","RESIDENTIAL",IF(G685="RES-HOA","RESIDENTIAL",IF(G685="RES-MDU","RESIDENTIAL",IF(G685="COMM-SU","BUSINESS",IF(G685="COM-MTU","BUSINESS",IF(G685="ENT","BUSINESS",""))))))</f>
        <v/>
      </c>
      <c r="G685" s="1205">
        <f>'House Count'!F685</f>
        <v/>
      </c>
      <c r="H685" s="1205">
        <f>'House Count'!H685</f>
        <v/>
      </c>
    </row>
    <row r="686">
      <c r="A686" s="1204">
        <f>'House Count'!A686</f>
        <v/>
      </c>
      <c r="B686" s="1205">
        <f>'House Count'!E686</f>
        <v/>
      </c>
      <c r="C686" s="1205">
        <f>'House Count'!B686</f>
        <v/>
      </c>
      <c r="D686" s="1205">
        <f>'House Count'!C686</f>
        <v/>
      </c>
      <c r="E686" s="1205">
        <f>'House Count'!D686</f>
        <v/>
      </c>
      <c r="F686" s="1205">
        <f>IF(G686="RES-SFU","RESIDENTIAL",IF(G686="RES-HOA","RESIDENTIAL",IF(G686="RES-MDU","RESIDENTIAL",IF(G686="COMM-SU","BUSINESS",IF(G686="COM-MTU","BUSINESS",IF(G686="ENT","BUSINESS",""))))))</f>
        <v/>
      </c>
      <c r="G686" s="1205">
        <f>'House Count'!F686</f>
        <v/>
      </c>
      <c r="H686" s="1205">
        <f>'House Count'!H686</f>
        <v/>
      </c>
    </row>
    <row r="687">
      <c r="A687" s="1204">
        <f>'House Count'!A687</f>
        <v/>
      </c>
      <c r="B687" s="1205">
        <f>'House Count'!E687</f>
        <v/>
      </c>
      <c r="C687" s="1205">
        <f>'House Count'!B687</f>
        <v/>
      </c>
      <c r="D687" s="1205">
        <f>'House Count'!C687</f>
        <v/>
      </c>
      <c r="E687" s="1205">
        <f>'House Count'!D687</f>
        <v/>
      </c>
      <c r="F687" s="1205">
        <f>IF(G687="RES-SFU","RESIDENTIAL",IF(G687="RES-HOA","RESIDENTIAL",IF(G687="RES-MDU","RESIDENTIAL",IF(G687="COMM-SU","BUSINESS",IF(G687="COM-MTU","BUSINESS",IF(G687="ENT","BUSINESS",""))))))</f>
        <v/>
      </c>
      <c r="G687" s="1205">
        <f>'House Count'!F687</f>
        <v/>
      </c>
      <c r="H687" s="1205">
        <f>'House Count'!H687</f>
        <v/>
      </c>
    </row>
    <row r="688">
      <c r="A688" s="1204">
        <f>'House Count'!A688</f>
        <v/>
      </c>
      <c r="B688" s="1205">
        <f>'House Count'!E688</f>
        <v/>
      </c>
      <c r="C688" s="1205">
        <f>'House Count'!B688</f>
        <v/>
      </c>
      <c r="D688" s="1205">
        <f>'House Count'!C688</f>
        <v/>
      </c>
      <c r="E688" s="1205">
        <f>'House Count'!D688</f>
        <v/>
      </c>
      <c r="F688" s="1205">
        <f>IF(G688="RES-SFU","RESIDENTIAL",IF(G688="RES-HOA","RESIDENTIAL",IF(G688="RES-MDU","RESIDENTIAL",IF(G688="COMM-SU","BUSINESS",IF(G688="COM-MTU","BUSINESS",IF(G688="ENT","BUSINESS",""))))))</f>
        <v/>
      </c>
      <c r="G688" s="1205">
        <f>'House Count'!F688</f>
        <v/>
      </c>
      <c r="H688" s="1205">
        <f>'House Count'!H688</f>
        <v/>
      </c>
    </row>
    <row r="689">
      <c r="A689" s="1204">
        <f>'House Count'!A689</f>
        <v/>
      </c>
      <c r="B689" s="1205">
        <f>'House Count'!E689</f>
        <v/>
      </c>
      <c r="C689" s="1205">
        <f>'House Count'!B689</f>
        <v/>
      </c>
      <c r="D689" s="1205">
        <f>'House Count'!C689</f>
        <v/>
      </c>
      <c r="E689" s="1205">
        <f>'House Count'!D689</f>
        <v/>
      </c>
      <c r="F689" s="1205">
        <f>IF(G689="RES-SFU","RESIDENTIAL",IF(G689="RES-HOA","RESIDENTIAL",IF(G689="RES-MDU","RESIDENTIAL",IF(G689="COMM-SU","BUSINESS",IF(G689="COM-MTU","BUSINESS",IF(G689="ENT","BUSINESS",""))))))</f>
        <v/>
      </c>
      <c r="G689" s="1205">
        <f>'House Count'!F689</f>
        <v/>
      </c>
      <c r="H689" s="1205">
        <f>'House Count'!H689</f>
        <v/>
      </c>
    </row>
    <row r="690">
      <c r="A690" s="1204">
        <f>'House Count'!A690</f>
        <v/>
      </c>
      <c r="B690" s="1205">
        <f>'House Count'!E690</f>
        <v/>
      </c>
      <c r="C690" s="1205">
        <f>'House Count'!B690</f>
        <v/>
      </c>
      <c r="D690" s="1205">
        <f>'House Count'!C690</f>
        <v/>
      </c>
      <c r="E690" s="1205">
        <f>'House Count'!D690</f>
        <v/>
      </c>
      <c r="F690" s="1205">
        <f>IF(G690="RES-SFU","RESIDENTIAL",IF(G690="RES-HOA","RESIDENTIAL",IF(G690="RES-MDU","RESIDENTIAL",IF(G690="COMM-SU","BUSINESS",IF(G690="COM-MTU","BUSINESS",IF(G690="ENT","BUSINESS",""))))))</f>
        <v/>
      </c>
      <c r="G690" s="1205">
        <f>'House Count'!F690</f>
        <v/>
      </c>
      <c r="H690" s="1205">
        <f>'House Count'!H690</f>
        <v/>
      </c>
    </row>
    <row r="691">
      <c r="A691" s="1204">
        <f>'House Count'!A691</f>
        <v/>
      </c>
      <c r="B691" s="1205">
        <f>'House Count'!E691</f>
        <v/>
      </c>
      <c r="C691" s="1205">
        <f>'House Count'!B691</f>
        <v/>
      </c>
      <c r="D691" s="1205">
        <f>'House Count'!C691</f>
        <v/>
      </c>
      <c r="E691" s="1205">
        <f>'House Count'!D691</f>
        <v/>
      </c>
      <c r="F691" s="1205">
        <f>IF(G691="RES-SFU","RESIDENTIAL",IF(G691="RES-HOA","RESIDENTIAL",IF(G691="RES-MDU","RESIDENTIAL",IF(G691="COMM-SU","BUSINESS",IF(G691="COM-MTU","BUSINESS",IF(G691="ENT","BUSINESS",""))))))</f>
        <v/>
      </c>
      <c r="G691" s="1205">
        <f>'House Count'!F691</f>
        <v/>
      </c>
      <c r="H691" s="1205">
        <f>'House Count'!H691</f>
        <v/>
      </c>
    </row>
    <row r="692">
      <c r="A692" s="1204">
        <f>'House Count'!A692</f>
        <v/>
      </c>
      <c r="B692" s="1205">
        <f>'House Count'!E692</f>
        <v/>
      </c>
      <c r="C692" s="1205">
        <f>'House Count'!B692</f>
        <v/>
      </c>
      <c r="D692" s="1205">
        <f>'House Count'!C692</f>
        <v/>
      </c>
      <c r="E692" s="1205">
        <f>'House Count'!D692</f>
        <v/>
      </c>
      <c r="F692" s="1205">
        <f>IF(G692="RES-SFU","RESIDENTIAL",IF(G692="RES-HOA","RESIDENTIAL",IF(G692="RES-MDU","RESIDENTIAL",IF(G692="COMM-SU","BUSINESS",IF(G692="COM-MTU","BUSINESS",IF(G692="ENT","BUSINESS",""))))))</f>
        <v/>
      </c>
      <c r="G692" s="1205">
        <f>'House Count'!F692</f>
        <v/>
      </c>
      <c r="H692" s="1205">
        <f>'House Count'!H692</f>
        <v/>
      </c>
    </row>
    <row r="693">
      <c r="A693" s="1204">
        <f>'House Count'!A693</f>
        <v/>
      </c>
      <c r="B693" s="1205">
        <f>'House Count'!E693</f>
        <v/>
      </c>
      <c r="C693" s="1205">
        <f>'House Count'!B693</f>
        <v/>
      </c>
      <c r="D693" s="1205">
        <f>'House Count'!C693</f>
        <v/>
      </c>
      <c r="E693" s="1205">
        <f>'House Count'!D693</f>
        <v/>
      </c>
      <c r="F693" s="1205">
        <f>IF(G693="RES-SFU","RESIDENTIAL",IF(G693="RES-HOA","RESIDENTIAL",IF(G693="RES-MDU","RESIDENTIAL",IF(G693="COMM-SU","BUSINESS",IF(G693="COM-MTU","BUSINESS",IF(G693="ENT","BUSINESS",""))))))</f>
        <v/>
      </c>
      <c r="G693" s="1205">
        <f>'House Count'!F693</f>
        <v/>
      </c>
      <c r="H693" s="1205">
        <f>'House Count'!H693</f>
        <v/>
      </c>
    </row>
    <row r="694">
      <c r="A694" s="1204">
        <f>'House Count'!A694</f>
        <v/>
      </c>
      <c r="B694" s="1205">
        <f>'House Count'!E694</f>
        <v/>
      </c>
      <c r="C694" s="1205">
        <f>'House Count'!B694</f>
        <v/>
      </c>
      <c r="D694" s="1205">
        <f>'House Count'!C694</f>
        <v/>
      </c>
      <c r="E694" s="1205">
        <f>'House Count'!D694</f>
        <v/>
      </c>
      <c r="F694" s="1205">
        <f>IF(G694="RES-SFU","RESIDENTIAL",IF(G694="RES-HOA","RESIDENTIAL",IF(G694="RES-MDU","RESIDENTIAL",IF(G694="COMM-SU","BUSINESS",IF(G694="COM-MTU","BUSINESS",IF(G694="ENT","BUSINESS",""))))))</f>
        <v/>
      </c>
      <c r="G694" s="1205">
        <f>'House Count'!F694</f>
        <v/>
      </c>
      <c r="H694" s="1205">
        <f>'House Count'!H694</f>
        <v/>
      </c>
    </row>
    <row r="695">
      <c r="A695" s="1204">
        <f>'House Count'!A695</f>
        <v/>
      </c>
      <c r="B695" s="1205">
        <f>'House Count'!E695</f>
        <v/>
      </c>
      <c r="C695" s="1205">
        <f>'House Count'!B695</f>
        <v/>
      </c>
      <c r="D695" s="1205">
        <f>'House Count'!C695</f>
        <v/>
      </c>
      <c r="E695" s="1205">
        <f>'House Count'!D695</f>
        <v/>
      </c>
      <c r="F695" s="1205">
        <f>IF(G695="RES-SFU","RESIDENTIAL",IF(G695="RES-HOA","RESIDENTIAL",IF(G695="RES-MDU","RESIDENTIAL",IF(G695="COMM-SU","BUSINESS",IF(G695="COM-MTU","BUSINESS",IF(G695="ENT","BUSINESS",""))))))</f>
        <v/>
      </c>
      <c r="G695" s="1205">
        <f>'House Count'!F695</f>
        <v/>
      </c>
      <c r="H695" s="1205">
        <f>'House Count'!H695</f>
        <v/>
      </c>
    </row>
    <row r="696">
      <c r="A696" s="1204">
        <f>'House Count'!A696</f>
        <v/>
      </c>
      <c r="B696" s="1205">
        <f>'House Count'!E696</f>
        <v/>
      </c>
      <c r="C696" s="1205">
        <f>'House Count'!B696</f>
        <v/>
      </c>
      <c r="D696" s="1205">
        <f>'House Count'!C696</f>
        <v/>
      </c>
      <c r="E696" s="1205">
        <f>'House Count'!D696</f>
        <v/>
      </c>
      <c r="F696" s="1205">
        <f>IF(G696="RES-SFU","RESIDENTIAL",IF(G696="RES-HOA","RESIDENTIAL",IF(G696="RES-MDU","RESIDENTIAL",IF(G696="COMM-SU","BUSINESS",IF(G696="COM-MTU","BUSINESS",IF(G696="ENT","BUSINESS",""))))))</f>
        <v/>
      </c>
      <c r="G696" s="1205">
        <f>'House Count'!F696</f>
        <v/>
      </c>
      <c r="H696" s="1205">
        <f>'House Count'!H696</f>
        <v/>
      </c>
    </row>
    <row r="697">
      <c r="A697" s="1204">
        <f>'House Count'!A697</f>
        <v/>
      </c>
      <c r="B697" s="1205">
        <f>'House Count'!E697</f>
        <v/>
      </c>
      <c r="C697" s="1205">
        <f>'House Count'!B697</f>
        <v/>
      </c>
      <c r="D697" s="1205">
        <f>'House Count'!C697</f>
        <v/>
      </c>
      <c r="E697" s="1205">
        <f>'House Count'!D697</f>
        <v/>
      </c>
      <c r="F697" s="1205">
        <f>IF(G697="RES-SFU","RESIDENTIAL",IF(G697="RES-HOA","RESIDENTIAL",IF(G697="RES-MDU","RESIDENTIAL",IF(G697="COMM-SU","BUSINESS",IF(G697="COM-MTU","BUSINESS",IF(G697="ENT","BUSINESS",""))))))</f>
        <v/>
      </c>
      <c r="G697" s="1205">
        <f>'House Count'!F697</f>
        <v/>
      </c>
      <c r="H697" s="1205">
        <f>'House Count'!H697</f>
        <v/>
      </c>
    </row>
    <row r="698">
      <c r="A698" s="1204">
        <f>'House Count'!A698</f>
        <v/>
      </c>
      <c r="B698" s="1205">
        <f>'House Count'!E698</f>
        <v/>
      </c>
      <c r="C698" s="1205">
        <f>'House Count'!B698</f>
        <v/>
      </c>
      <c r="D698" s="1205">
        <f>'House Count'!C698</f>
        <v/>
      </c>
      <c r="E698" s="1205">
        <f>'House Count'!D698</f>
        <v/>
      </c>
      <c r="F698" s="1205">
        <f>IF(G698="RES-SFU","RESIDENTIAL",IF(G698="RES-HOA","RESIDENTIAL",IF(G698="RES-MDU","RESIDENTIAL",IF(G698="COMM-SU","BUSINESS",IF(G698="COM-MTU","BUSINESS",IF(G698="ENT","BUSINESS",""))))))</f>
        <v/>
      </c>
      <c r="G698" s="1205">
        <f>'House Count'!F698</f>
        <v/>
      </c>
      <c r="H698" s="1205">
        <f>'House Count'!H698</f>
        <v/>
      </c>
    </row>
    <row r="699">
      <c r="A699" s="1204">
        <f>'House Count'!A699</f>
        <v/>
      </c>
      <c r="B699" s="1205">
        <f>'House Count'!E699</f>
        <v/>
      </c>
      <c r="C699" s="1205">
        <f>'House Count'!B699</f>
        <v/>
      </c>
      <c r="D699" s="1205">
        <f>'House Count'!C699</f>
        <v/>
      </c>
      <c r="E699" s="1205">
        <f>'House Count'!D699</f>
        <v/>
      </c>
      <c r="F699" s="1205">
        <f>IF(G699="RES-SFU","RESIDENTIAL",IF(G699="RES-HOA","RESIDENTIAL",IF(G699="RES-MDU","RESIDENTIAL",IF(G699="COMM-SU","BUSINESS",IF(G699="COM-MTU","BUSINESS",IF(G699="ENT","BUSINESS",""))))))</f>
        <v/>
      </c>
      <c r="G699" s="1205">
        <f>'House Count'!F699</f>
        <v/>
      </c>
      <c r="H699" s="1205">
        <f>'House Count'!H699</f>
        <v/>
      </c>
    </row>
    <row r="700">
      <c r="A700" s="1204">
        <f>'House Count'!A700</f>
        <v/>
      </c>
      <c r="B700" s="1205">
        <f>'House Count'!E700</f>
        <v/>
      </c>
      <c r="C700" s="1205">
        <f>'House Count'!B700</f>
        <v/>
      </c>
      <c r="D700" s="1205">
        <f>'House Count'!C700</f>
        <v/>
      </c>
      <c r="E700" s="1205">
        <f>'House Count'!D700</f>
        <v/>
      </c>
      <c r="F700" s="1205">
        <f>IF(G700="RES-SFU","RESIDENTIAL",IF(G700="RES-HOA","RESIDENTIAL",IF(G700="RES-MDU","RESIDENTIAL",IF(G700="COMM-SU","BUSINESS",IF(G700="COM-MTU","BUSINESS",IF(G700="ENT","BUSINESS",""))))))</f>
        <v/>
      </c>
      <c r="G700" s="1205">
        <f>'House Count'!F700</f>
        <v/>
      </c>
      <c r="H700" s="1205">
        <f>'House Count'!H700</f>
        <v/>
      </c>
    </row>
    <row r="701">
      <c r="A701" s="1204">
        <f>'House Count'!A701</f>
        <v/>
      </c>
      <c r="B701" s="1205">
        <f>'House Count'!E701</f>
        <v/>
      </c>
      <c r="C701" s="1205">
        <f>'House Count'!B701</f>
        <v/>
      </c>
      <c r="D701" s="1205">
        <f>'House Count'!C701</f>
        <v/>
      </c>
      <c r="E701" s="1205">
        <f>'House Count'!D701</f>
        <v/>
      </c>
      <c r="F701" s="1205">
        <f>IF(G701="RES-SFU","RESIDENTIAL",IF(G701="RES-HOA","RESIDENTIAL",IF(G701="RES-MDU","RESIDENTIAL",IF(G701="COMM-SU","BUSINESS",IF(G701="COM-MTU","BUSINESS",IF(G701="ENT","BUSINESS",""))))))</f>
        <v/>
      </c>
      <c r="G701" s="1205">
        <f>'House Count'!F701</f>
        <v/>
      </c>
      <c r="H701" s="1205">
        <f>'House Count'!H701</f>
        <v/>
      </c>
    </row>
    <row r="702">
      <c r="A702" s="1204">
        <f>'House Count'!A702</f>
        <v/>
      </c>
      <c r="B702" s="1205">
        <f>'House Count'!E702</f>
        <v/>
      </c>
      <c r="C702" s="1205">
        <f>'House Count'!B702</f>
        <v/>
      </c>
      <c r="D702" s="1205">
        <f>'House Count'!C702</f>
        <v/>
      </c>
      <c r="E702" s="1205">
        <f>'House Count'!D702</f>
        <v/>
      </c>
      <c r="F702" s="1205">
        <f>IF(G702="RES-SFU","RESIDENTIAL",IF(G702="RES-HOA","RESIDENTIAL",IF(G702="RES-MDU","RESIDENTIAL",IF(G702="COMM-SU","BUSINESS",IF(G702="COM-MTU","BUSINESS",IF(G702="ENT","BUSINESS",""))))))</f>
        <v/>
      </c>
      <c r="G702" s="1205">
        <f>'House Count'!F702</f>
        <v/>
      </c>
      <c r="H702" s="1205">
        <f>'House Count'!H702</f>
        <v/>
      </c>
    </row>
    <row r="703">
      <c r="A703" s="1204">
        <f>'House Count'!A703</f>
        <v/>
      </c>
      <c r="B703" s="1205">
        <f>'House Count'!E703</f>
        <v/>
      </c>
      <c r="C703" s="1205">
        <f>'House Count'!B703</f>
        <v/>
      </c>
      <c r="D703" s="1205">
        <f>'House Count'!C703</f>
        <v/>
      </c>
      <c r="E703" s="1205">
        <f>'House Count'!D703</f>
        <v/>
      </c>
      <c r="F703" s="1205">
        <f>IF(G703="RES-SFU","RESIDENTIAL",IF(G703="RES-HOA","RESIDENTIAL",IF(G703="RES-MDU","RESIDENTIAL",IF(G703="COMM-SU","BUSINESS",IF(G703="COM-MTU","BUSINESS",IF(G703="ENT","BUSINESS",""))))))</f>
        <v/>
      </c>
      <c r="G703" s="1205">
        <f>'House Count'!F703</f>
        <v/>
      </c>
      <c r="H703" s="1205">
        <f>'House Count'!H703</f>
        <v/>
      </c>
    </row>
    <row r="704">
      <c r="A704" s="1204">
        <f>'House Count'!A704</f>
        <v/>
      </c>
      <c r="B704" s="1205">
        <f>'House Count'!E704</f>
        <v/>
      </c>
      <c r="C704" s="1205">
        <f>'House Count'!B704</f>
        <v/>
      </c>
      <c r="D704" s="1205">
        <f>'House Count'!C704</f>
        <v/>
      </c>
      <c r="E704" s="1205">
        <f>'House Count'!D704</f>
        <v/>
      </c>
      <c r="F704" s="1205">
        <f>IF(G704="RES-SFU","RESIDENTIAL",IF(G704="RES-HOA","RESIDENTIAL",IF(G704="RES-MDU","RESIDENTIAL",IF(G704="COMM-SU","BUSINESS",IF(G704="COM-MTU","BUSINESS",IF(G704="ENT","BUSINESS",""))))))</f>
        <v/>
      </c>
      <c r="G704" s="1205">
        <f>'House Count'!F704</f>
        <v/>
      </c>
      <c r="H704" s="1205">
        <f>'House Count'!H704</f>
        <v/>
      </c>
    </row>
    <row r="705">
      <c r="A705" s="1204">
        <f>'House Count'!A705</f>
        <v/>
      </c>
      <c r="B705" s="1205">
        <f>'House Count'!E705</f>
        <v/>
      </c>
      <c r="C705" s="1205">
        <f>'House Count'!B705</f>
        <v/>
      </c>
      <c r="D705" s="1205">
        <f>'House Count'!C705</f>
        <v/>
      </c>
      <c r="E705" s="1205">
        <f>'House Count'!D705</f>
        <v/>
      </c>
      <c r="F705" s="1205">
        <f>IF(G705="RES-SFU","RESIDENTIAL",IF(G705="RES-HOA","RESIDENTIAL",IF(G705="RES-MDU","RESIDENTIAL",IF(G705="COMM-SU","BUSINESS",IF(G705="COM-MTU","BUSINESS",IF(G705="ENT","BUSINESS",""))))))</f>
        <v/>
      </c>
      <c r="G705" s="1205">
        <f>'House Count'!F705</f>
        <v/>
      </c>
      <c r="H705" s="1205">
        <f>'House Count'!H705</f>
        <v/>
      </c>
    </row>
    <row r="706">
      <c r="A706" s="1204">
        <f>'House Count'!A706</f>
        <v/>
      </c>
      <c r="B706" s="1205">
        <f>'House Count'!E706</f>
        <v/>
      </c>
      <c r="C706" s="1205">
        <f>'House Count'!B706</f>
        <v/>
      </c>
      <c r="D706" s="1205">
        <f>'House Count'!C706</f>
        <v/>
      </c>
      <c r="E706" s="1205">
        <f>'House Count'!D706</f>
        <v/>
      </c>
      <c r="F706" s="1205">
        <f>IF(G706="RES-SFU","RESIDENTIAL",IF(G706="RES-HOA","RESIDENTIAL",IF(G706="RES-MDU","RESIDENTIAL",IF(G706="COMM-SU","BUSINESS",IF(G706="COM-MTU","BUSINESS",IF(G706="ENT","BUSINESS",""))))))</f>
        <v/>
      </c>
      <c r="G706" s="1205">
        <f>'House Count'!F706</f>
        <v/>
      </c>
      <c r="H706" s="1205">
        <f>'House Count'!H706</f>
        <v/>
      </c>
    </row>
    <row r="707">
      <c r="A707" s="1204">
        <f>'House Count'!A707</f>
        <v/>
      </c>
      <c r="B707" s="1205">
        <f>'House Count'!E707</f>
        <v/>
      </c>
      <c r="C707" s="1205">
        <f>'House Count'!B707</f>
        <v/>
      </c>
      <c r="D707" s="1205">
        <f>'House Count'!C707</f>
        <v/>
      </c>
      <c r="E707" s="1205">
        <f>'House Count'!D707</f>
        <v/>
      </c>
      <c r="F707" s="1205">
        <f>IF(G707="RES-SFU","RESIDENTIAL",IF(G707="RES-HOA","RESIDENTIAL",IF(G707="RES-MDU","RESIDENTIAL",IF(G707="COMM-SU","BUSINESS",IF(G707="COM-MTU","BUSINESS",IF(G707="ENT","BUSINESS",""))))))</f>
        <v/>
      </c>
      <c r="G707" s="1205">
        <f>'House Count'!F707</f>
        <v/>
      </c>
      <c r="H707" s="1205">
        <f>'House Count'!H707</f>
        <v/>
      </c>
    </row>
    <row r="708">
      <c r="A708" s="1204">
        <f>'House Count'!A708</f>
        <v/>
      </c>
      <c r="B708" s="1205">
        <f>'House Count'!E708</f>
        <v/>
      </c>
      <c r="C708" s="1205">
        <f>'House Count'!B708</f>
        <v/>
      </c>
      <c r="D708" s="1205">
        <f>'House Count'!C708</f>
        <v/>
      </c>
      <c r="E708" s="1205">
        <f>'House Count'!D708</f>
        <v/>
      </c>
      <c r="F708" s="1205">
        <f>IF(G708="RES-SFU","RESIDENTIAL",IF(G708="RES-HOA","RESIDENTIAL",IF(G708="RES-MDU","RESIDENTIAL",IF(G708="COMM-SU","BUSINESS",IF(G708="COM-MTU","BUSINESS",IF(G708="ENT","BUSINESS",""))))))</f>
        <v/>
      </c>
      <c r="G708" s="1205">
        <f>'House Count'!F708</f>
        <v/>
      </c>
      <c r="H708" s="1205">
        <f>'House Count'!H708</f>
        <v/>
      </c>
    </row>
    <row r="709">
      <c r="A709" s="1204">
        <f>'House Count'!A709</f>
        <v/>
      </c>
      <c r="B709" s="1205">
        <f>'House Count'!E709</f>
        <v/>
      </c>
      <c r="C709" s="1205">
        <f>'House Count'!B709</f>
        <v/>
      </c>
      <c r="D709" s="1205">
        <f>'House Count'!C709</f>
        <v/>
      </c>
      <c r="E709" s="1205">
        <f>'House Count'!D709</f>
        <v/>
      </c>
      <c r="F709" s="1205">
        <f>IF(G709="RES-SFU","RESIDENTIAL",IF(G709="RES-HOA","RESIDENTIAL",IF(G709="RES-MDU","RESIDENTIAL",IF(G709="COMM-SU","BUSINESS",IF(G709="COM-MTU","BUSINESS",IF(G709="ENT","BUSINESS",""))))))</f>
        <v/>
      </c>
      <c r="G709" s="1205">
        <f>'House Count'!F709</f>
        <v/>
      </c>
      <c r="H709" s="1205">
        <f>'House Count'!H709</f>
        <v/>
      </c>
    </row>
    <row r="710">
      <c r="A710" s="1204">
        <f>'House Count'!A710</f>
        <v/>
      </c>
      <c r="B710" s="1205">
        <f>'House Count'!E710</f>
        <v/>
      </c>
      <c r="C710" s="1205">
        <f>'House Count'!B710</f>
        <v/>
      </c>
      <c r="D710" s="1205">
        <f>'House Count'!C710</f>
        <v/>
      </c>
      <c r="E710" s="1205">
        <f>'House Count'!D710</f>
        <v/>
      </c>
      <c r="F710" s="1205">
        <f>IF(G710="RES-SFU","RESIDENTIAL",IF(G710="RES-HOA","RESIDENTIAL",IF(G710="RES-MDU","RESIDENTIAL",IF(G710="COMM-SU","BUSINESS",IF(G710="COM-MTU","BUSINESS",IF(G710="ENT","BUSINESS",""))))))</f>
        <v/>
      </c>
      <c r="G710" s="1205">
        <f>'House Count'!F710</f>
        <v/>
      </c>
      <c r="H710" s="1205">
        <f>'House Count'!H710</f>
        <v/>
      </c>
    </row>
    <row r="711">
      <c r="A711" s="1204">
        <f>'House Count'!A711</f>
        <v/>
      </c>
      <c r="B711" s="1205">
        <f>'House Count'!E711</f>
        <v/>
      </c>
      <c r="C711" s="1205">
        <f>'House Count'!B711</f>
        <v/>
      </c>
      <c r="D711" s="1205">
        <f>'House Count'!C711</f>
        <v/>
      </c>
      <c r="E711" s="1205">
        <f>'House Count'!D711</f>
        <v/>
      </c>
      <c r="F711" s="1205">
        <f>IF(G711="RES-SFU","RESIDENTIAL",IF(G711="RES-HOA","RESIDENTIAL",IF(G711="RES-MDU","RESIDENTIAL",IF(G711="COMM-SU","BUSINESS",IF(G711="COM-MTU","BUSINESS",IF(G711="ENT","BUSINESS",""))))))</f>
        <v/>
      </c>
      <c r="G711" s="1205">
        <f>'House Count'!F711</f>
        <v/>
      </c>
      <c r="H711" s="1205">
        <f>'House Count'!H711</f>
        <v/>
      </c>
    </row>
    <row r="712">
      <c r="A712" s="1204">
        <f>'House Count'!A712</f>
        <v/>
      </c>
      <c r="B712" s="1205">
        <f>'House Count'!E712</f>
        <v/>
      </c>
      <c r="C712" s="1205">
        <f>'House Count'!B712</f>
        <v/>
      </c>
      <c r="D712" s="1205">
        <f>'House Count'!C712</f>
        <v/>
      </c>
      <c r="E712" s="1205">
        <f>'House Count'!D712</f>
        <v/>
      </c>
      <c r="F712" s="1205">
        <f>IF(G712="RES-SFU","RESIDENTIAL",IF(G712="RES-HOA","RESIDENTIAL",IF(G712="RES-MDU","RESIDENTIAL",IF(G712="COMM-SU","BUSINESS",IF(G712="COM-MTU","BUSINESS",IF(G712="ENT","BUSINESS",""))))))</f>
        <v/>
      </c>
      <c r="G712" s="1205">
        <f>'House Count'!F712</f>
        <v/>
      </c>
      <c r="H712" s="1205">
        <f>'House Count'!H712</f>
        <v/>
      </c>
    </row>
    <row r="713">
      <c r="A713" s="1204">
        <f>'House Count'!A713</f>
        <v/>
      </c>
      <c r="B713" s="1205">
        <f>'House Count'!E713</f>
        <v/>
      </c>
      <c r="C713" s="1205">
        <f>'House Count'!B713</f>
        <v/>
      </c>
      <c r="D713" s="1205">
        <f>'House Count'!C713</f>
        <v/>
      </c>
      <c r="E713" s="1205">
        <f>'House Count'!D713</f>
        <v/>
      </c>
      <c r="F713" s="1205">
        <f>IF(G713="RES-SFU","RESIDENTIAL",IF(G713="RES-HOA","RESIDENTIAL",IF(G713="RES-MDU","RESIDENTIAL",IF(G713="COMM-SU","BUSINESS",IF(G713="COM-MTU","BUSINESS",IF(G713="ENT","BUSINESS",""))))))</f>
        <v/>
      </c>
      <c r="G713" s="1205">
        <f>'House Count'!F713</f>
        <v/>
      </c>
      <c r="H713" s="1205">
        <f>'House Count'!H713</f>
        <v/>
      </c>
    </row>
    <row r="714">
      <c r="A714" s="1204">
        <f>'House Count'!A714</f>
        <v/>
      </c>
      <c r="B714" s="1205">
        <f>'House Count'!E714</f>
        <v/>
      </c>
      <c r="C714" s="1205">
        <f>'House Count'!B714</f>
        <v/>
      </c>
      <c r="D714" s="1205">
        <f>'House Count'!C714</f>
        <v/>
      </c>
      <c r="E714" s="1205">
        <f>'House Count'!D714</f>
        <v/>
      </c>
      <c r="F714" s="1205">
        <f>IF(G714="RES-SFU","RESIDENTIAL",IF(G714="RES-HOA","RESIDENTIAL",IF(G714="RES-MDU","RESIDENTIAL",IF(G714="COMM-SU","BUSINESS",IF(G714="COM-MTU","BUSINESS",IF(G714="ENT","BUSINESS",""))))))</f>
        <v/>
      </c>
      <c r="G714" s="1205">
        <f>'House Count'!F714</f>
        <v/>
      </c>
      <c r="H714" s="1205">
        <f>'House Count'!H714</f>
        <v/>
      </c>
    </row>
    <row r="715">
      <c r="A715" s="1204">
        <f>'House Count'!A715</f>
        <v/>
      </c>
      <c r="B715" s="1205">
        <f>'House Count'!E715</f>
        <v/>
      </c>
      <c r="C715" s="1205">
        <f>'House Count'!B715</f>
        <v/>
      </c>
      <c r="D715" s="1205">
        <f>'House Count'!C715</f>
        <v/>
      </c>
      <c r="E715" s="1205">
        <f>'House Count'!D715</f>
        <v/>
      </c>
      <c r="F715" s="1205">
        <f>IF(G715="RES-SFU","RESIDENTIAL",IF(G715="RES-HOA","RESIDENTIAL",IF(G715="RES-MDU","RESIDENTIAL",IF(G715="COMM-SU","BUSINESS",IF(G715="COM-MTU","BUSINESS",IF(G715="ENT","BUSINESS",""))))))</f>
        <v/>
      </c>
      <c r="G715" s="1205">
        <f>'House Count'!F715</f>
        <v/>
      </c>
      <c r="H715" s="1205">
        <f>'House Count'!H715</f>
        <v/>
      </c>
    </row>
    <row r="716">
      <c r="A716" s="1204">
        <f>'House Count'!A716</f>
        <v/>
      </c>
      <c r="B716" s="1205">
        <f>'House Count'!E716</f>
        <v/>
      </c>
      <c r="C716" s="1205">
        <f>'House Count'!B716</f>
        <v/>
      </c>
      <c r="D716" s="1205">
        <f>'House Count'!C716</f>
        <v/>
      </c>
      <c r="E716" s="1205">
        <f>'House Count'!D716</f>
        <v/>
      </c>
      <c r="F716" s="1205">
        <f>IF(G716="RES-SFU","RESIDENTIAL",IF(G716="RES-HOA","RESIDENTIAL",IF(G716="RES-MDU","RESIDENTIAL",IF(G716="COMM-SU","BUSINESS",IF(G716="COM-MTU","BUSINESS",IF(G716="ENT","BUSINESS",""))))))</f>
        <v/>
      </c>
      <c r="G716" s="1205">
        <f>'House Count'!F716</f>
        <v/>
      </c>
      <c r="H716" s="1205">
        <f>'House Count'!H716</f>
        <v/>
      </c>
    </row>
    <row r="717">
      <c r="A717" s="1204">
        <f>'House Count'!A717</f>
        <v/>
      </c>
      <c r="B717" s="1205">
        <f>'House Count'!E717</f>
        <v/>
      </c>
      <c r="C717" s="1205">
        <f>'House Count'!B717</f>
        <v/>
      </c>
      <c r="D717" s="1205">
        <f>'House Count'!C717</f>
        <v/>
      </c>
      <c r="E717" s="1205">
        <f>'House Count'!D717</f>
        <v/>
      </c>
      <c r="F717" s="1205">
        <f>IF(G717="RES-SFU","RESIDENTIAL",IF(G717="RES-HOA","RESIDENTIAL",IF(G717="RES-MDU","RESIDENTIAL",IF(G717="COMM-SU","BUSINESS",IF(G717="COM-MTU","BUSINESS",IF(G717="ENT","BUSINESS",""))))))</f>
        <v/>
      </c>
      <c r="G717" s="1205">
        <f>'House Count'!F717</f>
        <v/>
      </c>
      <c r="H717" s="1205">
        <f>'House Count'!H717</f>
        <v/>
      </c>
    </row>
    <row r="718">
      <c r="A718" s="1204">
        <f>'House Count'!A718</f>
        <v/>
      </c>
      <c r="B718" s="1205">
        <f>'House Count'!E718</f>
        <v/>
      </c>
      <c r="C718" s="1205">
        <f>'House Count'!B718</f>
        <v/>
      </c>
      <c r="D718" s="1205">
        <f>'House Count'!C718</f>
        <v/>
      </c>
      <c r="E718" s="1205">
        <f>'House Count'!D718</f>
        <v/>
      </c>
      <c r="F718" s="1205">
        <f>IF(G718="RES-SFU","RESIDENTIAL",IF(G718="RES-HOA","RESIDENTIAL",IF(G718="RES-MDU","RESIDENTIAL",IF(G718="COMM-SU","BUSINESS",IF(G718="COM-MTU","BUSINESS",IF(G718="ENT","BUSINESS",""))))))</f>
        <v/>
      </c>
      <c r="G718" s="1205">
        <f>'House Count'!F718</f>
        <v/>
      </c>
      <c r="H718" s="1205">
        <f>'House Count'!H718</f>
        <v/>
      </c>
    </row>
    <row r="719">
      <c r="A719" s="1204">
        <f>'House Count'!A719</f>
        <v/>
      </c>
      <c r="B719" s="1205">
        <f>'House Count'!E719</f>
        <v/>
      </c>
      <c r="C719" s="1205">
        <f>'House Count'!B719</f>
        <v/>
      </c>
      <c r="D719" s="1205">
        <f>'House Count'!C719</f>
        <v/>
      </c>
      <c r="E719" s="1205">
        <f>'House Count'!D719</f>
        <v/>
      </c>
      <c r="F719" s="1205">
        <f>IF(G719="RES-SFU","RESIDENTIAL",IF(G719="RES-HOA","RESIDENTIAL",IF(G719="RES-MDU","RESIDENTIAL",IF(G719="COMM-SU","BUSINESS",IF(G719="COM-MTU","BUSINESS",IF(G719="ENT","BUSINESS",""))))))</f>
        <v/>
      </c>
      <c r="G719" s="1205">
        <f>'House Count'!F719</f>
        <v/>
      </c>
      <c r="H719" s="1205">
        <f>'House Count'!H719</f>
        <v/>
      </c>
    </row>
    <row r="720">
      <c r="A720" s="1204">
        <f>'House Count'!A720</f>
        <v/>
      </c>
      <c r="B720" s="1205">
        <f>'House Count'!E720</f>
        <v/>
      </c>
      <c r="C720" s="1205">
        <f>'House Count'!B720</f>
        <v/>
      </c>
      <c r="D720" s="1205">
        <f>'House Count'!C720</f>
        <v/>
      </c>
      <c r="E720" s="1205">
        <f>'House Count'!D720</f>
        <v/>
      </c>
      <c r="F720" s="1205">
        <f>IF(G720="RES-SFU","RESIDENTIAL",IF(G720="RES-HOA","RESIDENTIAL",IF(G720="RES-MDU","RESIDENTIAL",IF(G720="COMM-SU","BUSINESS",IF(G720="COM-MTU","BUSINESS",IF(G720="ENT","BUSINESS",""))))))</f>
        <v/>
      </c>
      <c r="G720" s="1205">
        <f>'House Count'!F720</f>
        <v/>
      </c>
      <c r="H720" s="1205">
        <f>'House Count'!H720</f>
        <v/>
      </c>
    </row>
    <row r="721">
      <c r="A721" s="1204">
        <f>'House Count'!A721</f>
        <v/>
      </c>
      <c r="B721" s="1205">
        <f>'House Count'!E721</f>
        <v/>
      </c>
      <c r="C721" s="1205">
        <f>'House Count'!B721</f>
        <v/>
      </c>
      <c r="D721" s="1205">
        <f>'House Count'!C721</f>
        <v/>
      </c>
      <c r="E721" s="1205">
        <f>'House Count'!D721</f>
        <v/>
      </c>
      <c r="F721" s="1205">
        <f>IF(G721="RES-SFU","RESIDENTIAL",IF(G721="RES-HOA","RESIDENTIAL",IF(G721="RES-MDU","RESIDENTIAL",IF(G721="COMM-SU","BUSINESS",IF(G721="COM-MTU","BUSINESS",IF(G721="ENT","BUSINESS",""))))))</f>
        <v/>
      </c>
      <c r="G721" s="1205">
        <f>'House Count'!F721</f>
        <v/>
      </c>
      <c r="H721" s="1205">
        <f>'House Count'!H721</f>
        <v/>
      </c>
    </row>
    <row r="722">
      <c r="A722" s="1204">
        <f>'House Count'!A722</f>
        <v/>
      </c>
      <c r="B722" s="1205">
        <f>'House Count'!E722</f>
        <v/>
      </c>
      <c r="C722" s="1205">
        <f>'House Count'!B722</f>
        <v/>
      </c>
      <c r="D722" s="1205">
        <f>'House Count'!C722</f>
        <v/>
      </c>
      <c r="E722" s="1205">
        <f>'House Count'!D722</f>
        <v/>
      </c>
      <c r="F722" s="1205">
        <f>IF(G722="RES-SFU","RESIDENTIAL",IF(G722="RES-HOA","RESIDENTIAL",IF(G722="RES-MDU","RESIDENTIAL",IF(G722="COMM-SU","BUSINESS",IF(G722="COM-MTU","BUSINESS",IF(G722="ENT","BUSINESS",""))))))</f>
        <v/>
      </c>
      <c r="G722" s="1205">
        <f>'House Count'!F722</f>
        <v/>
      </c>
      <c r="H722" s="1205">
        <f>'House Count'!H722</f>
        <v/>
      </c>
    </row>
    <row r="723">
      <c r="A723" s="1204">
        <f>'House Count'!A723</f>
        <v/>
      </c>
      <c r="B723" s="1205">
        <f>'House Count'!E723</f>
        <v/>
      </c>
      <c r="C723" s="1205">
        <f>'House Count'!B723</f>
        <v/>
      </c>
      <c r="D723" s="1205">
        <f>'House Count'!C723</f>
        <v/>
      </c>
      <c r="E723" s="1205">
        <f>'House Count'!D723</f>
        <v/>
      </c>
      <c r="F723" s="1205">
        <f>IF(G723="RES-SFU","RESIDENTIAL",IF(G723="RES-HOA","RESIDENTIAL",IF(G723="RES-MDU","RESIDENTIAL",IF(G723="COMM-SU","BUSINESS",IF(G723="COM-MTU","BUSINESS",IF(G723="ENT","BUSINESS",""))))))</f>
        <v/>
      </c>
      <c r="G723" s="1205">
        <f>'House Count'!F723</f>
        <v/>
      </c>
      <c r="H723" s="1205">
        <f>'House Count'!H723</f>
        <v/>
      </c>
    </row>
    <row r="724">
      <c r="A724" s="1204">
        <f>'House Count'!A724</f>
        <v/>
      </c>
      <c r="B724" s="1205">
        <f>'House Count'!E724</f>
        <v/>
      </c>
      <c r="C724" s="1205">
        <f>'House Count'!B724</f>
        <v/>
      </c>
      <c r="D724" s="1205">
        <f>'House Count'!C724</f>
        <v/>
      </c>
      <c r="E724" s="1205">
        <f>'House Count'!D724</f>
        <v/>
      </c>
      <c r="F724" s="1205">
        <f>IF(G724="RES-SFU","RESIDENTIAL",IF(G724="RES-HOA","RESIDENTIAL",IF(G724="RES-MDU","RESIDENTIAL",IF(G724="COMM-SU","BUSINESS",IF(G724="COM-MTU","BUSINESS",IF(G724="ENT","BUSINESS",""))))))</f>
        <v/>
      </c>
      <c r="G724" s="1205">
        <f>'House Count'!F724</f>
        <v/>
      </c>
      <c r="H724" s="1205">
        <f>'House Count'!H724</f>
        <v/>
      </c>
    </row>
    <row r="725">
      <c r="A725" s="1204">
        <f>'House Count'!A725</f>
        <v/>
      </c>
      <c r="B725" s="1205">
        <f>'House Count'!E725</f>
        <v/>
      </c>
      <c r="C725" s="1205">
        <f>'House Count'!B725</f>
        <v/>
      </c>
      <c r="D725" s="1205">
        <f>'House Count'!C725</f>
        <v/>
      </c>
      <c r="E725" s="1205">
        <f>'House Count'!D725</f>
        <v/>
      </c>
      <c r="F725" s="1205">
        <f>IF(G725="RES-SFU","RESIDENTIAL",IF(G725="RES-HOA","RESIDENTIAL",IF(G725="RES-MDU","RESIDENTIAL",IF(G725="COMM-SU","BUSINESS",IF(G725="COM-MTU","BUSINESS",IF(G725="ENT","BUSINESS",""))))))</f>
        <v/>
      </c>
      <c r="G725" s="1205">
        <f>'House Count'!F725</f>
        <v/>
      </c>
      <c r="H725" s="1205">
        <f>'House Count'!H725</f>
        <v/>
      </c>
    </row>
    <row r="726">
      <c r="A726" s="1204">
        <f>'House Count'!A726</f>
        <v/>
      </c>
      <c r="B726" s="1205">
        <f>'House Count'!E726</f>
        <v/>
      </c>
      <c r="C726" s="1205">
        <f>'House Count'!B726</f>
        <v/>
      </c>
      <c r="D726" s="1205">
        <f>'House Count'!C726</f>
        <v/>
      </c>
      <c r="E726" s="1205">
        <f>'House Count'!D726</f>
        <v/>
      </c>
      <c r="F726" s="1205">
        <f>IF(G726="RES-SFU","RESIDENTIAL",IF(G726="RES-HOA","RESIDENTIAL",IF(G726="RES-MDU","RESIDENTIAL",IF(G726="COMM-SU","BUSINESS",IF(G726="COM-MTU","BUSINESS",IF(G726="ENT","BUSINESS",""))))))</f>
        <v/>
      </c>
      <c r="G726" s="1205">
        <f>'House Count'!F726</f>
        <v/>
      </c>
      <c r="H726" s="1205">
        <f>'House Count'!H726</f>
        <v/>
      </c>
    </row>
    <row r="727">
      <c r="A727" s="1204">
        <f>'House Count'!A727</f>
        <v/>
      </c>
      <c r="B727" s="1205">
        <f>'House Count'!E727</f>
        <v/>
      </c>
      <c r="C727" s="1205">
        <f>'House Count'!B727</f>
        <v/>
      </c>
      <c r="D727" s="1205">
        <f>'House Count'!C727</f>
        <v/>
      </c>
      <c r="E727" s="1205">
        <f>'House Count'!D727</f>
        <v/>
      </c>
      <c r="F727" s="1205">
        <f>IF(G727="RES-SFU","RESIDENTIAL",IF(G727="RES-HOA","RESIDENTIAL",IF(G727="RES-MDU","RESIDENTIAL",IF(G727="COMM-SU","BUSINESS",IF(G727="COM-MTU","BUSINESS",IF(G727="ENT","BUSINESS",""))))))</f>
        <v/>
      </c>
      <c r="G727" s="1205">
        <f>'House Count'!F727</f>
        <v/>
      </c>
      <c r="H727" s="1205">
        <f>'House Count'!H727</f>
        <v/>
      </c>
    </row>
    <row r="728">
      <c r="A728" s="1204">
        <f>'House Count'!A728</f>
        <v/>
      </c>
      <c r="B728" s="1205">
        <f>'House Count'!E728</f>
        <v/>
      </c>
      <c r="C728" s="1205">
        <f>'House Count'!B728</f>
        <v/>
      </c>
      <c r="D728" s="1205">
        <f>'House Count'!C728</f>
        <v/>
      </c>
      <c r="E728" s="1205">
        <f>'House Count'!D728</f>
        <v/>
      </c>
      <c r="F728" s="1205">
        <f>IF(G728="RES-SFU","RESIDENTIAL",IF(G728="RES-HOA","RESIDENTIAL",IF(G728="RES-MDU","RESIDENTIAL",IF(G728="COMM-SU","BUSINESS",IF(G728="COM-MTU","BUSINESS",IF(G728="ENT","BUSINESS",""))))))</f>
        <v/>
      </c>
      <c r="G728" s="1205">
        <f>'House Count'!F728</f>
        <v/>
      </c>
      <c r="H728" s="1205">
        <f>'House Count'!H728</f>
        <v/>
      </c>
    </row>
    <row r="729">
      <c r="A729" s="1204">
        <f>'House Count'!A729</f>
        <v/>
      </c>
      <c r="B729" s="1205">
        <f>'House Count'!E729</f>
        <v/>
      </c>
      <c r="C729" s="1205">
        <f>'House Count'!B729</f>
        <v/>
      </c>
      <c r="D729" s="1205">
        <f>'House Count'!C729</f>
        <v/>
      </c>
      <c r="E729" s="1205">
        <f>'House Count'!D729</f>
        <v/>
      </c>
      <c r="F729" s="1205">
        <f>IF(G729="RES-SFU","RESIDENTIAL",IF(G729="RES-HOA","RESIDENTIAL",IF(G729="RES-MDU","RESIDENTIAL",IF(G729="COMM-SU","BUSINESS",IF(G729="COM-MTU","BUSINESS",IF(G729="ENT","BUSINESS",""))))))</f>
        <v/>
      </c>
      <c r="G729" s="1205">
        <f>'House Count'!F729</f>
        <v/>
      </c>
      <c r="H729" s="1205">
        <f>'House Count'!H729</f>
        <v/>
      </c>
    </row>
    <row r="730">
      <c r="A730" s="1204">
        <f>'House Count'!A730</f>
        <v/>
      </c>
      <c r="B730" s="1205">
        <f>'House Count'!E730</f>
        <v/>
      </c>
      <c r="C730" s="1205">
        <f>'House Count'!B730</f>
        <v/>
      </c>
      <c r="D730" s="1205">
        <f>'House Count'!C730</f>
        <v/>
      </c>
      <c r="E730" s="1205">
        <f>'House Count'!D730</f>
        <v/>
      </c>
      <c r="F730" s="1205">
        <f>IF(G730="RES-SFU","RESIDENTIAL",IF(G730="RES-HOA","RESIDENTIAL",IF(G730="RES-MDU","RESIDENTIAL",IF(G730="COMM-SU","BUSINESS",IF(G730="COM-MTU","BUSINESS",IF(G730="ENT","BUSINESS",""))))))</f>
        <v/>
      </c>
      <c r="G730" s="1205">
        <f>'House Count'!F730</f>
        <v/>
      </c>
      <c r="H730" s="1205">
        <f>'House Count'!H730</f>
        <v/>
      </c>
    </row>
    <row r="731">
      <c r="A731" s="1204">
        <f>'House Count'!A731</f>
        <v/>
      </c>
      <c r="B731" s="1205">
        <f>'House Count'!E731</f>
        <v/>
      </c>
      <c r="C731" s="1205">
        <f>'House Count'!B731</f>
        <v/>
      </c>
      <c r="D731" s="1205">
        <f>'House Count'!C731</f>
        <v/>
      </c>
      <c r="E731" s="1205">
        <f>'House Count'!D731</f>
        <v/>
      </c>
      <c r="F731" s="1205">
        <f>IF(G731="RES-SFU","RESIDENTIAL",IF(G731="RES-HOA","RESIDENTIAL",IF(G731="RES-MDU","RESIDENTIAL",IF(G731="COMM-SU","BUSINESS",IF(G731="COM-MTU","BUSINESS",IF(G731="ENT","BUSINESS",""))))))</f>
        <v/>
      </c>
      <c r="G731" s="1205">
        <f>'House Count'!F731</f>
        <v/>
      </c>
      <c r="H731" s="1205">
        <f>'House Count'!H731</f>
        <v/>
      </c>
    </row>
    <row r="732">
      <c r="A732" s="1204">
        <f>'House Count'!A732</f>
        <v/>
      </c>
      <c r="B732" s="1205">
        <f>'House Count'!E732</f>
        <v/>
      </c>
      <c r="C732" s="1205">
        <f>'House Count'!B732</f>
        <v/>
      </c>
      <c r="D732" s="1205">
        <f>'House Count'!C732</f>
        <v/>
      </c>
      <c r="E732" s="1205">
        <f>'House Count'!D732</f>
        <v/>
      </c>
      <c r="F732" s="1205">
        <f>IF(G732="RES-SFU","RESIDENTIAL",IF(G732="RES-HOA","RESIDENTIAL",IF(G732="RES-MDU","RESIDENTIAL",IF(G732="COMM-SU","BUSINESS",IF(G732="COM-MTU","BUSINESS",IF(G732="ENT","BUSINESS",""))))))</f>
        <v/>
      </c>
      <c r="G732" s="1205">
        <f>'House Count'!F732</f>
        <v/>
      </c>
      <c r="H732" s="1205">
        <f>'House Count'!H732</f>
        <v/>
      </c>
    </row>
    <row r="733">
      <c r="A733" s="1204">
        <f>'House Count'!A733</f>
        <v/>
      </c>
      <c r="B733" s="1205">
        <f>'House Count'!E733</f>
        <v/>
      </c>
      <c r="C733" s="1205">
        <f>'House Count'!B733</f>
        <v/>
      </c>
      <c r="D733" s="1205">
        <f>'House Count'!C733</f>
        <v/>
      </c>
      <c r="E733" s="1205">
        <f>'House Count'!D733</f>
        <v/>
      </c>
      <c r="F733" s="1205">
        <f>IF(G733="RES-SFU","RESIDENTIAL",IF(G733="RES-HOA","RESIDENTIAL",IF(G733="RES-MDU","RESIDENTIAL",IF(G733="COMM-SU","BUSINESS",IF(G733="COM-MTU","BUSINESS",IF(G733="ENT","BUSINESS",""))))))</f>
        <v/>
      </c>
      <c r="G733" s="1205">
        <f>'House Count'!F733</f>
        <v/>
      </c>
      <c r="H733" s="1205">
        <f>'House Count'!H733</f>
        <v/>
      </c>
    </row>
    <row r="734">
      <c r="A734" s="1204">
        <f>'House Count'!A734</f>
        <v/>
      </c>
      <c r="B734" s="1205">
        <f>'House Count'!E734</f>
        <v/>
      </c>
      <c r="C734" s="1205">
        <f>'House Count'!B734</f>
        <v/>
      </c>
      <c r="D734" s="1205">
        <f>'House Count'!C734</f>
        <v/>
      </c>
      <c r="E734" s="1205">
        <f>'House Count'!D734</f>
        <v/>
      </c>
      <c r="F734" s="1205">
        <f>IF(G734="RES-SFU","RESIDENTIAL",IF(G734="RES-HOA","RESIDENTIAL",IF(G734="RES-MDU","RESIDENTIAL",IF(G734="COMM-SU","BUSINESS",IF(G734="COM-MTU","BUSINESS",IF(G734="ENT","BUSINESS",""))))))</f>
        <v/>
      </c>
      <c r="G734" s="1205">
        <f>'House Count'!F734</f>
        <v/>
      </c>
      <c r="H734" s="1205">
        <f>'House Count'!H734</f>
        <v/>
      </c>
    </row>
    <row r="735">
      <c r="A735" s="1204">
        <f>'House Count'!A735</f>
        <v/>
      </c>
      <c r="B735" s="1205">
        <f>'House Count'!E735</f>
        <v/>
      </c>
      <c r="C735" s="1205">
        <f>'House Count'!B735</f>
        <v/>
      </c>
      <c r="D735" s="1205">
        <f>'House Count'!C735</f>
        <v/>
      </c>
      <c r="E735" s="1205">
        <f>'House Count'!D735</f>
        <v/>
      </c>
      <c r="F735" s="1205">
        <f>IF(G735="RES-SFU","RESIDENTIAL",IF(G735="RES-HOA","RESIDENTIAL",IF(G735="RES-MDU","RESIDENTIAL",IF(G735="COMM-SU","BUSINESS",IF(G735="COM-MTU","BUSINESS",IF(G735="ENT","BUSINESS",""))))))</f>
        <v/>
      </c>
      <c r="G735" s="1205">
        <f>'House Count'!F735</f>
        <v/>
      </c>
      <c r="H735" s="1205">
        <f>'House Count'!H735</f>
        <v/>
      </c>
    </row>
    <row r="736">
      <c r="A736" s="1204">
        <f>'House Count'!A736</f>
        <v/>
      </c>
      <c r="B736" s="1205">
        <f>'House Count'!E736</f>
        <v/>
      </c>
      <c r="C736" s="1205">
        <f>'House Count'!B736</f>
        <v/>
      </c>
      <c r="D736" s="1205">
        <f>'House Count'!C736</f>
        <v/>
      </c>
      <c r="E736" s="1205">
        <f>'House Count'!D736</f>
        <v/>
      </c>
      <c r="F736" s="1205">
        <f>IF(G736="RES-SFU","RESIDENTIAL",IF(G736="RES-HOA","RESIDENTIAL",IF(G736="RES-MDU","RESIDENTIAL",IF(G736="COMM-SU","BUSINESS",IF(G736="COM-MTU","BUSINESS",IF(G736="ENT","BUSINESS",""))))))</f>
        <v/>
      </c>
      <c r="G736" s="1205">
        <f>'House Count'!F736</f>
        <v/>
      </c>
      <c r="H736" s="1205">
        <f>'House Count'!H736</f>
        <v/>
      </c>
    </row>
    <row r="737">
      <c r="A737" s="1204">
        <f>'House Count'!A737</f>
        <v/>
      </c>
      <c r="B737" s="1205">
        <f>'House Count'!E737</f>
        <v/>
      </c>
      <c r="C737" s="1205">
        <f>'House Count'!B737</f>
        <v/>
      </c>
      <c r="D737" s="1205">
        <f>'House Count'!C737</f>
        <v/>
      </c>
      <c r="E737" s="1205">
        <f>'House Count'!D737</f>
        <v/>
      </c>
      <c r="F737" s="1205">
        <f>IF(G737="RES-SFU","RESIDENTIAL",IF(G737="RES-HOA","RESIDENTIAL",IF(G737="RES-MDU","RESIDENTIAL",IF(G737="COMM-SU","BUSINESS",IF(G737="COM-MTU","BUSINESS",IF(G737="ENT","BUSINESS",""))))))</f>
        <v/>
      </c>
      <c r="G737" s="1205">
        <f>'House Count'!F737</f>
        <v/>
      </c>
      <c r="H737" s="1205">
        <f>'House Count'!H737</f>
        <v/>
      </c>
    </row>
    <row r="738">
      <c r="A738" s="1204">
        <f>'House Count'!A738</f>
        <v/>
      </c>
      <c r="B738" s="1205">
        <f>'House Count'!E738</f>
        <v/>
      </c>
      <c r="C738" s="1205">
        <f>'House Count'!B738</f>
        <v/>
      </c>
      <c r="D738" s="1205">
        <f>'House Count'!C738</f>
        <v/>
      </c>
      <c r="E738" s="1205">
        <f>'House Count'!D738</f>
        <v/>
      </c>
      <c r="F738" s="1205">
        <f>IF(G738="RES-SFU","RESIDENTIAL",IF(G738="RES-HOA","RESIDENTIAL",IF(G738="RES-MDU","RESIDENTIAL",IF(G738="COMM-SU","BUSINESS",IF(G738="COM-MTU","BUSINESS",IF(G738="ENT","BUSINESS",""))))))</f>
        <v/>
      </c>
      <c r="G738" s="1205">
        <f>'House Count'!F738</f>
        <v/>
      </c>
      <c r="H738" s="1205">
        <f>'House Count'!H738</f>
        <v/>
      </c>
    </row>
    <row r="739">
      <c r="A739" s="1204">
        <f>'House Count'!A739</f>
        <v/>
      </c>
      <c r="B739" s="1205">
        <f>'House Count'!E739</f>
        <v/>
      </c>
      <c r="C739" s="1205">
        <f>'House Count'!B739</f>
        <v/>
      </c>
      <c r="D739" s="1205">
        <f>'House Count'!C739</f>
        <v/>
      </c>
      <c r="E739" s="1205">
        <f>'House Count'!D739</f>
        <v/>
      </c>
      <c r="F739" s="1205">
        <f>IF(G739="RES-SFU","RESIDENTIAL",IF(G739="RES-HOA","RESIDENTIAL",IF(G739="RES-MDU","RESIDENTIAL",IF(G739="COMM-SU","BUSINESS",IF(G739="COM-MTU","BUSINESS",IF(G739="ENT","BUSINESS",""))))))</f>
        <v/>
      </c>
      <c r="G739" s="1205">
        <f>'House Count'!F739</f>
        <v/>
      </c>
      <c r="H739" s="1205">
        <f>'House Count'!H739</f>
        <v/>
      </c>
    </row>
    <row r="740">
      <c r="A740" s="1204">
        <f>'House Count'!A740</f>
        <v/>
      </c>
      <c r="B740" s="1205">
        <f>'House Count'!E740</f>
        <v/>
      </c>
      <c r="C740" s="1205">
        <f>'House Count'!B740</f>
        <v/>
      </c>
      <c r="D740" s="1205">
        <f>'House Count'!C740</f>
        <v/>
      </c>
      <c r="E740" s="1205">
        <f>'House Count'!D740</f>
        <v/>
      </c>
      <c r="F740" s="1205">
        <f>IF(G740="RES-SFU","RESIDENTIAL",IF(G740="RES-HOA","RESIDENTIAL",IF(G740="RES-MDU","RESIDENTIAL",IF(G740="COMM-SU","BUSINESS",IF(G740="COM-MTU","BUSINESS",IF(G740="ENT","BUSINESS",""))))))</f>
        <v/>
      </c>
      <c r="G740" s="1205">
        <f>'House Count'!F740</f>
        <v/>
      </c>
      <c r="H740" s="1205">
        <f>'House Count'!H740</f>
        <v/>
      </c>
    </row>
    <row r="741">
      <c r="A741" s="1204">
        <f>'House Count'!A741</f>
        <v/>
      </c>
      <c r="B741" s="1205">
        <f>'House Count'!E741</f>
        <v/>
      </c>
      <c r="C741" s="1205">
        <f>'House Count'!B741</f>
        <v/>
      </c>
      <c r="D741" s="1205">
        <f>'House Count'!C741</f>
        <v/>
      </c>
      <c r="E741" s="1205">
        <f>'House Count'!D741</f>
        <v/>
      </c>
      <c r="F741" s="1205">
        <f>IF(G741="RES-SFU","RESIDENTIAL",IF(G741="RES-HOA","RESIDENTIAL",IF(G741="RES-MDU","RESIDENTIAL",IF(G741="COMM-SU","BUSINESS",IF(G741="COM-MTU","BUSINESS",IF(G741="ENT","BUSINESS",""))))))</f>
        <v/>
      </c>
      <c r="G741" s="1205">
        <f>'House Count'!F741</f>
        <v/>
      </c>
      <c r="H741" s="1205">
        <f>'House Count'!H741</f>
        <v/>
      </c>
    </row>
    <row r="742">
      <c r="A742" s="1204">
        <f>'House Count'!A742</f>
        <v/>
      </c>
      <c r="B742" s="1205">
        <f>'House Count'!E742</f>
        <v/>
      </c>
      <c r="C742" s="1205">
        <f>'House Count'!B742</f>
        <v/>
      </c>
      <c r="D742" s="1205">
        <f>'House Count'!C742</f>
        <v/>
      </c>
      <c r="E742" s="1205">
        <f>'House Count'!D742</f>
        <v/>
      </c>
      <c r="F742" s="1205">
        <f>IF(G742="RES-SFU","RESIDENTIAL",IF(G742="RES-HOA","RESIDENTIAL",IF(G742="RES-MDU","RESIDENTIAL",IF(G742="COMM-SU","BUSINESS",IF(G742="COM-MTU","BUSINESS",IF(G742="ENT","BUSINESS",""))))))</f>
        <v/>
      </c>
      <c r="G742" s="1205">
        <f>'House Count'!F742</f>
        <v/>
      </c>
      <c r="H742" s="1205">
        <f>'House Count'!H742</f>
        <v/>
      </c>
    </row>
    <row r="743">
      <c r="A743" s="1204">
        <f>'House Count'!A743</f>
        <v/>
      </c>
      <c r="B743" s="1205">
        <f>'House Count'!E743</f>
        <v/>
      </c>
      <c r="C743" s="1205">
        <f>'House Count'!B743</f>
        <v/>
      </c>
      <c r="D743" s="1205">
        <f>'House Count'!C743</f>
        <v/>
      </c>
      <c r="E743" s="1205">
        <f>'House Count'!D743</f>
        <v/>
      </c>
      <c r="F743" s="1205">
        <f>IF(G743="RES-SFU","RESIDENTIAL",IF(G743="RES-HOA","RESIDENTIAL",IF(G743="RES-MDU","RESIDENTIAL",IF(G743="COMM-SU","BUSINESS",IF(G743="COM-MTU","BUSINESS",IF(G743="ENT","BUSINESS",""))))))</f>
        <v/>
      </c>
      <c r="G743" s="1205">
        <f>'House Count'!F743</f>
        <v/>
      </c>
      <c r="H743" s="1205">
        <f>'House Count'!H743</f>
        <v/>
      </c>
    </row>
    <row r="744">
      <c r="A744" s="1204">
        <f>'House Count'!A744</f>
        <v/>
      </c>
      <c r="B744" s="1205">
        <f>'House Count'!E744</f>
        <v/>
      </c>
      <c r="C744" s="1205">
        <f>'House Count'!B744</f>
        <v/>
      </c>
      <c r="D744" s="1205">
        <f>'House Count'!C744</f>
        <v/>
      </c>
      <c r="E744" s="1205">
        <f>'House Count'!D744</f>
        <v/>
      </c>
      <c r="F744" s="1205">
        <f>IF(G744="RES-SFU","RESIDENTIAL",IF(G744="RES-HOA","RESIDENTIAL",IF(G744="RES-MDU","RESIDENTIAL",IF(G744="COMM-SU","BUSINESS",IF(G744="COM-MTU","BUSINESS",IF(G744="ENT","BUSINESS",""))))))</f>
        <v/>
      </c>
      <c r="G744" s="1205">
        <f>'House Count'!F744</f>
        <v/>
      </c>
      <c r="H744" s="1205">
        <f>'House Count'!H744</f>
        <v/>
      </c>
    </row>
    <row r="745">
      <c r="A745" s="1204">
        <f>'House Count'!A745</f>
        <v/>
      </c>
      <c r="B745" s="1205">
        <f>'House Count'!E745</f>
        <v/>
      </c>
      <c r="C745" s="1205">
        <f>'House Count'!B745</f>
        <v/>
      </c>
      <c r="D745" s="1205">
        <f>'House Count'!C745</f>
        <v/>
      </c>
      <c r="E745" s="1205">
        <f>'House Count'!D745</f>
        <v/>
      </c>
      <c r="F745" s="1205">
        <f>IF(G745="RES-SFU","RESIDENTIAL",IF(G745="RES-HOA","RESIDENTIAL",IF(G745="RES-MDU","RESIDENTIAL",IF(G745="COMM-SU","BUSINESS",IF(G745="COM-MTU","BUSINESS",IF(G745="ENT","BUSINESS",""))))))</f>
        <v/>
      </c>
      <c r="G745" s="1205">
        <f>'House Count'!F745</f>
        <v/>
      </c>
      <c r="H745" s="1205">
        <f>'House Count'!H745</f>
        <v/>
      </c>
    </row>
    <row r="746">
      <c r="A746" s="1204">
        <f>'House Count'!A746</f>
        <v/>
      </c>
      <c r="B746" s="1205">
        <f>'House Count'!E746</f>
        <v/>
      </c>
      <c r="C746" s="1205">
        <f>'House Count'!B746</f>
        <v/>
      </c>
      <c r="D746" s="1205">
        <f>'House Count'!C746</f>
        <v/>
      </c>
      <c r="E746" s="1205">
        <f>'House Count'!D746</f>
        <v/>
      </c>
      <c r="F746" s="1205">
        <f>IF(G746="RES-SFU","RESIDENTIAL",IF(G746="RES-HOA","RESIDENTIAL",IF(G746="RES-MDU","RESIDENTIAL",IF(G746="COMM-SU","BUSINESS",IF(G746="COM-MTU","BUSINESS",IF(G746="ENT","BUSINESS",""))))))</f>
        <v/>
      </c>
      <c r="G746" s="1205">
        <f>'House Count'!F746</f>
        <v/>
      </c>
      <c r="H746" s="1205">
        <f>'House Count'!H746</f>
        <v/>
      </c>
    </row>
    <row r="747">
      <c r="A747" s="1204">
        <f>'House Count'!A747</f>
        <v/>
      </c>
      <c r="B747" s="1205">
        <f>'House Count'!E747</f>
        <v/>
      </c>
      <c r="C747" s="1205">
        <f>'House Count'!B747</f>
        <v/>
      </c>
      <c r="D747" s="1205">
        <f>'House Count'!C747</f>
        <v/>
      </c>
      <c r="E747" s="1205">
        <f>'House Count'!D747</f>
        <v/>
      </c>
      <c r="F747" s="1205">
        <f>IF(G747="RES-SFU","RESIDENTIAL",IF(G747="RES-HOA","RESIDENTIAL",IF(G747="RES-MDU","RESIDENTIAL",IF(G747="COMM-SU","BUSINESS",IF(G747="COM-MTU","BUSINESS",IF(G747="ENT","BUSINESS",""))))))</f>
        <v/>
      </c>
      <c r="G747" s="1205">
        <f>'House Count'!F747</f>
        <v/>
      </c>
      <c r="H747" s="1205">
        <f>'House Count'!H747</f>
        <v/>
      </c>
    </row>
    <row r="748">
      <c r="A748" s="1204">
        <f>'House Count'!A748</f>
        <v/>
      </c>
      <c r="B748" s="1205">
        <f>'House Count'!E748</f>
        <v/>
      </c>
      <c r="C748" s="1205">
        <f>'House Count'!B748</f>
        <v/>
      </c>
      <c r="D748" s="1205">
        <f>'House Count'!C748</f>
        <v/>
      </c>
      <c r="E748" s="1205">
        <f>'House Count'!D748</f>
        <v/>
      </c>
      <c r="F748" s="1205">
        <f>IF(G748="RES-SFU","RESIDENTIAL",IF(G748="RES-HOA","RESIDENTIAL",IF(G748="RES-MDU","RESIDENTIAL",IF(G748="COMM-SU","BUSINESS",IF(G748="COM-MTU","BUSINESS",IF(G748="ENT","BUSINESS",""))))))</f>
        <v/>
      </c>
      <c r="G748" s="1205">
        <f>'House Count'!F748</f>
        <v/>
      </c>
      <c r="H748" s="1205">
        <f>'House Count'!H748</f>
        <v/>
      </c>
    </row>
    <row r="749">
      <c r="A749" s="1204">
        <f>'House Count'!A749</f>
        <v/>
      </c>
      <c r="B749" s="1205">
        <f>'House Count'!E749</f>
        <v/>
      </c>
      <c r="C749" s="1205">
        <f>'House Count'!B749</f>
        <v/>
      </c>
      <c r="D749" s="1205">
        <f>'House Count'!C749</f>
        <v/>
      </c>
      <c r="E749" s="1205">
        <f>'House Count'!D749</f>
        <v/>
      </c>
      <c r="F749" s="1205">
        <f>IF(G749="RES-SFU","RESIDENTIAL",IF(G749="RES-HOA","RESIDENTIAL",IF(G749="RES-MDU","RESIDENTIAL",IF(G749="COMM-SU","BUSINESS",IF(G749="COM-MTU","BUSINESS",IF(G749="ENT","BUSINESS",""))))))</f>
        <v/>
      </c>
      <c r="G749" s="1205">
        <f>'House Count'!F749</f>
        <v/>
      </c>
      <c r="H749" s="1205">
        <f>'House Count'!H749</f>
        <v/>
      </c>
    </row>
    <row r="750">
      <c r="A750" s="1204">
        <f>'House Count'!A750</f>
        <v/>
      </c>
      <c r="B750" s="1205">
        <f>'House Count'!E750</f>
        <v/>
      </c>
      <c r="C750" s="1205">
        <f>'House Count'!B750</f>
        <v/>
      </c>
      <c r="D750" s="1205">
        <f>'House Count'!C750</f>
        <v/>
      </c>
      <c r="E750" s="1205">
        <f>'House Count'!D750</f>
        <v/>
      </c>
      <c r="F750" s="1205">
        <f>IF(G750="RES-SFU","RESIDENTIAL",IF(G750="RES-HOA","RESIDENTIAL",IF(G750="RES-MDU","RESIDENTIAL",IF(G750="COMM-SU","BUSINESS",IF(G750="COM-MTU","BUSINESS",IF(G750="ENT","BUSINESS",""))))))</f>
        <v/>
      </c>
      <c r="G750" s="1205">
        <f>'House Count'!F750</f>
        <v/>
      </c>
      <c r="H750" s="1205">
        <f>'House Count'!H750</f>
        <v/>
      </c>
    </row>
    <row r="751">
      <c r="A751" s="1204">
        <f>'House Count'!A751</f>
        <v/>
      </c>
      <c r="B751" s="1205">
        <f>'House Count'!E751</f>
        <v/>
      </c>
      <c r="C751" s="1205">
        <f>'House Count'!B751</f>
        <v/>
      </c>
      <c r="D751" s="1205">
        <f>'House Count'!C751</f>
        <v/>
      </c>
      <c r="E751" s="1205">
        <f>'House Count'!D751</f>
        <v/>
      </c>
      <c r="F751" s="1205">
        <f>IF(G751="RES-SFU","RESIDENTIAL",IF(G751="RES-HOA","RESIDENTIAL",IF(G751="RES-MDU","RESIDENTIAL",IF(G751="COMM-SU","BUSINESS",IF(G751="COM-MTU","BUSINESS",IF(G751="ENT","BUSINESS",""))))))</f>
        <v/>
      </c>
      <c r="G751" s="1205">
        <f>'House Count'!F751</f>
        <v/>
      </c>
      <c r="H751" s="1205">
        <f>'House Count'!H751</f>
        <v/>
      </c>
    </row>
    <row r="752">
      <c r="A752" s="1204">
        <f>'House Count'!A752</f>
        <v/>
      </c>
      <c r="B752" s="1205">
        <f>'House Count'!E752</f>
        <v/>
      </c>
      <c r="C752" s="1205">
        <f>'House Count'!B752</f>
        <v/>
      </c>
      <c r="D752" s="1205">
        <f>'House Count'!C752</f>
        <v/>
      </c>
      <c r="E752" s="1205">
        <f>'House Count'!D752</f>
        <v/>
      </c>
      <c r="F752" s="1205">
        <f>IF(G752="RES-SFU","RESIDENTIAL",IF(G752="RES-HOA","RESIDENTIAL",IF(G752="RES-MDU","RESIDENTIAL",IF(G752="COMM-SU","BUSINESS",IF(G752="COM-MTU","BUSINESS",IF(G752="ENT","BUSINESS",""))))))</f>
        <v/>
      </c>
      <c r="G752" s="1205">
        <f>'House Count'!F752</f>
        <v/>
      </c>
      <c r="H752" s="1205">
        <f>'House Count'!H752</f>
        <v/>
      </c>
    </row>
    <row r="753">
      <c r="A753" s="1204">
        <f>'House Count'!A753</f>
        <v/>
      </c>
      <c r="B753" s="1205">
        <f>'House Count'!E753</f>
        <v/>
      </c>
      <c r="C753" s="1205">
        <f>'House Count'!B753</f>
        <v/>
      </c>
      <c r="D753" s="1205">
        <f>'House Count'!C753</f>
        <v/>
      </c>
      <c r="E753" s="1205">
        <f>'House Count'!D753</f>
        <v/>
      </c>
      <c r="F753" s="1205">
        <f>IF(G753="RES-SFU","RESIDENTIAL",IF(G753="RES-HOA","RESIDENTIAL",IF(G753="RES-MDU","RESIDENTIAL",IF(G753="COMM-SU","BUSINESS",IF(G753="COM-MTU","BUSINESS",IF(G753="ENT","BUSINESS",""))))))</f>
        <v/>
      </c>
      <c r="G753" s="1205">
        <f>'House Count'!F753</f>
        <v/>
      </c>
      <c r="H753" s="1205">
        <f>'House Count'!H753</f>
        <v/>
      </c>
    </row>
    <row r="754">
      <c r="A754" s="1204">
        <f>'House Count'!A754</f>
        <v/>
      </c>
      <c r="B754" s="1205">
        <f>'House Count'!E754</f>
        <v/>
      </c>
      <c r="C754" s="1205">
        <f>'House Count'!B754</f>
        <v/>
      </c>
      <c r="D754" s="1205">
        <f>'House Count'!C754</f>
        <v/>
      </c>
      <c r="E754" s="1205">
        <f>'House Count'!D754</f>
        <v/>
      </c>
      <c r="F754" s="1205">
        <f>IF(G754="RES-SFU","RESIDENTIAL",IF(G754="RES-HOA","RESIDENTIAL",IF(G754="RES-MDU","RESIDENTIAL",IF(G754="COMM-SU","BUSINESS",IF(G754="COM-MTU","BUSINESS",IF(G754="ENT","BUSINESS",""))))))</f>
        <v/>
      </c>
      <c r="G754" s="1205">
        <f>'House Count'!F754</f>
        <v/>
      </c>
      <c r="H754" s="1205">
        <f>'House Count'!H754</f>
        <v/>
      </c>
    </row>
    <row r="755">
      <c r="A755" s="1204">
        <f>'House Count'!A755</f>
        <v/>
      </c>
      <c r="B755" s="1205">
        <f>'House Count'!E755</f>
        <v/>
      </c>
      <c r="C755" s="1205">
        <f>'House Count'!B755</f>
        <v/>
      </c>
      <c r="D755" s="1205">
        <f>'House Count'!C755</f>
        <v/>
      </c>
      <c r="E755" s="1205">
        <f>'House Count'!D755</f>
        <v/>
      </c>
      <c r="F755" s="1205">
        <f>IF(G755="RES-SFU","RESIDENTIAL",IF(G755="RES-HOA","RESIDENTIAL",IF(G755="RES-MDU","RESIDENTIAL",IF(G755="COMM-SU","BUSINESS",IF(G755="COM-MTU","BUSINESS",IF(G755="ENT","BUSINESS",""))))))</f>
        <v/>
      </c>
      <c r="G755" s="1205">
        <f>'House Count'!F755</f>
        <v/>
      </c>
      <c r="H755" s="1205">
        <f>'House Count'!H755</f>
        <v/>
      </c>
    </row>
    <row r="756">
      <c r="A756" s="1204">
        <f>'House Count'!A756</f>
        <v/>
      </c>
      <c r="B756" s="1205">
        <f>'House Count'!E756</f>
        <v/>
      </c>
      <c r="C756" s="1205">
        <f>'House Count'!B756</f>
        <v/>
      </c>
      <c r="D756" s="1205">
        <f>'House Count'!C756</f>
        <v/>
      </c>
      <c r="E756" s="1205">
        <f>'House Count'!D756</f>
        <v/>
      </c>
      <c r="F756" s="1205">
        <f>IF(G756="RES-SFU","RESIDENTIAL",IF(G756="RES-HOA","RESIDENTIAL",IF(G756="RES-MDU","RESIDENTIAL",IF(G756="COMM-SU","BUSINESS",IF(G756="COM-MTU","BUSINESS",IF(G756="ENT","BUSINESS",""))))))</f>
        <v/>
      </c>
      <c r="G756" s="1205">
        <f>'House Count'!F756</f>
        <v/>
      </c>
      <c r="H756" s="1205">
        <f>'House Count'!H756</f>
        <v/>
      </c>
    </row>
    <row r="757">
      <c r="A757" s="1204">
        <f>'House Count'!A757</f>
        <v/>
      </c>
      <c r="B757" s="1205">
        <f>'House Count'!E757</f>
        <v/>
      </c>
      <c r="C757" s="1205">
        <f>'House Count'!B757</f>
        <v/>
      </c>
      <c r="D757" s="1205">
        <f>'House Count'!C757</f>
        <v/>
      </c>
      <c r="E757" s="1205">
        <f>'House Count'!D757</f>
        <v/>
      </c>
      <c r="F757" s="1205">
        <f>IF(G757="RES-SFU","RESIDENTIAL",IF(G757="RES-HOA","RESIDENTIAL",IF(G757="RES-MDU","RESIDENTIAL",IF(G757="COMM-SU","BUSINESS",IF(G757="COM-MTU","BUSINESS",IF(G757="ENT","BUSINESS",""))))))</f>
        <v/>
      </c>
      <c r="G757" s="1205">
        <f>'House Count'!F757</f>
        <v/>
      </c>
      <c r="H757" s="1205">
        <f>'House Count'!H757</f>
        <v/>
      </c>
    </row>
    <row r="758">
      <c r="A758" s="1204">
        <f>'House Count'!A758</f>
        <v/>
      </c>
      <c r="B758" s="1205">
        <f>'House Count'!E758</f>
        <v/>
      </c>
      <c r="C758" s="1205">
        <f>'House Count'!B758</f>
        <v/>
      </c>
      <c r="D758" s="1205">
        <f>'House Count'!C758</f>
        <v/>
      </c>
      <c r="E758" s="1205">
        <f>'House Count'!D758</f>
        <v/>
      </c>
      <c r="F758" s="1205">
        <f>IF(G758="RES-SFU","RESIDENTIAL",IF(G758="RES-HOA","RESIDENTIAL",IF(G758="RES-MDU","RESIDENTIAL",IF(G758="COMM-SU","BUSINESS",IF(G758="COM-MTU","BUSINESS",IF(G758="ENT","BUSINESS",""))))))</f>
        <v/>
      </c>
      <c r="G758" s="1205">
        <f>'House Count'!F758</f>
        <v/>
      </c>
      <c r="H758" s="1205">
        <f>'House Count'!H758</f>
        <v/>
      </c>
    </row>
    <row r="759">
      <c r="A759" s="1204">
        <f>'House Count'!A759</f>
        <v/>
      </c>
      <c r="B759" s="1205">
        <f>'House Count'!E759</f>
        <v/>
      </c>
      <c r="C759" s="1205">
        <f>'House Count'!B759</f>
        <v/>
      </c>
      <c r="D759" s="1205">
        <f>'House Count'!C759</f>
        <v/>
      </c>
      <c r="E759" s="1205">
        <f>'House Count'!D759</f>
        <v/>
      </c>
      <c r="F759" s="1205">
        <f>IF(G759="RES-SFU","RESIDENTIAL",IF(G759="RES-HOA","RESIDENTIAL",IF(G759="RES-MDU","RESIDENTIAL",IF(G759="COMM-SU","BUSINESS",IF(G759="COM-MTU","BUSINESS",IF(G759="ENT","BUSINESS",""))))))</f>
        <v/>
      </c>
      <c r="G759" s="1205">
        <f>'House Count'!F759</f>
        <v/>
      </c>
      <c r="H759" s="1205">
        <f>'House Count'!H759</f>
        <v/>
      </c>
    </row>
    <row r="760">
      <c r="A760" s="1204">
        <f>'House Count'!A760</f>
        <v/>
      </c>
      <c r="B760" s="1205">
        <f>'House Count'!E760</f>
        <v/>
      </c>
      <c r="C760" s="1205">
        <f>'House Count'!B760</f>
        <v/>
      </c>
      <c r="D760" s="1205">
        <f>'House Count'!C760</f>
        <v/>
      </c>
      <c r="E760" s="1205">
        <f>'House Count'!D760</f>
        <v/>
      </c>
      <c r="F760" s="1205">
        <f>IF(G760="RES-SFU","RESIDENTIAL",IF(G760="RES-HOA","RESIDENTIAL",IF(G760="RES-MDU","RESIDENTIAL",IF(G760="COMM-SU","BUSINESS",IF(G760="COM-MTU","BUSINESS",IF(G760="ENT","BUSINESS",""))))))</f>
        <v/>
      </c>
      <c r="G760" s="1205">
        <f>'House Count'!F760</f>
        <v/>
      </c>
      <c r="H760" s="1205">
        <f>'House Count'!H760</f>
        <v/>
      </c>
    </row>
    <row r="761">
      <c r="A761" s="1204">
        <f>'House Count'!A761</f>
        <v/>
      </c>
      <c r="B761" s="1205">
        <f>'House Count'!E761</f>
        <v/>
      </c>
      <c r="C761" s="1205">
        <f>'House Count'!B761</f>
        <v/>
      </c>
      <c r="D761" s="1205">
        <f>'House Count'!C761</f>
        <v/>
      </c>
      <c r="E761" s="1205">
        <f>'House Count'!D761</f>
        <v/>
      </c>
      <c r="F761" s="1205">
        <f>IF(G761="RES-SFU","RESIDENTIAL",IF(G761="RES-HOA","RESIDENTIAL",IF(G761="RES-MDU","RESIDENTIAL",IF(G761="COMM-SU","BUSINESS",IF(G761="COM-MTU","BUSINESS",IF(G761="ENT","BUSINESS",""))))))</f>
        <v/>
      </c>
      <c r="G761" s="1205">
        <f>'House Count'!F761</f>
        <v/>
      </c>
      <c r="H761" s="1205">
        <f>'House Count'!H761</f>
        <v/>
      </c>
    </row>
    <row r="762">
      <c r="A762" s="1204">
        <f>'House Count'!A762</f>
        <v/>
      </c>
      <c r="B762" s="1205">
        <f>'House Count'!E762</f>
        <v/>
      </c>
      <c r="C762" s="1205">
        <f>'House Count'!B762</f>
        <v/>
      </c>
      <c r="D762" s="1205">
        <f>'House Count'!C762</f>
        <v/>
      </c>
      <c r="E762" s="1205">
        <f>'House Count'!D762</f>
        <v/>
      </c>
      <c r="F762" s="1205">
        <f>IF(G762="RES-SFU","RESIDENTIAL",IF(G762="RES-HOA","RESIDENTIAL",IF(G762="RES-MDU","RESIDENTIAL",IF(G762="COMM-SU","BUSINESS",IF(G762="COM-MTU","BUSINESS",IF(G762="ENT","BUSINESS",""))))))</f>
        <v/>
      </c>
      <c r="G762" s="1205">
        <f>'House Count'!F762</f>
        <v/>
      </c>
      <c r="H762" s="1205">
        <f>'House Count'!H762</f>
        <v/>
      </c>
    </row>
    <row r="763">
      <c r="A763" s="1204">
        <f>'House Count'!A763</f>
        <v/>
      </c>
      <c r="B763" s="1205">
        <f>'House Count'!E763</f>
        <v/>
      </c>
      <c r="C763" s="1205">
        <f>'House Count'!B763</f>
        <v/>
      </c>
      <c r="D763" s="1205">
        <f>'House Count'!C763</f>
        <v/>
      </c>
      <c r="E763" s="1205">
        <f>'House Count'!D763</f>
        <v/>
      </c>
      <c r="F763" s="1205">
        <f>IF(G763="RES-SFU","RESIDENTIAL",IF(G763="RES-HOA","RESIDENTIAL",IF(G763="RES-MDU","RESIDENTIAL",IF(G763="COMM-SU","BUSINESS",IF(G763="COM-MTU","BUSINESS",IF(G763="ENT","BUSINESS",""))))))</f>
        <v/>
      </c>
      <c r="G763" s="1205">
        <f>'House Count'!F763</f>
        <v/>
      </c>
      <c r="H763" s="1205">
        <f>'House Count'!H763</f>
        <v/>
      </c>
    </row>
    <row r="764">
      <c r="A764" s="1204">
        <f>'House Count'!A764</f>
        <v/>
      </c>
      <c r="B764" s="1205">
        <f>'House Count'!E764</f>
        <v/>
      </c>
      <c r="C764" s="1205">
        <f>'House Count'!B764</f>
        <v/>
      </c>
      <c r="D764" s="1205">
        <f>'House Count'!C764</f>
        <v/>
      </c>
      <c r="E764" s="1205">
        <f>'House Count'!D764</f>
        <v/>
      </c>
      <c r="F764" s="1205">
        <f>IF(G764="RES-SFU","RESIDENTIAL",IF(G764="RES-HOA","RESIDENTIAL",IF(G764="RES-MDU","RESIDENTIAL",IF(G764="COMM-SU","BUSINESS",IF(G764="COM-MTU","BUSINESS",IF(G764="ENT","BUSINESS",""))))))</f>
        <v/>
      </c>
      <c r="G764" s="1205">
        <f>'House Count'!F764</f>
        <v/>
      </c>
      <c r="H764" s="1205">
        <f>'House Count'!H764</f>
        <v/>
      </c>
    </row>
    <row r="765">
      <c r="A765" s="1204">
        <f>'House Count'!A765</f>
        <v/>
      </c>
      <c r="B765" s="1205">
        <f>'House Count'!E765</f>
        <v/>
      </c>
      <c r="C765" s="1205">
        <f>'House Count'!B765</f>
        <v/>
      </c>
      <c r="D765" s="1205">
        <f>'House Count'!C765</f>
        <v/>
      </c>
      <c r="E765" s="1205">
        <f>'House Count'!D765</f>
        <v/>
      </c>
      <c r="F765" s="1205">
        <f>IF(G765="RES-SFU","RESIDENTIAL",IF(G765="RES-HOA","RESIDENTIAL",IF(G765="RES-MDU","RESIDENTIAL",IF(G765="COMM-SU","BUSINESS",IF(G765="COM-MTU","BUSINESS",IF(G765="ENT","BUSINESS",""))))))</f>
        <v/>
      </c>
      <c r="G765" s="1205">
        <f>'House Count'!F765</f>
        <v/>
      </c>
      <c r="H765" s="1205">
        <f>'House Count'!H765</f>
        <v/>
      </c>
    </row>
    <row r="766">
      <c r="A766" s="1204">
        <f>'House Count'!A766</f>
        <v/>
      </c>
      <c r="B766" s="1205">
        <f>'House Count'!E766</f>
        <v/>
      </c>
      <c r="C766" s="1205">
        <f>'House Count'!B766</f>
        <v/>
      </c>
      <c r="D766" s="1205">
        <f>'House Count'!C766</f>
        <v/>
      </c>
      <c r="E766" s="1205">
        <f>'House Count'!D766</f>
        <v/>
      </c>
      <c r="F766" s="1205">
        <f>IF(G766="RES-SFU","RESIDENTIAL",IF(G766="RES-HOA","RESIDENTIAL",IF(G766="RES-MDU","RESIDENTIAL",IF(G766="COMM-SU","BUSINESS",IF(G766="COM-MTU","BUSINESS",IF(G766="ENT","BUSINESS",""))))))</f>
        <v/>
      </c>
      <c r="G766" s="1205">
        <f>'House Count'!F766</f>
        <v/>
      </c>
      <c r="H766" s="1205">
        <f>'House Count'!H766</f>
        <v/>
      </c>
    </row>
    <row r="767">
      <c r="A767" s="1204">
        <f>'House Count'!A767</f>
        <v/>
      </c>
      <c r="B767" s="1205">
        <f>'House Count'!E767</f>
        <v/>
      </c>
      <c r="C767" s="1205">
        <f>'House Count'!B767</f>
        <v/>
      </c>
      <c r="D767" s="1205">
        <f>'House Count'!C767</f>
        <v/>
      </c>
      <c r="E767" s="1205">
        <f>'House Count'!D767</f>
        <v/>
      </c>
      <c r="F767" s="1205">
        <f>IF(G767="RES-SFU","RESIDENTIAL",IF(G767="RES-HOA","RESIDENTIAL",IF(G767="RES-MDU","RESIDENTIAL",IF(G767="COMM-SU","BUSINESS",IF(G767="COM-MTU","BUSINESS",IF(G767="ENT","BUSINESS",""))))))</f>
        <v/>
      </c>
      <c r="G767" s="1205">
        <f>'House Count'!F767</f>
        <v/>
      </c>
      <c r="H767" s="1205">
        <f>'House Count'!H767</f>
        <v/>
      </c>
    </row>
    <row r="768">
      <c r="A768" s="1204">
        <f>'House Count'!A768</f>
        <v/>
      </c>
      <c r="B768" s="1205">
        <f>'House Count'!E768</f>
        <v/>
      </c>
      <c r="C768" s="1205">
        <f>'House Count'!B768</f>
        <v/>
      </c>
      <c r="D768" s="1205">
        <f>'House Count'!C768</f>
        <v/>
      </c>
      <c r="E768" s="1205">
        <f>'House Count'!D768</f>
        <v/>
      </c>
      <c r="F768" s="1205">
        <f>IF(G768="RES-SFU","RESIDENTIAL",IF(G768="RES-HOA","RESIDENTIAL",IF(G768="RES-MDU","RESIDENTIAL",IF(G768="COMM-SU","BUSINESS",IF(G768="COM-MTU","BUSINESS",IF(G768="ENT","BUSINESS",""))))))</f>
        <v/>
      </c>
      <c r="G768" s="1205">
        <f>'House Count'!F768</f>
        <v/>
      </c>
      <c r="H768" s="1205">
        <f>'House Count'!H768</f>
        <v/>
      </c>
    </row>
    <row r="769">
      <c r="A769" s="1204">
        <f>'House Count'!A769</f>
        <v/>
      </c>
      <c r="B769" s="1205">
        <f>'House Count'!E769</f>
        <v/>
      </c>
      <c r="C769" s="1205">
        <f>'House Count'!B769</f>
        <v/>
      </c>
      <c r="D769" s="1205">
        <f>'House Count'!C769</f>
        <v/>
      </c>
      <c r="E769" s="1205">
        <f>'House Count'!D769</f>
        <v/>
      </c>
      <c r="F769" s="1205">
        <f>IF(G769="RES-SFU","RESIDENTIAL",IF(G769="RES-HOA","RESIDENTIAL",IF(G769="RES-MDU","RESIDENTIAL",IF(G769="COMM-SU","BUSINESS",IF(G769="COM-MTU","BUSINESS",IF(G769="ENT","BUSINESS",""))))))</f>
        <v/>
      </c>
      <c r="G769" s="1205">
        <f>'House Count'!F769</f>
        <v/>
      </c>
      <c r="H769" s="1205">
        <f>'House Count'!H769</f>
        <v/>
      </c>
    </row>
    <row r="770">
      <c r="A770" s="1204">
        <f>'House Count'!A770</f>
        <v/>
      </c>
      <c r="B770" s="1205">
        <f>'House Count'!E770</f>
        <v/>
      </c>
      <c r="C770" s="1205">
        <f>'House Count'!B770</f>
        <v/>
      </c>
      <c r="D770" s="1205">
        <f>'House Count'!C770</f>
        <v/>
      </c>
      <c r="E770" s="1205">
        <f>'House Count'!D770</f>
        <v/>
      </c>
      <c r="F770" s="1205">
        <f>IF(G770="RES-SFU","RESIDENTIAL",IF(G770="RES-HOA","RESIDENTIAL",IF(G770="RES-MDU","RESIDENTIAL",IF(G770="COMM-SU","BUSINESS",IF(G770="COM-MTU","BUSINESS",IF(G770="ENT","BUSINESS",""))))))</f>
        <v/>
      </c>
      <c r="G770" s="1205">
        <f>'House Count'!F770</f>
        <v/>
      </c>
      <c r="H770" s="1205">
        <f>'House Count'!H770</f>
        <v/>
      </c>
    </row>
    <row r="771">
      <c r="A771" s="1204">
        <f>'House Count'!A771</f>
        <v/>
      </c>
      <c r="B771" s="1205">
        <f>'House Count'!E771</f>
        <v/>
      </c>
      <c r="C771" s="1205">
        <f>'House Count'!B771</f>
        <v/>
      </c>
      <c r="D771" s="1205">
        <f>'House Count'!C771</f>
        <v/>
      </c>
      <c r="E771" s="1205">
        <f>'House Count'!D771</f>
        <v/>
      </c>
      <c r="F771" s="1205">
        <f>IF(G771="RES-SFU","RESIDENTIAL",IF(G771="RES-HOA","RESIDENTIAL",IF(G771="RES-MDU","RESIDENTIAL",IF(G771="COMM-SU","BUSINESS",IF(G771="COM-MTU","BUSINESS",IF(G771="ENT","BUSINESS",""))))))</f>
        <v/>
      </c>
      <c r="G771" s="1205">
        <f>'House Count'!F771</f>
        <v/>
      </c>
      <c r="H771" s="1205">
        <f>'House Count'!H771</f>
        <v/>
      </c>
    </row>
    <row r="772">
      <c r="A772" s="1204">
        <f>'House Count'!A772</f>
        <v/>
      </c>
      <c r="B772" s="1205">
        <f>'House Count'!E772</f>
        <v/>
      </c>
      <c r="C772" s="1205">
        <f>'House Count'!B772</f>
        <v/>
      </c>
      <c r="D772" s="1205">
        <f>'House Count'!C772</f>
        <v/>
      </c>
      <c r="E772" s="1205">
        <f>'House Count'!D772</f>
        <v/>
      </c>
      <c r="F772" s="1205">
        <f>IF(G772="RES-SFU","RESIDENTIAL",IF(G772="RES-HOA","RESIDENTIAL",IF(G772="RES-MDU","RESIDENTIAL",IF(G772="COMM-SU","BUSINESS",IF(G772="COM-MTU","BUSINESS",IF(G772="ENT","BUSINESS",""))))))</f>
        <v/>
      </c>
      <c r="G772" s="1205">
        <f>'House Count'!F772</f>
        <v/>
      </c>
      <c r="H772" s="1205">
        <f>'House Count'!H772</f>
        <v/>
      </c>
    </row>
    <row r="773">
      <c r="A773" s="1204">
        <f>'House Count'!A773</f>
        <v/>
      </c>
      <c r="B773" s="1205">
        <f>'House Count'!E773</f>
        <v/>
      </c>
      <c r="C773" s="1205">
        <f>'House Count'!B773</f>
        <v/>
      </c>
      <c r="D773" s="1205">
        <f>'House Count'!C773</f>
        <v/>
      </c>
      <c r="E773" s="1205">
        <f>'House Count'!D773</f>
        <v/>
      </c>
      <c r="F773" s="1205">
        <f>IF(G773="RES-SFU","RESIDENTIAL",IF(G773="RES-HOA","RESIDENTIAL",IF(G773="RES-MDU","RESIDENTIAL",IF(G773="COMM-SU","BUSINESS",IF(G773="COM-MTU","BUSINESS",IF(G773="ENT","BUSINESS",""))))))</f>
        <v/>
      </c>
      <c r="G773" s="1205">
        <f>'House Count'!F773</f>
        <v/>
      </c>
      <c r="H773" s="1205">
        <f>'House Count'!H773</f>
        <v/>
      </c>
    </row>
    <row r="774">
      <c r="A774" s="1204">
        <f>'House Count'!A774</f>
        <v/>
      </c>
      <c r="B774" s="1205">
        <f>'House Count'!E774</f>
        <v/>
      </c>
      <c r="C774" s="1205">
        <f>'House Count'!B774</f>
        <v/>
      </c>
      <c r="D774" s="1205">
        <f>'House Count'!C774</f>
        <v/>
      </c>
      <c r="E774" s="1205">
        <f>'House Count'!D774</f>
        <v/>
      </c>
      <c r="F774" s="1205">
        <f>IF(G774="RES-SFU","RESIDENTIAL",IF(G774="RES-HOA","RESIDENTIAL",IF(G774="RES-MDU","RESIDENTIAL",IF(G774="COMM-SU","BUSINESS",IF(G774="COM-MTU","BUSINESS",IF(G774="ENT","BUSINESS",""))))))</f>
        <v/>
      </c>
      <c r="G774" s="1205">
        <f>'House Count'!F774</f>
        <v/>
      </c>
      <c r="H774" s="1205">
        <f>'House Count'!H774</f>
        <v/>
      </c>
    </row>
    <row r="775">
      <c r="A775" s="1204">
        <f>'House Count'!A775</f>
        <v/>
      </c>
      <c r="B775" s="1205">
        <f>'House Count'!E775</f>
        <v/>
      </c>
      <c r="C775" s="1205">
        <f>'House Count'!B775</f>
        <v/>
      </c>
      <c r="D775" s="1205">
        <f>'House Count'!C775</f>
        <v/>
      </c>
      <c r="E775" s="1205">
        <f>'House Count'!D775</f>
        <v/>
      </c>
      <c r="F775" s="1205">
        <f>IF(G775="RES-SFU","RESIDENTIAL",IF(G775="RES-HOA","RESIDENTIAL",IF(G775="RES-MDU","RESIDENTIAL",IF(G775="COMM-SU","BUSINESS",IF(G775="COM-MTU","BUSINESS",IF(G775="ENT","BUSINESS",""))))))</f>
        <v/>
      </c>
      <c r="G775" s="1205">
        <f>'House Count'!F775</f>
        <v/>
      </c>
      <c r="H775" s="1205">
        <f>'House Count'!H775</f>
        <v/>
      </c>
    </row>
    <row r="776">
      <c r="A776" s="1204">
        <f>'House Count'!A776</f>
        <v/>
      </c>
      <c r="B776" s="1205">
        <f>'House Count'!E776</f>
        <v/>
      </c>
      <c r="C776" s="1205">
        <f>'House Count'!B776</f>
        <v/>
      </c>
      <c r="D776" s="1205">
        <f>'House Count'!C776</f>
        <v/>
      </c>
      <c r="E776" s="1205">
        <f>'House Count'!D776</f>
        <v/>
      </c>
      <c r="F776" s="1205">
        <f>IF(G776="RES-SFU","RESIDENTIAL",IF(G776="RES-HOA","RESIDENTIAL",IF(G776="RES-MDU","RESIDENTIAL",IF(G776="COMM-SU","BUSINESS",IF(G776="COM-MTU","BUSINESS",IF(G776="ENT","BUSINESS",""))))))</f>
        <v/>
      </c>
      <c r="G776" s="1205">
        <f>'House Count'!F776</f>
        <v/>
      </c>
      <c r="H776" s="1205">
        <f>'House Count'!H776</f>
        <v/>
      </c>
    </row>
    <row r="777">
      <c r="A777" s="1204">
        <f>'House Count'!A777</f>
        <v/>
      </c>
      <c r="B777" s="1205">
        <f>'House Count'!E777</f>
        <v/>
      </c>
      <c r="C777" s="1205">
        <f>'House Count'!B777</f>
        <v/>
      </c>
      <c r="D777" s="1205">
        <f>'House Count'!C777</f>
        <v/>
      </c>
      <c r="E777" s="1205">
        <f>'House Count'!D777</f>
        <v/>
      </c>
      <c r="F777" s="1205">
        <f>IF(G777="RES-SFU","RESIDENTIAL",IF(G777="RES-HOA","RESIDENTIAL",IF(G777="RES-MDU","RESIDENTIAL",IF(G777="COMM-SU","BUSINESS",IF(G777="COM-MTU","BUSINESS",IF(G777="ENT","BUSINESS",""))))))</f>
        <v/>
      </c>
      <c r="G777" s="1205">
        <f>'House Count'!F777</f>
        <v/>
      </c>
      <c r="H777" s="1205">
        <f>'House Count'!H777</f>
        <v/>
      </c>
    </row>
    <row r="778">
      <c r="A778" s="1204">
        <f>'House Count'!A778</f>
        <v/>
      </c>
      <c r="B778" s="1205">
        <f>'House Count'!E778</f>
        <v/>
      </c>
      <c r="C778" s="1205">
        <f>'House Count'!B778</f>
        <v/>
      </c>
      <c r="D778" s="1205">
        <f>'House Count'!C778</f>
        <v/>
      </c>
      <c r="E778" s="1205">
        <f>'House Count'!D778</f>
        <v/>
      </c>
      <c r="F778" s="1205">
        <f>IF(G778="RES-SFU","RESIDENTIAL",IF(G778="RES-HOA","RESIDENTIAL",IF(G778="RES-MDU","RESIDENTIAL",IF(G778="COMM-SU","BUSINESS",IF(G778="COM-MTU","BUSINESS",IF(G778="ENT","BUSINESS",""))))))</f>
        <v/>
      </c>
      <c r="G778" s="1205">
        <f>'House Count'!F778</f>
        <v/>
      </c>
      <c r="H778" s="1205">
        <f>'House Count'!H778</f>
        <v/>
      </c>
    </row>
    <row r="779">
      <c r="A779" s="1204">
        <f>'House Count'!A779</f>
        <v/>
      </c>
      <c r="B779" s="1205">
        <f>'House Count'!E779</f>
        <v/>
      </c>
      <c r="C779" s="1205">
        <f>'House Count'!B779</f>
        <v/>
      </c>
      <c r="D779" s="1205">
        <f>'House Count'!C779</f>
        <v/>
      </c>
      <c r="E779" s="1205">
        <f>'House Count'!D779</f>
        <v/>
      </c>
      <c r="F779" s="1205">
        <f>IF(G779="RES-SFU","RESIDENTIAL",IF(G779="RES-HOA","RESIDENTIAL",IF(G779="RES-MDU","RESIDENTIAL",IF(G779="COMM-SU","BUSINESS",IF(G779="COM-MTU","BUSINESS",IF(G779="ENT","BUSINESS",""))))))</f>
        <v/>
      </c>
      <c r="G779" s="1205">
        <f>'House Count'!F779</f>
        <v/>
      </c>
      <c r="H779" s="1205">
        <f>'House Count'!H779</f>
        <v/>
      </c>
    </row>
    <row r="780">
      <c r="A780" s="1204">
        <f>'House Count'!A780</f>
        <v/>
      </c>
      <c r="B780" s="1205">
        <f>'House Count'!E780</f>
        <v/>
      </c>
      <c r="C780" s="1205">
        <f>'House Count'!B780</f>
        <v/>
      </c>
      <c r="D780" s="1205">
        <f>'House Count'!C780</f>
        <v/>
      </c>
      <c r="E780" s="1205">
        <f>'House Count'!D780</f>
        <v/>
      </c>
      <c r="F780" s="1205">
        <f>IF(G780="RES-SFU","RESIDENTIAL",IF(G780="RES-HOA","RESIDENTIAL",IF(G780="RES-MDU","RESIDENTIAL",IF(G780="COMM-SU","BUSINESS",IF(G780="COM-MTU","BUSINESS",IF(G780="ENT","BUSINESS",""))))))</f>
        <v/>
      </c>
      <c r="G780" s="1205">
        <f>'House Count'!F780</f>
        <v/>
      </c>
      <c r="H780" s="1205">
        <f>'House Count'!H780</f>
        <v/>
      </c>
    </row>
    <row r="781">
      <c r="A781" s="1204">
        <f>'House Count'!A781</f>
        <v/>
      </c>
      <c r="B781" s="1205">
        <f>'House Count'!E781</f>
        <v/>
      </c>
      <c r="C781" s="1205">
        <f>'House Count'!B781</f>
        <v/>
      </c>
      <c r="D781" s="1205">
        <f>'House Count'!C781</f>
        <v/>
      </c>
      <c r="E781" s="1205">
        <f>'House Count'!D781</f>
        <v/>
      </c>
      <c r="F781" s="1205">
        <f>IF(G781="RES-SFU","RESIDENTIAL",IF(G781="RES-HOA","RESIDENTIAL",IF(G781="RES-MDU","RESIDENTIAL",IF(G781="COMM-SU","BUSINESS",IF(G781="COM-MTU","BUSINESS",IF(G781="ENT","BUSINESS",""))))))</f>
        <v/>
      </c>
      <c r="G781" s="1205">
        <f>'House Count'!F781</f>
        <v/>
      </c>
      <c r="H781" s="1205">
        <f>'House Count'!H781</f>
        <v/>
      </c>
    </row>
    <row r="782">
      <c r="A782" s="1204">
        <f>'House Count'!A782</f>
        <v/>
      </c>
      <c r="B782" s="1205">
        <f>'House Count'!E782</f>
        <v/>
      </c>
      <c r="C782" s="1205">
        <f>'House Count'!B782</f>
        <v/>
      </c>
      <c r="D782" s="1205">
        <f>'House Count'!C782</f>
        <v/>
      </c>
      <c r="E782" s="1205">
        <f>'House Count'!D782</f>
        <v/>
      </c>
      <c r="F782" s="1205">
        <f>IF(G782="RES-SFU","RESIDENTIAL",IF(G782="RES-HOA","RESIDENTIAL",IF(G782="RES-MDU","RESIDENTIAL",IF(G782="COMM-SU","BUSINESS",IF(G782="COM-MTU","BUSINESS",IF(G782="ENT","BUSINESS",""))))))</f>
        <v/>
      </c>
      <c r="G782" s="1205">
        <f>'House Count'!F782</f>
        <v/>
      </c>
      <c r="H782" s="1205">
        <f>'House Count'!H782</f>
        <v/>
      </c>
    </row>
    <row r="783">
      <c r="A783" s="1204">
        <f>'House Count'!A783</f>
        <v/>
      </c>
      <c r="B783" s="1205">
        <f>'House Count'!E783</f>
        <v/>
      </c>
      <c r="C783" s="1205">
        <f>'House Count'!B783</f>
        <v/>
      </c>
      <c r="D783" s="1205">
        <f>'House Count'!C783</f>
        <v/>
      </c>
      <c r="E783" s="1205">
        <f>'House Count'!D783</f>
        <v/>
      </c>
      <c r="F783" s="1205">
        <f>IF(G783="RES-SFU","RESIDENTIAL",IF(G783="RES-HOA","RESIDENTIAL",IF(G783="RES-MDU","RESIDENTIAL",IF(G783="COMM-SU","BUSINESS",IF(G783="COM-MTU","BUSINESS",IF(G783="ENT","BUSINESS",""))))))</f>
        <v/>
      </c>
      <c r="G783" s="1205">
        <f>'House Count'!F783</f>
        <v/>
      </c>
      <c r="H783" s="1205">
        <f>'House Count'!H783</f>
        <v/>
      </c>
    </row>
    <row r="784">
      <c r="A784" s="1204">
        <f>'House Count'!A784</f>
        <v/>
      </c>
      <c r="B784" s="1205">
        <f>'House Count'!E784</f>
        <v/>
      </c>
      <c r="C784" s="1205">
        <f>'House Count'!B784</f>
        <v/>
      </c>
      <c r="D784" s="1205">
        <f>'House Count'!C784</f>
        <v/>
      </c>
      <c r="E784" s="1205">
        <f>'House Count'!D784</f>
        <v/>
      </c>
      <c r="F784" s="1205">
        <f>IF(G784="RES-SFU","RESIDENTIAL",IF(G784="RES-HOA","RESIDENTIAL",IF(G784="RES-MDU","RESIDENTIAL",IF(G784="COMM-SU","BUSINESS",IF(G784="COM-MTU","BUSINESS",IF(G784="ENT","BUSINESS",""))))))</f>
        <v/>
      </c>
      <c r="G784" s="1205">
        <f>'House Count'!F784</f>
        <v/>
      </c>
      <c r="H784" s="1205">
        <f>'House Count'!H784</f>
        <v/>
      </c>
    </row>
    <row r="785">
      <c r="A785" s="1204">
        <f>'House Count'!A785</f>
        <v/>
      </c>
      <c r="B785" s="1205">
        <f>'House Count'!E785</f>
        <v/>
      </c>
      <c r="C785" s="1205">
        <f>'House Count'!B785</f>
        <v/>
      </c>
      <c r="D785" s="1205">
        <f>'House Count'!C785</f>
        <v/>
      </c>
      <c r="E785" s="1205">
        <f>'House Count'!D785</f>
        <v/>
      </c>
      <c r="F785" s="1205">
        <f>IF(G785="RES-SFU","RESIDENTIAL",IF(G785="RES-HOA","RESIDENTIAL",IF(G785="RES-MDU","RESIDENTIAL",IF(G785="COMM-SU","BUSINESS",IF(G785="COM-MTU","BUSINESS",IF(G785="ENT","BUSINESS",""))))))</f>
        <v/>
      </c>
      <c r="G785" s="1205">
        <f>'House Count'!F785</f>
        <v/>
      </c>
      <c r="H785" s="1205">
        <f>'House Count'!H785</f>
        <v/>
      </c>
    </row>
    <row r="786">
      <c r="A786" s="1204">
        <f>'House Count'!A786</f>
        <v/>
      </c>
      <c r="B786" s="1205">
        <f>'House Count'!E786</f>
        <v/>
      </c>
      <c r="C786" s="1205">
        <f>'House Count'!B786</f>
        <v/>
      </c>
      <c r="D786" s="1205">
        <f>'House Count'!C786</f>
        <v/>
      </c>
      <c r="E786" s="1205">
        <f>'House Count'!D786</f>
        <v/>
      </c>
      <c r="F786" s="1205">
        <f>IF(G786="RES-SFU","RESIDENTIAL",IF(G786="RES-HOA","RESIDENTIAL",IF(G786="RES-MDU","RESIDENTIAL",IF(G786="COMM-SU","BUSINESS",IF(G786="COM-MTU","BUSINESS",IF(G786="ENT","BUSINESS",""))))))</f>
        <v/>
      </c>
      <c r="G786" s="1205">
        <f>'House Count'!F786</f>
        <v/>
      </c>
      <c r="H786" s="1205">
        <f>'House Count'!H786</f>
        <v/>
      </c>
    </row>
    <row r="787">
      <c r="A787" s="1204">
        <f>'House Count'!A787</f>
        <v/>
      </c>
      <c r="B787" s="1205">
        <f>'House Count'!E787</f>
        <v/>
      </c>
      <c r="C787" s="1205">
        <f>'House Count'!B787</f>
        <v/>
      </c>
      <c r="D787" s="1205">
        <f>'House Count'!C787</f>
        <v/>
      </c>
      <c r="E787" s="1205">
        <f>'House Count'!D787</f>
        <v/>
      </c>
      <c r="F787" s="1205">
        <f>IF(G787="RES-SFU","RESIDENTIAL",IF(G787="RES-HOA","RESIDENTIAL",IF(G787="RES-MDU","RESIDENTIAL",IF(G787="COMM-SU","BUSINESS",IF(G787="COM-MTU","BUSINESS",IF(G787="ENT","BUSINESS",""))))))</f>
        <v/>
      </c>
      <c r="G787" s="1205">
        <f>'House Count'!F787</f>
        <v/>
      </c>
      <c r="H787" s="1205">
        <f>'House Count'!H787</f>
        <v/>
      </c>
    </row>
    <row r="788">
      <c r="A788" s="1204">
        <f>'House Count'!A788</f>
        <v/>
      </c>
      <c r="B788" s="1205">
        <f>'House Count'!E788</f>
        <v/>
      </c>
      <c r="C788" s="1205">
        <f>'House Count'!B788</f>
        <v/>
      </c>
      <c r="D788" s="1205">
        <f>'House Count'!C788</f>
        <v/>
      </c>
      <c r="E788" s="1205">
        <f>'House Count'!D788</f>
        <v/>
      </c>
      <c r="F788" s="1205">
        <f>IF(G788="RES-SFU","RESIDENTIAL",IF(G788="RES-HOA","RESIDENTIAL",IF(G788="RES-MDU","RESIDENTIAL",IF(G788="COMM-SU","BUSINESS",IF(G788="COM-MTU","BUSINESS",IF(G788="ENT","BUSINESS",""))))))</f>
        <v/>
      </c>
      <c r="G788" s="1205">
        <f>'House Count'!F788</f>
        <v/>
      </c>
      <c r="H788" s="1205">
        <f>'House Count'!H788</f>
        <v/>
      </c>
    </row>
    <row r="789">
      <c r="A789" s="1204">
        <f>'House Count'!A789</f>
        <v/>
      </c>
      <c r="B789" s="1205">
        <f>'House Count'!E789</f>
        <v/>
      </c>
      <c r="C789" s="1205">
        <f>'House Count'!B789</f>
        <v/>
      </c>
      <c r="D789" s="1205">
        <f>'House Count'!C789</f>
        <v/>
      </c>
      <c r="E789" s="1205">
        <f>'House Count'!D789</f>
        <v/>
      </c>
      <c r="F789" s="1205">
        <f>IF(G789="RES-SFU","RESIDENTIAL",IF(G789="RES-HOA","RESIDENTIAL",IF(G789="RES-MDU","RESIDENTIAL",IF(G789="COMM-SU","BUSINESS",IF(G789="COM-MTU","BUSINESS",IF(G789="ENT","BUSINESS",""))))))</f>
        <v/>
      </c>
      <c r="G789" s="1205">
        <f>'House Count'!F789</f>
        <v/>
      </c>
      <c r="H789" s="1205">
        <f>'House Count'!H789</f>
        <v/>
      </c>
    </row>
    <row r="790">
      <c r="A790" s="1204">
        <f>'House Count'!A790</f>
        <v/>
      </c>
      <c r="B790" s="1205">
        <f>'House Count'!E790</f>
        <v/>
      </c>
      <c r="C790" s="1205">
        <f>'House Count'!B790</f>
        <v/>
      </c>
      <c r="D790" s="1205">
        <f>'House Count'!C790</f>
        <v/>
      </c>
      <c r="E790" s="1205">
        <f>'House Count'!D790</f>
        <v/>
      </c>
      <c r="F790" s="1205">
        <f>IF(G790="RES-SFU","RESIDENTIAL",IF(G790="RES-HOA","RESIDENTIAL",IF(G790="RES-MDU","RESIDENTIAL",IF(G790="COMM-SU","BUSINESS",IF(G790="COM-MTU","BUSINESS",IF(G790="ENT","BUSINESS",""))))))</f>
        <v/>
      </c>
      <c r="G790" s="1205">
        <f>'House Count'!F790</f>
        <v/>
      </c>
      <c r="H790" s="1205">
        <f>'House Count'!H790</f>
        <v/>
      </c>
    </row>
    <row r="791">
      <c r="A791" s="1204">
        <f>'House Count'!A791</f>
        <v/>
      </c>
      <c r="B791" s="1205">
        <f>'House Count'!E791</f>
        <v/>
      </c>
      <c r="C791" s="1205">
        <f>'House Count'!B791</f>
        <v/>
      </c>
      <c r="D791" s="1205">
        <f>'House Count'!C791</f>
        <v/>
      </c>
      <c r="E791" s="1205">
        <f>'House Count'!D791</f>
        <v/>
      </c>
      <c r="F791" s="1205">
        <f>IF(G791="RES-SFU","RESIDENTIAL",IF(G791="RES-HOA","RESIDENTIAL",IF(G791="RES-MDU","RESIDENTIAL",IF(G791="COMM-SU","BUSINESS",IF(G791="COM-MTU","BUSINESS",IF(G791="ENT","BUSINESS",""))))))</f>
        <v/>
      </c>
      <c r="G791" s="1205">
        <f>'House Count'!F791</f>
        <v/>
      </c>
      <c r="H791" s="1205">
        <f>'House Count'!H791</f>
        <v/>
      </c>
    </row>
    <row r="792">
      <c r="A792" s="1204">
        <f>'House Count'!A792</f>
        <v/>
      </c>
      <c r="B792" s="1205">
        <f>'House Count'!E792</f>
        <v/>
      </c>
      <c r="C792" s="1205">
        <f>'House Count'!B792</f>
        <v/>
      </c>
      <c r="D792" s="1205">
        <f>'House Count'!C792</f>
        <v/>
      </c>
      <c r="E792" s="1205">
        <f>'House Count'!D792</f>
        <v/>
      </c>
      <c r="F792" s="1205">
        <f>IF(G792="RES-SFU","RESIDENTIAL",IF(G792="RES-HOA","RESIDENTIAL",IF(G792="RES-MDU","RESIDENTIAL",IF(G792="COMM-SU","BUSINESS",IF(G792="COM-MTU","BUSINESS",IF(G792="ENT","BUSINESS",""))))))</f>
        <v/>
      </c>
      <c r="G792" s="1205">
        <f>'House Count'!F792</f>
        <v/>
      </c>
      <c r="H792" s="1205">
        <f>'House Count'!H792</f>
        <v/>
      </c>
    </row>
    <row r="793">
      <c r="A793" s="1204">
        <f>'House Count'!A793</f>
        <v/>
      </c>
      <c r="B793" s="1205">
        <f>'House Count'!E793</f>
        <v/>
      </c>
      <c r="C793" s="1205">
        <f>'House Count'!B793</f>
        <v/>
      </c>
      <c r="D793" s="1205">
        <f>'House Count'!C793</f>
        <v/>
      </c>
      <c r="E793" s="1205">
        <f>'House Count'!D793</f>
        <v/>
      </c>
      <c r="F793" s="1205">
        <f>IF(G793="RES-SFU","RESIDENTIAL",IF(G793="RES-HOA","RESIDENTIAL",IF(G793="RES-MDU","RESIDENTIAL",IF(G793="COMM-SU","BUSINESS",IF(G793="COM-MTU","BUSINESS",IF(G793="ENT","BUSINESS",""))))))</f>
        <v/>
      </c>
      <c r="G793" s="1205">
        <f>'House Count'!F793</f>
        <v/>
      </c>
      <c r="H793" s="1205">
        <f>'House Count'!H793</f>
        <v/>
      </c>
    </row>
    <row r="794">
      <c r="A794" s="1204">
        <f>'House Count'!A794</f>
        <v/>
      </c>
      <c r="B794" s="1205">
        <f>'House Count'!E794</f>
        <v/>
      </c>
      <c r="C794" s="1205">
        <f>'House Count'!B794</f>
        <v/>
      </c>
      <c r="D794" s="1205">
        <f>'House Count'!C794</f>
        <v/>
      </c>
      <c r="E794" s="1205">
        <f>'House Count'!D794</f>
        <v/>
      </c>
      <c r="F794" s="1205">
        <f>IF(G794="RES-SFU","RESIDENTIAL",IF(G794="RES-HOA","RESIDENTIAL",IF(G794="RES-MDU","RESIDENTIAL",IF(G794="COMM-SU","BUSINESS",IF(G794="COM-MTU","BUSINESS",IF(G794="ENT","BUSINESS",""))))))</f>
        <v/>
      </c>
      <c r="G794" s="1205">
        <f>'House Count'!F794</f>
        <v/>
      </c>
      <c r="H794" s="1205">
        <f>'House Count'!H794</f>
        <v/>
      </c>
    </row>
    <row r="795">
      <c r="A795" s="1204">
        <f>'House Count'!A795</f>
        <v/>
      </c>
      <c r="B795" s="1205">
        <f>'House Count'!E795</f>
        <v/>
      </c>
      <c r="C795" s="1205">
        <f>'House Count'!B795</f>
        <v/>
      </c>
      <c r="D795" s="1205">
        <f>'House Count'!C795</f>
        <v/>
      </c>
      <c r="E795" s="1205">
        <f>'House Count'!D795</f>
        <v/>
      </c>
      <c r="F795" s="1205">
        <f>IF(G795="RES-SFU","RESIDENTIAL",IF(G795="RES-HOA","RESIDENTIAL",IF(G795="RES-MDU","RESIDENTIAL",IF(G795="COMM-SU","BUSINESS",IF(G795="COM-MTU","BUSINESS",IF(G795="ENT","BUSINESS",""))))))</f>
        <v/>
      </c>
      <c r="G795" s="1205">
        <f>'House Count'!F795</f>
        <v/>
      </c>
      <c r="H795" s="1205">
        <f>'House Count'!H795</f>
        <v/>
      </c>
    </row>
    <row r="796">
      <c r="A796" s="1204">
        <f>'House Count'!A796</f>
        <v/>
      </c>
      <c r="B796" s="1205">
        <f>'House Count'!E796</f>
        <v/>
      </c>
      <c r="C796" s="1205">
        <f>'House Count'!B796</f>
        <v/>
      </c>
      <c r="D796" s="1205">
        <f>'House Count'!C796</f>
        <v/>
      </c>
      <c r="E796" s="1205">
        <f>'House Count'!D796</f>
        <v/>
      </c>
      <c r="F796" s="1205">
        <f>IF(G796="RES-SFU","RESIDENTIAL",IF(G796="RES-HOA","RESIDENTIAL",IF(G796="RES-MDU","RESIDENTIAL",IF(G796="COMM-SU","BUSINESS",IF(G796="COM-MTU","BUSINESS",IF(G796="ENT","BUSINESS",""))))))</f>
        <v/>
      </c>
      <c r="G796" s="1205">
        <f>'House Count'!F796</f>
        <v/>
      </c>
      <c r="H796" s="1205">
        <f>'House Count'!H796</f>
        <v/>
      </c>
    </row>
    <row r="797">
      <c r="A797" s="1204">
        <f>'House Count'!A797</f>
        <v/>
      </c>
      <c r="B797" s="1205">
        <f>'House Count'!E797</f>
        <v/>
      </c>
      <c r="C797" s="1205">
        <f>'House Count'!B797</f>
        <v/>
      </c>
      <c r="D797" s="1205">
        <f>'House Count'!C797</f>
        <v/>
      </c>
      <c r="E797" s="1205">
        <f>'House Count'!D797</f>
        <v/>
      </c>
      <c r="F797" s="1205">
        <f>IF(G797="RES-SFU","RESIDENTIAL",IF(G797="RES-HOA","RESIDENTIAL",IF(G797="RES-MDU","RESIDENTIAL",IF(G797="COMM-SU","BUSINESS",IF(G797="COM-MTU","BUSINESS",IF(G797="ENT","BUSINESS",""))))))</f>
        <v/>
      </c>
      <c r="G797" s="1205">
        <f>'House Count'!F797</f>
        <v/>
      </c>
      <c r="H797" s="1205">
        <f>'House Count'!H797</f>
        <v/>
      </c>
    </row>
    <row r="798">
      <c r="A798" s="1204">
        <f>'House Count'!A798</f>
        <v/>
      </c>
      <c r="B798" s="1205">
        <f>'House Count'!E798</f>
        <v/>
      </c>
      <c r="C798" s="1205">
        <f>'House Count'!B798</f>
        <v/>
      </c>
      <c r="D798" s="1205">
        <f>'House Count'!C798</f>
        <v/>
      </c>
      <c r="E798" s="1205">
        <f>'House Count'!D798</f>
        <v/>
      </c>
      <c r="F798" s="1205">
        <f>IF(G798="RES-SFU","RESIDENTIAL",IF(G798="RES-HOA","RESIDENTIAL",IF(G798="RES-MDU","RESIDENTIAL",IF(G798="COMM-SU","BUSINESS",IF(G798="COM-MTU","BUSINESS",IF(G798="ENT","BUSINESS",""))))))</f>
        <v/>
      </c>
      <c r="G798" s="1205">
        <f>'House Count'!F798</f>
        <v/>
      </c>
      <c r="H798" s="1205">
        <f>'House Count'!H798</f>
        <v/>
      </c>
    </row>
    <row r="799">
      <c r="A799" s="1204">
        <f>'House Count'!A799</f>
        <v/>
      </c>
      <c r="B799" s="1205">
        <f>'House Count'!E799</f>
        <v/>
      </c>
      <c r="C799" s="1205">
        <f>'House Count'!B799</f>
        <v/>
      </c>
      <c r="D799" s="1205">
        <f>'House Count'!C799</f>
        <v/>
      </c>
      <c r="E799" s="1205">
        <f>'House Count'!D799</f>
        <v/>
      </c>
      <c r="F799" s="1205">
        <f>IF(G799="RES-SFU","RESIDENTIAL",IF(G799="RES-HOA","RESIDENTIAL",IF(G799="RES-MDU","RESIDENTIAL",IF(G799="COMM-SU","BUSINESS",IF(G799="COM-MTU","BUSINESS",IF(G799="ENT","BUSINESS",""))))))</f>
        <v/>
      </c>
      <c r="G799" s="1205">
        <f>'House Count'!F799</f>
        <v/>
      </c>
      <c r="H799" s="1205">
        <f>'House Count'!H799</f>
        <v/>
      </c>
    </row>
    <row r="800">
      <c r="A800" s="1204">
        <f>'House Count'!A800</f>
        <v/>
      </c>
      <c r="B800" s="1205">
        <f>'House Count'!E800</f>
        <v/>
      </c>
      <c r="C800" s="1205">
        <f>'House Count'!B800</f>
        <v/>
      </c>
      <c r="D800" s="1205">
        <f>'House Count'!C800</f>
        <v/>
      </c>
      <c r="E800" s="1205">
        <f>'House Count'!D800</f>
        <v/>
      </c>
      <c r="F800" s="1205">
        <f>IF(G800="RES-SFU","RESIDENTIAL",IF(G800="RES-HOA","RESIDENTIAL",IF(G800="RES-MDU","RESIDENTIAL",IF(G800="COMM-SU","BUSINESS",IF(G800="COM-MTU","BUSINESS",IF(G800="ENT","BUSINESS",""))))))</f>
        <v/>
      </c>
      <c r="G800" s="1205">
        <f>'House Count'!F800</f>
        <v/>
      </c>
      <c r="H800" s="1205">
        <f>'House Count'!H800</f>
        <v/>
      </c>
    </row>
    <row r="801">
      <c r="A801" s="1204">
        <f>'House Count'!A801</f>
        <v/>
      </c>
      <c r="B801" s="1205">
        <f>'House Count'!E801</f>
        <v/>
      </c>
      <c r="C801" s="1205">
        <f>'House Count'!B801</f>
        <v/>
      </c>
      <c r="D801" s="1205">
        <f>'House Count'!C801</f>
        <v/>
      </c>
      <c r="E801" s="1205">
        <f>'House Count'!D801</f>
        <v/>
      </c>
      <c r="F801" s="1205">
        <f>IF(G801="RES-SFU","RESIDENTIAL",IF(G801="RES-HOA","RESIDENTIAL",IF(G801="RES-MDU","RESIDENTIAL",IF(G801="COMM-SU","BUSINESS",IF(G801="COM-MTU","BUSINESS",IF(G801="ENT","BUSINESS",""))))))</f>
        <v/>
      </c>
      <c r="G801" s="1205">
        <f>'House Count'!F801</f>
        <v/>
      </c>
      <c r="H801" s="1205">
        <f>'House Count'!H801</f>
        <v/>
      </c>
    </row>
    <row r="802">
      <c r="A802" s="1204">
        <f>'House Count'!A802</f>
        <v/>
      </c>
      <c r="B802" s="1205">
        <f>'House Count'!E802</f>
        <v/>
      </c>
      <c r="C802" s="1205">
        <f>'House Count'!B802</f>
        <v/>
      </c>
      <c r="D802" s="1205">
        <f>'House Count'!C802</f>
        <v/>
      </c>
      <c r="E802" s="1205">
        <f>'House Count'!D802</f>
        <v/>
      </c>
      <c r="F802" s="1205">
        <f>IF(G802="RES-SFU","RESIDENTIAL",IF(G802="RES-HOA","RESIDENTIAL",IF(G802="RES-MDU","RESIDENTIAL",IF(G802="COMM-SU","BUSINESS",IF(G802="COM-MTU","BUSINESS",IF(G802="ENT","BUSINESS",""))))))</f>
        <v/>
      </c>
      <c r="G802" s="1205">
        <f>'House Count'!F802</f>
        <v/>
      </c>
      <c r="H802" s="1205">
        <f>'House Count'!H802</f>
        <v/>
      </c>
    </row>
    <row r="803">
      <c r="A803" s="1204">
        <f>'House Count'!A803</f>
        <v/>
      </c>
      <c r="B803" s="1205">
        <f>'House Count'!E803</f>
        <v/>
      </c>
      <c r="C803" s="1205">
        <f>'House Count'!B803</f>
        <v/>
      </c>
      <c r="D803" s="1205">
        <f>'House Count'!C803</f>
        <v/>
      </c>
      <c r="E803" s="1205">
        <f>'House Count'!D803</f>
        <v/>
      </c>
      <c r="F803" s="1205">
        <f>IF(G803="RES-SFU","RESIDENTIAL",IF(G803="RES-HOA","RESIDENTIAL",IF(G803="RES-MDU","RESIDENTIAL",IF(G803="COMM-SU","BUSINESS",IF(G803="COM-MTU","BUSINESS",IF(G803="ENT","BUSINESS",""))))))</f>
        <v/>
      </c>
      <c r="G803" s="1205">
        <f>'House Count'!F803</f>
        <v/>
      </c>
      <c r="H803" s="1205">
        <f>'House Count'!H803</f>
        <v/>
      </c>
    </row>
    <row r="804">
      <c r="A804" s="1204">
        <f>'House Count'!A804</f>
        <v/>
      </c>
      <c r="B804" s="1205">
        <f>'House Count'!E804</f>
        <v/>
      </c>
      <c r="C804" s="1205">
        <f>'House Count'!B804</f>
        <v/>
      </c>
      <c r="D804" s="1205">
        <f>'House Count'!C804</f>
        <v/>
      </c>
      <c r="E804" s="1205">
        <f>'House Count'!D804</f>
        <v/>
      </c>
      <c r="F804" s="1205">
        <f>IF(G804="RES-SFU","RESIDENTIAL",IF(G804="RES-HOA","RESIDENTIAL",IF(G804="RES-MDU","RESIDENTIAL",IF(G804="COMM-SU","BUSINESS",IF(G804="COM-MTU","BUSINESS",IF(G804="ENT","BUSINESS",""))))))</f>
        <v/>
      </c>
      <c r="G804" s="1205">
        <f>'House Count'!F804</f>
        <v/>
      </c>
      <c r="H804" s="1205">
        <f>'House Count'!H804</f>
        <v/>
      </c>
    </row>
    <row r="805">
      <c r="A805" s="1204">
        <f>'House Count'!A805</f>
        <v/>
      </c>
      <c r="B805" s="1205">
        <f>'House Count'!E805</f>
        <v/>
      </c>
      <c r="C805" s="1205">
        <f>'House Count'!B805</f>
        <v/>
      </c>
      <c r="D805" s="1205">
        <f>'House Count'!C805</f>
        <v/>
      </c>
      <c r="E805" s="1205">
        <f>'House Count'!D805</f>
        <v/>
      </c>
      <c r="F805" s="1205">
        <f>IF(G805="RES-SFU","RESIDENTIAL",IF(G805="RES-HOA","RESIDENTIAL",IF(G805="RES-MDU","RESIDENTIAL",IF(G805="COMM-SU","BUSINESS",IF(G805="COM-MTU","BUSINESS",IF(G805="ENT","BUSINESS",""))))))</f>
        <v/>
      </c>
      <c r="G805" s="1205">
        <f>'House Count'!F805</f>
        <v/>
      </c>
      <c r="H805" s="1205">
        <f>'House Count'!H805</f>
        <v/>
      </c>
    </row>
    <row r="806">
      <c r="A806" s="1204">
        <f>'House Count'!A806</f>
        <v/>
      </c>
      <c r="B806" s="1205">
        <f>'House Count'!E806</f>
        <v/>
      </c>
      <c r="C806" s="1205">
        <f>'House Count'!B806</f>
        <v/>
      </c>
      <c r="D806" s="1205">
        <f>'House Count'!C806</f>
        <v/>
      </c>
      <c r="E806" s="1205">
        <f>'House Count'!D806</f>
        <v/>
      </c>
      <c r="F806" s="1205">
        <f>IF(G806="RES-SFU","RESIDENTIAL",IF(G806="RES-HOA","RESIDENTIAL",IF(G806="RES-MDU","RESIDENTIAL",IF(G806="COMM-SU","BUSINESS",IF(G806="COM-MTU","BUSINESS",IF(G806="ENT","BUSINESS",""))))))</f>
        <v/>
      </c>
      <c r="G806" s="1205">
        <f>'House Count'!F806</f>
        <v/>
      </c>
      <c r="H806" s="1205">
        <f>'House Count'!H806</f>
        <v/>
      </c>
    </row>
    <row r="807">
      <c r="A807" s="1204">
        <f>'House Count'!A807</f>
        <v/>
      </c>
      <c r="B807" s="1205">
        <f>'House Count'!E807</f>
        <v/>
      </c>
      <c r="C807" s="1205">
        <f>'House Count'!B807</f>
        <v/>
      </c>
      <c r="D807" s="1205">
        <f>'House Count'!C807</f>
        <v/>
      </c>
      <c r="E807" s="1205">
        <f>'House Count'!D807</f>
        <v/>
      </c>
      <c r="F807" s="1205">
        <f>IF(G807="RES-SFU","RESIDENTIAL",IF(G807="RES-HOA","RESIDENTIAL",IF(G807="RES-MDU","RESIDENTIAL",IF(G807="COMM-SU","BUSINESS",IF(G807="COM-MTU","BUSINESS",IF(G807="ENT","BUSINESS",""))))))</f>
        <v/>
      </c>
      <c r="G807" s="1205">
        <f>'House Count'!F807</f>
        <v/>
      </c>
      <c r="H807" s="1205">
        <f>'House Count'!H807</f>
        <v/>
      </c>
    </row>
    <row r="808">
      <c r="A808" s="1204">
        <f>'House Count'!A808</f>
        <v/>
      </c>
      <c r="B808" s="1205">
        <f>'House Count'!E808</f>
        <v/>
      </c>
      <c r="C808" s="1205">
        <f>'House Count'!B808</f>
        <v/>
      </c>
      <c r="D808" s="1205">
        <f>'House Count'!C808</f>
        <v/>
      </c>
      <c r="E808" s="1205">
        <f>'House Count'!D808</f>
        <v/>
      </c>
      <c r="F808" s="1205">
        <f>IF(G808="RES-SFU","RESIDENTIAL",IF(G808="RES-HOA","RESIDENTIAL",IF(G808="RES-MDU","RESIDENTIAL",IF(G808="COMM-SU","BUSINESS",IF(G808="COM-MTU","BUSINESS",IF(G808="ENT","BUSINESS",""))))))</f>
        <v/>
      </c>
      <c r="G808" s="1205">
        <f>'House Count'!F808</f>
        <v/>
      </c>
      <c r="H808" s="1205">
        <f>'House Count'!H808</f>
        <v/>
      </c>
    </row>
    <row r="809">
      <c r="A809" s="1204">
        <f>'House Count'!A809</f>
        <v/>
      </c>
      <c r="B809" s="1205">
        <f>'House Count'!E809</f>
        <v/>
      </c>
      <c r="C809" s="1205">
        <f>'House Count'!B809</f>
        <v/>
      </c>
      <c r="D809" s="1205">
        <f>'House Count'!C809</f>
        <v/>
      </c>
      <c r="E809" s="1205">
        <f>'House Count'!D809</f>
        <v/>
      </c>
      <c r="F809" s="1205">
        <f>IF(G809="RES-SFU","RESIDENTIAL",IF(G809="RES-HOA","RESIDENTIAL",IF(G809="RES-MDU","RESIDENTIAL",IF(G809="COMM-SU","BUSINESS",IF(G809="COM-MTU","BUSINESS",IF(G809="ENT","BUSINESS",""))))))</f>
        <v/>
      </c>
      <c r="G809" s="1205">
        <f>'House Count'!F809</f>
        <v/>
      </c>
      <c r="H809" s="1205">
        <f>'House Count'!H809</f>
        <v/>
      </c>
    </row>
    <row r="810">
      <c r="A810" s="1204">
        <f>'House Count'!A810</f>
        <v/>
      </c>
      <c r="B810" s="1205">
        <f>'House Count'!E810</f>
        <v/>
      </c>
      <c r="C810" s="1205">
        <f>'House Count'!B810</f>
        <v/>
      </c>
      <c r="D810" s="1205">
        <f>'House Count'!C810</f>
        <v/>
      </c>
      <c r="E810" s="1205">
        <f>'House Count'!D810</f>
        <v/>
      </c>
      <c r="F810" s="1205">
        <f>IF(G810="RES-SFU","RESIDENTIAL",IF(G810="RES-HOA","RESIDENTIAL",IF(G810="RES-MDU","RESIDENTIAL",IF(G810="COMM-SU","BUSINESS",IF(G810="COM-MTU","BUSINESS",IF(G810="ENT","BUSINESS",""))))))</f>
        <v/>
      </c>
      <c r="G810" s="1205">
        <f>'House Count'!F810</f>
        <v/>
      </c>
      <c r="H810" s="1205">
        <f>'House Count'!H810</f>
        <v/>
      </c>
    </row>
    <row r="811">
      <c r="A811" s="1204">
        <f>'House Count'!A811</f>
        <v/>
      </c>
      <c r="B811" s="1205">
        <f>'House Count'!E811</f>
        <v/>
      </c>
      <c r="C811" s="1205">
        <f>'House Count'!B811</f>
        <v/>
      </c>
      <c r="D811" s="1205">
        <f>'House Count'!C811</f>
        <v/>
      </c>
      <c r="E811" s="1205">
        <f>'House Count'!D811</f>
        <v/>
      </c>
      <c r="F811" s="1205">
        <f>IF(G811="RES-SFU","RESIDENTIAL",IF(G811="RES-HOA","RESIDENTIAL",IF(G811="RES-MDU","RESIDENTIAL",IF(G811="COMM-SU","BUSINESS",IF(G811="COM-MTU","BUSINESS",IF(G811="ENT","BUSINESS",""))))))</f>
        <v/>
      </c>
      <c r="G811" s="1205">
        <f>'House Count'!F811</f>
        <v/>
      </c>
      <c r="H811" s="1205">
        <f>'House Count'!H811</f>
        <v/>
      </c>
    </row>
    <row r="812">
      <c r="A812" s="1204">
        <f>'House Count'!A812</f>
        <v/>
      </c>
      <c r="B812" s="1205">
        <f>'House Count'!E812</f>
        <v/>
      </c>
      <c r="C812" s="1205">
        <f>'House Count'!B812</f>
        <v/>
      </c>
      <c r="D812" s="1205">
        <f>'House Count'!C812</f>
        <v/>
      </c>
      <c r="E812" s="1205">
        <f>'House Count'!D812</f>
        <v/>
      </c>
      <c r="F812" s="1205">
        <f>IF(G812="RES-SFU","RESIDENTIAL",IF(G812="RES-HOA","RESIDENTIAL",IF(G812="RES-MDU","RESIDENTIAL",IF(G812="COMM-SU","BUSINESS",IF(G812="COM-MTU","BUSINESS",IF(G812="ENT","BUSINESS",""))))))</f>
        <v/>
      </c>
      <c r="G812" s="1205">
        <f>'House Count'!F812</f>
        <v/>
      </c>
      <c r="H812" s="1205">
        <f>'House Count'!H812</f>
        <v/>
      </c>
    </row>
    <row r="813">
      <c r="A813" s="1204">
        <f>'House Count'!A813</f>
        <v/>
      </c>
      <c r="B813" s="1205">
        <f>'House Count'!E813</f>
        <v/>
      </c>
      <c r="C813" s="1205">
        <f>'House Count'!B813</f>
        <v/>
      </c>
      <c r="D813" s="1205">
        <f>'House Count'!C813</f>
        <v/>
      </c>
      <c r="E813" s="1205">
        <f>'House Count'!D813</f>
        <v/>
      </c>
      <c r="F813" s="1205">
        <f>IF(G813="RES-SFU","RESIDENTIAL",IF(G813="RES-HOA","RESIDENTIAL",IF(G813="RES-MDU","RESIDENTIAL",IF(G813="COMM-SU","BUSINESS",IF(G813="COM-MTU","BUSINESS",IF(G813="ENT","BUSINESS",""))))))</f>
        <v/>
      </c>
      <c r="G813" s="1205">
        <f>'House Count'!F813</f>
        <v/>
      </c>
      <c r="H813" s="1205">
        <f>'House Count'!H813</f>
        <v/>
      </c>
    </row>
    <row r="814">
      <c r="A814" s="1204">
        <f>'House Count'!A814</f>
        <v/>
      </c>
      <c r="B814" s="1205">
        <f>'House Count'!E814</f>
        <v/>
      </c>
      <c r="C814" s="1205">
        <f>'House Count'!B814</f>
        <v/>
      </c>
      <c r="D814" s="1205">
        <f>'House Count'!C814</f>
        <v/>
      </c>
      <c r="E814" s="1205">
        <f>'House Count'!D814</f>
        <v/>
      </c>
      <c r="F814" s="1205">
        <f>IF(G814="RES-SFU","RESIDENTIAL",IF(G814="RES-HOA","RESIDENTIAL",IF(G814="RES-MDU","RESIDENTIAL",IF(G814="COMM-SU","BUSINESS",IF(G814="COM-MTU","BUSINESS",IF(G814="ENT","BUSINESS",""))))))</f>
        <v/>
      </c>
      <c r="G814" s="1205">
        <f>'House Count'!F814</f>
        <v/>
      </c>
      <c r="H814" s="1205">
        <f>'House Count'!H814</f>
        <v/>
      </c>
    </row>
    <row r="815">
      <c r="A815" s="1204">
        <f>'House Count'!A815</f>
        <v/>
      </c>
      <c r="B815" s="1205">
        <f>'House Count'!E815</f>
        <v/>
      </c>
      <c r="C815" s="1205">
        <f>'House Count'!B815</f>
        <v/>
      </c>
      <c r="D815" s="1205">
        <f>'House Count'!C815</f>
        <v/>
      </c>
      <c r="E815" s="1205">
        <f>'House Count'!D815</f>
        <v/>
      </c>
      <c r="F815" s="1205">
        <f>IF(G815="RES-SFU","RESIDENTIAL",IF(G815="RES-HOA","RESIDENTIAL",IF(G815="RES-MDU","RESIDENTIAL",IF(G815="COMM-SU","BUSINESS",IF(G815="COM-MTU","BUSINESS",IF(G815="ENT","BUSINESS",""))))))</f>
        <v/>
      </c>
      <c r="G815" s="1205">
        <f>'House Count'!F815</f>
        <v/>
      </c>
      <c r="H815" s="1205">
        <f>'House Count'!H815</f>
        <v/>
      </c>
    </row>
    <row r="816">
      <c r="A816" s="1204">
        <f>'House Count'!A816</f>
        <v/>
      </c>
      <c r="B816" s="1205">
        <f>'House Count'!E816</f>
        <v/>
      </c>
      <c r="C816" s="1205">
        <f>'House Count'!B816</f>
        <v/>
      </c>
      <c r="D816" s="1205">
        <f>'House Count'!C816</f>
        <v/>
      </c>
      <c r="E816" s="1205">
        <f>'House Count'!D816</f>
        <v/>
      </c>
      <c r="F816" s="1205">
        <f>IF(G816="RES-SFU","RESIDENTIAL",IF(G816="RES-HOA","RESIDENTIAL",IF(G816="RES-MDU","RESIDENTIAL",IF(G816="COMM-SU","BUSINESS",IF(G816="COM-MTU","BUSINESS",IF(G816="ENT","BUSINESS",""))))))</f>
        <v/>
      </c>
      <c r="G816" s="1205">
        <f>'House Count'!F816</f>
        <v/>
      </c>
      <c r="H816" s="1205">
        <f>'House Count'!H816</f>
        <v/>
      </c>
    </row>
    <row r="817">
      <c r="A817" s="1204">
        <f>'House Count'!A817</f>
        <v/>
      </c>
      <c r="B817" s="1205">
        <f>'House Count'!E817</f>
        <v/>
      </c>
      <c r="C817" s="1205">
        <f>'House Count'!B817</f>
        <v/>
      </c>
      <c r="D817" s="1205">
        <f>'House Count'!C817</f>
        <v/>
      </c>
      <c r="E817" s="1205">
        <f>'House Count'!D817</f>
        <v/>
      </c>
      <c r="F817" s="1205">
        <f>IF(G817="RES-SFU","RESIDENTIAL",IF(G817="RES-HOA","RESIDENTIAL",IF(G817="RES-MDU","RESIDENTIAL",IF(G817="COMM-SU","BUSINESS",IF(G817="COM-MTU","BUSINESS",IF(G817="ENT","BUSINESS",""))))))</f>
        <v/>
      </c>
      <c r="G817" s="1205">
        <f>'House Count'!F817</f>
        <v/>
      </c>
      <c r="H817" s="1205">
        <f>'House Count'!H817</f>
        <v/>
      </c>
    </row>
    <row r="818">
      <c r="A818" s="1204">
        <f>'House Count'!A818</f>
        <v/>
      </c>
      <c r="B818" s="1205">
        <f>'House Count'!E818</f>
        <v/>
      </c>
      <c r="C818" s="1205">
        <f>'House Count'!B818</f>
        <v/>
      </c>
      <c r="D818" s="1205">
        <f>'House Count'!C818</f>
        <v/>
      </c>
      <c r="E818" s="1205">
        <f>'House Count'!D818</f>
        <v/>
      </c>
      <c r="F818" s="1205">
        <f>IF(G818="RES-SFU","RESIDENTIAL",IF(G818="RES-HOA","RESIDENTIAL",IF(G818="RES-MDU","RESIDENTIAL",IF(G818="COMM-SU","BUSINESS",IF(G818="COM-MTU","BUSINESS",IF(G818="ENT","BUSINESS",""))))))</f>
        <v/>
      </c>
      <c r="G818" s="1205">
        <f>'House Count'!F818</f>
        <v/>
      </c>
      <c r="H818" s="1205">
        <f>'House Count'!H818</f>
        <v/>
      </c>
    </row>
    <row r="819">
      <c r="A819" s="1204">
        <f>'House Count'!A819</f>
        <v/>
      </c>
      <c r="B819" s="1205">
        <f>'House Count'!E819</f>
        <v/>
      </c>
      <c r="C819" s="1205">
        <f>'House Count'!B819</f>
        <v/>
      </c>
      <c r="D819" s="1205">
        <f>'House Count'!C819</f>
        <v/>
      </c>
      <c r="E819" s="1205">
        <f>'House Count'!D819</f>
        <v/>
      </c>
      <c r="F819" s="1205">
        <f>IF(G819="RES-SFU","RESIDENTIAL",IF(G819="RES-HOA","RESIDENTIAL",IF(G819="RES-MDU","RESIDENTIAL",IF(G819="COMM-SU","BUSINESS",IF(G819="COM-MTU","BUSINESS",IF(G819="ENT","BUSINESS",""))))))</f>
        <v/>
      </c>
      <c r="G819" s="1205">
        <f>'House Count'!F819</f>
        <v/>
      </c>
      <c r="H819" s="1205">
        <f>'House Count'!H819</f>
        <v/>
      </c>
    </row>
    <row r="820">
      <c r="A820" s="1204">
        <f>'House Count'!A820</f>
        <v/>
      </c>
      <c r="B820" s="1205">
        <f>'House Count'!E820</f>
        <v/>
      </c>
      <c r="C820" s="1205">
        <f>'House Count'!B820</f>
        <v/>
      </c>
      <c r="D820" s="1205">
        <f>'House Count'!C820</f>
        <v/>
      </c>
      <c r="E820" s="1205">
        <f>'House Count'!D820</f>
        <v/>
      </c>
      <c r="F820" s="1205">
        <f>IF(G820="RES-SFU","RESIDENTIAL",IF(G820="RES-HOA","RESIDENTIAL",IF(G820="RES-MDU","RESIDENTIAL",IF(G820="COMM-SU","BUSINESS",IF(G820="COM-MTU","BUSINESS",IF(G820="ENT","BUSINESS",""))))))</f>
        <v/>
      </c>
      <c r="G820" s="1205">
        <f>'House Count'!F820</f>
        <v/>
      </c>
      <c r="H820" s="1205">
        <f>'House Count'!H820</f>
        <v/>
      </c>
    </row>
    <row r="821">
      <c r="A821" s="1204">
        <f>'House Count'!A821</f>
        <v/>
      </c>
      <c r="B821" s="1205">
        <f>'House Count'!E821</f>
        <v/>
      </c>
      <c r="C821" s="1205">
        <f>'House Count'!B821</f>
        <v/>
      </c>
      <c r="D821" s="1205">
        <f>'House Count'!C821</f>
        <v/>
      </c>
      <c r="E821" s="1205">
        <f>'House Count'!D821</f>
        <v/>
      </c>
      <c r="F821" s="1205">
        <f>IF(G821="RES-SFU","RESIDENTIAL",IF(G821="RES-HOA","RESIDENTIAL",IF(G821="RES-MDU","RESIDENTIAL",IF(G821="COMM-SU","BUSINESS",IF(G821="COM-MTU","BUSINESS",IF(G821="ENT","BUSINESS",""))))))</f>
        <v/>
      </c>
      <c r="G821" s="1205">
        <f>'House Count'!F821</f>
        <v/>
      </c>
      <c r="H821" s="1205">
        <f>'House Count'!H821</f>
        <v/>
      </c>
    </row>
    <row r="822">
      <c r="A822" s="1204">
        <f>'House Count'!A822</f>
        <v/>
      </c>
      <c r="B822" s="1205">
        <f>'House Count'!E822</f>
        <v/>
      </c>
      <c r="C822" s="1205">
        <f>'House Count'!B822</f>
        <v/>
      </c>
      <c r="D822" s="1205">
        <f>'House Count'!C822</f>
        <v/>
      </c>
      <c r="E822" s="1205">
        <f>'House Count'!D822</f>
        <v/>
      </c>
      <c r="F822" s="1205">
        <f>IF(G822="RES-SFU","RESIDENTIAL",IF(G822="RES-HOA","RESIDENTIAL",IF(G822="RES-MDU","RESIDENTIAL",IF(G822="COMM-SU","BUSINESS",IF(G822="COM-MTU","BUSINESS",IF(G822="ENT","BUSINESS",""))))))</f>
        <v/>
      </c>
      <c r="G822" s="1205">
        <f>'House Count'!F822</f>
        <v/>
      </c>
      <c r="H822" s="1205">
        <f>'House Count'!H822</f>
        <v/>
      </c>
    </row>
    <row r="823">
      <c r="A823" s="1204">
        <f>'House Count'!A823</f>
        <v/>
      </c>
      <c r="B823" s="1205">
        <f>'House Count'!E823</f>
        <v/>
      </c>
      <c r="C823" s="1205">
        <f>'House Count'!B823</f>
        <v/>
      </c>
      <c r="D823" s="1205">
        <f>'House Count'!C823</f>
        <v/>
      </c>
      <c r="E823" s="1205">
        <f>'House Count'!D823</f>
        <v/>
      </c>
      <c r="F823" s="1205">
        <f>IF(G823="RES-SFU","RESIDENTIAL",IF(G823="RES-HOA","RESIDENTIAL",IF(G823="RES-MDU","RESIDENTIAL",IF(G823="COMM-SU","BUSINESS",IF(G823="COM-MTU","BUSINESS",IF(G823="ENT","BUSINESS",""))))))</f>
        <v/>
      </c>
      <c r="G823" s="1205">
        <f>'House Count'!F823</f>
        <v/>
      </c>
      <c r="H823" s="1205">
        <f>'House Count'!H823</f>
        <v/>
      </c>
    </row>
    <row r="824">
      <c r="A824" s="1204">
        <f>'House Count'!A824</f>
        <v/>
      </c>
      <c r="B824" s="1205">
        <f>'House Count'!E824</f>
        <v/>
      </c>
      <c r="C824" s="1205">
        <f>'House Count'!B824</f>
        <v/>
      </c>
      <c r="D824" s="1205">
        <f>'House Count'!C824</f>
        <v/>
      </c>
      <c r="E824" s="1205">
        <f>'House Count'!D824</f>
        <v/>
      </c>
      <c r="F824" s="1205">
        <f>IF(G824="RES-SFU","RESIDENTIAL",IF(G824="RES-HOA","RESIDENTIAL",IF(G824="RES-MDU","RESIDENTIAL",IF(G824="COMM-SU","BUSINESS",IF(G824="COM-MTU","BUSINESS",IF(G824="ENT","BUSINESS",""))))))</f>
        <v/>
      </c>
      <c r="G824" s="1205">
        <f>'House Count'!F824</f>
        <v/>
      </c>
      <c r="H824" s="1205">
        <f>'House Count'!H824</f>
        <v/>
      </c>
    </row>
    <row r="825">
      <c r="A825" s="1204">
        <f>'House Count'!A825</f>
        <v/>
      </c>
      <c r="B825" s="1205">
        <f>'House Count'!E825</f>
        <v/>
      </c>
      <c r="C825" s="1205">
        <f>'House Count'!B825</f>
        <v/>
      </c>
      <c r="D825" s="1205">
        <f>'House Count'!C825</f>
        <v/>
      </c>
      <c r="E825" s="1205">
        <f>'House Count'!D825</f>
        <v/>
      </c>
      <c r="F825" s="1205">
        <f>IF(G825="RES-SFU","RESIDENTIAL",IF(G825="RES-HOA","RESIDENTIAL",IF(G825="RES-MDU","RESIDENTIAL",IF(G825="COMM-SU","BUSINESS",IF(G825="COM-MTU","BUSINESS",IF(G825="ENT","BUSINESS",""))))))</f>
        <v/>
      </c>
      <c r="G825" s="1205">
        <f>'House Count'!F825</f>
        <v/>
      </c>
      <c r="H825" s="1205">
        <f>'House Count'!H825</f>
        <v/>
      </c>
    </row>
    <row r="826">
      <c r="A826" s="1204">
        <f>'House Count'!A826</f>
        <v/>
      </c>
      <c r="B826" s="1205">
        <f>'House Count'!E826</f>
        <v/>
      </c>
      <c r="C826" s="1205">
        <f>'House Count'!B826</f>
        <v/>
      </c>
      <c r="D826" s="1205">
        <f>'House Count'!C826</f>
        <v/>
      </c>
      <c r="E826" s="1205">
        <f>'House Count'!D826</f>
        <v/>
      </c>
      <c r="F826" s="1205">
        <f>IF(G826="RES-SFU","RESIDENTIAL",IF(G826="RES-HOA","RESIDENTIAL",IF(G826="RES-MDU","RESIDENTIAL",IF(G826="COMM-SU","BUSINESS",IF(G826="COM-MTU","BUSINESS",IF(G826="ENT","BUSINESS",""))))))</f>
        <v/>
      </c>
      <c r="G826" s="1205">
        <f>'House Count'!F826</f>
        <v/>
      </c>
      <c r="H826" s="1205">
        <f>'House Count'!H826</f>
        <v/>
      </c>
    </row>
    <row r="827">
      <c r="A827" s="1204">
        <f>'House Count'!A827</f>
        <v/>
      </c>
      <c r="B827" s="1205">
        <f>'House Count'!E827</f>
        <v/>
      </c>
      <c r="C827" s="1205">
        <f>'House Count'!B827</f>
        <v/>
      </c>
      <c r="D827" s="1205">
        <f>'House Count'!C827</f>
        <v/>
      </c>
      <c r="E827" s="1205">
        <f>'House Count'!D827</f>
        <v/>
      </c>
      <c r="F827" s="1205">
        <f>IF(G827="RES-SFU","RESIDENTIAL",IF(G827="RES-HOA","RESIDENTIAL",IF(G827="RES-MDU","RESIDENTIAL",IF(G827="COMM-SU","BUSINESS",IF(G827="COM-MTU","BUSINESS",IF(G827="ENT","BUSINESS",""))))))</f>
        <v/>
      </c>
      <c r="G827" s="1205">
        <f>'House Count'!F827</f>
        <v/>
      </c>
      <c r="H827" s="1205">
        <f>'House Count'!H827</f>
        <v/>
      </c>
    </row>
    <row r="828">
      <c r="A828" s="1204">
        <f>'House Count'!A828</f>
        <v/>
      </c>
      <c r="B828" s="1205">
        <f>'House Count'!E828</f>
        <v/>
      </c>
      <c r="C828" s="1205">
        <f>'House Count'!B828</f>
        <v/>
      </c>
      <c r="D828" s="1205">
        <f>'House Count'!C828</f>
        <v/>
      </c>
      <c r="E828" s="1205">
        <f>'House Count'!D828</f>
        <v/>
      </c>
      <c r="F828" s="1205">
        <f>IF(G828="RES-SFU","RESIDENTIAL",IF(G828="RES-HOA","RESIDENTIAL",IF(G828="RES-MDU","RESIDENTIAL",IF(G828="COMM-SU","BUSINESS",IF(G828="COM-MTU","BUSINESS",IF(G828="ENT","BUSINESS",""))))))</f>
        <v/>
      </c>
      <c r="G828" s="1205">
        <f>'House Count'!F828</f>
        <v/>
      </c>
      <c r="H828" s="1205">
        <f>'House Count'!H828</f>
        <v/>
      </c>
    </row>
    <row r="829">
      <c r="A829" s="1204">
        <f>'House Count'!A829</f>
        <v/>
      </c>
      <c r="B829" s="1205">
        <f>'House Count'!E829</f>
        <v/>
      </c>
      <c r="C829" s="1205">
        <f>'House Count'!B829</f>
        <v/>
      </c>
      <c r="D829" s="1205">
        <f>'House Count'!C829</f>
        <v/>
      </c>
      <c r="E829" s="1205">
        <f>'House Count'!D829</f>
        <v/>
      </c>
      <c r="F829" s="1205">
        <f>IF(G829="RES-SFU","RESIDENTIAL",IF(G829="RES-HOA","RESIDENTIAL",IF(G829="RES-MDU","RESIDENTIAL",IF(G829="COMM-SU","BUSINESS",IF(G829="COM-MTU","BUSINESS",IF(G829="ENT","BUSINESS",""))))))</f>
        <v/>
      </c>
      <c r="G829" s="1205">
        <f>'House Count'!F829</f>
        <v/>
      </c>
      <c r="H829" s="1205">
        <f>'House Count'!H829</f>
        <v/>
      </c>
    </row>
    <row r="830">
      <c r="A830" s="1204">
        <f>'House Count'!A830</f>
        <v/>
      </c>
      <c r="B830" s="1205">
        <f>'House Count'!E830</f>
        <v/>
      </c>
      <c r="C830" s="1205">
        <f>'House Count'!B830</f>
        <v/>
      </c>
      <c r="D830" s="1205">
        <f>'House Count'!C830</f>
        <v/>
      </c>
      <c r="E830" s="1205">
        <f>'House Count'!D830</f>
        <v/>
      </c>
      <c r="F830" s="1205">
        <f>IF(G830="RES-SFU","RESIDENTIAL",IF(G830="RES-HOA","RESIDENTIAL",IF(G830="RES-MDU","RESIDENTIAL",IF(G830="COMM-SU","BUSINESS",IF(G830="COM-MTU","BUSINESS",IF(G830="ENT","BUSINESS",""))))))</f>
        <v/>
      </c>
      <c r="G830" s="1205">
        <f>'House Count'!F830</f>
        <v/>
      </c>
      <c r="H830" s="1205">
        <f>'House Count'!H830</f>
        <v/>
      </c>
    </row>
    <row r="831">
      <c r="A831" s="1204">
        <f>'House Count'!A831</f>
        <v/>
      </c>
      <c r="B831" s="1205">
        <f>'House Count'!E831</f>
        <v/>
      </c>
      <c r="C831" s="1205">
        <f>'House Count'!B831</f>
        <v/>
      </c>
      <c r="D831" s="1205">
        <f>'House Count'!C831</f>
        <v/>
      </c>
      <c r="E831" s="1205">
        <f>'House Count'!D831</f>
        <v/>
      </c>
      <c r="F831" s="1205">
        <f>IF(G831="RES-SFU","RESIDENTIAL",IF(G831="RES-HOA","RESIDENTIAL",IF(G831="RES-MDU","RESIDENTIAL",IF(G831="COMM-SU","BUSINESS",IF(G831="COM-MTU","BUSINESS",IF(G831="ENT","BUSINESS",""))))))</f>
        <v/>
      </c>
      <c r="G831" s="1205">
        <f>'House Count'!F831</f>
        <v/>
      </c>
      <c r="H831" s="1205">
        <f>'House Count'!H831</f>
        <v/>
      </c>
    </row>
    <row r="832">
      <c r="A832" s="1204">
        <f>'House Count'!A832</f>
        <v/>
      </c>
      <c r="B832" s="1205">
        <f>'House Count'!E832</f>
        <v/>
      </c>
      <c r="C832" s="1205">
        <f>'House Count'!B832</f>
        <v/>
      </c>
      <c r="D832" s="1205">
        <f>'House Count'!C832</f>
        <v/>
      </c>
      <c r="E832" s="1205">
        <f>'House Count'!D832</f>
        <v/>
      </c>
      <c r="F832" s="1205">
        <f>IF(G832="RES-SFU","RESIDENTIAL",IF(G832="RES-HOA","RESIDENTIAL",IF(G832="RES-MDU","RESIDENTIAL",IF(G832="COMM-SU","BUSINESS",IF(G832="COM-MTU","BUSINESS",IF(G832="ENT","BUSINESS",""))))))</f>
        <v/>
      </c>
      <c r="G832" s="1205">
        <f>'House Count'!F832</f>
        <v/>
      </c>
      <c r="H832" s="1205">
        <f>'House Count'!H832</f>
        <v/>
      </c>
    </row>
    <row r="833">
      <c r="A833" s="1204">
        <f>'House Count'!A833</f>
        <v/>
      </c>
      <c r="B833" s="1205">
        <f>'House Count'!E833</f>
        <v/>
      </c>
      <c r="C833" s="1205">
        <f>'House Count'!B833</f>
        <v/>
      </c>
      <c r="D833" s="1205">
        <f>'House Count'!C833</f>
        <v/>
      </c>
      <c r="E833" s="1205">
        <f>'House Count'!D833</f>
        <v/>
      </c>
      <c r="F833" s="1205">
        <f>IF(G833="RES-SFU","RESIDENTIAL",IF(G833="RES-HOA","RESIDENTIAL",IF(G833="RES-MDU","RESIDENTIAL",IF(G833="COMM-SU","BUSINESS",IF(G833="COM-MTU","BUSINESS",IF(G833="ENT","BUSINESS",""))))))</f>
        <v/>
      </c>
      <c r="G833" s="1205">
        <f>'House Count'!F833</f>
        <v/>
      </c>
      <c r="H833" s="1205">
        <f>'House Count'!H833</f>
        <v/>
      </c>
    </row>
    <row r="834">
      <c r="A834" s="1204">
        <f>'House Count'!A834</f>
        <v/>
      </c>
      <c r="B834" s="1205">
        <f>'House Count'!E834</f>
        <v/>
      </c>
      <c r="C834" s="1205">
        <f>'House Count'!B834</f>
        <v/>
      </c>
      <c r="D834" s="1205">
        <f>'House Count'!C834</f>
        <v/>
      </c>
      <c r="E834" s="1205">
        <f>'House Count'!D834</f>
        <v/>
      </c>
      <c r="F834" s="1205">
        <f>IF(G834="RES-SFU","RESIDENTIAL",IF(G834="RES-HOA","RESIDENTIAL",IF(G834="RES-MDU","RESIDENTIAL",IF(G834="COMM-SU","BUSINESS",IF(G834="COM-MTU","BUSINESS",IF(G834="ENT","BUSINESS",""))))))</f>
        <v/>
      </c>
      <c r="G834" s="1205">
        <f>'House Count'!F834</f>
        <v/>
      </c>
      <c r="H834" s="1205">
        <f>'House Count'!H834</f>
        <v/>
      </c>
    </row>
    <row r="835">
      <c r="A835" s="1204">
        <f>'House Count'!A835</f>
        <v/>
      </c>
      <c r="B835" s="1205">
        <f>'House Count'!E835</f>
        <v/>
      </c>
      <c r="C835" s="1205">
        <f>'House Count'!B835</f>
        <v/>
      </c>
      <c r="D835" s="1205">
        <f>'House Count'!C835</f>
        <v/>
      </c>
      <c r="E835" s="1205">
        <f>'House Count'!D835</f>
        <v/>
      </c>
      <c r="F835" s="1205">
        <f>IF(G835="RES-SFU","RESIDENTIAL",IF(G835="RES-HOA","RESIDENTIAL",IF(G835="RES-MDU","RESIDENTIAL",IF(G835="COMM-SU","BUSINESS",IF(G835="COM-MTU","BUSINESS",IF(G835="ENT","BUSINESS",""))))))</f>
        <v/>
      </c>
      <c r="G835" s="1205">
        <f>'House Count'!F835</f>
        <v/>
      </c>
      <c r="H835" s="1205">
        <f>'House Count'!H835</f>
        <v/>
      </c>
    </row>
    <row r="836">
      <c r="A836" s="1204">
        <f>'House Count'!A836</f>
        <v/>
      </c>
      <c r="B836" s="1205">
        <f>'House Count'!E836</f>
        <v/>
      </c>
      <c r="C836" s="1205">
        <f>'House Count'!B836</f>
        <v/>
      </c>
      <c r="D836" s="1205">
        <f>'House Count'!C836</f>
        <v/>
      </c>
      <c r="E836" s="1205">
        <f>'House Count'!D836</f>
        <v/>
      </c>
      <c r="F836" s="1205">
        <f>IF(G836="RES-SFU","RESIDENTIAL",IF(G836="RES-HOA","RESIDENTIAL",IF(G836="RES-MDU","RESIDENTIAL",IF(G836="COMM-SU","BUSINESS",IF(G836="COM-MTU","BUSINESS",IF(G836="ENT","BUSINESS",""))))))</f>
        <v/>
      </c>
      <c r="G836" s="1205">
        <f>'House Count'!F836</f>
        <v/>
      </c>
      <c r="H836" s="1205">
        <f>'House Count'!H836</f>
        <v/>
      </c>
    </row>
    <row r="837">
      <c r="A837" s="1204">
        <f>'House Count'!A837</f>
        <v/>
      </c>
      <c r="B837" s="1205">
        <f>'House Count'!E837</f>
        <v/>
      </c>
      <c r="C837" s="1205">
        <f>'House Count'!B837</f>
        <v/>
      </c>
      <c r="D837" s="1205">
        <f>'House Count'!C837</f>
        <v/>
      </c>
      <c r="E837" s="1205">
        <f>'House Count'!D837</f>
        <v/>
      </c>
      <c r="F837" s="1205">
        <f>IF(G837="RES-SFU","RESIDENTIAL",IF(G837="RES-HOA","RESIDENTIAL",IF(G837="RES-MDU","RESIDENTIAL",IF(G837="COMM-SU","BUSINESS",IF(G837="COM-MTU","BUSINESS",IF(G837="ENT","BUSINESS",""))))))</f>
        <v/>
      </c>
      <c r="G837" s="1205">
        <f>'House Count'!F837</f>
        <v/>
      </c>
      <c r="H837" s="1205">
        <f>'House Count'!H837</f>
        <v/>
      </c>
    </row>
    <row r="838">
      <c r="A838" s="1204">
        <f>'House Count'!A838</f>
        <v/>
      </c>
      <c r="B838" s="1205">
        <f>'House Count'!E838</f>
        <v/>
      </c>
      <c r="C838" s="1205">
        <f>'House Count'!B838</f>
        <v/>
      </c>
      <c r="D838" s="1205">
        <f>'House Count'!C838</f>
        <v/>
      </c>
      <c r="E838" s="1205">
        <f>'House Count'!D838</f>
        <v/>
      </c>
      <c r="F838" s="1205">
        <f>IF(G838="RES-SFU","RESIDENTIAL",IF(G838="RES-HOA","RESIDENTIAL",IF(G838="RES-MDU","RESIDENTIAL",IF(G838="COMM-SU","BUSINESS",IF(G838="COM-MTU","BUSINESS",IF(G838="ENT","BUSINESS",""))))))</f>
        <v/>
      </c>
      <c r="G838" s="1205">
        <f>'House Count'!F838</f>
        <v/>
      </c>
      <c r="H838" s="1205">
        <f>'House Count'!H838</f>
        <v/>
      </c>
    </row>
    <row r="839">
      <c r="A839" s="1204">
        <f>'House Count'!A839</f>
        <v/>
      </c>
      <c r="B839" s="1205">
        <f>'House Count'!E839</f>
        <v/>
      </c>
      <c r="C839" s="1205">
        <f>'House Count'!B839</f>
        <v/>
      </c>
      <c r="D839" s="1205">
        <f>'House Count'!C839</f>
        <v/>
      </c>
      <c r="E839" s="1205">
        <f>'House Count'!D839</f>
        <v/>
      </c>
      <c r="F839" s="1205">
        <f>IF(G839="RES-SFU","RESIDENTIAL",IF(G839="RES-HOA","RESIDENTIAL",IF(G839="RES-MDU","RESIDENTIAL",IF(G839="COMM-SU","BUSINESS",IF(G839="COM-MTU","BUSINESS",IF(G839="ENT","BUSINESS",""))))))</f>
        <v/>
      </c>
      <c r="G839" s="1205">
        <f>'House Count'!F839</f>
        <v/>
      </c>
      <c r="H839" s="1205">
        <f>'House Count'!H839</f>
        <v/>
      </c>
    </row>
    <row r="840">
      <c r="A840" s="1204">
        <f>'House Count'!A840</f>
        <v/>
      </c>
      <c r="B840" s="1205">
        <f>'House Count'!E840</f>
        <v/>
      </c>
      <c r="C840" s="1205">
        <f>'House Count'!B840</f>
        <v/>
      </c>
      <c r="D840" s="1205">
        <f>'House Count'!C840</f>
        <v/>
      </c>
      <c r="E840" s="1205">
        <f>'House Count'!D840</f>
        <v/>
      </c>
      <c r="F840" s="1205">
        <f>IF(G840="RES-SFU","RESIDENTIAL",IF(G840="RES-HOA","RESIDENTIAL",IF(G840="RES-MDU","RESIDENTIAL",IF(G840="COMM-SU","BUSINESS",IF(G840="COM-MTU","BUSINESS",IF(G840="ENT","BUSINESS",""))))))</f>
        <v/>
      </c>
      <c r="G840" s="1205">
        <f>'House Count'!F840</f>
        <v/>
      </c>
      <c r="H840" s="1205">
        <f>'House Count'!H840</f>
        <v/>
      </c>
    </row>
    <row r="841">
      <c r="A841" s="1204">
        <f>'House Count'!A841</f>
        <v/>
      </c>
      <c r="B841" s="1205">
        <f>'House Count'!E841</f>
        <v/>
      </c>
      <c r="C841" s="1205">
        <f>'House Count'!B841</f>
        <v/>
      </c>
      <c r="D841" s="1205">
        <f>'House Count'!C841</f>
        <v/>
      </c>
      <c r="E841" s="1205">
        <f>'House Count'!D841</f>
        <v/>
      </c>
      <c r="F841" s="1205">
        <f>IF(G841="RES-SFU","RESIDENTIAL",IF(G841="RES-HOA","RESIDENTIAL",IF(G841="RES-MDU","RESIDENTIAL",IF(G841="COMM-SU","BUSINESS",IF(G841="COM-MTU","BUSINESS",IF(G841="ENT","BUSINESS",""))))))</f>
        <v/>
      </c>
      <c r="G841" s="1205">
        <f>'House Count'!F841</f>
        <v/>
      </c>
      <c r="H841" s="1205">
        <f>'House Count'!H841</f>
        <v/>
      </c>
    </row>
    <row r="842">
      <c r="A842" s="1204">
        <f>'House Count'!A842</f>
        <v/>
      </c>
      <c r="B842" s="1205">
        <f>'House Count'!E842</f>
        <v/>
      </c>
      <c r="C842" s="1205">
        <f>'House Count'!B842</f>
        <v/>
      </c>
      <c r="D842" s="1205">
        <f>'House Count'!C842</f>
        <v/>
      </c>
      <c r="E842" s="1205">
        <f>'House Count'!D842</f>
        <v/>
      </c>
      <c r="F842" s="1205">
        <f>IF(G842="RES-SFU","RESIDENTIAL",IF(G842="RES-HOA","RESIDENTIAL",IF(G842="RES-MDU","RESIDENTIAL",IF(G842="COMM-SU","BUSINESS",IF(G842="COM-MTU","BUSINESS",IF(G842="ENT","BUSINESS",""))))))</f>
        <v/>
      </c>
      <c r="G842" s="1205">
        <f>'House Count'!F842</f>
        <v/>
      </c>
      <c r="H842" s="1205">
        <f>'House Count'!H842</f>
        <v/>
      </c>
    </row>
    <row r="843">
      <c r="A843" s="1204">
        <f>'House Count'!A843</f>
        <v/>
      </c>
      <c r="B843" s="1205">
        <f>'House Count'!E843</f>
        <v/>
      </c>
      <c r="C843" s="1205">
        <f>'House Count'!B843</f>
        <v/>
      </c>
      <c r="D843" s="1205">
        <f>'House Count'!C843</f>
        <v/>
      </c>
      <c r="E843" s="1205">
        <f>'House Count'!D843</f>
        <v/>
      </c>
      <c r="F843" s="1205">
        <f>IF(G843="RES-SFU","RESIDENTIAL",IF(G843="RES-HOA","RESIDENTIAL",IF(G843="RES-MDU","RESIDENTIAL",IF(G843="COMM-SU","BUSINESS",IF(G843="COM-MTU","BUSINESS",IF(G843="ENT","BUSINESS",""))))))</f>
        <v/>
      </c>
      <c r="G843" s="1205">
        <f>'House Count'!F843</f>
        <v/>
      </c>
      <c r="H843" s="1205">
        <f>'House Count'!H843</f>
        <v/>
      </c>
    </row>
    <row r="844">
      <c r="A844" s="1204">
        <f>'House Count'!A844</f>
        <v/>
      </c>
      <c r="B844" s="1205">
        <f>'House Count'!E844</f>
        <v/>
      </c>
      <c r="C844" s="1205">
        <f>'House Count'!B844</f>
        <v/>
      </c>
      <c r="D844" s="1205">
        <f>'House Count'!C844</f>
        <v/>
      </c>
      <c r="E844" s="1205">
        <f>'House Count'!D844</f>
        <v/>
      </c>
      <c r="F844" s="1205">
        <f>IF(G844="RES-SFU","RESIDENTIAL",IF(G844="RES-HOA","RESIDENTIAL",IF(G844="RES-MDU","RESIDENTIAL",IF(G844="COMM-SU","BUSINESS",IF(G844="COM-MTU","BUSINESS",IF(G844="ENT","BUSINESS",""))))))</f>
        <v/>
      </c>
      <c r="G844" s="1205">
        <f>'House Count'!F844</f>
        <v/>
      </c>
      <c r="H844" s="1205">
        <f>'House Count'!H844</f>
        <v/>
      </c>
    </row>
    <row r="845">
      <c r="A845" s="1204">
        <f>'House Count'!A845</f>
        <v/>
      </c>
      <c r="B845" s="1205">
        <f>'House Count'!E845</f>
        <v/>
      </c>
      <c r="C845" s="1205">
        <f>'House Count'!B845</f>
        <v/>
      </c>
      <c r="D845" s="1205">
        <f>'House Count'!C845</f>
        <v/>
      </c>
      <c r="E845" s="1205">
        <f>'House Count'!D845</f>
        <v/>
      </c>
      <c r="F845" s="1205">
        <f>IF(G845="RES-SFU","RESIDENTIAL",IF(G845="RES-HOA","RESIDENTIAL",IF(G845="RES-MDU","RESIDENTIAL",IF(G845="COMM-SU","BUSINESS",IF(G845="COM-MTU","BUSINESS",IF(G845="ENT","BUSINESS",""))))))</f>
        <v/>
      </c>
      <c r="G845" s="1205">
        <f>'House Count'!F845</f>
        <v/>
      </c>
      <c r="H845" s="1205">
        <f>'House Count'!H845</f>
        <v/>
      </c>
    </row>
    <row r="846">
      <c r="A846" s="1204">
        <f>'House Count'!A846</f>
        <v/>
      </c>
      <c r="B846" s="1205">
        <f>'House Count'!E846</f>
        <v/>
      </c>
      <c r="C846" s="1205">
        <f>'House Count'!B846</f>
        <v/>
      </c>
      <c r="D846" s="1205">
        <f>'House Count'!C846</f>
        <v/>
      </c>
      <c r="E846" s="1205">
        <f>'House Count'!D846</f>
        <v/>
      </c>
      <c r="F846" s="1205">
        <f>IF(G846="RES-SFU","RESIDENTIAL",IF(G846="RES-HOA","RESIDENTIAL",IF(G846="RES-MDU","RESIDENTIAL",IF(G846="COMM-SU","BUSINESS",IF(G846="COM-MTU","BUSINESS",IF(G846="ENT","BUSINESS",""))))))</f>
        <v/>
      </c>
      <c r="G846" s="1205">
        <f>'House Count'!F846</f>
        <v/>
      </c>
      <c r="H846" s="1205">
        <f>'House Count'!H846</f>
        <v/>
      </c>
    </row>
    <row r="847">
      <c r="A847" s="1204">
        <f>'House Count'!A847</f>
        <v/>
      </c>
      <c r="B847" s="1205">
        <f>'House Count'!E847</f>
        <v/>
      </c>
      <c r="C847" s="1205">
        <f>'House Count'!B847</f>
        <v/>
      </c>
      <c r="D847" s="1205">
        <f>'House Count'!C847</f>
        <v/>
      </c>
      <c r="E847" s="1205">
        <f>'House Count'!D847</f>
        <v/>
      </c>
      <c r="F847" s="1205">
        <f>IF(G847="RES-SFU","RESIDENTIAL",IF(G847="RES-HOA","RESIDENTIAL",IF(G847="RES-MDU","RESIDENTIAL",IF(G847="COMM-SU","BUSINESS",IF(G847="COM-MTU","BUSINESS",IF(G847="ENT","BUSINESS",""))))))</f>
        <v/>
      </c>
      <c r="G847" s="1205">
        <f>'House Count'!F847</f>
        <v/>
      </c>
      <c r="H847" s="1205">
        <f>'House Count'!H847</f>
        <v/>
      </c>
    </row>
    <row r="848">
      <c r="A848" s="1204">
        <f>'House Count'!A848</f>
        <v/>
      </c>
      <c r="B848" s="1205">
        <f>'House Count'!E848</f>
        <v/>
      </c>
      <c r="C848" s="1205">
        <f>'House Count'!B848</f>
        <v/>
      </c>
      <c r="D848" s="1205">
        <f>'House Count'!C848</f>
        <v/>
      </c>
      <c r="E848" s="1205">
        <f>'House Count'!D848</f>
        <v/>
      </c>
      <c r="F848" s="1205">
        <f>IF(G848="RES-SFU","RESIDENTIAL",IF(G848="RES-HOA","RESIDENTIAL",IF(G848="RES-MDU","RESIDENTIAL",IF(G848="COMM-SU","BUSINESS",IF(G848="COM-MTU","BUSINESS",IF(G848="ENT","BUSINESS",""))))))</f>
        <v/>
      </c>
      <c r="G848" s="1205">
        <f>'House Count'!F848</f>
        <v/>
      </c>
      <c r="H848" s="1205">
        <f>'House Count'!H848</f>
        <v/>
      </c>
    </row>
    <row r="849">
      <c r="A849" s="1204">
        <f>'House Count'!A849</f>
        <v/>
      </c>
      <c r="B849" s="1205">
        <f>'House Count'!E849</f>
        <v/>
      </c>
      <c r="C849" s="1205">
        <f>'House Count'!B849</f>
        <v/>
      </c>
      <c r="D849" s="1205">
        <f>'House Count'!C849</f>
        <v/>
      </c>
      <c r="E849" s="1205">
        <f>'House Count'!D849</f>
        <v/>
      </c>
      <c r="F849" s="1205">
        <f>IF(G849="RES-SFU","RESIDENTIAL",IF(G849="RES-HOA","RESIDENTIAL",IF(G849="RES-MDU","RESIDENTIAL",IF(G849="COMM-SU","BUSINESS",IF(G849="COM-MTU","BUSINESS",IF(G849="ENT","BUSINESS",""))))))</f>
        <v/>
      </c>
      <c r="G849" s="1205">
        <f>'House Count'!F849</f>
        <v/>
      </c>
      <c r="H849" s="1205">
        <f>'House Count'!H849</f>
        <v/>
      </c>
    </row>
    <row r="850">
      <c r="A850" s="1204">
        <f>'House Count'!A850</f>
        <v/>
      </c>
      <c r="B850" s="1205">
        <f>'House Count'!E850</f>
        <v/>
      </c>
      <c r="C850" s="1205">
        <f>'House Count'!B850</f>
        <v/>
      </c>
      <c r="D850" s="1205">
        <f>'House Count'!C850</f>
        <v/>
      </c>
      <c r="E850" s="1205">
        <f>'House Count'!D850</f>
        <v/>
      </c>
      <c r="F850" s="1205">
        <f>IF(G850="RES-SFU","RESIDENTIAL",IF(G850="RES-HOA","RESIDENTIAL",IF(G850="RES-MDU","RESIDENTIAL",IF(G850="COMM-SU","BUSINESS",IF(G850="COM-MTU","BUSINESS",IF(G850="ENT","BUSINESS",""))))))</f>
        <v/>
      </c>
      <c r="G850" s="1205">
        <f>'House Count'!F850</f>
        <v/>
      </c>
      <c r="H850" s="1205">
        <f>'House Count'!H850</f>
        <v/>
      </c>
    </row>
    <row r="851">
      <c r="A851" s="1204">
        <f>'House Count'!A851</f>
        <v/>
      </c>
      <c r="B851" s="1205">
        <f>'House Count'!E851</f>
        <v/>
      </c>
      <c r="C851" s="1205">
        <f>'House Count'!B851</f>
        <v/>
      </c>
      <c r="D851" s="1205">
        <f>'House Count'!C851</f>
        <v/>
      </c>
      <c r="E851" s="1205">
        <f>'House Count'!D851</f>
        <v/>
      </c>
      <c r="F851" s="1205">
        <f>IF(G851="RES-SFU","RESIDENTIAL",IF(G851="RES-HOA","RESIDENTIAL",IF(G851="RES-MDU","RESIDENTIAL",IF(G851="COMM-SU","BUSINESS",IF(G851="COM-MTU","BUSINESS",IF(G851="ENT","BUSINESS",""))))))</f>
        <v/>
      </c>
      <c r="G851" s="1205">
        <f>'House Count'!F851</f>
        <v/>
      </c>
      <c r="H851" s="1205">
        <f>'House Count'!H851</f>
        <v/>
      </c>
    </row>
    <row r="852">
      <c r="A852" s="1204">
        <f>'House Count'!A852</f>
        <v/>
      </c>
      <c r="B852" s="1205">
        <f>'House Count'!E852</f>
        <v/>
      </c>
      <c r="C852" s="1205">
        <f>'House Count'!B852</f>
        <v/>
      </c>
      <c r="D852" s="1205">
        <f>'House Count'!C852</f>
        <v/>
      </c>
      <c r="E852" s="1205">
        <f>'House Count'!D852</f>
        <v/>
      </c>
      <c r="F852" s="1205">
        <f>IF(G852="RES-SFU","RESIDENTIAL",IF(G852="RES-HOA","RESIDENTIAL",IF(G852="RES-MDU","RESIDENTIAL",IF(G852="COMM-SU","BUSINESS",IF(G852="COM-MTU","BUSINESS",IF(G852="ENT","BUSINESS",""))))))</f>
        <v/>
      </c>
      <c r="G852" s="1205">
        <f>'House Count'!F852</f>
        <v/>
      </c>
      <c r="H852" s="1205">
        <f>'House Count'!H852</f>
        <v/>
      </c>
    </row>
    <row r="853">
      <c r="A853" s="1204">
        <f>'House Count'!A853</f>
        <v/>
      </c>
      <c r="B853" s="1205">
        <f>'House Count'!E853</f>
        <v/>
      </c>
      <c r="C853" s="1205">
        <f>'House Count'!B853</f>
        <v/>
      </c>
      <c r="D853" s="1205">
        <f>'House Count'!C853</f>
        <v/>
      </c>
      <c r="E853" s="1205">
        <f>'House Count'!D853</f>
        <v/>
      </c>
      <c r="F853" s="1205">
        <f>IF(G853="RES-SFU","RESIDENTIAL",IF(G853="RES-HOA","RESIDENTIAL",IF(G853="RES-MDU","RESIDENTIAL",IF(G853="COMM-SU","BUSINESS",IF(G853="COM-MTU","BUSINESS",IF(G853="ENT","BUSINESS",""))))))</f>
        <v/>
      </c>
      <c r="G853" s="1205">
        <f>'House Count'!F853</f>
        <v/>
      </c>
      <c r="H853" s="1205">
        <f>'House Count'!H853</f>
        <v/>
      </c>
    </row>
    <row r="854">
      <c r="A854" s="1204">
        <f>'House Count'!A854</f>
        <v/>
      </c>
      <c r="B854" s="1205">
        <f>'House Count'!E854</f>
        <v/>
      </c>
      <c r="C854" s="1205">
        <f>'House Count'!B854</f>
        <v/>
      </c>
      <c r="D854" s="1205">
        <f>'House Count'!C854</f>
        <v/>
      </c>
      <c r="E854" s="1205">
        <f>'House Count'!D854</f>
        <v/>
      </c>
      <c r="F854" s="1205">
        <f>IF(G854="RES-SFU","RESIDENTIAL",IF(G854="RES-HOA","RESIDENTIAL",IF(G854="RES-MDU","RESIDENTIAL",IF(G854="COMM-SU","BUSINESS",IF(G854="COM-MTU","BUSINESS",IF(G854="ENT","BUSINESS",""))))))</f>
        <v/>
      </c>
      <c r="G854" s="1205">
        <f>'House Count'!F854</f>
        <v/>
      </c>
      <c r="H854" s="1205">
        <f>'House Count'!H854</f>
        <v/>
      </c>
    </row>
    <row r="855">
      <c r="A855" s="1204">
        <f>'House Count'!A855</f>
        <v/>
      </c>
      <c r="B855" s="1205">
        <f>'House Count'!E855</f>
        <v/>
      </c>
      <c r="C855" s="1205">
        <f>'House Count'!B855</f>
        <v/>
      </c>
      <c r="D855" s="1205">
        <f>'House Count'!C855</f>
        <v/>
      </c>
      <c r="E855" s="1205">
        <f>'House Count'!D855</f>
        <v/>
      </c>
      <c r="F855" s="1205">
        <f>IF(G855="RES-SFU","RESIDENTIAL",IF(G855="RES-HOA","RESIDENTIAL",IF(G855="RES-MDU","RESIDENTIAL",IF(G855="COMM-SU","BUSINESS",IF(G855="COM-MTU","BUSINESS",IF(G855="ENT","BUSINESS",""))))))</f>
        <v/>
      </c>
      <c r="G855" s="1205">
        <f>'House Count'!F855</f>
        <v/>
      </c>
      <c r="H855" s="1205">
        <f>'House Count'!H855</f>
        <v/>
      </c>
    </row>
    <row r="856">
      <c r="A856" s="1204">
        <f>'House Count'!A856</f>
        <v/>
      </c>
      <c r="B856" s="1205">
        <f>'House Count'!E856</f>
        <v/>
      </c>
      <c r="C856" s="1205">
        <f>'House Count'!B856</f>
        <v/>
      </c>
      <c r="D856" s="1205">
        <f>'House Count'!C856</f>
        <v/>
      </c>
      <c r="E856" s="1205">
        <f>'House Count'!D856</f>
        <v/>
      </c>
      <c r="F856" s="1205">
        <f>IF(G856="RES-SFU","RESIDENTIAL",IF(G856="RES-HOA","RESIDENTIAL",IF(G856="RES-MDU","RESIDENTIAL",IF(G856="COMM-SU","BUSINESS",IF(G856="COM-MTU","BUSINESS",IF(G856="ENT","BUSINESS",""))))))</f>
        <v/>
      </c>
      <c r="G856" s="1205">
        <f>'House Count'!F856</f>
        <v/>
      </c>
      <c r="H856" s="1205">
        <f>'House Count'!H856</f>
        <v/>
      </c>
    </row>
    <row r="857">
      <c r="A857" s="1204">
        <f>'House Count'!A857</f>
        <v/>
      </c>
      <c r="B857" s="1205">
        <f>'House Count'!E857</f>
        <v/>
      </c>
      <c r="C857" s="1205">
        <f>'House Count'!B857</f>
        <v/>
      </c>
      <c r="D857" s="1205">
        <f>'House Count'!C857</f>
        <v/>
      </c>
      <c r="E857" s="1205">
        <f>'House Count'!D857</f>
        <v/>
      </c>
      <c r="F857" s="1205">
        <f>IF(G857="RES-SFU","RESIDENTIAL",IF(G857="RES-HOA","RESIDENTIAL",IF(G857="RES-MDU","RESIDENTIAL",IF(G857="COMM-SU","BUSINESS",IF(G857="COM-MTU","BUSINESS",IF(G857="ENT","BUSINESS",""))))))</f>
        <v/>
      </c>
      <c r="G857" s="1205">
        <f>'House Count'!F857</f>
        <v/>
      </c>
      <c r="H857" s="1205">
        <f>'House Count'!H857</f>
        <v/>
      </c>
    </row>
    <row r="858">
      <c r="A858" s="1204">
        <f>'House Count'!A858</f>
        <v/>
      </c>
      <c r="B858" s="1205">
        <f>'House Count'!E858</f>
        <v/>
      </c>
      <c r="C858" s="1205">
        <f>'House Count'!B858</f>
        <v/>
      </c>
      <c r="D858" s="1205">
        <f>'House Count'!C858</f>
        <v/>
      </c>
      <c r="E858" s="1205">
        <f>'House Count'!D858</f>
        <v/>
      </c>
      <c r="F858" s="1205">
        <f>IF(G858="RES-SFU","RESIDENTIAL",IF(G858="RES-HOA","RESIDENTIAL",IF(G858="RES-MDU","RESIDENTIAL",IF(G858="COMM-SU","BUSINESS",IF(G858="COM-MTU","BUSINESS",IF(G858="ENT","BUSINESS",""))))))</f>
        <v/>
      </c>
      <c r="G858" s="1205">
        <f>'House Count'!F858</f>
        <v/>
      </c>
      <c r="H858" s="1205">
        <f>'House Count'!H858</f>
        <v/>
      </c>
    </row>
    <row r="859">
      <c r="A859" s="1204">
        <f>'House Count'!A859</f>
        <v/>
      </c>
      <c r="B859" s="1205">
        <f>'House Count'!E859</f>
        <v/>
      </c>
      <c r="C859" s="1205">
        <f>'House Count'!B859</f>
        <v/>
      </c>
      <c r="D859" s="1205">
        <f>'House Count'!C859</f>
        <v/>
      </c>
      <c r="E859" s="1205">
        <f>'House Count'!D859</f>
        <v/>
      </c>
      <c r="F859" s="1205">
        <f>IF(G859="RES-SFU","RESIDENTIAL",IF(G859="RES-HOA","RESIDENTIAL",IF(G859="RES-MDU","RESIDENTIAL",IF(G859="COMM-SU","BUSINESS",IF(G859="COM-MTU","BUSINESS",IF(G859="ENT","BUSINESS",""))))))</f>
        <v/>
      </c>
      <c r="G859" s="1205">
        <f>'House Count'!F859</f>
        <v/>
      </c>
      <c r="H859" s="1205">
        <f>'House Count'!H859</f>
        <v/>
      </c>
    </row>
    <row r="860">
      <c r="A860" s="1204">
        <f>'House Count'!A860</f>
        <v/>
      </c>
      <c r="B860" s="1205">
        <f>'House Count'!E860</f>
        <v/>
      </c>
      <c r="C860" s="1205">
        <f>'House Count'!B860</f>
        <v/>
      </c>
      <c r="D860" s="1205">
        <f>'House Count'!C860</f>
        <v/>
      </c>
      <c r="E860" s="1205">
        <f>'House Count'!D860</f>
        <v/>
      </c>
      <c r="F860" s="1205">
        <f>IF(G860="RES-SFU","RESIDENTIAL",IF(G860="RES-HOA","RESIDENTIAL",IF(G860="RES-MDU","RESIDENTIAL",IF(G860="COMM-SU","BUSINESS",IF(G860="COM-MTU","BUSINESS",IF(G860="ENT","BUSINESS",""))))))</f>
        <v/>
      </c>
      <c r="G860" s="1205">
        <f>'House Count'!F860</f>
        <v/>
      </c>
      <c r="H860" s="1205">
        <f>'House Count'!H860</f>
        <v/>
      </c>
    </row>
    <row r="861">
      <c r="A861" s="1204">
        <f>'House Count'!A861</f>
        <v/>
      </c>
      <c r="B861" s="1205">
        <f>'House Count'!E861</f>
        <v/>
      </c>
      <c r="C861" s="1205">
        <f>'House Count'!B861</f>
        <v/>
      </c>
      <c r="D861" s="1205">
        <f>'House Count'!C861</f>
        <v/>
      </c>
      <c r="E861" s="1205">
        <f>'House Count'!D861</f>
        <v/>
      </c>
      <c r="F861" s="1205">
        <f>IF(G861="RES-SFU","RESIDENTIAL",IF(G861="RES-HOA","RESIDENTIAL",IF(G861="RES-MDU","RESIDENTIAL",IF(G861="COMM-SU","BUSINESS",IF(G861="COM-MTU","BUSINESS",IF(G861="ENT","BUSINESS",""))))))</f>
        <v/>
      </c>
      <c r="G861" s="1205">
        <f>'House Count'!F861</f>
        <v/>
      </c>
      <c r="H861" s="1205">
        <f>'House Count'!H861</f>
        <v/>
      </c>
    </row>
    <row r="862">
      <c r="A862" s="1204">
        <f>'House Count'!A862</f>
        <v/>
      </c>
      <c r="B862" s="1205">
        <f>'House Count'!E862</f>
        <v/>
      </c>
      <c r="C862" s="1205">
        <f>'House Count'!B862</f>
        <v/>
      </c>
      <c r="D862" s="1205">
        <f>'House Count'!C862</f>
        <v/>
      </c>
      <c r="E862" s="1205">
        <f>'House Count'!D862</f>
        <v/>
      </c>
      <c r="F862" s="1205">
        <f>IF(G862="RES-SFU","RESIDENTIAL",IF(G862="RES-HOA","RESIDENTIAL",IF(G862="RES-MDU","RESIDENTIAL",IF(G862="COMM-SU","BUSINESS",IF(G862="COM-MTU","BUSINESS",IF(G862="ENT","BUSINESS",""))))))</f>
        <v/>
      </c>
      <c r="G862" s="1205">
        <f>'House Count'!F862</f>
        <v/>
      </c>
      <c r="H862" s="1205">
        <f>'House Count'!H862</f>
        <v/>
      </c>
    </row>
    <row r="863">
      <c r="A863" s="1204">
        <f>'House Count'!A863</f>
        <v/>
      </c>
      <c r="B863" s="1205">
        <f>'House Count'!E863</f>
        <v/>
      </c>
      <c r="C863" s="1205">
        <f>'House Count'!B863</f>
        <v/>
      </c>
      <c r="D863" s="1205">
        <f>'House Count'!C863</f>
        <v/>
      </c>
      <c r="E863" s="1205">
        <f>'House Count'!D863</f>
        <v/>
      </c>
      <c r="F863" s="1205">
        <f>IF(G863="RES-SFU","RESIDENTIAL",IF(G863="RES-HOA","RESIDENTIAL",IF(G863="RES-MDU","RESIDENTIAL",IF(G863="COMM-SU","BUSINESS",IF(G863="COM-MTU","BUSINESS",IF(G863="ENT","BUSINESS",""))))))</f>
        <v/>
      </c>
      <c r="G863" s="1205">
        <f>'House Count'!F863</f>
        <v/>
      </c>
      <c r="H863" s="1205">
        <f>'House Count'!H863</f>
        <v/>
      </c>
    </row>
    <row r="864">
      <c r="A864" s="1204">
        <f>'House Count'!A864</f>
        <v/>
      </c>
      <c r="B864" s="1205">
        <f>'House Count'!E864</f>
        <v/>
      </c>
      <c r="C864" s="1205">
        <f>'House Count'!B864</f>
        <v/>
      </c>
      <c r="D864" s="1205">
        <f>'House Count'!C864</f>
        <v/>
      </c>
      <c r="E864" s="1205">
        <f>'House Count'!D864</f>
        <v/>
      </c>
      <c r="F864" s="1205">
        <f>IF(G864="RES-SFU","RESIDENTIAL",IF(G864="RES-HOA","RESIDENTIAL",IF(G864="RES-MDU","RESIDENTIAL",IF(G864="COMM-SU","BUSINESS",IF(G864="COM-MTU","BUSINESS",IF(G864="ENT","BUSINESS",""))))))</f>
        <v/>
      </c>
      <c r="G864" s="1205">
        <f>'House Count'!F864</f>
        <v/>
      </c>
      <c r="H864" s="1205">
        <f>'House Count'!H864</f>
        <v/>
      </c>
    </row>
    <row r="865">
      <c r="A865" s="1204">
        <f>'House Count'!A865</f>
        <v/>
      </c>
      <c r="B865" s="1205">
        <f>'House Count'!E865</f>
        <v/>
      </c>
      <c r="C865" s="1205">
        <f>'House Count'!B865</f>
        <v/>
      </c>
      <c r="D865" s="1205">
        <f>'House Count'!C865</f>
        <v/>
      </c>
      <c r="E865" s="1205">
        <f>'House Count'!D865</f>
        <v/>
      </c>
      <c r="F865" s="1205">
        <f>IF(G865="RES-SFU","RESIDENTIAL",IF(G865="RES-HOA","RESIDENTIAL",IF(G865="RES-MDU","RESIDENTIAL",IF(G865="COMM-SU","BUSINESS",IF(G865="COM-MTU","BUSINESS",IF(G865="ENT","BUSINESS",""))))))</f>
        <v/>
      </c>
      <c r="G865" s="1205">
        <f>'House Count'!F865</f>
        <v/>
      </c>
      <c r="H865" s="1205">
        <f>'House Count'!H865</f>
        <v/>
      </c>
    </row>
    <row r="866">
      <c r="A866" s="1204">
        <f>'House Count'!A866</f>
        <v/>
      </c>
      <c r="B866" s="1205">
        <f>'House Count'!E866</f>
        <v/>
      </c>
      <c r="C866" s="1205">
        <f>'House Count'!B866</f>
        <v/>
      </c>
      <c r="D866" s="1205">
        <f>'House Count'!C866</f>
        <v/>
      </c>
      <c r="E866" s="1205">
        <f>'House Count'!D866</f>
        <v/>
      </c>
      <c r="F866" s="1205">
        <f>IF(G866="RES-SFU","RESIDENTIAL",IF(G866="RES-HOA","RESIDENTIAL",IF(G866="RES-MDU","RESIDENTIAL",IF(G866="COMM-SU","BUSINESS",IF(G866="COM-MTU","BUSINESS",IF(G866="ENT","BUSINESS",""))))))</f>
        <v/>
      </c>
      <c r="G866" s="1205">
        <f>'House Count'!F866</f>
        <v/>
      </c>
      <c r="H866" s="1205">
        <f>'House Count'!H866</f>
        <v/>
      </c>
    </row>
    <row r="867">
      <c r="A867" s="1204">
        <f>'House Count'!A867</f>
        <v/>
      </c>
      <c r="B867" s="1205">
        <f>'House Count'!E867</f>
        <v/>
      </c>
      <c r="C867" s="1205">
        <f>'House Count'!B867</f>
        <v/>
      </c>
      <c r="D867" s="1205">
        <f>'House Count'!C867</f>
        <v/>
      </c>
      <c r="E867" s="1205">
        <f>'House Count'!D867</f>
        <v/>
      </c>
      <c r="F867" s="1205">
        <f>IF(G867="RES-SFU","RESIDENTIAL",IF(G867="RES-HOA","RESIDENTIAL",IF(G867="RES-MDU","RESIDENTIAL",IF(G867="COMM-SU","BUSINESS",IF(G867="COM-MTU","BUSINESS",IF(G867="ENT","BUSINESS",""))))))</f>
        <v/>
      </c>
      <c r="G867" s="1205">
        <f>'House Count'!F867</f>
        <v/>
      </c>
      <c r="H867" s="1205">
        <f>'House Count'!H867</f>
        <v/>
      </c>
    </row>
    <row r="868">
      <c r="A868" s="1204">
        <f>'House Count'!A868</f>
        <v/>
      </c>
      <c r="B868" s="1205">
        <f>'House Count'!E868</f>
        <v/>
      </c>
      <c r="C868" s="1205">
        <f>'House Count'!B868</f>
        <v/>
      </c>
      <c r="D868" s="1205">
        <f>'House Count'!C868</f>
        <v/>
      </c>
      <c r="E868" s="1205">
        <f>'House Count'!D868</f>
        <v/>
      </c>
      <c r="F868" s="1205">
        <f>IF(G868="RES-SFU","RESIDENTIAL",IF(G868="RES-HOA","RESIDENTIAL",IF(G868="RES-MDU","RESIDENTIAL",IF(G868="COMM-SU","BUSINESS",IF(G868="COM-MTU","BUSINESS",IF(G868="ENT","BUSINESS",""))))))</f>
        <v/>
      </c>
      <c r="G868" s="1205">
        <f>'House Count'!F868</f>
        <v/>
      </c>
      <c r="H868" s="1205">
        <f>'House Count'!H868</f>
        <v/>
      </c>
    </row>
    <row r="869">
      <c r="A869" s="1204">
        <f>'House Count'!A869</f>
        <v/>
      </c>
      <c r="B869" s="1205">
        <f>'House Count'!E869</f>
        <v/>
      </c>
      <c r="C869" s="1205">
        <f>'House Count'!B869</f>
        <v/>
      </c>
      <c r="D869" s="1205">
        <f>'House Count'!C869</f>
        <v/>
      </c>
      <c r="E869" s="1205">
        <f>'House Count'!D869</f>
        <v/>
      </c>
      <c r="F869" s="1205">
        <f>IF(G869="RES-SFU","RESIDENTIAL",IF(G869="RES-HOA","RESIDENTIAL",IF(G869="RES-MDU","RESIDENTIAL",IF(G869="COMM-SU","BUSINESS",IF(G869="COM-MTU","BUSINESS",IF(G869="ENT","BUSINESS",""))))))</f>
        <v/>
      </c>
      <c r="G869" s="1205">
        <f>'House Count'!F869</f>
        <v/>
      </c>
      <c r="H869" s="1205">
        <f>'House Count'!H869</f>
        <v/>
      </c>
    </row>
    <row r="870">
      <c r="A870" s="1204">
        <f>'House Count'!A870</f>
        <v/>
      </c>
      <c r="B870" s="1205">
        <f>'House Count'!E870</f>
        <v/>
      </c>
      <c r="C870" s="1205">
        <f>'House Count'!B870</f>
        <v/>
      </c>
      <c r="D870" s="1205">
        <f>'House Count'!C870</f>
        <v/>
      </c>
      <c r="E870" s="1205">
        <f>'House Count'!D870</f>
        <v/>
      </c>
      <c r="F870" s="1205">
        <f>IF(G870="RES-SFU","RESIDENTIAL",IF(G870="RES-HOA","RESIDENTIAL",IF(G870="RES-MDU","RESIDENTIAL",IF(G870="COMM-SU","BUSINESS",IF(G870="COM-MTU","BUSINESS",IF(G870="ENT","BUSINESS",""))))))</f>
        <v/>
      </c>
      <c r="G870" s="1205">
        <f>'House Count'!F870</f>
        <v/>
      </c>
      <c r="H870" s="1205">
        <f>'House Count'!H870</f>
        <v/>
      </c>
    </row>
    <row r="871">
      <c r="A871" s="1204">
        <f>'House Count'!A871</f>
        <v/>
      </c>
      <c r="B871" s="1205">
        <f>'House Count'!E871</f>
        <v/>
      </c>
      <c r="C871" s="1205">
        <f>'House Count'!B871</f>
        <v/>
      </c>
      <c r="D871" s="1205">
        <f>'House Count'!C871</f>
        <v/>
      </c>
      <c r="E871" s="1205">
        <f>'House Count'!D871</f>
        <v/>
      </c>
      <c r="F871" s="1205">
        <f>IF(G871="RES-SFU","RESIDENTIAL",IF(G871="RES-HOA","RESIDENTIAL",IF(G871="RES-MDU","RESIDENTIAL",IF(G871="COMM-SU","BUSINESS",IF(G871="COM-MTU","BUSINESS",IF(G871="ENT","BUSINESS",""))))))</f>
        <v/>
      </c>
      <c r="G871" s="1205">
        <f>'House Count'!F871</f>
        <v/>
      </c>
      <c r="H871" s="1205">
        <f>'House Count'!H871</f>
        <v/>
      </c>
    </row>
    <row r="872">
      <c r="A872" s="1204">
        <f>'House Count'!A872</f>
        <v/>
      </c>
      <c r="B872" s="1205">
        <f>'House Count'!E872</f>
        <v/>
      </c>
      <c r="C872" s="1205">
        <f>'House Count'!B872</f>
        <v/>
      </c>
      <c r="D872" s="1205">
        <f>'House Count'!C872</f>
        <v/>
      </c>
      <c r="E872" s="1205">
        <f>'House Count'!D872</f>
        <v/>
      </c>
      <c r="F872" s="1205">
        <f>IF(G872="RES-SFU","RESIDENTIAL",IF(G872="RES-HOA","RESIDENTIAL",IF(G872="RES-MDU","RESIDENTIAL",IF(G872="COMM-SU","BUSINESS",IF(G872="COM-MTU","BUSINESS",IF(G872="ENT","BUSINESS",""))))))</f>
        <v/>
      </c>
      <c r="G872" s="1205">
        <f>'House Count'!F872</f>
        <v/>
      </c>
      <c r="H872" s="1205">
        <f>'House Count'!H872</f>
        <v/>
      </c>
    </row>
    <row r="873">
      <c r="A873" s="1204">
        <f>'House Count'!A873</f>
        <v/>
      </c>
      <c r="B873" s="1205">
        <f>'House Count'!E873</f>
        <v/>
      </c>
      <c r="C873" s="1205">
        <f>'House Count'!B873</f>
        <v/>
      </c>
      <c r="D873" s="1205">
        <f>'House Count'!C873</f>
        <v/>
      </c>
      <c r="E873" s="1205">
        <f>'House Count'!D873</f>
        <v/>
      </c>
      <c r="F873" s="1205">
        <f>IF(G873="RES-SFU","RESIDENTIAL",IF(G873="RES-HOA","RESIDENTIAL",IF(G873="RES-MDU","RESIDENTIAL",IF(G873="COMM-SU","BUSINESS",IF(G873="COM-MTU","BUSINESS",IF(G873="ENT","BUSINESS",""))))))</f>
        <v/>
      </c>
      <c r="G873" s="1205">
        <f>'House Count'!F873</f>
        <v/>
      </c>
      <c r="H873" s="1205">
        <f>'House Count'!H873</f>
        <v/>
      </c>
    </row>
    <row r="874">
      <c r="A874" s="1204">
        <f>'House Count'!A874</f>
        <v/>
      </c>
      <c r="B874" s="1205">
        <f>'House Count'!E874</f>
        <v/>
      </c>
      <c r="C874" s="1205">
        <f>'House Count'!B874</f>
        <v/>
      </c>
      <c r="D874" s="1205">
        <f>'House Count'!C874</f>
        <v/>
      </c>
      <c r="E874" s="1205">
        <f>'House Count'!D874</f>
        <v/>
      </c>
      <c r="F874" s="1205">
        <f>IF(G874="RES-SFU","RESIDENTIAL",IF(G874="RES-HOA","RESIDENTIAL",IF(G874="RES-MDU","RESIDENTIAL",IF(G874="COMM-SU","BUSINESS",IF(G874="COM-MTU","BUSINESS",IF(G874="ENT","BUSINESS",""))))))</f>
        <v/>
      </c>
      <c r="G874" s="1205">
        <f>'House Count'!F874</f>
        <v/>
      </c>
      <c r="H874" s="1205">
        <f>'House Count'!H874</f>
        <v/>
      </c>
    </row>
    <row r="875">
      <c r="A875" s="1204">
        <f>'House Count'!A875</f>
        <v/>
      </c>
      <c r="B875" s="1205">
        <f>'House Count'!E875</f>
        <v/>
      </c>
      <c r="C875" s="1205">
        <f>'House Count'!B875</f>
        <v/>
      </c>
      <c r="D875" s="1205">
        <f>'House Count'!C875</f>
        <v/>
      </c>
      <c r="E875" s="1205">
        <f>'House Count'!D875</f>
        <v/>
      </c>
      <c r="F875" s="1205">
        <f>IF(G875="RES-SFU","RESIDENTIAL",IF(G875="RES-HOA","RESIDENTIAL",IF(G875="RES-MDU","RESIDENTIAL",IF(G875="COMM-SU","BUSINESS",IF(G875="COM-MTU","BUSINESS",IF(G875="ENT","BUSINESS",""))))))</f>
        <v/>
      </c>
      <c r="G875" s="1205">
        <f>'House Count'!F875</f>
        <v/>
      </c>
      <c r="H875" s="1205">
        <f>'House Count'!H875</f>
        <v/>
      </c>
    </row>
    <row r="876">
      <c r="A876" s="1204">
        <f>'House Count'!A876</f>
        <v/>
      </c>
      <c r="B876" s="1205">
        <f>'House Count'!E876</f>
        <v/>
      </c>
      <c r="C876" s="1205">
        <f>'House Count'!B876</f>
        <v/>
      </c>
      <c r="D876" s="1205">
        <f>'House Count'!C876</f>
        <v/>
      </c>
      <c r="E876" s="1205">
        <f>'House Count'!D876</f>
        <v/>
      </c>
      <c r="F876" s="1205">
        <f>IF(G876="RES-SFU","RESIDENTIAL",IF(G876="RES-HOA","RESIDENTIAL",IF(G876="RES-MDU","RESIDENTIAL",IF(G876="COMM-SU","BUSINESS",IF(G876="COM-MTU","BUSINESS",IF(G876="ENT","BUSINESS",""))))))</f>
        <v/>
      </c>
      <c r="G876" s="1205">
        <f>'House Count'!F876</f>
        <v/>
      </c>
      <c r="H876" s="1205">
        <f>'House Count'!H876</f>
        <v/>
      </c>
    </row>
    <row r="877">
      <c r="A877" s="1204">
        <f>'House Count'!A877</f>
        <v/>
      </c>
      <c r="B877" s="1205">
        <f>'House Count'!E877</f>
        <v/>
      </c>
      <c r="C877" s="1205">
        <f>'House Count'!B877</f>
        <v/>
      </c>
      <c r="D877" s="1205">
        <f>'House Count'!C877</f>
        <v/>
      </c>
      <c r="E877" s="1205">
        <f>'House Count'!D877</f>
        <v/>
      </c>
      <c r="F877" s="1205">
        <f>IF(G877="RES-SFU","RESIDENTIAL",IF(G877="RES-HOA","RESIDENTIAL",IF(G877="RES-MDU","RESIDENTIAL",IF(G877="COMM-SU","BUSINESS",IF(G877="COM-MTU","BUSINESS",IF(G877="ENT","BUSINESS",""))))))</f>
        <v/>
      </c>
      <c r="G877" s="1205">
        <f>'House Count'!F877</f>
        <v/>
      </c>
      <c r="H877" s="1205">
        <f>'House Count'!H877</f>
        <v/>
      </c>
    </row>
    <row r="878">
      <c r="A878" s="1204">
        <f>'House Count'!A878</f>
        <v/>
      </c>
      <c r="B878" s="1205">
        <f>'House Count'!E878</f>
        <v/>
      </c>
      <c r="C878" s="1205">
        <f>'House Count'!B878</f>
        <v/>
      </c>
      <c r="D878" s="1205">
        <f>'House Count'!C878</f>
        <v/>
      </c>
      <c r="E878" s="1205">
        <f>'House Count'!D878</f>
        <v/>
      </c>
      <c r="F878" s="1205">
        <f>IF(G878="RES-SFU","RESIDENTIAL",IF(G878="RES-HOA","RESIDENTIAL",IF(G878="RES-MDU","RESIDENTIAL",IF(G878="COMM-SU","BUSINESS",IF(G878="COM-MTU","BUSINESS",IF(G878="ENT","BUSINESS",""))))))</f>
        <v/>
      </c>
      <c r="G878" s="1205">
        <f>'House Count'!F878</f>
        <v/>
      </c>
      <c r="H878" s="1205">
        <f>'House Count'!H878</f>
        <v/>
      </c>
    </row>
    <row r="879">
      <c r="A879" s="1204">
        <f>'House Count'!A879</f>
        <v/>
      </c>
      <c r="B879" s="1205">
        <f>'House Count'!E879</f>
        <v/>
      </c>
      <c r="C879" s="1205">
        <f>'House Count'!B879</f>
        <v/>
      </c>
      <c r="D879" s="1205">
        <f>'House Count'!C879</f>
        <v/>
      </c>
      <c r="E879" s="1205">
        <f>'House Count'!D879</f>
        <v/>
      </c>
      <c r="F879" s="1205">
        <f>IF(G879="RES-SFU","RESIDENTIAL",IF(G879="RES-HOA","RESIDENTIAL",IF(G879="RES-MDU","RESIDENTIAL",IF(G879="COMM-SU","BUSINESS",IF(G879="COM-MTU","BUSINESS",IF(G879="ENT","BUSINESS",""))))))</f>
        <v/>
      </c>
      <c r="G879" s="1205">
        <f>'House Count'!F879</f>
        <v/>
      </c>
      <c r="H879" s="1205">
        <f>'House Count'!H879</f>
        <v/>
      </c>
    </row>
    <row r="880">
      <c r="A880" s="1204">
        <f>'House Count'!A880</f>
        <v/>
      </c>
      <c r="B880" s="1205">
        <f>'House Count'!E880</f>
        <v/>
      </c>
      <c r="C880" s="1205">
        <f>'House Count'!B880</f>
        <v/>
      </c>
      <c r="D880" s="1205">
        <f>'House Count'!C880</f>
        <v/>
      </c>
      <c r="E880" s="1205">
        <f>'House Count'!D880</f>
        <v/>
      </c>
      <c r="F880" s="1205">
        <f>IF(G880="RES-SFU","RESIDENTIAL",IF(G880="RES-HOA","RESIDENTIAL",IF(G880="RES-MDU","RESIDENTIAL",IF(G880="COMM-SU","BUSINESS",IF(G880="COM-MTU","BUSINESS",IF(G880="ENT","BUSINESS",""))))))</f>
        <v/>
      </c>
      <c r="G880" s="1205">
        <f>'House Count'!F880</f>
        <v/>
      </c>
      <c r="H880" s="1205">
        <f>'House Count'!H880</f>
        <v/>
      </c>
    </row>
    <row r="881">
      <c r="A881" s="1204">
        <f>'House Count'!A881</f>
        <v/>
      </c>
      <c r="B881" s="1205">
        <f>'House Count'!E881</f>
        <v/>
      </c>
      <c r="C881" s="1205">
        <f>'House Count'!B881</f>
        <v/>
      </c>
      <c r="D881" s="1205">
        <f>'House Count'!C881</f>
        <v/>
      </c>
      <c r="E881" s="1205">
        <f>'House Count'!D881</f>
        <v/>
      </c>
      <c r="F881" s="1205">
        <f>IF(G881="RES-SFU","RESIDENTIAL",IF(G881="RES-HOA","RESIDENTIAL",IF(G881="RES-MDU","RESIDENTIAL",IF(G881="COMM-SU","BUSINESS",IF(G881="COM-MTU","BUSINESS",IF(G881="ENT","BUSINESS",""))))))</f>
        <v/>
      </c>
      <c r="G881" s="1205">
        <f>'House Count'!F881</f>
        <v/>
      </c>
      <c r="H881" s="1205">
        <f>'House Count'!H881</f>
        <v/>
      </c>
    </row>
    <row r="882">
      <c r="A882" s="1204">
        <f>'House Count'!A882</f>
        <v/>
      </c>
      <c r="B882" s="1205">
        <f>'House Count'!E882</f>
        <v/>
      </c>
      <c r="C882" s="1205">
        <f>'House Count'!B882</f>
        <v/>
      </c>
      <c r="D882" s="1205">
        <f>'House Count'!C882</f>
        <v/>
      </c>
      <c r="E882" s="1205">
        <f>'House Count'!D882</f>
        <v/>
      </c>
      <c r="F882" s="1205">
        <f>IF(G882="RES-SFU","RESIDENTIAL",IF(G882="RES-HOA","RESIDENTIAL",IF(G882="RES-MDU","RESIDENTIAL",IF(G882="COMM-SU","BUSINESS",IF(G882="COM-MTU","BUSINESS",IF(G882="ENT","BUSINESS",""))))))</f>
        <v/>
      </c>
      <c r="G882" s="1205">
        <f>'House Count'!F882</f>
        <v/>
      </c>
      <c r="H882" s="1205">
        <f>'House Count'!H882</f>
        <v/>
      </c>
    </row>
    <row r="883">
      <c r="A883" s="1204">
        <f>'House Count'!A883</f>
        <v/>
      </c>
      <c r="B883" s="1205">
        <f>'House Count'!E883</f>
        <v/>
      </c>
      <c r="C883" s="1205">
        <f>'House Count'!B883</f>
        <v/>
      </c>
      <c r="D883" s="1205">
        <f>'House Count'!C883</f>
        <v/>
      </c>
      <c r="E883" s="1205">
        <f>'House Count'!D883</f>
        <v/>
      </c>
      <c r="F883" s="1205">
        <f>IF(G883="RES-SFU","RESIDENTIAL",IF(G883="RES-HOA","RESIDENTIAL",IF(G883="RES-MDU","RESIDENTIAL",IF(G883="COMM-SU","BUSINESS",IF(G883="COM-MTU","BUSINESS",IF(G883="ENT","BUSINESS",""))))))</f>
        <v/>
      </c>
      <c r="G883" s="1205">
        <f>'House Count'!F883</f>
        <v/>
      </c>
      <c r="H883" s="1205">
        <f>'House Count'!H883</f>
        <v/>
      </c>
    </row>
    <row r="884">
      <c r="A884" s="1204">
        <f>'House Count'!A884</f>
        <v/>
      </c>
      <c r="B884" s="1205">
        <f>'House Count'!E884</f>
        <v/>
      </c>
      <c r="C884" s="1205">
        <f>'House Count'!B884</f>
        <v/>
      </c>
      <c r="D884" s="1205">
        <f>'House Count'!C884</f>
        <v/>
      </c>
      <c r="E884" s="1205">
        <f>'House Count'!D884</f>
        <v/>
      </c>
      <c r="F884" s="1205">
        <f>IF(G884="RES-SFU","RESIDENTIAL",IF(G884="RES-HOA","RESIDENTIAL",IF(G884="RES-MDU","RESIDENTIAL",IF(G884="COMM-SU","BUSINESS",IF(G884="COM-MTU","BUSINESS",IF(G884="ENT","BUSINESS",""))))))</f>
        <v/>
      </c>
      <c r="G884" s="1205">
        <f>'House Count'!F884</f>
        <v/>
      </c>
      <c r="H884" s="1205">
        <f>'House Count'!H884</f>
        <v/>
      </c>
    </row>
    <row r="885">
      <c r="A885" s="1204">
        <f>'House Count'!A885</f>
        <v/>
      </c>
      <c r="B885" s="1205">
        <f>'House Count'!E885</f>
        <v/>
      </c>
      <c r="C885" s="1205">
        <f>'House Count'!B885</f>
        <v/>
      </c>
      <c r="D885" s="1205">
        <f>'House Count'!C885</f>
        <v/>
      </c>
      <c r="E885" s="1205">
        <f>'House Count'!D885</f>
        <v/>
      </c>
      <c r="F885" s="1205">
        <f>IF(G885="RES-SFU","RESIDENTIAL",IF(G885="RES-HOA","RESIDENTIAL",IF(G885="RES-MDU","RESIDENTIAL",IF(G885="COMM-SU","BUSINESS",IF(G885="COM-MTU","BUSINESS",IF(G885="ENT","BUSINESS",""))))))</f>
        <v/>
      </c>
      <c r="G885" s="1205">
        <f>'House Count'!F885</f>
        <v/>
      </c>
      <c r="H885" s="1205">
        <f>'House Count'!H885</f>
        <v/>
      </c>
    </row>
    <row r="886">
      <c r="A886" s="1204">
        <f>'House Count'!A886</f>
        <v/>
      </c>
      <c r="B886" s="1205">
        <f>'House Count'!E886</f>
        <v/>
      </c>
      <c r="C886" s="1205">
        <f>'House Count'!B886</f>
        <v/>
      </c>
      <c r="D886" s="1205">
        <f>'House Count'!C886</f>
        <v/>
      </c>
      <c r="E886" s="1205">
        <f>'House Count'!D886</f>
        <v/>
      </c>
      <c r="F886" s="1205">
        <f>IF(G886="RES-SFU","RESIDENTIAL",IF(G886="RES-HOA","RESIDENTIAL",IF(G886="RES-MDU","RESIDENTIAL",IF(G886="COMM-SU","BUSINESS",IF(G886="COM-MTU","BUSINESS",IF(G886="ENT","BUSINESS",""))))))</f>
        <v/>
      </c>
      <c r="G886" s="1205">
        <f>'House Count'!F886</f>
        <v/>
      </c>
      <c r="H886" s="1205">
        <f>'House Count'!H886</f>
        <v/>
      </c>
    </row>
    <row r="887">
      <c r="A887" s="1204">
        <f>'House Count'!A887</f>
        <v/>
      </c>
      <c r="B887" s="1205">
        <f>'House Count'!E887</f>
        <v/>
      </c>
      <c r="C887" s="1205">
        <f>'House Count'!B887</f>
        <v/>
      </c>
      <c r="D887" s="1205">
        <f>'House Count'!C887</f>
        <v/>
      </c>
      <c r="E887" s="1205">
        <f>'House Count'!D887</f>
        <v/>
      </c>
      <c r="F887" s="1205">
        <f>IF(G887="RES-SFU","RESIDENTIAL",IF(G887="RES-HOA","RESIDENTIAL",IF(G887="RES-MDU","RESIDENTIAL",IF(G887="COMM-SU","BUSINESS",IF(G887="COM-MTU","BUSINESS",IF(G887="ENT","BUSINESS",""))))))</f>
        <v/>
      </c>
      <c r="G887" s="1205">
        <f>'House Count'!F887</f>
        <v/>
      </c>
      <c r="H887" s="1205">
        <f>'House Count'!H887</f>
        <v/>
      </c>
    </row>
    <row r="888">
      <c r="A888" s="1204">
        <f>'House Count'!A888</f>
        <v/>
      </c>
      <c r="B888" s="1205">
        <f>'House Count'!E888</f>
        <v/>
      </c>
      <c r="C888" s="1205">
        <f>'House Count'!B888</f>
        <v/>
      </c>
      <c r="D888" s="1205">
        <f>'House Count'!C888</f>
        <v/>
      </c>
      <c r="E888" s="1205">
        <f>'House Count'!D888</f>
        <v/>
      </c>
      <c r="F888" s="1205">
        <f>IF(G888="RES-SFU","RESIDENTIAL",IF(G888="RES-HOA","RESIDENTIAL",IF(G888="RES-MDU","RESIDENTIAL",IF(G888="COMM-SU","BUSINESS",IF(G888="COM-MTU","BUSINESS",IF(G888="ENT","BUSINESS",""))))))</f>
        <v/>
      </c>
      <c r="G888" s="1205">
        <f>'House Count'!F888</f>
        <v/>
      </c>
      <c r="H888" s="1205">
        <f>'House Count'!H888</f>
        <v/>
      </c>
    </row>
    <row r="889">
      <c r="A889" s="1204">
        <f>'House Count'!A889</f>
        <v/>
      </c>
      <c r="B889" s="1205">
        <f>'House Count'!E889</f>
        <v/>
      </c>
      <c r="C889" s="1205">
        <f>'House Count'!B889</f>
        <v/>
      </c>
      <c r="D889" s="1205">
        <f>'House Count'!C889</f>
        <v/>
      </c>
      <c r="E889" s="1205">
        <f>'House Count'!D889</f>
        <v/>
      </c>
      <c r="F889" s="1205">
        <f>IF(G889="RES-SFU","RESIDENTIAL",IF(G889="RES-HOA","RESIDENTIAL",IF(G889="RES-MDU","RESIDENTIAL",IF(G889="COMM-SU","BUSINESS",IF(G889="COM-MTU","BUSINESS",IF(G889="ENT","BUSINESS",""))))))</f>
        <v/>
      </c>
      <c r="G889" s="1205">
        <f>'House Count'!F889</f>
        <v/>
      </c>
      <c r="H889" s="1205">
        <f>'House Count'!H889</f>
        <v/>
      </c>
    </row>
    <row r="890">
      <c r="A890" s="1204">
        <f>'House Count'!A890</f>
        <v/>
      </c>
      <c r="B890" s="1205">
        <f>'House Count'!E890</f>
        <v/>
      </c>
      <c r="C890" s="1205">
        <f>'House Count'!B890</f>
        <v/>
      </c>
      <c r="D890" s="1205">
        <f>'House Count'!C890</f>
        <v/>
      </c>
      <c r="E890" s="1205">
        <f>'House Count'!D890</f>
        <v/>
      </c>
      <c r="F890" s="1205">
        <f>IF(G890="RES-SFU","RESIDENTIAL",IF(G890="RES-HOA","RESIDENTIAL",IF(G890="RES-MDU","RESIDENTIAL",IF(G890="COMM-SU","BUSINESS",IF(G890="COM-MTU","BUSINESS",IF(G890="ENT","BUSINESS",""))))))</f>
        <v/>
      </c>
      <c r="G890" s="1205">
        <f>'House Count'!F890</f>
        <v/>
      </c>
      <c r="H890" s="1205">
        <f>'House Count'!H890</f>
        <v/>
      </c>
    </row>
    <row r="891">
      <c r="A891" s="1204">
        <f>'House Count'!A891</f>
        <v/>
      </c>
      <c r="B891" s="1205">
        <f>'House Count'!E891</f>
        <v/>
      </c>
      <c r="C891" s="1205">
        <f>'House Count'!B891</f>
        <v/>
      </c>
      <c r="D891" s="1205">
        <f>'House Count'!C891</f>
        <v/>
      </c>
      <c r="E891" s="1205">
        <f>'House Count'!D891</f>
        <v/>
      </c>
      <c r="F891" s="1205">
        <f>IF(G891="RES-SFU","RESIDENTIAL",IF(G891="RES-HOA","RESIDENTIAL",IF(G891="RES-MDU","RESIDENTIAL",IF(G891="COMM-SU","BUSINESS",IF(G891="COM-MTU","BUSINESS",IF(G891="ENT","BUSINESS",""))))))</f>
        <v/>
      </c>
      <c r="G891" s="1205">
        <f>'House Count'!F891</f>
        <v/>
      </c>
      <c r="H891" s="1205">
        <f>'House Count'!H891</f>
        <v/>
      </c>
    </row>
    <row r="892">
      <c r="A892" s="1204">
        <f>'House Count'!A892</f>
        <v/>
      </c>
      <c r="B892" s="1205">
        <f>'House Count'!E892</f>
        <v/>
      </c>
      <c r="C892" s="1205">
        <f>'House Count'!B892</f>
        <v/>
      </c>
      <c r="D892" s="1205">
        <f>'House Count'!C892</f>
        <v/>
      </c>
      <c r="E892" s="1205">
        <f>'House Count'!D892</f>
        <v/>
      </c>
      <c r="F892" s="1205">
        <f>IF(G892="RES-SFU","RESIDENTIAL",IF(G892="RES-HOA","RESIDENTIAL",IF(G892="RES-MDU","RESIDENTIAL",IF(G892="COMM-SU","BUSINESS",IF(G892="COM-MTU","BUSINESS",IF(G892="ENT","BUSINESS",""))))))</f>
        <v/>
      </c>
      <c r="G892" s="1205">
        <f>'House Count'!F892</f>
        <v/>
      </c>
      <c r="H892" s="1205">
        <f>'House Count'!H892</f>
        <v/>
      </c>
    </row>
    <row r="893">
      <c r="A893" s="1204">
        <f>'House Count'!A893</f>
        <v/>
      </c>
      <c r="B893" s="1205">
        <f>'House Count'!E893</f>
        <v/>
      </c>
      <c r="C893" s="1205">
        <f>'House Count'!B893</f>
        <v/>
      </c>
      <c r="D893" s="1205">
        <f>'House Count'!C893</f>
        <v/>
      </c>
      <c r="E893" s="1205">
        <f>'House Count'!D893</f>
        <v/>
      </c>
      <c r="F893" s="1205">
        <f>IF(G893="RES-SFU","RESIDENTIAL",IF(G893="RES-HOA","RESIDENTIAL",IF(G893="RES-MDU","RESIDENTIAL",IF(G893="COMM-SU","BUSINESS",IF(G893="COM-MTU","BUSINESS",IF(G893="ENT","BUSINESS",""))))))</f>
        <v/>
      </c>
      <c r="G893" s="1205">
        <f>'House Count'!F893</f>
        <v/>
      </c>
      <c r="H893" s="1205">
        <f>'House Count'!H893</f>
        <v/>
      </c>
    </row>
    <row r="894">
      <c r="A894" s="1204">
        <f>'House Count'!A894</f>
        <v/>
      </c>
      <c r="B894" s="1205">
        <f>'House Count'!E894</f>
        <v/>
      </c>
      <c r="C894" s="1205">
        <f>'House Count'!B894</f>
        <v/>
      </c>
      <c r="D894" s="1205">
        <f>'House Count'!C894</f>
        <v/>
      </c>
      <c r="E894" s="1205">
        <f>'House Count'!D894</f>
        <v/>
      </c>
      <c r="F894" s="1205">
        <f>IF(G894="RES-SFU","RESIDENTIAL",IF(G894="RES-HOA","RESIDENTIAL",IF(G894="RES-MDU","RESIDENTIAL",IF(G894="COMM-SU","BUSINESS",IF(G894="COM-MTU","BUSINESS",IF(G894="ENT","BUSINESS",""))))))</f>
        <v/>
      </c>
      <c r="G894" s="1205">
        <f>'House Count'!F894</f>
        <v/>
      </c>
      <c r="H894" s="1205">
        <f>'House Count'!H894</f>
        <v/>
      </c>
    </row>
    <row r="895">
      <c r="A895" s="1204">
        <f>'House Count'!A895</f>
        <v/>
      </c>
      <c r="B895" s="1205">
        <f>'House Count'!E895</f>
        <v/>
      </c>
      <c r="C895" s="1205">
        <f>'House Count'!B895</f>
        <v/>
      </c>
      <c r="D895" s="1205">
        <f>'House Count'!C895</f>
        <v/>
      </c>
      <c r="E895" s="1205">
        <f>'House Count'!D895</f>
        <v/>
      </c>
      <c r="F895" s="1205">
        <f>IF(G895="RES-SFU","RESIDENTIAL",IF(G895="RES-HOA","RESIDENTIAL",IF(G895="RES-MDU","RESIDENTIAL",IF(G895="COMM-SU","BUSINESS",IF(G895="COM-MTU","BUSINESS",IF(G895="ENT","BUSINESS",""))))))</f>
        <v/>
      </c>
      <c r="G895" s="1205">
        <f>'House Count'!F895</f>
        <v/>
      </c>
      <c r="H895" s="1205">
        <f>'House Count'!H895</f>
        <v/>
      </c>
    </row>
    <row r="896">
      <c r="A896" s="1204">
        <f>'House Count'!A896</f>
        <v/>
      </c>
      <c r="B896" s="1205">
        <f>'House Count'!E896</f>
        <v/>
      </c>
      <c r="C896" s="1205">
        <f>'House Count'!B896</f>
        <v/>
      </c>
      <c r="D896" s="1205">
        <f>'House Count'!C896</f>
        <v/>
      </c>
      <c r="E896" s="1205">
        <f>'House Count'!D896</f>
        <v/>
      </c>
      <c r="F896" s="1205">
        <f>IF(G896="RES-SFU","RESIDENTIAL",IF(G896="RES-HOA","RESIDENTIAL",IF(G896="RES-MDU","RESIDENTIAL",IF(G896="COMM-SU","BUSINESS",IF(G896="COM-MTU","BUSINESS",IF(G896="ENT","BUSINESS",""))))))</f>
        <v/>
      </c>
      <c r="G896" s="1205">
        <f>'House Count'!F896</f>
        <v/>
      </c>
      <c r="H896" s="1205">
        <f>'House Count'!H896</f>
        <v/>
      </c>
    </row>
    <row r="897">
      <c r="A897" s="1204">
        <f>'House Count'!A897</f>
        <v/>
      </c>
      <c r="B897" s="1205">
        <f>'House Count'!E897</f>
        <v/>
      </c>
      <c r="C897" s="1205">
        <f>'House Count'!B897</f>
        <v/>
      </c>
      <c r="D897" s="1205">
        <f>'House Count'!C897</f>
        <v/>
      </c>
      <c r="E897" s="1205">
        <f>'House Count'!D897</f>
        <v/>
      </c>
      <c r="F897" s="1205">
        <f>IF(G897="RES-SFU","RESIDENTIAL",IF(G897="RES-HOA","RESIDENTIAL",IF(G897="RES-MDU","RESIDENTIAL",IF(G897="COMM-SU","BUSINESS",IF(G897="COM-MTU","BUSINESS",IF(G897="ENT","BUSINESS",""))))))</f>
        <v/>
      </c>
      <c r="G897" s="1205">
        <f>'House Count'!F897</f>
        <v/>
      </c>
      <c r="H897" s="1205">
        <f>'House Count'!H897</f>
        <v/>
      </c>
    </row>
    <row r="898">
      <c r="A898" s="1204">
        <f>'House Count'!A898</f>
        <v/>
      </c>
      <c r="B898" s="1205">
        <f>'House Count'!E898</f>
        <v/>
      </c>
      <c r="C898" s="1205">
        <f>'House Count'!B898</f>
        <v/>
      </c>
      <c r="D898" s="1205">
        <f>'House Count'!C898</f>
        <v/>
      </c>
      <c r="E898" s="1205">
        <f>'House Count'!D898</f>
        <v/>
      </c>
      <c r="F898" s="1205">
        <f>IF(G898="RES-SFU","RESIDENTIAL",IF(G898="RES-HOA","RESIDENTIAL",IF(G898="RES-MDU","RESIDENTIAL",IF(G898="COMM-SU","BUSINESS",IF(G898="COM-MTU","BUSINESS",IF(G898="ENT","BUSINESS",""))))))</f>
        <v/>
      </c>
      <c r="G898" s="1205">
        <f>'House Count'!F898</f>
        <v/>
      </c>
      <c r="H898" s="1205">
        <f>'House Count'!H898</f>
        <v/>
      </c>
    </row>
    <row r="899">
      <c r="A899" s="1204">
        <f>'House Count'!A899</f>
        <v/>
      </c>
      <c r="B899" s="1205">
        <f>'House Count'!E899</f>
        <v/>
      </c>
      <c r="C899" s="1205">
        <f>'House Count'!B899</f>
        <v/>
      </c>
      <c r="D899" s="1205">
        <f>'House Count'!C899</f>
        <v/>
      </c>
      <c r="E899" s="1205">
        <f>'House Count'!D899</f>
        <v/>
      </c>
      <c r="F899" s="1205">
        <f>IF(G899="RES-SFU","RESIDENTIAL",IF(G899="RES-HOA","RESIDENTIAL",IF(G899="RES-MDU","RESIDENTIAL",IF(G899="COMM-SU","BUSINESS",IF(G899="COM-MTU","BUSINESS",IF(G899="ENT","BUSINESS",""))))))</f>
        <v/>
      </c>
      <c r="G899" s="1205">
        <f>'House Count'!F899</f>
        <v/>
      </c>
      <c r="H899" s="1205">
        <f>'House Count'!H899</f>
        <v/>
      </c>
    </row>
    <row r="900">
      <c r="A900" s="1204">
        <f>'House Count'!A900</f>
        <v/>
      </c>
      <c r="B900" s="1205">
        <f>'House Count'!E900</f>
        <v/>
      </c>
      <c r="C900" s="1205">
        <f>'House Count'!B900</f>
        <v/>
      </c>
      <c r="D900" s="1205">
        <f>'House Count'!C900</f>
        <v/>
      </c>
      <c r="E900" s="1205">
        <f>'House Count'!D900</f>
        <v/>
      </c>
      <c r="F900" s="1205">
        <f>IF(G900="RES-SFU","RESIDENTIAL",IF(G900="RES-HOA","RESIDENTIAL",IF(G900="RES-MDU","RESIDENTIAL",IF(G900="COMM-SU","BUSINESS",IF(G900="COM-MTU","BUSINESS",IF(G900="ENT","BUSINESS",""))))))</f>
        <v/>
      </c>
      <c r="G900" s="1205">
        <f>'House Count'!F900</f>
        <v/>
      </c>
      <c r="H900" s="1205">
        <f>'House Count'!H900</f>
        <v/>
      </c>
    </row>
    <row r="901">
      <c r="A901" s="1204">
        <f>'House Count'!A901</f>
        <v/>
      </c>
      <c r="B901" s="1205">
        <f>'House Count'!E901</f>
        <v/>
      </c>
      <c r="C901" s="1205">
        <f>'House Count'!B901</f>
        <v/>
      </c>
      <c r="D901" s="1205">
        <f>'House Count'!C901</f>
        <v/>
      </c>
      <c r="E901" s="1205">
        <f>'House Count'!D901</f>
        <v/>
      </c>
      <c r="F901" s="1205">
        <f>IF(G901="RES-SFU","RESIDENTIAL",IF(G901="RES-HOA","RESIDENTIAL",IF(G901="RES-MDU","RESIDENTIAL",IF(G901="COMM-SU","BUSINESS",IF(G901="COM-MTU","BUSINESS",IF(G901="ENT","BUSINESS",""))))))</f>
        <v/>
      </c>
      <c r="G901" s="1205">
        <f>'House Count'!F901</f>
        <v/>
      </c>
      <c r="H901" s="1205">
        <f>'House Count'!H901</f>
        <v/>
      </c>
    </row>
    <row r="902">
      <c r="A902" s="1204">
        <f>'House Count'!A902</f>
        <v/>
      </c>
      <c r="B902" s="1205">
        <f>'House Count'!E902</f>
        <v/>
      </c>
      <c r="C902" s="1205">
        <f>'House Count'!B902</f>
        <v/>
      </c>
      <c r="D902" s="1205">
        <f>'House Count'!C902</f>
        <v/>
      </c>
      <c r="E902" s="1205">
        <f>'House Count'!D902</f>
        <v/>
      </c>
      <c r="F902" s="1205">
        <f>IF(G902="RES-SFU","RESIDENTIAL",IF(G902="RES-HOA","RESIDENTIAL",IF(G902="RES-MDU","RESIDENTIAL",IF(G902="COMM-SU","BUSINESS",IF(G902="COM-MTU","BUSINESS",IF(G902="ENT","BUSINESS",""))))))</f>
        <v/>
      </c>
      <c r="G902" s="1205">
        <f>'House Count'!F902</f>
        <v/>
      </c>
      <c r="H902" s="1205">
        <f>'House Count'!H902</f>
        <v/>
      </c>
    </row>
    <row r="903">
      <c r="A903" s="1204">
        <f>'House Count'!A903</f>
        <v/>
      </c>
      <c r="B903" s="1205">
        <f>'House Count'!E903</f>
        <v/>
      </c>
      <c r="C903" s="1205">
        <f>'House Count'!B903</f>
        <v/>
      </c>
      <c r="D903" s="1205">
        <f>'House Count'!C903</f>
        <v/>
      </c>
      <c r="E903" s="1205">
        <f>'House Count'!D903</f>
        <v/>
      </c>
      <c r="F903" s="1205">
        <f>IF(G903="RES-SFU","RESIDENTIAL",IF(G903="RES-HOA","RESIDENTIAL",IF(G903="RES-MDU","RESIDENTIAL",IF(G903="COMM-SU","BUSINESS",IF(G903="COM-MTU","BUSINESS",IF(G903="ENT","BUSINESS",""))))))</f>
        <v/>
      </c>
      <c r="G903" s="1205">
        <f>'House Count'!F903</f>
        <v/>
      </c>
      <c r="H903" s="1205">
        <f>'House Count'!H903</f>
        <v/>
      </c>
    </row>
    <row r="904">
      <c r="A904" s="1204">
        <f>'House Count'!A904</f>
        <v/>
      </c>
      <c r="B904" s="1205">
        <f>'House Count'!E904</f>
        <v/>
      </c>
      <c r="C904" s="1205">
        <f>'House Count'!B904</f>
        <v/>
      </c>
      <c r="D904" s="1205">
        <f>'House Count'!C904</f>
        <v/>
      </c>
      <c r="E904" s="1205">
        <f>'House Count'!D904</f>
        <v/>
      </c>
      <c r="F904" s="1205">
        <f>IF(G904="RES-SFU","RESIDENTIAL",IF(G904="RES-HOA","RESIDENTIAL",IF(G904="RES-MDU","RESIDENTIAL",IF(G904="COMM-SU","BUSINESS",IF(G904="COM-MTU","BUSINESS",IF(G904="ENT","BUSINESS",""))))))</f>
        <v/>
      </c>
      <c r="G904" s="1205">
        <f>'House Count'!F904</f>
        <v/>
      </c>
      <c r="H904" s="1205">
        <f>'House Count'!H904</f>
        <v/>
      </c>
    </row>
    <row r="905">
      <c r="A905" s="1204">
        <f>'House Count'!A905</f>
        <v/>
      </c>
      <c r="B905" s="1205">
        <f>'House Count'!E905</f>
        <v/>
      </c>
      <c r="C905" s="1205">
        <f>'House Count'!B905</f>
        <v/>
      </c>
      <c r="D905" s="1205">
        <f>'House Count'!C905</f>
        <v/>
      </c>
      <c r="E905" s="1205">
        <f>'House Count'!D905</f>
        <v/>
      </c>
      <c r="F905" s="1205">
        <f>IF(G905="RES-SFU","RESIDENTIAL",IF(G905="RES-HOA","RESIDENTIAL",IF(G905="RES-MDU","RESIDENTIAL",IF(G905="COMM-SU","BUSINESS",IF(G905="COM-MTU","BUSINESS",IF(G905="ENT","BUSINESS",""))))))</f>
        <v/>
      </c>
      <c r="G905" s="1205">
        <f>'House Count'!F905</f>
        <v/>
      </c>
      <c r="H905" s="1205">
        <f>'House Count'!H905</f>
        <v/>
      </c>
    </row>
    <row r="906">
      <c r="A906" s="1204">
        <f>'House Count'!A906</f>
        <v/>
      </c>
      <c r="B906" s="1205">
        <f>'House Count'!E906</f>
        <v/>
      </c>
      <c r="C906" s="1205">
        <f>'House Count'!B906</f>
        <v/>
      </c>
      <c r="D906" s="1205">
        <f>'House Count'!C906</f>
        <v/>
      </c>
      <c r="E906" s="1205">
        <f>'House Count'!D906</f>
        <v/>
      </c>
      <c r="F906" s="1205">
        <f>IF(G906="RES-SFU","RESIDENTIAL",IF(G906="RES-HOA","RESIDENTIAL",IF(G906="RES-MDU","RESIDENTIAL",IF(G906="COMM-SU","BUSINESS",IF(G906="COM-MTU","BUSINESS",IF(G906="ENT","BUSINESS",""))))))</f>
        <v/>
      </c>
      <c r="G906" s="1205">
        <f>'House Count'!F906</f>
        <v/>
      </c>
      <c r="H906" s="1205">
        <f>'House Count'!H906</f>
        <v/>
      </c>
    </row>
    <row r="907">
      <c r="A907" s="1204">
        <f>'House Count'!A907</f>
        <v/>
      </c>
      <c r="B907" s="1205">
        <f>'House Count'!E907</f>
        <v/>
      </c>
      <c r="C907" s="1205">
        <f>'House Count'!B907</f>
        <v/>
      </c>
      <c r="D907" s="1205">
        <f>'House Count'!C907</f>
        <v/>
      </c>
      <c r="E907" s="1205">
        <f>'House Count'!D907</f>
        <v/>
      </c>
      <c r="F907" s="1205">
        <f>IF(G907="RES-SFU","RESIDENTIAL",IF(G907="RES-HOA","RESIDENTIAL",IF(G907="RES-MDU","RESIDENTIAL",IF(G907="COMM-SU","BUSINESS",IF(G907="COM-MTU","BUSINESS",IF(G907="ENT","BUSINESS",""))))))</f>
        <v/>
      </c>
      <c r="G907" s="1205">
        <f>'House Count'!F907</f>
        <v/>
      </c>
      <c r="H907" s="1205">
        <f>'House Count'!H907</f>
        <v/>
      </c>
    </row>
    <row r="908">
      <c r="A908" s="1204">
        <f>'House Count'!A908</f>
        <v/>
      </c>
      <c r="B908" s="1205">
        <f>'House Count'!E908</f>
        <v/>
      </c>
      <c r="C908" s="1205">
        <f>'House Count'!B908</f>
        <v/>
      </c>
      <c r="D908" s="1205">
        <f>'House Count'!C908</f>
        <v/>
      </c>
      <c r="E908" s="1205">
        <f>'House Count'!D908</f>
        <v/>
      </c>
      <c r="F908" s="1205">
        <f>IF(G908="RES-SFU","RESIDENTIAL",IF(G908="RES-HOA","RESIDENTIAL",IF(G908="RES-MDU","RESIDENTIAL",IF(G908="COMM-SU","BUSINESS",IF(G908="COM-MTU","BUSINESS",IF(G908="ENT","BUSINESS",""))))))</f>
        <v/>
      </c>
      <c r="G908" s="1205">
        <f>'House Count'!F908</f>
        <v/>
      </c>
      <c r="H908" s="1205">
        <f>'House Count'!H908</f>
        <v/>
      </c>
    </row>
    <row r="909">
      <c r="A909" s="1204">
        <f>'House Count'!A909</f>
        <v/>
      </c>
      <c r="B909" s="1205">
        <f>'House Count'!E909</f>
        <v/>
      </c>
      <c r="C909" s="1205">
        <f>'House Count'!B909</f>
        <v/>
      </c>
      <c r="D909" s="1205">
        <f>'House Count'!C909</f>
        <v/>
      </c>
      <c r="E909" s="1205">
        <f>'House Count'!D909</f>
        <v/>
      </c>
      <c r="F909" s="1205">
        <f>IF(G909="RES-SFU","RESIDENTIAL",IF(G909="RES-HOA","RESIDENTIAL",IF(G909="RES-MDU","RESIDENTIAL",IF(G909="COMM-SU","BUSINESS",IF(G909="COM-MTU","BUSINESS",IF(G909="ENT","BUSINESS",""))))))</f>
        <v/>
      </c>
      <c r="G909" s="1205">
        <f>'House Count'!F909</f>
        <v/>
      </c>
      <c r="H909" s="1205">
        <f>'House Count'!H909</f>
        <v/>
      </c>
    </row>
    <row r="910">
      <c r="A910" s="1204">
        <f>'House Count'!A910</f>
        <v/>
      </c>
      <c r="B910" s="1205">
        <f>'House Count'!E910</f>
        <v/>
      </c>
      <c r="C910" s="1205">
        <f>'House Count'!B910</f>
        <v/>
      </c>
      <c r="D910" s="1205">
        <f>'House Count'!C910</f>
        <v/>
      </c>
      <c r="E910" s="1205">
        <f>'House Count'!D910</f>
        <v/>
      </c>
      <c r="F910" s="1205">
        <f>IF(G910="RES-SFU","RESIDENTIAL",IF(G910="RES-HOA","RESIDENTIAL",IF(G910="RES-MDU","RESIDENTIAL",IF(G910="COMM-SU","BUSINESS",IF(G910="COM-MTU","BUSINESS",IF(G910="ENT","BUSINESS",""))))))</f>
        <v/>
      </c>
      <c r="G910" s="1205">
        <f>'House Count'!F910</f>
        <v/>
      </c>
      <c r="H910" s="1205">
        <f>'House Count'!H910</f>
        <v/>
      </c>
    </row>
    <row r="911">
      <c r="A911" s="1204">
        <f>'House Count'!A911</f>
        <v/>
      </c>
      <c r="B911" s="1205">
        <f>'House Count'!E911</f>
        <v/>
      </c>
      <c r="C911" s="1205">
        <f>'House Count'!B911</f>
        <v/>
      </c>
      <c r="D911" s="1205">
        <f>'House Count'!C911</f>
        <v/>
      </c>
      <c r="E911" s="1205">
        <f>'House Count'!D911</f>
        <v/>
      </c>
      <c r="F911" s="1205">
        <f>IF(G911="RES-SFU","RESIDENTIAL",IF(G911="RES-HOA","RESIDENTIAL",IF(G911="RES-MDU","RESIDENTIAL",IF(G911="COMM-SU","BUSINESS",IF(G911="COM-MTU","BUSINESS",IF(G911="ENT","BUSINESS",""))))))</f>
        <v/>
      </c>
      <c r="G911" s="1205">
        <f>'House Count'!F911</f>
        <v/>
      </c>
      <c r="H911" s="1205">
        <f>'House Count'!H911</f>
        <v/>
      </c>
    </row>
    <row r="912">
      <c r="A912" s="1204">
        <f>'House Count'!A912</f>
        <v/>
      </c>
      <c r="B912" s="1205">
        <f>'House Count'!E912</f>
        <v/>
      </c>
      <c r="C912" s="1205">
        <f>'House Count'!B912</f>
        <v/>
      </c>
      <c r="D912" s="1205">
        <f>'House Count'!C912</f>
        <v/>
      </c>
      <c r="E912" s="1205">
        <f>'House Count'!D912</f>
        <v/>
      </c>
      <c r="F912" s="1205">
        <f>IF(G912="RES-SFU","RESIDENTIAL",IF(G912="RES-HOA","RESIDENTIAL",IF(G912="RES-MDU","RESIDENTIAL",IF(G912="COMM-SU","BUSINESS",IF(G912="COM-MTU","BUSINESS",IF(G912="ENT","BUSINESS",""))))))</f>
        <v/>
      </c>
      <c r="G912" s="1205">
        <f>'House Count'!F912</f>
        <v/>
      </c>
      <c r="H912" s="1205">
        <f>'House Count'!H912</f>
        <v/>
      </c>
    </row>
    <row r="913">
      <c r="A913" s="1204">
        <f>'House Count'!A913</f>
        <v/>
      </c>
      <c r="B913" s="1205">
        <f>'House Count'!E913</f>
        <v/>
      </c>
      <c r="C913" s="1205">
        <f>'House Count'!B913</f>
        <v/>
      </c>
      <c r="D913" s="1205">
        <f>'House Count'!C913</f>
        <v/>
      </c>
      <c r="E913" s="1205">
        <f>'House Count'!D913</f>
        <v/>
      </c>
      <c r="F913" s="1205">
        <f>IF(G913="RES-SFU","RESIDENTIAL",IF(G913="RES-HOA","RESIDENTIAL",IF(G913="RES-MDU","RESIDENTIAL",IF(G913="COMM-SU","BUSINESS",IF(G913="COM-MTU","BUSINESS",IF(G913="ENT","BUSINESS",""))))))</f>
        <v/>
      </c>
      <c r="G913" s="1205">
        <f>'House Count'!F913</f>
        <v/>
      </c>
      <c r="H913" s="1205">
        <f>'House Count'!H913</f>
        <v/>
      </c>
    </row>
    <row r="914">
      <c r="A914" s="1204">
        <f>'House Count'!A914</f>
        <v/>
      </c>
      <c r="B914" s="1205">
        <f>'House Count'!E914</f>
        <v/>
      </c>
      <c r="C914" s="1205">
        <f>'House Count'!B914</f>
        <v/>
      </c>
      <c r="D914" s="1205">
        <f>'House Count'!C914</f>
        <v/>
      </c>
      <c r="E914" s="1205">
        <f>'House Count'!D914</f>
        <v/>
      </c>
      <c r="F914" s="1205">
        <f>IF(G914="RES-SFU","RESIDENTIAL",IF(G914="RES-HOA","RESIDENTIAL",IF(G914="RES-MDU","RESIDENTIAL",IF(G914="COMM-SU","BUSINESS",IF(G914="COM-MTU","BUSINESS",IF(G914="ENT","BUSINESS",""))))))</f>
        <v/>
      </c>
      <c r="G914" s="1205">
        <f>'House Count'!F914</f>
        <v/>
      </c>
      <c r="H914" s="1205">
        <f>'House Count'!H914</f>
        <v/>
      </c>
    </row>
    <row r="915">
      <c r="A915" s="1204">
        <f>'House Count'!A915</f>
        <v/>
      </c>
      <c r="B915" s="1205">
        <f>'House Count'!E915</f>
        <v/>
      </c>
      <c r="C915" s="1205">
        <f>'House Count'!B915</f>
        <v/>
      </c>
      <c r="D915" s="1205">
        <f>'House Count'!C915</f>
        <v/>
      </c>
      <c r="E915" s="1205">
        <f>'House Count'!D915</f>
        <v/>
      </c>
      <c r="F915" s="1205">
        <f>IF(G915="RES-SFU","RESIDENTIAL",IF(G915="RES-HOA","RESIDENTIAL",IF(G915="RES-MDU","RESIDENTIAL",IF(G915="COMM-SU","BUSINESS",IF(G915="COM-MTU","BUSINESS",IF(G915="ENT","BUSINESS",""))))))</f>
        <v/>
      </c>
      <c r="G915" s="1205">
        <f>'House Count'!F915</f>
        <v/>
      </c>
      <c r="H915" s="1205">
        <f>'House Count'!H915</f>
        <v/>
      </c>
    </row>
    <row r="916">
      <c r="A916" s="1204">
        <f>'House Count'!A916</f>
        <v/>
      </c>
      <c r="B916" s="1205">
        <f>'House Count'!E916</f>
        <v/>
      </c>
      <c r="C916" s="1205">
        <f>'House Count'!B916</f>
        <v/>
      </c>
      <c r="D916" s="1205">
        <f>'House Count'!C916</f>
        <v/>
      </c>
      <c r="E916" s="1205">
        <f>'House Count'!D916</f>
        <v/>
      </c>
      <c r="F916" s="1205">
        <f>IF(G916="RES-SFU","RESIDENTIAL",IF(G916="RES-HOA","RESIDENTIAL",IF(G916="RES-MDU","RESIDENTIAL",IF(G916="COMM-SU","BUSINESS",IF(G916="COM-MTU","BUSINESS",IF(G916="ENT","BUSINESS",""))))))</f>
        <v/>
      </c>
      <c r="G916" s="1205">
        <f>'House Count'!F916</f>
        <v/>
      </c>
      <c r="H916" s="1205">
        <f>'House Count'!H916</f>
        <v/>
      </c>
    </row>
    <row r="917">
      <c r="A917" s="1204">
        <f>'House Count'!A917</f>
        <v/>
      </c>
      <c r="B917" s="1205">
        <f>'House Count'!E917</f>
        <v/>
      </c>
      <c r="C917" s="1205">
        <f>'House Count'!B917</f>
        <v/>
      </c>
      <c r="D917" s="1205">
        <f>'House Count'!C917</f>
        <v/>
      </c>
      <c r="E917" s="1205">
        <f>'House Count'!D917</f>
        <v/>
      </c>
      <c r="F917" s="1205">
        <f>IF(G917="RES-SFU","RESIDENTIAL",IF(G917="RES-HOA","RESIDENTIAL",IF(G917="RES-MDU","RESIDENTIAL",IF(G917="COMM-SU","BUSINESS",IF(G917="COM-MTU","BUSINESS",IF(G917="ENT","BUSINESS",""))))))</f>
        <v/>
      </c>
      <c r="G917" s="1205">
        <f>'House Count'!F917</f>
        <v/>
      </c>
      <c r="H917" s="1205">
        <f>'House Count'!H917</f>
        <v/>
      </c>
    </row>
    <row r="918">
      <c r="A918" s="1204">
        <f>'House Count'!A918</f>
        <v/>
      </c>
      <c r="B918" s="1205">
        <f>'House Count'!E918</f>
        <v/>
      </c>
      <c r="C918" s="1205">
        <f>'House Count'!B918</f>
        <v/>
      </c>
      <c r="D918" s="1205">
        <f>'House Count'!C918</f>
        <v/>
      </c>
      <c r="E918" s="1205">
        <f>'House Count'!D918</f>
        <v/>
      </c>
      <c r="F918" s="1205">
        <f>IF(G918="RES-SFU","RESIDENTIAL",IF(G918="RES-HOA","RESIDENTIAL",IF(G918="RES-MDU","RESIDENTIAL",IF(G918="COMM-SU","BUSINESS",IF(G918="COM-MTU","BUSINESS",IF(G918="ENT","BUSINESS",""))))))</f>
        <v/>
      </c>
      <c r="G918" s="1205">
        <f>'House Count'!F918</f>
        <v/>
      </c>
      <c r="H918" s="1205">
        <f>'House Count'!H918</f>
        <v/>
      </c>
    </row>
    <row r="919">
      <c r="A919" s="1204">
        <f>'House Count'!A919</f>
        <v/>
      </c>
      <c r="B919" s="1205">
        <f>'House Count'!E919</f>
        <v/>
      </c>
      <c r="C919" s="1205">
        <f>'House Count'!B919</f>
        <v/>
      </c>
      <c r="D919" s="1205">
        <f>'House Count'!C919</f>
        <v/>
      </c>
      <c r="E919" s="1205">
        <f>'House Count'!D919</f>
        <v/>
      </c>
      <c r="F919" s="1205">
        <f>IF(G919="RES-SFU","RESIDENTIAL",IF(G919="RES-HOA","RESIDENTIAL",IF(G919="RES-MDU","RESIDENTIAL",IF(G919="COMM-SU","BUSINESS",IF(G919="COM-MTU","BUSINESS",IF(G919="ENT","BUSINESS",""))))))</f>
        <v/>
      </c>
      <c r="G919" s="1205">
        <f>'House Count'!F919</f>
        <v/>
      </c>
      <c r="H919" s="1205">
        <f>'House Count'!H919</f>
        <v/>
      </c>
    </row>
    <row r="920">
      <c r="A920" s="1204">
        <f>'House Count'!A920</f>
        <v/>
      </c>
      <c r="B920" s="1205">
        <f>'House Count'!E920</f>
        <v/>
      </c>
      <c r="C920" s="1205">
        <f>'House Count'!B920</f>
        <v/>
      </c>
      <c r="D920" s="1205">
        <f>'House Count'!C920</f>
        <v/>
      </c>
      <c r="E920" s="1205">
        <f>'House Count'!D920</f>
        <v/>
      </c>
      <c r="F920" s="1205">
        <f>IF(G920="RES-SFU","RESIDENTIAL",IF(G920="RES-HOA","RESIDENTIAL",IF(G920="RES-MDU","RESIDENTIAL",IF(G920="COMM-SU","BUSINESS",IF(G920="COM-MTU","BUSINESS",IF(G920="ENT","BUSINESS",""))))))</f>
        <v/>
      </c>
      <c r="G920" s="1205">
        <f>'House Count'!F920</f>
        <v/>
      </c>
      <c r="H920" s="1205">
        <f>'House Count'!H920</f>
        <v/>
      </c>
    </row>
    <row r="921">
      <c r="A921" s="1204">
        <f>'House Count'!A921</f>
        <v/>
      </c>
      <c r="B921" s="1205">
        <f>'House Count'!E921</f>
        <v/>
      </c>
      <c r="C921" s="1205">
        <f>'House Count'!B921</f>
        <v/>
      </c>
      <c r="D921" s="1205">
        <f>'House Count'!C921</f>
        <v/>
      </c>
      <c r="E921" s="1205">
        <f>'House Count'!D921</f>
        <v/>
      </c>
      <c r="F921" s="1205">
        <f>IF(G921="RES-SFU","RESIDENTIAL",IF(G921="RES-HOA","RESIDENTIAL",IF(G921="RES-MDU","RESIDENTIAL",IF(G921="COMM-SU","BUSINESS",IF(G921="COM-MTU","BUSINESS",IF(G921="ENT","BUSINESS",""))))))</f>
        <v/>
      </c>
      <c r="G921" s="1205">
        <f>'House Count'!F921</f>
        <v/>
      </c>
      <c r="H921" s="1205">
        <f>'House Count'!H921</f>
        <v/>
      </c>
    </row>
    <row r="922">
      <c r="A922" s="1204">
        <f>'House Count'!A922</f>
        <v/>
      </c>
      <c r="B922" s="1205">
        <f>'House Count'!E922</f>
        <v/>
      </c>
      <c r="C922" s="1205">
        <f>'House Count'!B922</f>
        <v/>
      </c>
      <c r="D922" s="1205">
        <f>'House Count'!C922</f>
        <v/>
      </c>
      <c r="E922" s="1205">
        <f>'House Count'!D922</f>
        <v/>
      </c>
      <c r="F922" s="1205">
        <f>IF(G922="RES-SFU","RESIDENTIAL",IF(G922="RES-HOA","RESIDENTIAL",IF(G922="RES-MDU","RESIDENTIAL",IF(G922="COMM-SU","BUSINESS",IF(G922="COM-MTU","BUSINESS",IF(G922="ENT","BUSINESS",""))))))</f>
        <v/>
      </c>
      <c r="G922" s="1205">
        <f>'House Count'!F922</f>
        <v/>
      </c>
      <c r="H922" s="1205">
        <f>'House Count'!H922</f>
        <v/>
      </c>
    </row>
    <row r="923">
      <c r="A923" s="1204">
        <f>'House Count'!A923</f>
        <v/>
      </c>
      <c r="B923" s="1205">
        <f>'House Count'!E923</f>
        <v/>
      </c>
      <c r="C923" s="1205">
        <f>'House Count'!B923</f>
        <v/>
      </c>
      <c r="D923" s="1205">
        <f>'House Count'!C923</f>
        <v/>
      </c>
      <c r="E923" s="1205">
        <f>'House Count'!D923</f>
        <v/>
      </c>
      <c r="F923" s="1205">
        <f>IF(G923="RES-SFU","RESIDENTIAL",IF(G923="RES-HOA","RESIDENTIAL",IF(G923="RES-MDU","RESIDENTIAL",IF(G923="COMM-SU","BUSINESS",IF(G923="COM-MTU","BUSINESS",IF(G923="ENT","BUSINESS",""))))))</f>
        <v/>
      </c>
      <c r="G923" s="1205">
        <f>'House Count'!F923</f>
        <v/>
      </c>
      <c r="H923" s="1205">
        <f>'House Count'!H923</f>
        <v/>
      </c>
    </row>
    <row r="924">
      <c r="A924" s="1204">
        <f>'House Count'!A924</f>
        <v/>
      </c>
      <c r="B924" s="1205">
        <f>'House Count'!E924</f>
        <v/>
      </c>
      <c r="C924" s="1205">
        <f>'House Count'!B924</f>
        <v/>
      </c>
      <c r="D924" s="1205">
        <f>'House Count'!C924</f>
        <v/>
      </c>
      <c r="E924" s="1205">
        <f>'House Count'!D924</f>
        <v/>
      </c>
      <c r="F924" s="1205">
        <f>IF(G924="RES-SFU","RESIDENTIAL",IF(G924="RES-HOA","RESIDENTIAL",IF(G924="RES-MDU","RESIDENTIAL",IF(G924="COMM-SU","BUSINESS",IF(G924="COM-MTU","BUSINESS",IF(G924="ENT","BUSINESS",""))))))</f>
        <v/>
      </c>
      <c r="G924" s="1205">
        <f>'House Count'!F924</f>
        <v/>
      </c>
      <c r="H924" s="1205">
        <f>'House Count'!H924</f>
        <v/>
      </c>
    </row>
    <row r="925">
      <c r="A925" s="1204">
        <f>'House Count'!A925</f>
        <v/>
      </c>
      <c r="B925" s="1205">
        <f>'House Count'!E925</f>
        <v/>
      </c>
      <c r="C925" s="1205">
        <f>'House Count'!B925</f>
        <v/>
      </c>
      <c r="D925" s="1205">
        <f>'House Count'!C925</f>
        <v/>
      </c>
      <c r="E925" s="1205">
        <f>'House Count'!D925</f>
        <v/>
      </c>
      <c r="F925" s="1205">
        <f>IF(G925="RES-SFU","RESIDENTIAL",IF(G925="RES-HOA","RESIDENTIAL",IF(G925="RES-MDU","RESIDENTIAL",IF(G925="COMM-SU","BUSINESS",IF(G925="COM-MTU","BUSINESS",IF(G925="ENT","BUSINESS",""))))))</f>
        <v/>
      </c>
      <c r="G925" s="1205">
        <f>'House Count'!F925</f>
        <v/>
      </c>
      <c r="H925" s="1205">
        <f>'House Count'!H925</f>
        <v/>
      </c>
    </row>
    <row r="926">
      <c r="A926" s="1204">
        <f>'House Count'!A926</f>
        <v/>
      </c>
      <c r="B926" s="1205">
        <f>'House Count'!E926</f>
        <v/>
      </c>
      <c r="C926" s="1205">
        <f>'House Count'!B926</f>
        <v/>
      </c>
      <c r="D926" s="1205">
        <f>'House Count'!C926</f>
        <v/>
      </c>
      <c r="E926" s="1205">
        <f>'House Count'!D926</f>
        <v/>
      </c>
      <c r="F926" s="1205">
        <f>IF(G926="RES-SFU","RESIDENTIAL",IF(G926="RES-HOA","RESIDENTIAL",IF(G926="RES-MDU","RESIDENTIAL",IF(G926="COMM-SU","BUSINESS",IF(G926="COM-MTU","BUSINESS",IF(G926="ENT","BUSINESS",""))))))</f>
        <v/>
      </c>
      <c r="G926" s="1205">
        <f>'House Count'!F926</f>
        <v/>
      </c>
      <c r="H926" s="1205">
        <f>'House Count'!H926</f>
        <v/>
      </c>
    </row>
    <row r="927">
      <c r="A927" s="1204">
        <f>'House Count'!A927</f>
        <v/>
      </c>
      <c r="B927" s="1205">
        <f>'House Count'!E927</f>
        <v/>
      </c>
      <c r="C927" s="1205">
        <f>'House Count'!B927</f>
        <v/>
      </c>
      <c r="D927" s="1205">
        <f>'House Count'!C927</f>
        <v/>
      </c>
      <c r="E927" s="1205">
        <f>'House Count'!D927</f>
        <v/>
      </c>
      <c r="F927" s="1205">
        <f>IF(G927="RES-SFU","RESIDENTIAL",IF(G927="RES-HOA","RESIDENTIAL",IF(G927="RES-MDU","RESIDENTIAL",IF(G927="COMM-SU","BUSINESS",IF(G927="COM-MTU","BUSINESS",IF(G927="ENT","BUSINESS",""))))))</f>
        <v/>
      </c>
      <c r="G927" s="1205">
        <f>'House Count'!F927</f>
        <v/>
      </c>
      <c r="H927" s="1205">
        <f>'House Count'!H927</f>
        <v/>
      </c>
    </row>
    <row r="928">
      <c r="A928" s="1204">
        <f>'House Count'!A928</f>
        <v/>
      </c>
      <c r="B928" s="1205">
        <f>'House Count'!E928</f>
        <v/>
      </c>
      <c r="C928" s="1205">
        <f>'House Count'!B928</f>
        <v/>
      </c>
      <c r="D928" s="1205">
        <f>'House Count'!C928</f>
        <v/>
      </c>
      <c r="E928" s="1205">
        <f>'House Count'!D928</f>
        <v/>
      </c>
      <c r="F928" s="1205">
        <f>IF(G928="RES-SFU","RESIDENTIAL",IF(G928="RES-HOA","RESIDENTIAL",IF(G928="RES-MDU","RESIDENTIAL",IF(G928="COMM-SU","BUSINESS",IF(G928="COM-MTU","BUSINESS",IF(G928="ENT","BUSINESS",""))))))</f>
        <v/>
      </c>
      <c r="G928" s="1205">
        <f>'House Count'!F928</f>
        <v/>
      </c>
      <c r="H928" s="1205">
        <f>'House Count'!H928</f>
        <v/>
      </c>
    </row>
    <row r="929">
      <c r="A929" s="1204">
        <f>'House Count'!A929</f>
        <v/>
      </c>
      <c r="B929" s="1205">
        <f>'House Count'!E929</f>
        <v/>
      </c>
      <c r="C929" s="1205">
        <f>'House Count'!B929</f>
        <v/>
      </c>
      <c r="D929" s="1205">
        <f>'House Count'!C929</f>
        <v/>
      </c>
      <c r="E929" s="1205">
        <f>'House Count'!D929</f>
        <v/>
      </c>
      <c r="F929" s="1205">
        <f>IF(G929="RES-SFU","RESIDENTIAL",IF(G929="RES-HOA","RESIDENTIAL",IF(G929="RES-MDU","RESIDENTIAL",IF(G929="COMM-SU","BUSINESS",IF(G929="COM-MTU","BUSINESS",IF(G929="ENT","BUSINESS",""))))))</f>
        <v/>
      </c>
      <c r="G929" s="1205">
        <f>'House Count'!F929</f>
        <v/>
      </c>
      <c r="H929" s="1205">
        <f>'House Count'!H929</f>
        <v/>
      </c>
    </row>
    <row r="930">
      <c r="A930" s="1204">
        <f>'House Count'!A930</f>
        <v/>
      </c>
      <c r="B930" s="1205">
        <f>'House Count'!E930</f>
        <v/>
      </c>
      <c r="C930" s="1205">
        <f>'House Count'!B930</f>
        <v/>
      </c>
      <c r="D930" s="1205">
        <f>'House Count'!C930</f>
        <v/>
      </c>
      <c r="E930" s="1205">
        <f>'House Count'!D930</f>
        <v/>
      </c>
      <c r="F930" s="1205">
        <f>IF(G930="RES-SFU","RESIDENTIAL",IF(G930="RES-HOA","RESIDENTIAL",IF(G930="RES-MDU","RESIDENTIAL",IF(G930="COMM-SU","BUSINESS",IF(G930="COM-MTU","BUSINESS",IF(G930="ENT","BUSINESS",""))))))</f>
        <v/>
      </c>
      <c r="G930" s="1205">
        <f>'House Count'!F930</f>
        <v/>
      </c>
      <c r="H930" s="1205">
        <f>'House Count'!H930</f>
        <v/>
      </c>
    </row>
    <row r="931">
      <c r="A931" s="1204">
        <f>'House Count'!A931</f>
        <v/>
      </c>
      <c r="B931" s="1205">
        <f>'House Count'!E931</f>
        <v/>
      </c>
      <c r="C931" s="1205">
        <f>'House Count'!B931</f>
        <v/>
      </c>
      <c r="D931" s="1205">
        <f>'House Count'!C931</f>
        <v/>
      </c>
      <c r="E931" s="1205">
        <f>'House Count'!D931</f>
        <v/>
      </c>
      <c r="F931" s="1205">
        <f>IF(G931="RES-SFU","RESIDENTIAL",IF(G931="RES-HOA","RESIDENTIAL",IF(G931="RES-MDU","RESIDENTIAL",IF(G931="COMM-SU","BUSINESS",IF(G931="COM-MTU","BUSINESS",IF(G931="ENT","BUSINESS",""))))))</f>
        <v/>
      </c>
      <c r="G931" s="1205">
        <f>'House Count'!F931</f>
        <v/>
      </c>
      <c r="H931" s="1205">
        <f>'House Count'!H931</f>
        <v/>
      </c>
    </row>
    <row r="932">
      <c r="A932" s="1204">
        <f>'House Count'!A932</f>
        <v/>
      </c>
      <c r="B932" s="1205">
        <f>'House Count'!E932</f>
        <v/>
      </c>
      <c r="C932" s="1205">
        <f>'House Count'!B932</f>
        <v/>
      </c>
      <c r="D932" s="1205">
        <f>'House Count'!C932</f>
        <v/>
      </c>
      <c r="E932" s="1205">
        <f>'House Count'!D932</f>
        <v/>
      </c>
      <c r="F932" s="1205">
        <f>IF(G932="RES-SFU","RESIDENTIAL",IF(G932="RES-HOA","RESIDENTIAL",IF(G932="RES-MDU","RESIDENTIAL",IF(G932="COMM-SU","BUSINESS",IF(G932="COM-MTU","BUSINESS",IF(G932="ENT","BUSINESS",""))))))</f>
        <v/>
      </c>
      <c r="G932" s="1205">
        <f>'House Count'!F932</f>
        <v/>
      </c>
      <c r="H932" s="1205">
        <f>'House Count'!H932</f>
        <v/>
      </c>
    </row>
    <row r="933">
      <c r="A933" s="1204">
        <f>'House Count'!A933</f>
        <v/>
      </c>
      <c r="B933" s="1205">
        <f>'House Count'!E933</f>
        <v/>
      </c>
      <c r="C933" s="1205">
        <f>'House Count'!B933</f>
        <v/>
      </c>
      <c r="D933" s="1205">
        <f>'House Count'!C933</f>
        <v/>
      </c>
      <c r="E933" s="1205">
        <f>'House Count'!D933</f>
        <v/>
      </c>
      <c r="F933" s="1205">
        <f>IF(G933="RES-SFU","RESIDENTIAL",IF(G933="RES-HOA","RESIDENTIAL",IF(G933="RES-MDU","RESIDENTIAL",IF(G933="COMM-SU","BUSINESS",IF(G933="COM-MTU","BUSINESS",IF(G933="ENT","BUSINESS",""))))))</f>
        <v/>
      </c>
      <c r="G933" s="1205">
        <f>'House Count'!F933</f>
        <v/>
      </c>
      <c r="H933" s="1205">
        <f>'House Count'!H933</f>
        <v/>
      </c>
    </row>
    <row r="934">
      <c r="A934" s="1204">
        <f>'House Count'!A934</f>
        <v/>
      </c>
      <c r="B934" s="1205">
        <f>'House Count'!E934</f>
        <v/>
      </c>
      <c r="C934" s="1205">
        <f>'House Count'!B934</f>
        <v/>
      </c>
      <c r="D934" s="1205">
        <f>'House Count'!C934</f>
        <v/>
      </c>
      <c r="E934" s="1205">
        <f>'House Count'!D934</f>
        <v/>
      </c>
      <c r="F934" s="1205">
        <f>IF(G934="RES-SFU","RESIDENTIAL",IF(G934="RES-HOA","RESIDENTIAL",IF(G934="RES-MDU","RESIDENTIAL",IF(G934="COMM-SU","BUSINESS",IF(G934="COM-MTU","BUSINESS",IF(G934="ENT","BUSINESS",""))))))</f>
        <v/>
      </c>
      <c r="G934" s="1205">
        <f>'House Count'!F934</f>
        <v/>
      </c>
      <c r="H934" s="1205">
        <f>'House Count'!H934</f>
        <v/>
      </c>
    </row>
    <row r="935">
      <c r="A935" s="1204">
        <f>'House Count'!A935</f>
        <v/>
      </c>
      <c r="B935" s="1205">
        <f>'House Count'!E935</f>
        <v/>
      </c>
      <c r="C935" s="1205">
        <f>'House Count'!B935</f>
        <v/>
      </c>
      <c r="D935" s="1205">
        <f>'House Count'!C935</f>
        <v/>
      </c>
      <c r="E935" s="1205">
        <f>'House Count'!D935</f>
        <v/>
      </c>
      <c r="F935" s="1205">
        <f>IF(G935="RES-SFU","RESIDENTIAL",IF(G935="RES-HOA","RESIDENTIAL",IF(G935="RES-MDU","RESIDENTIAL",IF(G935="COMM-SU","BUSINESS",IF(G935="COM-MTU","BUSINESS",IF(G935="ENT","BUSINESS",""))))))</f>
        <v/>
      </c>
      <c r="G935" s="1205">
        <f>'House Count'!F935</f>
        <v/>
      </c>
      <c r="H935" s="1205">
        <f>'House Count'!H935</f>
        <v/>
      </c>
    </row>
    <row r="936">
      <c r="A936" s="1204">
        <f>'House Count'!A936</f>
        <v/>
      </c>
      <c r="B936" s="1205">
        <f>'House Count'!E936</f>
        <v/>
      </c>
      <c r="C936" s="1205">
        <f>'House Count'!B936</f>
        <v/>
      </c>
      <c r="D936" s="1205">
        <f>'House Count'!C936</f>
        <v/>
      </c>
      <c r="E936" s="1205">
        <f>'House Count'!D936</f>
        <v/>
      </c>
      <c r="F936" s="1205">
        <f>IF(G936="RES-SFU","RESIDENTIAL",IF(G936="RES-HOA","RESIDENTIAL",IF(G936="RES-MDU","RESIDENTIAL",IF(G936="COMM-SU","BUSINESS",IF(G936="COM-MTU","BUSINESS",IF(G936="ENT","BUSINESS",""))))))</f>
        <v/>
      </c>
      <c r="G936" s="1205">
        <f>'House Count'!F936</f>
        <v/>
      </c>
      <c r="H936" s="1205">
        <f>'House Count'!H936</f>
        <v/>
      </c>
    </row>
    <row r="937">
      <c r="A937" s="1204">
        <f>'House Count'!A937</f>
        <v/>
      </c>
      <c r="B937" s="1205">
        <f>'House Count'!E937</f>
        <v/>
      </c>
      <c r="C937" s="1205">
        <f>'House Count'!B937</f>
        <v/>
      </c>
      <c r="D937" s="1205">
        <f>'House Count'!C937</f>
        <v/>
      </c>
      <c r="E937" s="1205">
        <f>'House Count'!D937</f>
        <v/>
      </c>
      <c r="F937" s="1205">
        <f>IF(G937="RES-SFU","RESIDENTIAL",IF(G937="RES-HOA","RESIDENTIAL",IF(G937="RES-MDU","RESIDENTIAL",IF(G937="COMM-SU","BUSINESS",IF(G937="COM-MTU","BUSINESS",IF(G937="ENT","BUSINESS",""))))))</f>
        <v/>
      </c>
      <c r="G937" s="1205">
        <f>'House Count'!F937</f>
        <v/>
      </c>
      <c r="H937" s="1205">
        <f>'House Count'!H937</f>
        <v/>
      </c>
    </row>
    <row r="938">
      <c r="A938" s="1204">
        <f>'House Count'!A938</f>
        <v/>
      </c>
      <c r="B938" s="1205">
        <f>'House Count'!E938</f>
        <v/>
      </c>
      <c r="C938" s="1205">
        <f>'House Count'!B938</f>
        <v/>
      </c>
      <c r="D938" s="1205">
        <f>'House Count'!C938</f>
        <v/>
      </c>
      <c r="E938" s="1205">
        <f>'House Count'!D938</f>
        <v/>
      </c>
      <c r="F938" s="1205">
        <f>IF(G938="RES-SFU","RESIDENTIAL",IF(G938="RES-HOA","RESIDENTIAL",IF(G938="RES-MDU","RESIDENTIAL",IF(G938="COMM-SU","BUSINESS",IF(G938="COM-MTU","BUSINESS",IF(G938="ENT","BUSINESS",""))))))</f>
        <v/>
      </c>
      <c r="G938" s="1205">
        <f>'House Count'!F938</f>
        <v/>
      </c>
      <c r="H938" s="1205">
        <f>'House Count'!H938</f>
        <v/>
      </c>
    </row>
    <row r="939">
      <c r="A939" s="1204">
        <f>'House Count'!A939</f>
        <v/>
      </c>
      <c r="B939" s="1205">
        <f>'House Count'!E939</f>
        <v/>
      </c>
      <c r="C939" s="1205">
        <f>'House Count'!B939</f>
        <v/>
      </c>
      <c r="D939" s="1205">
        <f>'House Count'!C939</f>
        <v/>
      </c>
      <c r="E939" s="1205">
        <f>'House Count'!D939</f>
        <v/>
      </c>
      <c r="F939" s="1205">
        <f>IF(G939="RES-SFU","RESIDENTIAL",IF(G939="RES-HOA","RESIDENTIAL",IF(G939="RES-MDU","RESIDENTIAL",IF(G939="COMM-SU","BUSINESS",IF(G939="COM-MTU","BUSINESS",IF(G939="ENT","BUSINESS",""))))))</f>
        <v/>
      </c>
      <c r="G939" s="1205">
        <f>'House Count'!F939</f>
        <v/>
      </c>
      <c r="H939" s="1205">
        <f>'House Count'!H939</f>
        <v/>
      </c>
    </row>
    <row r="940">
      <c r="A940" s="1204">
        <f>'House Count'!A940</f>
        <v/>
      </c>
      <c r="B940" s="1205">
        <f>'House Count'!E940</f>
        <v/>
      </c>
      <c r="C940" s="1205">
        <f>'House Count'!B940</f>
        <v/>
      </c>
      <c r="D940" s="1205">
        <f>'House Count'!C940</f>
        <v/>
      </c>
      <c r="E940" s="1205">
        <f>'House Count'!D940</f>
        <v/>
      </c>
      <c r="F940" s="1205">
        <f>IF(G940="RES-SFU","RESIDENTIAL",IF(G940="RES-HOA","RESIDENTIAL",IF(G940="RES-MDU","RESIDENTIAL",IF(G940="COMM-SU","BUSINESS",IF(G940="COM-MTU","BUSINESS",IF(G940="ENT","BUSINESS",""))))))</f>
        <v/>
      </c>
      <c r="G940" s="1205">
        <f>'House Count'!F940</f>
        <v/>
      </c>
      <c r="H940" s="1205">
        <f>'House Count'!H940</f>
        <v/>
      </c>
    </row>
    <row r="941">
      <c r="A941" s="1204">
        <f>'House Count'!A941</f>
        <v/>
      </c>
      <c r="B941" s="1205">
        <f>'House Count'!E941</f>
        <v/>
      </c>
      <c r="C941" s="1205">
        <f>'House Count'!B941</f>
        <v/>
      </c>
      <c r="D941" s="1205">
        <f>'House Count'!C941</f>
        <v/>
      </c>
      <c r="E941" s="1205">
        <f>'House Count'!D941</f>
        <v/>
      </c>
      <c r="F941" s="1205">
        <f>IF(G941="RES-SFU","RESIDENTIAL",IF(G941="RES-HOA","RESIDENTIAL",IF(G941="RES-MDU","RESIDENTIAL",IF(G941="COMM-SU","BUSINESS",IF(G941="COM-MTU","BUSINESS",IF(G941="ENT","BUSINESS",""))))))</f>
        <v/>
      </c>
      <c r="G941" s="1205">
        <f>'House Count'!F941</f>
        <v/>
      </c>
      <c r="H941" s="1205">
        <f>'House Count'!H941</f>
        <v/>
      </c>
    </row>
    <row r="942">
      <c r="A942" s="1204">
        <f>'House Count'!A942</f>
        <v/>
      </c>
      <c r="B942" s="1205">
        <f>'House Count'!E942</f>
        <v/>
      </c>
      <c r="C942" s="1205">
        <f>'House Count'!B942</f>
        <v/>
      </c>
      <c r="D942" s="1205">
        <f>'House Count'!C942</f>
        <v/>
      </c>
      <c r="E942" s="1205">
        <f>'House Count'!D942</f>
        <v/>
      </c>
      <c r="F942" s="1205">
        <f>IF(G942="RES-SFU","RESIDENTIAL",IF(G942="RES-HOA","RESIDENTIAL",IF(G942="RES-MDU","RESIDENTIAL",IF(G942="COMM-SU","BUSINESS",IF(G942="COM-MTU","BUSINESS",IF(G942="ENT","BUSINESS",""))))))</f>
        <v/>
      </c>
      <c r="G942" s="1205">
        <f>'House Count'!F942</f>
        <v/>
      </c>
      <c r="H942" s="1205">
        <f>'House Count'!H942</f>
        <v/>
      </c>
    </row>
    <row r="943">
      <c r="A943" s="1204">
        <f>'House Count'!A943</f>
        <v/>
      </c>
      <c r="B943" s="1205">
        <f>'House Count'!E943</f>
        <v/>
      </c>
      <c r="C943" s="1205">
        <f>'House Count'!B943</f>
        <v/>
      </c>
      <c r="D943" s="1205">
        <f>'House Count'!C943</f>
        <v/>
      </c>
      <c r="E943" s="1205">
        <f>'House Count'!D943</f>
        <v/>
      </c>
      <c r="F943" s="1205">
        <f>IF(G943="RES-SFU","RESIDENTIAL",IF(G943="RES-HOA","RESIDENTIAL",IF(G943="RES-MDU","RESIDENTIAL",IF(G943="COMM-SU","BUSINESS",IF(G943="COM-MTU","BUSINESS",IF(G943="ENT","BUSINESS",""))))))</f>
        <v/>
      </c>
      <c r="G943" s="1205">
        <f>'House Count'!F943</f>
        <v/>
      </c>
      <c r="H943" s="1205">
        <f>'House Count'!H943</f>
        <v/>
      </c>
    </row>
    <row r="944">
      <c r="A944" s="1204">
        <f>'House Count'!A944</f>
        <v/>
      </c>
      <c r="B944" s="1205">
        <f>'House Count'!E944</f>
        <v/>
      </c>
      <c r="C944" s="1205">
        <f>'House Count'!B944</f>
        <v/>
      </c>
      <c r="D944" s="1205">
        <f>'House Count'!C944</f>
        <v/>
      </c>
      <c r="E944" s="1205">
        <f>'House Count'!D944</f>
        <v/>
      </c>
      <c r="F944" s="1205">
        <f>IF(G944="RES-SFU","RESIDENTIAL",IF(G944="RES-HOA","RESIDENTIAL",IF(G944="RES-MDU","RESIDENTIAL",IF(G944="COMM-SU","BUSINESS",IF(G944="COM-MTU","BUSINESS",IF(G944="ENT","BUSINESS",""))))))</f>
        <v/>
      </c>
      <c r="G944" s="1205">
        <f>'House Count'!F944</f>
        <v/>
      </c>
      <c r="H944" s="1205">
        <f>'House Count'!H944</f>
        <v/>
      </c>
    </row>
    <row r="945">
      <c r="A945" s="1204">
        <f>'House Count'!A945</f>
        <v/>
      </c>
      <c r="B945" s="1205">
        <f>'House Count'!E945</f>
        <v/>
      </c>
      <c r="C945" s="1205">
        <f>'House Count'!B945</f>
        <v/>
      </c>
      <c r="D945" s="1205">
        <f>'House Count'!C945</f>
        <v/>
      </c>
      <c r="E945" s="1205">
        <f>'House Count'!D945</f>
        <v/>
      </c>
      <c r="F945" s="1205">
        <f>IF(G945="RES-SFU","RESIDENTIAL",IF(G945="RES-HOA","RESIDENTIAL",IF(G945="RES-MDU","RESIDENTIAL",IF(G945="COMM-SU","BUSINESS",IF(G945="COM-MTU","BUSINESS",IF(G945="ENT","BUSINESS",""))))))</f>
        <v/>
      </c>
      <c r="G945" s="1205">
        <f>'House Count'!F945</f>
        <v/>
      </c>
      <c r="H945" s="1205">
        <f>'House Count'!H945</f>
        <v/>
      </c>
    </row>
    <row r="946">
      <c r="A946" s="1204">
        <f>'House Count'!A946</f>
        <v/>
      </c>
      <c r="B946" s="1205">
        <f>'House Count'!E946</f>
        <v/>
      </c>
      <c r="C946" s="1205">
        <f>'House Count'!B946</f>
        <v/>
      </c>
      <c r="D946" s="1205">
        <f>'House Count'!C946</f>
        <v/>
      </c>
      <c r="E946" s="1205">
        <f>'House Count'!D946</f>
        <v/>
      </c>
      <c r="F946" s="1205">
        <f>IF(G946="RES-SFU","RESIDENTIAL",IF(G946="RES-HOA","RESIDENTIAL",IF(G946="RES-MDU","RESIDENTIAL",IF(G946="COMM-SU","BUSINESS",IF(G946="COM-MTU","BUSINESS",IF(G946="ENT","BUSINESS",""))))))</f>
        <v/>
      </c>
      <c r="G946" s="1205">
        <f>'House Count'!F946</f>
        <v/>
      </c>
      <c r="H946" s="1205">
        <f>'House Count'!H946</f>
        <v/>
      </c>
    </row>
    <row r="947">
      <c r="A947" s="1204">
        <f>'House Count'!A947</f>
        <v/>
      </c>
      <c r="B947" s="1205">
        <f>'House Count'!E947</f>
        <v/>
      </c>
      <c r="C947" s="1205">
        <f>'House Count'!B947</f>
        <v/>
      </c>
      <c r="D947" s="1205">
        <f>'House Count'!C947</f>
        <v/>
      </c>
      <c r="E947" s="1205">
        <f>'House Count'!D947</f>
        <v/>
      </c>
      <c r="F947" s="1205">
        <f>IF(G947="RES-SFU","RESIDENTIAL",IF(G947="RES-HOA","RESIDENTIAL",IF(G947="RES-MDU","RESIDENTIAL",IF(G947="COMM-SU","BUSINESS",IF(G947="COM-MTU","BUSINESS",IF(G947="ENT","BUSINESS",""))))))</f>
        <v/>
      </c>
      <c r="G947" s="1205">
        <f>'House Count'!F947</f>
        <v/>
      </c>
      <c r="H947" s="1205">
        <f>'House Count'!H947</f>
        <v/>
      </c>
    </row>
    <row r="948">
      <c r="A948" s="1204">
        <f>'House Count'!A948</f>
        <v/>
      </c>
      <c r="B948" s="1205">
        <f>'House Count'!E948</f>
        <v/>
      </c>
      <c r="C948" s="1205">
        <f>'House Count'!B948</f>
        <v/>
      </c>
      <c r="D948" s="1205">
        <f>'House Count'!C948</f>
        <v/>
      </c>
      <c r="E948" s="1205">
        <f>'House Count'!D948</f>
        <v/>
      </c>
      <c r="F948" s="1205">
        <f>IF(G948="RES-SFU","RESIDENTIAL",IF(G948="RES-HOA","RESIDENTIAL",IF(G948="RES-MDU","RESIDENTIAL",IF(G948="COMM-SU","BUSINESS",IF(G948="COM-MTU","BUSINESS",IF(G948="ENT","BUSINESS",""))))))</f>
        <v/>
      </c>
      <c r="G948" s="1205">
        <f>'House Count'!F948</f>
        <v/>
      </c>
      <c r="H948" s="1205">
        <f>'House Count'!H948</f>
        <v/>
      </c>
    </row>
    <row r="949">
      <c r="A949" s="1204">
        <f>'House Count'!A949</f>
        <v/>
      </c>
      <c r="B949" s="1205">
        <f>'House Count'!E949</f>
        <v/>
      </c>
      <c r="C949" s="1205">
        <f>'House Count'!B949</f>
        <v/>
      </c>
      <c r="D949" s="1205">
        <f>'House Count'!C949</f>
        <v/>
      </c>
      <c r="E949" s="1205">
        <f>'House Count'!D949</f>
        <v/>
      </c>
      <c r="F949" s="1205">
        <f>IF(G949="RES-SFU","RESIDENTIAL",IF(G949="RES-HOA","RESIDENTIAL",IF(G949="RES-MDU","RESIDENTIAL",IF(G949="COMM-SU","BUSINESS",IF(G949="COM-MTU","BUSINESS",IF(G949="ENT","BUSINESS",""))))))</f>
        <v/>
      </c>
      <c r="G949" s="1205">
        <f>'House Count'!F949</f>
        <v/>
      </c>
      <c r="H949" s="1205">
        <f>'House Count'!H949</f>
        <v/>
      </c>
    </row>
    <row r="950">
      <c r="A950" s="1204">
        <f>'House Count'!A950</f>
        <v/>
      </c>
      <c r="B950" s="1205">
        <f>'House Count'!E950</f>
        <v/>
      </c>
      <c r="C950" s="1205">
        <f>'House Count'!B950</f>
        <v/>
      </c>
      <c r="D950" s="1205">
        <f>'House Count'!C950</f>
        <v/>
      </c>
      <c r="E950" s="1205">
        <f>'House Count'!D950</f>
        <v/>
      </c>
      <c r="F950" s="1205">
        <f>IF(G950="RES-SFU","RESIDENTIAL",IF(G950="RES-HOA","RESIDENTIAL",IF(G950="RES-MDU","RESIDENTIAL",IF(G950="COMM-SU","BUSINESS",IF(G950="COM-MTU","BUSINESS",IF(G950="ENT","BUSINESS",""))))))</f>
        <v/>
      </c>
      <c r="G950" s="1205">
        <f>'House Count'!F950</f>
        <v/>
      </c>
      <c r="H950" s="1205">
        <f>'House Count'!H950</f>
        <v/>
      </c>
    </row>
    <row r="951">
      <c r="A951" s="1204">
        <f>'House Count'!A951</f>
        <v/>
      </c>
      <c r="B951" s="1205">
        <f>'House Count'!E951</f>
        <v/>
      </c>
      <c r="C951" s="1205">
        <f>'House Count'!B951</f>
        <v/>
      </c>
      <c r="D951" s="1205">
        <f>'House Count'!C951</f>
        <v/>
      </c>
      <c r="E951" s="1205">
        <f>'House Count'!D951</f>
        <v/>
      </c>
      <c r="F951" s="1205">
        <f>IF(G951="RES-SFU","RESIDENTIAL",IF(G951="RES-HOA","RESIDENTIAL",IF(G951="RES-MDU","RESIDENTIAL",IF(G951="COMM-SU","BUSINESS",IF(G951="COM-MTU","BUSINESS",IF(G951="ENT","BUSINESS",""))))))</f>
        <v/>
      </c>
      <c r="G951" s="1205">
        <f>'House Count'!F951</f>
        <v/>
      </c>
      <c r="H951" s="1205">
        <f>'House Count'!H951</f>
        <v/>
      </c>
    </row>
    <row r="952">
      <c r="A952" s="1204">
        <f>'House Count'!A952</f>
        <v/>
      </c>
      <c r="B952" s="1205">
        <f>'House Count'!E952</f>
        <v/>
      </c>
      <c r="C952" s="1205">
        <f>'House Count'!B952</f>
        <v/>
      </c>
      <c r="D952" s="1205">
        <f>'House Count'!C952</f>
        <v/>
      </c>
      <c r="E952" s="1205">
        <f>'House Count'!D952</f>
        <v/>
      </c>
      <c r="F952" s="1205">
        <f>IF(G952="RES-SFU","RESIDENTIAL",IF(G952="RES-HOA","RESIDENTIAL",IF(G952="RES-MDU","RESIDENTIAL",IF(G952="COMM-SU","BUSINESS",IF(G952="COM-MTU","BUSINESS",IF(G952="ENT","BUSINESS",""))))))</f>
        <v/>
      </c>
      <c r="G952" s="1205">
        <f>'House Count'!F952</f>
        <v/>
      </c>
      <c r="H952" s="1205">
        <f>'House Count'!H952</f>
        <v/>
      </c>
    </row>
    <row r="953">
      <c r="A953" s="1204">
        <f>'House Count'!A953</f>
        <v/>
      </c>
      <c r="B953" s="1205">
        <f>'House Count'!E953</f>
        <v/>
      </c>
      <c r="C953" s="1205">
        <f>'House Count'!B953</f>
        <v/>
      </c>
      <c r="D953" s="1205">
        <f>'House Count'!C953</f>
        <v/>
      </c>
      <c r="E953" s="1205">
        <f>'House Count'!D953</f>
        <v/>
      </c>
      <c r="F953" s="1205">
        <f>IF(G953="RES-SFU","RESIDENTIAL",IF(G953="RES-HOA","RESIDENTIAL",IF(G953="RES-MDU","RESIDENTIAL",IF(G953="COMM-SU","BUSINESS",IF(G953="COM-MTU","BUSINESS",IF(G953="ENT","BUSINESS",""))))))</f>
        <v/>
      </c>
      <c r="G953" s="1205">
        <f>'House Count'!F953</f>
        <v/>
      </c>
      <c r="H953" s="1205">
        <f>'House Count'!H953</f>
        <v/>
      </c>
    </row>
    <row r="954">
      <c r="A954" s="1204">
        <f>'House Count'!A954</f>
        <v/>
      </c>
      <c r="B954" s="1205">
        <f>'House Count'!E954</f>
        <v/>
      </c>
      <c r="C954" s="1205">
        <f>'House Count'!B954</f>
        <v/>
      </c>
      <c r="D954" s="1205">
        <f>'House Count'!C954</f>
        <v/>
      </c>
      <c r="E954" s="1205">
        <f>'House Count'!D954</f>
        <v/>
      </c>
      <c r="F954" s="1205">
        <f>IF(G954="RES-SFU","RESIDENTIAL",IF(G954="RES-HOA","RESIDENTIAL",IF(G954="RES-MDU","RESIDENTIAL",IF(G954="COMM-SU","BUSINESS",IF(G954="COM-MTU","BUSINESS",IF(G954="ENT","BUSINESS",""))))))</f>
        <v/>
      </c>
      <c r="G954" s="1205">
        <f>'House Count'!F954</f>
        <v/>
      </c>
      <c r="H954" s="1205">
        <f>'House Count'!H954</f>
        <v/>
      </c>
    </row>
    <row r="955">
      <c r="A955" s="1204">
        <f>'House Count'!A955</f>
        <v/>
      </c>
      <c r="B955" s="1205">
        <f>'House Count'!E955</f>
        <v/>
      </c>
      <c r="C955" s="1205">
        <f>'House Count'!B955</f>
        <v/>
      </c>
      <c r="D955" s="1205">
        <f>'House Count'!C955</f>
        <v/>
      </c>
      <c r="E955" s="1205">
        <f>'House Count'!D955</f>
        <v/>
      </c>
      <c r="F955" s="1205">
        <f>IF(G955="RES-SFU","RESIDENTIAL",IF(G955="RES-HOA","RESIDENTIAL",IF(G955="RES-MDU","RESIDENTIAL",IF(G955="COMM-SU","BUSINESS",IF(G955="COM-MTU","BUSINESS",IF(G955="ENT","BUSINESS",""))))))</f>
        <v/>
      </c>
      <c r="G955" s="1205">
        <f>'House Count'!F955</f>
        <v/>
      </c>
      <c r="H955" s="1205">
        <f>'House Count'!H955</f>
        <v/>
      </c>
    </row>
    <row r="956">
      <c r="A956" s="1204">
        <f>'House Count'!A956</f>
        <v/>
      </c>
      <c r="B956" s="1205">
        <f>'House Count'!E956</f>
        <v/>
      </c>
      <c r="C956" s="1205">
        <f>'House Count'!B956</f>
        <v/>
      </c>
      <c r="D956" s="1205">
        <f>'House Count'!C956</f>
        <v/>
      </c>
      <c r="E956" s="1205">
        <f>'House Count'!D956</f>
        <v/>
      </c>
      <c r="F956" s="1205">
        <f>IF(G956="RES-SFU","RESIDENTIAL",IF(G956="RES-HOA","RESIDENTIAL",IF(G956="RES-MDU","RESIDENTIAL",IF(G956="COMM-SU","BUSINESS",IF(G956="COM-MTU","BUSINESS",IF(G956="ENT","BUSINESS",""))))))</f>
        <v/>
      </c>
      <c r="G956" s="1205">
        <f>'House Count'!F956</f>
        <v/>
      </c>
      <c r="H956" s="1205">
        <f>'House Count'!H956</f>
        <v/>
      </c>
    </row>
    <row r="957">
      <c r="A957" s="1204">
        <f>'House Count'!A957</f>
        <v/>
      </c>
      <c r="B957" s="1205">
        <f>'House Count'!E957</f>
        <v/>
      </c>
      <c r="C957" s="1205">
        <f>'House Count'!B957</f>
        <v/>
      </c>
      <c r="D957" s="1205">
        <f>'House Count'!C957</f>
        <v/>
      </c>
      <c r="E957" s="1205">
        <f>'House Count'!D957</f>
        <v/>
      </c>
      <c r="F957" s="1205">
        <f>IF(G957="RES-SFU","RESIDENTIAL",IF(G957="RES-HOA","RESIDENTIAL",IF(G957="RES-MDU","RESIDENTIAL",IF(G957="COMM-SU","BUSINESS",IF(G957="COM-MTU","BUSINESS",IF(G957="ENT","BUSINESS",""))))))</f>
        <v/>
      </c>
      <c r="G957" s="1205">
        <f>'House Count'!F957</f>
        <v/>
      </c>
      <c r="H957" s="1205">
        <f>'House Count'!H957</f>
        <v/>
      </c>
    </row>
    <row r="958">
      <c r="A958" s="1204">
        <f>'House Count'!A958</f>
        <v/>
      </c>
      <c r="B958" s="1205">
        <f>'House Count'!E958</f>
        <v/>
      </c>
      <c r="C958" s="1205">
        <f>'House Count'!B958</f>
        <v/>
      </c>
      <c r="D958" s="1205">
        <f>'House Count'!C958</f>
        <v/>
      </c>
      <c r="E958" s="1205">
        <f>'House Count'!D958</f>
        <v/>
      </c>
      <c r="F958" s="1205">
        <f>IF(G958="RES-SFU","RESIDENTIAL",IF(G958="RES-HOA","RESIDENTIAL",IF(G958="RES-MDU","RESIDENTIAL",IF(G958="COMM-SU","BUSINESS",IF(G958="COM-MTU","BUSINESS",IF(G958="ENT","BUSINESS",""))))))</f>
        <v/>
      </c>
      <c r="G958" s="1205">
        <f>'House Count'!F958</f>
        <v/>
      </c>
      <c r="H958" s="1205">
        <f>'House Count'!H958</f>
        <v/>
      </c>
    </row>
    <row r="959">
      <c r="A959" s="1204">
        <f>'House Count'!A959</f>
        <v/>
      </c>
      <c r="B959" s="1205">
        <f>'House Count'!E959</f>
        <v/>
      </c>
      <c r="C959" s="1205">
        <f>'House Count'!B959</f>
        <v/>
      </c>
      <c r="D959" s="1205">
        <f>'House Count'!C959</f>
        <v/>
      </c>
      <c r="E959" s="1205">
        <f>'House Count'!D959</f>
        <v/>
      </c>
      <c r="F959" s="1205">
        <f>IF(G959="RES-SFU","RESIDENTIAL",IF(G959="RES-HOA","RESIDENTIAL",IF(G959="RES-MDU","RESIDENTIAL",IF(G959="COMM-SU","BUSINESS",IF(G959="COM-MTU","BUSINESS",IF(G959="ENT","BUSINESS",""))))))</f>
        <v/>
      </c>
      <c r="G959" s="1205">
        <f>'House Count'!F959</f>
        <v/>
      </c>
      <c r="H959" s="1205">
        <f>'House Count'!H959</f>
        <v/>
      </c>
    </row>
    <row r="960">
      <c r="A960" s="1204">
        <f>'House Count'!A960</f>
        <v/>
      </c>
      <c r="B960" s="1205">
        <f>'House Count'!E960</f>
        <v/>
      </c>
      <c r="C960" s="1205">
        <f>'House Count'!B960</f>
        <v/>
      </c>
      <c r="D960" s="1205">
        <f>'House Count'!C960</f>
        <v/>
      </c>
      <c r="E960" s="1205">
        <f>'House Count'!D960</f>
        <v/>
      </c>
      <c r="F960" s="1205">
        <f>IF(G960="RES-SFU","RESIDENTIAL",IF(G960="RES-HOA","RESIDENTIAL",IF(G960="RES-MDU","RESIDENTIAL",IF(G960="COMM-SU","BUSINESS",IF(G960="COM-MTU","BUSINESS",IF(G960="ENT","BUSINESS",""))))))</f>
        <v/>
      </c>
      <c r="G960" s="1205">
        <f>'House Count'!F960</f>
        <v/>
      </c>
      <c r="H960" s="1205">
        <f>'House Count'!H960</f>
        <v/>
      </c>
    </row>
    <row r="961">
      <c r="A961" s="1204">
        <f>'House Count'!A961</f>
        <v/>
      </c>
      <c r="B961" s="1205">
        <f>'House Count'!E961</f>
        <v/>
      </c>
      <c r="C961" s="1205">
        <f>'House Count'!B961</f>
        <v/>
      </c>
      <c r="D961" s="1205">
        <f>'House Count'!C961</f>
        <v/>
      </c>
      <c r="E961" s="1205">
        <f>'House Count'!D961</f>
        <v/>
      </c>
      <c r="F961" s="1205">
        <f>IF(G961="RES-SFU","RESIDENTIAL",IF(G961="RES-HOA","RESIDENTIAL",IF(G961="RES-MDU","RESIDENTIAL",IF(G961="COMM-SU","BUSINESS",IF(G961="COM-MTU","BUSINESS",IF(G961="ENT","BUSINESS",""))))))</f>
        <v/>
      </c>
      <c r="G961" s="1205">
        <f>'House Count'!F961</f>
        <v/>
      </c>
      <c r="H961" s="1205">
        <f>'House Count'!H961</f>
        <v/>
      </c>
    </row>
    <row r="962">
      <c r="A962" s="1204">
        <f>'House Count'!A962</f>
        <v/>
      </c>
      <c r="B962" s="1205">
        <f>'House Count'!E962</f>
        <v/>
      </c>
      <c r="C962" s="1205">
        <f>'House Count'!B962</f>
        <v/>
      </c>
      <c r="D962" s="1205">
        <f>'House Count'!C962</f>
        <v/>
      </c>
      <c r="E962" s="1205">
        <f>'House Count'!D962</f>
        <v/>
      </c>
      <c r="F962" s="1205">
        <f>IF(G962="RES-SFU","RESIDENTIAL",IF(G962="RES-HOA","RESIDENTIAL",IF(G962="RES-MDU","RESIDENTIAL",IF(G962="COMM-SU","BUSINESS",IF(G962="COM-MTU","BUSINESS",IF(G962="ENT","BUSINESS",""))))))</f>
        <v/>
      </c>
      <c r="G962" s="1205">
        <f>'House Count'!F962</f>
        <v/>
      </c>
      <c r="H962" s="1205">
        <f>'House Count'!H962</f>
        <v/>
      </c>
    </row>
    <row r="963">
      <c r="A963" s="1204">
        <f>'House Count'!A963</f>
        <v/>
      </c>
      <c r="B963" s="1205">
        <f>'House Count'!E963</f>
        <v/>
      </c>
      <c r="C963" s="1205">
        <f>'House Count'!B963</f>
        <v/>
      </c>
      <c r="D963" s="1205">
        <f>'House Count'!C963</f>
        <v/>
      </c>
      <c r="E963" s="1205">
        <f>'House Count'!D963</f>
        <v/>
      </c>
      <c r="F963" s="1205">
        <f>IF(G963="RES-SFU","RESIDENTIAL",IF(G963="RES-HOA","RESIDENTIAL",IF(G963="RES-MDU","RESIDENTIAL",IF(G963="COMM-SU","BUSINESS",IF(G963="COM-MTU","BUSINESS",IF(G963="ENT","BUSINESS",""))))))</f>
        <v/>
      </c>
      <c r="G963" s="1205">
        <f>'House Count'!F963</f>
        <v/>
      </c>
      <c r="H963" s="1205">
        <f>'House Count'!H963</f>
        <v/>
      </c>
    </row>
    <row r="964">
      <c r="A964" s="1204">
        <f>'House Count'!A964</f>
        <v/>
      </c>
      <c r="B964" s="1205">
        <f>'House Count'!E964</f>
        <v/>
      </c>
      <c r="C964" s="1205">
        <f>'House Count'!B964</f>
        <v/>
      </c>
      <c r="D964" s="1205">
        <f>'House Count'!C964</f>
        <v/>
      </c>
      <c r="E964" s="1205">
        <f>'House Count'!D964</f>
        <v/>
      </c>
      <c r="F964" s="1205">
        <f>IF(G964="RES-SFU","RESIDENTIAL",IF(G964="RES-HOA","RESIDENTIAL",IF(G964="RES-MDU","RESIDENTIAL",IF(G964="COMM-SU","BUSINESS",IF(G964="COM-MTU","BUSINESS",IF(G964="ENT","BUSINESS",""))))))</f>
        <v/>
      </c>
      <c r="G964" s="1205">
        <f>'House Count'!F964</f>
        <v/>
      </c>
      <c r="H964" s="1205">
        <f>'House Count'!H964</f>
        <v/>
      </c>
    </row>
    <row r="965">
      <c r="A965" s="1204">
        <f>'House Count'!A965</f>
        <v/>
      </c>
      <c r="B965" s="1205">
        <f>'House Count'!E965</f>
        <v/>
      </c>
      <c r="C965" s="1205">
        <f>'House Count'!B965</f>
        <v/>
      </c>
      <c r="D965" s="1205">
        <f>'House Count'!C965</f>
        <v/>
      </c>
      <c r="E965" s="1205">
        <f>'House Count'!D965</f>
        <v/>
      </c>
      <c r="F965" s="1205">
        <f>IF(G965="RES-SFU","RESIDENTIAL",IF(G965="RES-HOA","RESIDENTIAL",IF(G965="RES-MDU","RESIDENTIAL",IF(G965="COMM-SU","BUSINESS",IF(G965="COM-MTU","BUSINESS",IF(G965="ENT","BUSINESS",""))))))</f>
        <v/>
      </c>
      <c r="G965" s="1205">
        <f>'House Count'!F965</f>
        <v/>
      </c>
      <c r="H965" s="1205">
        <f>'House Count'!H965</f>
        <v/>
      </c>
    </row>
    <row r="966">
      <c r="A966" s="1204">
        <f>'House Count'!A966</f>
        <v/>
      </c>
      <c r="B966" s="1205">
        <f>'House Count'!E966</f>
        <v/>
      </c>
      <c r="C966" s="1205">
        <f>'House Count'!B966</f>
        <v/>
      </c>
      <c r="D966" s="1205">
        <f>'House Count'!C966</f>
        <v/>
      </c>
      <c r="E966" s="1205">
        <f>'House Count'!D966</f>
        <v/>
      </c>
      <c r="F966" s="1205">
        <f>IF(G966="RES-SFU","RESIDENTIAL",IF(G966="RES-HOA","RESIDENTIAL",IF(G966="RES-MDU","RESIDENTIAL",IF(G966="COMM-SU","BUSINESS",IF(G966="COM-MTU","BUSINESS",IF(G966="ENT","BUSINESS",""))))))</f>
        <v/>
      </c>
      <c r="G966" s="1205">
        <f>'House Count'!F966</f>
        <v/>
      </c>
      <c r="H966" s="1205">
        <f>'House Count'!H966</f>
        <v/>
      </c>
    </row>
    <row r="967">
      <c r="A967" s="1204">
        <f>'House Count'!A967</f>
        <v/>
      </c>
      <c r="B967" s="1205">
        <f>'House Count'!E967</f>
        <v/>
      </c>
      <c r="C967" s="1205">
        <f>'House Count'!B967</f>
        <v/>
      </c>
      <c r="D967" s="1205">
        <f>'House Count'!C967</f>
        <v/>
      </c>
      <c r="E967" s="1205">
        <f>'House Count'!D967</f>
        <v/>
      </c>
      <c r="F967" s="1205">
        <f>IF(G967="RES-SFU","RESIDENTIAL",IF(G967="RES-HOA","RESIDENTIAL",IF(G967="RES-MDU","RESIDENTIAL",IF(G967="COMM-SU","BUSINESS",IF(G967="COM-MTU","BUSINESS",IF(G967="ENT","BUSINESS",""))))))</f>
        <v/>
      </c>
      <c r="G967" s="1205">
        <f>'House Count'!F967</f>
        <v/>
      </c>
      <c r="H967" s="1205">
        <f>'House Count'!H967</f>
        <v/>
      </c>
    </row>
    <row r="968">
      <c r="A968" s="1204">
        <f>'House Count'!A968</f>
        <v/>
      </c>
      <c r="B968" s="1205">
        <f>'House Count'!E968</f>
        <v/>
      </c>
      <c r="C968" s="1205">
        <f>'House Count'!B968</f>
        <v/>
      </c>
      <c r="D968" s="1205">
        <f>'House Count'!C968</f>
        <v/>
      </c>
      <c r="E968" s="1205">
        <f>'House Count'!D968</f>
        <v/>
      </c>
      <c r="F968" s="1205">
        <f>IF(G968="RES-SFU","RESIDENTIAL",IF(G968="RES-HOA","RESIDENTIAL",IF(G968="RES-MDU","RESIDENTIAL",IF(G968="COMM-SU","BUSINESS",IF(G968="COM-MTU","BUSINESS",IF(G968="ENT","BUSINESS",""))))))</f>
        <v/>
      </c>
      <c r="G968" s="1205">
        <f>'House Count'!F968</f>
        <v/>
      </c>
      <c r="H968" s="1205">
        <f>'House Count'!H968</f>
        <v/>
      </c>
    </row>
    <row r="969">
      <c r="A969" s="1204">
        <f>'House Count'!A969</f>
        <v/>
      </c>
      <c r="B969" s="1205">
        <f>'House Count'!E969</f>
        <v/>
      </c>
      <c r="C969" s="1205">
        <f>'House Count'!B969</f>
        <v/>
      </c>
      <c r="D969" s="1205">
        <f>'House Count'!C969</f>
        <v/>
      </c>
      <c r="E969" s="1205">
        <f>'House Count'!D969</f>
        <v/>
      </c>
      <c r="F969" s="1205">
        <f>IF(G969="RES-SFU","RESIDENTIAL",IF(G969="RES-HOA","RESIDENTIAL",IF(G969="RES-MDU","RESIDENTIAL",IF(G969="COMM-SU","BUSINESS",IF(G969="COM-MTU","BUSINESS",IF(G969="ENT","BUSINESS",""))))))</f>
        <v/>
      </c>
      <c r="G969" s="1205">
        <f>'House Count'!F969</f>
        <v/>
      </c>
      <c r="H969" s="1205">
        <f>'House Count'!H969</f>
        <v/>
      </c>
    </row>
    <row r="970">
      <c r="A970" s="1204">
        <f>'House Count'!A970</f>
        <v/>
      </c>
      <c r="B970" s="1205">
        <f>'House Count'!E970</f>
        <v/>
      </c>
      <c r="C970" s="1205">
        <f>'House Count'!B970</f>
        <v/>
      </c>
      <c r="D970" s="1205">
        <f>'House Count'!C970</f>
        <v/>
      </c>
      <c r="E970" s="1205">
        <f>'House Count'!D970</f>
        <v/>
      </c>
      <c r="F970" s="1205">
        <f>IF(G970="RES-SFU","RESIDENTIAL",IF(G970="RES-HOA","RESIDENTIAL",IF(G970="RES-MDU","RESIDENTIAL",IF(G970="COMM-SU","BUSINESS",IF(G970="COM-MTU","BUSINESS",IF(G970="ENT","BUSINESS",""))))))</f>
        <v/>
      </c>
      <c r="G970" s="1205">
        <f>'House Count'!F970</f>
        <v/>
      </c>
      <c r="H970" s="1205">
        <f>'House Count'!H970</f>
        <v/>
      </c>
    </row>
    <row r="971">
      <c r="A971" s="1204">
        <f>'House Count'!A971</f>
        <v/>
      </c>
      <c r="B971" s="1205">
        <f>'House Count'!E971</f>
        <v/>
      </c>
      <c r="C971" s="1205">
        <f>'House Count'!B971</f>
        <v/>
      </c>
      <c r="D971" s="1205">
        <f>'House Count'!C971</f>
        <v/>
      </c>
      <c r="E971" s="1205">
        <f>'House Count'!D971</f>
        <v/>
      </c>
      <c r="F971" s="1205">
        <f>IF(G971="RES-SFU","RESIDENTIAL",IF(G971="RES-HOA","RESIDENTIAL",IF(G971="RES-MDU","RESIDENTIAL",IF(G971="COMM-SU","BUSINESS",IF(G971="COM-MTU","BUSINESS",IF(G971="ENT","BUSINESS",""))))))</f>
        <v/>
      </c>
      <c r="G971" s="1205">
        <f>'House Count'!F971</f>
        <v/>
      </c>
      <c r="H971" s="1205">
        <f>'House Count'!H971</f>
        <v/>
      </c>
    </row>
    <row r="972">
      <c r="A972" s="1204">
        <f>'House Count'!A972</f>
        <v/>
      </c>
      <c r="B972" s="1205">
        <f>'House Count'!E972</f>
        <v/>
      </c>
      <c r="C972" s="1205">
        <f>'House Count'!B972</f>
        <v/>
      </c>
      <c r="D972" s="1205">
        <f>'House Count'!C972</f>
        <v/>
      </c>
      <c r="E972" s="1205">
        <f>'House Count'!D972</f>
        <v/>
      </c>
      <c r="F972" s="1205">
        <f>IF(G972="RES-SFU","RESIDENTIAL",IF(G972="RES-HOA","RESIDENTIAL",IF(G972="RES-MDU","RESIDENTIAL",IF(G972="COMM-SU","BUSINESS",IF(G972="COM-MTU","BUSINESS",IF(G972="ENT","BUSINESS",""))))))</f>
        <v/>
      </c>
      <c r="G972" s="1205">
        <f>'House Count'!F972</f>
        <v/>
      </c>
      <c r="H972" s="1205">
        <f>'House Count'!H972</f>
        <v/>
      </c>
    </row>
    <row r="973">
      <c r="A973" s="1204">
        <f>'House Count'!A973</f>
        <v/>
      </c>
      <c r="B973" s="1205">
        <f>'House Count'!E973</f>
        <v/>
      </c>
      <c r="C973" s="1205">
        <f>'House Count'!B973</f>
        <v/>
      </c>
      <c r="D973" s="1205">
        <f>'House Count'!C973</f>
        <v/>
      </c>
      <c r="E973" s="1205">
        <f>'House Count'!D973</f>
        <v/>
      </c>
      <c r="F973" s="1205">
        <f>IF(G973="RES-SFU","RESIDENTIAL",IF(G973="RES-HOA","RESIDENTIAL",IF(G973="RES-MDU","RESIDENTIAL",IF(G973="COMM-SU","BUSINESS",IF(G973="COM-MTU","BUSINESS",IF(G973="ENT","BUSINESS",""))))))</f>
        <v/>
      </c>
      <c r="G973" s="1205">
        <f>'House Count'!F973</f>
        <v/>
      </c>
      <c r="H973" s="1205">
        <f>'House Count'!H973</f>
        <v/>
      </c>
    </row>
    <row r="974">
      <c r="A974" s="1204">
        <f>'House Count'!A974</f>
        <v/>
      </c>
      <c r="B974" s="1205">
        <f>'House Count'!E974</f>
        <v/>
      </c>
      <c r="C974" s="1205">
        <f>'House Count'!B974</f>
        <v/>
      </c>
      <c r="D974" s="1205">
        <f>'House Count'!C974</f>
        <v/>
      </c>
      <c r="E974" s="1205">
        <f>'House Count'!D974</f>
        <v/>
      </c>
      <c r="F974" s="1205">
        <f>IF(G974="RES-SFU","RESIDENTIAL",IF(G974="RES-HOA","RESIDENTIAL",IF(G974="RES-MDU","RESIDENTIAL",IF(G974="COMM-SU","BUSINESS",IF(G974="COM-MTU","BUSINESS",IF(G974="ENT","BUSINESS",""))))))</f>
        <v/>
      </c>
      <c r="G974" s="1205">
        <f>'House Count'!F974</f>
        <v/>
      </c>
      <c r="H974" s="1205">
        <f>'House Count'!H974</f>
        <v/>
      </c>
    </row>
    <row r="975">
      <c r="A975" s="1204">
        <f>'House Count'!A975</f>
        <v/>
      </c>
      <c r="B975" s="1205">
        <f>'House Count'!E975</f>
        <v/>
      </c>
      <c r="C975" s="1205">
        <f>'House Count'!B975</f>
        <v/>
      </c>
      <c r="D975" s="1205">
        <f>'House Count'!C975</f>
        <v/>
      </c>
      <c r="E975" s="1205">
        <f>'House Count'!D975</f>
        <v/>
      </c>
      <c r="F975" s="1205">
        <f>IF(G975="RES-SFU","RESIDENTIAL",IF(G975="RES-HOA","RESIDENTIAL",IF(G975="RES-MDU","RESIDENTIAL",IF(G975="COMM-SU","BUSINESS",IF(G975="COM-MTU","BUSINESS",IF(G975="ENT","BUSINESS",""))))))</f>
        <v/>
      </c>
      <c r="G975" s="1205">
        <f>'House Count'!F975</f>
        <v/>
      </c>
      <c r="H975" s="1205">
        <f>'House Count'!H975</f>
        <v/>
      </c>
    </row>
    <row r="976">
      <c r="A976" s="1204">
        <f>'House Count'!A976</f>
        <v/>
      </c>
      <c r="B976" s="1205">
        <f>'House Count'!E976</f>
        <v/>
      </c>
      <c r="C976" s="1205">
        <f>'House Count'!B976</f>
        <v/>
      </c>
      <c r="D976" s="1205">
        <f>'House Count'!C976</f>
        <v/>
      </c>
      <c r="E976" s="1205">
        <f>'House Count'!D976</f>
        <v/>
      </c>
      <c r="F976" s="1205">
        <f>IF(G976="RES-SFU","RESIDENTIAL",IF(G976="RES-HOA","RESIDENTIAL",IF(G976="RES-MDU","RESIDENTIAL",IF(G976="COMM-SU","BUSINESS",IF(G976="COM-MTU","BUSINESS",IF(G976="ENT","BUSINESS",""))))))</f>
        <v/>
      </c>
      <c r="G976" s="1205">
        <f>'House Count'!F976</f>
        <v/>
      </c>
      <c r="H976" s="1205">
        <f>'House Count'!H976</f>
        <v/>
      </c>
    </row>
    <row r="977">
      <c r="A977" s="1204">
        <f>'House Count'!A977</f>
        <v/>
      </c>
      <c r="B977" s="1205">
        <f>'House Count'!E977</f>
        <v/>
      </c>
      <c r="C977" s="1205">
        <f>'House Count'!B977</f>
        <v/>
      </c>
      <c r="D977" s="1205">
        <f>'House Count'!C977</f>
        <v/>
      </c>
      <c r="E977" s="1205">
        <f>'House Count'!D977</f>
        <v/>
      </c>
      <c r="F977" s="1205">
        <f>IF(G977="RES-SFU","RESIDENTIAL",IF(G977="RES-HOA","RESIDENTIAL",IF(G977="RES-MDU","RESIDENTIAL",IF(G977="COMM-SU","BUSINESS",IF(G977="COM-MTU","BUSINESS",IF(G977="ENT","BUSINESS",""))))))</f>
        <v/>
      </c>
      <c r="G977" s="1205">
        <f>'House Count'!F977</f>
        <v/>
      </c>
      <c r="H977" s="1205">
        <f>'House Count'!H977</f>
        <v/>
      </c>
    </row>
    <row r="978">
      <c r="A978" s="1204">
        <f>'House Count'!A978</f>
        <v/>
      </c>
      <c r="B978" s="1205">
        <f>'House Count'!E978</f>
        <v/>
      </c>
      <c r="C978" s="1205">
        <f>'House Count'!B978</f>
        <v/>
      </c>
      <c r="D978" s="1205">
        <f>'House Count'!C978</f>
        <v/>
      </c>
      <c r="E978" s="1205">
        <f>'House Count'!D978</f>
        <v/>
      </c>
      <c r="F978" s="1205">
        <f>IF(G978="RES-SFU","RESIDENTIAL",IF(G978="RES-HOA","RESIDENTIAL",IF(G978="RES-MDU","RESIDENTIAL",IF(G978="COMM-SU","BUSINESS",IF(G978="COM-MTU","BUSINESS",IF(G978="ENT","BUSINESS",""))))))</f>
        <v/>
      </c>
      <c r="G978" s="1205">
        <f>'House Count'!F978</f>
        <v/>
      </c>
      <c r="H978" s="1205">
        <f>'House Count'!H978</f>
        <v/>
      </c>
    </row>
    <row r="979">
      <c r="A979" s="1204">
        <f>'House Count'!A979</f>
        <v/>
      </c>
      <c r="B979" s="1205">
        <f>'House Count'!E979</f>
        <v/>
      </c>
      <c r="C979" s="1205">
        <f>'House Count'!B979</f>
        <v/>
      </c>
      <c r="D979" s="1205">
        <f>'House Count'!C979</f>
        <v/>
      </c>
      <c r="E979" s="1205">
        <f>'House Count'!D979</f>
        <v/>
      </c>
      <c r="F979" s="1205">
        <f>IF(G979="RES-SFU","RESIDENTIAL",IF(G979="RES-HOA","RESIDENTIAL",IF(G979="RES-MDU","RESIDENTIAL",IF(G979="COMM-SU","BUSINESS",IF(G979="COM-MTU","BUSINESS",IF(G979="ENT","BUSINESS",""))))))</f>
        <v/>
      </c>
      <c r="G979" s="1205">
        <f>'House Count'!F979</f>
        <v/>
      </c>
      <c r="H979" s="1205">
        <f>'House Count'!H979</f>
        <v/>
      </c>
    </row>
    <row r="980">
      <c r="A980" s="1204">
        <f>'House Count'!A980</f>
        <v/>
      </c>
      <c r="B980" s="1205">
        <f>'House Count'!E980</f>
        <v/>
      </c>
      <c r="C980" s="1205">
        <f>'House Count'!B980</f>
        <v/>
      </c>
      <c r="D980" s="1205">
        <f>'House Count'!C980</f>
        <v/>
      </c>
      <c r="E980" s="1205">
        <f>'House Count'!D980</f>
        <v/>
      </c>
      <c r="F980" s="1205">
        <f>IF(G980="RES-SFU","RESIDENTIAL",IF(G980="RES-HOA","RESIDENTIAL",IF(G980="RES-MDU","RESIDENTIAL",IF(G980="COMM-SU","BUSINESS",IF(G980="COM-MTU","BUSINESS",IF(G980="ENT","BUSINESS",""))))))</f>
        <v/>
      </c>
      <c r="G980" s="1205">
        <f>'House Count'!F980</f>
        <v/>
      </c>
      <c r="H980" s="1205">
        <f>'House Count'!H980</f>
        <v/>
      </c>
    </row>
    <row r="981">
      <c r="A981" s="1204">
        <f>'House Count'!A981</f>
        <v/>
      </c>
      <c r="B981" s="1205">
        <f>'House Count'!E981</f>
        <v/>
      </c>
      <c r="C981" s="1205">
        <f>'House Count'!B981</f>
        <v/>
      </c>
      <c r="D981" s="1205">
        <f>'House Count'!C981</f>
        <v/>
      </c>
      <c r="E981" s="1205">
        <f>'House Count'!D981</f>
        <v/>
      </c>
      <c r="F981" s="1205">
        <f>IF(G981="RES-SFU","RESIDENTIAL",IF(G981="RES-HOA","RESIDENTIAL",IF(G981="RES-MDU","RESIDENTIAL",IF(G981="COMM-SU","BUSINESS",IF(G981="COM-MTU","BUSINESS",IF(G981="ENT","BUSINESS",""))))))</f>
        <v/>
      </c>
      <c r="G981" s="1205">
        <f>'House Count'!F981</f>
        <v/>
      </c>
      <c r="H981" s="1205">
        <f>'House Count'!H981</f>
        <v/>
      </c>
    </row>
    <row r="982">
      <c r="A982" s="1204">
        <f>'House Count'!A982</f>
        <v/>
      </c>
      <c r="B982" s="1205">
        <f>'House Count'!E982</f>
        <v/>
      </c>
      <c r="C982" s="1205">
        <f>'House Count'!B982</f>
        <v/>
      </c>
      <c r="D982" s="1205">
        <f>'House Count'!C982</f>
        <v/>
      </c>
      <c r="E982" s="1205">
        <f>'House Count'!D982</f>
        <v/>
      </c>
      <c r="F982" s="1205">
        <f>IF(G982="RES-SFU","RESIDENTIAL",IF(G982="RES-HOA","RESIDENTIAL",IF(G982="RES-MDU","RESIDENTIAL",IF(G982="COMM-SU","BUSINESS",IF(G982="COM-MTU","BUSINESS",IF(G982="ENT","BUSINESS",""))))))</f>
        <v/>
      </c>
      <c r="G982" s="1205">
        <f>'House Count'!F982</f>
        <v/>
      </c>
      <c r="H982" s="1205">
        <f>'House Count'!H982</f>
        <v/>
      </c>
    </row>
    <row r="983">
      <c r="A983" s="1204">
        <f>'House Count'!A983</f>
        <v/>
      </c>
      <c r="B983" s="1205">
        <f>'House Count'!E983</f>
        <v/>
      </c>
      <c r="C983" s="1205">
        <f>'House Count'!B983</f>
        <v/>
      </c>
      <c r="D983" s="1205">
        <f>'House Count'!C983</f>
        <v/>
      </c>
      <c r="E983" s="1205">
        <f>'House Count'!D983</f>
        <v/>
      </c>
      <c r="F983" s="1205">
        <f>IF(G983="RES-SFU","RESIDENTIAL",IF(G983="RES-HOA","RESIDENTIAL",IF(G983="RES-MDU","RESIDENTIAL",IF(G983="COMM-SU","BUSINESS",IF(G983="COM-MTU","BUSINESS",IF(G983="ENT","BUSINESS",""))))))</f>
        <v/>
      </c>
      <c r="G983" s="1205">
        <f>'House Count'!F983</f>
        <v/>
      </c>
      <c r="H983" s="1205">
        <f>'House Count'!H983</f>
        <v/>
      </c>
    </row>
    <row r="984">
      <c r="A984" s="1204">
        <f>'House Count'!A984</f>
        <v/>
      </c>
      <c r="B984" s="1205">
        <f>'House Count'!E984</f>
        <v/>
      </c>
      <c r="C984" s="1205">
        <f>'House Count'!B984</f>
        <v/>
      </c>
      <c r="D984" s="1205">
        <f>'House Count'!C984</f>
        <v/>
      </c>
      <c r="E984" s="1205">
        <f>'House Count'!D984</f>
        <v/>
      </c>
      <c r="F984" s="1205">
        <f>IF(G984="RES-SFU","RESIDENTIAL",IF(G984="RES-HOA","RESIDENTIAL",IF(G984="RES-MDU","RESIDENTIAL",IF(G984="COMM-SU","BUSINESS",IF(G984="COM-MTU","BUSINESS",IF(G984="ENT","BUSINESS",""))))))</f>
        <v/>
      </c>
      <c r="G984" s="1205">
        <f>'House Count'!F984</f>
        <v/>
      </c>
      <c r="H984" s="1205">
        <f>'House Count'!H984</f>
        <v/>
      </c>
    </row>
    <row r="985">
      <c r="A985" s="1204">
        <f>'House Count'!A985</f>
        <v/>
      </c>
      <c r="B985" s="1205">
        <f>'House Count'!E985</f>
        <v/>
      </c>
      <c r="C985" s="1205">
        <f>'House Count'!B985</f>
        <v/>
      </c>
      <c r="D985" s="1205">
        <f>'House Count'!C985</f>
        <v/>
      </c>
      <c r="E985" s="1205">
        <f>'House Count'!D985</f>
        <v/>
      </c>
      <c r="F985" s="1205">
        <f>IF(G985="RES-SFU","RESIDENTIAL",IF(G985="RES-HOA","RESIDENTIAL",IF(G985="RES-MDU","RESIDENTIAL",IF(G985="COMM-SU","BUSINESS",IF(G985="COM-MTU","BUSINESS",IF(G985="ENT","BUSINESS",""))))))</f>
        <v/>
      </c>
      <c r="G985" s="1205">
        <f>'House Count'!F985</f>
        <v/>
      </c>
      <c r="H985" s="1205">
        <f>'House Count'!H985</f>
        <v/>
      </c>
    </row>
    <row r="986">
      <c r="A986" s="1204">
        <f>'House Count'!A986</f>
        <v/>
      </c>
      <c r="B986" s="1205">
        <f>'House Count'!E986</f>
        <v/>
      </c>
      <c r="C986" s="1205">
        <f>'House Count'!B986</f>
        <v/>
      </c>
      <c r="D986" s="1205">
        <f>'House Count'!C986</f>
        <v/>
      </c>
      <c r="E986" s="1205">
        <f>'House Count'!D986</f>
        <v/>
      </c>
      <c r="F986" s="1205">
        <f>IF(G986="RES-SFU","RESIDENTIAL",IF(G986="RES-HOA","RESIDENTIAL",IF(G986="RES-MDU","RESIDENTIAL",IF(G986="COMM-SU","BUSINESS",IF(G986="COM-MTU","BUSINESS",IF(G986="ENT","BUSINESS",""))))))</f>
        <v/>
      </c>
      <c r="G986" s="1205">
        <f>'House Count'!F986</f>
        <v/>
      </c>
      <c r="H986" s="1205">
        <f>'House Count'!H986</f>
        <v/>
      </c>
    </row>
    <row r="987">
      <c r="A987" s="1204">
        <f>'House Count'!A987</f>
        <v/>
      </c>
      <c r="B987" s="1205">
        <f>'House Count'!E987</f>
        <v/>
      </c>
      <c r="C987" s="1205">
        <f>'House Count'!B987</f>
        <v/>
      </c>
      <c r="D987" s="1205">
        <f>'House Count'!C987</f>
        <v/>
      </c>
      <c r="E987" s="1205">
        <f>'House Count'!D987</f>
        <v/>
      </c>
      <c r="F987" s="1205">
        <f>IF(G987="RES-SFU","RESIDENTIAL",IF(G987="RES-HOA","RESIDENTIAL",IF(G987="RES-MDU","RESIDENTIAL",IF(G987="COMM-SU","BUSINESS",IF(G987="COM-MTU","BUSINESS",IF(G987="ENT","BUSINESS",""))))))</f>
        <v/>
      </c>
      <c r="G987" s="1205">
        <f>'House Count'!F987</f>
        <v/>
      </c>
      <c r="H987" s="1205">
        <f>'House Count'!H987</f>
        <v/>
      </c>
    </row>
    <row r="988">
      <c r="A988" s="1204">
        <f>'House Count'!A988</f>
        <v/>
      </c>
      <c r="B988" s="1205">
        <f>'House Count'!E988</f>
        <v/>
      </c>
      <c r="C988" s="1205">
        <f>'House Count'!B988</f>
        <v/>
      </c>
      <c r="D988" s="1205">
        <f>'House Count'!C988</f>
        <v/>
      </c>
      <c r="E988" s="1205">
        <f>'House Count'!D988</f>
        <v/>
      </c>
      <c r="F988" s="1205">
        <f>IF(G988="RES-SFU","RESIDENTIAL",IF(G988="RES-HOA","RESIDENTIAL",IF(G988="RES-MDU","RESIDENTIAL",IF(G988="COMM-SU","BUSINESS",IF(G988="COM-MTU","BUSINESS",IF(G988="ENT","BUSINESS",""))))))</f>
        <v/>
      </c>
      <c r="G988" s="1205">
        <f>'House Count'!F988</f>
        <v/>
      </c>
      <c r="H988" s="1205">
        <f>'House Count'!H988</f>
        <v/>
      </c>
    </row>
    <row r="989">
      <c r="A989" s="1204">
        <f>'House Count'!A989</f>
        <v/>
      </c>
      <c r="B989" s="1205">
        <f>'House Count'!E989</f>
        <v/>
      </c>
      <c r="C989" s="1205">
        <f>'House Count'!B989</f>
        <v/>
      </c>
      <c r="D989" s="1205">
        <f>'House Count'!C989</f>
        <v/>
      </c>
      <c r="E989" s="1205">
        <f>'House Count'!D989</f>
        <v/>
      </c>
      <c r="F989" s="1205">
        <f>IF(G989="RES-SFU","RESIDENTIAL",IF(G989="RES-HOA","RESIDENTIAL",IF(G989="RES-MDU","RESIDENTIAL",IF(G989="COMM-SU","BUSINESS",IF(G989="COM-MTU","BUSINESS",IF(G989="ENT","BUSINESS",""))))))</f>
        <v/>
      </c>
      <c r="G989" s="1205">
        <f>'House Count'!F989</f>
        <v/>
      </c>
      <c r="H989" s="1205">
        <f>'House Count'!H989</f>
        <v/>
      </c>
    </row>
    <row r="990">
      <c r="A990" s="1204">
        <f>'House Count'!A990</f>
        <v/>
      </c>
      <c r="B990" s="1205">
        <f>'House Count'!E990</f>
        <v/>
      </c>
      <c r="C990" s="1205">
        <f>'House Count'!B990</f>
        <v/>
      </c>
      <c r="D990" s="1205">
        <f>'House Count'!C990</f>
        <v/>
      </c>
      <c r="E990" s="1205">
        <f>'House Count'!D990</f>
        <v/>
      </c>
      <c r="F990" s="1205">
        <f>IF(G990="RES-SFU","RESIDENTIAL",IF(G990="RES-HOA","RESIDENTIAL",IF(G990="RES-MDU","RESIDENTIAL",IF(G990="COMM-SU","BUSINESS",IF(G990="COM-MTU","BUSINESS",IF(G990="ENT","BUSINESS",""))))))</f>
        <v/>
      </c>
      <c r="G990" s="1205">
        <f>'House Count'!F990</f>
        <v/>
      </c>
      <c r="H990" s="1205">
        <f>'House Count'!H990</f>
        <v/>
      </c>
    </row>
    <row r="991">
      <c r="A991" s="1204">
        <f>'House Count'!A991</f>
        <v/>
      </c>
      <c r="B991" s="1205">
        <f>'House Count'!E991</f>
        <v/>
      </c>
      <c r="C991" s="1205">
        <f>'House Count'!B991</f>
        <v/>
      </c>
      <c r="D991" s="1205">
        <f>'House Count'!C991</f>
        <v/>
      </c>
      <c r="E991" s="1205">
        <f>'House Count'!D991</f>
        <v/>
      </c>
      <c r="F991" s="1205">
        <f>IF(G991="RES-SFU","RESIDENTIAL",IF(G991="RES-HOA","RESIDENTIAL",IF(G991="RES-MDU","RESIDENTIAL",IF(G991="COMM-SU","BUSINESS",IF(G991="COM-MTU","BUSINESS",IF(G991="ENT","BUSINESS",""))))))</f>
        <v/>
      </c>
      <c r="G991" s="1205">
        <f>'House Count'!F991</f>
        <v/>
      </c>
      <c r="H991" s="1205">
        <f>'House Count'!H991</f>
        <v/>
      </c>
    </row>
    <row r="992">
      <c r="A992" s="1204">
        <f>'House Count'!A992</f>
        <v/>
      </c>
      <c r="B992" s="1205">
        <f>'House Count'!E992</f>
        <v/>
      </c>
      <c r="C992" s="1205">
        <f>'House Count'!B992</f>
        <v/>
      </c>
      <c r="D992" s="1205">
        <f>'House Count'!C992</f>
        <v/>
      </c>
      <c r="E992" s="1205">
        <f>'House Count'!D992</f>
        <v/>
      </c>
      <c r="F992" s="1205">
        <f>IF(G992="RES-SFU","RESIDENTIAL",IF(G992="RES-HOA","RESIDENTIAL",IF(G992="RES-MDU","RESIDENTIAL",IF(G992="COMM-SU","BUSINESS",IF(G992="COM-MTU","BUSINESS",IF(G992="ENT","BUSINESS",""))))))</f>
        <v/>
      </c>
      <c r="G992" s="1205">
        <f>'House Count'!F992</f>
        <v/>
      </c>
      <c r="H992" s="1205">
        <f>'House Count'!H992</f>
        <v/>
      </c>
    </row>
    <row r="993">
      <c r="A993" s="1204">
        <f>'House Count'!A993</f>
        <v/>
      </c>
      <c r="B993" s="1205">
        <f>'House Count'!E993</f>
        <v/>
      </c>
      <c r="C993" s="1205">
        <f>'House Count'!B993</f>
        <v/>
      </c>
      <c r="D993" s="1205">
        <f>'House Count'!C993</f>
        <v/>
      </c>
      <c r="E993" s="1205">
        <f>'House Count'!D993</f>
        <v/>
      </c>
      <c r="F993" s="1205">
        <f>IF(G993="RES-SFU","RESIDENTIAL",IF(G993="RES-HOA","RESIDENTIAL",IF(G993="RES-MDU","RESIDENTIAL",IF(G993="COMM-SU","BUSINESS",IF(G993="COM-MTU","BUSINESS",IF(G993="ENT","BUSINESS",""))))))</f>
        <v/>
      </c>
      <c r="G993" s="1205">
        <f>'House Count'!F993</f>
        <v/>
      </c>
      <c r="H993" s="1205">
        <f>'House Count'!H993</f>
        <v/>
      </c>
    </row>
    <row r="994">
      <c r="A994" s="1204">
        <f>'House Count'!A994</f>
        <v/>
      </c>
      <c r="B994" s="1205">
        <f>'House Count'!E994</f>
        <v/>
      </c>
      <c r="C994" s="1205">
        <f>'House Count'!B994</f>
        <v/>
      </c>
      <c r="D994" s="1205">
        <f>'House Count'!C994</f>
        <v/>
      </c>
      <c r="E994" s="1205">
        <f>'House Count'!D994</f>
        <v/>
      </c>
      <c r="F994" s="1205">
        <f>IF(G994="RES-SFU","RESIDENTIAL",IF(G994="RES-HOA","RESIDENTIAL",IF(G994="RES-MDU","RESIDENTIAL",IF(G994="COMM-SU","BUSINESS",IF(G994="COM-MTU","BUSINESS",IF(G994="ENT","BUSINESS",""))))))</f>
        <v/>
      </c>
      <c r="G994" s="1205">
        <f>'House Count'!F994</f>
        <v/>
      </c>
      <c r="H994" s="1205">
        <f>'House Count'!H994</f>
        <v/>
      </c>
    </row>
    <row r="995">
      <c r="A995" s="1204">
        <f>'House Count'!A995</f>
        <v/>
      </c>
      <c r="B995" s="1205">
        <f>'House Count'!E995</f>
        <v/>
      </c>
      <c r="C995" s="1205">
        <f>'House Count'!B995</f>
        <v/>
      </c>
      <c r="D995" s="1205">
        <f>'House Count'!C995</f>
        <v/>
      </c>
      <c r="E995" s="1205">
        <f>'House Count'!D995</f>
        <v/>
      </c>
      <c r="F995" s="1205">
        <f>IF(G995="RES-SFU","RESIDENTIAL",IF(G995="RES-HOA","RESIDENTIAL",IF(G995="RES-MDU","RESIDENTIAL",IF(G995="COMM-SU","BUSINESS",IF(G995="COM-MTU","BUSINESS",IF(G995="ENT","BUSINESS",""))))))</f>
        <v/>
      </c>
      <c r="G995" s="1205">
        <f>'House Count'!F995</f>
        <v/>
      </c>
      <c r="H995" s="1205">
        <f>'House Count'!H995</f>
        <v/>
      </c>
    </row>
    <row r="996">
      <c r="A996" s="1204">
        <f>'House Count'!A996</f>
        <v/>
      </c>
      <c r="B996" s="1205">
        <f>'House Count'!E996</f>
        <v/>
      </c>
      <c r="C996" s="1205">
        <f>'House Count'!B996</f>
        <v/>
      </c>
      <c r="D996" s="1205">
        <f>'House Count'!C996</f>
        <v/>
      </c>
      <c r="E996" s="1205">
        <f>'House Count'!D996</f>
        <v/>
      </c>
      <c r="F996" s="1205">
        <f>IF(G996="RES-SFU","RESIDENTIAL",IF(G996="RES-HOA","RESIDENTIAL",IF(G996="RES-MDU","RESIDENTIAL",IF(G996="COMM-SU","BUSINESS",IF(G996="COM-MTU","BUSINESS",IF(G996="ENT","BUSINESS",""))))))</f>
        <v/>
      </c>
      <c r="G996" s="1205">
        <f>'House Count'!F996</f>
        <v/>
      </c>
      <c r="H996" s="1205">
        <f>'House Count'!H996</f>
        <v/>
      </c>
    </row>
    <row r="997">
      <c r="A997" s="1204">
        <f>'House Count'!A997</f>
        <v/>
      </c>
      <c r="B997" s="1205">
        <f>'House Count'!E997</f>
        <v/>
      </c>
      <c r="C997" s="1205">
        <f>'House Count'!B997</f>
        <v/>
      </c>
      <c r="D997" s="1205">
        <f>'House Count'!C997</f>
        <v/>
      </c>
      <c r="E997" s="1205">
        <f>'House Count'!D997</f>
        <v/>
      </c>
      <c r="F997" s="1205">
        <f>IF(G997="RES-SFU","RESIDENTIAL",IF(G997="RES-HOA","RESIDENTIAL",IF(G997="RES-MDU","RESIDENTIAL",IF(G997="COMM-SU","BUSINESS",IF(G997="COM-MTU","BUSINESS",IF(G997="ENT","BUSINESS",""))))))</f>
        <v/>
      </c>
      <c r="G997" s="1205">
        <f>'House Count'!F997</f>
        <v/>
      </c>
      <c r="H997" s="1205">
        <f>'House Count'!H997</f>
        <v/>
      </c>
    </row>
    <row r="998">
      <c r="A998" s="1204">
        <f>'House Count'!A998</f>
        <v/>
      </c>
      <c r="B998" s="1205">
        <f>'House Count'!E998</f>
        <v/>
      </c>
      <c r="C998" s="1205">
        <f>'House Count'!B998</f>
        <v/>
      </c>
      <c r="D998" s="1205">
        <f>'House Count'!C998</f>
        <v/>
      </c>
      <c r="E998" s="1205">
        <f>'House Count'!D998</f>
        <v/>
      </c>
      <c r="F998" s="1205">
        <f>IF(G998="RES-SFU","RESIDENTIAL",IF(G998="RES-HOA","RESIDENTIAL",IF(G998="RES-MDU","RESIDENTIAL",IF(G998="COMM-SU","BUSINESS",IF(G998="COM-MTU","BUSINESS",IF(G998="ENT","BUSINESS",""))))))</f>
        <v/>
      </c>
      <c r="G998" s="1205">
        <f>'House Count'!F998</f>
        <v/>
      </c>
      <c r="H998" s="1205">
        <f>'House Count'!H998</f>
        <v/>
      </c>
    </row>
    <row r="999">
      <c r="A999" s="1204">
        <f>'House Count'!A999</f>
        <v/>
      </c>
      <c r="B999" s="1205">
        <f>'House Count'!E999</f>
        <v/>
      </c>
      <c r="C999" s="1205">
        <f>'House Count'!B999</f>
        <v/>
      </c>
      <c r="D999" s="1205">
        <f>'House Count'!C999</f>
        <v/>
      </c>
      <c r="E999" s="1205">
        <f>'House Count'!D999</f>
        <v/>
      </c>
      <c r="F999" s="1205">
        <f>IF(G999="RES-SFU","RESIDENTIAL",IF(G999="RES-HOA","RESIDENTIAL",IF(G999="RES-MDU","RESIDENTIAL",IF(G999="COMM-SU","BUSINESS",IF(G999="COM-MTU","BUSINESS",IF(G999="ENT","BUSINESS",""))))))</f>
        <v/>
      </c>
      <c r="G999" s="1205">
        <f>'House Count'!F999</f>
        <v/>
      </c>
      <c r="H999" s="1205">
        <f>'House Count'!H999</f>
        <v/>
      </c>
    </row>
    <row r="1000">
      <c r="A1000" s="1204">
        <f>'House Count'!A1000</f>
        <v/>
      </c>
      <c r="B1000" s="1205">
        <f>'House Count'!E1000</f>
        <v/>
      </c>
      <c r="C1000" s="1205">
        <f>'House Count'!B1000</f>
        <v/>
      </c>
      <c r="D1000" s="1205">
        <f>'House Count'!C1000</f>
        <v/>
      </c>
      <c r="E1000" s="1205">
        <f>'House Count'!D1000</f>
        <v/>
      </c>
      <c r="F1000" s="1205">
        <f>IF(G1000="RES-SFU","RESIDENTIAL",IF(G1000="RES-HOA","RESIDENTIAL",IF(G1000="RES-MDU","RESIDENTIAL",IF(G1000="COMM-SU","BUSINESS",IF(G1000="COM-MTU","BUSINESS",IF(G1000="ENT","BUSINESS",""))))))</f>
        <v/>
      </c>
      <c r="G1000" s="1205">
        <f>'House Count'!F1000</f>
        <v/>
      </c>
      <c r="H1000" s="1205">
        <f>'House Count'!H1000</f>
        <v/>
      </c>
    </row>
    <row r="1001">
      <c r="A1001" s="1204">
        <f>'House Count'!A1001</f>
        <v/>
      </c>
      <c r="B1001" s="1205">
        <f>'House Count'!E1001</f>
        <v/>
      </c>
      <c r="C1001" s="1205">
        <f>'House Count'!B1001</f>
        <v/>
      </c>
      <c r="D1001" s="1205">
        <f>'House Count'!C1001</f>
        <v/>
      </c>
      <c r="E1001" s="1205">
        <f>'House Count'!D1001</f>
        <v/>
      </c>
      <c r="F1001" s="1205">
        <f>IF(G1001="RES-SFU","RESIDENTIAL",IF(G1001="RES-HOA","RESIDENTIAL",IF(G1001="RES-MDU","RESIDENTIAL",IF(G1001="COMM-SU","BUSINESS",IF(G1001="COM-MTU","BUSINESS",IF(G1001="ENT","BUSINESS",""))))))</f>
        <v/>
      </c>
      <c r="G1001" s="1205">
        <f>'House Count'!F1001</f>
        <v/>
      </c>
      <c r="H1001" s="1205">
        <f>'House Count'!H1001</f>
        <v/>
      </c>
    </row>
    <row r="1002">
      <c r="A1002" s="1204">
        <f>'House Count'!A1002</f>
        <v/>
      </c>
      <c r="B1002" s="1205">
        <f>'House Count'!E1002</f>
        <v/>
      </c>
      <c r="C1002" s="1205">
        <f>'House Count'!B1002</f>
        <v/>
      </c>
      <c r="D1002" s="1205">
        <f>'House Count'!C1002</f>
        <v/>
      </c>
      <c r="E1002" s="1205">
        <f>'House Count'!D1002</f>
        <v/>
      </c>
      <c r="F1002" s="1205">
        <f>IF(G1002="RES-SFU","RESIDENTIAL",IF(G1002="RES-HOA","RESIDENTIAL",IF(G1002="RES-MDU","RESIDENTIAL",IF(G1002="COMM-SU","BUSINESS",IF(G1002="COM-MTU","BUSINESS",IF(G1002="ENT","BUSINESS",""))))))</f>
        <v/>
      </c>
      <c r="G1002" s="1205">
        <f>'House Count'!F1002</f>
        <v/>
      </c>
      <c r="H1002" s="1205">
        <f>'House Count'!H1002</f>
        <v/>
      </c>
    </row>
    <row r="1003">
      <c r="A1003" s="1204">
        <f>'House Count'!A1003</f>
        <v/>
      </c>
      <c r="B1003" s="1205">
        <f>'House Count'!E1003</f>
        <v/>
      </c>
      <c r="C1003" s="1205">
        <f>'House Count'!B1003</f>
        <v/>
      </c>
      <c r="D1003" s="1205">
        <f>'House Count'!C1003</f>
        <v/>
      </c>
      <c r="E1003" s="1205">
        <f>'House Count'!D1003</f>
        <v/>
      </c>
      <c r="F1003" s="1205">
        <f>IF(G1003="RES-SFU","RESIDENTIAL",IF(G1003="RES-HOA","RESIDENTIAL",IF(G1003="RES-MDU","RESIDENTIAL",IF(G1003="COMM-SU","BUSINESS",IF(G1003="COM-MTU","BUSINESS",IF(G1003="ENT","BUSINESS",""))))))</f>
        <v/>
      </c>
      <c r="G1003" s="1205">
        <f>'House Count'!F1003</f>
        <v/>
      </c>
      <c r="H1003" s="1205">
        <f>'House Count'!H1003</f>
        <v/>
      </c>
    </row>
    <row r="1004">
      <c r="A1004" s="1204">
        <f>'House Count'!A1004</f>
        <v/>
      </c>
      <c r="B1004" s="1205">
        <f>'House Count'!E1004</f>
        <v/>
      </c>
      <c r="C1004" s="1205">
        <f>'House Count'!B1004</f>
        <v/>
      </c>
      <c r="D1004" s="1205">
        <f>'House Count'!C1004</f>
        <v/>
      </c>
      <c r="E1004" s="1205">
        <f>'House Count'!D1004</f>
        <v/>
      </c>
      <c r="F1004" s="1205">
        <f>IF(G1004="RES-SFU","RESIDENTIAL",IF(G1004="RES-HOA","RESIDENTIAL",IF(G1004="RES-MDU","RESIDENTIAL",IF(G1004="COMM-SU","BUSINESS",IF(G1004="COM-MTU","BUSINESS",IF(G1004="ENT","BUSINESS",""))))))</f>
        <v/>
      </c>
      <c r="G1004" s="1205">
        <f>'House Count'!F1004</f>
        <v/>
      </c>
      <c r="H1004" s="1205">
        <f>'House Count'!H1004</f>
        <v/>
      </c>
    </row>
    <row r="1005">
      <c r="A1005" s="1204">
        <f>'House Count'!A1005</f>
        <v/>
      </c>
      <c r="B1005" s="1205">
        <f>'House Count'!E1005</f>
        <v/>
      </c>
      <c r="C1005" s="1205">
        <f>'House Count'!B1005</f>
        <v/>
      </c>
      <c r="D1005" s="1205">
        <f>'House Count'!C1005</f>
        <v/>
      </c>
      <c r="E1005" s="1205">
        <f>'House Count'!D1005</f>
        <v/>
      </c>
      <c r="F1005" s="1205">
        <f>IF(G1005="RES-SFU","RESIDENTIAL",IF(G1005="RES-HOA","RESIDENTIAL",IF(G1005="RES-MDU","RESIDENTIAL",IF(G1005="COMM-SU","BUSINESS",IF(G1005="COM-MTU","BUSINESS",IF(G1005="ENT","BUSINESS",""))))))</f>
        <v/>
      </c>
      <c r="G1005" s="1205">
        <f>'House Count'!F1005</f>
        <v/>
      </c>
      <c r="H1005" s="1205">
        <f>'House Count'!H1005</f>
        <v/>
      </c>
    </row>
    <row r="1006">
      <c r="A1006" s="1204">
        <f>'House Count'!A1006</f>
        <v/>
      </c>
      <c r="B1006" s="1205">
        <f>'House Count'!E1006</f>
        <v/>
      </c>
      <c r="C1006" s="1205">
        <f>'House Count'!B1006</f>
        <v/>
      </c>
      <c r="D1006" s="1205">
        <f>'House Count'!C1006</f>
        <v/>
      </c>
      <c r="E1006" s="1205">
        <f>'House Count'!D1006</f>
        <v/>
      </c>
      <c r="F1006" s="1205">
        <f>IF(G1006="RES-SFU","RESIDENTIAL",IF(G1006="RES-HOA","RESIDENTIAL",IF(G1006="RES-MDU","RESIDENTIAL",IF(G1006="COMM-SU","BUSINESS",IF(G1006="COM-MTU","BUSINESS",IF(G1006="ENT","BUSINESS",""))))))</f>
        <v/>
      </c>
      <c r="G1006" s="1205">
        <f>'House Count'!F1006</f>
        <v/>
      </c>
      <c r="H1006" s="1205">
        <f>'House Count'!H1006</f>
        <v/>
      </c>
    </row>
    <row r="1007">
      <c r="A1007" s="1204">
        <f>'House Count'!A1007</f>
        <v/>
      </c>
      <c r="B1007" s="1205">
        <f>'House Count'!E1007</f>
        <v/>
      </c>
      <c r="C1007" s="1205">
        <f>'House Count'!B1007</f>
        <v/>
      </c>
      <c r="D1007" s="1205">
        <f>'House Count'!C1007</f>
        <v/>
      </c>
      <c r="E1007" s="1205">
        <f>'House Count'!D1007</f>
        <v/>
      </c>
      <c r="F1007" s="1205">
        <f>IF(G1007="RES-SFU","RESIDENTIAL",IF(G1007="RES-HOA","RESIDENTIAL",IF(G1007="RES-MDU","RESIDENTIAL",IF(G1007="COMM-SU","BUSINESS",IF(G1007="COM-MTU","BUSINESS",IF(G1007="ENT","BUSINESS",""))))))</f>
        <v/>
      </c>
      <c r="G1007" s="1205">
        <f>'House Count'!F1007</f>
        <v/>
      </c>
      <c r="H1007" s="1205">
        <f>'House Count'!H1007</f>
        <v/>
      </c>
    </row>
    <row r="1008">
      <c r="A1008" s="1204">
        <f>'House Count'!A1008</f>
        <v/>
      </c>
      <c r="B1008" s="1205">
        <f>'House Count'!E1008</f>
        <v/>
      </c>
      <c r="C1008" s="1205">
        <f>'House Count'!B1008</f>
        <v/>
      </c>
      <c r="D1008" s="1205">
        <f>'House Count'!C1008</f>
        <v/>
      </c>
      <c r="E1008" s="1205">
        <f>'House Count'!D1008</f>
        <v/>
      </c>
      <c r="F1008" s="1205">
        <f>IF(G1008="RES-SFU","RESIDENTIAL",IF(G1008="RES-HOA","RESIDENTIAL",IF(G1008="RES-MDU","RESIDENTIAL",IF(G1008="COMM-SU","BUSINESS",IF(G1008="COM-MTU","BUSINESS",IF(G1008="ENT","BUSINESS",""))))))</f>
        <v/>
      </c>
      <c r="G1008" s="1205">
        <f>'House Count'!F1008</f>
        <v/>
      </c>
      <c r="H1008" s="1205">
        <f>'House Count'!H1008</f>
        <v/>
      </c>
    </row>
    <row r="1009">
      <c r="A1009" s="1204">
        <f>'House Count'!A1009</f>
        <v/>
      </c>
      <c r="B1009" s="1205">
        <f>'House Count'!E1009</f>
        <v/>
      </c>
      <c r="C1009" s="1205">
        <f>'House Count'!B1009</f>
        <v/>
      </c>
      <c r="D1009" s="1205">
        <f>'House Count'!C1009</f>
        <v/>
      </c>
      <c r="E1009" s="1205">
        <f>'House Count'!D1009</f>
        <v/>
      </c>
      <c r="F1009" s="1205">
        <f>IF(G1009="RES-SFU","RESIDENTIAL",IF(G1009="RES-HOA","RESIDENTIAL",IF(G1009="RES-MDU","RESIDENTIAL",IF(G1009="COMM-SU","BUSINESS",IF(G1009="COM-MTU","BUSINESS",IF(G1009="ENT","BUSINESS",""))))))</f>
        <v/>
      </c>
      <c r="G1009" s="1205">
        <f>'House Count'!F1009</f>
        <v/>
      </c>
      <c r="H1009" s="1205">
        <f>'House Count'!H1009</f>
        <v/>
      </c>
    </row>
    <row r="1010">
      <c r="A1010" s="1204">
        <f>'House Count'!A1010</f>
        <v/>
      </c>
      <c r="B1010" s="1205">
        <f>'House Count'!E1010</f>
        <v/>
      </c>
      <c r="C1010" s="1205">
        <f>'House Count'!B1010</f>
        <v/>
      </c>
      <c r="D1010" s="1205">
        <f>'House Count'!C1010</f>
        <v/>
      </c>
      <c r="E1010" s="1205">
        <f>'House Count'!D1010</f>
        <v/>
      </c>
      <c r="F1010" s="1205">
        <f>IF(G1010="RES-SFU","RESIDENTIAL",IF(G1010="RES-HOA","RESIDENTIAL",IF(G1010="RES-MDU","RESIDENTIAL",IF(G1010="COMM-SU","BUSINESS",IF(G1010="COM-MTU","BUSINESS",IF(G1010="ENT","BUSINESS",""))))))</f>
        <v/>
      </c>
      <c r="G1010" s="1205">
        <f>'House Count'!F1010</f>
        <v/>
      </c>
      <c r="H1010" s="1205">
        <f>'House Count'!H1010</f>
        <v/>
      </c>
    </row>
    <row r="1011">
      <c r="A1011" s="1204">
        <f>'House Count'!A1011</f>
        <v/>
      </c>
      <c r="B1011" s="1205">
        <f>'House Count'!E1011</f>
        <v/>
      </c>
      <c r="C1011" s="1205">
        <f>'House Count'!B1011</f>
        <v/>
      </c>
      <c r="D1011" s="1205">
        <f>'House Count'!C1011</f>
        <v/>
      </c>
      <c r="E1011" s="1205">
        <f>'House Count'!D1011</f>
        <v/>
      </c>
      <c r="F1011" s="1205">
        <f>IF(G1011="RES-SFU","RESIDENTIAL",IF(G1011="RES-HOA","RESIDENTIAL",IF(G1011="RES-MDU","RESIDENTIAL",IF(G1011="COMM-SU","BUSINESS",IF(G1011="COM-MTU","BUSINESS",IF(G1011="ENT","BUSINESS",""))))))</f>
        <v/>
      </c>
      <c r="G1011" s="1205">
        <f>'House Count'!F1011</f>
        <v/>
      </c>
      <c r="H1011" s="1205">
        <f>'House Count'!H1011</f>
        <v/>
      </c>
    </row>
    <row r="1012">
      <c r="A1012" s="1204">
        <f>'House Count'!A1012</f>
        <v/>
      </c>
      <c r="B1012" s="1205">
        <f>'House Count'!E1012</f>
        <v/>
      </c>
      <c r="C1012" s="1205">
        <f>'House Count'!B1012</f>
        <v/>
      </c>
      <c r="D1012" s="1205">
        <f>'House Count'!C1012</f>
        <v/>
      </c>
      <c r="E1012" s="1205">
        <f>'House Count'!D1012</f>
        <v/>
      </c>
      <c r="F1012" s="1205">
        <f>IF(G1012="RES-SFU","RESIDENTIAL",IF(G1012="RES-HOA","RESIDENTIAL",IF(G1012="RES-MDU","RESIDENTIAL",IF(G1012="COMM-SU","BUSINESS",IF(G1012="COM-MTU","BUSINESS",IF(G1012="ENT","BUSINESS",""))))))</f>
        <v/>
      </c>
      <c r="G1012" s="1205">
        <f>'House Count'!F1012</f>
        <v/>
      </c>
      <c r="H1012" s="1205">
        <f>'House Count'!H1012</f>
        <v/>
      </c>
    </row>
    <row r="1013">
      <c r="A1013" s="1204">
        <f>'House Count'!A1013</f>
        <v/>
      </c>
      <c r="B1013" s="1205">
        <f>'House Count'!E1013</f>
        <v/>
      </c>
      <c r="C1013" s="1205">
        <f>'House Count'!B1013</f>
        <v/>
      </c>
      <c r="D1013" s="1205">
        <f>'House Count'!C1013</f>
        <v/>
      </c>
      <c r="E1013" s="1205">
        <f>'House Count'!D1013</f>
        <v/>
      </c>
      <c r="F1013" s="1205">
        <f>IF(G1013="RES-SFU","RESIDENTIAL",IF(G1013="RES-HOA","RESIDENTIAL",IF(G1013="RES-MDU","RESIDENTIAL",IF(G1013="COMM-SU","BUSINESS",IF(G1013="COM-MTU","BUSINESS",IF(G1013="ENT","BUSINESS",""))))))</f>
        <v/>
      </c>
      <c r="G1013" s="1205">
        <f>'House Count'!F1013</f>
        <v/>
      </c>
      <c r="H1013" s="1205">
        <f>'House Count'!H1013</f>
        <v/>
      </c>
    </row>
    <row r="1014">
      <c r="A1014" s="1204">
        <f>'House Count'!A1014</f>
        <v/>
      </c>
      <c r="B1014" s="1205">
        <f>'House Count'!E1014</f>
        <v/>
      </c>
      <c r="C1014" s="1205">
        <f>'House Count'!B1014</f>
        <v/>
      </c>
      <c r="D1014" s="1205">
        <f>'House Count'!C1014</f>
        <v/>
      </c>
      <c r="E1014" s="1205">
        <f>'House Count'!D1014</f>
        <v/>
      </c>
      <c r="F1014" s="1205">
        <f>IF(G1014="RES-SFU","RESIDENTIAL",IF(G1014="RES-HOA","RESIDENTIAL",IF(G1014="RES-MDU","RESIDENTIAL",IF(G1014="COMM-SU","BUSINESS",IF(G1014="COM-MTU","BUSINESS",IF(G1014="ENT","BUSINESS",""))))))</f>
        <v/>
      </c>
      <c r="G1014" s="1205">
        <f>'House Count'!F1014</f>
        <v/>
      </c>
      <c r="H1014" s="1205">
        <f>'House Count'!H1014</f>
        <v/>
      </c>
    </row>
    <row r="1015">
      <c r="A1015" s="1204">
        <f>'House Count'!A1015</f>
        <v/>
      </c>
      <c r="B1015" s="1205">
        <f>'House Count'!E1015</f>
        <v/>
      </c>
      <c r="C1015" s="1205">
        <f>'House Count'!B1015</f>
        <v/>
      </c>
      <c r="D1015" s="1205">
        <f>'House Count'!C1015</f>
        <v/>
      </c>
      <c r="E1015" s="1205">
        <f>'House Count'!D1015</f>
        <v/>
      </c>
      <c r="F1015" s="1205">
        <f>IF(G1015="RES-SFU","RESIDENTIAL",IF(G1015="RES-HOA","RESIDENTIAL",IF(G1015="RES-MDU","RESIDENTIAL",IF(G1015="COMM-SU","BUSINESS",IF(G1015="COM-MTU","BUSINESS",IF(G1015="ENT","BUSINESS",""))))))</f>
        <v/>
      </c>
      <c r="G1015" s="1205">
        <f>'House Count'!F1015</f>
        <v/>
      </c>
      <c r="H1015" s="1205">
        <f>'House Count'!H1015</f>
        <v/>
      </c>
    </row>
    <row r="1016">
      <c r="A1016" s="1204">
        <f>'House Count'!A1016</f>
        <v/>
      </c>
      <c r="B1016" s="1205">
        <f>'House Count'!E1016</f>
        <v/>
      </c>
      <c r="C1016" s="1205">
        <f>'House Count'!B1016</f>
        <v/>
      </c>
      <c r="D1016" s="1205">
        <f>'House Count'!C1016</f>
        <v/>
      </c>
      <c r="E1016" s="1205">
        <f>'House Count'!D1016</f>
        <v/>
      </c>
      <c r="F1016" s="1205">
        <f>IF(G1016="RES-SFU","RESIDENTIAL",IF(G1016="RES-HOA","RESIDENTIAL",IF(G1016="RES-MDU","RESIDENTIAL",IF(G1016="COMM-SU","BUSINESS",IF(G1016="COM-MTU","BUSINESS",IF(G1016="ENT","BUSINESS",""))))))</f>
        <v/>
      </c>
      <c r="G1016" s="1205">
        <f>'House Count'!F1016</f>
        <v/>
      </c>
      <c r="H1016" s="1205">
        <f>'House Count'!H1016</f>
        <v/>
      </c>
    </row>
    <row r="1017">
      <c r="A1017" s="1204">
        <f>'House Count'!A1017</f>
        <v/>
      </c>
      <c r="B1017" s="1205">
        <f>'House Count'!E1017</f>
        <v/>
      </c>
      <c r="C1017" s="1205">
        <f>'House Count'!B1017</f>
        <v/>
      </c>
      <c r="D1017" s="1205">
        <f>'House Count'!C1017</f>
        <v/>
      </c>
      <c r="E1017" s="1205">
        <f>'House Count'!D1017</f>
        <v/>
      </c>
      <c r="F1017" s="1205">
        <f>IF(G1017="RES-SFU","RESIDENTIAL",IF(G1017="RES-HOA","RESIDENTIAL",IF(G1017="RES-MDU","RESIDENTIAL",IF(G1017="COMM-SU","BUSINESS",IF(G1017="COM-MTU","BUSINESS",IF(G1017="ENT","BUSINESS",""))))))</f>
        <v/>
      </c>
      <c r="G1017" s="1205">
        <f>'House Count'!F1017</f>
        <v/>
      </c>
      <c r="H1017" s="1205">
        <f>'House Count'!H1017</f>
        <v/>
      </c>
    </row>
    <row r="1018">
      <c r="A1018" s="1204">
        <f>'House Count'!A1018</f>
        <v/>
      </c>
      <c r="B1018" s="1205">
        <f>'House Count'!E1018</f>
        <v/>
      </c>
      <c r="C1018" s="1205">
        <f>'House Count'!B1018</f>
        <v/>
      </c>
      <c r="D1018" s="1205">
        <f>'House Count'!C1018</f>
        <v/>
      </c>
      <c r="E1018" s="1205">
        <f>'House Count'!D1018</f>
        <v/>
      </c>
      <c r="F1018" s="1205">
        <f>IF(G1018="RES-SFU","RESIDENTIAL",IF(G1018="RES-HOA","RESIDENTIAL",IF(G1018="RES-MDU","RESIDENTIAL",IF(G1018="COMM-SU","BUSINESS",IF(G1018="COM-MTU","BUSINESS",IF(G1018="ENT","BUSINESS",""))))))</f>
        <v/>
      </c>
      <c r="G1018" s="1205">
        <f>'House Count'!F1018</f>
        <v/>
      </c>
      <c r="H1018" s="1205">
        <f>'House Count'!H1018</f>
        <v/>
      </c>
    </row>
    <row r="1019">
      <c r="A1019" s="1204">
        <f>'House Count'!A1019</f>
        <v/>
      </c>
      <c r="B1019" s="1205">
        <f>'House Count'!E1019</f>
        <v/>
      </c>
      <c r="C1019" s="1205">
        <f>'House Count'!B1019</f>
        <v/>
      </c>
      <c r="D1019" s="1205">
        <f>'House Count'!C1019</f>
        <v/>
      </c>
      <c r="E1019" s="1205">
        <f>'House Count'!D1019</f>
        <v/>
      </c>
      <c r="F1019" s="1205">
        <f>IF(G1019="RES-SFU","RESIDENTIAL",IF(G1019="RES-HOA","RESIDENTIAL",IF(G1019="RES-MDU","RESIDENTIAL",IF(G1019="COMM-SU","BUSINESS",IF(G1019="COM-MTU","BUSINESS",IF(G1019="ENT","BUSINESS",""))))))</f>
        <v/>
      </c>
      <c r="G1019" s="1205">
        <f>'House Count'!F1019</f>
        <v/>
      </c>
      <c r="H1019" s="1205">
        <f>'House Count'!H1019</f>
        <v/>
      </c>
    </row>
    <row r="1020">
      <c r="A1020" s="1204">
        <f>'House Count'!A1020</f>
        <v/>
      </c>
      <c r="B1020" s="1205">
        <f>'House Count'!E1020</f>
        <v/>
      </c>
      <c r="C1020" s="1205">
        <f>'House Count'!B1020</f>
        <v/>
      </c>
      <c r="D1020" s="1205">
        <f>'House Count'!C1020</f>
        <v/>
      </c>
      <c r="E1020" s="1205">
        <f>'House Count'!D1020</f>
        <v/>
      </c>
      <c r="F1020" s="1205">
        <f>IF(G1020="RES-SFU","RESIDENTIAL",IF(G1020="RES-HOA","RESIDENTIAL",IF(G1020="RES-MDU","RESIDENTIAL",IF(G1020="COMM-SU","BUSINESS",IF(G1020="COM-MTU","BUSINESS",IF(G1020="ENT","BUSINESS",""))))))</f>
        <v/>
      </c>
      <c r="G1020" s="1205">
        <f>'House Count'!F1020</f>
        <v/>
      </c>
      <c r="H1020" s="1205">
        <f>'House Count'!H1020</f>
        <v/>
      </c>
    </row>
    <row r="1021">
      <c r="A1021" s="1204">
        <f>'House Count'!A1021</f>
        <v/>
      </c>
      <c r="B1021" s="1205">
        <f>'House Count'!E1021</f>
        <v/>
      </c>
      <c r="C1021" s="1205">
        <f>'House Count'!B1021</f>
        <v/>
      </c>
      <c r="D1021" s="1205">
        <f>'House Count'!C1021</f>
        <v/>
      </c>
      <c r="E1021" s="1205">
        <f>'House Count'!D1021</f>
        <v/>
      </c>
      <c r="F1021" s="1205">
        <f>IF(G1021="RES-SFU","RESIDENTIAL",IF(G1021="RES-HOA","RESIDENTIAL",IF(G1021="RES-MDU","RESIDENTIAL",IF(G1021="COMM-SU","BUSINESS",IF(G1021="COM-MTU","BUSINESS",IF(G1021="ENT","BUSINESS",""))))))</f>
        <v/>
      </c>
      <c r="G1021" s="1205">
        <f>'House Count'!F1021</f>
        <v/>
      </c>
      <c r="H1021" s="1205">
        <f>'House Count'!H1021</f>
        <v/>
      </c>
    </row>
    <row r="1022">
      <c r="A1022" s="1204">
        <f>'House Count'!A1022</f>
        <v/>
      </c>
      <c r="B1022" s="1205">
        <f>'House Count'!E1022</f>
        <v/>
      </c>
      <c r="C1022" s="1205">
        <f>'House Count'!B1022</f>
        <v/>
      </c>
      <c r="D1022" s="1205">
        <f>'House Count'!C1022</f>
        <v/>
      </c>
      <c r="E1022" s="1205">
        <f>'House Count'!D1022</f>
        <v/>
      </c>
      <c r="F1022" s="1205">
        <f>IF(G1022="RES-SFU","RESIDENTIAL",IF(G1022="RES-HOA","RESIDENTIAL",IF(G1022="RES-MDU","RESIDENTIAL",IF(G1022="COMM-SU","BUSINESS",IF(G1022="COM-MTU","BUSINESS",IF(G1022="ENT","BUSINESS",""))))))</f>
        <v/>
      </c>
      <c r="G1022" s="1205">
        <f>'House Count'!F1022</f>
        <v/>
      </c>
      <c r="H1022" s="1205">
        <f>'House Count'!H1022</f>
        <v/>
      </c>
    </row>
    <row r="1023">
      <c r="A1023" s="1204">
        <f>'House Count'!A1023</f>
        <v/>
      </c>
      <c r="B1023" s="1205">
        <f>'House Count'!E1023</f>
        <v/>
      </c>
      <c r="C1023" s="1205">
        <f>'House Count'!B1023</f>
        <v/>
      </c>
      <c r="D1023" s="1205">
        <f>'House Count'!C1023</f>
        <v/>
      </c>
      <c r="E1023" s="1205">
        <f>'House Count'!D1023</f>
        <v/>
      </c>
      <c r="F1023" s="1205">
        <f>IF(G1023="RES-SFU","RESIDENTIAL",IF(G1023="RES-HOA","RESIDENTIAL",IF(G1023="RES-MDU","RESIDENTIAL",IF(G1023="COMM-SU","BUSINESS",IF(G1023="COM-MTU","BUSINESS",IF(G1023="ENT","BUSINESS",""))))))</f>
        <v/>
      </c>
      <c r="G1023" s="1205">
        <f>'House Count'!F1023</f>
        <v/>
      </c>
      <c r="H1023" s="1205">
        <f>'House Count'!H1023</f>
        <v/>
      </c>
    </row>
    <row r="1024">
      <c r="A1024" s="1204">
        <f>'House Count'!A1024</f>
        <v/>
      </c>
      <c r="B1024" s="1205">
        <f>'House Count'!E1024</f>
        <v/>
      </c>
      <c r="C1024" s="1205">
        <f>'House Count'!B1024</f>
        <v/>
      </c>
      <c r="D1024" s="1205">
        <f>'House Count'!C1024</f>
        <v/>
      </c>
      <c r="E1024" s="1205">
        <f>'House Count'!D1024</f>
        <v/>
      </c>
      <c r="F1024" s="1205">
        <f>IF(G1024="RES-SFU","RESIDENTIAL",IF(G1024="RES-HOA","RESIDENTIAL",IF(G1024="RES-MDU","RESIDENTIAL",IF(G1024="COMM-SU","BUSINESS",IF(G1024="COM-MTU","BUSINESS",IF(G1024="ENT","BUSINESS",""))))))</f>
        <v/>
      </c>
      <c r="G1024" s="1205">
        <f>'House Count'!F1024</f>
        <v/>
      </c>
      <c r="H1024" s="1205">
        <f>'House Count'!H1024</f>
        <v/>
      </c>
    </row>
    <row r="1025">
      <c r="A1025" s="1204">
        <f>'House Count'!A1025</f>
        <v/>
      </c>
      <c r="B1025" s="1205">
        <f>'House Count'!E1025</f>
        <v/>
      </c>
      <c r="C1025" s="1205">
        <f>'House Count'!B1025</f>
        <v/>
      </c>
      <c r="D1025" s="1205">
        <f>'House Count'!C1025</f>
        <v/>
      </c>
      <c r="E1025" s="1205">
        <f>'House Count'!D1025</f>
        <v/>
      </c>
      <c r="F1025" s="1205">
        <f>IF(G1025="RES-SFU","RESIDENTIAL",IF(G1025="RES-HOA","RESIDENTIAL",IF(G1025="RES-MDU","RESIDENTIAL",IF(G1025="COMM-SU","BUSINESS",IF(G1025="COM-MTU","BUSINESS",IF(G1025="ENT","BUSINESS",""))))))</f>
        <v/>
      </c>
      <c r="G1025" s="1205">
        <f>'House Count'!F1025</f>
        <v/>
      </c>
      <c r="H1025" s="1205">
        <f>'House Count'!H1025</f>
        <v/>
      </c>
    </row>
    <row r="1026">
      <c r="A1026" s="1204">
        <f>'House Count'!A1026</f>
        <v/>
      </c>
      <c r="B1026" s="1205">
        <f>'House Count'!E1026</f>
        <v/>
      </c>
      <c r="C1026" s="1205">
        <f>'House Count'!B1026</f>
        <v/>
      </c>
      <c r="D1026" s="1205">
        <f>'House Count'!C1026</f>
        <v/>
      </c>
      <c r="E1026" s="1205">
        <f>'House Count'!D1026</f>
        <v/>
      </c>
      <c r="F1026" s="1205">
        <f>IF(G1026="RES-SFU","RESIDENTIAL",IF(G1026="RES-HOA","RESIDENTIAL",IF(G1026="RES-MDU","RESIDENTIAL",IF(G1026="COMM-SU","BUSINESS",IF(G1026="COM-MTU","BUSINESS",IF(G1026="ENT","BUSINESS",""))))))</f>
        <v/>
      </c>
      <c r="G1026" s="1205">
        <f>'House Count'!F1026</f>
        <v/>
      </c>
      <c r="H1026" s="1205">
        <f>'House Count'!H1026</f>
        <v/>
      </c>
    </row>
    <row r="1027">
      <c r="A1027" s="1204">
        <f>'House Count'!A1027</f>
        <v/>
      </c>
      <c r="B1027" s="1205">
        <f>'House Count'!E1027</f>
        <v/>
      </c>
      <c r="C1027" s="1205">
        <f>'House Count'!B1027</f>
        <v/>
      </c>
      <c r="D1027" s="1205">
        <f>'House Count'!C1027</f>
        <v/>
      </c>
      <c r="E1027" s="1205">
        <f>'House Count'!D1027</f>
        <v/>
      </c>
      <c r="F1027" s="1205">
        <f>IF(G1027="RES-SFU","RESIDENTIAL",IF(G1027="RES-HOA","RESIDENTIAL",IF(G1027="RES-MDU","RESIDENTIAL",IF(G1027="COMM-SU","BUSINESS",IF(G1027="COM-MTU","BUSINESS",IF(G1027="ENT","BUSINESS",""))))))</f>
        <v/>
      </c>
      <c r="G1027" s="1205">
        <f>'House Count'!F1027</f>
        <v/>
      </c>
      <c r="H1027" s="1205">
        <f>'House Count'!H1027</f>
        <v/>
      </c>
    </row>
    <row r="1028">
      <c r="A1028" s="1204">
        <f>'House Count'!A1028</f>
        <v/>
      </c>
      <c r="B1028" s="1205">
        <f>'House Count'!E1028</f>
        <v/>
      </c>
      <c r="C1028" s="1205">
        <f>'House Count'!B1028</f>
        <v/>
      </c>
      <c r="D1028" s="1205">
        <f>'House Count'!C1028</f>
        <v/>
      </c>
      <c r="E1028" s="1205">
        <f>'House Count'!D1028</f>
        <v/>
      </c>
      <c r="F1028" s="1205">
        <f>IF(G1028="RES-SFU","RESIDENTIAL",IF(G1028="RES-HOA","RESIDENTIAL",IF(G1028="RES-MDU","RESIDENTIAL",IF(G1028="COMM-SU","BUSINESS",IF(G1028="COM-MTU","BUSINESS",IF(G1028="ENT","BUSINESS",""))))))</f>
        <v/>
      </c>
      <c r="G1028" s="1205">
        <f>'House Count'!F1028</f>
        <v/>
      </c>
      <c r="H1028" s="1205">
        <f>'House Count'!H1028</f>
        <v/>
      </c>
    </row>
    <row r="1029">
      <c r="A1029" s="1204">
        <f>'House Count'!A1029</f>
        <v/>
      </c>
      <c r="B1029" s="1205">
        <f>'House Count'!E1029</f>
        <v/>
      </c>
      <c r="C1029" s="1205">
        <f>'House Count'!B1029</f>
        <v/>
      </c>
      <c r="D1029" s="1205">
        <f>'House Count'!C1029</f>
        <v/>
      </c>
      <c r="E1029" s="1205">
        <f>'House Count'!D1029</f>
        <v/>
      </c>
      <c r="F1029" s="1205">
        <f>IF(G1029="RES-SFU","RESIDENTIAL",IF(G1029="RES-HOA","RESIDENTIAL",IF(G1029="RES-MDU","RESIDENTIAL",IF(G1029="COMM-SU","BUSINESS",IF(G1029="COM-MTU","BUSINESS",IF(G1029="ENT","BUSINESS",""))))))</f>
        <v/>
      </c>
      <c r="G1029" s="1205">
        <f>'House Count'!F1029</f>
        <v/>
      </c>
      <c r="H1029" s="1205">
        <f>'House Count'!H1029</f>
        <v/>
      </c>
    </row>
    <row r="1030">
      <c r="A1030" s="1204">
        <f>'House Count'!A1030</f>
        <v/>
      </c>
      <c r="B1030" s="1205">
        <f>'House Count'!E1030</f>
        <v/>
      </c>
      <c r="C1030" s="1205">
        <f>'House Count'!B1030</f>
        <v/>
      </c>
      <c r="D1030" s="1205">
        <f>'House Count'!C1030</f>
        <v/>
      </c>
      <c r="E1030" s="1205">
        <f>'House Count'!D1030</f>
        <v/>
      </c>
      <c r="F1030" s="1205">
        <f>IF(G1030="RES-SFU","RESIDENTIAL",IF(G1030="RES-HOA","RESIDENTIAL",IF(G1030="RES-MDU","RESIDENTIAL",IF(G1030="COMM-SU","BUSINESS",IF(G1030="COM-MTU","BUSINESS",IF(G1030="ENT","BUSINESS",""))))))</f>
        <v/>
      </c>
      <c r="G1030" s="1205">
        <f>'House Count'!F1030</f>
        <v/>
      </c>
      <c r="H1030" s="1205">
        <f>'House Count'!H1030</f>
        <v/>
      </c>
    </row>
    <row r="1031">
      <c r="A1031" s="1204">
        <f>'House Count'!A1031</f>
        <v/>
      </c>
      <c r="B1031" s="1205">
        <f>'House Count'!E1031</f>
        <v/>
      </c>
      <c r="C1031" s="1205">
        <f>'House Count'!B1031</f>
        <v/>
      </c>
      <c r="D1031" s="1205">
        <f>'House Count'!C1031</f>
        <v/>
      </c>
      <c r="E1031" s="1205">
        <f>'House Count'!D1031</f>
        <v/>
      </c>
      <c r="F1031" s="1205">
        <f>IF(G1031="RES-SFU","RESIDENTIAL",IF(G1031="RES-HOA","RESIDENTIAL",IF(G1031="RES-MDU","RESIDENTIAL",IF(G1031="COMM-SU","BUSINESS",IF(G1031="COM-MTU","BUSINESS",IF(G1031="ENT","BUSINESS",""))))))</f>
        <v/>
      </c>
      <c r="G1031" s="1205">
        <f>'House Count'!F1031</f>
        <v/>
      </c>
      <c r="H1031" s="1205">
        <f>'House Count'!H1031</f>
        <v/>
      </c>
    </row>
    <row r="1032">
      <c r="A1032" s="1204">
        <f>'House Count'!A1032</f>
        <v/>
      </c>
      <c r="B1032" s="1205">
        <f>'House Count'!E1032</f>
        <v/>
      </c>
      <c r="C1032" s="1205">
        <f>'House Count'!B1032</f>
        <v/>
      </c>
      <c r="D1032" s="1205">
        <f>'House Count'!C1032</f>
        <v/>
      </c>
      <c r="E1032" s="1205">
        <f>'House Count'!D1032</f>
        <v/>
      </c>
      <c r="F1032" s="1205">
        <f>IF(G1032="RES-SFU","RESIDENTIAL",IF(G1032="RES-HOA","RESIDENTIAL",IF(G1032="RES-MDU","RESIDENTIAL",IF(G1032="COMM-SU","BUSINESS",IF(G1032="COM-MTU","BUSINESS",IF(G1032="ENT","BUSINESS",""))))))</f>
        <v/>
      </c>
      <c r="G1032" s="1205">
        <f>'House Count'!F1032</f>
        <v/>
      </c>
      <c r="H1032" s="1205">
        <f>'House Count'!H1032</f>
        <v/>
      </c>
    </row>
    <row r="1033">
      <c r="A1033" s="1204">
        <f>'House Count'!A1033</f>
        <v/>
      </c>
      <c r="B1033" s="1205">
        <f>'House Count'!E1033</f>
        <v/>
      </c>
      <c r="C1033" s="1205">
        <f>'House Count'!B1033</f>
        <v/>
      </c>
      <c r="D1033" s="1205">
        <f>'House Count'!C1033</f>
        <v/>
      </c>
      <c r="E1033" s="1205">
        <f>'House Count'!D1033</f>
        <v/>
      </c>
      <c r="F1033" s="1205">
        <f>IF(G1033="RES-SFU","RESIDENTIAL",IF(G1033="RES-HOA","RESIDENTIAL",IF(G1033="RES-MDU","RESIDENTIAL",IF(G1033="COMM-SU","BUSINESS",IF(G1033="COM-MTU","BUSINESS",IF(G1033="ENT","BUSINESS",""))))))</f>
        <v/>
      </c>
      <c r="G1033" s="1205">
        <f>'House Count'!F1033</f>
        <v/>
      </c>
      <c r="H1033" s="1205">
        <f>'House Count'!H1033</f>
        <v/>
      </c>
    </row>
    <row r="1034">
      <c r="A1034" s="1204">
        <f>'House Count'!A1034</f>
        <v/>
      </c>
      <c r="B1034" s="1205">
        <f>'House Count'!E1034</f>
        <v/>
      </c>
      <c r="C1034" s="1205">
        <f>'House Count'!B1034</f>
        <v/>
      </c>
      <c r="D1034" s="1205">
        <f>'House Count'!C1034</f>
        <v/>
      </c>
      <c r="E1034" s="1205">
        <f>'House Count'!D1034</f>
        <v/>
      </c>
      <c r="F1034" s="1205">
        <f>IF(G1034="RES-SFU","RESIDENTIAL",IF(G1034="RES-HOA","RESIDENTIAL",IF(G1034="RES-MDU","RESIDENTIAL",IF(G1034="COMM-SU","BUSINESS",IF(G1034="COM-MTU","BUSINESS",IF(G1034="ENT","BUSINESS",""))))))</f>
        <v/>
      </c>
      <c r="G1034" s="1205">
        <f>'House Count'!F1034</f>
        <v/>
      </c>
      <c r="H1034" s="1205">
        <f>'House Count'!H1034</f>
        <v/>
      </c>
    </row>
    <row r="1035">
      <c r="A1035" s="1204">
        <f>'House Count'!A1035</f>
        <v/>
      </c>
      <c r="B1035" s="1205">
        <f>'House Count'!E1035</f>
        <v/>
      </c>
      <c r="C1035" s="1205">
        <f>'House Count'!B1035</f>
        <v/>
      </c>
      <c r="D1035" s="1205">
        <f>'House Count'!C1035</f>
        <v/>
      </c>
      <c r="E1035" s="1205">
        <f>'House Count'!D1035</f>
        <v/>
      </c>
      <c r="F1035" s="1205">
        <f>IF(G1035="RES-SFU","RESIDENTIAL",IF(G1035="RES-HOA","RESIDENTIAL",IF(G1035="RES-MDU","RESIDENTIAL",IF(G1035="COMM-SU","BUSINESS",IF(G1035="COM-MTU","BUSINESS",IF(G1035="ENT","BUSINESS",""))))))</f>
        <v/>
      </c>
      <c r="G1035" s="1205">
        <f>'House Count'!F1035</f>
        <v/>
      </c>
      <c r="H1035" s="1205">
        <f>'House Count'!H1035</f>
        <v/>
      </c>
    </row>
    <row r="1036">
      <c r="A1036" s="1204">
        <f>'House Count'!A1036</f>
        <v/>
      </c>
      <c r="B1036" s="1205">
        <f>'House Count'!E1036</f>
        <v/>
      </c>
      <c r="C1036" s="1205">
        <f>'House Count'!B1036</f>
        <v/>
      </c>
      <c r="D1036" s="1205">
        <f>'House Count'!C1036</f>
        <v/>
      </c>
      <c r="E1036" s="1205">
        <f>'House Count'!D1036</f>
        <v/>
      </c>
      <c r="F1036" s="1205">
        <f>IF(G1036="RES-SFU","RESIDENTIAL",IF(G1036="RES-HOA","RESIDENTIAL",IF(G1036="RES-MDU","RESIDENTIAL",IF(G1036="COMM-SU","BUSINESS",IF(G1036="COM-MTU","BUSINESS",IF(G1036="ENT","BUSINESS",""))))))</f>
        <v/>
      </c>
      <c r="G1036" s="1205">
        <f>'House Count'!F1036</f>
        <v/>
      </c>
      <c r="H1036" s="1205">
        <f>'House Count'!H1036</f>
        <v/>
      </c>
    </row>
    <row r="1037">
      <c r="A1037" s="1204">
        <f>'House Count'!A1037</f>
        <v/>
      </c>
      <c r="B1037" s="1205">
        <f>'House Count'!E1037</f>
        <v/>
      </c>
      <c r="C1037" s="1205">
        <f>'House Count'!B1037</f>
        <v/>
      </c>
      <c r="D1037" s="1205">
        <f>'House Count'!C1037</f>
        <v/>
      </c>
      <c r="E1037" s="1205">
        <f>'House Count'!D1037</f>
        <v/>
      </c>
      <c r="F1037" s="1205">
        <f>IF(G1037="RES-SFU","RESIDENTIAL",IF(G1037="RES-HOA","RESIDENTIAL",IF(G1037="RES-MDU","RESIDENTIAL",IF(G1037="COMM-SU","BUSINESS",IF(G1037="COM-MTU","BUSINESS",IF(G1037="ENT","BUSINESS",""))))))</f>
        <v/>
      </c>
      <c r="G1037" s="1205">
        <f>'House Count'!F1037</f>
        <v/>
      </c>
      <c r="H1037" s="1205">
        <f>'House Count'!H1037</f>
        <v/>
      </c>
    </row>
    <row r="1038">
      <c r="A1038" s="1204">
        <f>'House Count'!A1038</f>
        <v/>
      </c>
      <c r="B1038" s="1205">
        <f>'House Count'!E1038</f>
        <v/>
      </c>
      <c r="C1038" s="1205">
        <f>'House Count'!B1038</f>
        <v/>
      </c>
      <c r="D1038" s="1205">
        <f>'House Count'!C1038</f>
        <v/>
      </c>
      <c r="E1038" s="1205">
        <f>'House Count'!D1038</f>
        <v/>
      </c>
      <c r="F1038" s="1205">
        <f>IF(G1038="RES-SFU","RESIDENTIAL",IF(G1038="RES-HOA","RESIDENTIAL",IF(G1038="RES-MDU","RESIDENTIAL",IF(G1038="COMM-SU","BUSINESS",IF(G1038="COM-MTU","BUSINESS",IF(G1038="ENT","BUSINESS",""))))))</f>
        <v/>
      </c>
      <c r="G1038" s="1205">
        <f>'House Count'!F1038</f>
        <v/>
      </c>
      <c r="H1038" s="1205">
        <f>'House Count'!H1038</f>
        <v/>
      </c>
    </row>
    <row r="1039">
      <c r="A1039" s="1204">
        <f>'House Count'!A1039</f>
        <v/>
      </c>
      <c r="B1039" s="1205">
        <f>'House Count'!E1039</f>
        <v/>
      </c>
      <c r="C1039" s="1205">
        <f>'House Count'!B1039</f>
        <v/>
      </c>
      <c r="D1039" s="1205">
        <f>'House Count'!C1039</f>
        <v/>
      </c>
      <c r="E1039" s="1205">
        <f>'House Count'!D1039</f>
        <v/>
      </c>
      <c r="F1039" s="1205">
        <f>IF(G1039="RES-SFU","RESIDENTIAL",IF(G1039="RES-HOA","RESIDENTIAL",IF(G1039="RES-MDU","RESIDENTIAL",IF(G1039="COMM-SU","BUSINESS",IF(G1039="COM-MTU","BUSINESS",IF(G1039="ENT","BUSINESS",""))))))</f>
        <v/>
      </c>
      <c r="G1039" s="1205">
        <f>'House Count'!F1039</f>
        <v/>
      </c>
      <c r="H1039" s="1205">
        <f>'House Count'!H1039</f>
        <v/>
      </c>
    </row>
    <row r="1040">
      <c r="A1040" s="1204">
        <f>'House Count'!A1040</f>
        <v/>
      </c>
      <c r="B1040" s="1205">
        <f>'House Count'!E1040</f>
        <v/>
      </c>
      <c r="C1040" s="1205">
        <f>'House Count'!B1040</f>
        <v/>
      </c>
      <c r="D1040" s="1205">
        <f>'House Count'!C1040</f>
        <v/>
      </c>
      <c r="E1040" s="1205">
        <f>'House Count'!D1040</f>
        <v/>
      </c>
      <c r="F1040" s="1205">
        <f>IF(G1040="RES-SFU","RESIDENTIAL",IF(G1040="RES-HOA","RESIDENTIAL",IF(G1040="RES-MDU","RESIDENTIAL",IF(G1040="COMM-SU","BUSINESS",IF(G1040="COM-MTU","BUSINESS",IF(G1040="ENT","BUSINESS",""))))))</f>
        <v/>
      </c>
      <c r="G1040" s="1205">
        <f>'House Count'!F1040</f>
        <v/>
      </c>
      <c r="H1040" s="1205">
        <f>'House Count'!H1040</f>
        <v/>
      </c>
    </row>
    <row r="1041">
      <c r="A1041" s="1204">
        <f>'House Count'!A1041</f>
        <v/>
      </c>
      <c r="B1041" s="1205">
        <f>'House Count'!E1041</f>
        <v/>
      </c>
      <c r="C1041" s="1205">
        <f>'House Count'!B1041</f>
        <v/>
      </c>
      <c r="D1041" s="1205">
        <f>'House Count'!C1041</f>
        <v/>
      </c>
      <c r="E1041" s="1205">
        <f>'House Count'!D1041</f>
        <v/>
      </c>
      <c r="F1041" s="1205">
        <f>IF(G1041="RES-SFU","RESIDENTIAL",IF(G1041="RES-HOA","RESIDENTIAL",IF(G1041="RES-MDU","RESIDENTIAL",IF(G1041="COMM-SU","BUSINESS",IF(G1041="COM-MTU","BUSINESS",IF(G1041="ENT","BUSINESS",""))))))</f>
        <v/>
      </c>
      <c r="G1041" s="1205">
        <f>'House Count'!F1041</f>
        <v/>
      </c>
      <c r="H1041" s="1205">
        <f>'House Count'!H1041</f>
        <v/>
      </c>
    </row>
    <row r="1042">
      <c r="A1042" s="1204">
        <f>'House Count'!A1042</f>
        <v/>
      </c>
      <c r="B1042" s="1205">
        <f>'House Count'!E1042</f>
        <v/>
      </c>
      <c r="C1042" s="1205">
        <f>'House Count'!B1042</f>
        <v/>
      </c>
      <c r="D1042" s="1205">
        <f>'House Count'!C1042</f>
        <v/>
      </c>
      <c r="E1042" s="1205">
        <f>'House Count'!D1042</f>
        <v/>
      </c>
      <c r="F1042" s="1205">
        <f>IF(G1042="RES-SFU","RESIDENTIAL",IF(G1042="RES-HOA","RESIDENTIAL",IF(G1042="RES-MDU","RESIDENTIAL",IF(G1042="COMM-SU","BUSINESS",IF(G1042="COM-MTU","BUSINESS",IF(G1042="ENT","BUSINESS",""))))))</f>
        <v/>
      </c>
      <c r="G1042" s="1205">
        <f>'House Count'!F1042</f>
        <v/>
      </c>
      <c r="H1042" s="1205">
        <f>'House Count'!H1042</f>
        <v/>
      </c>
    </row>
    <row r="1043">
      <c r="A1043" s="1204">
        <f>'House Count'!A1043</f>
        <v/>
      </c>
      <c r="B1043" s="1205">
        <f>'House Count'!E1043</f>
        <v/>
      </c>
      <c r="C1043" s="1205">
        <f>'House Count'!B1043</f>
        <v/>
      </c>
      <c r="D1043" s="1205">
        <f>'House Count'!C1043</f>
        <v/>
      </c>
      <c r="E1043" s="1205">
        <f>'House Count'!D1043</f>
        <v/>
      </c>
      <c r="F1043" s="1205">
        <f>IF(G1043="RES-SFU","RESIDENTIAL",IF(G1043="RES-HOA","RESIDENTIAL",IF(G1043="RES-MDU","RESIDENTIAL",IF(G1043="COMM-SU","BUSINESS",IF(G1043="COM-MTU","BUSINESS",IF(G1043="ENT","BUSINESS",""))))))</f>
        <v/>
      </c>
      <c r="G1043" s="1205">
        <f>'House Count'!F1043</f>
        <v/>
      </c>
      <c r="H1043" s="1205">
        <f>'House Count'!H1043</f>
        <v/>
      </c>
    </row>
    <row r="1044">
      <c r="A1044" s="1204">
        <f>'House Count'!A1044</f>
        <v/>
      </c>
      <c r="B1044" s="1205">
        <f>'House Count'!E1044</f>
        <v/>
      </c>
      <c r="C1044" s="1205">
        <f>'House Count'!B1044</f>
        <v/>
      </c>
      <c r="D1044" s="1205">
        <f>'House Count'!C1044</f>
        <v/>
      </c>
      <c r="E1044" s="1205">
        <f>'House Count'!D1044</f>
        <v/>
      </c>
      <c r="F1044" s="1205">
        <f>IF(G1044="RES-SFU","RESIDENTIAL",IF(G1044="RES-HOA","RESIDENTIAL",IF(G1044="RES-MDU","RESIDENTIAL",IF(G1044="COMM-SU","BUSINESS",IF(G1044="COM-MTU","BUSINESS",IF(G1044="ENT","BUSINESS",""))))))</f>
        <v/>
      </c>
      <c r="G1044" s="1205">
        <f>'House Count'!F1044</f>
        <v/>
      </c>
      <c r="H1044" s="1205">
        <f>'House Count'!H1044</f>
        <v/>
      </c>
    </row>
    <row r="1045">
      <c r="A1045" s="1204">
        <f>'House Count'!A1045</f>
        <v/>
      </c>
      <c r="B1045" s="1205">
        <f>'House Count'!E1045</f>
        <v/>
      </c>
      <c r="C1045" s="1205">
        <f>'House Count'!B1045</f>
        <v/>
      </c>
      <c r="D1045" s="1205">
        <f>'House Count'!C1045</f>
        <v/>
      </c>
      <c r="E1045" s="1205">
        <f>'House Count'!D1045</f>
        <v/>
      </c>
      <c r="F1045" s="1205">
        <f>IF(G1045="RES-SFU","RESIDENTIAL",IF(G1045="RES-HOA","RESIDENTIAL",IF(G1045="RES-MDU","RESIDENTIAL",IF(G1045="COMM-SU","BUSINESS",IF(G1045="COM-MTU","BUSINESS",IF(G1045="ENT","BUSINESS",""))))))</f>
        <v/>
      </c>
      <c r="G1045" s="1205">
        <f>'House Count'!F1045</f>
        <v/>
      </c>
      <c r="H1045" s="1205">
        <f>'House Count'!H1045</f>
        <v/>
      </c>
    </row>
    <row r="1046">
      <c r="A1046" s="1204">
        <f>'House Count'!A1046</f>
        <v/>
      </c>
      <c r="B1046" s="1205">
        <f>'House Count'!E1046</f>
        <v/>
      </c>
      <c r="C1046" s="1205">
        <f>'House Count'!B1046</f>
        <v/>
      </c>
      <c r="D1046" s="1205">
        <f>'House Count'!C1046</f>
        <v/>
      </c>
      <c r="E1046" s="1205">
        <f>'House Count'!D1046</f>
        <v/>
      </c>
      <c r="F1046" s="1205">
        <f>IF(G1046="RES-SFU","RESIDENTIAL",IF(G1046="RES-HOA","RESIDENTIAL",IF(G1046="RES-MDU","RESIDENTIAL",IF(G1046="COMM-SU","BUSINESS",IF(G1046="COM-MTU","BUSINESS",IF(G1046="ENT","BUSINESS",""))))))</f>
        <v/>
      </c>
      <c r="G1046" s="1205">
        <f>'House Count'!F1046</f>
        <v/>
      </c>
      <c r="H1046" s="1205">
        <f>'House Count'!H1046</f>
        <v/>
      </c>
    </row>
    <row r="1047">
      <c r="A1047" s="1204">
        <f>'House Count'!A1047</f>
        <v/>
      </c>
      <c r="B1047" s="1205">
        <f>'House Count'!E1047</f>
        <v/>
      </c>
      <c r="C1047" s="1205">
        <f>'House Count'!B1047</f>
        <v/>
      </c>
      <c r="D1047" s="1205">
        <f>'House Count'!C1047</f>
        <v/>
      </c>
      <c r="E1047" s="1205">
        <f>'House Count'!D1047</f>
        <v/>
      </c>
      <c r="F1047" s="1205">
        <f>IF(G1047="RES-SFU","RESIDENTIAL",IF(G1047="RES-HOA","RESIDENTIAL",IF(G1047="RES-MDU","RESIDENTIAL",IF(G1047="COMM-SU","BUSINESS",IF(G1047="COM-MTU","BUSINESS",IF(G1047="ENT","BUSINESS",""))))))</f>
        <v/>
      </c>
      <c r="G1047" s="1205">
        <f>'House Count'!F1047</f>
        <v/>
      </c>
      <c r="H1047" s="1205">
        <f>'House Count'!H1047</f>
        <v/>
      </c>
    </row>
    <row r="1048">
      <c r="A1048" s="1204">
        <f>'House Count'!A1048</f>
        <v/>
      </c>
      <c r="B1048" s="1205">
        <f>'House Count'!E1048</f>
        <v/>
      </c>
      <c r="C1048" s="1205">
        <f>'House Count'!B1048</f>
        <v/>
      </c>
      <c r="D1048" s="1205">
        <f>'House Count'!C1048</f>
        <v/>
      </c>
      <c r="E1048" s="1205">
        <f>'House Count'!D1048</f>
        <v/>
      </c>
      <c r="F1048" s="1205">
        <f>IF(G1048="RES-SFU","RESIDENTIAL",IF(G1048="RES-HOA","RESIDENTIAL",IF(G1048="RES-MDU","RESIDENTIAL",IF(G1048="COMM-SU","BUSINESS",IF(G1048="COM-MTU","BUSINESS",IF(G1048="ENT","BUSINESS",""))))))</f>
        <v/>
      </c>
      <c r="G1048" s="1205">
        <f>'House Count'!F1048</f>
        <v/>
      </c>
      <c r="H1048" s="1205">
        <f>'House Count'!H1048</f>
        <v/>
      </c>
    </row>
    <row r="1049">
      <c r="A1049" s="1204">
        <f>'House Count'!A1049</f>
        <v/>
      </c>
      <c r="B1049" s="1205">
        <f>'House Count'!E1049</f>
        <v/>
      </c>
      <c r="C1049" s="1205">
        <f>'House Count'!B1049</f>
        <v/>
      </c>
      <c r="D1049" s="1205">
        <f>'House Count'!C1049</f>
        <v/>
      </c>
      <c r="E1049" s="1205">
        <f>'House Count'!D1049</f>
        <v/>
      </c>
      <c r="F1049" s="1205">
        <f>IF(G1049="RES-SFU","RESIDENTIAL",IF(G1049="RES-HOA","RESIDENTIAL",IF(G1049="RES-MDU","RESIDENTIAL",IF(G1049="COMM-SU","BUSINESS",IF(G1049="COM-MTU","BUSINESS",IF(G1049="ENT","BUSINESS",""))))))</f>
        <v/>
      </c>
      <c r="G1049" s="1205">
        <f>'House Count'!F1049</f>
        <v/>
      </c>
      <c r="H1049" s="1205">
        <f>'House Count'!H1049</f>
        <v/>
      </c>
    </row>
    <row r="1050">
      <c r="A1050" s="1204">
        <f>'House Count'!A1050</f>
        <v/>
      </c>
      <c r="B1050" s="1205">
        <f>'House Count'!E1050</f>
        <v/>
      </c>
      <c r="C1050" s="1205">
        <f>'House Count'!B1050</f>
        <v/>
      </c>
      <c r="D1050" s="1205">
        <f>'House Count'!C1050</f>
        <v/>
      </c>
      <c r="E1050" s="1205">
        <f>'House Count'!D1050</f>
        <v/>
      </c>
      <c r="F1050" s="1205">
        <f>IF(G1050="RES-SFU","RESIDENTIAL",IF(G1050="RES-HOA","RESIDENTIAL",IF(G1050="RES-MDU","RESIDENTIAL",IF(G1050="COMM-SU","BUSINESS",IF(G1050="COM-MTU","BUSINESS",IF(G1050="ENT","BUSINESS",""))))))</f>
        <v/>
      </c>
      <c r="G1050" s="1205">
        <f>'House Count'!F1050</f>
        <v/>
      </c>
      <c r="H1050" s="1205">
        <f>'House Count'!H1050</f>
        <v/>
      </c>
    </row>
    <row r="1051">
      <c r="A1051" s="1204">
        <f>'House Count'!A1051</f>
        <v/>
      </c>
      <c r="B1051" s="1205">
        <f>'House Count'!E1051</f>
        <v/>
      </c>
      <c r="C1051" s="1205">
        <f>'House Count'!B1051</f>
        <v/>
      </c>
      <c r="D1051" s="1205">
        <f>'House Count'!C1051</f>
        <v/>
      </c>
      <c r="E1051" s="1205">
        <f>'House Count'!D1051</f>
        <v/>
      </c>
      <c r="F1051" s="1205">
        <f>IF(G1051="RES-SFU","RESIDENTIAL",IF(G1051="RES-HOA","RESIDENTIAL",IF(G1051="RES-MDU","RESIDENTIAL",IF(G1051="COMM-SU","BUSINESS",IF(G1051="COM-MTU","BUSINESS",IF(G1051="ENT","BUSINESS",""))))))</f>
        <v/>
      </c>
      <c r="G1051" s="1205">
        <f>'House Count'!F1051</f>
        <v/>
      </c>
      <c r="H1051" s="1205">
        <f>'House Count'!H1051</f>
        <v/>
      </c>
    </row>
    <row r="1052">
      <c r="A1052" s="1204">
        <f>'House Count'!A1052</f>
        <v/>
      </c>
      <c r="B1052" s="1205">
        <f>'House Count'!E1052</f>
        <v/>
      </c>
      <c r="C1052" s="1205">
        <f>'House Count'!B1052</f>
        <v/>
      </c>
      <c r="D1052" s="1205">
        <f>'House Count'!C1052</f>
        <v/>
      </c>
      <c r="E1052" s="1205">
        <f>'House Count'!D1052</f>
        <v/>
      </c>
      <c r="F1052" s="1205">
        <f>IF(G1052="RES-SFU","RESIDENTIAL",IF(G1052="RES-HOA","RESIDENTIAL",IF(G1052="RES-MDU","RESIDENTIAL",IF(G1052="COMM-SU","BUSINESS",IF(G1052="COM-MTU","BUSINESS",IF(G1052="ENT","BUSINESS",""))))))</f>
        <v/>
      </c>
      <c r="G1052" s="1205">
        <f>'House Count'!F1052</f>
        <v/>
      </c>
      <c r="H1052" s="1205">
        <f>'House Count'!H1052</f>
        <v/>
      </c>
    </row>
    <row r="1053">
      <c r="A1053" s="1204">
        <f>'House Count'!A1053</f>
        <v/>
      </c>
      <c r="B1053" s="1205">
        <f>'House Count'!E1053</f>
        <v/>
      </c>
      <c r="C1053" s="1205">
        <f>'House Count'!B1053</f>
        <v/>
      </c>
      <c r="D1053" s="1205">
        <f>'House Count'!C1053</f>
        <v/>
      </c>
      <c r="E1053" s="1205">
        <f>'House Count'!D1053</f>
        <v/>
      </c>
      <c r="F1053" s="1205">
        <f>IF(G1053="RES-SFU","RESIDENTIAL",IF(G1053="RES-HOA","RESIDENTIAL",IF(G1053="RES-MDU","RESIDENTIAL",IF(G1053="COMM-SU","BUSINESS",IF(G1053="COM-MTU","BUSINESS",IF(G1053="ENT","BUSINESS",""))))))</f>
        <v/>
      </c>
      <c r="G1053" s="1205">
        <f>'House Count'!F1053</f>
        <v/>
      </c>
      <c r="H1053" s="1205">
        <f>'House Count'!H1053</f>
        <v/>
      </c>
    </row>
    <row r="1054">
      <c r="A1054" s="1204">
        <f>'House Count'!A1054</f>
        <v/>
      </c>
      <c r="B1054" s="1205">
        <f>'House Count'!E1054</f>
        <v/>
      </c>
      <c r="C1054" s="1205">
        <f>'House Count'!B1054</f>
        <v/>
      </c>
      <c r="D1054" s="1205">
        <f>'House Count'!C1054</f>
        <v/>
      </c>
      <c r="E1054" s="1205">
        <f>'House Count'!D1054</f>
        <v/>
      </c>
      <c r="F1054" s="1205">
        <f>IF(G1054="RES-SFU","RESIDENTIAL",IF(G1054="RES-HOA","RESIDENTIAL",IF(G1054="RES-MDU","RESIDENTIAL",IF(G1054="COMM-SU","BUSINESS",IF(G1054="COM-MTU","BUSINESS",IF(G1054="ENT","BUSINESS",""))))))</f>
        <v/>
      </c>
      <c r="G1054" s="1205">
        <f>'House Count'!F1054</f>
        <v/>
      </c>
      <c r="H1054" s="1205">
        <f>'House Count'!H1054</f>
        <v/>
      </c>
    </row>
    <row r="1055">
      <c r="A1055" s="1204">
        <f>'House Count'!A1055</f>
        <v/>
      </c>
      <c r="B1055" s="1205">
        <f>'House Count'!E1055</f>
        <v/>
      </c>
      <c r="C1055" s="1205">
        <f>'House Count'!B1055</f>
        <v/>
      </c>
      <c r="D1055" s="1205">
        <f>'House Count'!C1055</f>
        <v/>
      </c>
      <c r="E1055" s="1205">
        <f>'House Count'!D1055</f>
        <v/>
      </c>
      <c r="F1055" s="1205">
        <f>IF(G1055="RES-SFU","RESIDENTIAL",IF(G1055="RES-HOA","RESIDENTIAL",IF(G1055="RES-MDU","RESIDENTIAL",IF(G1055="COMM-SU","BUSINESS",IF(G1055="COM-MTU","BUSINESS",IF(G1055="ENT","BUSINESS",""))))))</f>
        <v/>
      </c>
      <c r="G1055" s="1205">
        <f>'House Count'!F1055</f>
        <v/>
      </c>
      <c r="H1055" s="1205">
        <f>'House Count'!H1055</f>
        <v/>
      </c>
    </row>
    <row r="1056">
      <c r="A1056" s="1204">
        <f>'House Count'!A1056</f>
        <v/>
      </c>
      <c r="B1056" s="1205">
        <f>'House Count'!E1056</f>
        <v/>
      </c>
      <c r="C1056" s="1205">
        <f>'House Count'!B1056</f>
        <v/>
      </c>
      <c r="D1056" s="1205">
        <f>'House Count'!C1056</f>
        <v/>
      </c>
      <c r="E1056" s="1205">
        <f>'House Count'!D1056</f>
        <v/>
      </c>
      <c r="F1056" s="1205">
        <f>IF(G1056="RES-SFU","RESIDENTIAL",IF(G1056="RES-HOA","RESIDENTIAL",IF(G1056="RES-MDU","RESIDENTIAL",IF(G1056="COMM-SU","BUSINESS",IF(G1056="COM-MTU","BUSINESS",IF(G1056="ENT","BUSINESS",""))))))</f>
        <v/>
      </c>
      <c r="G1056" s="1205">
        <f>'House Count'!F1056</f>
        <v/>
      </c>
      <c r="H1056" s="1205">
        <f>'House Count'!H1056</f>
        <v/>
      </c>
    </row>
    <row r="1057">
      <c r="A1057" s="1204">
        <f>'House Count'!A1057</f>
        <v/>
      </c>
      <c r="B1057" s="1205">
        <f>'House Count'!E1057</f>
        <v/>
      </c>
      <c r="C1057" s="1205">
        <f>'House Count'!B1057</f>
        <v/>
      </c>
      <c r="D1057" s="1205">
        <f>'House Count'!C1057</f>
        <v/>
      </c>
      <c r="E1057" s="1205">
        <f>'House Count'!D1057</f>
        <v/>
      </c>
      <c r="F1057" s="1205">
        <f>IF(G1057="RES-SFU","RESIDENTIAL",IF(G1057="RES-HOA","RESIDENTIAL",IF(G1057="RES-MDU","RESIDENTIAL",IF(G1057="COMM-SU","BUSINESS",IF(G1057="COM-MTU","BUSINESS",IF(G1057="ENT","BUSINESS",""))))))</f>
        <v/>
      </c>
      <c r="G1057" s="1205">
        <f>'House Count'!F1057</f>
        <v/>
      </c>
      <c r="H1057" s="1205">
        <f>'House Count'!H1057</f>
        <v/>
      </c>
    </row>
    <row r="1058">
      <c r="A1058" s="1204">
        <f>'House Count'!A1058</f>
        <v/>
      </c>
      <c r="B1058" s="1205">
        <f>'House Count'!E1058</f>
        <v/>
      </c>
      <c r="C1058" s="1205">
        <f>'House Count'!B1058</f>
        <v/>
      </c>
      <c r="D1058" s="1205">
        <f>'House Count'!C1058</f>
        <v/>
      </c>
      <c r="E1058" s="1205">
        <f>'House Count'!D1058</f>
        <v/>
      </c>
      <c r="F1058" s="1205">
        <f>IF(G1058="RES-SFU","RESIDENTIAL",IF(G1058="RES-HOA","RESIDENTIAL",IF(G1058="RES-MDU","RESIDENTIAL",IF(G1058="COMM-SU","BUSINESS",IF(G1058="COM-MTU","BUSINESS",IF(G1058="ENT","BUSINESS",""))))))</f>
        <v/>
      </c>
      <c r="G1058" s="1205">
        <f>'House Count'!F1058</f>
        <v/>
      </c>
      <c r="H1058" s="1205">
        <f>'House Count'!H1058</f>
        <v/>
      </c>
    </row>
    <row r="1059">
      <c r="A1059" s="1204">
        <f>'House Count'!A1059</f>
        <v/>
      </c>
      <c r="B1059" s="1205">
        <f>'House Count'!E1059</f>
        <v/>
      </c>
      <c r="C1059" s="1205">
        <f>'House Count'!B1059</f>
        <v/>
      </c>
      <c r="D1059" s="1205">
        <f>'House Count'!C1059</f>
        <v/>
      </c>
      <c r="E1059" s="1205">
        <f>'House Count'!D1059</f>
        <v/>
      </c>
      <c r="F1059" s="1205">
        <f>IF(G1059="RES-SFU","RESIDENTIAL",IF(G1059="RES-HOA","RESIDENTIAL",IF(G1059="RES-MDU","RESIDENTIAL",IF(G1059="COMM-SU","BUSINESS",IF(G1059="COM-MTU","BUSINESS",IF(G1059="ENT","BUSINESS",""))))))</f>
        <v/>
      </c>
      <c r="G1059" s="1205">
        <f>'House Count'!F1059</f>
        <v/>
      </c>
      <c r="H1059" s="1205">
        <f>'House Count'!H1059</f>
        <v/>
      </c>
    </row>
    <row r="1060">
      <c r="A1060" s="1204">
        <f>'House Count'!A1060</f>
        <v/>
      </c>
      <c r="B1060" s="1205">
        <f>'House Count'!E1060</f>
        <v/>
      </c>
      <c r="C1060" s="1205">
        <f>'House Count'!B1060</f>
        <v/>
      </c>
      <c r="D1060" s="1205">
        <f>'House Count'!C1060</f>
        <v/>
      </c>
      <c r="E1060" s="1205">
        <f>'House Count'!D1060</f>
        <v/>
      </c>
      <c r="F1060" s="1205">
        <f>IF(G1060="RES-SFU","RESIDENTIAL",IF(G1060="RES-HOA","RESIDENTIAL",IF(G1060="RES-MDU","RESIDENTIAL",IF(G1060="COMM-SU","BUSINESS",IF(G1060="COM-MTU","BUSINESS",IF(G1060="ENT","BUSINESS",""))))))</f>
        <v/>
      </c>
      <c r="G1060" s="1205">
        <f>'House Count'!F1060</f>
        <v/>
      </c>
      <c r="H1060" s="1205">
        <f>'House Count'!H1060</f>
        <v/>
      </c>
    </row>
    <row r="1061">
      <c r="A1061" s="1204">
        <f>'House Count'!A1061</f>
        <v/>
      </c>
      <c r="B1061" s="1205">
        <f>'House Count'!E1061</f>
        <v/>
      </c>
      <c r="C1061" s="1205">
        <f>'House Count'!B1061</f>
        <v/>
      </c>
      <c r="D1061" s="1205">
        <f>'House Count'!C1061</f>
        <v/>
      </c>
      <c r="E1061" s="1205">
        <f>'House Count'!D1061</f>
        <v/>
      </c>
      <c r="F1061" s="1205">
        <f>IF(G1061="RES-SFU","RESIDENTIAL",IF(G1061="RES-HOA","RESIDENTIAL",IF(G1061="RES-MDU","RESIDENTIAL",IF(G1061="COMM-SU","BUSINESS",IF(G1061="COM-MTU","BUSINESS",IF(G1061="ENT","BUSINESS",""))))))</f>
        <v/>
      </c>
      <c r="G1061" s="1205">
        <f>'House Count'!F1061</f>
        <v/>
      </c>
      <c r="H1061" s="1205">
        <f>'House Count'!H1061</f>
        <v/>
      </c>
    </row>
    <row r="1062">
      <c r="A1062" s="1204">
        <f>'House Count'!A1062</f>
        <v/>
      </c>
      <c r="B1062" s="1205">
        <f>'House Count'!E1062</f>
        <v/>
      </c>
      <c r="C1062" s="1205">
        <f>'House Count'!B1062</f>
        <v/>
      </c>
      <c r="D1062" s="1205">
        <f>'House Count'!C1062</f>
        <v/>
      </c>
      <c r="E1062" s="1205">
        <f>'House Count'!D1062</f>
        <v/>
      </c>
      <c r="F1062" s="1205">
        <f>IF(G1062="RES-SFU","RESIDENTIAL",IF(G1062="RES-HOA","RESIDENTIAL",IF(G1062="RES-MDU","RESIDENTIAL",IF(G1062="COMM-SU","BUSINESS",IF(G1062="COM-MTU","BUSINESS",IF(G1062="ENT","BUSINESS",""))))))</f>
        <v/>
      </c>
      <c r="G1062" s="1205">
        <f>'House Count'!F1062</f>
        <v/>
      </c>
      <c r="H1062" s="1205">
        <f>'House Count'!H1062</f>
        <v/>
      </c>
    </row>
    <row r="1063">
      <c r="A1063" s="1204">
        <f>'House Count'!A1063</f>
        <v/>
      </c>
      <c r="B1063" s="1205">
        <f>'House Count'!E1063</f>
        <v/>
      </c>
      <c r="C1063" s="1205">
        <f>'House Count'!B1063</f>
        <v/>
      </c>
      <c r="D1063" s="1205">
        <f>'House Count'!C1063</f>
        <v/>
      </c>
      <c r="E1063" s="1205">
        <f>'House Count'!D1063</f>
        <v/>
      </c>
      <c r="F1063" s="1205">
        <f>IF(G1063="RES-SFU","RESIDENTIAL",IF(G1063="RES-HOA","RESIDENTIAL",IF(G1063="RES-MDU","RESIDENTIAL",IF(G1063="COMM-SU","BUSINESS",IF(G1063="COM-MTU","BUSINESS",IF(G1063="ENT","BUSINESS",""))))))</f>
        <v/>
      </c>
      <c r="G1063" s="1205">
        <f>'House Count'!F1063</f>
        <v/>
      </c>
      <c r="H1063" s="1205">
        <f>'House Count'!H1063</f>
        <v/>
      </c>
    </row>
    <row r="1064">
      <c r="A1064" s="1204">
        <f>'House Count'!A1064</f>
        <v/>
      </c>
      <c r="B1064" s="1205">
        <f>'House Count'!E1064</f>
        <v/>
      </c>
      <c r="C1064" s="1205">
        <f>'House Count'!B1064</f>
        <v/>
      </c>
      <c r="D1064" s="1205">
        <f>'House Count'!C1064</f>
        <v/>
      </c>
      <c r="E1064" s="1205">
        <f>'House Count'!D1064</f>
        <v/>
      </c>
      <c r="F1064" s="1205">
        <f>IF(G1064="RES-SFU","RESIDENTIAL",IF(G1064="RES-HOA","RESIDENTIAL",IF(G1064="RES-MDU","RESIDENTIAL",IF(G1064="COMM-SU","BUSINESS",IF(G1064="COM-MTU","BUSINESS",IF(G1064="ENT","BUSINESS",""))))))</f>
        <v/>
      </c>
      <c r="G1064" s="1205">
        <f>'House Count'!F1064</f>
        <v/>
      </c>
      <c r="H1064" s="1205">
        <f>'House Count'!H1064</f>
        <v/>
      </c>
    </row>
    <row r="1065">
      <c r="A1065" s="1204">
        <f>'House Count'!A1065</f>
        <v/>
      </c>
      <c r="B1065" s="1205">
        <f>'House Count'!E1065</f>
        <v/>
      </c>
      <c r="C1065" s="1205">
        <f>'House Count'!B1065</f>
        <v/>
      </c>
      <c r="D1065" s="1205">
        <f>'House Count'!C1065</f>
        <v/>
      </c>
      <c r="E1065" s="1205">
        <f>'House Count'!D1065</f>
        <v/>
      </c>
      <c r="F1065" s="1205">
        <f>IF(G1065="RES-SFU","RESIDENTIAL",IF(G1065="RES-HOA","RESIDENTIAL",IF(G1065="RES-MDU","RESIDENTIAL",IF(G1065="COMM-SU","BUSINESS",IF(G1065="COM-MTU","BUSINESS",IF(G1065="ENT","BUSINESS",""))))))</f>
        <v/>
      </c>
      <c r="G1065" s="1205">
        <f>'House Count'!F1065</f>
        <v/>
      </c>
      <c r="H1065" s="1205">
        <f>'House Count'!H1065</f>
        <v/>
      </c>
    </row>
    <row r="1066">
      <c r="A1066" s="1204">
        <f>'House Count'!A1066</f>
        <v/>
      </c>
      <c r="B1066" s="1205">
        <f>'House Count'!E1066</f>
        <v/>
      </c>
      <c r="C1066" s="1205">
        <f>'House Count'!B1066</f>
        <v/>
      </c>
      <c r="D1066" s="1205">
        <f>'House Count'!C1066</f>
        <v/>
      </c>
      <c r="E1066" s="1205">
        <f>'House Count'!D1066</f>
        <v/>
      </c>
      <c r="F1066" s="1205">
        <f>IF(G1066="RES-SFU","RESIDENTIAL",IF(G1066="RES-HOA","RESIDENTIAL",IF(G1066="RES-MDU","RESIDENTIAL",IF(G1066="COMM-SU","BUSINESS",IF(G1066="COM-MTU","BUSINESS",IF(G1066="ENT","BUSINESS",""))))))</f>
        <v/>
      </c>
      <c r="G1066" s="1205">
        <f>'House Count'!F1066</f>
        <v/>
      </c>
      <c r="H1066" s="1205">
        <f>'House Count'!H1066</f>
        <v/>
      </c>
    </row>
    <row r="1067">
      <c r="A1067" s="1204">
        <f>'House Count'!A1067</f>
        <v/>
      </c>
      <c r="B1067" s="1205">
        <f>'House Count'!E1067</f>
        <v/>
      </c>
      <c r="C1067" s="1205">
        <f>'House Count'!B1067</f>
        <v/>
      </c>
      <c r="D1067" s="1205">
        <f>'House Count'!C1067</f>
        <v/>
      </c>
      <c r="E1067" s="1205">
        <f>'House Count'!D1067</f>
        <v/>
      </c>
      <c r="F1067" s="1205">
        <f>IF(G1067="RES-SFU","RESIDENTIAL",IF(G1067="RES-HOA","RESIDENTIAL",IF(G1067="RES-MDU","RESIDENTIAL",IF(G1067="COMM-SU","BUSINESS",IF(G1067="COM-MTU","BUSINESS",IF(G1067="ENT","BUSINESS",""))))))</f>
        <v/>
      </c>
      <c r="G1067" s="1205">
        <f>'House Count'!F1067</f>
        <v/>
      </c>
      <c r="H1067" s="1205">
        <f>'House Count'!H1067</f>
        <v/>
      </c>
    </row>
    <row r="1068">
      <c r="A1068" s="1204">
        <f>'House Count'!A1068</f>
        <v/>
      </c>
      <c r="B1068" s="1205">
        <f>'House Count'!E1068</f>
        <v/>
      </c>
      <c r="C1068" s="1205">
        <f>'House Count'!B1068</f>
        <v/>
      </c>
      <c r="D1068" s="1205">
        <f>'House Count'!C1068</f>
        <v/>
      </c>
      <c r="E1068" s="1205">
        <f>'House Count'!D1068</f>
        <v/>
      </c>
      <c r="F1068" s="1205">
        <f>IF(G1068="RES-SFU","RESIDENTIAL",IF(G1068="RES-HOA","RESIDENTIAL",IF(G1068="RES-MDU","RESIDENTIAL",IF(G1068="COMM-SU","BUSINESS",IF(G1068="COM-MTU","BUSINESS",IF(G1068="ENT","BUSINESS",""))))))</f>
        <v/>
      </c>
      <c r="G1068" s="1205">
        <f>'House Count'!F1068</f>
        <v/>
      </c>
      <c r="H1068" s="1205">
        <f>'House Count'!H1068</f>
        <v/>
      </c>
    </row>
    <row r="1069">
      <c r="A1069" s="1204">
        <f>'House Count'!A1069</f>
        <v/>
      </c>
      <c r="B1069" s="1205">
        <f>'House Count'!E1069</f>
        <v/>
      </c>
      <c r="C1069" s="1205">
        <f>'House Count'!B1069</f>
        <v/>
      </c>
      <c r="D1069" s="1205">
        <f>'House Count'!C1069</f>
        <v/>
      </c>
      <c r="E1069" s="1205">
        <f>'House Count'!D1069</f>
        <v/>
      </c>
      <c r="F1069" s="1205">
        <f>IF(G1069="RES-SFU","RESIDENTIAL",IF(G1069="RES-HOA","RESIDENTIAL",IF(G1069="RES-MDU","RESIDENTIAL",IF(G1069="COMM-SU","BUSINESS",IF(G1069="COM-MTU","BUSINESS",IF(G1069="ENT","BUSINESS",""))))))</f>
        <v/>
      </c>
      <c r="G1069" s="1205">
        <f>'House Count'!F1069</f>
        <v/>
      </c>
      <c r="H1069" s="1205">
        <f>'House Count'!H1069</f>
        <v/>
      </c>
    </row>
    <row r="1070">
      <c r="A1070" s="1204">
        <f>'House Count'!A1070</f>
        <v/>
      </c>
      <c r="B1070" s="1205">
        <f>'House Count'!E1070</f>
        <v/>
      </c>
      <c r="C1070" s="1205">
        <f>'House Count'!B1070</f>
        <v/>
      </c>
      <c r="D1070" s="1205">
        <f>'House Count'!C1070</f>
        <v/>
      </c>
      <c r="E1070" s="1205">
        <f>'House Count'!D1070</f>
        <v/>
      </c>
      <c r="F1070" s="1205">
        <f>IF(G1070="RES-SFU","RESIDENTIAL",IF(G1070="RES-HOA","RESIDENTIAL",IF(G1070="RES-MDU","RESIDENTIAL",IF(G1070="COMM-SU","BUSINESS",IF(G1070="COM-MTU","BUSINESS",IF(G1070="ENT","BUSINESS",""))))))</f>
        <v/>
      </c>
      <c r="G1070" s="1205">
        <f>'House Count'!F1070</f>
        <v/>
      </c>
      <c r="H1070" s="1205">
        <f>'House Count'!H1070</f>
        <v/>
      </c>
    </row>
    <row r="1071">
      <c r="A1071" s="1204">
        <f>'House Count'!A1071</f>
        <v/>
      </c>
      <c r="B1071" s="1205">
        <f>'House Count'!E1071</f>
        <v/>
      </c>
      <c r="C1071" s="1205">
        <f>'House Count'!B1071</f>
        <v/>
      </c>
      <c r="D1071" s="1205">
        <f>'House Count'!C1071</f>
        <v/>
      </c>
      <c r="E1071" s="1205">
        <f>'House Count'!D1071</f>
        <v/>
      </c>
      <c r="F1071" s="1205">
        <f>IF(G1071="RES-SFU","RESIDENTIAL",IF(G1071="RES-HOA","RESIDENTIAL",IF(G1071="RES-MDU","RESIDENTIAL",IF(G1071="COMM-SU","BUSINESS",IF(G1071="COM-MTU","BUSINESS",IF(G1071="ENT","BUSINESS",""))))))</f>
        <v/>
      </c>
      <c r="G1071" s="1205">
        <f>'House Count'!F1071</f>
        <v/>
      </c>
      <c r="H1071" s="1205">
        <f>'House Count'!H1071</f>
        <v/>
      </c>
    </row>
    <row r="1072">
      <c r="A1072" s="1204">
        <f>'House Count'!A1072</f>
        <v/>
      </c>
      <c r="B1072" s="1205">
        <f>'House Count'!E1072</f>
        <v/>
      </c>
      <c r="C1072" s="1205">
        <f>'House Count'!B1072</f>
        <v/>
      </c>
      <c r="D1072" s="1205">
        <f>'House Count'!C1072</f>
        <v/>
      </c>
      <c r="E1072" s="1205">
        <f>'House Count'!D1072</f>
        <v/>
      </c>
      <c r="F1072" s="1205">
        <f>IF(G1072="RES-SFU","RESIDENTIAL",IF(G1072="RES-HOA","RESIDENTIAL",IF(G1072="RES-MDU","RESIDENTIAL",IF(G1072="COMM-SU","BUSINESS",IF(G1072="COM-MTU","BUSINESS",IF(G1072="ENT","BUSINESS",""))))))</f>
        <v/>
      </c>
      <c r="G1072" s="1205">
        <f>'House Count'!F1072</f>
        <v/>
      </c>
      <c r="H1072" s="1205">
        <f>'House Count'!H1072</f>
        <v/>
      </c>
    </row>
    <row r="1073">
      <c r="A1073" s="1204">
        <f>'House Count'!A1073</f>
        <v/>
      </c>
      <c r="B1073" s="1205">
        <f>'House Count'!E1073</f>
        <v/>
      </c>
      <c r="C1073" s="1205">
        <f>'House Count'!B1073</f>
        <v/>
      </c>
      <c r="D1073" s="1205">
        <f>'House Count'!C1073</f>
        <v/>
      </c>
      <c r="E1073" s="1205">
        <f>'House Count'!D1073</f>
        <v/>
      </c>
      <c r="F1073" s="1205">
        <f>IF(G1073="RES-SFU","RESIDENTIAL",IF(G1073="RES-HOA","RESIDENTIAL",IF(G1073="RES-MDU","RESIDENTIAL",IF(G1073="COMM-SU","BUSINESS",IF(G1073="COM-MTU","BUSINESS",IF(G1073="ENT","BUSINESS",""))))))</f>
        <v/>
      </c>
      <c r="G1073" s="1205">
        <f>'House Count'!F1073</f>
        <v/>
      </c>
      <c r="H1073" s="1205">
        <f>'House Count'!H1073</f>
        <v/>
      </c>
    </row>
    <row r="1074">
      <c r="A1074" s="1204">
        <f>'House Count'!A1074</f>
        <v/>
      </c>
      <c r="B1074" s="1205">
        <f>'House Count'!E1074</f>
        <v/>
      </c>
      <c r="C1074" s="1205">
        <f>'House Count'!B1074</f>
        <v/>
      </c>
      <c r="D1074" s="1205">
        <f>'House Count'!C1074</f>
        <v/>
      </c>
      <c r="E1074" s="1205">
        <f>'House Count'!D1074</f>
        <v/>
      </c>
      <c r="F1074" s="1205">
        <f>IF(G1074="RES-SFU","RESIDENTIAL",IF(G1074="RES-HOA","RESIDENTIAL",IF(G1074="RES-MDU","RESIDENTIAL",IF(G1074="COMM-SU","BUSINESS",IF(G1074="COM-MTU","BUSINESS",IF(G1074="ENT","BUSINESS",""))))))</f>
        <v/>
      </c>
      <c r="G1074" s="1205">
        <f>'House Count'!F1074</f>
        <v/>
      </c>
      <c r="H1074" s="1205">
        <f>'House Count'!H1074</f>
        <v/>
      </c>
    </row>
    <row r="1075">
      <c r="A1075" s="1204">
        <f>'House Count'!A1075</f>
        <v/>
      </c>
      <c r="B1075" s="1205">
        <f>'House Count'!E1075</f>
        <v/>
      </c>
      <c r="C1075" s="1205">
        <f>'House Count'!B1075</f>
        <v/>
      </c>
      <c r="D1075" s="1205">
        <f>'House Count'!C1075</f>
        <v/>
      </c>
      <c r="E1075" s="1205">
        <f>'House Count'!D1075</f>
        <v/>
      </c>
      <c r="F1075" s="1205">
        <f>IF(G1075="RES-SFU","RESIDENTIAL",IF(G1075="RES-HOA","RESIDENTIAL",IF(G1075="RES-MDU","RESIDENTIAL",IF(G1075="COMM-SU","BUSINESS",IF(G1075="COM-MTU","BUSINESS",IF(G1075="ENT","BUSINESS",""))))))</f>
        <v/>
      </c>
      <c r="G1075" s="1205">
        <f>'House Count'!F1075</f>
        <v/>
      </c>
      <c r="H1075" s="1205">
        <f>'House Count'!H1075</f>
        <v/>
      </c>
    </row>
    <row r="1076">
      <c r="A1076" s="1204">
        <f>'House Count'!A1076</f>
        <v/>
      </c>
      <c r="B1076" s="1205">
        <f>'House Count'!E1076</f>
        <v/>
      </c>
      <c r="C1076" s="1205">
        <f>'House Count'!B1076</f>
        <v/>
      </c>
      <c r="D1076" s="1205">
        <f>'House Count'!C1076</f>
        <v/>
      </c>
      <c r="E1076" s="1205">
        <f>'House Count'!D1076</f>
        <v/>
      </c>
      <c r="F1076" s="1205">
        <f>IF(G1076="RES-SFU","RESIDENTIAL",IF(G1076="RES-HOA","RESIDENTIAL",IF(G1076="RES-MDU","RESIDENTIAL",IF(G1076="COMM-SU","BUSINESS",IF(G1076="COM-MTU","BUSINESS",IF(G1076="ENT","BUSINESS",""))))))</f>
        <v/>
      </c>
      <c r="G1076" s="1205">
        <f>'House Count'!F1076</f>
        <v/>
      </c>
      <c r="H1076" s="1205">
        <f>'House Count'!H1076</f>
        <v/>
      </c>
    </row>
    <row r="1077">
      <c r="A1077" s="1204">
        <f>'House Count'!A1077</f>
        <v/>
      </c>
      <c r="B1077" s="1205">
        <f>'House Count'!E1077</f>
        <v/>
      </c>
      <c r="C1077" s="1205">
        <f>'House Count'!B1077</f>
        <v/>
      </c>
      <c r="D1077" s="1205">
        <f>'House Count'!C1077</f>
        <v/>
      </c>
      <c r="E1077" s="1205">
        <f>'House Count'!D1077</f>
        <v/>
      </c>
      <c r="F1077" s="1205">
        <f>IF(G1077="RES-SFU","RESIDENTIAL",IF(G1077="RES-HOA","RESIDENTIAL",IF(G1077="RES-MDU","RESIDENTIAL",IF(G1077="COMM-SU","BUSINESS",IF(G1077="COM-MTU","BUSINESS",IF(G1077="ENT","BUSINESS",""))))))</f>
        <v/>
      </c>
      <c r="G1077" s="1205">
        <f>'House Count'!F1077</f>
        <v/>
      </c>
      <c r="H1077" s="1205">
        <f>'House Count'!H1077</f>
        <v/>
      </c>
    </row>
    <row r="1078">
      <c r="A1078" s="1204">
        <f>'House Count'!A1078</f>
        <v/>
      </c>
      <c r="B1078" s="1205">
        <f>'House Count'!E1078</f>
        <v/>
      </c>
      <c r="C1078" s="1205">
        <f>'House Count'!B1078</f>
        <v/>
      </c>
      <c r="D1078" s="1205">
        <f>'House Count'!C1078</f>
        <v/>
      </c>
      <c r="E1078" s="1205">
        <f>'House Count'!D1078</f>
        <v/>
      </c>
      <c r="F1078" s="1205">
        <f>IF(G1078="RES-SFU","RESIDENTIAL",IF(G1078="RES-HOA","RESIDENTIAL",IF(G1078="RES-MDU","RESIDENTIAL",IF(G1078="COMM-SU","BUSINESS",IF(G1078="COM-MTU","BUSINESS",IF(G1078="ENT","BUSINESS",""))))))</f>
        <v/>
      </c>
      <c r="G1078" s="1205">
        <f>'House Count'!F1078</f>
        <v/>
      </c>
      <c r="H1078" s="1205">
        <f>'House Count'!H1078</f>
        <v/>
      </c>
    </row>
    <row r="1079">
      <c r="A1079" s="1204">
        <f>'House Count'!A1079</f>
        <v/>
      </c>
      <c r="B1079" s="1205">
        <f>'House Count'!E1079</f>
        <v/>
      </c>
      <c r="C1079" s="1205">
        <f>'House Count'!B1079</f>
        <v/>
      </c>
      <c r="D1079" s="1205">
        <f>'House Count'!C1079</f>
        <v/>
      </c>
      <c r="E1079" s="1205">
        <f>'House Count'!D1079</f>
        <v/>
      </c>
      <c r="F1079" s="1205">
        <f>IF(G1079="RES-SFU","RESIDENTIAL",IF(G1079="RES-HOA","RESIDENTIAL",IF(G1079="RES-MDU","RESIDENTIAL",IF(G1079="COMM-SU","BUSINESS",IF(G1079="COM-MTU","BUSINESS",IF(G1079="ENT","BUSINESS",""))))))</f>
        <v/>
      </c>
      <c r="G1079" s="1205">
        <f>'House Count'!F1079</f>
        <v/>
      </c>
      <c r="H1079" s="1205">
        <f>'House Count'!H1079</f>
        <v/>
      </c>
    </row>
    <row r="1080">
      <c r="A1080" s="1204">
        <f>'House Count'!A1080</f>
        <v/>
      </c>
      <c r="B1080" s="1205">
        <f>'House Count'!E1080</f>
        <v/>
      </c>
      <c r="C1080" s="1205">
        <f>'House Count'!B1080</f>
        <v/>
      </c>
      <c r="D1080" s="1205">
        <f>'House Count'!C1080</f>
        <v/>
      </c>
      <c r="E1080" s="1205">
        <f>'House Count'!D1080</f>
        <v/>
      </c>
      <c r="F1080" s="1205">
        <f>IF(G1080="RES-SFU","RESIDENTIAL",IF(G1080="RES-HOA","RESIDENTIAL",IF(G1080="RES-MDU","RESIDENTIAL",IF(G1080="COMM-SU","BUSINESS",IF(G1080="COM-MTU","BUSINESS",IF(G1080="ENT","BUSINESS",""))))))</f>
        <v/>
      </c>
      <c r="G1080" s="1205">
        <f>'House Count'!F1080</f>
        <v/>
      </c>
      <c r="H1080" s="1205">
        <f>'House Count'!H1080</f>
        <v/>
      </c>
    </row>
    <row r="1081">
      <c r="A1081" s="1204">
        <f>'House Count'!A1081</f>
        <v/>
      </c>
      <c r="B1081" s="1205">
        <f>'House Count'!E1081</f>
        <v/>
      </c>
      <c r="C1081" s="1205">
        <f>'House Count'!B1081</f>
        <v/>
      </c>
      <c r="D1081" s="1205">
        <f>'House Count'!C1081</f>
        <v/>
      </c>
      <c r="E1081" s="1205">
        <f>'House Count'!D1081</f>
        <v/>
      </c>
      <c r="F1081" s="1205">
        <f>IF(G1081="RES-SFU","RESIDENTIAL",IF(G1081="RES-HOA","RESIDENTIAL",IF(G1081="RES-MDU","RESIDENTIAL",IF(G1081="COMM-SU","BUSINESS",IF(G1081="COM-MTU","BUSINESS",IF(G1081="ENT","BUSINESS",""))))))</f>
        <v/>
      </c>
      <c r="G1081" s="1205">
        <f>'House Count'!F1081</f>
        <v/>
      </c>
      <c r="H1081" s="1205">
        <f>'House Count'!H1081</f>
        <v/>
      </c>
    </row>
    <row r="1082">
      <c r="A1082" s="1204">
        <f>'House Count'!A1082</f>
        <v/>
      </c>
      <c r="B1082" s="1205">
        <f>'House Count'!E1082</f>
        <v/>
      </c>
      <c r="C1082" s="1205">
        <f>'House Count'!B1082</f>
        <v/>
      </c>
      <c r="D1082" s="1205">
        <f>'House Count'!C1082</f>
        <v/>
      </c>
      <c r="E1082" s="1205">
        <f>'House Count'!D1082</f>
        <v/>
      </c>
      <c r="F1082" s="1205">
        <f>IF(G1082="RES-SFU","RESIDENTIAL",IF(G1082="RES-HOA","RESIDENTIAL",IF(G1082="RES-MDU","RESIDENTIAL",IF(G1082="COMM-SU","BUSINESS",IF(G1082="COM-MTU","BUSINESS",IF(G1082="ENT","BUSINESS",""))))))</f>
        <v/>
      </c>
      <c r="G1082" s="1205">
        <f>'House Count'!F1082</f>
        <v/>
      </c>
      <c r="H1082" s="1205">
        <f>'House Count'!H1082</f>
        <v/>
      </c>
    </row>
    <row r="1083">
      <c r="A1083" s="1204">
        <f>'House Count'!A1083</f>
        <v/>
      </c>
      <c r="B1083" s="1205">
        <f>'House Count'!E1083</f>
        <v/>
      </c>
      <c r="C1083" s="1205">
        <f>'House Count'!B1083</f>
        <v/>
      </c>
      <c r="D1083" s="1205">
        <f>'House Count'!C1083</f>
        <v/>
      </c>
      <c r="E1083" s="1205">
        <f>'House Count'!D1083</f>
        <v/>
      </c>
      <c r="F1083" s="1205">
        <f>IF(G1083="RES-SFU","RESIDENTIAL",IF(G1083="RES-HOA","RESIDENTIAL",IF(G1083="RES-MDU","RESIDENTIAL",IF(G1083="COMM-SU","BUSINESS",IF(G1083="COM-MTU","BUSINESS",IF(G1083="ENT","BUSINESS",""))))))</f>
        <v/>
      </c>
      <c r="G1083" s="1205">
        <f>'House Count'!F1083</f>
        <v/>
      </c>
      <c r="H1083" s="1205">
        <f>'House Count'!H1083</f>
        <v/>
      </c>
    </row>
    <row r="1084">
      <c r="A1084" s="1204">
        <f>'House Count'!A1084</f>
        <v/>
      </c>
      <c r="B1084" s="1205">
        <f>'House Count'!E1084</f>
        <v/>
      </c>
      <c r="C1084" s="1205">
        <f>'House Count'!B1084</f>
        <v/>
      </c>
      <c r="D1084" s="1205">
        <f>'House Count'!C1084</f>
        <v/>
      </c>
      <c r="E1084" s="1205">
        <f>'House Count'!D1084</f>
        <v/>
      </c>
      <c r="F1084" s="1205">
        <f>IF(G1084="RES-SFU","RESIDENTIAL",IF(G1084="RES-HOA","RESIDENTIAL",IF(G1084="RES-MDU","RESIDENTIAL",IF(G1084="COMM-SU","BUSINESS",IF(G1084="COM-MTU","BUSINESS",IF(G1084="ENT","BUSINESS",""))))))</f>
        <v/>
      </c>
      <c r="G1084" s="1205">
        <f>'House Count'!F1084</f>
        <v/>
      </c>
      <c r="H1084" s="1205">
        <f>'House Count'!H1084</f>
        <v/>
      </c>
    </row>
    <row r="1085">
      <c r="A1085" s="1204">
        <f>'House Count'!A1085</f>
        <v/>
      </c>
      <c r="B1085" s="1205">
        <f>'House Count'!E1085</f>
        <v/>
      </c>
      <c r="C1085" s="1205">
        <f>'House Count'!B1085</f>
        <v/>
      </c>
      <c r="D1085" s="1205">
        <f>'House Count'!C1085</f>
        <v/>
      </c>
      <c r="E1085" s="1205">
        <f>'House Count'!D1085</f>
        <v/>
      </c>
      <c r="F1085" s="1205">
        <f>IF(G1085="RES-SFU","RESIDENTIAL",IF(G1085="RES-HOA","RESIDENTIAL",IF(G1085="RES-MDU","RESIDENTIAL",IF(G1085="COMM-SU","BUSINESS",IF(G1085="COM-MTU","BUSINESS",IF(G1085="ENT","BUSINESS",""))))))</f>
        <v/>
      </c>
      <c r="G1085" s="1205">
        <f>'House Count'!F1085</f>
        <v/>
      </c>
      <c r="H1085" s="1205">
        <f>'House Count'!H1085</f>
        <v/>
      </c>
    </row>
    <row r="1086">
      <c r="A1086" s="1204">
        <f>'House Count'!A1086</f>
        <v/>
      </c>
      <c r="B1086" s="1205">
        <f>'House Count'!E1086</f>
        <v/>
      </c>
      <c r="C1086" s="1205">
        <f>'House Count'!B1086</f>
        <v/>
      </c>
      <c r="D1086" s="1205">
        <f>'House Count'!C1086</f>
        <v/>
      </c>
      <c r="E1086" s="1205">
        <f>'House Count'!D1086</f>
        <v/>
      </c>
      <c r="F1086" s="1205">
        <f>IF(G1086="RES-SFU","RESIDENTIAL",IF(G1086="RES-HOA","RESIDENTIAL",IF(G1086="RES-MDU","RESIDENTIAL",IF(G1086="COMM-SU","BUSINESS",IF(G1086="COM-MTU","BUSINESS",IF(G1086="ENT","BUSINESS",""))))))</f>
        <v/>
      </c>
      <c r="G1086" s="1205">
        <f>'House Count'!F1086</f>
        <v/>
      </c>
      <c r="H1086" s="1205">
        <f>'House Count'!H1086</f>
        <v/>
      </c>
    </row>
    <row r="1087">
      <c r="A1087" s="1204">
        <f>'House Count'!A1087</f>
        <v/>
      </c>
      <c r="B1087" s="1205">
        <f>'House Count'!E1087</f>
        <v/>
      </c>
      <c r="C1087" s="1205">
        <f>'House Count'!B1087</f>
        <v/>
      </c>
      <c r="D1087" s="1205">
        <f>'House Count'!C1087</f>
        <v/>
      </c>
      <c r="E1087" s="1205">
        <f>'House Count'!D1087</f>
        <v/>
      </c>
      <c r="F1087" s="1205">
        <f>IF(G1087="RES-SFU","RESIDENTIAL",IF(G1087="RES-HOA","RESIDENTIAL",IF(G1087="RES-MDU","RESIDENTIAL",IF(G1087="COMM-SU","BUSINESS",IF(G1087="COM-MTU","BUSINESS",IF(G1087="ENT","BUSINESS",""))))))</f>
        <v/>
      </c>
      <c r="G1087" s="1205">
        <f>'House Count'!F1087</f>
        <v/>
      </c>
      <c r="H1087" s="1205">
        <f>'House Count'!H1087</f>
        <v/>
      </c>
    </row>
    <row r="1088">
      <c r="A1088" s="1204">
        <f>'House Count'!A1088</f>
        <v/>
      </c>
      <c r="B1088" s="1205">
        <f>'House Count'!E1088</f>
        <v/>
      </c>
      <c r="C1088" s="1205">
        <f>'House Count'!B1088</f>
        <v/>
      </c>
      <c r="D1088" s="1205">
        <f>'House Count'!C1088</f>
        <v/>
      </c>
      <c r="E1088" s="1205">
        <f>'House Count'!D1088</f>
        <v/>
      </c>
      <c r="F1088" s="1205">
        <f>IF(G1088="RES-SFU","RESIDENTIAL",IF(G1088="RES-HOA","RESIDENTIAL",IF(G1088="RES-MDU","RESIDENTIAL",IF(G1088="COMM-SU","BUSINESS",IF(G1088="COM-MTU","BUSINESS",IF(G1088="ENT","BUSINESS",""))))))</f>
        <v/>
      </c>
      <c r="G1088" s="1205">
        <f>'House Count'!F1088</f>
        <v/>
      </c>
      <c r="H1088" s="1205">
        <f>'House Count'!H1088</f>
        <v/>
      </c>
    </row>
    <row r="1089">
      <c r="A1089" s="1204">
        <f>'House Count'!A1089</f>
        <v/>
      </c>
      <c r="B1089" s="1205">
        <f>'House Count'!E1089</f>
        <v/>
      </c>
      <c r="C1089" s="1205">
        <f>'House Count'!B1089</f>
        <v/>
      </c>
      <c r="D1089" s="1205">
        <f>'House Count'!C1089</f>
        <v/>
      </c>
      <c r="E1089" s="1205">
        <f>'House Count'!D1089</f>
        <v/>
      </c>
      <c r="F1089" s="1205">
        <f>IF(G1089="RES-SFU","RESIDENTIAL",IF(G1089="RES-HOA","RESIDENTIAL",IF(G1089="RES-MDU","RESIDENTIAL",IF(G1089="COMM-SU","BUSINESS",IF(G1089="COM-MTU","BUSINESS",IF(G1089="ENT","BUSINESS",""))))))</f>
        <v/>
      </c>
      <c r="G1089" s="1205">
        <f>'House Count'!F1089</f>
        <v/>
      </c>
      <c r="H1089" s="1205">
        <f>'House Count'!H1089</f>
        <v/>
      </c>
    </row>
    <row r="1090">
      <c r="A1090" s="1204">
        <f>'House Count'!A1090</f>
        <v/>
      </c>
      <c r="B1090" s="1205">
        <f>'House Count'!E1090</f>
        <v/>
      </c>
      <c r="C1090" s="1205">
        <f>'House Count'!B1090</f>
        <v/>
      </c>
      <c r="D1090" s="1205">
        <f>'House Count'!C1090</f>
        <v/>
      </c>
      <c r="E1090" s="1205">
        <f>'House Count'!D1090</f>
        <v/>
      </c>
      <c r="F1090" s="1205">
        <f>IF(G1090="RES-SFU","RESIDENTIAL",IF(G1090="RES-HOA","RESIDENTIAL",IF(G1090="RES-MDU","RESIDENTIAL",IF(G1090="COMM-SU","BUSINESS",IF(G1090="COM-MTU","BUSINESS",IF(G1090="ENT","BUSINESS",""))))))</f>
        <v/>
      </c>
      <c r="G1090" s="1205">
        <f>'House Count'!F1090</f>
        <v/>
      </c>
      <c r="H1090" s="1205">
        <f>'House Count'!H1090</f>
        <v/>
      </c>
    </row>
    <row r="1091">
      <c r="A1091" s="1204">
        <f>'House Count'!A1091</f>
        <v/>
      </c>
      <c r="B1091" s="1205">
        <f>'House Count'!E1091</f>
        <v/>
      </c>
      <c r="C1091" s="1205">
        <f>'House Count'!B1091</f>
        <v/>
      </c>
      <c r="D1091" s="1205">
        <f>'House Count'!C1091</f>
        <v/>
      </c>
      <c r="E1091" s="1205">
        <f>'House Count'!D1091</f>
        <v/>
      </c>
      <c r="F1091" s="1205">
        <f>IF(G1091="RES-SFU","RESIDENTIAL",IF(G1091="RES-HOA","RESIDENTIAL",IF(G1091="RES-MDU","RESIDENTIAL",IF(G1091="COMM-SU","BUSINESS",IF(G1091="COM-MTU","BUSINESS",IF(G1091="ENT","BUSINESS",""))))))</f>
        <v/>
      </c>
      <c r="G1091" s="1205">
        <f>'House Count'!F1091</f>
        <v/>
      </c>
      <c r="H1091" s="1205">
        <f>'House Count'!H1091</f>
        <v/>
      </c>
    </row>
    <row r="1092">
      <c r="A1092" s="1204">
        <f>'House Count'!A1092</f>
        <v/>
      </c>
      <c r="B1092" s="1205">
        <f>'House Count'!E1092</f>
        <v/>
      </c>
      <c r="C1092" s="1205">
        <f>'House Count'!B1092</f>
        <v/>
      </c>
      <c r="D1092" s="1205">
        <f>'House Count'!C1092</f>
        <v/>
      </c>
      <c r="E1092" s="1205">
        <f>'House Count'!D1092</f>
        <v/>
      </c>
      <c r="F1092" s="1205">
        <f>IF(G1092="RES-SFU","RESIDENTIAL",IF(G1092="RES-HOA","RESIDENTIAL",IF(G1092="RES-MDU","RESIDENTIAL",IF(G1092="COMM-SU","BUSINESS",IF(G1092="COM-MTU","BUSINESS",IF(G1092="ENT","BUSINESS",""))))))</f>
        <v/>
      </c>
      <c r="G1092" s="1205">
        <f>'House Count'!F1092</f>
        <v/>
      </c>
      <c r="H1092" s="1205">
        <f>'House Count'!H1092</f>
        <v/>
      </c>
    </row>
    <row r="1093">
      <c r="A1093" s="1204">
        <f>'House Count'!A1093</f>
        <v/>
      </c>
      <c r="B1093" s="1205">
        <f>'House Count'!E1093</f>
        <v/>
      </c>
      <c r="C1093" s="1205">
        <f>'House Count'!B1093</f>
        <v/>
      </c>
      <c r="D1093" s="1205">
        <f>'House Count'!C1093</f>
        <v/>
      </c>
      <c r="E1093" s="1205">
        <f>'House Count'!D1093</f>
        <v/>
      </c>
      <c r="F1093" s="1205">
        <f>IF(G1093="RES-SFU","RESIDENTIAL",IF(G1093="RES-HOA","RESIDENTIAL",IF(G1093="RES-MDU","RESIDENTIAL",IF(G1093="COMM-SU","BUSINESS",IF(G1093="COM-MTU","BUSINESS",IF(G1093="ENT","BUSINESS",""))))))</f>
        <v/>
      </c>
      <c r="G1093" s="1205">
        <f>'House Count'!F1093</f>
        <v/>
      </c>
      <c r="H1093" s="1205">
        <f>'House Count'!H1093</f>
        <v/>
      </c>
    </row>
    <row r="1094">
      <c r="A1094" s="1204">
        <f>'House Count'!A1094</f>
        <v/>
      </c>
      <c r="B1094" s="1205">
        <f>'House Count'!E1094</f>
        <v/>
      </c>
      <c r="C1094" s="1205">
        <f>'House Count'!B1094</f>
        <v/>
      </c>
      <c r="D1094" s="1205">
        <f>'House Count'!C1094</f>
        <v/>
      </c>
      <c r="E1094" s="1205">
        <f>'House Count'!D1094</f>
        <v/>
      </c>
      <c r="F1094" s="1205">
        <f>IF(G1094="RES-SFU","RESIDENTIAL",IF(G1094="RES-HOA","RESIDENTIAL",IF(G1094="RES-MDU","RESIDENTIAL",IF(G1094="COMM-SU","BUSINESS",IF(G1094="COM-MTU","BUSINESS",IF(G1094="ENT","BUSINESS",""))))))</f>
        <v/>
      </c>
      <c r="G1094" s="1205">
        <f>'House Count'!F1094</f>
        <v/>
      </c>
      <c r="H1094" s="1205">
        <f>'House Count'!H1094</f>
        <v/>
      </c>
    </row>
    <row r="1095">
      <c r="A1095" s="1204">
        <f>'House Count'!A1095</f>
        <v/>
      </c>
      <c r="B1095" s="1205">
        <f>'House Count'!E1095</f>
        <v/>
      </c>
      <c r="C1095" s="1205">
        <f>'House Count'!B1095</f>
        <v/>
      </c>
      <c r="D1095" s="1205">
        <f>'House Count'!C1095</f>
        <v/>
      </c>
      <c r="E1095" s="1205">
        <f>'House Count'!D1095</f>
        <v/>
      </c>
      <c r="F1095" s="1205">
        <f>IF(G1095="RES-SFU","RESIDENTIAL",IF(G1095="RES-HOA","RESIDENTIAL",IF(G1095="RES-MDU","RESIDENTIAL",IF(G1095="COMM-SU","BUSINESS",IF(G1095="COM-MTU","BUSINESS",IF(G1095="ENT","BUSINESS",""))))))</f>
        <v/>
      </c>
      <c r="G1095" s="1205">
        <f>'House Count'!F1095</f>
        <v/>
      </c>
      <c r="H1095" s="1205">
        <f>'House Count'!H1095</f>
        <v/>
      </c>
    </row>
    <row r="1096">
      <c r="A1096" s="1204">
        <f>'House Count'!A1096</f>
        <v/>
      </c>
      <c r="B1096" s="1205">
        <f>'House Count'!E1096</f>
        <v/>
      </c>
      <c r="C1096" s="1205">
        <f>'House Count'!B1096</f>
        <v/>
      </c>
      <c r="D1096" s="1205">
        <f>'House Count'!C1096</f>
        <v/>
      </c>
      <c r="E1096" s="1205">
        <f>'House Count'!D1096</f>
        <v/>
      </c>
      <c r="F1096" s="1205">
        <f>IF(G1096="RES-SFU","RESIDENTIAL",IF(G1096="RES-HOA","RESIDENTIAL",IF(G1096="RES-MDU","RESIDENTIAL",IF(G1096="COMM-SU","BUSINESS",IF(G1096="COM-MTU","BUSINESS",IF(G1096="ENT","BUSINESS",""))))))</f>
        <v/>
      </c>
      <c r="G1096" s="1205">
        <f>'House Count'!F1096</f>
        <v/>
      </c>
      <c r="H1096" s="1205">
        <f>'House Count'!H1096</f>
        <v/>
      </c>
    </row>
    <row r="1097">
      <c r="A1097" s="1204">
        <f>'House Count'!A1097</f>
        <v/>
      </c>
      <c r="B1097" s="1205">
        <f>'House Count'!E1097</f>
        <v/>
      </c>
      <c r="C1097" s="1205">
        <f>'House Count'!B1097</f>
        <v/>
      </c>
      <c r="D1097" s="1205">
        <f>'House Count'!C1097</f>
        <v/>
      </c>
      <c r="E1097" s="1205">
        <f>'House Count'!D1097</f>
        <v/>
      </c>
      <c r="F1097" s="1205">
        <f>IF(G1097="RES-SFU","RESIDENTIAL",IF(G1097="RES-HOA","RESIDENTIAL",IF(G1097="RES-MDU","RESIDENTIAL",IF(G1097="COMM-SU","BUSINESS",IF(G1097="COM-MTU","BUSINESS",IF(G1097="ENT","BUSINESS",""))))))</f>
        <v/>
      </c>
      <c r="G1097" s="1205">
        <f>'House Count'!F1097</f>
        <v/>
      </c>
      <c r="H1097" s="1205">
        <f>'House Count'!H1097</f>
        <v/>
      </c>
    </row>
    <row r="1098">
      <c r="A1098" s="1204">
        <f>'House Count'!A1098</f>
        <v/>
      </c>
      <c r="B1098" s="1205">
        <f>'House Count'!E1098</f>
        <v/>
      </c>
      <c r="C1098" s="1205">
        <f>'House Count'!B1098</f>
        <v/>
      </c>
      <c r="D1098" s="1205">
        <f>'House Count'!C1098</f>
        <v/>
      </c>
      <c r="E1098" s="1205">
        <f>'House Count'!D1098</f>
        <v/>
      </c>
      <c r="F1098" s="1205">
        <f>IF(G1098="RES-SFU","RESIDENTIAL",IF(G1098="RES-HOA","RESIDENTIAL",IF(G1098="RES-MDU","RESIDENTIAL",IF(G1098="COMM-SU","BUSINESS",IF(G1098="COM-MTU","BUSINESS",IF(G1098="ENT","BUSINESS",""))))))</f>
        <v/>
      </c>
      <c r="G1098" s="1205">
        <f>'House Count'!F1098</f>
        <v/>
      </c>
      <c r="H1098" s="1205">
        <f>'House Count'!H1098</f>
        <v/>
      </c>
    </row>
    <row r="1099">
      <c r="A1099" s="1204">
        <f>'House Count'!A1099</f>
        <v/>
      </c>
      <c r="B1099" s="1205">
        <f>'House Count'!E1099</f>
        <v/>
      </c>
      <c r="C1099" s="1205">
        <f>'House Count'!B1099</f>
        <v/>
      </c>
      <c r="D1099" s="1205">
        <f>'House Count'!C1099</f>
        <v/>
      </c>
      <c r="E1099" s="1205">
        <f>'House Count'!D1099</f>
        <v/>
      </c>
      <c r="F1099" s="1205">
        <f>IF(G1099="RES-SFU","RESIDENTIAL",IF(G1099="RES-HOA","RESIDENTIAL",IF(G1099="RES-MDU","RESIDENTIAL",IF(G1099="COMM-SU","BUSINESS",IF(G1099="COM-MTU","BUSINESS",IF(G1099="ENT","BUSINESS",""))))))</f>
        <v/>
      </c>
      <c r="G1099" s="1205">
        <f>'House Count'!F1099</f>
        <v/>
      </c>
      <c r="H1099" s="1205">
        <f>'House Count'!H1099</f>
        <v/>
      </c>
    </row>
    <row r="1100">
      <c r="A1100" s="1204">
        <f>'House Count'!A1100</f>
        <v/>
      </c>
      <c r="B1100" s="1205">
        <f>'House Count'!E1100</f>
        <v/>
      </c>
      <c r="C1100" s="1205">
        <f>'House Count'!B1100</f>
        <v/>
      </c>
      <c r="D1100" s="1205">
        <f>'House Count'!C1100</f>
        <v/>
      </c>
      <c r="E1100" s="1205">
        <f>'House Count'!D1100</f>
        <v/>
      </c>
      <c r="F1100" s="1205">
        <f>IF(G1100="RES-SFU","RESIDENTIAL",IF(G1100="RES-HOA","RESIDENTIAL",IF(G1100="RES-MDU","RESIDENTIAL",IF(G1100="COMM-SU","BUSINESS",IF(G1100="COM-MTU","BUSINESS",IF(G1100="ENT","BUSINESS",""))))))</f>
        <v/>
      </c>
      <c r="G1100" s="1205">
        <f>'House Count'!F1100</f>
        <v/>
      </c>
      <c r="H1100" s="1205">
        <f>'House Count'!H1100</f>
        <v/>
      </c>
    </row>
    <row r="1101">
      <c r="A1101" s="1204">
        <f>'House Count'!A1101</f>
        <v/>
      </c>
      <c r="B1101" s="1205">
        <f>'House Count'!E1101</f>
        <v/>
      </c>
      <c r="C1101" s="1205">
        <f>'House Count'!B1101</f>
        <v/>
      </c>
      <c r="D1101" s="1205">
        <f>'House Count'!C1101</f>
        <v/>
      </c>
      <c r="E1101" s="1205">
        <f>'House Count'!D1101</f>
        <v/>
      </c>
      <c r="F1101" s="1205">
        <f>IF(G1101="RES-SFU","RESIDENTIAL",IF(G1101="RES-HOA","RESIDENTIAL",IF(G1101="RES-MDU","RESIDENTIAL",IF(G1101="COMM-SU","BUSINESS",IF(G1101="COM-MTU","BUSINESS",IF(G1101="ENT","BUSINESS",""))))))</f>
        <v/>
      </c>
      <c r="G1101" s="1205">
        <f>'House Count'!F1101</f>
        <v/>
      </c>
      <c r="H1101" s="1205">
        <f>'House Count'!H1101</f>
        <v/>
      </c>
    </row>
    <row r="1102">
      <c r="A1102" s="1204">
        <f>'House Count'!A1102</f>
        <v/>
      </c>
      <c r="B1102" s="1205">
        <f>'House Count'!E1102</f>
        <v/>
      </c>
      <c r="C1102" s="1205">
        <f>'House Count'!B1102</f>
        <v/>
      </c>
      <c r="D1102" s="1205">
        <f>'House Count'!C1102</f>
        <v/>
      </c>
      <c r="E1102" s="1205">
        <f>'House Count'!D1102</f>
        <v/>
      </c>
      <c r="F1102" s="1205">
        <f>IF(G1102="RES-SFU","RESIDENTIAL",IF(G1102="RES-HOA","RESIDENTIAL",IF(G1102="RES-MDU","RESIDENTIAL",IF(G1102="COMM-SU","BUSINESS",IF(G1102="COM-MTU","BUSINESS",IF(G1102="ENT","BUSINESS",""))))))</f>
        <v/>
      </c>
      <c r="G1102" s="1205">
        <f>'House Count'!F1102</f>
        <v/>
      </c>
      <c r="H1102" s="1205">
        <f>'House Count'!H1102</f>
        <v/>
      </c>
    </row>
    <row r="1103">
      <c r="A1103" s="1204">
        <f>'House Count'!A1103</f>
        <v/>
      </c>
      <c r="B1103" s="1205">
        <f>'House Count'!E1103</f>
        <v/>
      </c>
      <c r="C1103" s="1205">
        <f>'House Count'!B1103</f>
        <v/>
      </c>
      <c r="D1103" s="1205">
        <f>'House Count'!C1103</f>
        <v/>
      </c>
      <c r="E1103" s="1205">
        <f>'House Count'!D1103</f>
        <v/>
      </c>
      <c r="F1103" s="1205">
        <f>IF(G1103="RES-SFU","RESIDENTIAL",IF(G1103="RES-HOA","RESIDENTIAL",IF(G1103="RES-MDU","RESIDENTIAL",IF(G1103="COMM-SU","BUSINESS",IF(G1103="COM-MTU","BUSINESS",IF(G1103="ENT","BUSINESS",""))))))</f>
        <v/>
      </c>
      <c r="G1103" s="1205">
        <f>'House Count'!F1103</f>
        <v/>
      </c>
      <c r="H1103" s="1205">
        <f>'House Count'!H1103</f>
        <v/>
      </c>
    </row>
    <row r="1104">
      <c r="A1104" s="1204">
        <f>'House Count'!A1104</f>
        <v/>
      </c>
      <c r="B1104" s="1205">
        <f>'House Count'!E1104</f>
        <v/>
      </c>
      <c r="C1104" s="1205">
        <f>'House Count'!B1104</f>
        <v/>
      </c>
      <c r="D1104" s="1205">
        <f>'House Count'!C1104</f>
        <v/>
      </c>
      <c r="E1104" s="1205">
        <f>'House Count'!D1104</f>
        <v/>
      </c>
      <c r="F1104" s="1205">
        <f>IF(G1104="RES-SFU","RESIDENTIAL",IF(G1104="RES-HOA","RESIDENTIAL",IF(G1104="RES-MDU","RESIDENTIAL",IF(G1104="COMM-SU","BUSINESS",IF(G1104="COM-MTU","BUSINESS",IF(G1104="ENT","BUSINESS",""))))))</f>
        <v/>
      </c>
      <c r="G1104" s="1205">
        <f>'House Count'!F1104</f>
        <v/>
      </c>
      <c r="H1104" s="1205">
        <f>'House Count'!H1104</f>
        <v/>
      </c>
    </row>
    <row r="1105">
      <c r="A1105" s="1204">
        <f>'House Count'!A1105</f>
        <v/>
      </c>
      <c r="B1105" s="1205">
        <f>'House Count'!E1105</f>
        <v/>
      </c>
      <c r="C1105" s="1205">
        <f>'House Count'!B1105</f>
        <v/>
      </c>
      <c r="D1105" s="1205">
        <f>'House Count'!C1105</f>
        <v/>
      </c>
      <c r="E1105" s="1205">
        <f>'House Count'!D1105</f>
        <v/>
      </c>
      <c r="F1105" s="1205">
        <f>IF(G1105="RES-SFU","RESIDENTIAL",IF(G1105="RES-HOA","RESIDENTIAL",IF(G1105="RES-MDU","RESIDENTIAL",IF(G1105="COMM-SU","BUSINESS",IF(G1105="COM-MTU","BUSINESS",IF(G1105="ENT","BUSINESS",""))))))</f>
        <v/>
      </c>
      <c r="G1105" s="1205">
        <f>'House Count'!F1105</f>
        <v/>
      </c>
      <c r="H1105" s="1205">
        <f>'House Count'!H1105</f>
        <v/>
      </c>
    </row>
    <row r="1106">
      <c r="A1106" s="1204">
        <f>'House Count'!A1106</f>
        <v/>
      </c>
      <c r="B1106" s="1205">
        <f>'House Count'!E1106</f>
        <v/>
      </c>
      <c r="C1106" s="1205">
        <f>'House Count'!B1106</f>
        <v/>
      </c>
      <c r="D1106" s="1205">
        <f>'House Count'!C1106</f>
        <v/>
      </c>
      <c r="E1106" s="1205">
        <f>'House Count'!D1106</f>
        <v/>
      </c>
      <c r="F1106" s="1205">
        <f>IF(G1106="RES-SFU","RESIDENTIAL",IF(G1106="RES-HOA","RESIDENTIAL",IF(G1106="RES-MDU","RESIDENTIAL",IF(G1106="COMM-SU","BUSINESS",IF(G1106="COM-MTU","BUSINESS",IF(G1106="ENT","BUSINESS",""))))))</f>
        <v/>
      </c>
      <c r="G1106" s="1205">
        <f>'House Count'!F1106</f>
        <v/>
      </c>
      <c r="H1106" s="1205">
        <f>'House Count'!H1106</f>
        <v/>
      </c>
    </row>
    <row r="1107">
      <c r="A1107" s="1204">
        <f>'House Count'!A1107</f>
        <v/>
      </c>
      <c r="B1107" s="1205">
        <f>'House Count'!E1107</f>
        <v/>
      </c>
      <c r="C1107" s="1205">
        <f>'House Count'!B1107</f>
        <v/>
      </c>
      <c r="D1107" s="1205">
        <f>'House Count'!C1107</f>
        <v/>
      </c>
      <c r="E1107" s="1205">
        <f>'House Count'!D1107</f>
        <v/>
      </c>
      <c r="F1107" s="1205">
        <f>IF(G1107="RES-SFU","RESIDENTIAL",IF(G1107="RES-HOA","RESIDENTIAL",IF(G1107="RES-MDU","RESIDENTIAL",IF(G1107="COMM-SU","BUSINESS",IF(G1107="COM-MTU","BUSINESS",IF(G1107="ENT","BUSINESS",""))))))</f>
        <v/>
      </c>
      <c r="G1107" s="1205">
        <f>'House Count'!F1107</f>
        <v/>
      </c>
      <c r="H1107" s="1205">
        <f>'House Count'!H1107</f>
        <v/>
      </c>
    </row>
    <row r="1108">
      <c r="A1108" s="1204">
        <f>'House Count'!A1108</f>
        <v/>
      </c>
      <c r="B1108" s="1205">
        <f>'House Count'!E1108</f>
        <v/>
      </c>
      <c r="C1108" s="1205">
        <f>'House Count'!B1108</f>
        <v/>
      </c>
      <c r="D1108" s="1205">
        <f>'House Count'!C1108</f>
        <v/>
      </c>
      <c r="E1108" s="1205">
        <f>'House Count'!D1108</f>
        <v/>
      </c>
      <c r="F1108" s="1205">
        <f>IF(G1108="RES-SFU","RESIDENTIAL",IF(G1108="RES-HOA","RESIDENTIAL",IF(G1108="RES-MDU","RESIDENTIAL",IF(G1108="COMM-SU","BUSINESS",IF(G1108="COM-MTU","BUSINESS",IF(G1108="ENT","BUSINESS",""))))))</f>
        <v/>
      </c>
      <c r="G1108" s="1205">
        <f>'House Count'!F1108</f>
        <v/>
      </c>
      <c r="H1108" s="1205">
        <f>'House Count'!H1108</f>
        <v/>
      </c>
    </row>
    <row r="1109">
      <c r="A1109" s="1204">
        <f>'House Count'!A1109</f>
        <v/>
      </c>
      <c r="B1109" s="1205">
        <f>'House Count'!E1109</f>
        <v/>
      </c>
      <c r="C1109" s="1205">
        <f>'House Count'!B1109</f>
        <v/>
      </c>
      <c r="D1109" s="1205">
        <f>'House Count'!C1109</f>
        <v/>
      </c>
      <c r="E1109" s="1205">
        <f>'House Count'!D1109</f>
        <v/>
      </c>
      <c r="F1109" s="1205">
        <f>IF(G1109="RES-SFU","RESIDENTIAL",IF(G1109="RES-HOA","RESIDENTIAL",IF(G1109="RES-MDU","RESIDENTIAL",IF(G1109="COMM-SU","BUSINESS",IF(G1109="COM-MTU","BUSINESS",IF(G1109="ENT","BUSINESS",""))))))</f>
        <v/>
      </c>
      <c r="G1109" s="1205">
        <f>'House Count'!F1109</f>
        <v/>
      </c>
      <c r="H1109" s="1205">
        <f>'House Count'!H1109</f>
        <v/>
      </c>
    </row>
    <row r="1110">
      <c r="A1110" s="1204">
        <f>'House Count'!A1110</f>
        <v/>
      </c>
      <c r="B1110" s="1205">
        <f>'House Count'!E1110</f>
        <v/>
      </c>
      <c r="C1110" s="1205">
        <f>'House Count'!B1110</f>
        <v/>
      </c>
      <c r="D1110" s="1205">
        <f>'House Count'!C1110</f>
        <v/>
      </c>
      <c r="E1110" s="1205">
        <f>'House Count'!D1110</f>
        <v/>
      </c>
      <c r="F1110" s="1205">
        <f>IF(G1110="RES-SFU","RESIDENTIAL",IF(G1110="RES-HOA","RESIDENTIAL",IF(G1110="RES-MDU","RESIDENTIAL",IF(G1110="COMM-SU","BUSINESS",IF(G1110="COM-MTU","BUSINESS",IF(G1110="ENT","BUSINESS",""))))))</f>
        <v/>
      </c>
      <c r="G1110" s="1205">
        <f>'House Count'!F1110</f>
        <v/>
      </c>
      <c r="H1110" s="1205">
        <f>'House Count'!H1110</f>
        <v/>
      </c>
    </row>
    <row r="1111">
      <c r="A1111" s="1204">
        <f>'House Count'!A1111</f>
        <v/>
      </c>
      <c r="B1111" s="1205">
        <f>'House Count'!E1111</f>
        <v/>
      </c>
      <c r="C1111" s="1205">
        <f>'House Count'!B1111</f>
        <v/>
      </c>
      <c r="D1111" s="1205">
        <f>'House Count'!C1111</f>
        <v/>
      </c>
      <c r="E1111" s="1205">
        <f>'House Count'!D1111</f>
        <v/>
      </c>
      <c r="F1111" s="1205">
        <f>IF(G1111="RES-SFU","RESIDENTIAL",IF(G1111="RES-HOA","RESIDENTIAL",IF(G1111="RES-MDU","RESIDENTIAL",IF(G1111="COMM-SU","BUSINESS",IF(G1111="COM-MTU","BUSINESS",IF(G1111="ENT","BUSINESS",""))))))</f>
        <v/>
      </c>
      <c r="G1111" s="1205">
        <f>'House Count'!F1111</f>
        <v/>
      </c>
      <c r="H1111" s="1205">
        <f>'House Count'!H1111</f>
        <v/>
      </c>
    </row>
    <row r="1112">
      <c r="A1112" s="1204">
        <f>'House Count'!A1112</f>
        <v/>
      </c>
      <c r="B1112" s="1205">
        <f>'House Count'!E1112</f>
        <v/>
      </c>
      <c r="C1112" s="1205">
        <f>'House Count'!B1112</f>
        <v/>
      </c>
      <c r="D1112" s="1205">
        <f>'House Count'!C1112</f>
        <v/>
      </c>
      <c r="E1112" s="1205">
        <f>'House Count'!D1112</f>
        <v/>
      </c>
      <c r="F1112" s="1205">
        <f>IF(G1112="RES-SFU","RESIDENTIAL",IF(G1112="RES-HOA","RESIDENTIAL",IF(G1112="RES-MDU","RESIDENTIAL",IF(G1112="COMM-SU","BUSINESS",IF(G1112="COM-MTU","BUSINESS",IF(G1112="ENT","BUSINESS",""))))))</f>
        <v/>
      </c>
      <c r="G1112" s="1205">
        <f>'House Count'!F1112</f>
        <v/>
      </c>
      <c r="H1112" s="1205">
        <f>'House Count'!H1112</f>
        <v/>
      </c>
    </row>
    <row r="1113">
      <c r="A1113" s="1204">
        <f>'House Count'!A1113</f>
        <v/>
      </c>
      <c r="B1113" s="1205">
        <f>'House Count'!E1113</f>
        <v/>
      </c>
      <c r="C1113" s="1205">
        <f>'House Count'!B1113</f>
        <v/>
      </c>
      <c r="D1113" s="1205">
        <f>'House Count'!C1113</f>
        <v/>
      </c>
      <c r="E1113" s="1205">
        <f>'House Count'!D1113</f>
        <v/>
      </c>
      <c r="F1113" s="1205">
        <f>IF(G1113="RES-SFU","RESIDENTIAL",IF(G1113="RES-HOA","RESIDENTIAL",IF(G1113="RES-MDU","RESIDENTIAL",IF(G1113="COMM-SU","BUSINESS",IF(G1113="COM-MTU","BUSINESS",IF(G1113="ENT","BUSINESS",""))))))</f>
        <v/>
      </c>
      <c r="G1113" s="1205">
        <f>'House Count'!F1113</f>
        <v/>
      </c>
      <c r="H1113" s="1205">
        <f>'House Count'!H1113</f>
        <v/>
      </c>
    </row>
    <row r="1114">
      <c r="A1114" s="1204">
        <f>'House Count'!A1114</f>
        <v/>
      </c>
      <c r="B1114" s="1205">
        <f>'House Count'!E1114</f>
        <v/>
      </c>
      <c r="C1114" s="1205">
        <f>'House Count'!B1114</f>
        <v/>
      </c>
      <c r="D1114" s="1205">
        <f>'House Count'!C1114</f>
        <v/>
      </c>
      <c r="E1114" s="1205">
        <f>'House Count'!D1114</f>
        <v/>
      </c>
      <c r="F1114" s="1205">
        <f>IF(G1114="RES-SFU","RESIDENTIAL",IF(G1114="RES-HOA","RESIDENTIAL",IF(G1114="RES-MDU","RESIDENTIAL",IF(G1114="COMM-SU","BUSINESS",IF(G1114="COM-MTU","BUSINESS",IF(G1114="ENT","BUSINESS",""))))))</f>
        <v/>
      </c>
      <c r="G1114" s="1205">
        <f>'House Count'!F1114</f>
        <v/>
      </c>
      <c r="H1114" s="1205">
        <f>'House Count'!H1114</f>
        <v/>
      </c>
    </row>
    <row r="1115">
      <c r="A1115" s="1204">
        <f>'House Count'!A1115</f>
        <v/>
      </c>
      <c r="B1115" s="1205">
        <f>'House Count'!E1115</f>
        <v/>
      </c>
      <c r="C1115" s="1205">
        <f>'House Count'!B1115</f>
        <v/>
      </c>
      <c r="D1115" s="1205">
        <f>'House Count'!C1115</f>
        <v/>
      </c>
      <c r="E1115" s="1205">
        <f>'House Count'!D1115</f>
        <v/>
      </c>
      <c r="F1115" s="1205">
        <f>IF(G1115="RES-SFU","RESIDENTIAL",IF(G1115="RES-HOA","RESIDENTIAL",IF(G1115="RES-MDU","RESIDENTIAL",IF(G1115="COMM-SU","BUSINESS",IF(G1115="COM-MTU","BUSINESS",IF(G1115="ENT","BUSINESS",""))))))</f>
        <v/>
      </c>
      <c r="G1115" s="1205">
        <f>'House Count'!F1115</f>
        <v/>
      </c>
      <c r="H1115" s="1205">
        <f>'House Count'!H1115</f>
        <v/>
      </c>
    </row>
    <row r="1116">
      <c r="A1116" s="1204">
        <f>'House Count'!A1116</f>
        <v/>
      </c>
      <c r="B1116" s="1205">
        <f>'House Count'!E1116</f>
        <v/>
      </c>
      <c r="C1116" s="1205">
        <f>'House Count'!B1116</f>
        <v/>
      </c>
      <c r="D1116" s="1205">
        <f>'House Count'!C1116</f>
        <v/>
      </c>
      <c r="E1116" s="1205">
        <f>'House Count'!D1116</f>
        <v/>
      </c>
      <c r="F1116" s="1205">
        <f>IF(G1116="RES-SFU","RESIDENTIAL",IF(G1116="RES-HOA","RESIDENTIAL",IF(G1116="RES-MDU","RESIDENTIAL",IF(G1116="COMM-SU","BUSINESS",IF(G1116="COM-MTU","BUSINESS",IF(G1116="ENT","BUSINESS",""))))))</f>
        <v/>
      </c>
      <c r="G1116" s="1205">
        <f>'House Count'!F1116</f>
        <v/>
      </c>
      <c r="H1116" s="1205">
        <f>'House Count'!H1116</f>
        <v/>
      </c>
    </row>
    <row r="1117">
      <c r="A1117" s="1204">
        <f>'House Count'!A1117</f>
        <v/>
      </c>
      <c r="B1117" s="1205">
        <f>'House Count'!E1117</f>
        <v/>
      </c>
      <c r="C1117" s="1205">
        <f>'House Count'!B1117</f>
        <v/>
      </c>
      <c r="D1117" s="1205">
        <f>'House Count'!C1117</f>
        <v/>
      </c>
      <c r="E1117" s="1205">
        <f>'House Count'!D1117</f>
        <v/>
      </c>
      <c r="F1117" s="1205">
        <f>IF(G1117="RES-SFU","RESIDENTIAL",IF(G1117="RES-HOA","RESIDENTIAL",IF(G1117="RES-MDU","RESIDENTIAL",IF(G1117="COMM-SU","BUSINESS",IF(G1117="COM-MTU","BUSINESS",IF(G1117="ENT","BUSINESS",""))))))</f>
        <v/>
      </c>
      <c r="G1117" s="1205">
        <f>'House Count'!F1117</f>
        <v/>
      </c>
      <c r="H1117" s="1205">
        <f>'House Count'!H1117</f>
        <v/>
      </c>
    </row>
    <row r="1118">
      <c r="A1118" s="1204">
        <f>'House Count'!A1118</f>
        <v/>
      </c>
      <c r="B1118" s="1205">
        <f>'House Count'!E1118</f>
        <v/>
      </c>
      <c r="C1118" s="1205">
        <f>'House Count'!B1118</f>
        <v/>
      </c>
      <c r="D1118" s="1205">
        <f>'House Count'!C1118</f>
        <v/>
      </c>
      <c r="E1118" s="1205">
        <f>'House Count'!D1118</f>
        <v/>
      </c>
      <c r="F1118" s="1205">
        <f>IF(G1118="RES-SFU","RESIDENTIAL",IF(G1118="RES-HOA","RESIDENTIAL",IF(G1118="RES-MDU","RESIDENTIAL",IF(G1118="COMM-SU","BUSINESS",IF(G1118="COM-MTU","BUSINESS",IF(G1118="ENT","BUSINESS",""))))))</f>
        <v/>
      </c>
      <c r="G1118" s="1205">
        <f>'House Count'!F1118</f>
        <v/>
      </c>
      <c r="H1118" s="1205">
        <f>'House Count'!H1118</f>
        <v/>
      </c>
    </row>
    <row r="1119">
      <c r="A1119" s="1204">
        <f>'House Count'!A1119</f>
        <v/>
      </c>
      <c r="B1119" s="1205">
        <f>'House Count'!E1119</f>
        <v/>
      </c>
      <c r="C1119" s="1205">
        <f>'House Count'!B1119</f>
        <v/>
      </c>
      <c r="D1119" s="1205">
        <f>'House Count'!C1119</f>
        <v/>
      </c>
      <c r="E1119" s="1205">
        <f>'House Count'!D1119</f>
        <v/>
      </c>
      <c r="F1119" s="1205">
        <f>IF(G1119="RES-SFU","RESIDENTIAL",IF(G1119="RES-HOA","RESIDENTIAL",IF(G1119="RES-MDU","RESIDENTIAL",IF(G1119="COMM-SU","BUSINESS",IF(G1119="COM-MTU","BUSINESS",IF(G1119="ENT","BUSINESS",""))))))</f>
        <v/>
      </c>
      <c r="G1119" s="1205">
        <f>'House Count'!F1119</f>
        <v/>
      </c>
      <c r="H1119" s="1205">
        <f>'House Count'!H1119</f>
        <v/>
      </c>
    </row>
    <row r="1120">
      <c r="A1120" s="1204">
        <f>'House Count'!A1120</f>
        <v/>
      </c>
      <c r="B1120" s="1205">
        <f>'House Count'!E1120</f>
        <v/>
      </c>
      <c r="C1120" s="1205">
        <f>'House Count'!B1120</f>
        <v/>
      </c>
      <c r="D1120" s="1205">
        <f>'House Count'!C1120</f>
        <v/>
      </c>
      <c r="E1120" s="1205">
        <f>'House Count'!D1120</f>
        <v/>
      </c>
      <c r="F1120" s="1205">
        <f>IF(G1120="RES-SFU","RESIDENTIAL",IF(G1120="RES-HOA","RESIDENTIAL",IF(G1120="RES-MDU","RESIDENTIAL",IF(G1120="COMM-SU","BUSINESS",IF(G1120="COM-MTU","BUSINESS",IF(G1120="ENT","BUSINESS",""))))))</f>
        <v/>
      </c>
      <c r="G1120" s="1205">
        <f>'House Count'!F1120</f>
        <v/>
      </c>
      <c r="H1120" s="1205">
        <f>'House Count'!H1120</f>
        <v/>
      </c>
    </row>
    <row r="1121">
      <c r="A1121" s="1204">
        <f>'House Count'!A1121</f>
        <v/>
      </c>
      <c r="B1121" s="1205">
        <f>'House Count'!E1121</f>
        <v/>
      </c>
      <c r="C1121" s="1205">
        <f>'House Count'!B1121</f>
        <v/>
      </c>
      <c r="D1121" s="1205">
        <f>'House Count'!C1121</f>
        <v/>
      </c>
      <c r="E1121" s="1205">
        <f>'House Count'!D1121</f>
        <v/>
      </c>
      <c r="F1121" s="1205">
        <f>IF(G1121="RES-SFU","RESIDENTIAL",IF(G1121="RES-HOA","RESIDENTIAL",IF(G1121="RES-MDU","RESIDENTIAL",IF(G1121="COMM-SU","BUSINESS",IF(G1121="COM-MTU","BUSINESS",IF(G1121="ENT","BUSINESS",""))))))</f>
        <v/>
      </c>
      <c r="G1121" s="1205">
        <f>'House Count'!F1121</f>
        <v/>
      </c>
      <c r="H1121" s="1205">
        <f>'House Count'!H1121</f>
        <v/>
      </c>
    </row>
    <row r="1122">
      <c r="A1122" s="1204">
        <f>'House Count'!A1122</f>
        <v/>
      </c>
      <c r="B1122" s="1205">
        <f>'House Count'!E1122</f>
        <v/>
      </c>
      <c r="C1122" s="1205">
        <f>'House Count'!B1122</f>
        <v/>
      </c>
      <c r="D1122" s="1205">
        <f>'House Count'!C1122</f>
        <v/>
      </c>
      <c r="E1122" s="1205">
        <f>'House Count'!D1122</f>
        <v/>
      </c>
      <c r="F1122" s="1205">
        <f>IF(G1122="RES-SFU","RESIDENTIAL",IF(G1122="RES-HOA","RESIDENTIAL",IF(G1122="RES-MDU","RESIDENTIAL",IF(G1122="COMM-SU","BUSINESS",IF(G1122="COM-MTU","BUSINESS",IF(G1122="ENT","BUSINESS",""))))))</f>
        <v/>
      </c>
      <c r="G1122" s="1205">
        <f>'House Count'!F1122</f>
        <v/>
      </c>
      <c r="H1122" s="1205">
        <f>'House Count'!H1122</f>
        <v/>
      </c>
    </row>
    <row r="1123">
      <c r="A1123" s="1204">
        <f>'House Count'!A1123</f>
        <v/>
      </c>
      <c r="B1123" s="1205">
        <f>'House Count'!E1123</f>
        <v/>
      </c>
      <c r="C1123" s="1205">
        <f>'House Count'!B1123</f>
        <v/>
      </c>
      <c r="D1123" s="1205">
        <f>'House Count'!C1123</f>
        <v/>
      </c>
      <c r="E1123" s="1205">
        <f>'House Count'!D1123</f>
        <v/>
      </c>
      <c r="F1123" s="1205">
        <f>IF(G1123="RES-SFU","RESIDENTIAL",IF(G1123="RES-HOA","RESIDENTIAL",IF(G1123="RES-MDU","RESIDENTIAL",IF(G1123="COMM-SU","BUSINESS",IF(G1123="COM-MTU","BUSINESS",IF(G1123="ENT","BUSINESS",""))))))</f>
        <v/>
      </c>
      <c r="G1123" s="1205">
        <f>'House Count'!F1123</f>
        <v/>
      </c>
      <c r="H1123" s="1205">
        <f>'House Count'!H1123</f>
        <v/>
      </c>
    </row>
    <row r="1124">
      <c r="A1124" s="1204">
        <f>'House Count'!A1124</f>
        <v/>
      </c>
      <c r="B1124" s="1205">
        <f>'House Count'!E1124</f>
        <v/>
      </c>
      <c r="C1124" s="1205">
        <f>'House Count'!B1124</f>
        <v/>
      </c>
      <c r="D1124" s="1205">
        <f>'House Count'!C1124</f>
        <v/>
      </c>
      <c r="E1124" s="1205">
        <f>'House Count'!D1124</f>
        <v/>
      </c>
      <c r="F1124" s="1205">
        <f>IF(G1124="RES-SFU","RESIDENTIAL",IF(G1124="RES-HOA","RESIDENTIAL",IF(G1124="RES-MDU","RESIDENTIAL",IF(G1124="COMM-SU","BUSINESS",IF(G1124="COM-MTU","BUSINESS",IF(G1124="ENT","BUSINESS",""))))))</f>
        <v/>
      </c>
      <c r="G1124" s="1205">
        <f>'House Count'!F1124</f>
        <v/>
      </c>
      <c r="H1124" s="1205">
        <f>'House Count'!H1124</f>
        <v/>
      </c>
    </row>
    <row r="1125">
      <c r="A1125" s="1204">
        <f>'House Count'!A1125</f>
        <v/>
      </c>
      <c r="B1125" s="1205">
        <f>'House Count'!E1125</f>
        <v/>
      </c>
      <c r="C1125" s="1205">
        <f>'House Count'!B1125</f>
        <v/>
      </c>
      <c r="D1125" s="1205">
        <f>'House Count'!C1125</f>
        <v/>
      </c>
      <c r="E1125" s="1205">
        <f>'House Count'!D1125</f>
        <v/>
      </c>
      <c r="F1125" s="1205">
        <f>IF(G1125="RES-SFU","RESIDENTIAL",IF(G1125="RES-HOA","RESIDENTIAL",IF(G1125="RES-MDU","RESIDENTIAL",IF(G1125="COMM-SU","BUSINESS",IF(G1125="COM-MTU","BUSINESS",IF(G1125="ENT","BUSINESS",""))))))</f>
        <v/>
      </c>
      <c r="G1125" s="1205">
        <f>'House Count'!F1125</f>
        <v/>
      </c>
      <c r="H1125" s="1205">
        <f>'House Count'!H1125</f>
        <v/>
      </c>
    </row>
    <row r="1126">
      <c r="A1126" s="1204">
        <f>'House Count'!A1126</f>
        <v/>
      </c>
      <c r="B1126" s="1205">
        <f>'House Count'!E1126</f>
        <v/>
      </c>
      <c r="C1126" s="1205">
        <f>'House Count'!B1126</f>
        <v/>
      </c>
      <c r="D1126" s="1205">
        <f>'House Count'!C1126</f>
        <v/>
      </c>
      <c r="E1126" s="1205">
        <f>'House Count'!D1126</f>
        <v/>
      </c>
      <c r="F1126" s="1205">
        <f>IF(G1126="RES-SFU","RESIDENTIAL",IF(G1126="RES-HOA","RESIDENTIAL",IF(G1126="RES-MDU","RESIDENTIAL",IF(G1126="COMM-SU","BUSINESS",IF(G1126="COM-MTU","BUSINESS",IF(G1126="ENT","BUSINESS",""))))))</f>
        <v/>
      </c>
      <c r="G1126" s="1205">
        <f>'House Count'!F1126</f>
        <v/>
      </c>
      <c r="H1126" s="1205">
        <f>'House Count'!H1126</f>
        <v/>
      </c>
    </row>
    <row r="1127">
      <c r="A1127" s="1204">
        <f>'House Count'!A1127</f>
        <v/>
      </c>
      <c r="B1127" s="1205">
        <f>'House Count'!E1127</f>
        <v/>
      </c>
      <c r="C1127" s="1205">
        <f>'House Count'!B1127</f>
        <v/>
      </c>
      <c r="D1127" s="1205">
        <f>'House Count'!C1127</f>
        <v/>
      </c>
      <c r="E1127" s="1205">
        <f>'House Count'!D1127</f>
        <v/>
      </c>
      <c r="F1127" s="1205">
        <f>IF(G1127="RES-SFU","RESIDENTIAL",IF(G1127="RES-HOA","RESIDENTIAL",IF(G1127="RES-MDU","RESIDENTIAL",IF(G1127="COMM-SU","BUSINESS",IF(G1127="COM-MTU","BUSINESS",IF(G1127="ENT","BUSINESS",""))))))</f>
        <v/>
      </c>
      <c r="G1127" s="1205">
        <f>'House Count'!F1127</f>
        <v/>
      </c>
      <c r="H1127" s="1205">
        <f>'House Count'!H1127</f>
        <v/>
      </c>
    </row>
    <row r="1128">
      <c r="A1128" s="1204">
        <f>'House Count'!A1128</f>
        <v/>
      </c>
      <c r="B1128" s="1205">
        <f>'House Count'!E1128</f>
        <v/>
      </c>
      <c r="C1128" s="1205">
        <f>'House Count'!B1128</f>
        <v/>
      </c>
      <c r="D1128" s="1205">
        <f>'House Count'!C1128</f>
        <v/>
      </c>
      <c r="E1128" s="1205">
        <f>'House Count'!D1128</f>
        <v/>
      </c>
      <c r="F1128" s="1205">
        <f>IF(G1128="RES-SFU","RESIDENTIAL",IF(G1128="RES-HOA","RESIDENTIAL",IF(G1128="RES-MDU","RESIDENTIAL",IF(G1128="COMM-SU","BUSINESS",IF(G1128="COM-MTU","BUSINESS",IF(G1128="ENT","BUSINESS",""))))))</f>
        <v/>
      </c>
      <c r="G1128" s="1205">
        <f>'House Count'!F1128</f>
        <v/>
      </c>
      <c r="H1128" s="1205">
        <f>'House Count'!H1128</f>
        <v/>
      </c>
    </row>
    <row r="1129">
      <c r="A1129" s="1204">
        <f>'House Count'!A1129</f>
        <v/>
      </c>
      <c r="B1129" s="1205">
        <f>'House Count'!E1129</f>
        <v/>
      </c>
      <c r="C1129" s="1205">
        <f>'House Count'!B1129</f>
        <v/>
      </c>
      <c r="D1129" s="1205">
        <f>'House Count'!C1129</f>
        <v/>
      </c>
      <c r="E1129" s="1205">
        <f>'House Count'!D1129</f>
        <v/>
      </c>
      <c r="F1129" s="1205">
        <f>IF(G1129="RES-SFU","RESIDENTIAL",IF(G1129="RES-HOA","RESIDENTIAL",IF(G1129="RES-MDU","RESIDENTIAL",IF(G1129="COMM-SU","BUSINESS",IF(G1129="COM-MTU","BUSINESS",IF(G1129="ENT","BUSINESS",""))))))</f>
        <v/>
      </c>
      <c r="G1129" s="1205">
        <f>'House Count'!F1129</f>
        <v/>
      </c>
      <c r="H1129" s="1205">
        <f>'House Count'!H1129</f>
        <v/>
      </c>
    </row>
    <row r="1130">
      <c r="A1130" s="1204">
        <f>'House Count'!A1130</f>
        <v/>
      </c>
      <c r="B1130" s="1205">
        <f>'House Count'!E1130</f>
        <v/>
      </c>
      <c r="C1130" s="1205">
        <f>'House Count'!B1130</f>
        <v/>
      </c>
      <c r="D1130" s="1205">
        <f>'House Count'!C1130</f>
        <v/>
      </c>
      <c r="E1130" s="1205">
        <f>'House Count'!D1130</f>
        <v/>
      </c>
      <c r="F1130" s="1205">
        <f>IF(G1130="RES-SFU","RESIDENTIAL",IF(G1130="RES-HOA","RESIDENTIAL",IF(G1130="RES-MDU","RESIDENTIAL",IF(G1130="COMM-SU","BUSINESS",IF(G1130="COM-MTU","BUSINESS",IF(G1130="ENT","BUSINESS",""))))))</f>
        <v/>
      </c>
      <c r="G1130" s="1205">
        <f>'House Count'!F1130</f>
        <v/>
      </c>
      <c r="H1130" s="1205">
        <f>'House Count'!H1130</f>
        <v/>
      </c>
    </row>
    <row r="1131">
      <c r="A1131" s="1204">
        <f>'House Count'!A1131</f>
        <v/>
      </c>
      <c r="B1131" s="1205">
        <f>'House Count'!E1131</f>
        <v/>
      </c>
      <c r="C1131" s="1205">
        <f>'House Count'!B1131</f>
        <v/>
      </c>
      <c r="D1131" s="1205">
        <f>'House Count'!C1131</f>
        <v/>
      </c>
      <c r="E1131" s="1205">
        <f>'House Count'!D1131</f>
        <v/>
      </c>
      <c r="F1131" s="1205">
        <f>IF(G1131="RES-SFU","RESIDENTIAL",IF(G1131="RES-HOA","RESIDENTIAL",IF(G1131="RES-MDU","RESIDENTIAL",IF(G1131="COMM-SU","BUSINESS",IF(G1131="COM-MTU","BUSINESS",IF(G1131="ENT","BUSINESS",""))))))</f>
        <v/>
      </c>
      <c r="G1131" s="1205">
        <f>'House Count'!F1131</f>
        <v/>
      </c>
      <c r="H1131" s="1205">
        <f>'House Count'!H1131</f>
        <v/>
      </c>
    </row>
    <row r="1132">
      <c r="A1132" s="1204">
        <f>'House Count'!A1132</f>
        <v/>
      </c>
      <c r="B1132" s="1205">
        <f>'House Count'!E1132</f>
        <v/>
      </c>
      <c r="C1132" s="1205">
        <f>'House Count'!B1132</f>
        <v/>
      </c>
      <c r="D1132" s="1205">
        <f>'House Count'!C1132</f>
        <v/>
      </c>
      <c r="E1132" s="1205">
        <f>'House Count'!D1132</f>
        <v/>
      </c>
      <c r="F1132" s="1205">
        <f>IF(G1132="RES-SFU","RESIDENTIAL",IF(G1132="RES-HOA","RESIDENTIAL",IF(G1132="RES-MDU","RESIDENTIAL",IF(G1132="COMM-SU","BUSINESS",IF(G1132="COM-MTU","BUSINESS",IF(G1132="ENT","BUSINESS",""))))))</f>
        <v/>
      </c>
      <c r="G1132" s="1205">
        <f>'House Count'!F1132</f>
        <v/>
      </c>
      <c r="H1132" s="1205">
        <f>'House Count'!H1132</f>
        <v/>
      </c>
    </row>
    <row r="1133">
      <c r="A1133" s="1204">
        <f>'House Count'!A1133</f>
        <v/>
      </c>
      <c r="B1133" s="1205">
        <f>'House Count'!E1133</f>
        <v/>
      </c>
      <c r="C1133" s="1205">
        <f>'House Count'!B1133</f>
        <v/>
      </c>
      <c r="D1133" s="1205">
        <f>'House Count'!C1133</f>
        <v/>
      </c>
      <c r="E1133" s="1205">
        <f>'House Count'!D1133</f>
        <v/>
      </c>
      <c r="F1133" s="1205">
        <f>IF(G1133="RES-SFU","RESIDENTIAL",IF(G1133="RES-HOA","RESIDENTIAL",IF(G1133="RES-MDU","RESIDENTIAL",IF(G1133="COMM-SU","BUSINESS",IF(G1133="COM-MTU","BUSINESS",IF(G1133="ENT","BUSINESS",""))))))</f>
        <v/>
      </c>
      <c r="G1133" s="1205">
        <f>'House Count'!F1133</f>
        <v/>
      </c>
      <c r="H1133" s="1205">
        <f>'House Count'!H1133</f>
        <v/>
      </c>
    </row>
    <row r="1134">
      <c r="A1134" s="1204">
        <f>'House Count'!A1134</f>
        <v/>
      </c>
      <c r="B1134" s="1205">
        <f>'House Count'!E1134</f>
        <v/>
      </c>
      <c r="C1134" s="1205">
        <f>'House Count'!B1134</f>
        <v/>
      </c>
      <c r="D1134" s="1205">
        <f>'House Count'!C1134</f>
        <v/>
      </c>
      <c r="E1134" s="1205">
        <f>'House Count'!D1134</f>
        <v/>
      </c>
      <c r="F1134" s="1205">
        <f>IF(G1134="RES-SFU","RESIDENTIAL",IF(G1134="RES-HOA","RESIDENTIAL",IF(G1134="RES-MDU","RESIDENTIAL",IF(G1134="COMM-SU","BUSINESS",IF(G1134="COM-MTU","BUSINESS",IF(G1134="ENT","BUSINESS",""))))))</f>
        <v/>
      </c>
      <c r="G1134" s="1205">
        <f>'House Count'!F1134</f>
        <v/>
      </c>
      <c r="H1134" s="1205">
        <f>'House Count'!H1134</f>
        <v/>
      </c>
    </row>
    <row r="1135">
      <c r="A1135" s="1204">
        <f>'House Count'!A1135</f>
        <v/>
      </c>
      <c r="B1135" s="1205">
        <f>'House Count'!E1135</f>
        <v/>
      </c>
      <c r="C1135" s="1205">
        <f>'House Count'!B1135</f>
        <v/>
      </c>
      <c r="D1135" s="1205">
        <f>'House Count'!C1135</f>
        <v/>
      </c>
      <c r="E1135" s="1205">
        <f>'House Count'!D1135</f>
        <v/>
      </c>
      <c r="F1135" s="1205">
        <f>IF(G1135="RES-SFU","RESIDENTIAL",IF(G1135="RES-HOA","RESIDENTIAL",IF(G1135="RES-MDU","RESIDENTIAL",IF(G1135="COMM-SU","BUSINESS",IF(G1135="COM-MTU","BUSINESS",IF(G1135="ENT","BUSINESS",""))))))</f>
        <v/>
      </c>
      <c r="G1135" s="1205">
        <f>'House Count'!F1135</f>
        <v/>
      </c>
      <c r="H1135" s="1205">
        <f>'House Count'!H1135</f>
        <v/>
      </c>
    </row>
    <row r="1136">
      <c r="A1136" s="1204">
        <f>'House Count'!A1136</f>
        <v/>
      </c>
      <c r="B1136" s="1205">
        <f>'House Count'!E1136</f>
        <v/>
      </c>
      <c r="C1136" s="1205">
        <f>'House Count'!B1136</f>
        <v/>
      </c>
      <c r="D1136" s="1205">
        <f>'House Count'!C1136</f>
        <v/>
      </c>
      <c r="E1136" s="1205">
        <f>'House Count'!D1136</f>
        <v/>
      </c>
      <c r="F1136" s="1205">
        <f>IF(G1136="RES-SFU","RESIDENTIAL",IF(G1136="RES-HOA","RESIDENTIAL",IF(G1136="RES-MDU","RESIDENTIAL",IF(G1136="COMM-SU","BUSINESS",IF(G1136="COM-MTU","BUSINESS",IF(G1136="ENT","BUSINESS",""))))))</f>
        <v/>
      </c>
      <c r="G1136" s="1205">
        <f>'House Count'!F1136</f>
        <v/>
      </c>
      <c r="H1136" s="1205">
        <f>'House Count'!H1136</f>
        <v/>
      </c>
    </row>
    <row r="1137">
      <c r="A1137" s="1204">
        <f>'House Count'!A1137</f>
        <v/>
      </c>
      <c r="B1137" s="1205">
        <f>'House Count'!E1137</f>
        <v/>
      </c>
      <c r="C1137" s="1205">
        <f>'House Count'!B1137</f>
        <v/>
      </c>
      <c r="D1137" s="1205">
        <f>'House Count'!C1137</f>
        <v/>
      </c>
      <c r="E1137" s="1205">
        <f>'House Count'!D1137</f>
        <v/>
      </c>
      <c r="F1137" s="1205">
        <f>IF(G1137="RES-SFU","RESIDENTIAL",IF(G1137="RES-HOA","RESIDENTIAL",IF(G1137="RES-MDU","RESIDENTIAL",IF(G1137="COMM-SU","BUSINESS",IF(G1137="COM-MTU","BUSINESS",IF(G1137="ENT","BUSINESS",""))))))</f>
        <v/>
      </c>
      <c r="G1137" s="1205">
        <f>'House Count'!F1137</f>
        <v/>
      </c>
      <c r="H1137" s="1205">
        <f>'House Count'!H1137</f>
        <v/>
      </c>
    </row>
    <row r="1138">
      <c r="A1138" s="1204">
        <f>'House Count'!A1138</f>
        <v/>
      </c>
      <c r="B1138" s="1205">
        <f>'House Count'!E1138</f>
        <v/>
      </c>
      <c r="C1138" s="1205">
        <f>'House Count'!B1138</f>
        <v/>
      </c>
      <c r="D1138" s="1205">
        <f>'House Count'!C1138</f>
        <v/>
      </c>
      <c r="E1138" s="1205">
        <f>'House Count'!D1138</f>
        <v/>
      </c>
      <c r="F1138" s="1205">
        <f>IF(G1138="RES-SFU","RESIDENTIAL",IF(G1138="RES-HOA","RESIDENTIAL",IF(G1138="RES-MDU","RESIDENTIAL",IF(G1138="COMM-SU","BUSINESS",IF(G1138="COM-MTU","BUSINESS",IF(G1138="ENT","BUSINESS",""))))))</f>
        <v/>
      </c>
      <c r="G1138" s="1205">
        <f>'House Count'!F1138</f>
        <v/>
      </c>
      <c r="H1138" s="1205">
        <f>'House Count'!H1138</f>
        <v/>
      </c>
    </row>
    <row r="1139">
      <c r="A1139" s="1204">
        <f>'House Count'!A1139</f>
        <v/>
      </c>
      <c r="B1139" s="1205">
        <f>'House Count'!E1139</f>
        <v/>
      </c>
      <c r="C1139" s="1205">
        <f>'House Count'!B1139</f>
        <v/>
      </c>
      <c r="D1139" s="1205">
        <f>'House Count'!C1139</f>
        <v/>
      </c>
      <c r="E1139" s="1205">
        <f>'House Count'!D1139</f>
        <v/>
      </c>
      <c r="F1139" s="1205">
        <f>IF(G1139="RES-SFU","RESIDENTIAL",IF(G1139="RES-HOA","RESIDENTIAL",IF(G1139="RES-MDU","RESIDENTIAL",IF(G1139="COMM-SU","BUSINESS",IF(G1139="COM-MTU","BUSINESS",IF(G1139="ENT","BUSINESS",""))))))</f>
        <v/>
      </c>
      <c r="G1139" s="1205">
        <f>'House Count'!F1139</f>
        <v/>
      </c>
      <c r="H1139" s="1205">
        <f>'House Count'!H1139</f>
        <v/>
      </c>
    </row>
    <row r="1140">
      <c r="A1140" s="1204">
        <f>'House Count'!A1140</f>
        <v/>
      </c>
      <c r="B1140" s="1205">
        <f>'House Count'!E1140</f>
        <v/>
      </c>
      <c r="C1140" s="1205">
        <f>'House Count'!B1140</f>
        <v/>
      </c>
      <c r="D1140" s="1205">
        <f>'House Count'!C1140</f>
        <v/>
      </c>
      <c r="E1140" s="1205">
        <f>'House Count'!D1140</f>
        <v/>
      </c>
      <c r="F1140" s="1205">
        <f>IF(G1140="RES-SFU","RESIDENTIAL",IF(G1140="RES-HOA","RESIDENTIAL",IF(G1140="RES-MDU","RESIDENTIAL",IF(G1140="COMM-SU","BUSINESS",IF(G1140="COM-MTU","BUSINESS",IF(G1140="ENT","BUSINESS",""))))))</f>
        <v/>
      </c>
      <c r="G1140" s="1205">
        <f>'House Count'!F1140</f>
        <v/>
      </c>
      <c r="H1140" s="1205">
        <f>'House Count'!H1140</f>
        <v/>
      </c>
    </row>
    <row r="1141">
      <c r="A1141" s="1204">
        <f>'House Count'!A1141</f>
        <v/>
      </c>
      <c r="B1141" s="1205">
        <f>'House Count'!E1141</f>
        <v/>
      </c>
      <c r="C1141" s="1205">
        <f>'House Count'!B1141</f>
        <v/>
      </c>
      <c r="D1141" s="1205">
        <f>'House Count'!C1141</f>
        <v/>
      </c>
      <c r="E1141" s="1205">
        <f>'House Count'!D1141</f>
        <v/>
      </c>
      <c r="F1141" s="1205">
        <f>IF(G1141="RES-SFU","RESIDENTIAL",IF(G1141="RES-HOA","RESIDENTIAL",IF(G1141="RES-MDU","RESIDENTIAL",IF(G1141="COMM-SU","BUSINESS",IF(G1141="COM-MTU","BUSINESS",IF(G1141="ENT","BUSINESS",""))))))</f>
        <v/>
      </c>
      <c r="G1141" s="1205">
        <f>'House Count'!F1141</f>
        <v/>
      </c>
      <c r="H1141" s="1205">
        <f>'House Count'!H1141</f>
        <v/>
      </c>
    </row>
    <row r="1142">
      <c r="A1142" s="1204">
        <f>'House Count'!A1142</f>
        <v/>
      </c>
      <c r="B1142" s="1205">
        <f>'House Count'!E1142</f>
        <v/>
      </c>
      <c r="C1142" s="1205">
        <f>'House Count'!B1142</f>
        <v/>
      </c>
      <c r="D1142" s="1205">
        <f>'House Count'!C1142</f>
        <v/>
      </c>
      <c r="E1142" s="1205">
        <f>'House Count'!D1142</f>
        <v/>
      </c>
      <c r="F1142" s="1205">
        <f>IF(G1142="RES-SFU","RESIDENTIAL",IF(G1142="RES-HOA","RESIDENTIAL",IF(G1142="RES-MDU","RESIDENTIAL",IF(G1142="COMM-SU","BUSINESS",IF(G1142="COM-MTU","BUSINESS",IF(G1142="ENT","BUSINESS",""))))))</f>
        <v/>
      </c>
      <c r="G1142" s="1205">
        <f>'House Count'!F1142</f>
        <v/>
      </c>
      <c r="H1142" s="1205">
        <f>'House Count'!H1142</f>
        <v/>
      </c>
    </row>
    <row r="1143">
      <c r="A1143" s="1204">
        <f>'House Count'!A1143</f>
        <v/>
      </c>
      <c r="B1143" s="1205">
        <f>'House Count'!E1143</f>
        <v/>
      </c>
      <c r="C1143" s="1205">
        <f>'House Count'!B1143</f>
        <v/>
      </c>
      <c r="D1143" s="1205">
        <f>'House Count'!C1143</f>
        <v/>
      </c>
      <c r="E1143" s="1205">
        <f>'House Count'!D1143</f>
        <v/>
      </c>
      <c r="F1143" s="1205">
        <f>IF(G1143="RES-SFU","RESIDENTIAL",IF(G1143="RES-HOA","RESIDENTIAL",IF(G1143="RES-MDU","RESIDENTIAL",IF(G1143="COMM-SU","BUSINESS",IF(G1143="COM-MTU","BUSINESS",IF(G1143="ENT","BUSINESS",""))))))</f>
        <v/>
      </c>
      <c r="G1143" s="1205">
        <f>'House Count'!F1143</f>
        <v/>
      </c>
      <c r="H1143" s="1205">
        <f>'House Count'!H1143</f>
        <v/>
      </c>
    </row>
    <row r="1144">
      <c r="A1144" s="1204">
        <f>'House Count'!A1144</f>
        <v/>
      </c>
      <c r="B1144" s="1205">
        <f>'House Count'!E1144</f>
        <v/>
      </c>
      <c r="C1144" s="1205">
        <f>'House Count'!B1144</f>
        <v/>
      </c>
      <c r="D1144" s="1205">
        <f>'House Count'!C1144</f>
        <v/>
      </c>
      <c r="E1144" s="1205">
        <f>'House Count'!D1144</f>
        <v/>
      </c>
      <c r="F1144" s="1205">
        <f>IF(G1144="RES-SFU","RESIDENTIAL",IF(G1144="RES-HOA","RESIDENTIAL",IF(G1144="RES-MDU","RESIDENTIAL",IF(G1144="COMM-SU","BUSINESS",IF(G1144="COM-MTU","BUSINESS",IF(G1144="ENT","BUSINESS",""))))))</f>
        <v/>
      </c>
      <c r="G1144" s="1205">
        <f>'House Count'!F1144</f>
        <v/>
      </c>
      <c r="H1144" s="1205">
        <f>'House Count'!H1144</f>
        <v/>
      </c>
    </row>
    <row r="1145">
      <c r="A1145" s="1204">
        <f>'House Count'!A1145</f>
        <v/>
      </c>
      <c r="B1145" s="1205">
        <f>'House Count'!E1145</f>
        <v/>
      </c>
      <c r="C1145" s="1205">
        <f>'House Count'!B1145</f>
        <v/>
      </c>
      <c r="D1145" s="1205">
        <f>'House Count'!C1145</f>
        <v/>
      </c>
      <c r="E1145" s="1205">
        <f>'House Count'!D1145</f>
        <v/>
      </c>
      <c r="F1145" s="1205">
        <f>IF(G1145="RES-SFU","RESIDENTIAL",IF(G1145="RES-HOA","RESIDENTIAL",IF(G1145="RES-MDU","RESIDENTIAL",IF(G1145="COMM-SU","BUSINESS",IF(G1145="COM-MTU","BUSINESS",IF(G1145="ENT","BUSINESS",""))))))</f>
        <v/>
      </c>
      <c r="G1145" s="1205">
        <f>'House Count'!F1145</f>
        <v/>
      </c>
      <c r="H1145" s="1205">
        <f>'House Count'!H1145</f>
        <v/>
      </c>
    </row>
    <row r="1146">
      <c r="A1146" s="1204">
        <f>'House Count'!A1146</f>
        <v/>
      </c>
      <c r="B1146" s="1205">
        <f>'House Count'!E1146</f>
        <v/>
      </c>
      <c r="C1146" s="1205">
        <f>'House Count'!B1146</f>
        <v/>
      </c>
      <c r="D1146" s="1205">
        <f>'House Count'!C1146</f>
        <v/>
      </c>
      <c r="E1146" s="1205">
        <f>'House Count'!D1146</f>
        <v/>
      </c>
      <c r="F1146" s="1205">
        <f>IF(G1146="RES-SFU","RESIDENTIAL",IF(G1146="RES-HOA","RESIDENTIAL",IF(G1146="RES-MDU","RESIDENTIAL",IF(G1146="COMM-SU","BUSINESS",IF(G1146="COM-MTU","BUSINESS",IF(G1146="ENT","BUSINESS",""))))))</f>
        <v/>
      </c>
      <c r="G1146" s="1205">
        <f>'House Count'!F1146</f>
        <v/>
      </c>
      <c r="H1146" s="1205">
        <f>'House Count'!H1146</f>
        <v/>
      </c>
    </row>
    <row r="1147">
      <c r="A1147" s="1204">
        <f>'House Count'!A1147</f>
        <v/>
      </c>
      <c r="B1147" s="1205">
        <f>'House Count'!E1147</f>
        <v/>
      </c>
      <c r="C1147" s="1205">
        <f>'House Count'!B1147</f>
        <v/>
      </c>
      <c r="D1147" s="1205">
        <f>'House Count'!C1147</f>
        <v/>
      </c>
      <c r="E1147" s="1205">
        <f>'House Count'!D1147</f>
        <v/>
      </c>
      <c r="F1147" s="1205">
        <f>IF(G1147="RES-SFU","RESIDENTIAL",IF(G1147="RES-HOA","RESIDENTIAL",IF(G1147="RES-MDU","RESIDENTIAL",IF(G1147="COMM-SU","BUSINESS",IF(G1147="COM-MTU","BUSINESS",IF(G1147="ENT","BUSINESS",""))))))</f>
        <v/>
      </c>
      <c r="G1147" s="1205">
        <f>'House Count'!F1147</f>
        <v/>
      </c>
      <c r="H1147" s="1205">
        <f>'House Count'!H1147</f>
        <v/>
      </c>
    </row>
    <row r="1148">
      <c r="A1148" s="1204">
        <f>'House Count'!A1148</f>
        <v/>
      </c>
      <c r="B1148" s="1205">
        <f>'House Count'!E1148</f>
        <v/>
      </c>
      <c r="C1148" s="1205">
        <f>'House Count'!B1148</f>
        <v/>
      </c>
      <c r="D1148" s="1205">
        <f>'House Count'!C1148</f>
        <v/>
      </c>
      <c r="E1148" s="1205">
        <f>'House Count'!D1148</f>
        <v/>
      </c>
      <c r="F1148" s="1205">
        <f>IF(G1148="RES-SFU","RESIDENTIAL",IF(G1148="RES-HOA","RESIDENTIAL",IF(G1148="RES-MDU","RESIDENTIAL",IF(G1148="COMM-SU","BUSINESS",IF(G1148="COM-MTU","BUSINESS",IF(G1148="ENT","BUSINESS",""))))))</f>
        <v/>
      </c>
      <c r="G1148" s="1205">
        <f>'House Count'!F1148</f>
        <v/>
      </c>
      <c r="H1148" s="1205">
        <f>'House Count'!H1148</f>
        <v/>
      </c>
    </row>
    <row r="1149">
      <c r="A1149" s="1204">
        <f>'House Count'!A1149</f>
        <v/>
      </c>
      <c r="B1149" s="1205">
        <f>'House Count'!E1149</f>
        <v/>
      </c>
      <c r="C1149" s="1205">
        <f>'House Count'!B1149</f>
        <v/>
      </c>
      <c r="D1149" s="1205">
        <f>'House Count'!C1149</f>
        <v/>
      </c>
      <c r="E1149" s="1205">
        <f>'House Count'!D1149</f>
        <v/>
      </c>
      <c r="F1149" s="1205">
        <f>IF(G1149="RES-SFU","RESIDENTIAL",IF(G1149="RES-HOA","RESIDENTIAL",IF(G1149="RES-MDU","RESIDENTIAL",IF(G1149="COMM-SU","BUSINESS",IF(G1149="COM-MTU","BUSINESS",IF(G1149="ENT","BUSINESS",""))))))</f>
        <v/>
      </c>
      <c r="G1149" s="1205">
        <f>'House Count'!F1149</f>
        <v/>
      </c>
      <c r="H1149" s="1205">
        <f>'House Count'!H1149</f>
        <v/>
      </c>
    </row>
    <row r="1150">
      <c r="A1150" s="1204">
        <f>'House Count'!A1150</f>
        <v/>
      </c>
      <c r="B1150" s="1205">
        <f>'House Count'!E1150</f>
        <v/>
      </c>
      <c r="C1150" s="1205">
        <f>'House Count'!B1150</f>
        <v/>
      </c>
      <c r="D1150" s="1205">
        <f>'House Count'!C1150</f>
        <v/>
      </c>
      <c r="E1150" s="1205">
        <f>'House Count'!D1150</f>
        <v/>
      </c>
      <c r="F1150" s="1205">
        <f>IF(G1150="RES-SFU","RESIDENTIAL",IF(G1150="RES-HOA","RESIDENTIAL",IF(G1150="RES-MDU","RESIDENTIAL",IF(G1150="COMM-SU","BUSINESS",IF(G1150="COM-MTU","BUSINESS",IF(G1150="ENT","BUSINESS",""))))))</f>
        <v/>
      </c>
      <c r="G1150" s="1205">
        <f>'House Count'!F1150</f>
        <v/>
      </c>
      <c r="H1150" s="1205">
        <f>'House Count'!H1150</f>
        <v/>
      </c>
    </row>
    <row r="1151">
      <c r="A1151" s="1204">
        <f>'House Count'!A1151</f>
        <v/>
      </c>
      <c r="B1151" s="1205">
        <f>'House Count'!E1151</f>
        <v/>
      </c>
      <c r="C1151" s="1205">
        <f>'House Count'!B1151</f>
        <v/>
      </c>
      <c r="D1151" s="1205">
        <f>'House Count'!C1151</f>
        <v/>
      </c>
      <c r="E1151" s="1205">
        <f>'House Count'!D1151</f>
        <v/>
      </c>
      <c r="F1151" s="1205">
        <f>IF(G1151="RES-SFU","RESIDENTIAL",IF(G1151="RES-HOA","RESIDENTIAL",IF(G1151="RES-MDU","RESIDENTIAL",IF(G1151="COMM-SU","BUSINESS",IF(G1151="COM-MTU","BUSINESS",IF(G1151="ENT","BUSINESS",""))))))</f>
        <v/>
      </c>
      <c r="G1151" s="1205">
        <f>'House Count'!F1151</f>
        <v/>
      </c>
      <c r="H1151" s="1205">
        <f>'House Count'!H1151</f>
        <v/>
      </c>
    </row>
    <row r="1152">
      <c r="A1152" s="1204">
        <f>'House Count'!A1152</f>
        <v/>
      </c>
      <c r="B1152" s="1205">
        <f>'House Count'!E1152</f>
        <v/>
      </c>
      <c r="C1152" s="1205">
        <f>'House Count'!B1152</f>
        <v/>
      </c>
      <c r="D1152" s="1205">
        <f>'House Count'!C1152</f>
        <v/>
      </c>
      <c r="E1152" s="1205">
        <f>'House Count'!D1152</f>
        <v/>
      </c>
      <c r="F1152" s="1205">
        <f>IF(G1152="RES-SFU","RESIDENTIAL",IF(G1152="RES-HOA","RESIDENTIAL",IF(G1152="RES-MDU","RESIDENTIAL",IF(G1152="COMM-SU","BUSINESS",IF(G1152="COM-MTU","BUSINESS",IF(G1152="ENT","BUSINESS",""))))))</f>
        <v/>
      </c>
      <c r="G1152" s="1205">
        <f>'House Count'!F1152</f>
        <v/>
      </c>
      <c r="H1152" s="1205">
        <f>'House Count'!H1152</f>
        <v/>
      </c>
    </row>
    <row r="1153">
      <c r="A1153" s="1204">
        <f>'House Count'!A1153</f>
        <v/>
      </c>
      <c r="B1153" s="1205">
        <f>'House Count'!E1153</f>
        <v/>
      </c>
      <c r="C1153" s="1205">
        <f>'House Count'!B1153</f>
        <v/>
      </c>
      <c r="D1153" s="1205">
        <f>'House Count'!C1153</f>
        <v/>
      </c>
      <c r="E1153" s="1205">
        <f>'House Count'!D1153</f>
        <v/>
      </c>
      <c r="F1153" s="1205">
        <f>IF(G1153="RES-SFU","RESIDENTIAL",IF(G1153="RES-HOA","RESIDENTIAL",IF(G1153="RES-MDU","RESIDENTIAL",IF(G1153="COMM-SU","BUSINESS",IF(G1153="COM-MTU","BUSINESS",IF(G1153="ENT","BUSINESS",""))))))</f>
        <v/>
      </c>
      <c r="G1153" s="1205">
        <f>'House Count'!F1153</f>
        <v/>
      </c>
      <c r="H1153" s="1205">
        <f>'House Count'!H1153</f>
        <v/>
      </c>
    </row>
    <row r="1154">
      <c r="A1154" s="1204">
        <f>'House Count'!A1154</f>
        <v/>
      </c>
      <c r="B1154" s="1205">
        <f>'House Count'!E1154</f>
        <v/>
      </c>
      <c r="C1154" s="1205">
        <f>'House Count'!B1154</f>
        <v/>
      </c>
      <c r="D1154" s="1205">
        <f>'House Count'!C1154</f>
        <v/>
      </c>
      <c r="E1154" s="1205">
        <f>'House Count'!D1154</f>
        <v/>
      </c>
      <c r="F1154" s="1205">
        <f>IF(G1154="RES-SFU","RESIDENTIAL",IF(G1154="RES-HOA","RESIDENTIAL",IF(G1154="RES-MDU","RESIDENTIAL",IF(G1154="COMM-SU","BUSINESS",IF(G1154="COM-MTU","BUSINESS",IF(G1154="ENT","BUSINESS",""))))))</f>
        <v/>
      </c>
      <c r="G1154" s="1205">
        <f>'House Count'!F1154</f>
        <v/>
      </c>
      <c r="H1154" s="1205">
        <f>'House Count'!H1154</f>
        <v/>
      </c>
    </row>
    <row r="1155">
      <c r="A1155" s="1204">
        <f>'House Count'!A1155</f>
        <v/>
      </c>
      <c r="B1155" s="1205">
        <f>'House Count'!E1155</f>
        <v/>
      </c>
      <c r="C1155" s="1205">
        <f>'House Count'!B1155</f>
        <v/>
      </c>
      <c r="D1155" s="1205">
        <f>'House Count'!C1155</f>
        <v/>
      </c>
      <c r="E1155" s="1205">
        <f>'House Count'!D1155</f>
        <v/>
      </c>
      <c r="F1155" s="1205">
        <f>IF(G1155="RES-SFU","RESIDENTIAL",IF(G1155="RES-HOA","RESIDENTIAL",IF(G1155="RES-MDU","RESIDENTIAL",IF(G1155="COMM-SU","BUSINESS",IF(G1155="COM-MTU","BUSINESS",IF(G1155="ENT","BUSINESS",""))))))</f>
        <v/>
      </c>
      <c r="G1155" s="1205">
        <f>'House Count'!F1155</f>
        <v/>
      </c>
      <c r="H1155" s="1205">
        <f>'House Count'!H1155</f>
        <v/>
      </c>
    </row>
    <row r="1156">
      <c r="A1156" s="1204">
        <f>'House Count'!A1156</f>
        <v/>
      </c>
      <c r="B1156" s="1205">
        <f>'House Count'!E1156</f>
        <v/>
      </c>
      <c r="C1156" s="1205">
        <f>'House Count'!B1156</f>
        <v/>
      </c>
      <c r="D1156" s="1205">
        <f>'House Count'!C1156</f>
        <v/>
      </c>
      <c r="E1156" s="1205">
        <f>'House Count'!D1156</f>
        <v/>
      </c>
      <c r="F1156" s="1205">
        <f>IF(G1156="RES-SFU","RESIDENTIAL",IF(G1156="RES-HOA","RESIDENTIAL",IF(G1156="RES-MDU","RESIDENTIAL",IF(G1156="COMM-SU","BUSINESS",IF(G1156="COM-MTU","BUSINESS",IF(G1156="ENT","BUSINESS",""))))))</f>
        <v/>
      </c>
      <c r="G1156" s="1205">
        <f>'House Count'!F1156</f>
        <v/>
      </c>
      <c r="H1156" s="1205">
        <f>'House Count'!H1156</f>
        <v/>
      </c>
    </row>
    <row r="1157">
      <c r="A1157" s="1204">
        <f>'House Count'!A1157</f>
        <v/>
      </c>
      <c r="B1157" s="1205">
        <f>'House Count'!E1157</f>
        <v/>
      </c>
      <c r="C1157" s="1205">
        <f>'House Count'!B1157</f>
        <v/>
      </c>
      <c r="D1157" s="1205">
        <f>'House Count'!C1157</f>
        <v/>
      </c>
      <c r="E1157" s="1205">
        <f>'House Count'!D1157</f>
        <v/>
      </c>
      <c r="F1157" s="1205">
        <f>IF(G1157="RES-SFU","RESIDENTIAL",IF(G1157="RES-HOA","RESIDENTIAL",IF(G1157="RES-MDU","RESIDENTIAL",IF(G1157="COMM-SU","BUSINESS",IF(G1157="COM-MTU","BUSINESS",IF(G1157="ENT","BUSINESS",""))))))</f>
        <v/>
      </c>
      <c r="G1157" s="1205">
        <f>'House Count'!F1157</f>
        <v/>
      </c>
      <c r="H1157" s="1205">
        <f>'House Count'!H1157</f>
        <v/>
      </c>
    </row>
    <row r="1158">
      <c r="A1158" s="1204">
        <f>'House Count'!A1158</f>
        <v/>
      </c>
      <c r="B1158" s="1205">
        <f>'House Count'!E1158</f>
        <v/>
      </c>
      <c r="C1158" s="1205">
        <f>'House Count'!B1158</f>
        <v/>
      </c>
      <c r="D1158" s="1205">
        <f>'House Count'!C1158</f>
        <v/>
      </c>
      <c r="E1158" s="1205">
        <f>'House Count'!D1158</f>
        <v/>
      </c>
      <c r="F1158" s="1205">
        <f>IF(G1158="RES-SFU","RESIDENTIAL",IF(G1158="RES-HOA","RESIDENTIAL",IF(G1158="RES-MDU","RESIDENTIAL",IF(G1158="COMM-SU","BUSINESS",IF(G1158="COM-MTU","BUSINESS",IF(G1158="ENT","BUSINESS",""))))))</f>
        <v/>
      </c>
      <c r="G1158" s="1205">
        <f>'House Count'!F1158</f>
        <v/>
      </c>
      <c r="H1158" s="1205">
        <f>'House Count'!H1158</f>
        <v/>
      </c>
    </row>
    <row r="1159">
      <c r="A1159" s="1204">
        <f>'House Count'!A1159</f>
        <v/>
      </c>
      <c r="B1159" s="1205">
        <f>'House Count'!E1159</f>
        <v/>
      </c>
      <c r="C1159" s="1205">
        <f>'House Count'!B1159</f>
        <v/>
      </c>
      <c r="D1159" s="1205">
        <f>'House Count'!C1159</f>
        <v/>
      </c>
      <c r="E1159" s="1205">
        <f>'House Count'!D1159</f>
        <v/>
      </c>
      <c r="F1159" s="1205">
        <f>IF(G1159="RES-SFU","RESIDENTIAL",IF(G1159="RES-HOA","RESIDENTIAL",IF(G1159="RES-MDU","RESIDENTIAL",IF(G1159="COMM-SU","BUSINESS",IF(G1159="COM-MTU","BUSINESS",IF(G1159="ENT","BUSINESS",""))))))</f>
        <v/>
      </c>
      <c r="G1159" s="1205">
        <f>'House Count'!F1159</f>
        <v/>
      </c>
      <c r="H1159" s="1205">
        <f>'House Count'!H1159</f>
        <v/>
      </c>
    </row>
    <row r="1160">
      <c r="A1160" s="1204">
        <f>'House Count'!A1160</f>
        <v/>
      </c>
      <c r="B1160" s="1205">
        <f>'House Count'!E1160</f>
        <v/>
      </c>
      <c r="C1160" s="1205">
        <f>'House Count'!B1160</f>
        <v/>
      </c>
      <c r="D1160" s="1205">
        <f>'House Count'!C1160</f>
        <v/>
      </c>
      <c r="E1160" s="1205">
        <f>'House Count'!D1160</f>
        <v/>
      </c>
      <c r="F1160" s="1205">
        <f>IF(G1160="RES-SFU","RESIDENTIAL",IF(G1160="RES-HOA","RESIDENTIAL",IF(G1160="RES-MDU","RESIDENTIAL",IF(G1160="COMM-SU","BUSINESS",IF(G1160="COM-MTU","BUSINESS",IF(G1160="ENT","BUSINESS",""))))))</f>
        <v/>
      </c>
      <c r="G1160" s="1205">
        <f>'House Count'!F1160</f>
        <v/>
      </c>
      <c r="H1160" s="1205">
        <f>'House Count'!H1160</f>
        <v/>
      </c>
    </row>
    <row r="1161">
      <c r="A1161" s="1204">
        <f>'House Count'!A1161</f>
        <v/>
      </c>
      <c r="B1161" s="1205">
        <f>'House Count'!E1161</f>
        <v/>
      </c>
      <c r="C1161" s="1205">
        <f>'House Count'!B1161</f>
        <v/>
      </c>
      <c r="D1161" s="1205">
        <f>'House Count'!C1161</f>
        <v/>
      </c>
      <c r="E1161" s="1205">
        <f>'House Count'!D1161</f>
        <v/>
      </c>
      <c r="F1161" s="1205">
        <f>IF(G1161="RES-SFU","RESIDENTIAL",IF(G1161="RES-HOA","RESIDENTIAL",IF(G1161="RES-MDU","RESIDENTIAL",IF(G1161="COMM-SU","BUSINESS",IF(G1161="COM-MTU","BUSINESS",IF(G1161="ENT","BUSINESS",""))))))</f>
        <v/>
      </c>
      <c r="G1161" s="1205">
        <f>'House Count'!F1161</f>
        <v/>
      </c>
      <c r="H1161" s="1205">
        <f>'House Count'!H1161</f>
        <v/>
      </c>
    </row>
    <row r="1162">
      <c r="A1162" s="1204">
        <f>'House Count'!A1162</f>
        <v/>
      </c>
      <c r="B1162" s="1205">
        <f>'House Count'!E1162</f>
        <v/>
      </c>
      <c r="C1162" s="1205">
        <f>'House Count'!B1162</f>
        <v/>
      </c>
      <c r="D1162" s="1205">
        <f>'House Count'!C1162</f>
        <v/>
      </c>
      <c r="E1162" s="1205">
        <f>'House Count'!D1162</f>
        <v/>
      </c>
      <c r="F1162" s="1205">
        <f>IF(G1162="RES-SFU","RESIDENTIAL",IF(G1162="RES-HOA","RESIDENTIAL",IF(G1162="RES-MDU","RESIDENTIAL",IF(G1162="COMM-SU","BUSINESS",IF(G1162="COM-MTU","BUSINESS",IF(G1162="ENT","BUSINESS",""))))))</f>
        <v/>
      </c>
      <c r="G1162" s="1205">
        <f>'House Count'!F1162</f>
        <v/>
      </c>
      <c r="H1162" s="1205">
        <f>'House Count'!H1162</f>
        <v/>
      </c>
    </row>
    <row r="1163">
      <c r="A1163" s="1204">
        <f>'House Count'!A1163</f>
        <v/>
      </c>
      <c r="B1163" s="1205">
        <f>'House Count'!E1163</f>
        <v/>
      </c>
      <c r="C1163" s="1205">
        <f>'House Count'!B1163</f>
        <v/>
      </c>
      <c r="D1163" s="1205">
        <f>'House Count'!C1163</f>
        <v/>
      </c>
      <c r="E1163" s="1205">
        <f>'House Count'!D1163</f>
        <v/>
      </c>
      <c r="F1163" s="1205">
        <f>IF(G1163="RES-SFU","RESIDENTIAL",IF(G1163="RES-HOA","RESIDENTIAL",IF(G1163="RES-MDU","RESIDENTIAL",IF(G1163="COMM-SU","BUSINESS",IF(G1163="COM-MTU","BUSINESS",IF(G1163="ENT","BUSINESS",""))))))</f>
        <v/>
      </c>
      <c r="G1163" s="1205">
        <f>'House Count'!F1163</f>
        <v/>
      </c>
      <c r="H1163" s="1205">
        <f>'House Count'!H1163</f>
        <v/>
      </c>
    </row>
    <row r="1164">
      <c r="A1164" s="1204">
        <f>'House Count'!A1164</f>
        <v/>
      </c>
      <c r="B1164" s="1205">
        <f>'House Count'!E1164</f>
        <v/>
      </c>
      <c r="C1164" s="1205">
        <f>'House Count'!B1164</f>
        <v/>
      </c>
      <c r="D1164" s="1205">
        <f>'House Count'!C1164</f>
        <v/>
      </c>
      <c r="E1164" s="1205">
        <f>'House Count'!D1164</f>
        <v/>
      </c>
      <c r="F1164" s="1205">
        <f>IF(G1164="RES-SFU","RESIDENTIAL",IF(G1164="RES-HOA","RESIDENTIAL",IF(G1164="RES-MDU","RESIDENTIAL",IF(G1164="COMM-SU","BUSINESS",IF(G1164="COM-MTU","BUSINESS",IF(G1164="ENT","BUSINESS",""))))))</f>
        <v/>
      </c>
      <c r="G1164" s="1205">
        <f>'House Count'!F1164</f>
        <v/>
      </c>
      <c r="H1164" s="1205">
        <f>'House Count'!H1164</f>
        <v/>
      </c>
    </row>
    <row r="1165">
      <c r="A1165" s="1204">
        <f>'House Count'!A1165</f>
        <v/>
      </c>
      <c r="B1165" s="1205">
        <f>'House Count'!E1165</f>
        <v/>
      </c>
      <c r="C1165" s="1205">
        <f>'House Count'!B1165</f>
        <v/>
      </c>
      <c r="D1165" s="1205">
        <f>'House Count'!C1165</f>
        <v/>
      </c>
      <c r="E1165" s="1205">
        <f>'House Count'!D1165</f>
        <v/>
      </c>
      <c r="F1165" s="1205">
        <f>IF(G1165="RES-SFU","RESIDENTIAL",IF(G1165="RES-HOA","RESIDENTIAL",IF(G1165="RES-MDU","RESIDENTIAL",IF(G1165="COMM-SU","BUSINESS",IF(G1165="COM-MTU","BUSINESS",IF(G1165="ENT","BUSINESS",""))))))</f>
        <v/>
      </c>
      <c r="G1165" s="1205">
        <f>'House Count'!F1165</f>
        <v/>
      </c>
      <c r="H1165" s="1205">
        <f>'House Count'!H1165</f>
        <v/>
      </c>
    </row>
    <row r="1166">
      <c r="A1166" s="1204">
        <f>'House Count'!A1166</f>
        <v/>
      </c>
      <c r="B1166" s="1205">
        <f>'House Count'!E1166</f>
        <v/>
      </c>
      <c r="C1166" s="1205">
        <f>'House Count'!B1166</f>
        <v/>
      </c>
      <c r="D1166" s="1205">
        <f>'House Count'!C1166</f>
        <v/>
      </c>
      <c r="E1166" s="1205">
        <f>'House Count'!D1166</f>
        <v/>
      </c>
      <c r="F1166" s="1205">
        <f>IF(G1166="RES-SFU","RESIDENTIAL",IF(G1166="RES-HOA","RESIDENTIAL",IF(G1166="RES-MDU","RESIDENTIAL",IF(G1166="COMM-SU","BUSINESS",IF(G1166="COM-MTU","BUSINESS",IF(G1166="ENT","BUSINESS",""))))))</f>
        <v/>
      </c>
      <c r="G1166" s="1205">
        <f>'House Count'!F1166</f>
        <v/>
      </c>
      <c r="H1166" s="1205">
        <f>'House Count'!H1166</f>
        <v/>
      </c>
    </row>
    <row r="1167">
      <c r="A1167" s="1204">
        <f>'House Count'!A1167</f>
        <v/>
      </c>
      <c r="B1167" s="1205">
        <f>'House Count'!E1167</f>
        <v/>
      </c>
      <c r="C1167" s="1205">
        <f>'House Count'!B1167</f>
        <v/>
      </c>
      <c r="D1167" s="1205">
        <f>'House Count'!C1167</f>
        <v/>
      </c>
      <c r="E1167" s="1205">
        <f>'House Count'!D1167</f>
        <v/>
      </c>
      <c r="F1167" s="1205">
        <f>IF(G1167="RES-SFU","RESIDENTIAL",IF(G1167="RES-HOA","RESIDENTIAL",IF(G1167="RES-MDU","RESIDENTIAL",IF(G1167="COMM-SU","BUSINESS",IF(G1167="COM-MTU","BUSINESS",IF(G1167="ENT","BUSINESS",""))))))</f>
        <v/>
      </c>
      <c r="G1167" s="1205">
        <f>'House Count'!F1167</f>
        <v/>
      </c>
      <c r="H1167" s="1205">
        <f>'House Count'!H1167</f>
        <v/>
      </c>
    </row>
    <row r="1168">
      <c r="A1168" s="1204">
        <f>'House Count'!A1168</f>
        <v/>
      </c>
      <c r="B1168" s="1205">
        <f>'House Count'!E1168</f>
        <v/>
      </c>
      <c r="C1168" s="1205">
        <f>'House Count'!B1168</f>
        <v/>
      </c>
      <c r="D1168" s="1205">
        <f>'House Count'!C1168</f>
        <v/>
      </c>
      <c r="E1168" s="1205">
        <f>'House Count'!D1168</f>
        <v/>
      </c>
      <c r="F1168" s="1205">
        <f>IF(G1168="RES-SFU","RESIDENTIAL",IF(G1168="RES-HOA","RESIDENTIAL",IF(G1168="RES-MDU","RESIDENTIAL",IF(G1168="COMM-SU","BUSINESS",IF(G1168="COM-MTU","BUSINESS",IF(G1168="ENT","BUSINESS",""))))))</f>
        <v/>
      </c>
      <c r="G1168" s="1205">
        <f>'House Count'!F1168</f>
        <v/>
      </c>
      <c r="H1168" s="1205">
        <f>'House Count'!H1168</f>
        <v/>
      </c>
    </row>
    <row r="1169">
      <c r="A1169" s="1204">
        <f>'House Count'!A1169</f>
        <v/>
      </c>
      <c r="B1169" s="1205">
        <f>'House Count'!E1169</f>
        <v/>
      </c>
      <c r="C1169" s="1205">
        <f>'House Count'!B1169</f>
        <v/>
      </c>
      <c r="D1169" s="1205">
        <f>'House Count'!C1169</f>
        <v/>
      </c>
      <c r="E1169" s="1205">
        <f>'House Count'!D1169</f>
        <v/>
      </c>
      <c r="F1169" s="1205">
        <f>IF(G1169="RES-SFU","RESIDENTIAL",IF(G1169="RES-HOA","RESIDENTIAL",IF(G1169="RES-MDU","RESIDENTIAL",IF(G1169="COMM-SU","BUSINESS",IF(G1169="COM-MTU","BUSINESS",IF(G1169="ENT","BUSINESS",""))))))</f>
        <v/>
      </c>
      <c r="G1169" s="1205">
        <f>'House Count'!F1169</f>
        <v/>
      </c>
      <c r="H1169" s="1205">
        <f>'House Count'!H1169</f>
        <v/>
      </c>
    </row>
    <row r="1170">
      <c r="A1170" s="1204">
        <f>'House Count'!A1170</f>
        <v/>
      </c>
      <c r="B1170" s="1205">
        <f>'House Count'!E1170</f>
        <v/>
      </c>
      <c r="C1170" s="1205">
        <f>'House Count'!B1170</f>
        <v/>
      </c>
      <c r="D1170" s="1205">
        <f>'House Count'!C1170</f>
        <v/>
      </c>
      <c r="E1170" s="1205">
        <f>'House Count'!D1170</f>
        <v/>
      </c>
      <c r="F1170" s="1205">
        <f>IF(G1170="RES-SFU","RESIDENTIAL",IF(G1170="RES-HOA","RESIDENTIAL",IF(G1170="RES-MDU","RESIDENTIAL",IF(G1170="COMM-SU","BUSINESS",IF(G1170="COM-MTU","BUSINESS",IF(G1170="ENT","BUSINESS",""))))))</f>
        <v/>
      </c>
      <c r="G1170" s="1205">
        <f>'House Count'!F1170</f>
        <v/>
      </c>
      <c r="H1170" s="1205">
        <f>'House Count'!H1170</f>
        <v/>
      </c>
    </row>
    <row r="1171">
      <c r="A1171" s="1204">
        <f>'House Count'!A1171</f>
        <v/>
      </c>
      <c r="B1171" s="1205">
        <f>'House Count'!E1171</f>
        <v/>
      </c>
      <c r="C1171" s="1205">
        <f>'House Count'!B1171</f>
        <v/>
      </c>
      <c r="D1171" s="1205">
        <f>'House Count'!C1171</f>
        <v/>
      </c>
      <c r="E1171" s="1205">
        <f>'House Count'!D1171</f>
        <v/>
      </c>
      <c r="F1171" s="1205">
        <f>IF(G1171="RES-SFU","RESIDENTIAL",IF(G1171="RES-HOA","RESIDENTIAL",IF(G1171="RES-MDU","RESIDENTIAL",IF(G1171="COMM-SU","BUSINESS",IF(G1171="COM-MTU","BUSINESS",IF(G1171="ENT","BUSINESS",""))))))</f>
        <v/>
      </c>
      <c r="G1171" s="1205">
        <f>'House Count'!F1171</f>
        <v/>
      </c>
      <c r="H1171" s="1205">
        <f>'House Count'!H1171</f>
        <v/>
      </c>
    </row>
    <row r="1172">
      <c r="A1172" s="1204">
        <f>'House Count'!A1172</f>
        <v/>
      </c>
      <c r="B1172" s="1205">
        <f>'House Count'!E1172</f>
        <v/>
      </c>
      <c r="C1172" s="1205">
        <f>'House Count'!B1172</f>
        <v/>
      </c>
      <c r="D1172" s="1205">
        <f>'House Count'!C1172</f>
        <v/>
      </c>
      <c r="E1172" s="1205">
        <f>'House Count'!D1172</f>
        <v/>
      </c>
      <c r="F1172" s="1205">
        <f>IF(G1172="RES-SFU","RESIDENTIAL",IF(G1172="RES-HOA","RESIDENTIAL",IF(G1172="RES-MDU","RESIDENTIAL",IF(G1172="COMM-SU","BUSINESS",IF(G1172="COM-MTU","BUSINESS",IF(G1172="ENT","BUSINESS",""))))))</f>
        <v/>
      </c>
      <c r="G1172" s="1205">
        <f>'House Count'!F1172</f>
        <v/>
      </c>
      <c r="H1172" s="1205">
        <f>'House Count'!H1172</f>
        <v/>
      </c>
    </row>
    <row r="1173">
      <c r="A1173" s="1204">
        <f>'House Count'!A1173</f>
        <v/>
      </c>
      <c r="B1173" s="1205">
        <f>'House Count'!E1173</f>
        <v/>
      </c>
      <c r="C1173" s="1205">
        <f>'House Count'!B1173</f>
        <v/>
      </c>
      <c r="D1173" s="1205">
        <f>'House Count'!C1173</f>
        <v/>
      </c>
      <c r="E1173" s="1205">
        <f>'House Count'!D1173</f>
        <v/>
      </c>
      <c r="F1173" s="1205">
        <f>IF(G1173="RES-SFU","RESIDENTIAL",IF(G1173="RES-HOA","RESIDENTIAL",IF(G1173="RES-MDU","RESIDENTIAL",IF(G1173="COMM-SU","BUSINESS",IF(G1173="COM-MTU","BUSINESS",IF(G1173="ENT","BUSINESS",""))))))</f>
        <v/>
      </c>
      <c r="G1173" s="1205">
        <f>'House Count'!F1173</f>
        <v/>
      </c>
      <c r="H1173" s="1205">
        <f>'House Count'!H1173</f>
        <v/>
      </c>
    </row>
    <row r="1174">
      <c r="A1174" s="1204">
        <f>'House Count'!A1174</f>
        <v/>
      </c>
      <c r="B1174" s="1205">
        <f>'House Count'!E1174</f>
        <v/>
      </c>
      <c r="C1174" s="1205">
        <f>'House Count'!B1174</f>
        <v/>
      </c>
      <c r="D1174" s="1205">
        <f>'House Count'!C1174</f>
        <v/>
      </c>
      <c r="E1174" s="1205">
        <f>'House Count'!D1174</f>
        <v/>
      </c>
      <c r="F1174" s="1205">
        <f>IF(G1174="RES-SFU","RESIDENTIAL",IF(G1174="RES-HOA","RESIDENTIAL",IF(G1174="RES-MDU","RESIDENTIAL",IF(G1174="COMM-SU","BUSINESS",IF(G1174="COM-MTU","BUSINESS",IF(G1174="ENT","BUSINESS",""))))))</f>
        <v/>
      </c>
      <c r="G1174" s="1205">
        <f>'House Count'!F1174</f>
        <v/>
      </c>
      <c r="H1174" s="1205">
        <f>'House Count'!H1174</f>
        <v/>
      </c>
    </row>
    <row r="1175">
      <c r="A1175" s="1204">
        <f>'House Count'!A1175</f>
        <v/>
      </c>
      <c r="B1175" s="1205">
        <f>'House Count'!E1175</f>
        <v/>
      </c>
      <c r="C1175" s="1205">
        <f>'House Count'!B1175</f>
        <v/>
      </c>
      <c r="D1175" s="1205">
        <f>'House Count'!C1175</f>
        <v/>
      </c>
      <c r="E1175" s="1205">
        <f>'House Count'!D1175</f>
        <v/>
      </c>
      <c r="F1175" s="1205">
        <f>IF(G1175="RES-SFU","RESIDENTIAL",IF(G1175="RES-HOA","RESIDENTIAL",IF(G1175="RES-MDU","RESIDENTIAL",IF(G1175="COMM-SU","BUSINESS",IF(G1175="COM-MTU","BUSINESS",IF(G1175="ENT","BUSINESS",""))))))</f>
        <v/>
      </c>
      <c r="G1175" s="1205">
        <f>'House Count'!F1175</f>
        <v/>
      </c>
      <c r="H1175" s="1205">
        <f>'House Count'!H1175</f>
        <v/>
      </c>
    </row>
    <row r="1176">
      <c r="A1176" s="1204">
        <f>'House Count'!A1176</f>
        <v/>
      </c>
      <c r="B1176" s="1205">
        <f>'House Count'!E1176</f>
        <v/>
      </c>
      <c r="C1176" s="1205">
        <f>'House Count'!B1176</f>
        <v/>
      </c>
      <c r="D1176" s="1205">
        <f>'House Count'!C1176</f>
        <v/>
      </c>
      <c r="E1176" s="1205">
        <f>'House Count'!D1176</f>
        <v/>
      </c>
      <c r="F1176" s="1205">
        <f>IF(G1176="RES-SFU","RESIDENTIAL",IF(G1176="RES-HOA","RESIDENTIAL",IF(G1176="RES-MDU","RESIDENTIAL",IF(G1176="COMM-SU","BUSINESS",IF(G1176="COM-MTU","BUSINESS",IF(G1176="ENT","BUSINESS",""))))))</f>
        <v/>
      </c>
      <c r="G1176" s="1205">
        <f>'House Count'!F1176</f>
        <v/>
      </c>
      <c r="H1176" s="1205">
        <f>'House Count'!H1176</f>
        <v/>
      </c>
    </row>
    <row r="1177">
      <c r="A1177" s="1204">
        <f>'House Count'!A1177</f>
        <v/>
      </c>
      <c r="B1177" s="1205">
        <f>'House Count'!E1177</f>
        <v/>
      </c>
      <c r="C1177" s="1205">
        <f>'House Count'!B1177</f>
        <v/>
      </c>
      <c r="D1177" s="1205">
        <f>'House Count'!C1177</f>
        <v/>
      </c>
      <c r="E1177" s="1205">
        <f>'House Count'!D1177</f>
        <v/>
      </c>
      <c r="F1177" s="1205">
        <f>IF(G1177="RES-SFU","RESIDENTIAL",IF(G1177="RES-HOA","RESIDENTIAL",IF(G1177="RES-MDU","RESIDENTIAL",IF(G1177="COMM-SU","BUSINESS",IF(G1177="COM-MTU","BUSINESS",IF(G1177="ENT","BUSINESS",""))))))</f>
        <v/>
      </c>
      <c r="G1177" s="1205">
        <f>'House Count'!F1177</f>
        <v/>
      </c>
      <c r="H1177" s="1205">
        <f>'House Count'!H1177</f>
        <v/>
      </c>
    </row>
    <row r="1178">
      <c r="A1178" s="1204">
        <f>'House Count'!A1178</f>
        <v/>
      </c>
      <c r="B1178" s="1205">
        <f>'House Count'!E1178</f>
        <v/>
      </c>
      <c r="C1178" s="1205">
        <f>'House Count'!B1178</f>
        <v/>
      </c>
      <c r="D1178" s="1205">
        <f>'House Count'!C1178</f>
        <v/>
      </c>
      <c r="E1178" s="1205">
        <f>'House Count'!D1178</f>
        <v/>
      </c>
      <c r="F1178" s="1205">
        <f>IF(G1178="RES-SFU","RESIDENTIAL",IF(G1178="RES-HOA","RESIDENTIAL",IF(G1178="RES-MDU","RESIDENTIAL",IF(G1178="COMM-SU","BUSINESS",IF(G1178="COM-MTU","BUSINESS",IF(G1178="ENT","BUSINESS",""))))))</f>
        <v/>
      </c>
      <c r="G1178" s="1205">
        <f>'House Count'!F1178</f>
        <v/>
      </c>
      <c r="H1178" s="1205">
        <f>'House Count'!H1178</f>
        <v/>
      </c>
    </row>
    <row r="1179">
      <c r="A1179" s="1204">
        <f>'House Count'!A1179</f>
        <v/>
      </c>
      <c r="B1179" s="1205">
        <f>'House Count'!E1179</f>
        <v/>
      </c>
      <c r="C1179" s="1205">
        <f>'House Count'!B1179</f>
        <v/>
      </c>
      <c r="D1179" s="1205">
        <f>'House Count'!C1179</f>
        <v/>
      </c>
      <c r="E1179" s="1205">
        <f>'House Count'!D1179</f>
        <v/>
      </c>
      <c r="F1179" s="1205">
        <f>IF(G1179="RES-SFU","RESIDENTIAL",IF(G1179="RES-HOA","RESIDENTIAL",IF(G1179="RES-MDU","RESIDENTIAL",IF(G1179="COMM-SU","BUSINESS",IF(G1179="COM-MTU","BUSINESS",IF(G1179="ENT","BUSINESS",""))))))</f>
        <v/>
      </c>
      <c r="G1179" s="1205">
        <f>'House Count'!F1179</f>
        <v/>
      </c>
      <c r="H1179" s="1205">
        <f>'House Count'!H1179</f>
        <v/>
      </c>
    </row>
    <row r="1180">
      <c r="A1180" s="1204">
        <f>'House Count'!A1180</f>
        <v/>
      </c>
      <c r="B1180" s="1205">
        <f>'House Count'!E1180</f>
        <v/>
      </c>
      <c r="C1180" s="1205">
        <f>'House Count'!B1180</f>
        <v/>
      </c>
      <c r="D1180" s="1205">
        <f>'House Count'!C1180</f>
        <v/>
      </c>
      <c r="E1180" s="1205">
        <f>'House Count'!D1180</f>
        <v/>
      </c>
      <c r="F1180" s="1205">
        <f>IF(G1180="RES-SFU","RESIDENTIAL",IF(G1180="RES-HOA","RESIDENTIAL",IF(G1180="RES-MDU","RESIDENTIAL",IF(G1180="COMM-SU","BUSINESS",IF(G1180="COM-MTU","BUSINESS",IF(G1180="ENT","BUSINESS",""))))))</f>
        <v/>
      </c>
      <c r="G1180" s="1205">
        <f>'House Count'!F1180</f>
        <v/>
      </c>
      <c r="H1180" s="1205">
        <f>'House Count'!H1180</f>
        <v/>
      </c>
    </row>
    <row r="1181">
      <c r="A1181" s="1204">
        <f>'House Count'!A1181</f>
        <v/>
      </c>
      <c r="B1181" s="1205">
        <f>'House Count'!E1181</f>
        <v/>
      </c>
      <c r="C1181" s="1205">
        <f>'House Count'!B1181</f>
        <v/>
      </c>
      <c r="D1181" s="1205">
        <f>'House Count'!C1181</f>
        <v/>
      </c>
      <c r="E1181" s="1205">
        <f>'House Count'!D1181</f>
        <v/>
      </c>
      <c r="F1181" s="1205">
        <f>IF(G1181="RES-SFU","RESIDENTIAL",IF(G1181="RES-HOA","RESIDENTIAL",IF(G1181="RES-MDU","RESIDENTIAL",IF(G1181="COMM-SU","BUSINESS",IF(G1181="COM-MTU","BUSINESS",IF(G1181="ENT","BUSINESS",""))))))</f>
        <v/>
      </c>
      <c r="G1181" s="1205">
        <f>'House Count'!F1181</f>
        <v/>
      </c>
      <c r="H1181" s="1205">
        <f>'House Count'!H1181</f>
        <v/>
      </c>
    </row>
    <row r="1182">
      <c r="A1182" s="1204">
        <f>'House Count'!A1182</f>
        <v/>
      </c>
      <c r="B1182" s="1205">
        <f>'House Count'!E1182</f>
        <v/>
      </c>
      <c r="C1182" s="1205">
        <f>'House Count'!B1182</f>
        <v/>
      </c>
      <c r="D1182" s="1205">
        <f>'House Count'!C1182</f>
        <v/>
      </c>
      <c r="E1182" s="1205">
        <f>'House Count'!D1182</f>
        <v/>
      </c>
      <c r="F1182" s="1205">
        <f>IF(G1182="RES-SFU","RESIDENTIAL",IF(G1182="RES-HOA","RESIDENTIAL",IF(G1182="RES-MDU","RESIDENTIAL",IF(G1182="COMM-SU","BUSINESS",IF(G1182="COM-MTU","BUSINESS",IF(G1182="ENT","BUSINESS",""))))))</f>
        <v/>
      </c>
      <c r="G1182" s="1205">
        <f>'House Count'!F1182</f>
        <v/>
      </c>
      <c r="H1182" s="1205">
        <f>'House Count'!H1182</f>
        <v/>
      </c>
    </row>
    <row r="1183">
      <c r="A1183" s="1204">
        <f>'House Count'!A1183</f>
        <v/>
      </c>
      <c r="B1183" s="1205">
        <f>'House Count'!E1183</f>
        <v/>
      </c>
      <c r="C1183" s="1205">
        <f>'House Count'!B1183</f>
        <v/>
      </c>
      <c r="D1183" s="1205">
        <f>'House Count'!C1183</f>
        <v/>
      </c>
      <c r="E1183" s="1205">
        <f>'House Count'!D1183</f>
        <v/>
      </c>
      <c r="F1183" s="1205">
        <f>IF(G1183="RES-SFU","RESIDENTIAL",IF(G1183="RES-HOA","RESIDENTIAL",IF(G1183="RES-MDU","RESIDENTIAL",IF(G1183="COMM-SU","BUSINESS",IF(G1183="COM-MTU","BUSINESS",IF(G1183="ENT","BUSINESS",""))))))</f>
        <v/>
      </c>
      <c r="G1183" s="1205">
        <f>'House Count'!F1183</f>
        <v/>
      </c>
      <c r="H1183" s="1205">
        <f>'House Count'!H1183</f>
        <v/>
      </c>
    </row>
    <row r="1184">
      <c r="A1184" s="1204">
        <f>'House Count'!A1184</f>
        <v/>
      </c>
      <c r="B1184" s="1205">
        <f>'House Count'!E1184</f>
        <v/>
      </c>
      <c r="C1184" s="1205">
        <f>'House Count'!B1184</f>
        <v/>
      </c>
      <c r="D1184" s="1205">
        <f>'House Count'!C1184</f>
        <v/>
      </c>
      <c r="E1184" s="1205">
        <f>'House Count'!D1184</f>
        <v/>
      </c>
      <c r="F1184" s="1205">
        <f>IF(G1184="RES-SFU","RESIDENTIAL",IF(G1184="RES-HOA","RESIDENTIAL",IF(G1184="RES-MDU","RESIDENTIAL",IF(G1184="COMM-SU","BUSINESS",IF(G1184="COM-MTU","BUSINESS",IF(G1184="ENT","BUSINESS",""))))))</f>
        <v/>
      </c>
      <c r="G1184" s="1205">
        <f>'House Count'!F1184</f>
        <v/>
      </c>
      <c r="H1184" s="1205">
        <f>'House Count'!H1184</f>
        <v/>
      </c>
    </row>
    <row r="1185">
      <c r="A1185" s="1204">
        <f>'House Count'!A1185</f>
        <v/>
      </c>
      <c r="B1185" s="1205">
        <f>'House Count'!E1185</f>
        <v/>
      </c>
      <c r="C1185" s="1205">
        <f>'House Count'!B1185</f>
        <v/>
      </c>
      <c r="D1185" s="1205">
        <f>'House Count'!C1185</f>
        <v/>
      </c>
      <c r="E1185" s="1205">
        <f>'House Count'!D1185</f>
        <v/>
      </c>
      <c r="F1185" s="1205">
        <f>IF(G1185="RES-SFU","RESIDENTIAL",IF(G1185="RES-HOA","RESIDENTIAL",IF(G1185="RES-MDU","RESIDENTIAL",IF(G1185="COMM-SU","BUSINESS",IF(G1185="COM-MTU","BUSINESS",IF(G1185="ENT","BUSINESS",""))))))</f>
        <v/>
      </c>
      <c r="G1185" s="1205">
        <f>'House Count'!F1185</f>
        <v/>
      </c>
      <c r="H1185" s="1205">
        <f>'House Count'!H1185</f>
        <v/>
      </c>
    </row>
    <row r="1186">
      <c r="A1186" s="1204">
        <f>'House Count'!A1186</f>
        <v/>
      </c>
      <c r="B1186" s="1205">
        <f>'House Count'!E1186</f>
        <v/>
      </c>
      <c r="C1186" s="1205">
        <f>'House Count'!B1186</f>
        <v/>
      </c>
      <c r="D1186" s="1205">
        <f>'House Count'!C1186</f>
        <v/>
      </c>
      <c r="E1186" s="1205">
        <f>'House Count'!D1186</f>
        <v/>
      </c>
      <c r="F1186" s="1205">
        <f>IF(G1186="RES-SFU","RESIDENTIAL",IF(G1186="RES-HOA","RESIDENTIAL",IF(G1186="RES-MDU","RESIDENTIAL",IF(G1186="COMM-SU","BUSINESS",IF(G1186="COM-MTU","BUSINESS",IF(G1186="ENT","BUSINESS",""))))))</f>
        <v/>
      </c>
      <c r="G1186" s="1205">
        <f>'House Count'!F1186</f>
        <v/>
      </c>
      <c r="H1186" s="1205">
        <f>'House Count'!H1186</f>
        <v/>
      </c>
    </row>
    <row r="1187">
      <c r="A1187" s="1204">
        <f>'House Count'!A1187</f>
        <v/>
      </c>
      <c r="B1187" s="1205">
        <f>'House Count'!E1187</f>
        <v/>
      </c>
      <c r="C1187" s="1205">
        <f>'House Count'!B1187</f>
        <v/>
      </c>
      <c r="D1187" s="1205">
        <f>'House Count'!C1187</f>
        <v/>
      </c>
      <c r="E1187" s="1205">
        <f>'House Count'!D1187</f>
        <v/>
      </c>
      <c r="F1187" s="1205">
        <f>IF(G1187="RES-SFU","RESIDENTIAL",IF(G1187="RES-HOA","RESIDENTIAL",IF(G1187="RES-MDU","RESIDENTIAL",IF(G1187="COMM-SU","BUSINESS",IF(G1187="COM-MTU","BUSINESS",IF(G1187="ENT","BUSINESS",""))))))</f>
        <v/>
      </c>
      <c r="G1187" s="1205">
        <f>'House Count'!F1187</f>
        <v/>
      </c>
      <c r="H1187" s="1205">
        <f>'House Count'!H1187</f>
        <v/>
      </c>
    </row>
    <row r="1188">
      <c r="A1188" s="1204">
        <f>'House Count'!A1188</f>
        <v/>
      </c>
      <c r="B1188" s="1205">
        <f>'House Count'!E1188</f>
        <v/>
      </c>
      <c r="C1188" s="1205">
        <f>'House Count'!B1188</f>
        <v/>
      </c>
      <c r="D1188" s="1205">
        <f>'House Count'!C1188</f>
        <v/>
      </c>
      <c r="E1188" s="1205">
        <f>'House Count'!D1188</f>
        <v/>
      </c>
      <c r="F1188" s="1205">
        <f>IF(G1188="RES-SFU","RESIDENTIAL",IF(G1188="RES-HOA","RESIDENTIAL",IF(G1188="RES-MDU","RESIDENTIAL",IF(G1188="COMM-SU","BUSINESS",IF(G1188="COM-MTU","BUSINESS",IF(G1188="ENT","BUSINESS",""))))))</f>
        <v/>
      </c>
      <c r="G1188" s="1205">
        <f>'House Count'!F1188</f>
        <v/>
      </c>
      <c r="H1188" s="1205">
        <f>'House Count'!H1188</f>
        <v/>
      </c>
    </row>
    <row r="1189">
      <c r="A1189" s="1204">
        <f>'House Count'!A1189</f>
        <v/>
      </c>
      <c r="B1189" s="1205">
        <f>'House Count'!E1189</f>
        <v/>
      </c>
      <c r="C1189" s="1205">
        <f>'House Count'!B1189</f>
        <v/>
      </c>
      <c r="D1189" s="1205">
        <f>'House Count'!C1189</f>
        <v/>
      </c>
      <c r="E1189" s="1205">
        <f>'House Count'!D1189</f>
        <v/>
      </c>
      <c r="F1189" s="1205">
        <f>IF(G1189="RES-SFU","RESIDENTIAL",IF(G1189="RES-HOA","RESIDENTIAL",IF(G1189="RES-MDU","RESIDENTIAL",IF(G1189="COMM-SU","BUSINESS",IF(G1189="COM-MTU","BUSINESS",IF(G1189="ENT","BUSINESS",""))))))</f>
        <v/>
      </c>
      <c r="G1189" s="1205">
        <f>'House Count'!F1189</f>
        <v/>
      </c>
      <c r="H1189" s="1205">
        <f>'House Count'!H1189</f>
        <v/>
      </c>
    </row>
    <row r="1190">
      <c r="A1190" s="1204">
        <f>'House Count'!A1190</f>
        <v/>
      </c>
      <c r="B1190" s="1205">
        <f>'House Count'!E1190</f>
        <v/>
      </c>
      <c r="C1190" s="1205">
        <f>'House Count'!B1190</f>
        <v/>
      </c>
      <c r="D1190" s="1205">
        <f>'House Count'!C1190</f>
        <v/>
      </c>
      <c r="E1190" s="1205">
        <f>'House Count'!D1190</f>
        <v/>
      </c>
      <c r="F1190" s="1205">
        <f>IF(G1190="RES-SFU","RESIDENTIAL",IF(G1190="RES-HOA","RESIDENTIAL",IF(G1190="RES-MDU","RESIDENTIAL",IF(G1190="COMM-SU","BUSINESS",IF(G1190="COM-MTU","BUSINESS",IF(G1190="ENT","BUSINESS",""))))))</f>
        <v/>
      </c>
      <c r="G1190" s="1205">
        <f>'House Count'!F1190</f>
        <v/>
      </c>
      <c r="H1190" s="1205">
        <f>'House Count'!H1190</f>
        <v/>
      </c>
    </row>
    <row r="1191">
      <c r="A1191" s="1204">
        <f>'House Count'!A1191</f>
        <v/>
      </c>
      <c r="B1191" s="1205">
        <f>'House Count'!E1191</f>
        <v/>
      </c>
      <c r="C1191" s="1205">
        <f>'House Count'!B1191</f>
        <v/>
      </c>
      <c r="D1191" s="1205">
        <f>'House Count'!C1191</f>
        <v/>
      </c>
      <c r="E1191" s="1205">
        <f>'House Count'!D1191</f>
        <v/>
      </c>
      <c r="F1191" s="1205">
        <f>IF(G1191="RES-SFU","RESIDENTIAL",IF(G1191="RES-HOA","RESIDENTIAL",IF(G1191="RES-MDU","RESIDENTIAL",IF(G1191="COMM-SU","BUSINESS",IF(G1191="COM-MTU","BUSINESS",IF(G1191="ENT","BUSINESS",""))))))</f>
        <v/>
      </c>
      <c r="G1191" s="1205">
        <f>'House Count'!F1191</f>
        <v/>
      </c>
      <c r="H1191" s="1205">
        <f>'House Count'!H1191</f>
        <v/>
      </c>
    </row>
    <row r="1192">
      <c r="A1192" s="1204">
        <f>'House Count'!A1192</f>
        <v/>
      </c>
      <c r="B1192" s="1205">
        <f>'House Count'!E1192</f>
        <v/>
      </c>
      <c r="C1192" s="1205">
        <f>'House Count'!B1192</f>
        <v/>
      </c>
      <c r="D1192" s="1205">
        <f>'House Count'!C1192</f>
        <v/>
      </c>
      <c r="E1192" s="1205">
        <f>'House Count'!D1192</f>
        <v/>
      </c>
      <c r="F1192" s="1205">
        <f>IF(G1192="RES-SFU","RESIDENTIAL",IF(G1192="RES-HOA","RESIDENTIAL",IF(G1192="RES-MDU","RESIDENTIAL",IF(G1192="COMM-SU","BUSINESS",IF(G1192="COM-MTU","BUSINESS",IF(G1192="ENT","BUSINESS",""))))))</f>
        <v/>
      </c>
      <c r="G1192" s="1205">
        <f>'House Count'!F1192</f>
        <v/>
      </c>
      <c r="H1192" s="1205">
        <f>'House Count'!H1192</f>
        <v/>
      </c>
    </row>
    <row r="1193">
      <c r="A1193" s="1204">
        <f>'House Count'!A1193</f>
        <v/>
      </c>
      <c r="B1193" s="1205">
        <f>'House Count'!E1193</f>
        <v/>
      </c>
      <c r="C1193" s="1205">
        <f>'House Count'!B1193</f>
        <v/>
      </c>
      <c r="D1193" s="1205">
        <f>'House Count'!C1193</f>
        <v/>
      </c>
      <c r="E1193" s="1205">
        <f>'House Count'!D1193</f>
        <v/>
      </c>
      <c r="F1193" s="1205">
        <f>IF(G1193="RES-SFU","RESIDENTIAL",IF(G1193="RES-HOA","RESIDENTIAL",IF(G1193="RES-MDU","RESIDENTIAL",IF(G1193="COMM-SU","BUSINESS",IF(G1193="COM-MTU","BUSINESS",IF(G1193="ENT","BUSINESS",""))))))</f>
        <v/>
      </c>
      <c r="G1193" s="1205">
        <f>'House Count'!F1193</f>
        <v/>
      </c>
      <c r="H1193" s="1205">
        <f>'House Count'!H1193</f>
        <v/>
      </c>
    </row>
    <row r="1194">
      <c r="A1194" s="1204">
        <f>'House Count'!A1194</f>
        <v/>
      </c>
      <c r="B1194" s="1205">
        <f>'House Count'!E1194</f>
        <v/>
      </c>
      <c r="C1194" s="1205">
        <f>'House Count'!B1194</f>
        <v/>
      </c>
      <c r="D1194" s="1205">
        <f>'House Count'!C1194</f>
        <v/>
      </c>
      <c r="E1194" s="1205">
        <f>'House Count'!D1194</f>
        <v/>
      </c>
      <c r="F1194" s="1205">
        <f>IF(G1194="RES-SFU","RESIDENTIAL",IF(G1194="RES-HOA","RESIDENTIAL",IF(G1194="RES-MDU","RESIDENTIAL",IF(G1194="COMM-SU","BUSINESS",IF(G1194="COM-MTU","BUSINESS",IF(G1194="ENT","BUSINESS",""))))))</f>
        <v/>
      </c>
      <c r="G1194" s="1205">
        <f>'House Count'!F1194</f>
        <v/>
      </c>
      <c r="H1194" s="1205">
        <f>'House Count'!H1194</f>
        <v/>
      </c>
    </row>
    <row r="1195">
      <c r="A1195" s="1204">
        <f>'House Count'!A1195</f>
        <v/>
      </c>
      <c r="B1195" s="1205">
        <f>'House Count'!E1195</f>
        <v/>
      </c>
      <c r="C1195" s="1205">
        <f>'House Count'!B1195</f>
        <v/>
      </c>
      <c r="D1195" s="1205">
        <f>'House Count'!C1195</f>
        <v/>
      </c>
      <c r="E1195" s="1205">
        <f>'House Count'!D1195</f>
        <v/>
      </c>
      <c r="F1195" s="1205">
        <f>IF(G1195="RES-SFU","RESIDENTIAL",IF(G1195="RES-HOA","RESIDENTIAL",IF(G1195="RES-MDU","RESIDENTIAL",IF(G1195="COMM-SU","BUSINESS",IF(G1195="COM-MTU","BUSINESS",IF(G1195="ENT","BUSINESS",""))))))</f>
        <v/>
      </c>
      <c r="G1195" s="1205">
        <f>'House Count'!F1195</f>
        <v/>
      </c>
      <c r="H1195" s="1205">
        <f>'House Count'!H1195</f>
        <v/>
      </c>
    </row>
    <row r="1196">
      <c r="A1196" s="1204">
        <f>'House Count'!A1196</f>
        <v/>
      </c>
      <c r="B1196" s="1205">
        <f>'House Count'!E1196</f>
        <v/>
      </c>
      <c r="C1196" s="1205">
        <f>'House Count'!B1196</f>
        <v/>
      </c>
      <c r="D1196" s="1205">
        <f>'House Count'!C1196</f>
        <v/>
      </c>
      <c r="E1196" s="1205">
        <f>'House Count'!D1196</f>
        <v/>
      </c>
      <c r="F1196" s="1205">
        <f>IF(G1196="RES-SFU","RESIDENTIAL",IF(G1196="RES-HOA","RESIDENTIAL",IF(G1196="RES-MDU","RESIDENTIAL",IF(G1196="COMM-SU","BUSINESS",IF(G1196="COM-MTU","BUSINESS",IF(G1196="ENT","BUSINESS",""))))))</f>
        <v/>
      </c>
      <c r="G1196" s="1205">
        <f>'House Count'!F1196</f>
        <v/>
      </c>
      <c r="H1196" s="1205">
        <f>'House Count'!H1196</f>
        <v/>
      </c>
    </row>
    <row r="1197">
      <c r="A1197" s="1204">
        <f>'House Count'!A1197</f>
        <v/>
      </c>
      <c r="B1197" s="1205">
        <f>'House Count'!E1197</f>
        <v/>
      </c>
      <c r="C1197" s="1205">
        <f>'House Count'!B1197</f>
        <v/>
      </c>
      <c r="D1197" s="1205">
        <f>'House Count'!C1197</f>
        <v/>
      </c>
      <c r="E1197" s="1205">
        <f>'House Count'!D1197</f>
        <v/>
      </c>
      <c r="F1197" s="1205">
        <f>IF(G1197="RES-SFU","RESIDENTIAL",IF(G1197="RES-HOA","RESIDENTIAL",IF(G1197="RES-MDU","RESIDENTIAL",IF(G1197="COMM-SU","BUSINESS",IF(G1197="COM-MTU","BUSINESS",IF(G1197="ENT","BUSINESS",""))))))</f>
        <v/>
      </c>
      <c r="G1197" s="1205">
        <f>'House Count'!F1197</f>
        <v/>
      </c>
      <c r="H1197" s="1205">
        <f>'House Count'!H1197</f>
        <v/>
      </c>
    </row>
    <row r="1198">
      <c r="A1198" s="1204">
        <f>'House Count'!A1198</f>
        <v/>
      </c>
      <c r="B1198" s="1205">
        <f>'House Count'!E1198</f>
        <v/>
      </c>
      <c r="C1198" s="1205">
        <f>'House Count'!B1198</f>
        <v/>
      </c>
      <c r="D1198" s="1205">
        <f>'House Count'!C1198</f>
        <v/>
      </c>
      <c r="E1198" s="1205">
        <f>'House Count'!D1198</f>
        <v/>
      </c>
      <c r="F1198" s="1205">
        <f>IF(G1198="RES-SFU","RESIDENTIAL",IF(G1198="RES-HOA","RESIDENTIAL",IF(G1198="RES-MDU","RESIDENTIAL",IF(G1198="COMM-SU","BUSINESS",IF(G1198="COM-MTU","BUSINESS",IF(G1198="ENT","BUSINESS",""))))))</f>
        <v/>
      </c>
      <c r="G1198" s="1205">
        <f>'House Count'!F1198</f>
        <v/>
      </c>
      <c r="H1198" s="1205">
        <f>'House Count'!H1198</f>
        <v/>
      </c>
    </row>
    <row r="1199">
      <c r="A1199" s="1204">
        <f>'House Count'!A1199</f>
        <v/>
      </c>
      <c r="B1199" s="1205">
        <f>'House Count'!E1199</f>
        <v/>
      </c>
      <c r="C1199" s="1205">
        <f>'House Count'!B1199</f>
        <v/>
      </c>
      <c r="D1199" s="1205">
        <f>'House Count'!C1199</f>
        <v/>
      </c>
      <c r="E1199" s="1205">
        <f>'House Count'!D1199</f>
        <v/>
      </c>
      <c r="F1199" s="1205">
        <f>IF(G1199="RES-SFU","RESIDENTIAL",IF(G1199="RES-HOA","RESIDENTIAL",IF(G1199="RES-MDU","RESIDENTIAL",IF(G1199="COMM-SU","BUSINESS",IF(G1199="COM-MTU","BUSINESS",IF(G1199="ENT","BUSINESS",""))))))</f>
        <v/>
      </c>
      <c r="G1199" s="1205">
        <f>'House Count'!F1199</f>
        <v/>
      </c>
      <c r="H1199" s="1205">
        <f>'House Count'!H1199</f>
        <v/>
      </c>
    </row>
    <row r="1200">
      <c r="A1200" s="1204">
        <f>'House Count'!A1200</f>
        <v/>
      </c>
      <c r="B1200" s="1205">
        <f>'House Count'!E1200</f>
        <v/>
      </c>
      <c r="C1200" s="1205">
        <f>'House Count'!B1200</f>
        <v/>
      </c>
      <c r="D1200" s="1205">
        <f>'House Count'!C1200</f>
        <v/>
      </c>
      <c r="E1200" s="1205">
        <f>'House Count'!D1200</f>
        <v/>
      </c>
      <c r="F1200" s="1205">
        <f>IF(G1200="RES-SFU","RESIDENTIAL",IF(G1200="RES-HOA","RESIDENTIAL",IF(G1200="RES-MDU","RESIDENTIAL",IF(G1200="COMM-SU","BUSINESS",IF(G1200="COM-MTU","BUSINESS",IF(G1200="ENT","BUSINESS",""))))))</f>
        <v/>
      </c>
      <c r="G1200" s="1205">
        <f>'House Count'!F1200</f>
        <v/>
      </c>
      <c r="H1200" s="1205">
        <f>'House Count'!H1200</f>
        <v/>
      </c>
    </row>
    <row r="1201">
      <c r="A1201" s="1204">
        <f>'House Count'!A1201</f>
        <v/>
      </c>
      <c r="B1201" s="1205">
        <f>'House Count'!E1201</f>
        <v/>
      </c>
      <c r="C1201" s="1205">
        <f>'House Count'!B1201</f>
        <v/>
      </c>
      <c r="D1201" s="1205">
        <f>'House Count'!C1201</f>
        <v/>
      </c>
      <c r="E1201" s="1205">
        <f>'House Count'!D1201</f>
        <v/>
      </c>
      <c r="F1201" s="1205">
        <f>IF(G1201="RES-SFU","RESIDENTIAL",IF(G1201="RES-HOA","RESIDENTIAL",IF(G1201="RES-MDU","RESIDENTIAL",IF(G1201="COMM-SU","BUSINESS",IF(G1201="COM-MTU","BUSINESS",IF(G1201="ENT","BUSINESS",""))))))</f>
        <v/>
      </c>
      <c r="G1201" s="1205">
        <f>'House Count'!F1201</f>
        <v/>
      </c>
      <c r="H1201" s="1205">
        <f>'House Count'!H1201</f>
        <v/>
      </c>
    </row>
    <row r="1202">
      <c r="A1202" s="1204">
        <f>'House Count'!A1202</f>
        <v/>
      </c>
      <c r="B1202" s="1205">
        <f>'House Count'!E1202</f>
        <v/>
      </c>
      <c r="C1202" s="1205">
        <f>'House Count'!B1202</f>
        <v/>
      </c>
      <c r="D1202" s="1205">
        <f>'House Count'!C1202</f>
        <v/>
      </c>
      <c r="E1202" s="1205">
        <f>'House Count'!D1202</f>
        <v/>
      </c>
      <c r="F1202" s="1205">
        <f>IF(G1202="RES-SFU","RESIDENTIAL",IF(G1202="RES-HOA","RESIDENTIAL",IF(G1202="RES-MDU","RESIDENTIAL",IF(G1202="COMM-SU","BUSINESS",IF(G1202="COM-MTU","BUSINESS",IF(G1202="ENT","BUSINESS",""))))))</f>
        <v/>
      </c>
      <c r="G1202" s="1205">
        <f>'House Count'!F1202</f>
        <v/>
      </c>
      <c r="H1202" s="1205">
        <f>'House Count'!H1202</f>
        <v/>
      </c>
    </row>
    <row r="1203">
      <c r="A1203" s="1204">
        <f>'House Count'!A1203</f>
        <v/>
      </c>
      <c r="B1203" s="1205">
        <f>'House Count'!E1203</f>
        <v/>
      </c>
      <c r="C1203" s="1205">
        <f>'House Count'!B1203</f>
        <v/>
      </c>
      <c r="D1203" s="1205">
        <f>'House Count'!C1203</f>
        <v/>
      </c>
      <c r="E1203" s="1205">
        <f>'House Count'!D1203</f>
        <v/>
      </c>
      <c r="F1203" s="1205">
        <f>IF(G1203="RES-SFU","RESIDENTIAL",IF(G1203="RES-HOA","RESIDENTIAL",IF(G1203="RES-MDU","RESIDENTIAL",IF(G1203="COMM-SU","BUSINESS",IF(G1203="COM-MTU","BUSINESS",IF(G1203="ENT","BUSINESS",""))))))</f>
        <v/>
      </c>
      <c r="G1203" s="1205">
        <f>'House Count'!F1203</f>
        <v/>
      </c>
      <c r="H1203" s="1205">
        <f>'House Count'!H1203</f>
        <v/>
      </c>
    </row>
    <row r="1204">
      <c r="A1204" s="1204">
        <f>'House Count'!A1204</f>
        <v/>
      </c>
      <c r="B1204" s="1205">
        <f>'House Count'!E1204</f>
        <v/>
      </c>
      <c r="C1204" s="1205">
        <f>'House Count'!B1204</f>
        <v/>
      </c>
      <c r="D1204" s="1205">
        <f>'House Count'!C1204</f>
        <v/>
      </c>
      <c r="E1204" s="1205">
        <f>'House Count'!D1204</f>
        <v/>
      </c>
      <c r="F1204" s="1205">
        <f>IF(G1204="RES-SFU","RESIDENTIAL",IF(G1204="RES-HOA","RESIDENTIAL",IF(G1204="RES-MDU","RESIDENTIAL",IF(G1204="COMM-SU","BUSINESS",IF(G1204="COM-MTU","BUSINESS",IF(G1204="ENT","BUSINESS",""))))))</f>
        <v/>
      </c>
      <c r="G1204" s="1205">
        <f>'House Count'!F1204</f>
        <v/>
      </c>
      <c r="H1204" s="1205">
        <f>'House Count'!H1204</f>
        <v/>
      </c>
    </row>
    <row r="1205">
      <c r="A1205" s="1204">
        <f>'House Count'!A1205</f>
        <v/>
      </c>
      <c r="B1205" s="1205">
        <f>'House Count'!E1205</f>
        <v/>
      </c>
      <c r="C1205" s="1205">
        <f>'House Count'!B1205</f>
        <v/>
      </c>
      <c r="D1205" s="1205">
        <f>'House Count'!C1205</f>
        <v/>
      </c>
      <c r="E1205" s="1205">
        <f>'House Count'!D1205</f>
        <v/>
      </c>
      <c r="F1205" s="1205">
        <f>IF(G1205="RES-SFU","RESIDENTIAL",IF(G1205="RES-HOA","RESIDENTIAL",IF(G1205="RES-MDU","RESIDENTIAL",IF(G1205="COMM-SU","BUSINESS",IF(G1205="COM-MTU","BUSINESS",IF(G1205="ENT","BUSINESS",""))))))</f>
        <v/>
      </c>
      <c r="G1205" s="1205">
        <f>'House Count'!F1205</f>
        <v/>
      </c>
      <c r="H1205" s="1205">
        <f>'House Count'!H1205</f>
        <v/>
      </c>
    </row>
    <row r="1206">
      <c r="A1206" s="1204">
        <f>'House Count'!A1206</f>
        <v/>
      </c>
      <c r="B1206" s="1205">
        <f>'House Count'!E1206</f>
        <v/>
      </c>
      <c r="C1206" s="1205">
        <f>'House Count'!B1206</f>
        <v/>
      </c>
      <c r="D1206" s="1205">
        <f>'House Count'!C1206</f>
        <v/>
      </c>
      <c r="E1206" s="1205">
        <f>'House Count'!D1206</f>
        <v/>
      </c>
      <c r="F1206" s="1205">
        <f>IF(G1206="RES-SFU","RESIDENTIAL",IF(G1206="RES-HOA","RESIDENTIAL",IF(G1206="RES-MDU","RESIDENTIAL",IF(G1206="COMM-SU","BUSINESS",IF(G1206="COM-MTU","BUSINESS",IF(G1206="ENT","BUSINESS",""))))))</f>
        <v/>
      </c>
      <c r="G1206" s="1205">
        <f>'House Count'!F1206</f>
        <v/>
      </c>
      <c r="H1206" s="1205">
        <f>'House Count'!H1206</f>
        <v/>
      </c>
    </row>
    <row r="1207">
      <c r="A1207" s="1204">
        <f>'House Count'!A1207</f>
        <v/>
      </c>
      <c r="B1207" s="1205">
        <f>'House Count'!E1207</f>
        <v/>
      </c>
      <c r="C1207" s="1205">
        <f>'House Count'!B1207</f>
        <v/>
      </c>
      <c r="D1207" s="1205">
        <f>'House Count'!C1207</f>
        <v/>
      </c>
      <c r="E1207" s="1205">
        <f>'House Count'!D1207</f>
        <v/>
      </c>
      <c r="F1207" s="1205">
        <f>IF(G1207="RES-SFU","RESIDENTIAL",IF(G1207="RES-HOA","RESIDENTIAL",IF(G1207="RES-MDU","RESIDENTIAL",IF(G1207="COMM-SU","BUSINESS",IF(G1207="COM-MTU","BUSINESS",IF(G1207="ENT","BUSINESS",""))))))</f>
        <v/>
      </c>
      <c r="G1207" s="1205">
        <f>'House Count'!F1207</f>
        <v/>
      </c>
      <c r="H1207" s="1205">
        <f>'House Count'!H1207</f>
        <v/>
      </c>
    </row>
    <row r="1208">
      <c r="A1208" s="1204">
        <f>'House Count'!A1208</f>
        <v/>
      </c>
      <c r="B1208" s="1205">
        <f>'House Count'!E1208</f>
        <v/>
      </c>
      <c r="C1208" s="1205">
        <f>'House Count'!B1208</f>
        <v/>
      </c>
      <c r="D1208" s="1205">
        <f>'House Count'!C1208</f>
        <v/>
      </c>
      <c r="E1208" s="1205">
        <f>'House Count'!D1208</f>
        <v/>
      </c>
      <c r="F1208" s="1205">
        <f>IF(G1208="RES-SFU","RESIDENTIAL",IF(G1208="RES-HOA","RESIDENTIAL",IF(G1208="RES-MDU","RESIDENTIAL",IF(G1208="COMM-SU","BUSINESS",IF(G1208="COM-MTU","BUSINESS",IF(G1208="ENT","BUSINESS",""))))))</f>
        <v/>
      </c>
      <c r="G1208" s="1205">
        <f>'House Count'!F1208</f>
        <v/>
      </c>
      <c r="H1208" s="1205">
        <f>'House Count'!H1208</f>
        <v/>
      </c>
    </row>
    <row r="1209">
      <c r="A1209" s="1204">
        <f>'House Count'!A1209</f>
        <v/>
      </c>
      <c r="B1209" s="1205">
        <f>'House Count'!E1209</f>
        <v/>
      </c>
      <c r="C1209" s="1205">
        <f>'House Count'!B1209</f>
        <v/>
      </c>
      <c r="D1209" s="1205">
        <f>'House Count'!C1209</f>
        <v/>
      </c>
      <c r="E1209" s="1205">
        <f>'House Count'!D1209</f>
        <v/>
      </c>
      <c r="F1209" s="1205">
        <f>IF(G1209="RES-SFU","RESIDENTIAL",IF(G1209="RES-HOA","RESIDENTIAL",IF(G1209="RES-MDU","RESIDENTIAL",IF(G1209="COMM-SU","BUSINESS",IF(G1209="COM-MTU","BUSINESS",IF(G1209="ENT","BUSINESS",""))))))</f>
        <v/>
      </c>
      <c r="G1209" s="1205">
        <f>'House Count'!F1209</f>
        <v/>
      </c>
      <c r="H1209" s="1205">
        <f>'House Count'!H1209</f>
        <v/>
      </c>
    </row>
    <row r="1210">
      <c r="A1210" s="1204">
        <f>'House Count'!A1210</f>
        <v/>
      </c>
      <c r="B1210" s="1205">
        <f>'House Count'!E1210</f>
        <v/>
      </c>
      <c r="C1210" s="1205">
        <f>'House Count'!B1210</f>
        <v/>
      </c>
      <c r="D1210" s="1205">
        <f>'House Count'!C1210</f>
        <v/>
      </c>
      <c r="E1210" s="1205">
        <f>'House Count'!D1210</f>
        <v/>
      </c>
      <c r="F1210" s="1205">
        <f>IF(G1210="RES-SFU","RESIDENTIAL",IF(G1210="RES-HOA","RESIDENTIAL",IF(G1210="RES-MDU","RESIDENTIAL",IF(G1210="COMM-SU","BUSINESS",IF(G1210="COM-MTU","BUSINESS",IF(G1210="ENT","BUSINESS",""))))))</f>
        <v/>
      </c>
      <c r="G1210" s="1205">
        <f>'House Count'!F1210</f>
        <v/>
      </c>
      <c r="H1210" s="1205">
        <f>'House Count'!H1210</f>
        <v/>
      </c>
    </row>
    <row r="1211">
      <c r="A1211" s="1204">
        <f>'House Count'!A1211</f>
        <v/>
      </c>
      <c r="B1211" s="1205">
        <f>'House Count'!E1211</f>
        <v/>
      </c>
      <c r="C1211" s="1205">
        <f>'House Count'!B1211</f>
        <v/>
      </c>
      <c r="D1211" s="1205">
        <f>'House Count'!C1211</f>
        <v/>
      </c>
      <c r="E1211" s="1205">
        <f>'House Count'!D1211</f>
        <v/>
      </c>
      <c r="F1211" s="1205">
        <f>IF(G1211="RES-SFU","RESIDENTIAL",IF(G1211="RES-HOA","RESIDENTIAL",IF(G1211="RES-MDU","RESIDENTIAL",IF(G1211="COMM-SU","BUSINESS",IF(G1211="COM-MTU","BUSINESS",IF(G1211="ENT","BUSINESS",""))))))</f>
        <v/>
      </c>
      <c r="G1211" s="1205">
        <f>'House Count'!F1211</f>
        <v/>
      </c>
      <c r="H1211" s="1205">
        <f>'House Count'!H1211</f>
        <v/>
      </c>
    </row>
    <row r="1212">
      <c r="A1212" s="1204">
        <f>'House Count'!A1212</f>
        <v/>
      </c>
      <c r="B1212" s="1205">
        <f>'House Count'!E1212</f>
        <v/>
      </c>
      <c r="C1212" s="1205">
        <f>'House Count'!B1212</f>
        <v/>
      </c>
      <c r="D1212" s="1205">
        <f>'House Count'!C1212</f>
        <v/>
      </c>
      <c r="E1212" s="1205">
        <f>'House Count'!D1212</f>
        <v/>
      </c>
      <c r="F1212" s="1205">
        <f>IF(G1212="RES-SFU","RESIDENTIAL",IF(G1212="RES-HOA","RESIDENTIAL",IF(G1212="RES-MDU","RESIDENTIAL",IF(G1212="COMM-SU","BUSINESS",IF(G1212="COM-MTU","BUSINESS",IF(G1212="ENT","BUSINESS",""))))))</f>
        <v/>
      </c>
      <c r="G1212" s="1205">
        <f>'House Count'!F1212</f>
        <v/>
      </c>
      <c r="H1212" s="1205">
        <f>'House Count'!H1212</f>
        <v/>
      </c>
    </row>
    <row r="1213">
      <c r="A1213" s="1204">
        <f>'House Count'!A1213</f>
        <v/>
      </c>
      <c r="B1213" s="1205">
        <f>'House Count'!E1213</f>
        <v/>
      </c>
      <c r="C1213" s="1205">
        <f>'House Count'!B1213</f>
        <v/>
      </c>
      <c r="D1213" s="1205">
        <f>'House Count'!C1213</f>
        <v/>
      </c>
      <c r="E1213" s="1205">
        <f>'House Count'!D1213</f>
        <v/>
      </c>
      <c r="F1213" s="1205">
        <f>IF(G1213="RES-SFU","RESIDENTIAL",IF(G1213="RES-HOA","RESIDENTIAL",IF(G1213="RES-MDU","RESIDENTIAL",IF(G1213="COMM-SU","BUSINESS",IF(G1213="COM-MTU","BUSINESS",IF(G1213="ENT","BUSINESS",""))))))</f>
        <v/>
      </c>
      <c r="G1213" s="1205">
        <f>'House Count'!F1213</f>
        <v/>
      </c>
      <c r="H1213" s="1205">
        <f>'House Count'!H1213</f>
        <v/>
      </c>
    </row>
    <row r="1214">
      <c r="A1214" s="1204">
        <f>'House Count'!A1214</f>
        <v/>
      </c>
      <c r="B1214" s="1205">
        <f>'House Count'!E1214</f>
        <v/>
      </c>
      <c r="C1214" s="1205">
        <f>'House Count'!B1214</f>
        <v/>
      </c>
      <c r="D1214" s="1205">
        <f>'House Count'!C1214</f>
        <v/>
      </c>
      <c r="E1214" s="1205">
        <f>'House Count'!D1214</f>
        <v/>
      </c>
      <c r="F1214" s="1205">
        <f>IF(G1214="RES-SFU","RESIDENTIAL",IF(G1214="RES-HOA","RESIDENTIAL",IF(G1214="RES-MDU","RESIDENTIAL",IF(G1214="COMM-SU","BUSINESS",IF(G1214="COM-MTU","BUSINESS",IF(G1214="ENT","BUSINESS",""))))))</f>
        <v/>
      </c>
      <c r="G1214" s="1205">
        <f>'House Count'!F1214</f>
        <v/>
      </c>
      <c r="H1214" s="1205">
        <f>'House Count'!H1214</f>
        <v/>
      </c>
    </row>
    <row r="1215">
      <c r="A1215" s="1204">
        <f>'House Count'!A1215</f>
        <v/>
      </c>
      <c r="B1215" s="1205">
        <f>'House Count'!E1215</f>
        <v/>
      </c>
      <c r="C1215" s="1205">
        <f>'House Count'!B1215</f>
        <v/>
      </c>
      <c r="D1215" s="1205">
        <f>'House Count'!C1215</f>
        <v/>
      </c>
      <c r="E1215" s="1205">
        <f>'House Count'!D1215</f>
        <v/>
      </c>
      <c r="F1215" s="1205">
        <f>IF(G1215="RES-SFU","RESIDENTIAL",IF(G1215="RES-HOA","RESIDENTIAL",IF(G1215="RES-MDU","RESIDENTIAL",IF(G1215="COMM-SU","BUSINESS",IF(G1215="COM-MTU","BUSINESS",IF(G1215="ENT","BUSINESS",""))))))</f>
        <v/>
      </c>
      <c r="G1215" s="1205">
        <f>'House Count'!F1215</f>
        <v/>
      </c>
      <c r="H1215" s="1205">
        <f>'House Count'!H1215</f>
        <v/>
      </c>
    </row>
    <row r="1216">
      <c r="A1216" s="1204">
        <f>'House Count'!A1216</f>
        <v/>
      </c>
      <c r="B1216" s="1205">
        <f>'House Count'!E1216</f>
        <v/>
      </c>
      <c r="C1216" s="1205">
        <f>'House Count'!B1216</f>
        <v/>
      </c>
      <c r="D1216" s="1205">
        <f>'House Count'!C1216</f>
        <v/>
      </c>
      <c r="E1216" s="1205">
        <f>'House Count'!D1216</f>
        <v/>
      </c>
      <c r="F1216" s="1205">
        <f>IF(G1216="RES-SFU","RESIDENTIAL",IF(G1216="RES-HOA","RESIDENTIAL",IF(G1216="RES-MDU","RESIDENTIAL",IF(G1216="COMM-SU","BUSINESS",IF(G1216="COM-MTU","BUSINESS",IF(G1216="ENT","BUSINESS",""))))))</f>
        <v/>
      </c>
      <c r="G1216" s="1205">
        <f>'House Count'!F1216</f>
        <v/>
      </c>
      <c r="H1216" s="1205">
        <f>'House Count'!H1216</f>
        <v/>
      </c>
    </row>
    <row r="1217">
      <c r="A1217" s="1204">
        <f>'House Count'!A1217</f>
        <v/>
      </c>
      <c r="B1217" s="1205">
        <f>'House Count'!E1217</f>
        <v/>
      </c>
      <c r="C1217" s="1205">
        <f>'House Count'!B1217</f>
        <v/>
      </c>
      <c r="D1217" s="1205">
        <f>'House Count'!C1217</f>
        <v/>
      </c>
      <c r="E1217" s="1205">
        <f>'House Count'!D1217</f>
        <v/>
      </c>
      <c r="F1217" s="1205">
        <f>IF(G1217="RES-SFU","RESIDENTIAL",IF(G1217="RES-HOA","RESIDENTIAL",IF(G1217="RES-MDU","RESIDENTIAL",IF(G1217="COMM-SU","BUSINESS",IF(G1217="COM-MTU","BUSINESS",IF(G1217="ENT","BUSINESS",""))))))</f>
        <v/>
      </c>
      <c r="G1217" s="1205">
        <f>'House Count'!F1217</f>
        <v/>
      </c>
      <c r="H1217" s="1205">
        <f>'House Count'!H1217</f>
        <v/>
      </c>
    </row>
    <row r="1218">
      <c r="A1218" s="1204">
        <f>'House Count'!A1218</f>
        <v/>
      </c>
      <c r="B1218" s="1205">
        <f>'House Count'!E1218</f>
        <v/>
      </c>
      <c r="C1218" s="1205">
        <f>'House Count'!B1218</f>
        <v/>
      </c>
      <c r="D1218" s="1205">
        <f>'House Count'!C1218</f>
        <v/>
      </c>
      <c r="E1218" s="1205">
        <f>'House Count'!D1218</f>
        <v/>
      </c>
      <c r="F1218" s="1205">
        <f>IF(G1218="RES-SFU","RESIDENTIAL",IF(G1218="RES-HOA","RESIDENTIAL",IF(G1218="RES-MDU","RESIDENTIAL",IF(G1218="COMM-SU","BUSINESS",IF(G1218="COM-MTU","BUSINESS",IF(G1218="ENT","BUSINESS",""))))))</f>
        <v/>
      </c>
      <c r="G1218" s="1205">
        <f>'House Count'!F1218</f>
        <v/>
      </c>
      <c r="H1218" s="1205">
        <f>'House Count'!H1218</f>
        <v/>
      </c>
    </row>
    <row r="1219">
      <c r="A1219" s="1204">
        <f>'House Count'!A1219</f>
        <v/>
      </c>
      <c r="B1219" s="1205">
        <f>'House Count'!E1219</f>
        <v/>
      </c>
      <c r="C1219" s="1205">
        <f>'House Count'!B1219</f>
        <v/>
      </c>
      <c r="D1219" s="1205">
        <f>'House Count'!C1219</f>
        <v/>
      </c>
      <c r="E1219" s="1205">
        <f>'House Count'!D1219</f>
        <v/>
      </c>
      <c r="F1219" s="1205">
        <f>IF(G1219="RES-SFU","RESIDENTIAL",IF(G1219="RES-HOA","RESIDENTIAL",IF(G1219="RES-MDU","RESIDENTIAL",IF(G1219="COMM-SU","BUSINESS",IF(G1219="COM-MTU","BUSINESS",IF(G1219="ENT","BUSINESS",""))))))</f>
        <v/>
      </c>
      <c r="G1219" s="1205">
        <f>'House Count'!F1219</f>
        <v/>
      </c>
      <c r="H1219" s="1205">
        <f>'House Count'!H1219</f>
        <v/>
      </c>
    </row>
    <row r="1220">
      <c r="A1220" s="1204">
        <f>'House Count'!A1220</f>
        <v/>
      </c>
      <c r="B1220" s="1205">
        <f>'House Count'!E1220</f>
        <v/>
      </c>
      <c r="C1220" s="1205">
        <f>'House Count'!B1220</f>
        <v/>
      </c>
      <c r="D1220" s="1205">
        <f>'House Count'!C1220</f>
        <v/>
      </c>
      <c r="E1220" s="1205">
        <f>'House Count'!D1220</f>
        <v/>
      </c>
      <c r="F1220" s="1205">
        <f>IF(G1220="RES-SFU","RESIDENTIAL",IF(G1220="RES-HOA","RESIDENTIAL",IF(G1220="RES-MDU","RESIDENTIAL",IF(G1220="COMM-SU","BUSINESS",IF(G1220="COM-MTU","BUSINESS",IF(G1220="ENT","BUSINESS",""))))))</f>
        <v/>
      </c>
      <c r="G1220" s="1205">
        <f>'House Count'!F1220</f>
        <v/>
      </c>
      <c r="H1220" s="1205">
        <f>'House Count'!H1220</f>
        <v/>
      </c>
    </row>
    <row r="1221">
      <c r="A1221" s="1204">
        <f>'House Count'!A1221</f>
        <v/>
      </c>
      <c r="B1221" s="1205">
        <f>'House Count'!E1221</f>
        <v/>
      </c>
      <c r="C1221" s="1205">
        <f>'House Count'!B1221</f>
        <v/>
      </c>
      <c r="D1221" s="1205">
        <f>'House Count'!C1221</f>
        <v/>
      </c>
      <c r="E1221" s="1205">
        <f>'House Count'!D1221</f>
        <v/>
      </c>
      <c r="F1221" s="1205">
        <f>IF(G1221="RES-SFU","RESIDENTIAL",IF(G1221="RES-HOA","RESIDENTIAL",IF(G1221="RES-MDU","RESIDENTIAL",IF(G1221="COMM-SU","BUSINESS",IF(G1221="COM-MTU","BUSINESS",IF(G1221="ENT","BUSINESS",""))))))</f>
        <v/>
      </c>
      <c r="G1221" s="1205">
        <f>'House Count'!F1221</f>
        <v/>
      </c>
      <c r="H1221" s="1205">
        <f>'House Count'!H1221</f>
        <v/>
      </c>
    </row>
    <row r="1222">
      <c r="A1222" s="1204">
        <f>'House Count'!A1222</f>
        <v/>
      </c>
      <c r="B1222" s="1205">
        <f>'House Count'!E1222</f>
        <v/>
      </c>
      <c r="C1222" s="1205">
        <f>'House Count'!B1222</f>
        <v/>
      </c>
      <c r="D1222" s="1205">
        <f>'House Count'!C1222</f>
        <v/>
      </c>
      <c r="E1222" s="1205">
        <f>'House Count'!D1222</f>
        <v/>
      </c>
      <c r="F1222" s="1205">
        <f>IF(G1222="RES-SFU","RESIDENTIAL",IF(G1222="RES-HOA","RESIDENTIAL",IF(G1222="RES-MDU","RESIDENTIAL",IF(G1222="COMM-SU","BUSINESS",IF(G1222="COM-MTU","BUSINESS",IF(G1222="ENT","BUSINESS",""))))))</f>
        <v/>
      </c>
      <c r="G1222" s="1205">
        <f>'House Count'!F1222</f>
        <v/>
      </c>
      <c r="H1222" s="1205">
        <f>'House Count'!H1222</f>
        <v/>
      </c>
    </row>
    <row r="1223">
      <c r="A1223" s="1204">
        <f>'House Count'!A1223</f>
        <v/>
      </c>
      <c r="B1223" s="1205">
        <f>'House Count'!E1223</f>
        <v/>
      </c>
      <c r="C1223" s="1205">
        <f>'House Count'!B1223</f>
        <v/>
      </c>
      <c r="D1223" s="1205">
        <f>'House Count'!C1223</f>
        <v/>
      </c>
      <c r="E1223" s="1205">
        <f>'House Count'!D1223</f>
        <v/>
      </c>
      <c r="F1223" s="1205">
        <f>IF(G1223="RES-SFU","RESIDENTIAL",IF(G1223="RES-HOA","RESIDENTIAL",IF(G1223="RES-MDU","RESIDENTIAL",IF(G1223="COMM-SU","BUSINESS",IF(G1223="COM-MTU","BUSINESS",IF(G1223="ENT","BUSINESS",""))))))</f>
        <v/>
      </c>
      <c r="G1223" s="1205">
        <f>'House Count'!F1223</f>
        <v/>
      </c>
      <c r="H1223" s="1205">
        <f>'House Count'!H1223</f>
        <v/>
      </c>
    </row>
    <row r="1224">
      <c r="A1224" s="1204">
        <f>'House Count'!A1224</f>
        <v/>
      </c>
      <c r="B1224" s="1205">
        <f>'House Count'!E1224</f>
        <v/>
      </c>
      <c r="C1224" s="1205">
        <f>'House Count'!B1224</f>
        <v/>
      </c>
      <c r="D1224" s="1205">
        <f>'House Count'!C1224</f>
        <v/>
      </c>
      <c r="E1224" s="1205">
        <f>'House Count'!D1224</f>
        <v/>
      </c>
      <c r="F1224" s="1205">
        <f>IF(G1224="RES-SFU","RESIDENTIAL",IF(G1224="RES-HOA","RESIDENTIAL",IF(G1224="RES-MDU","RESIDENTIAL",IF(G1224="COMM-SU","BUSINESS",IF(G1224="COM-MTU","BUSINESS",IF(G1224="ENT","BUSINESS",""))))))</f>
        <v/>
      </c>
      <c r="G1224" s="1205">
        <f>'House Count'!F1224</f>
        <v/>
      </c>
      <c r="H1224" s="1205">
        <f>'House Count'!H1224</f>
        <v/>
      </c>
    </row>
    <row r="1225">
      <c r="A1225" s="1204">
        <f>'House Count'!A1225</f>
        <v/>
      </c>
      <c r="B1225" s="1205">
        <f>'House Count'!E1225</f>
        <v/>
      </c>
      <c r="C1225" s="1205">
        <f>'House Count'!B1225</f>
        <v/>
      </c>
      <c r="D1225" s="1205">
        <f>'House Count'!C1225</f>
        <v/>
      </c>
      <c r="E1225" s="1205">
        <f>'House Count'!D1225</f>
        <v/>
      </c>
      <c r="F1225" s="1205">
        <f>IF(G1225="RES-SFU","RESIDENTIAL",IF(G1225="RES-HOA","RESIDENTIAL",IF(G1225="RES-MDU","RESIDENTIAL",IF(G1225="COMM-SU","BUSINESS",IF(G1225="COM-MTU","BUSINESS",IF(G1225="ENT","BUSINESS",""))))))</f>
        <v/>
      </c>
      <c r="G1225" s="1205">
        <f>'House Count'!F1225</f>
        <v/>
      </c>
      <c r="H1225" s="1205">
        <f>'House Count'!H1225</f>
        <v/>
      </c>
    </row>
    <row r="1226">
      <c r="A1226" s="1204">
        <f>'House Count'!A1226</f>
        <v/>
      </c>
      <c r="B1226" s="1205">
        <f>'House Count'!E1226</f>
        <v/>
      </c>
      <c r="C1226" s="1205">
        <f>'House Count'!B1226</f>
        <v/>
      </c>
      <c r="D1226" s="1205">
        <f>'House Count'!C1226</f>
        <v/>
      </c>
      <c r="E1226" s="1205">
        <f>'House Count'!D1226</f>
        <v/>
      </c>
      <c r="F1226" s="1205">
        <f>IF(G1226="RES-SFU","RESIDENTIAL",IF(G1226="RES-HOA","RESIDENTIAL",IF(G1226="RES-MDU","RESIDENTIAL",IF(G1226="COMM-SU","BUSINESS",IF(G1226="COM-MTU","BUSINESS",IF(G1226="ENT","BUSINESS",""))))))</f>
        <v/>
      </c>
      <c r="G1226" s="1205">
        <f>'House Count'!F1226</f>
        <v/>
      </c>
      <c r="H1226" s="1205">
        <f>'House Count'!H1226</f>
        <v/>
      </c>
    </row>
    <row r="1227">
      <c r="A1227" s="1204">
        <f>'House Count'!A1227</f>
        <v/>
      </c>
      <c r="B1227" s="1205">
        <f>'House Count'!E1227</f>
        <v/>
      </c>
      <c r="C1227" s="1205">
        <f>'House Count'!B1227</f>
        <v/>
      </c>
      <c r="D1227" s="1205">
        <f>'House Count'!C1227</f>
        <v/>
      </c>
      <c r="E1227" s="1205">
        <f>'House Count'!D1227</f>
        <v/>
      </c>
      <c r="F1227" s="1205">
        <f>IF(G1227="RES-SFU","RESIDENTIAL",IF(G1227="RES-HOA","RESIDENTIAL",IF(G1227="RES-MDU","RESIDENTIAL",IF(G1227="COMM-SU","BUSINESS",IF(G1227="COM-MTU","BUSINESS",IF(G1227="ENT","BUSINESS",""))))))</f>
        <v/>
      </c>
      <c r="G1227" s="1205">
        <f>'House Count'!F1227</f>
        <v/>
      </c>
      <c r="H1227" s="1205">
        <f>'House Count'!H1227</f>
        <v/>
      </c>
    </row>
    <row r="1228">
      <c r="A1228" s="1204">
        <f>'House Count'!A1228</f>
        <v/>
      </c>
      <c r="B1228" s="1205">
        <f>'House Count'!E1228</f>
        <v/>
      </c>
      <c r="C1228" s="1205">
        <f>'House Count'!B1228</f>
        <v/>
      </c>
      <c r="D1228" s="1205">
        <f>'House Count'!C1228</f>
        <v/>
      </c>
      <c r="E1228" s="1205">
        <f>'House Count'!D1228</f>
        <v/>
      </c>
      <c r="F1228" s="1205">
        <f>IF(G1228="RES-SFU","RESIDENTIAL",IF(G1228="RES-HOA","RESIDENTIAL",IF(G1228="RES-MDU","RESIDENTIAL",IF(G1228="COMM-SU","BUSINESS",IF(G1228="COM-MTU","BUSINESS",IF(G1228="ENT","BUSINESS",""))))))</f>
        <v/>
      </c>
      <c r="G1228" s="1205">
        <f>'House Count'!F1228</f>
        <v/>
      </c>
      <c r="H1228" s="1205">
        <f>'House Count'!H1228</f>
        <v/>
      </c>
    </row>
    <row r="1229">
      <c r="A1229" s="1204">
        <f>'House Count'!A1229</f>
        <v/>
      </c>
      <c r="B1229" s="1205">
        <f>'House Count'!E1229</f>
        <v/>
      </c>
      <c r="C1229" s="1205">
        <f>'House Count'!B1229</f>
        <v/>
      </c>
      <c r="D1229" s="1205">
        <f>'House Count'!C1229</f>
        <v/>
      </c>
      <c r="E1229" s="1205">
        <f>'House Count'!D1229</f>
        <v/>
      </c>
      <c r="F1229" s="1205">
        <f>IF(G1229="RES-SFU","RESIDENTIAL",IF(G1229="RES-HOA","RESIDENTIAL",IF(G1229="RES-MDU","RESIDENTIAL",IF(G1229="COMM-SU","BUSINESS",IF(G1229="COM-MTU","BUSINESS",IF(G1229="ENT","BUSINESS",""))))))</f>
        <v/>
      </c>
      <c r="G1229" s="1205">
        <f>'House Count'!F1229</f>
        <v/>
      </c>
      <c r="H1229" s="1205">
        <f>'House Count'!H1229</f>
        <v/>
      </c>
    </row>
    <row r="1230">
      <c r="A1230" s="1204">
        <f>'House Count'!A1230</f>
        <v/>
      </c>
      <c r="B1230" s="1205">
        <f>'House Count'!E1230</f>
        <v/>
      </c>
      <c r="C1230" s="1205">
        <f>'House Count'!B1230</f>
        <v/>
      </c>
      <c r="D1230" s="1205">
        <f>'House Count'!C1230</f>
        <v/>
      </c>
      <c r="E1230" s="1205">
        <f>'House Count'!D1230</f>
        <v/>
      </c>
      <c r="F1230" s="1205">
        <f>IF(G1230="RES-SFU","RESIDENTIAL",IF(G1230="RES-HOA","RESIDENTIAL",IF(G1230="RES-MDU","RESIDENTIAL",IF(G1230="COMM-SU","BUSINESS",IF(G1230="COM-MTU","BUSINESS",IF(G1230="ENT","BUSINESS",""))))))</f>
        <v/>
      </c>
      <c r="G1230" s="1205">
        <f>'House Count'!F1230</f>
        <v/>
      </c>
      <c r="H1230" s="1205">
        <f>'House Count'!H1230</f>
        <v/>
      </c>
    </row>
    <row r="1231">
      <c r="A1231" s="1204">
        <f>'House Count'!A1231</f>
        <v/>
      </c>
      <c r="B1231" s="1205">
        <f>'House Count'!E1231</f>
        <v/>
      </c>
      <c r="C1231" s="1205">
        <f>'House Count'!B1231</f>
        <v/>
      </c>
      <c r="D1231" s="1205">
        <f>'House Count'!C1231</f>
        <v/>
      </c>
      <c r="E1231" s="1205">
        <f>'House Count'!D1231</f>
        <v/>
      </c>
      <c r="F1231" s="1205">
        <f>IF(G1231="RES-SFU","RESIDENTIAL",IF(G1231="RES-HOA","RESIDENTIAL",IF(G1231="RES-MDU","RESIDENTIAL",IF(G1231="COMM-SU","BUSINESS",IF(G1231="COM-MTU","BUSINESS",IF(G1231="ENT","BUSINESS",""))))))</f>
        <v/>
      </c>
      <c r="G1231" s="1205">
        <f>'House Count'!F1231</f>
        <v/>
      </c>
      <c r="H1231" s="1205">
        <f>'House Count'!H1231</f>
        <v/>
      </c>
    </row>
    <row r="1232">
      <c r="A1232" s="1204">
        <f>'House Count'!A1232</f>
        <v/>
      </c>
      <c r="B1232" s="1205">
        <f>'House Count'!E1232</f>
        <v/>
      </c>
      <c r="C1232" s="1205">
        <f>'House Count'!B1232</f>
        <v/>
      </c>
      <c r="D1232" s="1205">
        <f>'House Count'!C1232</f>
        <v/>
      </c>
      <c r="E1232" s="1205">
        <f>'House Count'!D1232</f>
        <v/>
      </c>
      <c r="F1232" s="1205">
        <f>IF(G1232="RES-SFU","RESIDENTIAL",IF(G1232="RES-HOA","RESIDENTIAL",IF(G1232="RES-MDU","RESIDENTIAL",IF(G1232="COMM-SU","BUSINESS",IF(G1232="COM-MTU","BUSINESS",IF(G1232="ENT","BUSINESS",""))))))</f>
        <v/>
      </c>
      <c r="G1232" s="1205">
        <f>'House Count'!F1232</f>
        <v/>
      </c>
      <c r="H1232" s="1205">
        <f>'House Count'!H1232</f>
        <v/>
      </c>
    </row>
    <row r="1233">
      <c r="A1233" s="1204">
        <f>'House Count'!A1233</f>
        <v/>
      </c>
      <c r="B1233" s="1205">
        <f>'House Count'!E1233</f>
        <v/>
      </c>
      <c r="C1233" s="1205">
        <f>'House Count'!B1233</f>
        <v/>
      </c>
      <c r="D1233" s="1205">
        <f>'House Count'!C1233</f>
        <v/>
      </c>
      <c r="E1233" s="1205">
        <f>'House Count'!D1233</f>
        <v/>
      </c>
      <c r="F1233" s="1205">
        <f>IF(G1233="RES-SFU","RESIDENTIAL",IF(G1233="RES-HOA","RESIDENTIAL",IF(G1233="RES-MDU","RESIDENTIAL",IF(G1233="COMM-SU","BUSINESS",IF(G1233="COM-MTU","BUSINESS",IF(G1233="ENT","BUSINESS",""))))))</f>
        <v/>
      </c>
      <c r="G1233" s="1205">
        <f>'House Count'!F1233</f>
        <v/>
      </c>
      <c r="H1233" s="1205">
        <f>'House Count'!H1233</f>
        <v/>
      </c>
    </row>
    <row r="1234">
      <c r="A1234" s="1204">
        <f>'House Count'!A1234</f>
        <v/>
      </c>
      <c r="B1234" s="1205">
        <f>'House Count'!E1234</f>
        <v/>
      </c>
      <c r="C1234" s="1205">
        <f>'House Count'!B1234</f>
        <v/>
      </c>
      <c r="D1234" s="1205">
        <f>'House Count'!C1234</f>
        <v/>
      </c>
      <c r="E1234" s="1205">
        <f>'House Count'!D1234</f>
        <v/>
      </c>
      <c r="F1234" s="1205">
        <f>IF(G1234="RES-SFU","RESIDENTIAL",IF(G1234="RES-HOA","RESIDENTIAL",IF(G1234="RES-MDU","RESIDENTIAL",IF(G1234="COMM-SU","BUSINESS",IF(G1234="COM-MTU","BUSINESS",IF(G1234="ENT","BUSINESS",""))))))</f>
        <v/>
      </c>
      <c r="G1234" s="1205">
        <f>'House Count'!F1234</f>
        <v/>
      </c>
      <c r="H1234" s="1205">
        <f>'House Count'!H1234</f>
        <v/>
      </c>
    </row>
    <row r="1235">
      <c r="A1235" s="1204">
        <f>'House Count'!A1235</f>
        <v/>
      </c>
      <c r="B1235" s="1205">
        <f>'House Count'!E1235</f>
        <v/>
      </c>
      <c r="C1235" s="1205">
        <f>'House Count'!B1235</f>
        <v/>
      </c>
      <c r="D1235" s="1205">
        <f>'House Count'!C1235</f>
        <v/>
      </c>
      <c r="E1235" s="1205">
        <f>'House Count'!D1235</f>
        <v/>
      </c>
      <c r="F1235" s="1205">
        <f>IF(G1235="RES-SFU","RESIDENTIAL",IF(G1235="RES-HOA","RESIDENTIAL",IF(G1235="RES-MDU","RESIDENTIAL",IF(G1235="COMM-SU","BUSINESS",IF(G1235="COM-MTU","BUSINESS",IF(G1235="ENT","BUSINESS",""))))))</f>
        <v/>
      </c>
      <c r="G1235" s="1205">
        <f>'House Count'!F1235</f>
        <v/>
      </c>
      <c r="H1235" s="1205">
        <f>'House Count'!H1235</f>
        <v/>
      </c>
    </row>
    <row r="1236">
      <c r="A1236" s="1204">
        <f>'House Count'!A1236</f>
        <v/>
      </c>
      <c r="B1236" s="1205">
        <f>'House Count'!E1236</f>
        <v/>
      </c>
      <c r="C1236" s="1205">
        <f>'House Count'!B1236</f>
        <v/>
      </c>
      <c r="D1236" s="1205">
        <f>'House Count'!C1236</f>
        <v/>
      </c>
      <c r="E1236" s="1205">
        <f>'House Count'!D1236</f>
        <v/>
      </c>
      <c r="F1236" s="1205">
        <f>IF(G1236="RES-SFU","RESIDENTIAL",IF(G1236="RES-HOA","RESIDENTIAL",IF(G1236="RES-MDU","RESIDENTIAL",IF(G1236="COMM-SU","BUSINESS",IF(G1236="COM-MTU","BUSINESS",IF(G1236="ENT","BUSINESS",""))))))</f>
        <v/>
      </c>
      <c r="G1236" s="1205">
        <f>'House Count'!F1236</f>
        <v/>
      </c>
      <c r="H1236" s="1205">
        <f>'House Count'!H1236</f>
        <v/>
      </c>
    </row>
    <row r="1237">
      <c r="A1237" s="1204">
        <f>'House Count'!A1237</f>
        <v/>
      </c>
      <c r="B1237" s="1205">
        <f>'House Count'!E1237</f>
        <v/>
      </c>
      <c r="C1237" s="1205">
        <f>'House Count'!B1237</f>
        <v/>
      </c>
      <c r="D1237" s="1205">
        <f>'House Count'!C1237</f>
        <v/>
      </c>
      <c r="E1237" s="1205">
        <f>'House Count'!D1237</f>
        <v/>
      </c>
      <c r="F1237" s="1205">
        <f>IF(G1237="RES-SFU","RESIDENTIAL",IF(G1237="RES-HOA","RESIDENTIAL",IF(G1237="RES-MDU","RESIDENTIAL",IF(G1237="COMM-SU","BUSINESS",IF(G1237="COM-MTU","BUSINESS",IF(G1237="ENT","BUSINESS",""))))))</f>
        <v/>
      </c>
      <c r="G1237" s="1205">
        <f>'House Count'!F1237</f>
        <v/>
      </c>
      <c r="H1237" s="1205">
        <f>'House Count'!H1237</f>
        <v/>
      </c>
    </row>
    <row r="1238">
      <c r="A1238" s="1204">
        <f>'House Count'!A1238</f>
        <v/>
      </c>
      <c r="B1238" s="1205">
        <f>'House Count'!E1238</f>
        <v/>
      </c>
      <c r="C1238" s="1205">
        <f>'House Count'!B1238</f>
        <v/>
      </c>
      <c r="D1238" s="1205">
        <f>'House Count'!C1238</f>
        <v/>
      </c>
      <c r="E1238" s="1205">
        <f>'House Count'!D1238</f>
        <v/>
      </c>
      <c r="F1238" s="1205">
        <f>IF(G1238="RES-SFU","RESIDENTIAL",IF(G1238="RES-HOA","RESIDENTIAL",IF(G1238="RES-MDU","RESIDENTIAL",IF(G1238="COMM-SU","BUSINESS",IF(G1238="COM-MTU","BUSINESS",IF(G1238="ENT","BUSINESS",""))))))</f>
        <v/>
      </c>
      <c r="G1238" s="1205">
        <f>'House Count'!F1238</f>
        <v/>
      </c>
      <c r="H1238" s="1205">
        <f>'House Count'!H1238</f>
        <v/>
      </c>
    </row>
    <row r="1239">
      <c r="A1239" s="1204">
        <f>'House Count'!A1239</f>
        <v/>
      </c>
      <c r="B1239" s="1205">
        <f>'House Count'!E1239</f>
        <v/>
      </c>
      <c r="C1239" s="1205">
        <f>'House Count'!B1239</f>
        <v/>
      </c>
      <c r="D1239" s="1205">
        <f>'House Count'!C1239</f>
        <v/>
      </c>
      <c r="E1239" s="1205">
        <f>'House Count'!D1239</f>
        <v/>
      </c>
      <c r="F1239" s="1205">
        <f>IF(G1239="RES-SFU","RESIDENTIAL",IF(G1239="RES-HOA","RESIDENTIAL",IF(G1239="RES-MDU","RESIDENTIAL",IF(G1239="COMM-SU","BUSINESS",IF(G1239="COM-MTU","BUSINESS",IF(G1239="ENT","BUSINESS",""))))))</f>
        <v/>
      </c>
      <c r="G1239" s="1205">
        <f>'House Count'!F1239</f>
        <v/>
      </c>
      <c r="H1239" s="1205">
        <f>'House Count'!H1239</f>
        <v/>
      </c>
    </row>
    <row r="1240">
      <c r="A1240" s="1204">
        <f>'House Count'!A1240</f>
        <v/>
      </c>
      <c r="B1240" s="1205">
        <f>'House Count'!E1240</f>
        <v/>
      </c>
      <c r="C1240" s="1205">
        <f>'House Count'!B1240</f>
        <v/>
      </c>
      <c r="D1240" s="1205">
        <f>'House Count'!C1240</f>
        <v/>
      </c>
      <c r="E1240" s="1205">
        <f>'House Count'!D1240</f>
        <v/>
      </c>
      <c r="F1240" s="1205">
        <f>IF(G1240="RES-SFU","RESIDENTIAL",IF(G1240="RES-HOA","RESIDENTIAL",IF(G1240="RES-MDU","RESIDENTIAL",IF(G1240="COMM-SU","BUSINESS",IF(G1240="COM-MTU","BUSINESS",IF(G1240="ENT","BUSINESS",""))))))</f>
        <v/>
      </c>
      <c r="G1240" s="1205">
        <f>'House Count'!F1240</f>
        <v/>
      </c>
      <c r="H1240" s="1205">
        <f>'House Count'!H1240</f>
        <v/>
      </c>
    </row>
    <row r="1241">
      <c r="A1241" s="1204">
        <f>'House Count'!A1241</f>
        <v/>
      </c>
      <c r="B1241" s="1205">
        <f>'House Count'!E1241</f>
        <v/>
      </c>
      <c r="C1241" s="1205">
        <f>'House Count'!B1241</f>
        <v/>
      </c>
      <c r="D1241" s="1205">
        <f>'House Count'!C1241</f>
        <v/>
      </c>
      <c r="E1241" s="1205">
        <f>'House Count'!D1241</f>
        <v/>
      </c>
      <c r="F1241" s="1205">
        <f>IF(G1241="RES-SFU","RESIDENTIAL",IF(G1241="RES-HOA","RESIDENTIAL",IF(G1241="RES-MDU","RESIDENTIAL",IF(G1241="COMM-SU","BUSINESS",IF(G1241="COM-MTU","BUSINESS",IF(G1241="ENT","BUSINESS",""))))))</f>
        <v/>
      </c>
      <c r="G1241" s="1205">
        <f>'House Count'!F1241</f>
        <v/>
      </c>
      <c r="H1241" s="1205">
        <f>'House Count'!H1241</f>
        <v/>
      </c>
    </row>
    <row r="1242">
      <c r="A1242" s="1204">
        <f>'House Count'!A1242</f>
        <v/>
      </c>
      <c r="B1242" s="1205">
        <f>'House Count'!E1242</f>
        <v/>
      </c>
      <c r="C1242" s="1205">
        <f>'House Count'!B1242</f>
        <v/>
      </c>
      <c r="D1242" s="1205">
        <f>'House Count'!C1242</f>
        <v/>
      </c>
      <c r="E1242" s="1205">
        <f>'House Count'!D1242</f>
        <v/>
      </c>
      <c r="F1242" s="1205">
        <f>IF(G1242="RES-SFU","RESIDENTIAL",IF(G1242="RES-HOA","RESIDENTIAL",IF(G1242="RES-MDU","RESIDENTIAL",IF(G1242="COMM-SU","BUSINESS",IF(G1242="COM-MTU","BUSINESS",IF(G1242="ENT","BUSINESS",""))))))</f>
        <v/>
      </c>
      <c r="G1242" s="1205">
        <f>'House Count'!F1242</f>
        <v/>
      </c>
      <c r="H1242" s="1205">
        <f>'House Count'!H1242</f>
        <v/>
      </c>
    </row>
    <row r="1243">
      <c r="A1243" s="1204">
        <f>'House Count'!A1243</f>
        <v/>
      </c>
      <c r="B1243" s="1205">
        <f>'House Count'!E1243</f>
        <v/>
      </c>
      <c r="C1243" s="1205">
        <f>'House Count'!B1243</f>
        <v/>
      </c>
      <c r="D1243" s="1205">
        <f>'House Count'!C1243</f>
        <v/>
      </c>
      <c r="E1243" s="1205">
        <f>'House Count'!D1243</f>
        <v/>
      </c>
      <c r="F1243" s="1205">
        <f>IF(G1243="RES-SFU","RESIDENTIAL",IF(G1243="RES-HOA","RESIDENTIAL",IF(G1243="RES-MDU","RESIDENTIAL",IF(G1243="COMM-SU","BUSINESS",IF(G1243="COM-MTU","BUSINESS",IF(G1243="ENT","BUSINESS",""))))))</f>
        <v/>
      </c>
      <c r="G1243" s="1205">
        <f>'House Count'!F1243</f>
        <v/>
      </c>
      <c r="H1243" s="1205">
        <f>'House Count'!H1243</f>
        <v/>
      </c>
    </row>
    <row r="1244">
      <c r="A1244" s="1204">
        <f>'House Count'!A1244</f>
        <v/>
      </c>
      <c r="B1244" s="1205">
        <f>'House Count'!E1244</f>
        <v/>
      </c>
      <c r="C1244" s="1205">
        <f>'House Count'!B1244</f>
        <v/>
      </c>
      <c r="D1244" s="1205">
        <f>'House Count'!C1244</f>
        <v/>
      </c>
      <c r="E1244" s="1205">
        <f>'House Count'!D1244</f>
        <v/>
      </c>
      <c r="F1244" s="1205">
        <f>IF(G1244="RES-SFU","RESIDENTIAL",IF(G1244="RES-HOA","RESIDENTIAL",IF(G1244="RES-MDU","RESIDENTIAL",IF(G1244="COMM-SU","BUSINESS",IF(G1244="COM-MTU","BUSINESS",IF(G1244="ENT","BUSINESS",""))))))</f>
        <v/>
      </c>
      <c r="G1244" s="1205">
        <f>'House Count'!F1244</f>
        <v/>
      </c>
      <c r="H1244" s="1205">
        <f>'House Count'!H1244</f>
        <v/>
      </c>
    </row>
    <row r="1245">
      <c r="A1245" s="1204">
        <f>'House Count'!A1245</f>
        <v/>
      </c>
      <c r="B1245" s="1205">
        <f>'House Count'!E1245</f>
        <v/>
      </c>
      <c r="C1245" s="1205">
        <f>'House Count'!B1245</f>
        <v/>
      </c>
      <c r="D1245" s="1205">
        <f>'House Count'!C1245</f>
        <v/>
      </c>
      <c r="E1245" s="1205">
        <f>'House Count'!D1245</f>
        <v/>
      </c>
      <c r="F1245" s="1205">
        <f>IF(G1245="RES-SFU","RESIDENTIAL",IF(G1245="RES-HOA","RESIDENTIAL",IF(G1245="RES-MDU","RESIDENTIAL",IF(G1245="COMM-SU","BUSINESS",IF(G1245="COM-MTU","BUSINESS",IF(G1245="ENT","BUSINESS",""))))))</f>
        <v/>
      </c>
      <c r="G1245" s="1205">
        <f>'House Count'!F1245</f>
        <v/>
      </c>
      <c r="H1245" s="1205">
        <f>'House Count'!H1245</f>
        <v/>
      </c>
    </row>
    <row r="1246">
      <c r="A1246" s="1204">
        <f>'House Count'!A1246</f>
        <v/>
      </c>
      <c r="B1246" s="1205">
        <f>'House Count'!E1246</f>
        <v/>
      </c>
      <c r="C1246" s="1205">
        <f>'House Count'!B1246</f>
        <v/>
      </c>
      <c r="D1246" s="1205">
        <f>'House Count'!C1246</f>
        <v/>
      </c>
      <c r="E1246" s="1205">
        <f>'House Count'!D1246</f>
        <v/>
      </c>
      <c r="F1246" s="1205">
        <f>IF(G1246="RES-SFU","RESIDENTIAL",IF(G1246="RES-HOA","RESIDENTIAL",IF(G1246="RES-MDU","RESIDENTIAL",IF(G1246="COMM-SU","BUSINESS",IF(G1246="COM-MTU","BUSINESS",IF(G1246="ENT","BUSINESS",""))))))</f>
        <v/>
      </c>
      <c r="G1246" s="1205">
        <f>'House Count'!F1246</f>
        <v/>
      </c>
      <c r="H1246" s="1205">
        <f>'House Count'!H1246</f>
        <v/>
      </c>
    </row>
    <row r="1247">
      <c r="A1247" s="1204">
        <f>'House Count'!A1247</f>
        <v/>
      </c>
      <c r="B1247" s="1205">
        <f>'House Count'!E1247</f>
        <v/>
      </c>
      <c r="C1247" s="1205">
        <f>'House Count'!B1247</f>
        <v/>
      </c>
      <c r="D1247" s="1205">
        <f>'House Count'!C1247</f>
        <v/>
      </c>
      <c r="E1247" s="1205">
        <f>'House Count'!D1247</f>
        <v/>
      </c>
      <c r="F1247" s="1205">
        <f>IF(G1247="RES-SFU","RESIDENTIAL",IF(G1247="RES-HOA","RESIDENTIAL",IF(G1247="RES-MDU","RESIDENTIAL",IF(G1247="COMM-SU","BUSINESS",IF(G1247="COM-MTU","BUSINESS",IF(G1247="ENT","BUSINESS",""))))))</f>
        <v/>
      </c>
      <c r="G1247" s="1205">
        <f>'House Count'!F1247</f>
        <v/>
      </c>
      <c r="H1247" s="1205">
        <f>'House Count'!H1247</f>
        <v/>
      </c>
    </row>
    <row r="1248">
      <c r="A1248" s="1204">
        <f>'House Count'!A1248</f>
        <v/>
      </c>
      <c r="B1248" s="1205">
        <f>'House Count'!E1248</f>
        <v/>
      </c>
      <c r="C1248" s="1205">
        <f>'House Count'!B1248</f>
        <v/>
      </c>
      <c r="D1248" s="1205">
        <f>'House Count'!C1248</f>
        <v/>
      </c>
      <c r="E1248" s="1205">
        <f>'House Count'!D1248</f>
        <v/>
      </c>
      <c r="F1248" s="1205">
        <f>IF(G1248="RES-SFU","RESIDENTIAL",IF(G1248="RES-HOA","RESIDENTIAL",IF(G1248="RES-MDU","RESIDENTIAL",IF(G1248="COMM-SU","BUSINESS",IF(G1248="COM-MTU","BUSINESS",IF(G1248="ENT","BUSINESS",""))))))</f>
        <v/>
      </c>
      <c r="G1248" s="1205">
        <f>'House Count'!F1248</f>
        <v/>
      </c>
      <c r="H1248" s="1205">
        <f>'House Count'!H1248</f>
        <v/>
      </c>
    </row>
    <row r="1249">
      <c r="A1249" s="1204">
        <f>'House Count'!A1249</f>
        <v/>
      </c>
      <c r="B1249" s="1205">
        <f>'House Count'!E1249</f>
        <v/>
      </c>
      <c r="C1249" s="1205">
        <f>'House Count'!B1249</f>
        <v/>
      </c>
      <c r="D1249" s="1205">
        <f>'House Count'!C1249</f>
        <v/>
      </c>
      <c r="E1249" s="1205">
        <f>'House Count'!D1249</f>
        <v/>
      </c>
      <c r="F1249" s="1205">
        <f>IF(G1249="RES-SFU","RESIDENTIAL",IF(G1249="RES-HOA","RESIDENTIAL",IF(G1249="RES-MDU","RESIDENTIAL",IF(G1249="COMM-SU","BUSINESS",IF(G1249="COM-MTU","BUSINESS",IF(G1249="ENT","BUSINESS",""))))))</f>
        <v/>
      </c>
      <c r="G1249" s="1205">
        <f>'House Count'!F1249</f>
        <v/>
      </c>
      <c r="H1249" s="1205">
        <f>'House Count'!H1249</f>
        <v/>
      </c>
    </row>
    <row r="1250">
      <c r="A1250" s="1204">
        <f>'House Count'!A1250</f>
        <v/>
      </c>
      <c r="B1250" s="1205">
        <f>'House Count'!E1250</f>
        <v/>
      </c>
      <c r="C1250" s="1205">
        <f>'House Count'!B1250</f>
        <v/>
      </c>
      <c r="D1250" s="1205">
        <f>'House Count'!C1250</f>
        <v/>
      </c>
      <c r="E1250" s="1205">
        <f>'House Count'!D1250</f>
        <v/>
      </c>
      <c r="F1250" s="1205">
        <f>IF(G1250="RES-SFU","RESIDENTIAL",IF(G1250="RES-HOA","RESIDENTIAL",IF(G1250="RES-MDU","RESIDENTIAL",IF(G1250="COMM-SU","BUSINESS",IF(G1250="COM-MTU","BUSINESS",IF(G1250="ENT","BUSINESS",""))))))</f>
        <v/>
      </c>
      <c r="G1250" s="1205">
        <f>'House Count'!F1250</f>
        <v/>
      </c>
      <c r="H1250" s="1205">
        <f>'House Count'!H1250</f>
        <v/>
      </c>
    </row>
    <row r="1251">
      <c r="A1251" s="1204">
        <f>'House Count'!A1251</f>
        <v/>
      </c>
      <c r="B1251" s="1205">
        <f>'House Count'!E1251</f>
        <v/>
      </c>
      <c r="C1251" s="1205">
        <f>'House Count'!B1251</f>
        <v/>
      </c>
      <c r="D1251" s="1205">
        <f>'House Count'!C1251</f>
        <v/>
      </c>
      <c r="E1251" s="1205">
        <f>'House Count'!D1251</f>
        <v/>
      </c>
      <c r="F1251" s="1205">
        <f>IF(G1251="RES-SFU","RESIDENTIAL",IF(G1251="RES-HOA","RESIDENTIAL",IF(G1251="RES-MDU","RESIDENTIAL",IF(G1251="COMM-SU","BUSINESS",IF(G1251="COM-MTU","BUSINESS",IF(G1251="ENT","BUSINESS",""))))))</f>
        <v/>
      </c>
      <c r="G1251" s="1205">
        <f>'House Count'!F1251</f>
        <v/>
      </c>
      <c r="H1251" s="1205">
        <f>'House Count'!H1251</f>
        <v/>
      </c>
    </row>
    <row r="1252">
      <c r="A1252" s="1204">
        <f>'House Count'!A1252</f>
        <v/>
      </c>
      <c r="B1252" s="1205">
        <f>'House Count'!E1252</f>
        <v/>
      </c>
      <c r="C1252" s="1205">
        <f>'House Count'!B1252</f>
        <v/>
      </c>
      <c r="D1252" s="1205">
        <f>'House Count'!C1252</f>
        <v/>
      </c>
      <c r="E1252" s="1205">
        <f>'House Count'!D1252</f>
        <v/>
      </c>
      <c r="F1252" s="1205">
        <f>IF(G1252="RES-SFU","RESIDENTIAL",IF(G1252="RES-HOA","RESIDENTIAL",IF(G1252="RES-MDU","RESIDENTIAL",IF(G1252="COMM-SU","BUSINESS",IF(G1252="COM-MTU","BUSINESS",IF(G1252="ENT","BUSINESS",""))))))</f>
        <v/>
      </c>
      <c r="G1252" s="1205">
        <f>'House Count'!F1252</f>
        <v/>
      </c>
      <c r="H1252" s="1205">
        <f>'House Count'!H1252</f>
        <v/>
      </c>
    </row>
    <row r="1253">
      <c r="A1253" s="1204">
        <f>'House Count'!A1253</f>
        <v/>
      </c>
      <c r="B1253" s="1205">
        <f>'House Count'!E1253</f>
        <v/>
      </c>
      <c r="C1253" s="1205">
        <f>'House Count'!B1253</f>
        <v/>
      </c>
      <c r="D1253" s="1205">
        <f>'House Count'!C1253</f>
        <v/>
      </c>
      <c r="E1253" s="1205">
        <f>'House Count'!D1253</f>
        <v/>
      </c>
      <c r="F1253" s="1205">
        <f>IF(G1253="RES-SFU","RESIDENTIAL",IF(G1253="RES-HOA","RESIDENTIAL",IF(G1253="RES-MDU","RESIDENTIAL",IF(G1253="COMM-SU","BUSINESS",IF(G1253="COM-MTU","BUSINESS",IF(G1253="ENT","BUSINESS",""))))))</f>
        <v/>
      </c>
      <c r="G1253" s="1205">
        <f>'House Count'!F1253</f>
        <v/>
      </c>
      <c r="H1253" s="1205">
        <f>'House Count'!H1253</f>
        <v/>
      </c>
    </row>
    <row r="1254">
      <c r="A1254" s="1204">
        <f>'House Count'!A1254</f>
        <v/>
      </c>
      <c r="B1254" s="1205">
        <f>'House Count'!E1254</f>
        <v/>
      </c>
      <c r="C1254" s="1205">
        <f>'House Count'!B1254</f>
        <v/>
      </c>
      <c r="D1254" s="1205">
        <f>'House Count'!C1254</f>
        <v/>
      </c>
      <c r="E1254" s="1205">
        <f>'House Count'!D1254</f>
        <v/>
      </c>
      <c r="F1254" s="1205">
        <f>IF(G1254="RES-SFU","RESIDENTIAL",IF(G1254="RES-HOA","RESIDENTIAL",IF(G1254="RES-MDU","RESIDENTIAL",IF(G1254="COMM-SU","BUSINESS",IF(G1254="COM-MTU","BUSINESS",IF(G1254="ENT","BUSINESS",""))))))</f>
        <v/>
      </c>
      <c r="G1254" s="1205">
        <f>'House Count'!F1254</f>
        <v/>
      </c>
      <c r="H1254" s="1205">
        <f>'House Count'!H1254</f>
        <v/>
      </c>
    </row>
    <row r="1255">
      <c r="A1255" s="1204">
        <f>'House Count'!A1255</f>
        <v/>
      </c>
      <c r="B1255" s="1205">
        <f>'House Count'!E1255</f>
        <v/>
      </c>
      <c r="C1255" s="1205">
        <f>'House Count'!B1255</f>
        <v/>
      </c>
      <c r="D1255" s="1205">
        <f>'House Count'!C1255</f>
        <v/>
      </c>
      <c r="E1255" s="1205">
        <f>'House Count'!D1255</f>
        <v/>
      </c>
      <c r="F1255" s="1205">
        <f>IF(G1255="RES-SFU","RESIDENTIAL",IF(G1255="RES-HOA","RESIDENTIAL",IF(G1255="RES-MDU","RESIDENTIAL",IF(G1255="COMM-SU","BUSINESS",IF(G1255="COM-MTU","BUSINESS",IF(G1255="ENT","BUSINESS",""))))))</f>
        <v/>
      </c>
      <c r="G1255" s="1205">
        <f>'House Count'!F1255</f>
        <v/>
      </c>
      <c r="H1255" s="1205">
        <f>'House Count'!H1255</f>
        <v/>
      </c>
    </row>
    <row r="1256">
      <c r="A1256" s="1204">
        <f>'House Count'!A1256</f>
        <v/>
      </c>
      <c r="B1256" s="1205">
        <f>'House Count'!E1256</f>
        <v/>
      </c>
      <c r="C1256" s="1205">
        <f>'House Count'!B1256</f>
        <v/>
      </c>
      <c r="D1256" s="1205">
        <f>'House Count'!C1256</f>
        <v/>
      </c>
      <c r="E1256" s="1205">
        <f>'House Count'!D1256</f>
        <v/>
      </c>
      <c r="F1256" s="1205">
        <f>IF(G1256="RES-SFU","RESIDENTIAL",IF(G1256="RES-HOA","RESIDENTIAL",IF(G1256="RES-MDU","RESIDENTIAL",IF(G1256="COMM-SU","BUSINESS",IF(G1256="COM-MTU","BUSINESS",IF(G1256="ENT","BUSINESS",""))))))</f>
        <v/>
      </c>
      <c r="G1256" s="1205">
        <f>'House Count'!F1256</f>
        <v/>
      </c>
      <c r="H1256" s="1205">
        <f>'House Count'!H1256</f>
        <v/>
      </c>
    </row>
    <row r="1257">
      <c r="A1257" s="1204">
        <f>'House Count'!A1257</f>
        <v/>
      </c>
      <c r="B1257" s="1205">
        <f>'House Count'!E1257</f>
        <v/>
      </c>
      <c r="C1257" s="1205">
        <f>'House Count'!B1257</f>
        <v/>
      </c>
      <c r="D1257" s="1205">
        <f>'House Count'!C1257</f>
        <v/>
      </c>
      <c r="E1257" s="1205">
        <f>'House Count'!D1257</f>
        <v/>
      </c>
      <c r="F1257" s="1205">
        <f>IF(G1257="RES-SFU","RESIDENTIAL",IF(G1257="RES-HOA","RESIDENTIAL",IF(G1257="RES-MDU","RESIDENTIAL",IF(G1257="COMM-SU","BUSINESS",IF(G1257="COM-MTU","BUSINESS",IF(G1257="ENT","BUSINESS",""))))))</f>
        <v/>
      </c>
      <c r="G1257" s="1205">
        <f>'House Count'!F1257</f>
        <v/>
      </c>
      <c r="H1257" s="1205">
        <f>'House Count'!H1257</f>
        <v/>
      </c>
    </row>
    <row r="1258">
      <c r="A1258" s="1204">
        <f>'House Count'!A1258</f>
        <v/>
      </c>
      <c r="B1258" s="1205">
        <f>'House Count'!E1258</f>
        <v/>
      </c>
      <c r="C1258" s="1205">
        <f>'House Count'!B1258</f>
        <v/>
      </c>
      <c r="D1258" s="1205">
        <f>'House Count'!C1258</f>
        <v/>
      </c>
      <c r="E1258" s="1205">
        <f>'House Count'!D1258</f>
        <v/>
      </c>
      <c r="F1258" s="1205">
        <f>IF(G1258="RES-SFU","RESIDENTIAL",IF(G1258="RES-HOA","RESIDENTIAL",IF(G1258="RES-MDU","RESIDENTIAL",IF(G1258="COMM-SU","BUSINESS",IF(G1258="COM-MTU","BUSINESS",IF(G1258="ENT","BUSINESS",""))))))</f>
        <v/>
      </c>
      <c r="G1258" s="1205">
        <f>'House Count'!F1258</f>
        <v/>
      </c>
      <c r="H1258" s="1205">
        <f>'House Count'!H1258</f>
        <v/>
      </c>
    </row>
    <row r="1259">
      <c r="A1259" s="1204">
        <f>'House Count'!A1259</f>
        <v/>
      </c>
      <c r="B1259" s="1205">
        <f>'House Count'!E1259</f>
        <v/>
      </c>
      <c r="C1259" s="1205">
        <f>'House Count'!B1259</f>
        <v/>
      </c>
      <c r="D1259" s="1205">
        <f>'House Count'!C1259</f>
        <v/>
      </c>
      <c r="E1259" s="1205">
        <f>'House Count'!D1259</f>
        <v/>
      </c>
      <c r="F1259" s="1205">
        <f>IF(G1259="RES-SFU","RESIDENTIAL",IF(G1259="RES-HOA","RESIDENTIAL",IF(G1259="RES-MDU","RESIDENTIAL",IF(G1259="COMM-SU","BUSINESS",IF(G1259="COM-MTU","BUSINESS",IF(G1259="ENT","BUSINESS",""))))))</f>
        <v/>
      </c>
      <c r="G1259" s="1205">
        <f>'House Count'!F1259</f>
        <v/>
      </c>
      <c r="H1259" s="1205">
        <f>'House Count'!H1259</f>
        <v/>
      </c>
    </row>
    <row r="1260">
      <c r="A1260" s="1204">
        <f>'House Count'!A1260</f>
        <v/>
      </c>
      <c r="B1260" s="1205">
        <f>'House Count'!E1260</f>
        <v/>
      </c>
      <c r="C1260" s="1205">
        <f>'House Count'!B1260</f>
        <v/>
      </c>
      <c r="D1260" s="1205">
        <f>'House Count'!C1260</f>
        <v/>
      </c>
      <c r="E1260" s="1205">
        <f>'House Count'!D1260</f>
        <v/>
      </c>
      <c r="F1260" s="1205">
        <f>IF(G1260="RES-SFU","RESIDENTIAL",IF(G1260="RES-HOA","RESIDENTIAL",IF(G1260="RES-MDU","RESIDENTIAL",IF(G1260="COMM-SU","BUSINESS",IF(G1260="COM-MTU","BUSINESS",IF(G1260="ENT","BUSINESS",""))))))</f>
        <v/>
      </c>
      <c r="G1260" s="1205">
        <f>'House Count'!F1260</f>
        <v/>
      </c>
      <c r="H1260" s="1205">
        <f>'House Count'!H1260</f>
        <v/>
      </c>
    </row>
    <row r="1261">
      <c r="A1261" s="1204">
        <f>'House Count'!A1261</f>
        <v/>
      </c>
      <c r="B1261" s="1205">
        <f>'House Count'!E1261</f>
        <v/>
      </c>
      <c r="C1261" s="1205">
        <f>'House Count'!B1261</f>
        <v/>
      </c>
      <c r="D1261" s="1205">
        <f>'House Count'!C1261</f>
        <v/>
      </c>
      <c r="E1261" s="1205">
        <f>'House Count'!D1261</f>
        <v/>
      </c>
      <c r="F1261" s="1205">
        <f>IF(G1261="RES-SFU","RESIDENTIAL",IF(G1261="RES-HOA","RESIDENTIAL",IF(G1261="RES-MDU","RESIDENTIAL",IF(G1261="COMM-SU","BUSINESS",IF(G1261="COM-MTU","BUSINESS",IF(G1261="ENT","BUSINESS",""))))))</f>
        <v/>
      </c>
      <c r="G1261" s="1205">
        <f>'House Count'!F1261</f>
        <v/>
      </c>
      <c r="H1261" s="1205">
        <f>'House Count'!H1261</f>
        <v/>
      </c>
    </row>
    <row r="1262">
      <c r="A1262" s="1204">
        <f>'House Count'!A1262</f>
        <v/>
      </c>
      <c r="B1262" s="1205">
        <f>'House Count'!E1262</f>
        <v/>
      </c>
      <c r="C1262" s="1205">
        <f>'House Count'!B1262</f>
        <v/>
      </c>
      <c r="D1262" s="1205">
        <f>'House Count'!C1262</f>
        <v/>
      </c>
      <c r="E1262" s="1205">
        <f>'House Count'!D1262</f>
        <v/>
      </c>
      <c r="F1262" s="1205">
        <f>IF(G1262="RES-SFU","RESIDENTIAL",IF(G1262="RES-HOA","RESIDENTIAL",IF(G1262="RES-MDU","RESIDENTIAL",IF(G1262="COMM-SU","BUSINESS",IF(G1262="COM-MTU","BUSINESS",IF(G1262="ENT","BUSINESS",""))))))</f>
        <v/>
      </c>
      <c r="G1262" s="1205">
        <f>'House Count'!F1262</f>
        <v/>
      </c>
      <c r="H1262" s="1205">
        <f>'House Count'!H1262</f>
        <v/>
      </c>
    </row>
    <row r="1263">
      <c r="A1263" s="1204">
        <f>'House Count'!A1263</f>
        <v/>
      </c>
      <c r="B1263" s="1205">
        <f>'House Count'!E1263</f>
        <v/>
      </c>
      <c r="C1263" s="1205">
        <f>'House Count'!B1263</f>
        <v/>
      </c>
      <c r="D1263" s="1205">
        <f>'House Count'!C1263</f>
        <v/>
      </c>
      <c r="E1263" s="1205">
        <f>'House Count'!D1263</f>
        <v/>
      </c>
      <c r="F1263" s="1205">
        <f>IF(G1263="RES-SFU","RESIDENTIAL",IF(G1263="RES-HOA","RESIDENTIAL",IF(G1263="RES-MDU","RESIDENTIAL",IF(G1263="COMM-SU","BUSINESS",IF(G1263="COM-MTU","BUSINESS",IF(G1263="ENT","BUSINESS",""))))))</f>
        <v/>
      </c>
      <c r="G1263" s="1205">
        <f>'House Count'!F1263</f>
        <v/>
      </c>
      <c r="H1263" s="1205">
        <f>'House Count'!H1263</f>
        <v/>
      </c>
    </row>
    <row r="1264">
      <c r="A1264" s="1204">
        <f>'House Count'!A1264</f>
        <v/>
      </c>
      <c r="B1264" s="1205">
        <f>'House Count'!E1264</f>
        <v/>
      </c>
      <c r="C1264" s="1205">
        <f>'House Count'!B1264</f>
        <v/>
      </c>
      <c r="D1264" s="1205">
        <f>'House Count'!C1264</f>
        <v/>
      </c>
      <c r="E1264" s="1205">
        <f>'House Count'!D1264</f>
        <v/>
      </c>
      <c r="F1264" s="1205">
        <f>IF(G1264="RES-SFU","RESIDENTIAL",IF(G1264="RES-HOA","RESIDENTIAL",IF(G1264="RES-MDU","RESIDENTIAL",IF(G1264="COMM-SU","BUSINESS",IF(G1264="COM-MTU","BUSINESS",IF(G1264="ENT","BUSINESS",""))))))</f>
        <v/>
      </c>
      <c r="G1264" s="1205">
        <f>'House Count'!F1264</f>
        <v/>
      </c>
      <c r="H1264" s="1205">
        <f>'House Count'!H1264</f>
        <v/>
      </c>
    </row>
    <row r="1265">
      <c r="A1265" s="1204">
        <f>'House Count'!A1265</f>
        <v/>
      </c>
      <c r="B1265" s="1205">
        <f>'House Count'!E1265</f>
        <v/>
      </c>
      <c r="C1265" s="1205">
        <f>'House Count'!B1265</f>
        <v/>
      </c>
      <c r="D1265" s="1205">
        <f>'House Count'!C1265</f>
        <v/>
      </c>
      <c r="E1265" s="1205">
        <f>'House Count'!D1265</f>
        <v/>
      </c>
      <c r="F1265" s="1205">
        <f>IF(G1265="RES-SFU","RESIDENTIAL",IF(G1265="RES-HOA","RESIDENTIAL",IF(G1265="RES-MDU","RESIDENTIAL",IF(G1265="COMM-SU","BUSINESS",IF(G1265="COM-MTU","BUSINESS",IF(G1265="ENT","BUSINESS",""))))))</f>
        <v/>
      </c>
      <c r="G1265" s="1205">
        <f>'House Count'!F1265</f>
        <v/>
      </c>
      <c r="H1265" s="1205">
        <f>'House Count'!H1265</f>
        <v/>
      </c>
    </row>
    <row r="1266">
      <c r="A1266" s="1204">
        <f>'House Count'!A1266</f>
        <v/>
      </c>
      <c r="B1266" s="1205">
        <f>'House Count'!E1266</f>
        <v/>
      </c>
      <c r="C1266" s="1205">
        <f>'House Count'!B1266</f>
        <v/>
      </c>
      <c r="D1266" s="1205">
        <f>'House Count'!C1266</f>
        <v/>
      </c>
      <c r="E1266" s="1205">
        <f>'House Count'!D1266</f>
        <v/>
      </c>
      <c r="F1266" s="1205">
        <f>IF(G1266="RES-SFU","RESIDENTIAL",IF(G1266="RES-HOA","RESIDENTIAL",IF(G1266="RES-MDU","RESIDENTIAL",IF(G1266="COMM-SU","BUSINESS",IF(G1266="COM-MTU","BUSINESS",IF(G1266="ENT","BUSINESS",""))))))</f>
        <v/>
      </c>
      <c r="G1266" s="1205">
        <f>'House Count'!F1266</f>
        <v/>
      </c>
      <c r="H1266" s="1205">
        <f>'House Count'!H1266</f>
        <v/>
      </c>
    </row>
    <row r="1267">
      <c r="A1267" s="1204">
        <f>'House Count'!A1267</f>
        <v/>
      </c>
      <c r="B1267" s="1205">
        <f>'House Count'!E1267</f>
        <v/>
      </c>
      <c r="C1267" s="1205">
        <f>'House Count'!B1267</f>
        <v/>
      </c>
      <c r="D1267" s="1205">
        <f>'House Count'!C1267</f>
        <v/>
      </c>
      <c r="E1267" s="1205">
        <f>'House Count'!D1267</f>
        <v/>
      </c>
      <c r="F1267" s="1205">
        <f>IF(G1267="RES-SFU","RESIDENTIAL",IF(G1267="RES-HOA","RESIDENTIAL",IF(G1267="RES-MDU","RESIDENTIAL",IF(G1267="COMM-SU","BUSINESS",IF(G1267="COM-MTU","BUSINESS",IF(G1267="ENT","BUSINESS",""))))))</f>
        <v/>
      </c>
      <c r="G1267" s="1205">
        <f>'House Count'!F1267</f>
        <v/>
      </c>
      <c r="H1267" s="1205">
        <f>'House Count'!H1267</f>
        <v/>
      </c>
    </row>
    <row r="1268">
      <c r="A1268" s="1204">
        <f>'House Count'!A1268</f>
        <v/>
      </c>
      <c r="B1268" s="1205">
        <f>'House Count'!E1268</f>
        <v/>
      </c>
      <c r="C1268" s="1205">
        <f>'House Count'!B1268</f>
        <v/>
      </c>
      <c r="D1268" s="1205">
        <f>'House Count'!C1268</f>
        <v/>
      </c>
      <c r="E1268" s="1205">
        <f>'House Count'!D1268</f>
        <v/>
      </c>
      <c r="F1268" s="1205">
        <f>IF(G1268="RES-SFU","RESIDENTIAL",IF(G1268="RES-HOA","RESIDENTIAL",IF(G1268="RES-MDU","RESIDENTIAL",IF(G1268="COMM-SU","BUSINESS",IF(G1268="COM-MTU","BUSINESS",IF(G1268="ENT","BUSINESS",""))))))</f>
        <v/>
      </c>
      <c r="G1268" s="1205">
        <f>'House Count'!F1268</f>
        <v/>
      </c>
      <c r="H1268" s="1205">
        <f>'House Count'!H1268</f>
        <v/>
      </c>
    </row>
    <row r="1269">
      <c r="A1269" s="1204">
        <f>'House Count'!A1269</f>
        <v/>
      </c>
      <c r="B1269" s="1205">
        <f>'House Count'!E1269</f>
        <v/>
      </c>
      <c r="C1269" s="1205">
        <f>'House Count'!B1269</f>
        <v/>
      </c>
      <c r="D1269" s="1205">
        <f>'House Count'!C1269</f>
        <v/>
      </c>
      <c r="E1269" s="1205">
        <f>'House Count'!D1269</f>
        <v/>
      </c>
      <c r="F1269" s="1205">
        <f>IF(G1269="RES-SFU","RESIDENTIAL",IF(G1269="RES-HOA","RESIDENTIAL",IF(G1269="RES-MDU","RESIDENTIAL",IF(G1269="COMM-SU","BUSINESS",IF(G1269="COM-MTU","BUSINESS",IF(G1269="ENT","BUSINESS",""))))))</f>
        <v/>
      </c>
      <c r="G1269" s="1205">
        <f>'House Count'!F1269</f>
        <v/>
      </c>
      <c r="H1269" s="1205">
        <f>'House Count'!H1269</f>
        <v/>
      </c>
    </row>
    <row r="1270">
      <c r="A1270" s="1204">
        <f>'House Count'!A1270</f>
        <v/>
      </c>
      <c r="B1270" s="1205">
        <f>'House Count'!E1270</f>
        <v/>
      </c>
      <c r="C1270" s="1205">
        <f>'House Count'!B1270</f>
        <v/>
      </c>
      <c r="D1270" s="1205">
        <f>'House Count'!C1270</f>
        <v/>
      </c>
      <c r="E1270" s="1205">
        <f>'House Count'!D1270</f>
        <v/>
      </c>
      <c r="F1270" s="1205">
        <f>IF(G1270="RES-SFU","RESIDENTIAL",IF(G1270="RES-HOA","RESIDENTIAL",IF(G1270="RES-MDU","RESIDENTIAL",IF(G1270="COMM-SU","BUSINESS",IF(G1270="COM-MTU","BUSINESS",IF(G1270="ENT","BUSINESS",""))))))</f>
        <v/>
      </c>
      <c r="G1270" s="1205">
        <f>'House Count'!F1270</f>
        <v/>
      </c>
      <c r="H1270" s="1205">
        <f>'House Count'!H1270</f>
        <v/>
      </c>
    </row>
    <row r="1271">
      <c r="A1271" s="1204">
        <f>'House Count'!A1271</f>
        <v/>
      </c>
      <c r="B1271" s="1205">
        <f>'House Count'!E1271</f>
        <v/>
      </c>
      <c r="C1271" s="1205">
        <f>'House Count'!B1271</f>
        <v/>
      </c>
      <c r="D1271" s="1205">
        <f>'House Count'!C1271</f>
        <v/>
      </c>
      <c r="E1271" s="1205">
        <f>'House Count'!D1271</f>
        <v/>
      </c>
      <c r="F1271" s="1205">
        <f>IF(G1271="RES-SFU","RESIDENTIAL",IF(G1271="RES-HOA","RESIDENTIAL",IF(G1271="RES-MDU","RESIDENTIAL",IF(G1271="COMM-SU","BUSINESS",IF(G1271="COM-MTU","BUSINESS",IF(G1271="ENT","BUSINESS",""))))))</f>
        <v/>
      </c>
      <c r="G1271" s="1205">
        <f>'House Count'!F1271</f>
        <v/>
      </c>
      <c r="H1271" s="1205">
        <f>'House Count'!H1271</f>
        <v/>
      </c>
    </row>
    <row r="1272">
      <c r="A1272" s="1204">
        <f>'House Count'!A1272</f>
        <v/>
      </c>
      <c r="B1272" s="1205">
        <f>'House Count'!E1272</f>
        <v/>
      </c>
      <c r="C1272" s="1205">
        <f>'House Count'!B1272</f>
        <v/>
      </c>
      <c r="D1272" s="1205">
        <f>'House Count'!C1272</f>
        <v/>
      </c>
      <c r="E1272" s="1205">
        <f>'House Count'!D1272</f>
        <v/>
      </c>
      <c r="F1272" s="1205">
        <f>IF(G1272="RES-SFU","RESIDENTIAL",IF(G1272="RES-HOA","RESIDENTIAL",IF(G1272="RES-MDU","RESIDENTIAL",IF(G1272="COMM-SU","BUSINESS",IF(G1272="COM-MTU","BUSINESS",IF(G1272="ENT","BUSINESS",""))))))</f>
        <v/>
      </c>
      <c r="G1272" s="1205">
        <f>'House Count'!F1272</f>
        <v/>
      </c>
      <c r="H1272" s="1205">
        <f>'House Count'!H1272</f>
        <v/>
      </c>
    </row>
    <row r="1273">
      <c r="A1273" s="1204">
        <f>'House Count'!A1273</f>
        <v/>
      </c>
      <c r="B1273" s="1205">
        <f>'House Count'!E1273</f>
        <v/>
      </c>
      <c r="C1273" s="1205">
        <f>'House Count'!B1273</f>
        <v/>
      </c>
      <c r="D1273" s="1205">
        <f>'House Count'!C1273</f>
        <v/>
      </c>
      <c r="E1273" s="1205">
        <f>'House Count'!D1273</f>
        <v/>
      </c>
      <c r="F1273" s="1205">
        <f>IF(G1273="RES-SFU","RESIDENTIAL",IF(G1273="RES-HOA","RESIDENTIAL",IF(G1273="RES-MDU","RESIDENTIAL",IF(G1273="COMM-SU","BUSINESS",IF(G1273="COM-MTU","BUSINESS",IF(G1273="ENT","BUSINESS",""))))))</f>
        <v/>
      </c>
      <c r="G1273" s="1205">
        <f>'House Count'!F1273</f>
        <v/>
      </c>
      <c r="H1273" s="1205">
        <f>'House Count'!H1273</f>
        <v/>
      </c>
    </row>
    <row r="1274">
      <c r="A1274" s="1204">
        <f>'House Count'!A1274</f>
        <v/>
      </c>
      <c r="B1274" s="1205">
        <f>'House Count'!E1274</f>
        <v/>
      </c>
      <c r="C1274" s="1205">
        <f>'House Count'!B1274</f>
        <v/>
      </c>
      <c r="D1274" s="1205">
        <f>'House Count'!C1274</f>
        <v/>
      </c>
      <c r="E1274" s="1205">
        <f>'House Count'!D1274</f>
        <v/>
      </c>
      <c r="F1274" s="1205">
        <f>IF(G1274="RES-SFU","RESIDENTIAL",IF(G1274="RES-HOA","RESIDENTIAL",IF(G1274="RES-MDU","RESIDENTIAL",IF(G1274="COMM-SU","BUSINESS",IF(G1274="COM-MTU","BUSINESS",IF(G1274="ENT","BUSINESS",""))))))</f>
        <v/>
      </c>
      <c r="G1274" s="1205">
        <f>'House Count'!F1274</f>
        <v/>
      </c>
      <c r="H1274" s="1205">
        <f>'House Count'!H1274</f>
        <v/>
      </c>
    </row>
    <row r="1275">
      <c r="A1275" s="1204">
        <f>'House Count'!A1275</f>
        <v/>
      </c>
      <c r="B1275" s="1205">
        <f>'House Count'!E1275</f>
        <v/>
      </c>
      <c r="C1275" s="1205">
        <f>'House Count'!B1275</f>
        <v/>
      </c>
      <c r="D1275" s="1205">
        <f>'House Count'!C1275</f>
        <v/>
      </c>
      <c r="E1275" s="1205">
        <f>'House Count'!D1275</f>
        <v/>
      </c>
      <c r="F1275" s="1205">
        <f>IF(G1275="RES-SFU","RESIDENTIAL",IF(G1275="RES-HOA","RESIDENTIAL",IF(G1275="RES-MDU","RESIDENTIAL",IF(G1275="COMM-SU","BUSINESS",IF(G1275="COM-MTU","BUSINESS",IF(G1275="ENT","BUSINESS",""))))))</f>
        <v/>
      </c>
      <c r="G1275" s="1205">
        <f>'House Count'!F1275</f>
        <v/>
      </c>
      <c r="H1275" s="1205">
        <f>'House Count'!H1275</f>
        <v/>
      </c>
    </row>
    <row r="1276">
      <c r="A1276" s="1204">
        <f>'House Count'!A1276</f>
        <v/>
      </c>
      <c r="B1276" s="1205">
        <f>'House Count'!E1276</f>
        <v/>
      </c>
      <c r="C1276" s="1205">
        <f>'House Count'!B1276</f>
        <v/>
      </c>
      <c r="D1276" s="1205">
        <f>'House Count'!C1276</f>
        <v/>
      </c>
      <c r="E1276" s="1205">
        <f>'House Count'!D1276</f>
        <v/>
      </c>
      <c r="F1276" s="1205">
        <f>IF(G1276="RES-SFU","RESIDENTIAL",IF(G1276="RES-HOA","RESIDENTIAL",IF(G1276="RES-MDU","RESIDENTIAL",IF(G1276="COMM-SU","BUSINESS",IF(G1276="COM-MTU","BUSINESS",IF(G1276="ENT","BUSINESS",""))))))</f>
        <v/>
      </c>
      <c r="G1276" s="1205">
        <f>'House Count'!F1276</f>
        <v/>
      </c>
      <c r="H1276" s="1205">
        <f>'House Count'!H1276</f>
        <v/>
      </c>
    </row>
    <row r="1277">
      <c r="A1277" s="1204">
        <f>'House Count'!A1277</f>
        <v/>
      </c>
      <c r="B1277" s="1205">
        <f>'House Count'!E1277</f>
        <v/>
      </c>
      <c r="C1277" s="1205">
        <f>'House Count'!B1277</f>
        <v/>
      </c>
      <c r="D1277" s="1205">
        <f>'House Count'!C1277</f>
        <v/>
      </c>
      <c r="E1277" s="1205">
        <f>'House Count'!D1277</f>
        <v/>
      </c>
      <c r="F1277" s="1205">
        <f>IF(G1277="RES-SFU","RESIDENTIAL",IF(G1277="RES-HOA","RESIDENTIAL",IF(G1277="RES-MDU","RESIDENTIAL",IF(G1277="COMM-SU","BUSINESS",IF(G1277="COM-MTU","BUSINESS",IF(G1277="ENT","BUSINESS",""))))))</f>
        <v/>
      </c>
      <c r="G1277" s="1205">
        <f>'House Count'!F1277</f>
        <v/>
      </c>
      <c r="H1277" s="1205">
        <f>'House Count'!H1277</f>
        <v/>
      </c>
    </row>
    <row r="1278">
      <c r="A1278" s="1204">
        <f>'House Count'!A1278</f>
        <v/>
      </c>
      <c r="B1278" s="1205">
        <f>'House Count'!E1278</f>
        <v/>
      </c>
      <c r="C1278" s="1205">
        <f>'House Count'!B1278</f>
        <v/>
      </c>
      <c r="D1278" s="1205">
        <f>'House Count'!C1278</f>
        <v/>
      </c>
      <c r="E1278" s="1205">
        <f>'House Count'!D1278</f>
        <v/>
      </c>
      <c r="F1278" s="1205">
        <f>IF(G1278="RES-SFU","RESIDENTIAL",IF(G1278="RES-HOA","RESIDENTIAL",IF(G1278="RES-MDU","RESIDENTIAL",IF(G1278="COMM-SU","BUSINESS",IF(G1278="COM-MTU","BUSINESS",IF(G1278="ENT","BUSINESS",""))))))</f>
        <v/>
      </c>
      <c r="G1278" s="1205">
        <f>'House Count'!F1278</f>
        <v/>
      </c>
      <c r="H1278" s="1205">
        <f>'House Count'!H1278</f>
        <v/>
      </c>
    </row>
    <row r="1279">
      <c r="A1279" s="1204">
        <f>'House Count'!A1279</f>
        <v/>
      </c>
      <c r="B1279" s="1205">
        <f>'House Count'!E1279</f>
        <v/>
      </c>
      <c r="C1279" s="1205">
        <f>'House Count'!B1279</f>
        <v/>
      </c>
      <c r="D1279" s="1205">
        <f>'House Count'!C1279</f>
        <v/>
      </c>
      <c r="E1279" s="1205">
        <f>'House Count'!D1279</f>
        <v/>
      </c>
      <c r="F1279" s="1205">
        <f>IF(G1279="RES-SFU","RESIDENTIAL",IF(G1279="RES-HOA","RESIDENTIAL",IF(G1279="RES-MDU","RESIDENTIAL",IF(G1279="COMM-SU","BUSINESS",IF(G1279="COM-MTU","BUSINESS",IF(G1279="ENT","BUSINESS",""))))))</f>
        <v/>
      </c>
      <c r="G1279" s="1205">
        <f>'House Count'!F1279</f>
        <v/>
      </c>
      <c r="H1279" s="1205">
        <f>'House Count'!H1279</f>
        <v/>
      </c>
    </row>
    <row r="1280">
      <c r="A1280" s="1204">
        <f>'House Count'!A1280</f>
        <v/>
      </c>
      <c r="B1280" s="1205">
        <f>'House Count'!E1280</f>
        <v/>
      </c>
      <c r="C1280" s="1205">
        <f>'House Count'!B1280</f>
        <v/>
      </c>
      <c r="D1280" s="1205">
        <f>'House Count'!C1280</f>
        <v/>
      </c>
      <c r="E1280" s="1205">
        <f>'House Count'!D1280</f>
        <v/>
      </c>
      <c r="F1280" s="1205">
        <f>IF(G1280="RES-SFU","RESIDENTIAL",IF(G1280="RES-HOA","RESIDENTIAL",IF(G1280="RES-MDU","RESIDENTIAL",IF(G1280="COMM-SU","BUSINESS",IF(G1280="COM-MTU","BUSINESS",IF(G1280="ENT","BUSINESS",""))))))</f>
        <v/>
      </c>
      <c r="G1280" s="1205">
        <f>'House Count'!F1280</f>
        <v/>
      </c>
      <c r="H1280" s="1205">
        <f>'House Count'!H1280</f>
        <v/>
      </c>
    </row>
    <row r="1281">
      <c r="A1281" s="1204">
        <f>'House Count'!A1281</f>
        <v/>
      </c>
      <c r="B1281" s="1205">
        <f>'House Count'!E1281</f>
        <v/>
      </c>
      <c r="C1281" s="1205">
        <f>'House Count'!B1281</f>
        <v/>
      </c>
      <c r="D1281" s="1205">
        <f>'House Count'!C1281</f>
        <v/>
      </c>
      <c r="E1281" s="1205">
        <f>'House Count'!D1281</f>
        <v/>
      </c>
      <c r="F1281" s="1205">
        <f>IF(G1281="RES-SFU","RESIDENTIAL",IF(G1281="RES-HOA","RESIDENTIAL",IF(G1281="RES-MDU","RESIDENTIAL",IF(G1281="COMM-SU","BUSINESS",IF(G1281="COM-MTU","BUSINESS",IF(G1281="ENT","BUSINESS",""))))))</f>
        <v/>
      </c>
      <c r="G1281" s="1205">
        <f>'House Count'!F1281</f>
        <v/>
      </c>
      <c r="H1281" s="1205">
        <f>'House Count'!H1281</f>
        <v/>
      </c>
    </row>
    <row r="1282">
      <c r="A1282" s="1204">
        <f>'House Count'!A1282</f>
        <v/>
      </c>
      <c r="B1282" s="1205">
        <f>'House Count'!E1282</f>
        <v/>
      </c>
      <c r="C1282" s="1205">
        <f>'House Count'!B1282</f>
        <v/>
      </c>
      <c r="D1282" s="1205">
        <f>'House Count'!C1282</f>
        <v/>
      </c>
      <c r="E1282" s="1205">
        <f>'House Count'!D1282</f>
        <v/>
      </c>
      <c r="F1282" s="1205">
        <f>IF(G1282="RES-SFU","RESIDENTIAL",IF(G1282="RES-HOA","RESIDENTIAL",IF(G1282="RES-MDU","RESIDENTIAL",IF(G1282="COMM-SU","BUSINESS",IF(G1282="COM-MTU","BUSINESS",IF(G1282="ENT","BUSINESS",""))))))</f>
        <v/>
      </c>
      <c r="G1282" s="1205">
        <f>'House Count'!F1282</f>
        <v/>
      </c>
      <c r="H1282" s="1205">
        <f>'House Count'!H1282</f>
        <v/>
      </c>
    </row>
    <row r="1283">
      <c r="A1283" s="1204">
        <f>'House Count'!A1283</f>
        <v/>
      </c>
      <c r="B1283" s="1205">
        <f>'House Count'!E1283</f>
        <v/>
      </c>
      <c r="C1283" s="1205">
        <f>'House Count'!B1283</f>
        <v/>
      </c>
      <c r="D1283" s="1205">
        <f>'House Count'!C1283</f>
        <v/>
      </c>
      <c r="E1283" s="1205">
        <f>'House Count'!D1283</f>
        <v/>
      </c>
      <c r="F1283" s="1205">
        <f>IF(G1283="RES-SFU","RESIDENTIAL",IF(G1283="RES-HOA","RESIDENTIAL",IF(G1283="RES-MDU","RESIDENTIAL",IF(G1283="COMM-SU","BUSINESS",IF(G1283="COM-MTU","BUSINESS",IF(G1283="ENT","BUSINESS",""))))))</f>
        <v/>
      </c>
      <c r="G1283" s="1205">
        <f>'House Count'!F1283</f>
        <v/>
      </c>
      <c r="H1283" s="1205">
        <f>'House Count'!H1283</f>
        <v/>
      </c>
    </row>
    <row r="1284">
      <c r="A1284" s="1204">
        <f>'House Count'!A1284</f>
        <v/>
      </c>
      <c r="B1284" s="1205">
        <f>'House Count'!E1284</f>
        <v/>
      </c>
      <c r="C1284" s="1205">
        <f>'House Count'!B1284</f>
        <v/>
      </c>
      <c r="D1284" s="1205">
        <f>'House Count'!C1284</f>
        <v/>
      </c>
      <c r="E1284" s="1205">
        <f>'House Count'!D1284</f>
        <v/>
      </c>
      <c r="F1284" s="1205">
        <f>IF(G1284="RES-SFU","RESIDENTIAL",IF(G1284="RES-HOA","RESIDENTIAL",IF(G1284="RES-MDU","RESIDENTIAL",IF(G1284="COMM-SU","BUSINESS",IF(G1284="COM-MTU","BUSINESS",IF(G1284="ENT","BUSINESS",""))))))</f>
        <v/>
      </c>
      <c r="G1284" s="1205">
        <f>'House Count'!F1284</f>
        <v/>
      </c>
      <c r="H1284" s="1205">
        <f>'House Count'!H1284</f>
        <v/>
      </c>
    </row>
    <row r="1285">
      <c r="A1285" s="1204">
        <f>'House Count'!A1285</f>
        <v/>
      </c>
      <c r="B1285" s="1205">
        <f>'House Count'!E1285</f>
        <v/>
      </c>
      <c r="C1285" s="1205">
        <f>'House Count'!B1285</f>
        <v/>
      </c>
      <c r="D1285" s="1205">
        <f>'House Count'!C1285</f>
        <v/>
      </c>
      <c r="E1285" s="1205">
        <f>'House Count'!D1285</f>
        <v/>
      </c>
      <c r="F1285" s="1205">
        <f>IF(G1285="RES-SFU","RESIDENTIAL",IF(G1285="RES-HOA","RESIDENTIAL",IF(G1285="RES-MDU","RESIDENTIAL",IF(G1285="COMM-SU","BUSINESS",IF(G1285="COM-MTU","BUSINESS",IF(G1285="ENT","BUSINESS",""))))))</f>
        <v/>
      </c>
      <c r="G1285" s="1205">
        <f>'House Count'!F1285</f>
        <v/>
      </c>
      <c r="H1285" s="1205">
        <f>'House Count'!H1285</f>
        <v/>
      </c>
    </row>
    <row r="1286">
      <c r="A1286" s="1204">
        <f>'House Count'!A1286</f>
        <v/>
      </c>
      <c r="B1286" s="1205">
        <f>'House Count'!E1286</f>
        <v/>
      </c>
      <c r="C1286" s="1205">
        <f>'House Count'!B1286</f>
        <v/>
      </c>
      <c r="D1286" s="1205">
        <f>'House Count'!C1286</f>
        <v/>
      </c>
      <c r="E1286" s="1205">
        <f>'House Count'!D1286</f>
        <v/>
      </c>
      <c r="F1286" s="1205">
        <f>IF(G1286="RES-SFU","RESIDENTIAL",IF(G1286="RES-HOA","RESIDENTIAL",IF(G1286="RES-MDU","RESIDENTIAL",IF(G1286="COMM-SU","BUSINESS",IF(G1286="COM-MTU","BUSINESS",IF(G1286="ENT","BUSINESS",""))))))</f>
        <v/>
      </c>
      <c r="G1286" s="1205">
        <f>'House Count'!F1286</f>
        <v/>
      </c>
      <c r="H1286" s="1205">
        <f>'House Count'!H1286</f>
        <v/>
      </c>
    </row>
    <row r="1287">
      <c r="A1287" s="1204">
        <f>'House Count'!A1287</f>
        <v/>
      </c>
      <c r="B1287" s="1205">
        <f>'House Count'!E1287</f>
        <v/>
      </c>
      <c r="C1287" s="1205">
        <f>'House Count'!B1287</f>
        <v/>
      </c>
      <c r="D1287" s="1205">
        <f>'House Count'!C1287</f>
        <v/>
      </c>
      <c r="E1287" s="1205">
        <f>'House Count'!D1287</f>
        <v/>
      </c>
      <c r="F1287" s="1205">
        <f>IF(G1287="RES-SFU","RESIDENTIAL",IF(G1287="RES-HOA","RESIDENTIAL",IF(G1287="RES-MDU","RESIDENTIAL",IF(G1287="COMM-SU","BUSINESS",IF(G1287="COM-MTU","BUSINESS",IF(G1287="ENT","BUSINESS",""))))))</f>
        <v/>
      </c>
      <c r="G1287" s="1205">
        <f>'House Count'!F1287</f>
        <v/>
      </c>
      <c r="H1287" s="1205">
        <f>'House Count'!H1287</f>
        <v/>
      </c>
    </row>
    <row r="1288">
      <c r="A1288" s="1204">
        <f>'House Count'!A1288</f>
        <v/>
      </c>
      <c r="B1288" s="1205">
        <f>'House Count'!E1288</f>
        <v/>
      </c>
      <c r="C1288" s="1205">
        <f>'House Count'!B1288</f>
        <v/>
      </c>
      <c r="D1288" s="1205">
        <f>'House Count'!C1288</f>
        <v/>
      </c>
      <c r="E1288" s="1205">
        <f>'House Count'!D1288</f>
        <v/>
      </c>
      <c r="F1288" s="1205">
        <f>IF(G1288="RES-SFU","RESIDENTIAL",IF(G1288="RES-HOA","RESIDENTIAL",IF(G1288="RES-MDU","RESIDENTIAL",IF(G1288="COMM-SU","BUSINESS",IF(G1288="COM-MTU","BUSINESS",IF(G1288="ENT","BUSINESS",""))))))</f>
        <v/>
      </c>
      <c r="G1288" s="1205">
        <f>'House Count'!F1288</f>
        <v/>
      </c>
      <c r="H1288" s="1205">
        <f>'House Count'!H1288</f>
        <v/>
      </c>
    </row>
    <row r="1289">
      <c r="A1289" s="1204">
        <f>'House Count'!A1289</f>
        <v/>
      </c>
      <c r="B1289" s="1205">
        <f>'House Count'!E1289</f>
        <v/>
      </c>
      <c r="C1289" s="1205">
        <f>'House Count'!B1289</f>
        <v/>
      </c>
      <c r="D1289" s="1205">
        <f>'House Count'!C1289</f>
        <v/>
      </c>
      <c r="E1289" s="1205">
        <f>'House Count'!D1289</f>
        <v/>
      </c>
      <c r="F1289" s="1205">
        <f>IF(G1289="RES-SFU","RESIDENTIAL",IF(G1289="RES-HOA","RESIDENTIAL",IF(G1289="RES-MDU","RESIDENTIAL",IF(G1289="COMM-SU","BUSINESS",IF(G1289="COM-MTU","BUSINESS",IF(G1289="ENT","BUSINESS",""))))))</f>
        <v/>
      </c>
      <c r="G1289" s="1205">
        <f>'House Count'!F1289</f>
        <v/>
      </c>
      <c r="H1289" s="1205">
        <f>'House Count'!H1289</f>
        <v/>
      </c>
    </row>
    <row r="1290">
      <c r="A1290" s="1204">
        <f>'House Count'!A1290</f>
        <v/>
      </c>
      <c r="B1290" s="1205">
        <f>'House Count'!E1290</f>
        <v/>
      </c>
      <c r="C1290" s="1205">
        <f>'House Count'!B1290</f>
        <v/>
      </c>
      <c r="D1290" s="1205">
        <f>'House Count'!C1290</f>
        <v/>
      </c>
      <c r="E1290" s="1205">
        <f>'House Count'!D1290</f>
        <v/>
      </c>
      <c r="F1290" s="1205">
        <f>IF(G1290="RES-SFU","RESIDENTIAL",IF(G1290="RES-HOA","RESIDENTIAL",IF(G1290="RES-MDU","RESIDENTIAL",IF(G1290="COMM-SU","BUSINESS",IF(G1290="COM-MTU","BUSINESS",IF(G1290="ENT","BUSINESS",""))))))</f>
        <v/>
      </c>
      <c r="G1290" s="1205">
        <f>'House Count'!F1290</f>
        <v/>
      </c>
      <c r="H1290" s="1205">
        <f>'House Count'!H1290</f>
        <v/>
      </c>
    </row>
    <row r="1291">
      <c r="A1291" s="1204">
        <f>'House Count'!A1291</f>
        <v/>
      </c>
      <c r="B1291" s="1205">
        <f>'House Count'!E1291</f>
        <v/>
      </c>
      <c r="C1291" s="1205">
        <f>'House Count'!B1291</f>
        <v/>
      </c>
      <c r="D1291" s="1205">
        <f>'House Count'!C1291</f>
        <v/>
      </c>
      <c r="E1291" s="1205">
        <f>'House Count'!D1291</f>
        <v/>
      </c>
      <c r="F1291" s="1205">
        <f>IF(G1291="RES-SFU","RESIDENTIAL",IF(G1291="RES-HOA","RESIDENTIAL",IF(G1291="RES-MDU","RESIDENTIAL",IF(G1291="COMM-SU","BUSINESS",IF(G1291="COM-MTU","BUSINESS",IF(G1291="ENT","BUSINESS",""))))))</f>
        <v/>
      </c>
      <c r="G1291" s="1205">
        <f>'House Count'!F1291</f>
        <v/>
      </c>
      <c r="H1291" s="1205">
        <f>'House Count'!H1291</f>
        <v/>
      </c>
    </row>
    <row r="1292">
      <c r="A1292" s="1204">
        <f>'House Count'!A1292</f>
        <v/>
      </c>
      <c r="B1292" s="1205">
        <f>'House Count'!E1292</f>
        <v/>
      </c>
      <c r="C1292" s="1205">
        <f>'House Count'!B1292</f>
        <v/>
      </c>
      <c r="D1292" s="1205">
        <f>'House Count'!C1292</f>
        <v/>
      </c>
      <c r="E1292" s="1205">
        <f>'House Count'!D1292</f>
        <v/>
      </c>
      <c r="F1292" s="1205">
        <f>IF(G1292="RES-SFU","RESIDENTIAL",IF(G1292="RES-HOA","RESIDENTIAL",IF(G1292="RES-MDU","RESIDENTIAL",IF(G1292="COMM-SU","BUSINESS",IF(G1292="COM-MTU","BUSINESS",IF(G1292="ENT","BUSINESS",""))))))</f>
        <v/>
      </c>
      <c r="G1292" s="1205">
        <f>'House Count'!F1292</f>
        <v/>
      </c>
      <c r="H1292" s="1205">
        <f>'House Count'!H1292</f>
        <v/>
      </c>
    </row>
    <row r="1293">
      <c r="A1293" s="1204">
        <f>'House Count'!A1293</f>
        <v/>
      </c>
      <c r="B1293" s="1205">
        <f>'House Count'!E1293</f>
        <v/>
      </c>
      <c r="C1293" s="1205">
        <f>'House Count'!B1293</f>
        <v/>
      </c>
      <c r="D1293" s="1205">
        <f>'House Count'!C1293</f>
        <v/>
      </c>
      <c r="E1293" s="1205">
        <f>'House Count'!D1293</f>
        <v/>
      </c>
      <c r="F1293" s="1205">
        <f>IF(G1293="RES-SFU","RESIDENTIAL",IF(G1293="RES-HOA","RESIDENTIAL",IF(G1293="RES-MDU","RESIDENTIAL",IF(G1293="COMM-SU","BUSINESS",IF(G1293="COM-MTU","BUSINESS",IF(G1293="ENT","BUSINESS",""))))))</f>
        <v/>
      </c>
      <c r="G1293" s="1205">
        <f>'House Count'!F1293</f>
        <v/>
      </c>
      <c r="H1293" s="1205">
        <f>'House Count'!H1293</f>
        <v/>
      </c>
    </row>
    <row r="1294">
      <c r="A1294" s="1204">
        <f>'House Count'!A1294</f>
        <v/>
      </c>
      <c r="B1294" s="1205">
        <f>'House Count'!E1294</f>
        <v/>
      </c>
      <c r="C1294" s="1205">
        <f>'House Count'!B1294</f>
        <v/>
      </c>
      <c r="D1294" s="1205">
        <f>'House Count'!C1294</f>
        <v/>
      </c>
      <c r="E1294" s="1205">
        <f>'House Count'!D1294</f>
        <v/>
      </c>
      <c r="F1294" s="1205">
        <f>IF(G1294="RES-SFU","RESIDENTIAL",IF(G1294="RES-HOA","RESIDENTIAL",IF(G1294="RES-MDU","RESIDENTIAL",IF(G1294="COMM-SU","BUSINESS",IF(G1294="COM-MTU","BUSINESS",IF(G1294="ENT","BUSINESS",""))))))</f>
        <v/>
      </c>
      <c r="G1294" s="1205">
        <f>'House Count'!F1294</f>
        <v/>
      </c>
      <c r="H1294" s="1205">
        <f>'House Count'!H1294</f>
        <v/>
      </c>
    </row>
    <row r="1295">
      <c r="A1295" s="1204">
        <f>'House Count'!A1295</f>
        <v/>
      </c>
      <c r="B1295" s="1205">
        <f>'House Count'!E1295</f>
        <v/>
      </c>
      <c r="C1295" s="1205">
        <f>'House Count'!B1295</f>
        <v/>
      </c>
      <c r="D1295" s="1205">
        <f>'House Count'!C1295</f>
        <v/>
      </c>
      <c r="E1295" s="1205">
        <f>'House Count'!D1295</f>
        <v/>
      </c>
      <c r="F1295" s="1205">
        <f>IF(G1295="RES-SFU","RESIDENTIAL",IF(G1295="RES-HOA","RESIDENTIAL",IF(G1295="RES-MDU","RESIDENTIAL",IF(G1295="COMM-SU","BUSINESS",IF(G1295="COM-MTU","BUSINESS",IF(G1295="ENT","BUSINESS",""))))))</f>
        <v/>
      </c>
      <c r="G1295" s="1205">
        <f>'House Count'!F1295</f>
        <v/>
      </c>
      <c r="H1295" s="1205">
        <f>'House Count'!H1295</f>
        <v/>
      </c>
    </row>
    <row r="1296">
      <c r="A1296" s="1204">
        <f>'House Count'!A1296</f>
        <v/>
      </c>
      <c r="B1296" s="1205">
        <f>'House Count'!E1296</f>
        <v/>
      </c>
      <c r="C1296" s="1205">
        <f>'House Count'!B1296</f>
        <v/>
      </c>
      <c r="D1296" s="1205">
        <f>'House Count'!C1296</f>
        <v/>
      </c>
      <c r="E1296" s="1205">
        <f>'House Count'!D1296</f>
        <v/>
      </c>
      <c r="F1296" s="1205">
        <f>IF(G1296="RES-SFU","RESIDENTIAL",IF(G1296="RES-HOA","RESIDENTIAL",IF(G1296="RES-MDU","RESIDENTIAL",IF(G1296="COMM-SU","BUSINESS",IF(G1296="COM-MTU","BUSINESS",IF(G1296="ENT","BUSINESS",""))))))</f>
        <v/>
      </c>
      <c r="G1296" s="1205">
        <f>'House Count'!F1296</f>
        <v/>
      </c>
      <c r="H1296" s="1205">
        <f>'House Count'!H1296</f>
        <v/>
      </c>
    </row>
    <row r="1297">
      <c r="A1297" s="1204">
        <f>'House Count'!A1297</f>
        <v/>
      </c>
      <c r="B1297" s="1205">
        <f>'House Count'!E1297</f>
        <v/>
      </c>
      <c r="C1297" s="1205">
        <f>'House Count'!B1297</f>
        <v/>
      </c>
      <c r="D1297" s="1205">
        <f>'House Count'!C1297</f>
        <v/>
      </c>
      <c r="E1297" s="1205">
        <f>'House Count'!D1297</f>
        <v/>
      </c>
      <c r="F1297" s="1205">
        <f>IF(G1297="RES-SFU","RESIDENTIAL",IF(G1297="RES-HOA","RESIDENTIAL",IF(G1297="RES-MDU","RESIDENTIAL",IF(G1297="COMM-SU","BUSINESS",IF(G1297="COM-MTU","BUSINESS",IF(G1297="ENT","BUSINESS",""))))))</f>
        <v/>
      </c>
      <c r="G1297" s="1205">
        <f>'House Count'!F1297</f>
        <v/>
      </c>
      <c r="H1297" s="1205">
        <f>'House Count'!H1297</f>
        <v/>
      </c>
    </row>
    <row r="1298">
      <c r="A1298" s="1204">
        <f>'House Count'!A1298</f>
        <v/>
      </c>
      <c r="B1298" s="1205">
        <f>'House Count'!E1298</f>
        <v/>
      </c>
      <c r="C1298" s="1205">
        <f>'House Count'!B1298</f>
        <v/>
      </c>
      <c r="D1298" s="1205">
        <f>'House Count'!C1298</f>
        <v/>
      </c>
      <c r="E1298" s="1205">
        <f>'House Count'!D1298</f>
        <v/>
      </c>
      <c r="F1298" s="1205">
        <f>IF(G1298="RES-SFU","RESIDENTIAL",IF(G1298="RES-HOA","RESIDENTIAL",IF(G1298="RES-MDU","RESIDENTIAL",IF(G1298="COMM-SU","BUSINESS",IF(G1298="COM-MTU","BUSINESS",IF(G1298="ENT","BUSINESS",""))))))</f>
        <v/>
      </c>
      <c r="G1298" s="1205">
        <f>'House Count'!F1298</f>
        <v/>
      </c>
      <c r="H1298" s="1205">
        <f>'House Count'!H1298</f>
        <v/>
      </c>
    </row>
    <row r="1299">
      <c r="A1299" s="1204">
        <f>'House Count'!A1299</f>
        <v/>
      </c>
      <c r="B1299" s="1205">
        <f>'House Count'!E1299</f>
        <v/>
      </c>
      <c r="C1299" s="1205">
        <f>'House Count'!B1299</f>
        <v/>
      </c>
      <c r="D1299" s="1205">
        <f>'House Count'!C1299</f>
        <v/>
      </c>
      <c r="E1299" s="1205">
        <f>'House Count'!D1299</f>
        <v/>
      </c>
      <c r="F1299" s="1205">
        <f>IF(G1299="RES-SFU","RESIDENTIAL",IF(G1299="RES-HOA","RESIDENTIAL",IF(G1299="RES-MDU","RESIDENTIAL",IF(G1299="COMM-SU","BUSINESS",IF(G1299="COM-MTU","BUSINESS",IF(G1299="ENT","BUSINESS",""))))))</f>
        <v/>
      </c>
      <c r="G1299" s="1205">
        <f>'House Count'!F1299</f>
        <v/>
      </c>
      <c r="H1299" s="1205">
        <f>'House Count'!H1299</f>
        <v/>
      </c>
    </row>
    <row r="1300">
      <c r="A1300" s="1204">
        <f>'House Count'!A1300</f>
        <v/>
      </c>
      <c r="B1300" s="1205">
        <f>'House Count'!E1300</f>
        <v/>
      </c>
      <c r="C1300" s="1205">
        <f>'House Count'!B1300</f>
        <v/>
      </c>
      <c r="D1300" s="1205">
        <f>'House Count'!C1300</f>
        <v/>
      </c>
      <c r="E1300" s="1205">
        <f>'House Count'!D1300</f>
        <v/>
      </c>
      <c r="F1300" s="1205">
        <f>IF(G1300="RES-SFU","RESIDENTIAL",IF(G1300="RES-HOA","RESIDENTIAL",IF(G1300="RES-MDU","RESIDENTIAL",IF(G1300="COMM-SU","BUSINESS",IF(G1300="COM-MTU","BUSINESS",IF(G1300="ENT","BUSINESS",""))))))</f>
        <v/>
      </c>
      <c r="G1300" s="1205">
        <f>'House Count'!F1300</f>
        <v/>
      </c>
      <c r="H1300" s="1205">
        <f>'House Count'!H1300</f>
        <v/>
      </c>
    </row>
    <row r="1301">
      <c r="A1301" s="1204">
        <f>'House Count'!A1301</f>
        <v/>
      </c>
      <c r="B1301" s="1205">
        <f>'House Count'!E1301</f>
        <v/>
      </c>
      <c r="C1301" s="1205">
        <f>'House Count'!B1301</f>
        <v/>
      </c>
      <c r="D1301" s="1205">
        <f>'House Count'!C1301</f>
        <v/>
      </c>
      <c r="E1301" s="1205">
        <f>'House Count'!D1301</f>
        <v/>
      </c>
      <c r="F1301" s="1205">
        <f>IF(G1301="RES-SFU","RESIDENTIAL",IF(G1301="RES-HOA","RESIDENTIAL",IF(G1301="RES-MDU","RESIDENTIAL",IF(G1301="COMM-SU","BUSINESS",IF(G1301="COM-MTU","BUSINESS",IF(G1301="ENT","BUSINESS",""))))))</f>
        <v/>
      </c>
      <c r="G1301" s="1205">
        <f>'House Count'!F1301</f>
        <v/>
      </c>
      <c r="H1301" s="1205">
        <f>'House Count'!H1301</f>
        <v/>
      </c>
    </row>
    <row r="1302">
      <c r="A1302" s="1204">
        <f>'House Count'!A1302</f>
        <v/>
      </c>
      <c r="B1302" s="1205">
        <f>'House Count'!E1302</f>
        <v/>
      </c>
      <c r="C1302" s="1205">
        <f>'House Count'!B1302</f>
        <v/>
      </c>
      <c r="D1302" s="1205">
        <f>'House Count'!C1302</f>
        <v/>
      </c>
      <c r="E1302" s="1205">
        <f>'House Count'!D1302</f>
        <v/>
      </c>
      <c r="F1302" s="1205">
        <f>IF(G1302="RES-SFU","RESIDENTIAL",IF(G1302="RES-HOA","RESIDENTIAL",IF(G1302="RES-MDU","RESIDENTIAL",IF(G1302="COMM-SU","BUSINESS",IF(G1302="COM-MTU","BUSINESS",IF(G1302="ENT","BUSINESS",""))))))</f>
        <v/>
      </c>
      <c r="G1302" s="1205">
        <f>'House Count'!F1302</f>
        <v/>
      </c>
      <c r="H1302" s="1205">
        <f>'House Count'!H1302</f>
        <v/>
      </c>
    </row>
    <row r="1303">
      <c r="A1303" s="1204">
        <f>'House Count'!A1303</f>
        <v/>
      </c>
      <c r="B1303" s="1205">
        <f>'House Count'!E1303</f>
        <v/>
      </c>
      <c r="C1303" s="1205">
        <f>'House Count'!B1303</f>
        <v/>
      </c>
      <c r="D1303" s="1205">
        <f>'House Count'!C1303</f>
        <v/>
      </c>
      <c r="E1303" s="1205">
        <f>'House Count'!D1303</f>
        <v/>
      </c>
      <c r="F1303" s="1205">
        <f>IF(G1303="RES-SFU","RESIDENTIAL",IF(G1303="RES-HOA","RESIDENTIAL",IF(G1303="RES-MDU","RESIDENTIAL",IF(G1303="COMM-SU","BUSINESS",IF(G1303="COM-MTU","BUSINESS",IF(G1303="ENT","BUSINESS",""))))))</f>
        <v/>
      </c>
      <c r="G1303" s="1205">
        <f>'House Count'!F1303</f>
        <v/>
      </c>
      <c r="H1303" s="1205">
        <f>'House Count'!H1303</f>
        <v/>
      </c>
    </row>
    <row r="1304">
      <c r="A1304" s="1204">
        <f>'House Count'!A1304</f>
        <v/>
      </c>
      <c r="B1304" s="1205">
        <f>'House Count'!E1304</f>
        <v/>
      </c>
      <c r="C1304" s="1205">
        <f>'House Count'!B1304</f>
        <v/>
      </c>
      <c r="D1304" s="1205">
        <f>'House Count'!C1304</f>
        <v/>
      </c>
      <c r="E1304" s="1205">
        <f>'House Count'!D1304</f>
        <v/>
      </c>
      <c r="F1304" s="1205">
        <f>IF(G1304="RES-SFU","RESIDENTIAL",IF(G1304="RES-HOA","RESIDENTIAL",IF(G1304="RES-MDU","RESIDENTIAL",IF(G1304="COMM-SU","BUSINESS",IF(G1304="COM-MTU","BUSINESS",IF(G1304="ENT","BUSINESS",""))))))</f>
        <v/>
      </c>
      <c r="G1304" s="1205">
        <f>'House Count'!F1304</f>
        <v/>
      </c>
      <c r="H1304" s="1205">
        <f>'House Count'!H1304</f>
        <v/>
      </c>
    </row>
    <row r="1305">
      <c r="A1305" s="1204">
        <f>'House Count'!A1305</f>
        <v/>
      </c>
      <c r="B1305" s="1205">
        <f>'House Count'!E1305</f>
        <v/>
      </c>
      <c r="C1305" s="1205">
        <f>'House Count'!B1305</f>
        <v/>
      </c>
      <c r="D1305" s="1205">
        <f>'House Count'!C1305</f>
        <v/>
      </c>
      <c r="E1305" s="1205">
        <f>'House Count'!D1305</f>
        <v/>
      </c>
      <c r="F1305" s="1205">
        <f>IF(G1305="RES-SFU","RESIDENTIAL",IF(G1305="RES-HOA","RESIDENTIAL",IF(G1305="RES-MDU","RESIDENTIAL",IF(G1305="COMM-SU","BUSINESS",IF(G1305="COM-MTU","BUSINESS",IF(G1305="ENT","BUSINESS",""))))))</f>
        <v/>
      </c>
      <c r="G1305" s="1205">
        <f>'House Count'!F1305</f>
        <v/>
      </c>
      <c r="H1305" s="1205">
        <f>'House Count'!H1305</f>
        <v/>
      </c>
    </row>
    <row r="1306">
      <c r="A1306" s="1204">
        <f>'House Count'!A1306</f>
        <v/>
      </c>
      <c r="B1306" s="1205">
        <f>'House Count'!E1306</f>
        <v/>
      </c>
      <c r="C1306" s="1205">
        <f>'House Count'!B1306</f>
        <v/>
      </c>
      <c r="D1306" s="1205">
        <f>'House Count'!C1306</f>
        <v/>
      </c>
      <c r="E1306" s="1205">
        <f>'House Count'!D1306</f>
        <v/>
      </c>
      <c r="F1306" s="1205">
        <f>IF(G1306="RES-SFU","RESIDENTIAL",IF(G1306="RES-HOA","RESIDENTIAL",IF(G1306="RES-MDU","RESIDENTIAL",IF(G1306="COMM-SU","BUSINESS",IF(G1306="COM-MTU","BUSINESS",IF(G1306="ENT","BUSINESS",""))))))</f>
        <v/>
      </c>
      <c r="G1306" s="1205">
        <f>'House Count'!F1306</f>
        <v/>
      </c>
      <c r="H1306" s="1205">
        <f>'House Count'!H1306</f>
        <v/>
      </c>
    </row>
    <row r="1307">
      <c r="A1307" s="1204">
        <f>'House Count'!A1307</f>
        <v/>
      </c>
      <c r="B1307" s="1205">
        <f>'House Count'!E1307</f>
        <v/>
      </c>
      <c r="C1307" s="1205">
        <f>'House Count'!B1307</f>
        <v/>
      </c>
      <c r="D1307" s="1205">
        <f>'House Count'!C1307</f>
        <v/>
      </c>
      <c r="E1307" s="1205">
        <f>'House Count'!D1307</f>
        <v/>
      </c>
      <c r="F1307" s="1205">
        <f>IF(G1307="RES-SFU","RESIDENTIAL",IF(G1307="RES-HOA","RESIDENTIAL",IF(G1307="RES-MDU","RESIDENTIAL",IF(G1307="COMM-SU","BUSINESS",IF(G1307="COM-MTU","BUSINESS",IF(G1307="ENT","BUSINESS",""))))))</f>
        <v/>
      </c>
      <c r="G1307" s="1205">
        <f>'House Count'!F1307</f>
        <v/>
      </c>
      <c r="H1307" s="1205">
        <f>'House Count'!H1307</f>
        <v/>
      </c>
    </row>
    <row r="1308">
      <c r="A1308" s="1204">
        <f>'House Count'!A1308</f>
        <v/>
      </c>
      <c r="B1308" s="1205">
        <f>'House Count'!E1308</f>
        <v/>
      </c>
      <c r="C1308" s="1205">
        <f>'House Count'!B1308</f>
        <v/>
      </c>
      <c r="D1308" s="1205">
        <f>'House Count'!C1308</f>
        <v/>
      </c>
      <c r="E1308" s="1205">
        <f>'House Count'!D1308</f>
        <v/>
      </c>
      <c r="F1308" s="1205">
        <f>IF(G1308="RES-SFU","RESIDENTIAL",IF(G1308="RES-HOA","RESIDENTIAL",IF(G1308="RES-MDU","RESIDENTIAL",IF(G1308="COMM-SU","BUSINESS",IF(G1308="COM-MTU","BUSINESS",IF(G1308="ENT","BUSINESS",""))))))</f>
        <v/>
      </c>
      <c r="G1308" s="1205">
        <f>'House Count'!F1308</f>
        <v/>
      </c>
      <c r="H1308" s="1205">
        <f>'House Count'!H1308</f>
        <v/>
      </c>
    </row>
    <row r="1309">
      <c r="A1309" s="1204">
        <f>'House Count'!A1309</f>
        <v/>
      </c>
      <c r="B1309" s="1205">
        <f>'House Count'!E1309</f>
        <v/>
      </c>
      <c r="C1309" s="1205">
        <f>'House Count'!B1309</f>
        <v/>
      </c>
      <c r="D1309" s="1205">
        <f>'House Count'!C1309</f>
        <v/>
      </c>
      <c r="E1309" s="1205">
        <f>'House Count'!D1309</f>
        <v/>
      </c>
      <c r="F1309" s="1205">
        <f>IF(G1309="RES-SFU","RESIDENTIAL",IF(G1309="RES-HOA","RESIDENTIAL",IF(G1309="RES-MDU","RESIDENTIAL",IF(G1309="COMM-SU","BUSINESS",IF(G1309="COM-MTU","BUSINESS",IF(G1309="ENT","BUSINESS",""))))))</f>
        <v/>
      </c>
      <c r="G1309" s="1205">
        <f>'House Count'!F1309</f>
        <v/>
      </c>
      <c r="H1309" s="1205">
        <f>'House Count'!H1309</f>
        <v/>
      </c>
    </row>
    <row r="1310">
      <c r="A1310" s="1204">
        <f>'House Count'!A1310</f>
        <v/>
      </c>
      <c r="B1310" s="1205">
        <f>'House Count'!E1310</f>
        <v/>
      </c>
      <c r="C1310" s="1205">
        <f>'House Count'!B1310</f>
        <v/>
      </c>
      <c r="D1310" s="1205">
        <f>'House Count'!C1310</f>
        <v/>
      </c>
      <c r="E1310" s="1205">
        <f>'House Count'!D1310</f>
        <v/>
      </c>
      <c r="F1310" s="1205">
        <f>IF(G1310="RES-SFU","RESIDENTIAL",IF(G1310="RES-HOA","RESIDENTIAL",IF(G1310="RES-MDU","RESIDENTIAL",IF(G1310="COMM-SU","BUSINESS",IF(G1310="COM-MTU","BUSINESS",IF(G1310="ENT","BUSINESS",""))))))</f>
        <v/>
      </c>
      <c r="G1310" s="1205">
        <f>'House Count'!F1310</f>
        <v/>
      </c>
      <c r="H1310" s="1205">
        <f>'House Count'!H1310</f>
        <v/>
      </c>
    </row>
    <row r="1311">
      <c r="A1311" s="1204">
        <f>'House Count'!A1311</f>
        <v/>
      </c>
      <c r="B1311" s="1205">
        <f>'House Count'!E1311</f>
        <v/>
      </c>
      <c r="C1311" s="1205">
        <f>'House Count'!B1311</f>
        <v/>
      </c>
      <c r="D1311" s="1205">
        <f>'House Count'!C1311</f>
        <v/>
      </c>
      <c r="E1311" s="1205">
        <f>'House Count'!D1311</f>
        <v/>
      </c>
      <c r="F1311" s="1205">
        <f>IF(G1311="RES-SFU","RESIDENTIAL",IF(G1311="RES-HOA","RESIDENTIAL",IF(G1311="RES-MDU","RESIDENTIAL",IF(G1311="COMM-SU","BUSINESS",IF(G1311="COM-MTU","BUSINESS",IF(G1311="ENT","BUSINESS",""))))))</f>
        <v/>
      </c>
      <c r="G1311" s="1205">
        <f>'House Count'!F1311</f>
        <v/>
      </c>
      <c r="H1311" s="1205">
        <f>'House Count'!H1311</f>
        <v/>
      </c>
    </row>
    <row r="1312">
      <c r="A1312" s="1204">
        <f>'House Count'!A1312</f>
        <v/>
      </c>
      <c r="B1312" s="1205">
        <f>'House Count'!E1312</f>
        <v/>
      </c>
      <c r="C1312" s="1205">
        <f>'House Count'!B1312</f>
        <v/>
      </c>
      <c r="D1312" s="1205">
        <f>'House Count'!C1312</f>
        <v/>
      </c>
      <c r="E1312" s="1205">
        <f>'House Count'!D1312</f>
        <v/>
      </c>
      <c r="F1312" s="1205">
        <f>IF(G1312="RES-SFU","RESIDENTIAL",IF(G1312="RES-HOA","RESIDENTIAL",IF(G1312="RES-MDU","RESIDENTIAL",IF(G1312="COMM-SU","BUSINESS",IF(G1312="COM-MTU","BUSINESS",IF(G1312="ENT","BUSINESS",""))))))</f>
        <v/>
      </c>
      <c r="G1312" s="1205">
        <f>'House Count'!F1312</f>
        <v/>
      </c>
      <c r="H1312" s="1205">
        <f>'House Count'!H1312</f>
        <v/>
      </c>
    </row>
    <row r="1313">
      <c r="A1313" s="1204">
        <f>'House Count'!A1313</f>
        <v/>
      </c>
      <c r="B1313" s="1205">
        <f>'House Count'!E1313</f>
        <v/>
      </c>
      <c r="C1313" s="1205">
        <f>'House Count'!B1313</f>
        <v/>
      </c>
      <c r="D1313" s="1205">
        <f>'House Count'!C1313</f>
        <v/>
      </c>
      <c r="E1313" s="1205">
        <f>'House Count'!D1313</f>
        <v/>
      </c>
      <c r="F1313" s="1205">
        <f>IF(G1313="RES-SFU","RESIDENTIAL",IF(G1313="RES-HOA","RESIDENTIAL",IF(G1313="RES-MDU","RESIDENTIAL",IF(G1313="COMM-SU","BUSINESS",IF(G1313="COM-MTU","BUSINESS",IF(G1313="ENT","BUSINESS",""))))))</f>
        <v/>
      </c>
      <c r="G1313" s="1205">
        <f>'House Count'!F1313</f>
        <v/>
      </c>
      <c r="H1313" s="1205">
        <f>'House Count'!H1313</f>
        <v/>
      </c>
    </row>
    <row r="1314">
      <c r="A1314" s="1204">
        <f>'House Count'!A1314</f>
        <v/>
      </c>
      <c r="B1314" s="1205">
        <f>'House Count'!E1314</f>
        <v/>
      </c>
      <c r="C1314" s="1205">
        <f>'House Count'!B1314</f>
        <v/>
      </c>
      <c r="D1314" s="1205">
        <f>'House Count'!C1314</f>
        <v/>
      </c>
      <c r="E1314" s="1205">
        <f>'House Count'!D1314</f>
        <v/>
      </c>
      <c r="F1314" s="1205">
        <f>IF(G1314="RES-SFU","RESIDENTIAL",IF(G1314="RES-HOA","RESIDENTIAL",IF(G1314="RES-MDU","RESIDENTIAL",IF(G1314="COMM-SU","BUSINESS",IF(G1314="COM-MTU","BUSINESS",IF(G1314="ENT","BUSINESS",""))))))</f>
        <v/>
      </c>
      <c r="G1314" s="1205">
        <f>'House Count'!F1314</f>
        <v/>
      </c>
      <c r="H1314" s="1205">
        <f>'House Count'!H1314</f>
        <v/>
      </c>
    </row>
    <row r="1315">
      <c r="A1315" s="1204">
        <f>'House Count'!A1315</f>
        <v/>
      </c>
      <c r="B1315" s="1205">
        <f>'House Count'!E1315</f>
        <v/>
      </c>
      <c r="C1315" s="1205">
        <f>'House Count'!B1315</f>
        <v/>
      </c>
      <c r="D1315" s="1205">
        <f>'House Count'!C1315</f>
        <v/>
      </c>
      <c r="E1315" s="1205">
        <f>'House Count'!D1315</f>
        <v/>
      </c>
      <c r="F1315" s="1205">
        <f>IF(G1315="RES-SFU","RESIDENTIAL",IF(G1315="RES-HOA","RESIDENTIAL",IF(G1315="RES-MDU","RESIDENTIAL",IF(G1315="COMM-SU","BUSINESS",IF(G1315="COM-MTU","BUSINESS",IF(G1315="ENT","BUSINESS",""))))))</f>
        <v/>
      </c>
      <c r="G1315" s="1205">
        <f>'House Count'!F1315</f>
        <v/>
      </c>
      <c r="H1315" s="1205">
        <f>'House Count'!H1315</f>
        <v/>
      </c>
    </row>
    <row r="1316">
      <c r="A1316" s="1204">
        <f>'House Count'!A1316</f>
        <v/>
      </c>
      <c r="B1316" s="1205">
        <f>'House Count'!E1316</f>
        <v/>
      </c>
      <c r="C1316" s="1205">
        <f>'House Count'!B1316</f>
        <v/>
      </c>
      <c r="D1316" s="1205">
        <f>'House Count'!C1316</f>
        <v/>
      </c>
      <c r="E1316" s="1205">
        <f>'House Count'!D1316</f>
        <v/>
      </c>
      <c r="F1316" s="1205">
        <f>IF(G1316="RES-SFU","RESIDENTIAL",IF(G1316="RES-HOA","RESIDENTIAL",IF(G1316="RES-MDU","RESIDENTIAL",IF(G1316="COMM-SU","BUSINESS",IF(G1316="COM-MTU","BUSINESS",IF(G1316="ENT","BUSINESS",""))))))</f>
        <v/>
      </c>
      <c r="G1316" s="1205">
        <f>'House Count'!F1316</f>
        <v/>
      </c>
      <c r="H1316" s="1205">
        <f>'House Count'!H1316</f>
        <v/>
      </c>
    </row>
    <row r="1317">
      <c r="A1317" s="1204">
        <f>'House Count'!A1317</f>
        <v/>
      </c>
      <c r="B1317" s="1205">
        <f>'House Count'!E1317</f>
        <v/>
      </c>
      <c r="C1317" s="1205">
        <f>'House Count'!B1317</f>
        <v/>
      </c>
      <c r="D1317" s="1205">
        <f>'House Count'!C1317</f>
        <v/>
      </c>
      <c r="E1317" s="1205">
        <f>'House Count'!D1317</f>
        <v/>
      </c>
      <c r="F1317" s="1205">
        <f>IF(G1317="RES-SFU","RESIDENTIAL",IF(G1317="RES-HOA","RESIDENTIAL",IF(G1317="RES-MDU","RESIDENTIAL",IF(G1317="COMM-SU","BUSINESS",IF(G1317="COM-MTU","BUSINESS",IF(G1317="ENT","BUSINESS",""))))))</f>
        <v/>
      </c>
      <c r="G1317" s="1205">
        <f>'House Count'!F1317</f>
        <v/>
      </c>
      <c r="H1317" s="1205">
        <f>'House Count'!H1317</f>
        <v/>
      </c>
    </row>
    <row r="1318">
      <c r="A1318" s="1204">
        <f>'House Count'!A1318</f>
        <v/>
      </c>
      <c r="B1318" s="1205">
        <f>'House Count'!E1318</f>
        <v/>
      </c>
      <c r="C1318" s="1205">
        <f>'House Count'!B1318</f>
        <v/>
      </c>
      <c r="D1318" s="1205">
        <f>'House Count'!C1318</f>
        <v/>
      </c>
      <c r="E1318" s="1205">
        <f>'House Count'!D1318</f>
        <v/>
      </c>
      <c r="F1318" s="1205">
        <f>IF(G1318="RES-SFU","RESIDENTIAL",IF(G1318="RES-HOA","RESIDENTIAL",IF(G1318="RES-MDU","RESIDENTIAL",IF(G1318="COMM-SU","BUSINESS",IF(G1318="COM-MTU","BUSINESS",IF(G1318="ENT","BUSINESS",""))))))</f>
        <v/>
      </c>
      <c r="G1318" s="1205">
        <f>'House Count'!F1318</f>
        <v/>
      </c>
      <c r="H1318" s="1205">
        <f>'House Count'!H1318</f>
        <v/>
      </c>
    </row>
    <row r="1319">
      <c r="A1319" s="1204">
        <f>'House Count'!A1319</f>
        <v/>
      </c>
      <c r="B1319" s="1205">
        <f>'House Count'!E1319</f>
        <v/>
      </c>
      <c r="C1319" s="1205">
        <f>'House Count'!B1319</f>
        <v/>
      </c>
      <c r="D1319" s="1205">
        <f>'House Count'!C1319</f>
        <v/>
      </c>
      <c r="E1319" s="1205">
        <f>'House Count'!D1319</f>
        <v/>
      </c>
      <c r="F1319" s="1205">
        <f>IF(G1319="RES-SFU","RESIDENTIAL",IF(G1319="RES-HOA","RESIDENTIAL",IF(G1319="RES-MDU","RESIDENTIAL",IF(G1319="COMM-SU","BUSINESS",IF(G1319="COM-MTU","BUSINESS",IF(G1319="ENT","BUSINESS",""))))))</f>
        <v/>
      </c>
      <c r="G1319" s="1205">
        <f>'House Count'!F1319</f>
        <v/>
      </c>
      <c r="H1319" s="1205">
        <f>'House Count'!H1319</f>
        <v/>
      </c>
    </row>
    <row r="1320">
      <c r="A1320" s="1204">
        <f>'House Count'!A1320</f>
        <v/>
      </c>
      <c r="B1320" s="1205">
        <f>'House Count'!E1320</f>
        <v/>
      </c>
      <c r="C1320" s="1205">
        <f>'House Count'!B1320</f>
        <v/>
      </c>
      <c r="D1320" s="1205">
        <f>'House Count'!C1320</f>
        <v/>
      </c>
      <c r="E1320" s="1205">
        <f>'House Count'!D1320</f>
        <v/>
      </c>
      <c r="F1320" s="1205">
        <f>IF(G1320="RES-SFU","RESIDENTIAL",IF(G1320="RES-HOA","RESIDENTIAL",IF(G1320="RES-MDU","RESIDENTIAL",IF(G1320="COMM-SU","BUSINESS",IF(G1320="COM-MTU","BUSINESS",IF(G1320="ENT","BUSINESS",""))))))</f>
        <v/>
      </c>
      <c r="G1320" s="1205">
        <f>'House Count'!F1320</f>
        <v/>
      </c>
      <c r="H1320" s="1205">
        <f>'House Count'!H1320</f>
        <v/>
      </c>
    </row>
    <row r="1321">
      <c r="A1321" s="1204">
        <f>'House Count'!A1321</f>
        <v/>
      </c>
      <c r="B1321" s="1205">
        <f>'House Count'!E1321</f>
        <v/>
      </c>
      <c r="C1321" s="1205">
        <f>'House Count'!B1321</f>
        <v/>
      </c>
      <c r="D1321" s="1205">
        <f>'House Count'!C1321</f>
        <v/>
      </c>
      <c r="E1321" s="1205">
        <f>'House Count'!D1321</f>
        <v/>
      </c>
      <c r="F1321" s="1205">
        <f>IF(G1321="RES-SFU","RESIDENTIAL",IF(G1321="RES-HOA","RESIDENTIAL",IF(G1321="RES-MDU","RESIDENTIAL",IF(G1321="COMM-SU","BUSINESS",IF(G1321="COM-MTU","BUSINESS",IF(G1321="ENT","BUSINESS",""))))))</f>
        <v/>
      </c>
      <c r="G1321" s="1205">
        <f>'House Count'!F1321</f>
        <v/>
      </c>
      <c r="H1321" s="1205">
        <f>'House Count'!H1321</f>
        <v/>
      </c>
    </row>
    <row r="1322">
      <c r="A1322" s="1204">
        <f>'House Count'!A1322</f>
        <v/>
      </c>
      <c r="B1322" s="1205">
        <f>'House Count'!E1322</f>
        <v/>
      </c>
      <c r="C1322" s="1205">
        <f>'House Count'!B1322</f>
        <v/>
      </c>
      <c r="D1322" s="1205">
        <f>'House Count'!C1322</f>
        <v/>
      </c>
      <c r="E1322" s="1205">
        <f>'House Count'!D1322</f>
        <v/>
      </c>
      <c r="F1322" s="1205">
        <f>IF(G1322="RES-SFU","RESIDENTIAL",IF(G1322="RES-HOA","RESIDENTIAL",IF(G1322="RES-MDU","RESIDENTIAL",IF(G1322="COMM-SU","BUSINESS",IF(G1322="COM-MTU","BUSINESS",IF(G1322="ENT","BUSINESS",""))))))</f>
        <v/>
      </c>
      <c r="G1322" s="1205">
        <f>'House Count'!F1322</f>
        <v/>
      </c>
      <c r="H1322" s="1205">
        <f>'House Count'!H1322</f>
        <v/>
      </c>
    </row>
    <row r="1323">
      <c r="A1323" s="1204">
        <f>'House Count'!A1323</f>
        <v/>
      </c>
      <c r="B1323" s="1205">
        <f>'House Count'!E1323</f>
        <v/>
      </c>
      <c r="C1323" s="1205">
        <f>'House Count'!B1323</f>
        <v/>
      </c>
      <c r="D1323" s="1205">
        <f>'House Count'!C1323</f>
        <v/>
      </c>
      <c r="E1323" s="1205">
        <f>'House Count'!D1323</f>
        <v/>
      </c>
      <c r="F1323" s="1205">
        <f>IF(G1323="RES-SFU","RESIDENTIAL",IF(G1323="RES-HOA","RESIDENTIAL",IF(G1323="RES-MDU","RESIDENTIAL",IF(G1323="COMM-SU","BUSINESS",IF(G1323="COM-MTU","BUSINESS",IF(G1323="ENT","BUSINESS",""))))))</f>
        <v/>
      </c>
      <c r="G1323" s="1205">
        <f>'House Count'!F1323</f>
        <v/>
      </c>
      <c r="H1323" s="1205">
        <f>'House Count'!H1323</f>
        <v/>
      </c>
    </row>
    <row r="1324">
      <c r="A1324" s="1204">
        <f>'House Count'!A1324</f>
        <v/>
      </c>
      <c r="B1324" s="1205">
        <f>'House Count'!E1324</f>
        <v/>
      </c>
      <c r="C1324" s="1205">
        <f>'House Count'!B1324</f>
        <v/>
      </c>
      <c r="D1324" s="1205">
        <f>'House Count'!C1324</f>
        <v/>
      </c>
      <c r="E1324" s="1205">
        <f>'House Count'!D1324</f>
        <v/>
      </c>
      <c r="F1324" s="1205">
        <f>IF(G1324="RES-SFU","RESIDENTIAL",IF(G1324="RES-HOA","RESIDENTIAL",IF(G1324="RES-MDU","RESIDENTIAL",IF(G1324="COMM-SU","BUSINESS",IF(G1324="COM-MTU","BUSINESS",IF(G1324="ENT","BUSINESS",""))))))</f>
        <v/>
      </c>
      <c r="G1324" s="1205">
        <f>'House Count'!F1324</f>
        <v/>
      </c>
      <c r="H1324" s="1205">
        <f>'House Count'!H1324</f>
        <v/>
      </c>
    </row>
    <row r="1325">
      <c r="A1325" s="1204">
        <f>'House Count'!A1325</f>
        <v/>
      </c>
      <c r="B1325" s="1205">
        <f>'House Count'!E1325</f>
        <v/>
      </c>
      <c r="C1325" s="1205">
        <f>'House Count'!B1325</f>
        <v/>
      </c>
      <c r="D1325" s="1205">
        <f>'House Count'!C1325</f>
        <v/>
      </c>
      <c r="E1325" s="1205">
        <f>'House Count'!D1325</f>
        <v/>
      </c>
      <c r="F1325" s="1205">
        <f>IF(G1325="RES-SFU","RESIDENTIAL",IF(G1325="RES-HOA","RESIDENTIAL",IF(G1325="RES-MDU","RESIDENTIAL",IF(G1325="COMM-SU","BUSINESS",IF(G1325="COM-MTU","BUSINESS",IF(G1325="ENT","BUSINESS",""))))))</f>
        <v/>
      </c>
      <c r="G1325" s="1205">
        <f>'House Count'!F1325</f>
        <v/>
      </c>
      <c r="H1325" s="1205">
        <f>'House Count'!H1325</f>
        <v/>
      </c>
    </row>
    <row r="1326">
      <c r="A1326" s="1204">
        <f>'House Count'!A1326</f>
        <v/>
      </c>
      <c r="B1326" s="1205">
        <f>'House Count'!E1326</f>
        <v/>
      </c>
      <c r="C1326" s="1205">
        <f>'House Count'!B1326</f>
        <v/>
      </c>
      <c r="D1326" s="1205">
        <f>'House Count'!C1326</f>
        <v/>
      </c>
      <c r="E1326" s="1205">
        <f>'House Count'!D1326</f>
        <v/>
      </c>
      <c r="F1326" s="1205">
        <f>IF(G1326="RES-SFU","RESIDENTIAL",IF(G1326="RES-HOA","RESIDENTIAL",IF(G1326="RES-MDU","RESIDENTIAL",IF(G1326="COMM-SU","BUSINESS",IF(G1326="COM-MTU","BUSINESS",IF(G1326="ENT","BUSINESS",""))))))</f>
        <v/>
      </c>
      <c r="G1326" s="1205">
        <f>'House Count'!F1326</f>
        <v/>
      </c>
      <c r="H1326" s="1205">
        <f>'House Count'!H1326</f>
        <v/>
      </c>
    </row>
    <row r="1327">
      <c r="A1327" s="1204">
        <f>'House Count'!A1327</f>
        <v/>
      </c>
      <c r="B1327" s="1205">
        <f>'House Count'!E1327</f>
        <v/>
      </c>
      <c r="C1327" s="1205">
        <f>'House Count'!B1327</f>
        <v/>
      </c>
      <c r="D1327" s="1205">
        <f>'House Count'!C1327</f>
        <v/>
      </c>
      <c r="E1327" s="1205">
        <f>'House Count'!D1327</f>
        <v/>
      </c>
      <c r="F1327" s="1205">
        <f>IF(G1327="RES-SFU","RESIDENTIAL",IF(G1327="RES-HOA","RESIDENTIAL",IF(G1327="RES-MDU","RESIDENTIAL",IF(G1327="COMM-SU","BUSINESS",IF(G1327="COM-MTU","BUSINESS",IF(G1327="ENT","BUSINESS",""))))))</f>
        <v/>
      </c>
      <c r="G1327" s="1205">
        <f>'House Count'!F1327</f>
        <v/>
      </c>
      <c r="H1327" s="1205">
        <f>'House Count'!H1327</f>
        <v/>
      </c>
    </row>
    <row r="1328">
      <c r="A1328" s="1204">
        <f>'House Count'!A1328</f>
        <v/>
      </c>
      <c r="B1328" s="1205">
        <f>'House Count'!E1328</f>
        <v/>
      </c>
      <c r="C1328" s="1205">
        <f>'House Count'!B1328</f>
        <v/>
      </c>
      <c r="D1328" s="1205">
        <f>'House Count'!C1328</f>
        <v/>
      </c>
      <c r="E1328" s="1205">
        <f>'House Count'!D1328</f>
        <v/>
      </c>
      <c r="F1328" s="1205">
        <f>IF(G1328="RES-SFU","RESIDENTIAL",IF(G1328="RES-HOA","RESIDENTIAL",IF(G1328="RES-MDU","RESIDENTIAL",IF(G1328="COMM-SU","BUSINESS",IF(G1328="COM-MTU","BUSINESS",IF(G1328="ENT","BUSINESS",""))))))</f>
        <v/>
      </c>
      <c r="G1328" s="1205">
        <f>'House Count'!F1328</f>
        <v/>
      </c>
      <c r="H1328" s="1205">
        <f>'House Count'!H1328</f>
        <v/>
      </c>
    </row>
    <row r="1329">
      <c r="A1329" s="1204">
        <f>'House Count'!A1329</f>
        <v/>
      </c>
      <c r="B1329" s="1205">
        <f>'House Count'!E1329</f>
        <v/>
      </c>
      <c r="C1329" s="1205">
        <f>'House Count'!B1329</f>
        <v/>
      </c>
      <c r="D1329" s="1205">
        <f>'House Count'!C1329</f>
        <v/>
      </c>
      <c r="E1329" s="1205">
        <f>'House Count'!D1329</f>
        <v/>
      </c>
      <c r="F1329" s="1205">
        <f>IF(G1329="RES-SFU","RESIDENTIAL",IF(G1329="RES-HOA","RESIDENTIAL",IF(G1329="RES-MDU","RESIDENTIAL",IF(G1329="COMM-SU","BUSINESS",IF(G1329="COM-MTU","BUSINESS",IF(G1329="ENT","BUSINESS",""))))))</f>
        <v/>
      </c>
      <c r="G1329" s="1205">
        <f>'House Count'!F1329</f>
        <v/>
      </c>
      <c r="H1329" s="1205">
        <f>'House Count'!H1329</f>
        <v/>
      </c>
    </row>
    <row r="1330">
      <c r="A1330" s="1204">
        <f>'House Count'!A1330</f>
        <v/>
      </c>
      <c r="B1330" s="1205">
        <f>'House Count'!E1330</f>
        <v/>
      </c>
      <c r="C1330" s="1205">
        <f>'House Count'!B1330</f>
        <v/>
      </c>
      <c r="D1330" s="1205">
        <f>'House Count'!C1330</f>
        <v/>
      </c>
      <c r="E1330" s="1205">
        <f>'House Count'!D1330</f>
        <v/>
      </c>
      <c r="F1330" s="1205">
        <f>IF(G1330="RES-SFU","RESIDENTIAL",IF(G1330="RES-HOA","RESIDENTIAL",IF(G1330="RES-MDU","RESIDENTIAL",IF(G1330="COMM-SU","BUSINESS",IF(G1330="COM-MTU","BUSINESS",IF(G1330="ENT","BUSINESS",""))))))</f>
        <v/>
      </c>
      <c r="G1330" s="1205">
        <f>'House Count'!F1330</f>
        <v/>
      </c>
      <c r="H1330" s="1205">
        <f>'House Count'!H1330</f>
        <v/>
      </c>
    </row>
    <row r="1331">
      <c r="A1331" s="1204">
        <f>'House Count'!A1331</f>
        <v/>
      </c>
      <c r="B1331" s="1205">
        <f>'House Count'!E1331</f>
        <v/>
      </c>
      <c r="C1331" s="1205">
        <f>'House Count'!B1331</f>
        <v/>
      </c>
      <c r="D1331" s="1205">
        <f>'House Count'!C1331</f>
        <v/>
      </c>
      <c r="E1331" s="1205">
        <f>'House Count'!D1331</f>
        <v/>
      </c>
      <c r="F1331" s="1205">
        <f>IF(G1331="RES-SFU","RESIDENTIAL",IF(G1331="RES-HOA","RESIDENTIAL",IF(G1331="RES-MDU","RESIDENTIAL",IF(G1331="COMM-SU","BUSINESS",IF(G1331="COM-MTU","BUSINESS",IF(G1331="ENT","BUSINESS",""))))))</f>
        <v/>
      </c>
      <c r="G1331" s="1205">
        <f>'House Count'!F1331</f>
        <v/>
      </c>
      <c r="H1331" s="1205">
        <f>'House Count'!H1331</f>
        <v/>
      </c>
    </row>
    <row r="1332">
      <c r="A1332" s="1204">
        <f>'House Count'!A1332</f>
        <v/>
      </c>
      <c r="B1332" s="1205">
        <f>'House Count'!E1332</f>
        <v/>
      </c>
      <c r="C1332" s="1205">
        <f>'House Count'!B1332</f>
        <v/>
      </c>
      <c r="D1332" s="1205">
        <f>'House Count'!C1332</f>
        <v/>
      </c>
      <c r="E1332" s="1205">
        <f>'House Count'!D1332</f>
        <v/>
      </c>
      <c r="F1332" s="1205">
        <f>IF(G1332="RES-SFU","RESIDENTIAL",IF(G1332="RES-HOA","RESIDENTIAL",IF(G1332="RES-MDU","RESIDENTIAL",IF(G1332="COMM-SU","BUSINESS",IF(G1332="COM-MTU","BUSINESS",IF(G1332="ENT","BUSINESS",""))))))</f>
        <v/>
      </c>
      <c r="G1332" s="1205">
        <f>'House Count'!F1332</f>
        <v/>
      </c>
      <c r="H1332" s="1205">
        <f>'House Count'!H1332</f>
        <v/>
      </c>
    </row>
    <row r="1333">
      <c r="A1333" s="1204">
        <f>'House Count'!A1333</f>
        <v/>
      </c>
      <c r="B1333" s="1205">
        <f>'House Count'!E1333</f>
        <v/>
      </c>
      <c r="C1333" s="1205">
        <f>'House Count'!B1333</f>
        <v/>
      </c>
      <c r="D1333" s="1205">
        <f>'House Count'!C1333</f>
        <v/>
      </c>
      <c r="E1333" s="1205">
        <f>'House Count'!D1333</f>
        <v/>
      </c>
      <c r="F1333" s="1205">
        <f>IF(G1333="RES-SFU","RESIDENTIAL",IF(G1333="RES-HOA","RESIDENTIAL",IF(G1333="RES-MDU","RESIDENTIAL",IF(G1333="COMM-SU","BUSINESS",IF(G1333="COM-MTU","BUSINESS",IF(G1333="ENT","BUSINESS",""))))))</f>
        <v/>
      </c>
      <c r="G1333" s="1205">
        <f>'House Count'!F1333</f>
        <v/>
      </c>
      <c r="H1333" s="1205">
        <f>'House Count'!H1333</f>
        <v/>
      </c>
    </row>
    <row r="1334">
      <c r="A1334" s="1204">
        <f>'House Count'!A1334</f>
        <v/>
      </c>
      <c r="B1334" s="1205">
        <f>'House Count'!E1334</f>
        <v/>
      </c>
      <c r="C1334" s="1205">
        <f>'House Count'!B1334</f>
        <v/>
      </c>
      <c r="D1334" s="1205">
        <f>'House Count'!C1334</f>
        <v/>
      </c>
      <c r="E1334" s="1205">
        <f>'House Count'!D1334</f>
        <v/>
      </c>
      <c r="F1334" s="1205">
        <f>IF(G1334="RES-SFU","RESIDENTIAL",IF(G1334="RES-HOA","RESIDENTIAL",IF(G1334="RES-MDU","RESIDENTIAL",IF(G1334="COMM-SU","BUSINESS",IF(G1334="COM-MTU","BUSINESS",IF(G1334="ENT","BUSINESS",""))))))</f>
        <v/>
      </c>
      <c r="G1334" s="1205">
        <f>'House Count'!F1334</f>
        <v/>
      </c>
      <c r="H1334" s="1205">
        <f>'House Count'!H1334</f>
        <v/>
      </c>
    </row>
    <row r="1335">
      <c r="A1335" s="1204">
        <f>'House Count'!A1335</f>
        <v/>
      </c>
      <c r="B1335" s="1205">
        <f>'House Count'!E1335</f>
        <v/>
      </c>
      <c r="C1335" s="1205">
        <f>'House Count'!B1335</f>
        <v/>
      </c>
      <c r="D1335" s="1205">
        <f>'House Count'!C1335</f>
        <v/>
      </c>
      <c r="E1335" s="1205">
        <f>'House Count'!D1335</f>
        <v/>
      </c>
      <c r="F1335" s="1205">
        <f>IF(G1335="RES-SFU","RESIDENTIAL",IF(G1335="RES-HOA","RESIDENTIAL",IF(G1335="RES-MDU","RESIDENTIAL",IF(G1335="COMM-SU","BUSINESS",IF(G1335="COM-MTU","BUSINESS",IF(G1335="ENT","BUSINESS",""))))))</f>
        <v/>
      </c>
      <c r="G1335" s="1205">
        <f>'House Count'!F1335</f>
        <v/>
      </c>
      <c r="H1335" s="1205">
        <f>'House Count'!H1335</f>
        <v/>
      </c>
    </row>
    <row r="1336">
      <c r="A1336" s="1204">
        <f>'House Count'!A1336</f>
        <v/>
      </c>
      <c r="B1336" s="1205">
        <f>'House Count'!E1336</f>
        <v/>
      </c>
      <c r="C1336" s="1205">
        <f>'House Count'!B1336</f>
        <v/>
      </c>
      <c r="D1336" s="1205">
        <f>'House Count'!C1336</f>
        <v/>
      </c>
      <c r="E1336" s="1205">
        <f>'House Count'!D1336</f>
        <v/>
      </c>
      <c r="F1336" s="1205">
        <f>IF(G1336="RES-SFU","RESIDENTIAL",IF(G1336="RES-HOA","RESIDENTIAL",IF(G1336="RES-MDU","RESIDENTIAL",IF(G1336="COMM-SU","BUSINESS",IF(G1336="COM-MTU","BUSINESS",IF(G1336="ENT","BUSINESS",""))))))</f>
        <v/>
      </c>
      <c r="G1336" s="1205">
        <f>'House Count'!F1336</f>
        <v/>
      </c>
      <c r="H1336" s="1205">
        <f>'House Count'!H1336</f>
        <v/>
      </c>
    </row>
    <row r="1337">
      <c r="A1337" s="1204">
        <f>'House Count'!A1337</f>
        <v/>
      </c>
      <c r="B1337" s="1205">
        <f>'House Count'!E1337</f>
        <v/>
      </c>
      <c r="C1337" s="1205">
        <f>'House Count'!B1337</f>
        <v/>
      </c>
      <c r="D1337" s="1205">
        <f>'House Count'!C1337</f>
        <v/>
      </c>
      <c r="E1337" s="1205">
        <f>'House Count'!D1337</f>
        <v/>
      </c>
      <c r="F1337" s="1205">
        <f>IF(G1337="RES-SFU","RESIDENTIAL",IF(G1337="RES-HOA","RESIDENTIAL",IF(G1337="RES-MDU","RESIDENTIAL",IF(G1337="COMM-SU","BUSINESS",IF(G1337="COM-MTU","BUSINESS",IF(G1337="ENT","BUSINESS",""))))))</f>
        <v/>
      </c>
      <c r="G1337" s="1205">
        <f>'House Count'!F1337</f>
        <v/>
      </c>
      <c r="H1337" s="1205">
        <f>'House Count'!H1337</f>
        <v/>
      </c>
    </row>
    <row r="1338">
      <c r="A1338" s="1204">
        <f>'House Count'!A1338</f>
        <v/>
      </c>
      <c r="B1338" s="1205">
        <f>'House Count'!E1338</f>
        <v/>
      </c>
      <c r="C1338" s="1205">
        <f>'House Count'!B1338</f>
        <v/>
      </c>
      <c r="D1338" s="1205">
        <f>'House Count'!C1338</f>
        <v/>
      </c>
      <c r="E1338" s="1205">
        <f>'House Count'!D1338</f>
        <v/>
      </c>
      <c r="F1338" s="1205">
        <f>IF(G1338="RES-SFU","RESIDENTIAL",IF(G1338="RES-HOA","RESIDENTIAL",IF(G1338="RES-MDU","RESIDENTIAL",IF(G1338="COMM-SU","BUSINESS",IF(G1338="COM-MTU","BUSINESS",IF(G1338="ENT","BUSINESS",""))))))</f>
        <v/>
      </c>
      <c r="G1338" s="1205">
        <f>'House Count'!F1338</f>
        <v/>
      </c>
      <c r="H1338" s="1205">
        <f>'House Count'!H1338</f>
        <v/>
      </c>
    </row>
    <row r="1339">
      <c r="A1339" s="1204">
        <f>'House Count'!A1339</f>
        <v/>
      </c>
      <c r="B1339" s="1205">
        <f>'House Count'!E1339</f>
        <v/>
      </c>
      <c r="C1339" s="1205">
        <f>'House Count'!B1339</f>
        <v/>
      </c>
      <c r="D1339" s="1205">
        <f>'House Count'!C1339</f>
        <v/>
      </c>
      <c r="E1339" s="1205">
        <f>'House Count'!D1339</f>
        <v/>
      </c>
      <c r="F1339" s="1205">
        <f>IF(G1339="RES-SFU","RESIDENTIAL",IF(G1339="RES-HOA","RESIDENTIAL",IF(G1339="RES-MDU","RESIDENTIAL",IF(G1339="COMM-SU","BUSINESS",IF(G1339="COM-MTU","BUSINESS",IF(G1339="ENT","BUSINESS",""))))))</f>
        <v/>
      </c>
      <c r="G1339" s="1205">
        <f>'House Count'!F1339</f>
        <v/>
      </c>
      <c r="H1339" s="1205">
        <f>'House Count'!H1339</f>
        <v/>
      </c>
    </row>
    <row r="1340">
      <c r="A1340" s="1204">
        <f>'House Count'!A1340</f>
        <v/>
      </c>
      <c r="B1340" s="1205">
        <f>'House Count'!E1340</f>
        <v/>
      </c>
      <c r="C1340" s="1205">
        <f>'House Count'!B1340</f>
        <v/>
      </c>
      <c r="D1340" s="1205">
        <f>'House Count'!C1340</f>
        <v/>
      </c>
      <c r="E1340" s="1205">
        <f>'House Count'!D1340</f>
        <v/>
      </c>
      <c r="F1340" s="1205">
        <f>IF(G1340="RES-SFU","RESIDENTIAL",IF(G1340="RES-HOA","RESIDENTIAL",IF(G1340="RES-MDU","RESIDENTIAL",IF(G1340="COMM-SU","BUSINESS",IF(G1340="COM-MTU","BUSINESS",IF(G1340="ENT","BUSINESS",""))))))</f>
        <v/>
      </c>
      <c r="G1340" s="1205">
        <f>'House Count'!F1340</f>
        <v/>
      </c>
      <c r="H1340" s="1205">
        <f>'House Count'!H1340</f>
        <v/>
      </c>
    </row>
    <row r="1341">
      <c r="A1341" s="1204">
        <f>'House Count'!A1341</f>
        <v/>
      </c>
      <c r="B1341" s="1205">
        <f>'House Count'!E1341</f>
        <v/>
      </c>
      <c r="C1341" s="1205">
        <f>'House Count'!B1341</f>
        <v/>
      </c>
      <c r="D1341" s="1205">
        <f>'House Count'!C1341</f>
        <v/>
      </c>
      <c r="E1341" s="1205">
        <f>'House Count'!D1341</f>
        <v/>
      </c>
      <c r="F1341" s="1205">
        <f>IF(G1341="RES-SFU","RESIDENTIAL",IF(G1341="RES-HOA","RESIDENTIAL",IF(G1341="RES-MDU","RESIDENTIAL",IF(G1341="COMM-SU","BUSINESS",IF(G1341="COM-MTU","BUSINESS",IF(G1341="ENT","BUSINESS",""))))))</f>
        <v/>
      </c>
      <c r="G1341" s="1205">
        <f>'House Count'!F1341</f>
        <v/>
      </c>
      <c r="H1341" s="1205">
        <f>'House Count'!H1341</f>
        <v/>
      </c>
    </row>
    <row r="1342">
      <c r="A1342" s="1204">
        <f>'House Count'!A1342</f>
        <v/>
      </c>
      <c r="B1342" s="1205">
        <f>'House Count'!E1342</f>
        <v/>
      </c>
      <c r="C1342" s="1205">
        <f>'House Count'!B1342</f>
        <v/>
      </c>
      <c r="D1342" s="1205">
        <f>'House Count'!C1342</f>
        <v/>
      </c>
      <c r="E1342" s="1205">
        <f>'House Count'!D1342</f>
        <v/>
      </c>
      <c r="F1342" s="1205">
        <f>IF(G1342="RES-SFU","RESIDENTIAL",IF(G1342="RES-HOA","RESIDENTIAL",IF(G1342="RES-MDU","RESIDENTIAL",IF(G1342="COMM-SU","BUSINESS",IF(G1342="COM-MTU","BUSINESS",IF(G1342="ENT","BUSINESS",""))))))</f>
        <v/>
      </c>
      <c r="G1342" s="1205">
        <f>'House Count'!F1342</f>
        <v/>
      </c>
      <c r="H1342" s="1205">
        <f>'House Count'!H1342</f>
        <v/>
      </c>
    </row>
    <row r="1343">
      <c r="A1343" s="1204">
        <f>'House Count'!A1343</f>
        <v/>
      </c>
      <c r="B1343" s="1205">
        <f>'House Count'!E1343</f>
        <v/>
      </c>
      <c r="C1343" s="1205">
        <f>'House Count'!B1343</f>
        <v/>
      </c>
      <c r="D1343" s="1205">
        <f>'House Count'!C1343</f>
        <v/>
      </c>
      <c r="E1343" s="1205">
        <f>'House Count'!D1343</f>
        <v/>
      </c>
      <c r="F1343" s="1205">
        <f>IF(G1343="RES-SFU","RESIDENTIAL",IF(G1343="RES-HOA","RESIDENTIAL",IF(G1343="RES-MDU","RESIDENTIAL",IF(G1343="COMM-SU","BUSINESS",IF(G1343="COM-MTU","BUSINESS",IF(G1343="ENT","BUSINESS",""))))))</f>
        <v/>
      </c>
      <c r="G1343" s="1205">
        <f>'House Count'!F1343</f>
        <v/>
      </c>
      <c r="H1343" s="1205">
        <f>'House Count'!H1343</f>
        <v/>
      </c>
    </row>
    <row r="1344">
      <c r="A1344" s="1204">
        <f>'House Count'!A1344</f>
        <v/>
      </c>
      <c r="B1344" s="1205">
        <f>'House Count'!E1344</f>
        <v/>
      </c>
      <c r="C1344" s="1205">
        <f>'House Count'!B1344</f>
        <v/>
      </c>
      <c r="D1344" s="1205">
        <f>'House Count'!C1344</f>
        <v/>
      </c>
      <c r="E1344" s="1205">
        <f>'House Count'!D1344</f>
        <v/>
      </c>
      <c r="F1344" s="1205">
        <f>IF(G1344="RES-SFU","RESIDENTIAL",IF(G1344="RES-HOA","RESIDENTIAL",IF(G1344="RES-MDU","RESIDENTIAL",IF(G1344="COMM-SU","BUSINESS",IF(G1344="COM-MTU","BUSINESS",IF(G1344="ENT","BUSINESS",""))))))</f>
        <v/>
      </c>
      <c r="G1344" s="1205">
        <f>'House Count'!F1344</f>
        <v/>
      </c>
      <c r="H1344" s="1205">
        <f>'House Count'!H1344</f>
        <v/>
      </c>
    </row>
    <row r="1345">
      <c r="A1345" s="1204">
        <f>'House Count'!A1345</f>
        <v/>
      </c>
      <c r="B1345" s="1205">
        <f>'House Count'!E1345</f>
        <v/>
      </c>
      <c r="C1345" s="1205">
        <f>'House Count'!B1345</f>
        <v/>
      </c>
      <c r="D1345" s="1205">
        <f>'House Count'!C1345</f>
        <v/>
      </c>
      <c r="E1345" s="1205">
        <f>'House Count'!D1345</f>
        <v/>
      </c>
      <c r="F1345" s="1205">
        <f>IF(G1345="RES-SFU","RESIDENTIAL",IF(G1345="RES-HOA","RESIDENTIAL",IF(G1345="RES-MDU","RESIDENTIAL",IF(G1345="COMM-SU","BUSINESS",IF(G1345="COM-MTU","BUSINESS",IF(G1345="ENT","BUSINESS",""))))))</f>
        <v/>
      </c>
      <c r="G1345" s="1205">
        <f>'House Count'!F1345</f>
        <v/>
      </c>
      <c r="H1345" s="1205">
        <f>'House Count'!H1345</f>
        <v/>
      </c>
    </row>
    <row r="1346">
      <c r="A1346" s="1204">
        <f>'House Count'!A1346</f>
        <v/>
      </c>
      <c r="B1346" s="1205">
        <f>'House Count'!E1346</f>
        <v/>
      </c>
      <c r="C1346" s="1205">
        <f>'House Count'!B1346</f>
        <v/>
      </c>
      <c r="D1346" s="1205">
        <f>'House Count'!C1346</f>
        <v/>
      </c>
      <c r="E1346" s="1205">
        <f>'House Count'!D1346</f>
        <v/>
      </c>
      <c r="F1346" s="1205">
        <f>IF(G1346="RES-SFU","RESIDENTIAL",IF(G1346="RES-HOA","RESIDENTIAL",IF(G1346="RES-MDU","RESIDENTIAL",IF(G1346="COMM-SU","BUSINESS",IF(G1346="COM-MTU","BUSINESS",IF(G1346="ENT","BUSINESS",""))))))</f>
        <v/>
      </c>
      <c r="G1346" s="1205">
        <f>'House Count'!F1346</f>
        <v/>
      </c>
      <c r="H1346" s="1205">
        <f>'House Count'!H1346</f>
        <v/>
      </c>
    </row>
    <row r="1347">
      <c r="A1347" s="1204">
        <f>'House Count'!A1347</f>
        <v/>
      </c>
      <c r="B1347" s="1205">
        <f>'House Count'!E1347</f>
        <v/>
      </c>
      <c r="C1347" s="1205">
        <f>'House Count'!B1347</f>
        <v/>
      </c>
      <c r="D1347" s="1205">
        <f>'House Count'!C1347</f>
        <v/>
      </c>
      <c r="E1347" s="1205">
        <f>'House Count'!D1347</f>
        <v/>
      </c>
      <c r="F1347" s="1205">
        <f>IF(G1347="RES-SFU","RESIDENTIAL",IF(G1347="RES-HOA","RESIDENTIAL",IF(G1347="RES-MDU","RESIDENTIAL",IF(G1347="COMM-SU","BUSINESS",IF(G1347="COM-MTU","BUSINESS",IF(G1347="ENT","BUSINESS",""))))))</f>
        <v/>
      </c>
      <c r="G1347" s="1205">
        <f>'House Count'!F1347</f>
        <v/>
      </c>
      <c r="H1347" s="1205">
        <f>'House Count'!H1347</f>
        <v/>
      </c>
    </row>
    <row r="1348">
      <c r="A1348" s="1204">
        <f>'House Count'!A1348</f>
        <v/>
      </c>
      <c r="B1348" s="1205">
        <f>'House Count'!E1348</f>
        <v/>
      </c>
      <c r="C1348" s="1205">
        <f>'House Count'!B1348</f>
        <v/>
      </c>
      <c r="D1348" s="1205">
        <f>'House Count'!C1348</f>
        <v/>
      </c>
      <c r="E1348" s="1205">
        <f>'House Count'!D1348</f>
        <v/>
      </c>
      <c r="F1348" s="1205">
        <f>IF(G1348="RES-SFU","RESIDENTIAL",IF(G1348="RES-HOA","RESIDENTIAL",IF(G1348="RES-MDU","RESIDENTIAL",IF(G1348="COMM-SU","BUSINESS",IF(G1348="COM-MTU","BUSINESS",IF(G1348="ENT","BUSINESS",""))))))</f>
        <v/>
      </c>
      <c r="G1348" s="1205">
        <f>'House Count'!F1348</f>
        <v/>
      </c>
      <c r="H1348" s="1205">
        <f>'House Count'!H1348</f>
        <v/>
      </c>
    </row>
    <row r="1349">
      <c r="A1349" s="1204">
        <f>'House Count'!A1349</f>
        <v/>
      </c>
      <c r="B1349" s="1205">
        <f>'House Count'!E1349</f>
        <v/>
      </c>
      <c r="C1349" s="1205">
        <f>'House Count'!B1349</f>
        <v/>
      </c>
      <c r="D1349" s="1205">
        <f>'House Count'!C1349</f>
        <v/>
      </c>
      <c r="E1349" s="1205">
        <f>'House Count'!D1349</f>
        <v/>
      </c>
      <c r="F1349" s="1205">
        <f>IF(G1349="RES-SFU","RESIDENTIAL",IF(G1349="RES-HOA","RESIDENTIAL",IF(G1349="RES-MDU","RESIDENTIAL",IF(G1349="COMM-SU","BUSINESS",IF(G1349="COM-MTU","BUSINESS",IF(G1349="ENT","BUSINESS",""))))))</f>
        <v/>
      </c>
      <c r="G1349" s="1205">
        <f>'House Count'!F1349</f>
        <v/>
      </c>
      <c r="H1349" s="1205">
        <f>'House Count'!H1349</f>
        <v/>
      </c>
    </row>
    <row r="1350">
      <c r="A1350" s="1204">
        <f>'House Count'!A1350</f>
        <v/>
      </c>
      <c r="B1350" s="1205">
        <f>'House Count'!E1350</f>
        <v/>
      </c>
      <c r="C1350" s="1205">
        <f>'House Count'!B1350</f>
        <v/>
      </c>
      <c r="D1350" s="1205">
        <f>'House Count'!C1350</f>
        <v/>
      </c>
      <c r="E1350" s="1205">
        <f>'House Count'!D1350</f>
        <v/>
      </c>
      <c r="F1350" s="1205">
        <f>IF(G1350="RES-SFU","RESIDENTIAL",IF(G1350="RES-HOA","RESIDENTIAL",IF(G1350="RES-MDU","RESIDENTIAL",IF(G1350="COMM-SU","BUSINESS",IF(G1350="COM-MTU","BUSINESS",IF(G1350="ENT","BUSINESS",""))))))</f>
        <v/>
      </c>
      <c r="G1350" s="1205">
        <f>'House Count'!F1350</f>
        <v/>
      </c>
      <c r="H1350" s="1205">
        <f>'House Count'!H1350</f>
        <v/>
      </c>
    </row>
    <row r="1351">
      <c r="A1351" s="1204">
        <f>'House Count'!A1351</f>
        <v/>
      </c>
      <c r="B1351" s="1205">
        <f>'House Count'!E1351</f>
        <v/>
      </c>
      <c r="C1351" s="1205">
        <f>'House Count'!B1351</f>
        <v/>
      </c>
      <c r="D1351" s="1205">
        <f>'House Count'!C1351</f>
        <v/>
      </c>
      <c r="E1351" s="1205">
        <f>'House Count'!D1351</f>
        <v/>
      </c>
      <c r="F1351" s="1205">
        <f>IF(G1351="RES-SFU","RESIDENTIAL",IF(G1351="RES-HOA","RESIDENTIAL",IF(G1351="RES-MDU","RESIDENTIAL",IF(G1351="COMM-SU","BUSINESS",IF(G1351="COM-MTU","BUSINESS",IF(G1351="ENT","BUSINESS",""))))))</f>
        <v/>
      </c>
      <c r="G1351" s="1205">
        <f>'House Count'!F1351</f>
        <v/>
      </c>
      <c r="H1351" s="1205">
        <f>'House Count'!H1351</f>
        <v/>
      </c>
    </row>
    <row r="1352">
      <c r="A1352" s="1204">
        <f>'House Count'!A1352</f>
        <v/>
      </c>
      <c r="B1352" s="1205">
        <f>'House Count'!E1352</f>
        <v/>
      </c>
      <c r="C1352" s="1205">
        <f>'House Count'!B1352</f>
        <v/>
      </c>
      <c r="D1352" s="1205">
        <f>'House Count'!C1352</f>
        <v/>
      </c>
      <c r="E1352" s="1205">
        <f>'House Count'!D1352</f>
        <v/>
      </c>
      <c r="F1352" s="1205">
        <f>IF(G1352="RES-SFU","RESIDENTIAL",IF(G1352="RES-HOA","RESIDENTIAL",IF(G1352="RES-MDU","RESIDENTIAL",IF(G1352="COMM-SU","BUSINESS",IF(G1352="COM-MTU","BUSINESS",IF(G1352="ENT","BUSINESS",""))))))</f>
        <v/>
      </c>
      <c r="G1352" s="1205">
        <f>'House Count'!F1352</f>
        <v/>
      </c>
      <c r="H1352" s="1205">
        <f>'House Count'!H1352</f>
        <v/>
      </c>
    </row>
    <row r="1353">
      <c r="A1353" s="1204">
        <f>'House Count'!A1353</f>
        <v/>
      </c>
      <c r="B1353" s="1205">
        <f>'House Count'!E1353</f>
        <v/>
      </c>
      <c r="C1353" s="1205">
        <f>'House Count'!B1353</f>
        <v/>
      </c>
      <c r="D1353" s="1205">
        <f>'House Count'!C1353</f>
        <v/>
      </c>
      <c r="E1353" s="1205">
        <f>'House Count'!D1353</f>
        <v/>
      </c>
      <c r="F1353" s="1205">
        <f>IF(G1353="RES-SFU","RESIDENTIAL",IF(G1353="RES-HOA","RESIDENTIAL",IF(G1353="RES-MDU","RESIDENTIAL",IF(G1353="COMM-SU","BUSINESS",IF(G1353="COM-MTU","BUSINESS",IF(G1353="ENT","BUSINESS",""))))))</f>
        <v/>
      </c>
      <c r="G1353" s="1205">
        <f>'House Count'!F1353</f>
        <v/>
      </c>
      <c r="H1353" s="1205">
        <f>'House Count'!H1353</f>
        <v/>
      </c>
    </row>
    <row r="1354">
      <c r="A1354" s="1204">
        <f>'House Count'!A1354</f>
        <v/>
      </c>
      <c r="B1354" s="1205">
        <f>'House Count'!E1354</f>
        <v/>
      </c>
      <c r="C1354" s="1205">
        <f>'House Count'!B1354</f>
        <v/>
      </c>
      <c r="D1354" s="1205">
        <f>'House Count'!C1354</f>
        <v/>
      </c>
      <c r="E1354" s="1205">
        <f>'House Count'!D1354</f>
        <v/>
      </c>
      <c r="F1354" s="1205">
        <f>IF(G1354="RES-SFU","RESIDENTIAL",IF(G1354="RES-HOA","RESIDENTIAL",IF(G1354="RES-MDU","RESIDENTIAL",IF(G1354="COMM-SU","BUSINESS",IF(G1354="COM-MTU","BUSINESS",IF(G1354="ENT","BUSINESS",""))))))</f>
        <v/>
      </c>
      <c r="G1354" s="1205">
        <f>'House Count'!F1354</f>
        <v/>
      </c>
      <c r="H1354" s="1205">
        <f>'House Count'!H1354</f>
        <v/>
      </c>
    </row>
    <row r="1355">
      <c r="A1355" s="1204">
        <f>'House Count'!A1355</f>
        <v/>
      </c>
      <c r="B1355" s="1205">
        <f>'House Count'!E1355</f>
        <v/>
      </c>
      <c r="C1355" s="1205">
        <f>'House Count'!B1355</f>
        <v/>
      </c>
      <c r="D1355" s="1205">
        <f>'House Count'!C1355</f>
        <v/>
      </c>
      <c r="E1355" s="1205">
        <f>'House Count'!D1355</f>
        <v/>
      </c>
      <c r="F1355" s="1205">
        <f>IF(G1355="RES-SFU","RESIDENTIAL",IF(G1355="RES-HOA","RESIDENTIAL",IF(G1355="RES-MDU","RESIDENTIAL",IF(G1355="COMM-SU","BUSINESS",IF(G1355="COM-MTU","BUSINESS",IF(G1355="ENT","BUSINESS",""))))))</f>
        <v/>
      </c>
      <c r="G1355" s="1205">
        <f>'House Count'!F1355</f>
        <v/>
      </c>
      <c r="H1355" s="1205">
        <f>'House Count'!H1355</f>
        <v/>
      </c>
    </row>
    <row r="1356">
      <c r="A1356" s="1204">
        <f>'House Count'!A1356</f>
        <v/>
      </c>
      <c r="B1356" s="1205">
        <f>'House Count'!E1356</f>
        <v/>
      </c>
      <c r="C1356" s="1205">
        <f>'House Count'!B1356</f>
        <v/>
      </c>
      <c r="D1356" s="1205">
        <f>'House Count'!C1356</f>
        <v/>
      </c>
      <c r="E1356" s="1205">
        <f>'House Count'!D1356</f>
        <v/>
      </c>
      <c r="F1356" s="1205">
        <f>IF(G1356="RES-SFU","RESIDENTIAL",IF(G1356="RES-HOA","RESIDENTIAL",IF(G1356="RES-MDU","RESIDENTIAL",IF(G1356="COMM-SU","BUSINESS",IF(G1356="COM-MTU","BUSINESS",IF(G1356="ENT","BUSINESS",""))))))</f>
        <v/>
      </c>
      <c r="G1356" s="1205">
        <f>'House Count'!F1356</f>
        <v/>
      </c>
      <c r="H1356" s="1205">
        <f>'House Count'!H1356</f>
        <v/>
      </c>
    </row>
    <row r="1357">
      <c r="A1357" s="1204">
        <f>'House Count'!A1357</f>
        <v/>
      </c>
      <c r="B1357" s="1205">
        <f>'House Count'!E1357</f>
        <v/>
      </c>
      <c r="C1357" s="1205">
        <f>'House Count'!B1357</f>
        <v/>
      </c>
      <c r="D1357" s="1205">
        <f>'House Count'!C1357</f>
        <v/>
      </c>
      <c r="E1357" s="1205">
        <f>'House Count'!D1357</f>
        <v/>
      </c>
      <c r="F1357" s="1205">
        <f>IF(G1357="RES-SFU","RESIDENTIAL",IF(G1357="RES-HOA","RESIDENTIAL",IF(G1357="RES-MDU","RESIDENTIAL",IF(G1357="COMM-SU","BUSINESS",IF(G1357="COM-MTU","BUSINESS",IF(G1357="ENT","BUSINESS",""))))))</f>
        <v/>
      </c>
      <c r="G1357" s="1205">
        <f>'House Count'!F1357</f>
        <v/>
      </c>
      <c r="H1357" s="1205">
        <f>'House Count'!H1357</f>
        <v/>
      </c>
    </row>
    <row r="1358">
      <c r="A1358" s="1204">
        <f>'House Count'!A1358</f>
        <v/>
      </c>
      <c r="B1358" s="1205">
        <f>'House Count'!E1358</f>
        <v/>
      </c>
      <c r="C1358" s="1205">
        <f>'House Count'!B1358</f>
        <v/>
      </c>
      <c r="D1358" s="1205">
        <f>'House Count'!C1358</f>
        <v/>
      </c>
      <c r="E1358" s="1205">
        <f>'House Count'!D1358</f>
        <v/>
      </c>
      <c r="F1358" s="1205">
        <f>IF(G1358="RES-SFU","RESIDENTIAL",IF(G1358="RES-HOA","RESIDENTIAL",IF(G1358="RES-MDU","RESIDENTIAL",IF(G1358="COMM-SU","BUSINESS",IF(G1358="COM-MTU","BUSINESS",IF(G1358="ENT","BUSINESS",""))))))</f>
        <v/>
      </c>
      <c r="G1358" s="1205">
        <f>'House Count'!F1358</f>
        <v/>
      </c>
      <c r="H1358" s="1205">
        <f>'House Count'!H1358</f>
        <v/>
      </c>
    </row>
    <row r="1359">
      <c r="A1359" s="1204">
        <f>'House Count'!A1359</f>
        <v/>
      </c>
      <c r="B1359" s="1205">
        <f>'House Count'!E1359</f>
        <v/>
      </c>
      <c r="C1359" s="1205">
        <f>'House Count'!B1359</f>
        <v/>
      </c>
      <c r="D1359" s="1205">
        <f>'House Count'!C1359</f>
        <v/>
      </c>
      <c r="E1359" s="1205">
        <f>'House Count'!D1359</f>
        <v/>
      </c>
      <c r="F1359" s="1205">
        <f>IF(G1359="RES-SFU","RESIDENTIAL",IF(G1359="RES-HOA","RESIDENTIAL",IF(G1359="RES-MDU","RESIDENTIAL",IF(G1359="COMM-SU","BUSINESS",IF(G1359="COM-MTU","BUSINESS",IF(G1359="ENT","BUSINESS",""))))))</f>
        <v/>
      </c>
      <c r="G1359" s="1205">
        <f>'House Count'!F1359</f>
        <v/>
      </c>
      <c r="H1359" s="1205">
        <f>'House Count'!H1359</f>
        <v/>
      </c>
    </row>
    <row r="1360">
      <c r="A1360" s="1204">
        <f>'House Count'!A1360</f>
        <v/>
      </c>
      <c r="B1360" s="1205">
        <f>'House Count'!E1360</f>
        <v/>
      </c>
      <c r="C1360" s="1205">
        <f>'House Count'!B1360</f>
        <v/>
      </c>
      <c r="D1360" s="1205">
        <f>'House Count'!C1360</f>
        <v/>
      </c>
      <c r="E1360" s="1205">
        <f>'House Count'!D1360</f>
        <v/>
      </c>
      <c r="F1360" s="1205">
        <f>IF(G1360="RES-SFU","RESIDENTIAL",IF(G1360="RES-HOA","RESIDENTIAL",IF(G1360="RES-MDU","RESIDENTIAL",IF(G1360="COMM-SU","BUSINESS",IF(G1360="COM-MTU","BUSINESS",IF(G1360="ENT","BUSINESS",""))))))</f>
        <v/>
      </c>
      <c r="G1360" s="1205">
        <f>'House Count'!F1360</f>
        <v/>
      </c>
      <c r="H1360" s="1205">
        <f>'House Count'!H1360</f>
        <v/>
      </c>
    </row>
    <row r="1361">
      <c r="A1361" s="1204">
        <f>'House Count'!A1361</f>
        <v/>
      </c>
      <c r="B1361" s="1205">
        <f>'House Count'!E1361</f>
        <v/>
      </c>
      <c r="C1361" s="1205">
        <f>'House Count'!B1361</f>
        <v/>
      </c>
      <c r="D1361" s="1205">
        <f>'House Count'!C1361</f>
        <v/>
      </c>
      <c r="E1361" s="1205">
        <f>'House Count'!D1361</f>
        <v/>
      </c>
      <c r="F1361" s="1205">
        <f>IF(G1361="RES-SFU","RESIDENTIAL",IF(G1361="RES-HOA","RESIDENTIAL",IF(G1361="RES-MDU","RESIDENTIAL",IF(G1361="COMM-SU","BUSINESS",IF(G1361="COM-MTU","BUSINESS",IF(G1361="ENT","BUSINESS",""))))))</f>
        <v/>
      </c>
      <c r="G1361" s="1205">
        <f>'House Count'!F1361</f>
        <v/>
      </c>
      <c r="H1361" s="1205">
        <f>'House Count'!H1361</f>
        <v/>
      </c>
    </row>
    <row r="1362">
      <c r="A1362" s="1204">
        <f>'House Count'!A1362</f>
        <v/>
      </c>
      <c r="B1362" s="1205">
        <f>'House Count'!E1362</f>
        <v/>
      </c>
      <c r="C1362" s="1205">
        <f>'House Count'!B1362</f>
        <v/>
      </c>
      <c r="D1362" s="1205">
        <f>'House Count'!C1362</f>
        <v/>
      </c>
      <c r="E1362" s="1205">
        <f>'House Count'!D1362</f>
        <v/>
      </c>
      <c r="F1362" s="1205">
        <f>IF(G1362="RES-SFU","RESIDENTIAL",IF(G1362="RES-HOA","RESIDENTIAL",IF(G1362="RES-MDU","RESIDENTIAL",IF(G1362="COMM-SU","BUSINESS",IF(G1362="COM-MTU","BUSINESS",IF(G1362="ENT","BUSINESS",""))))))</f>
        <v/>
      </c>
      <c r="G1362" s="1205">
        <f>'House Count'!F1362</f>
        <v/>
      </c>
      <c r="H1362" s="1205">
        <f>'House Count'!H1362</f>
        <v/>
      </c>
    </row>
    <row r="1363">
      <c r="A1363" s="1204">
        <f>'House Count'!A1363</f>
        <v/>
      </c>
      <c r="B1363" s="1205">
        <f>'House Count'!E1363</f>
        <v/>
      </c>
      <c r="C1363" s="1205">
        <f>'House Count'!B1363</f>
        <v/>
      </c>
      <c r="D1363" s="1205">
        <f>'House Count'!C1363</f>
        <v/>
      </c>
      <c r="E1363" s="1205">
        <f>'House Count'!D1363</f>
        <v/>
      </c>
      <c r="F1363" s="1205">
        <f>IF(G1363="RES-SFU","RESIDENTIAL",IF(G1363="RES-HOA","RESIDENTIAL",IF(G1363="RES-MDU","RESIDENTIAL",IF(G1363="COMM-SU","BUSINESS",IF(G1363="COM-MTU","BUSINESS",IF(G1363="ENT","BUSINESS",""))))))</f>
        <v/>
      </c>
      <c r="G1363" s="1205">
        <f>'House Count'!F1363</f>
        <v/>
      </c>
      <c r="H1363" s="1205">
        <f>'House Count'!H1363</f>
        <v/>
      </c>
    </row>
    <row r="1364">
      <c r="A1364" s="1204">
        <f>'House Count'!A1364</f>
        <v/>
      </c>
      <c r="B1364" s="1205">
        <f>'House Count'!E1364</f>
        <v/>
      </c>
      <c r="C1364" s="1205">
        <f>'House Count'!B1364</f>
        <v/>
      </c>
      <c r="D1364" s="1205">
        <f>'House Count'!C1364</f>
        <v/>
      </c>
      <c r="E1364" s="1205">
        <f>'House Count'!D1364</f>
        <v/>
      </c>
      <c r="F1364" s="1205">
        <f>IF(G1364="RES-SFU","RESIDENTIAL",IF(G1364="RES-HOA","RESIDENTIAL",IF(G1364="RES-MDU","RESIDENTIAL",IF(G1364="COMM-SU","BUSINESS",IF(G1364="COM-MTU","BUSINESS",IF(G1364="ENT","BUSINESS",""))))))</f>
        <v/>
      </c>
      <c r="G1364" s="1205">
        <f>'House Count'!F1364</f>
        <v/>
      </c>
      <c r="H1364" s="1205">
        <f>'House Count'!H1364</f>
        <v/>
      </c>
    </row>
    <row r="1365">
      <c r="A1365" s="1204">
        <f>'House Count'!A1365</f>
        <v/>
      </c>
      <c r="B1365" s="1205">
        <f>'House Count'!E1365</f>
        <v/>
      </c>
      <c r="C1365" s="1205">
        <f>'House Count'!B1365</f>
        <v/>
      </c>
      <c r="D1365" s="1205">
        <f>'House Count'!C1365</f>
        <v/>
      </c>
      <c r="E1365" s="1205">
        <f>'House Count'!D1365</f>
        <v/>
      </c>
      <c r="F1365" s="1205">
        <f>IF(G1365="RES-SFU","RESIDENTIAL",IF(G1365="RES-HOA","RESIDENTIAL",IF(G1365="RES-MDU","RESIDENTIAL",IF(G1365="COMM-SU","BUSINESS",IF(G1365="COM-MTU","BUSINESS",IF(G1365="ENT","BUSINESS",""))))))</f>
        <v/>
      </c>
      <c r="G1365" s="1205">
        <f>'House Count'!F1365</f>
        <v/>
      </c>
      <c r="H1365" s="1205">
        <f>'House Count'!H1365</f>
        <v/>
      </c>
    </row>
    <row r="1366">
      <c r="A1366" s="1204">
        <f>'House Count'!A1366</f>
        <v/>
      </c>
      <c r="B1366" s="1205">
        <f>'House Count'!E1366</f>
        <v/>
      </c>
      <c r="C1366" s="1205">
        <f>'House Count'!B1366</f>
        <v/>
      </c>
      <c r="D1366" s="1205">
        <f>'House Count'!C1366</f>
        <v/>
      </c>
      <c r="E1366" s="1205">
        <f>'House Count'!D1366</f>
        <v/>
      </c>
      <c r="F1366" s="1205">
        <f>IF(G1366="RES-SFU","RESIDENTIAL",IF(G1366="RES-HOA","RESIDENTIAL",IF(G1366="RES-MDU","RESIDENTIAL",IF(G1366="COMM-SU","BUSINESS",IF(G1366="COM-MTU","BUSINESS",IF(G1366="ENT","BUSINESS",""))))))</f>
        <v/>
      </c>
      <c r="G1366" s="1205">
        <f>'House Count'!F1366</f>
        <v/>
      </c>
      <c r="H1366" s="1205">
        <f>'House Count'!H1366</f>
        <v/>
      </c>
    </row>
    <row r="1367">
      <c r="A1367" s="1204">
        <f>'House Count'!A1367</f>
        <v/>
      </c>
      <c r="B1367" s="1205">
        <f>'House Count'!E1367</f>
        <v/>
      </c>
      <c r="C1367" s="1205">
        <f>'House Count'!B1367</f>
        <v/>
      </c>
      <c r="D1367" s="1205">
        <f>'House Count'!C1367</f>
        <v/>
      </c>
      <c r="E1367" s="1205">
        <f>'House Count'!D1367</f>
        <v/>
      </c>
      <c r="F1367" s="1205">
        <f>IF(G1367="RES-SFU","RESIDENTIAL",IF(G1367="RES-HOA","RESIDENTIAL",IF(G1367="RES-MDU","RESIDENTIAL",IF(G1367="COMM-SU","BUSINESS",IF(G1367="COM-MTU","BUSINESS",IF(G1367="ENT","BUSINESS",""))))))</f>
        <v/>
      </c>
      <c r="G1367" s="1205">
        <f>'House Count'!F1367</f>
        <v/>
      </c>
      <c r="H1367" s="1205">
        <f>'House Count'!H1367</f>
        <v/>
      </c>
    </row>
    <row r="1368">
      <c r="A1368" s="1204">
        <f>'House Count'!A1368</f>
        <v/>
      </c>
      <c r="B1368" s="1205">
        <f>'House Count'!E1368</f>
        <v/>
      </c>
      <c r="C1368" s="1205">
        <f>'House Count'!B1368</f>
        <v/>
      </c>
      <c r="D1368" s="1205">
        <f>'House Count'!C1368</f>
        <v/>
      </c>
      <c r="E1368" s="1205">
        <f>'House Count'!D1368</f>
        <v/>
      </c>
      <c r="F1368" s="1205">
        <f>IF(G1368="RES-SFU","RESIDENTIAL",IF(G1368="RES-HOA","RESIDENTIAL",IF(G1368="RES-MDU","RESIDENTIAL",IF(G1368="COMM-SU","BUSINESS",IF(G1368="COM-MTU","BUSINESS",IF(G1368="ENT","BUSINESS",""))))))</f>
        <v/>
      </c>
      <c r="G1368" s="1205">
        <f>'House Count'!F1368</f>
        <v/>
      </c>
      <c r="H1368" s="1205">
        <f>'House Count'!H1368</f>
        <v/>
      </c>
    </row>
    <row r="1369">
      <c r="A1369" s="1204">
        <f>'House Count'!A1369</f>
        <v/>
      </c>
      <c r="B1369" s="1205">
        <f>'House Count'!E1369</f>
        <v/>
      </c>
      <c r="C1369" s="1205">
        <f>'House Count'!B1369</f>
        <v/>
      </c>
      <c r="D1369" s="1205">
        <f>'House Count'!C1369</f>
        <v/>
      </c>
      <c r="E1369" s="1205">
        <f>'House Count'!D1369</f>
        <v/>
      </c>
      <c r="F1369" s="1205">
        <f>IF(G1369="RES-SFU","RESIDENTIAL",IF(G1369="RES-HOA","RESIDENTIAL",IF(G1369="RES-MDU","RESIDENTIAL",IF(G1369="COMM-SU","BUSINESS",IF(G1369="COM-MTU","BUSINESS",IF(G1369="ENT","BUSINESS",""))))))</f>
        <v/>
      </c>
      <c r="G1369" s="1205">
        <f>'House Count'!F1369</f>
        <v/>
      </c>
      <c r="H1369" s="1205">
        <f>'House Count'!H1369</f>
        <v/>
      </c>
    </row>
    <row r="1370">
      <c r="A1370" s="1204">
        <f>'House Count'!A1370</f>
        <v/>
      </c>
      <c r="B1370" s="1205">
        <f>'House Count'!E1370</f>
        <v/>
      </c>
      <c r="C1370" s="1205">
        <f>'House Count'!B1370</f>
        <v/>
      </c>
      <c r="D1370" s="1205">
        <f>'House Count'!C1370</f>
        <v/>
      </c>
      <c r="E1370" s="1205">
        <f>'House Count'!D1370</f>
        <v/>
      </c>
      <c r="F1370" s="1205">
        <f>IF(G1370="RES-SFU","RESIDENTIAL",IF(G1370="RES-HOA","RESIDENTIAL",IF(G1370="RES-MDU","RESIDENTIAL",IF(G1370="COMM-SU","BUSINESS",IF(G1370="COM-MTU","BUSINESS",IF(G1370="ENT","BUSINESS",""))))))</f>
        <v/>
      </c>
      <c r="G1370" s="1205">
        <f>'House Count'!F1370</f>
        <v/>
      </c>
      <c r="H1370" s="1205">
        <f>'House Count'!H1370</f>
        <v/>
      </c>
    </row>
    <row r="1371">
      <c r="A1371" s="1204">
        <f>'House Count'!A1371</f>
        <v/>
      </c>
      <c r="B1371" s="1205">
        <f>'House Count'!E1371</f>
        <v/>
      </c>
      <c r="C1371" s="1205">
        <f>'House Count'!B1371</f>
        <v/>
      </c>
      <c r="D1371" s="1205">
        <f>'House Count'!C1371</f>
        <v/>
      </c>
      <c r="E1371" s="1205">
        <f>'House Count'!D1371</f>
        <v/>
      </c>
      <c r="F1371" s="1205">
        <f>IF(G1371="RES-SFU","RESIDENTIAL",IF(G1371="RES-HOA","RESIDENTIAL",IF(G1371="RES-MDU","RESIDENTIAL",IF(G1371="COMM-SU","BUSINESS",IF(G1371="COM-MTU","BUSINESS",IF(G1371="ENT","BUSINESS",""))))))</f>
        <v/>
      </c>
      <c r="G1371" s="1205">
        <f>'House Count'!F1371</f>
        <v/>
      </c>
      <c r="H1371" s="1205">
        <f>'House Count'!H1371</f>
        <v/>
      </c>
    </row>
    <row r="1372">
      <c r="A1372" s="1204">
        <f>'House Count'!A1372</f>
        <v/>
      </c>
      <c r="B1372" s="1205">
        <f>'House Count'!E1372</f>
        <v/>
      </c>
      <c r="C1372" s="1205">
        <f>'House Count'!B1372</f>
        <v/>
      </c>
      <c r="D1372" s="1205">
        <f>'House Count'!C1372</f>
        <v/>
      </c>
      <c r="E1372" s="1205">
        <f>'House Count'!D1372</f>
        <v/>
      </c>
      <c r="F1372" s="1205">
        <f>IF(G1372="RES-SFU","RESIDENTIAL",IF(G1372="RES-HOA","RESIDENTIAL",IF(G1372="RES-MDU","RESIDENTIAL",IF(G1372="COMM-SU","BUSINESS",IF(G1372="COM-MTU","BUSINESS",IF(G1372="ENT","BUSINESS",""))))))</f>
        <v/>
      </c>
      <c r="G1372" s="1205">
        <f>'House Count'!F1372</f>
        <v/>
      </c>
      <c r="H1372" s="1205">
        <f>'House Count'!H1372</f>
        <v/>
      </c>
    </row>
    <row r="1373">
      <c r="A1373" s="1204">
        <f>'House Count'!A1373</f>
        <v/>
      </c>
      <c r="B1373" s="1205">
        <f>'House Count'!E1373</f>
        <v/>
      </c>
      <c r="C1373" s="1205">
        <f>'House Count'!B1373</f>
        <v/>
      </c>
      <c r="D1373" s="1205">
        <f>'House Count'!C1373</f>
        <v/>
      </c>
      <c r="E1373" s="1205">
        <f>'House Count'!D1373</f>
        <v/>
      </c>
      <c r="F1373" s="1205">
        <f>IF(G1373="RES-SFU","RESIDENTIAL",IF(G1373="RES-HOA","RESIDENTIAL",IF(G1373="RES-MDU","RESIDENTIAL",IF(G1373="COMM-SU","BUSINESS",IF(G1373="COM-MTU","BUSINESS",IF(G1373="ENT","BUSINESS",""))))))</f>
        <v/>
      </c>
      <c r="G1373" s="1205">
        <f>'House Count'!F1373</f>
        <v/>
      </c>
      <c r="H1373" s="1205">
        <f>'House Count'!H1373</f>
        <v/>
      </c>
    </row>
    <row r="1374">
      <c r="A1374" s="1204">
        <f>'House Count'!A1374</f>
        <v/>
      </c>
      <c r="B1374" s="1205">
        <f>'House Count'!E1374</f>
        <v/>
      </c>
      <c r="C1374" s="1205">
        <f>'House Count'!B1374</f>
        <v/>
      </c>
      <c r="D1374" s="1205">
        <f>'House Count'!C1374</f>
        <v/>
      </c>
      <c r="E1374" s="1205">
        <f>'House Count'!D1374</f>
        <v/>
      </c>
      <c r="F1374" s="1205">
        <f>IF(G1374="RES-SFU","RESIDENTIAL",IF(G1374="RES-HOA","RESIDENTIAL",IF(G1374="RES-MDU","RESIDENTIAL",IF(G1374="COMM-SU","BUSINESS",IF(G1374="COM-MTU","BUSINESS",IF(G1374="ENT","BUSINESS",""))))))</f>
        <v/>
      </c>
      <c r="G1374" s="1205">
        <f>'House Count'!F1374</f>
        <v/>
      </c>
      <c r="H1374" s="1205">
        <f>'House Count'!H1374</f>
        <v/>
      </c>
    </row>
    <row r="1375">
      <c r="A1375" s="1204">
        <f>'House Count'!A1375</f>
        <v/>
      </c>
      <c r="B1375" s="1205">
        <f>'House Count'!E1375</f>
        <v/>
      </c>
      <c r="C1375" s="1205">
        <f>'House Count'!B1375</f>
        <v/>
      </c>
      <c r="D1375" s="1205">
        <f>'House Count'!C1375</f>
        <v/>
      </c>
      <c r="E1375" s="1205">
        <f>'House Count'!D1375</f>
        <v/>
      </c>
      <c r="F1375" s="1205">
        <f>IF(G1375="RES-SFU","RESIDENTIAL",IF(G1375="RES-HOA","RESIDENTIAL",IF(G1375="RES-MDU","RESIDENTIAL",IF(G1375="COMM-SU","BUSINESS",IF(G1375="COM-MTU","BUSINESS",IF(G1375="ENT","BUSINESS",""))))))</f>
        <v/>
      </c>
      <c r="G1375" s="1205">
        <f>'House Count'!F1375</f>
        <v/>
      </c>
      <c r="H1375" s="1205">
        <f>'House Count'!H1375</f>
        <v/>
      </c>
    </row>
    <row r="1376">
      <c r="A1376" s="1204">
        <f>'House Count'!A1376</f>
        <v/>
      </c>
      <c r="B1376" s="1205">
        <f>'House Count'!E1376</f>
        <v/>
      </c>
      <c r="C1376" s="1205">
        <f>'House Count'!B1376</f>
        <v/>
      </c>
      <c r="D1376" s="1205">
        <f>'House Count'!C1376</f>
        <v/>
      </c>
      <c r="E1376" s="1205">
        <f>'House Count'!D1376</f>
        <v/>
      </c>
      <c r="F1376" s="1205">
        <f>IF(G1376="RES-SFU","RESIDENTIAL",IF(G1376="RES-HOA","RESIDENTIAL",IF(G1376="RES-MDU","RESIDENTIAL",IF(G1376="COMM-SU","BUSINESS",IF(G1376="COM-MTU","BUSINESS",IF(G1376="ENT","BUSINESS",""))))))</f>
        <v/>
      </c>
      <c r="G1376" s="1205">
        <f>'House Count'!F1376</f>
        <v/>
      </c>
      <c r="H1376" s="1205">
        <f>'House Count'!H1376</f>
        <v/>
      </c>
    </row>
    <row r="1377">
      <c r="A1377" s="1204">
        <f>'House Count'!A1377</f>
        <v/>
      </c>
      <c r="B1377" s="1205">
        <f>'House Count'!E1377</f>
        <v/>
      </c>
      <c r="C1377" s="1205">
        <f>'House Count'!B1377</f>
        <v/>
      </c>
      <c r="D1377" s="1205">
        <f>'House Count'!C1377</f>
        <v/>
      </c>
      <c r="E1377" s="1205">
        <f>'House Count'!D1377</f>
        <v/>
      </c>
      <c r="F1377" s="1205">
        <f>IF(G1377="RES-SFU","RESIDENTIAL",IF(G1377="RES-HOA","RESIDENTIAL",IF(G1377="RES-MDU","RESIDENTIAL",IF(G1377="COMM-SU","BUSINESS",IF(G1377="COM-MTU","BUSINESS",IF(G1377="ENT","BUSINESS",""))))))</f>
        <v/>
      </c>
      <c r="G1377" s="1205">
        <f>'House Count'!F1377</f>
        <v/>
      </c>
      <c r="H1377" s="1205">
        <f>'House Count'!H1377</f>
        <v/>
      </c>
    </row>
    <row r="1378">
      <c r="A1378" s="1204">
        <f>'House Count'!A1378</f>
        <v/>
      </c>
      <c r="B1378" s="1205">
        <f>'House Count'!E1378</f>
        <v/>
      </c>
      <c r="C1378" s="1205">
        <f>'House Count'!B1378</f>
        <v/>
      </c>
      <c r="D1378" s="1205">
        <f>'House Count'!C1378</f>
        <v/>
      </c>
      <c r="E1378" s="1205">
        <f>'House Count'!D1378</f>
        <v/>
      </c>
      <c r="F1378" s="1205">
        <f>IF(G1378="RES-SFU","RESIDENTIAL",IF(G1378="RES-HOA","RESIDENTIAL",IF(G1378="RES-MDU","RESIDENTIAL",IF(G1378="COMM-SU","BUSINESS",IF(G1378="COM-MTU","BUSINESS",IF(G1378="ENT","BUSINESS",""))))))</f>
        <v/>
      </c>
      <c r="G1378" s="1205">
        <f>'House Count'!F1378</f>
        <v/>
      </c>
      <c r="H1378" s="1205">
        <f>'House Count'!H1378</f>
        <v/>
      </c>
    </row>
    <row r="1379">
      <c r="A1379" s="1204">
        <f>'House Count'!A1379</f>
        <v/>
      </c>
      <c r="B1379" s="1205">
        <f>'House Count'!E1379</f>
        <v/>
      </c>
      <c r="C1379" s="1205">
        <f>'House Count'!B1379</f>
        <v/>
      </c>
      <c r="D1379" s="1205">
        <f>'House Count'!C1379</f>
        <v/>
      </c>
      <c r="E1379" s="1205">
        <f>'House Count'!D1379</f>
        <v/>
      </c>
      <c r="F1379" s="1205">
        <f>IF(G1379="RES-SFU","RESIDENTIAL",IF(G1379="RES-HOA","RESIDENTIAL",IF(G1379="RES-MDU","RESIDENTIAL",IF(G1379="COMM-SU","BUSINESS",IF(G1379="COM-MTU","BUSINESS",IF(G1379="ENT","BUSINESS",""))))))</f>
        <v/>
      </c>
      <c r="G1379" s="1205">
        <f>'House Count'!F1379</f>
        <v/>
      </c>
      <c r="H1379" s="1205">
        <f>'House Count'!H1379</f>
        <v/>
      </c>
    </row>
    <row r="1380">
      <c r="A1380" s="1204">
        <f>'House Count'!A1380</f>
        <v/>
      </c>
      <c r="B1380" s="1205">
        <f>'House Count'!E1380</f>
        <v/>
      </c>
      <c r="C1380" s="1205">
        <f>'House Count'!B1380</f>
        <v/>
      </c>
      <c r="D1380" s="1205">
        <f>'House Count'!C1380</f>
        <v/>
      </c>
      <c r="E1380" s="1205">
        <f>'House Count'!D1380</f>
        <v/>
      </c>
      <c r="F1380" s="1205">
        <f>IF(G1380="RES-SFU","RESIDENTIAL",IF(G1380="RES-HOA","RESIDENTIAL",IF(G1380="RES-MDU","RESIDENTIAL",IF(G1380="COMM-SU","BUSINESS",IF(G1380="COM-MTU","BUSINESS",IF(G1380="ENT","BUSINESS",""))))))</f>
        <v/>
      </c>
      <c r="G1380" s="1205">
        <f>'House Count'!F1380</f>
        <v/>
      </c>
      <c r="H1380" s="1205">
        <f>'House Count'!H1380</f>
        <v/>
      </c>
    </row>
    <row r="1381">
      <c r="A1381" s="1204">
        <f>'House Count'!A1381</f>
        <v/>
      </c>
      <c r="B1381" s="1205">
        <f>'House Count'!E1381</f>
        <v/>
      </c>
      <c r="C1381" s="1205">
        <f>'House Count'!B1381</f>
        <v/>
      </c>
      <c r="D1381" s="1205">
        <f>'House Count'!C1381</f>
        <v/>
      </c>
      <c r="E1381" s="1205">
        <f>'House Count'!D1381</f>
        <v/>
      </c>
      <c r="F1381" s="1205">
        <f>IF(G1381="RES-SFU","RESIDENTIAL",IF(G1381="RES-HOA","RESIDENTIAL",IF(G1381="RES-MDU","RESIDENTIAL",IF(G1381="COMM-SU","BUSINESS",IF(G1381="COM-MTU","BUSINESS",IF(G1381="ENT","BUSINESS",""))))))</f>
        <v/>
      </c>
      <c r="G1381" s="1205">
        <f>'House Count'!F1381</f>
        <v/>
      </c>
      <c r="H1381" s="1205">
        <f>'House Count'!H1381</f>
        <v/>
      </c>
    </row>
    <row r="1382">
      <c r="A1382" s="1204">
        <f>'House Count'!A1382</f>
        <v/>
      </c>
      <c r="B1382" s="1205">
        <f>'House Count'!E1382</f>
        <v/>
      </c>
      <c r="C1382" s="1205">
        <f>'House Count'!B1382</f>
        <v/>
      </c>
      <c r="D1382" s="1205">
        <f>'House Count'!C1382</f>
        <v/>
      </c>
      <c r="E1382" s="1205">
        <f>'House Count'!D1382</f>
        <v/>
      </c>
      <c r="F1382" s="1205">
        <f>IF(G1382="RES-SFU","RESIDENTIAL",IF(G1382="RES-HOA","RESIDENTIAL",IF(G1382="RES-MDU","RESIDENTIAL",IF(G1382="COMM-SU","BUSINESS",IF(G1382="COM-MTU","BUSINESS",IF(G1382="ENT","BUSINESS",""))))))</f>
        <v/>
      </c>
      <c r="G1382" s="1205">
        <f>'House Count'!F1382</f>
        <v/>
      </c>
      <c r="H1382" s="1205">
        <f>'House Count'!H1382</f>
        <v/>
      </c>
    </row>
    <row r="1383">
      <c r="A1383" s="1204">
        <f>'House Count'!A1383</f>
        <v/>
      </c>
      <c r="B1383" s="1205">
        <f>'House Count'!E1383</f>
        <v/>
      </c>
      <c r="C1383" s="1205">
        <f>'House Count'!B1383</f>
        <v/>
      </c>
      <c r="D1383" s="1205">
        <f>'House Count'!C1383</f>
        <v/>
      </c>
      <c r="E1383" s="1205">
        <f>'House Count'!D1383</f>
        <v/>
      </c>
      <c r="F1383" s="1205">
        <f>IF(G1383="RES-SFU","RESIDENTIAL",IF(G1383="RES-HOA","RESIDENTIAL",IF(G1383="RES-MDU","RESIDENTIAL",IF(G1383="COMM-SU","BUSINESS",IF(G1383="COM-MTU","BUSINESS",IF(G1383="ENT","BUSINESS",""))))))</f>
        <v/>
      </c>
      <c r="G1383" s="1205">
        <f>'House Count'!F1383</f>
        <v/>
      </c>
      <c r="H1383" s="1205">
        <f>'House Count'!H1383</f>
        <v/>
      </c>
    </row>
    <row r="1384">
      <c r="A1384" s="1204">
        <f>'House Count'!A1384</f>
        <v/>
      </c>
      <c r="B1384" s="1205">
        <f>'House Count'!E1384</f>
        <v/>
      </c>
      <c r="C1384" s="1205">
        <f>'House Count'!B1384</f>
        <v/>
      </c>
      <c r="D1384" s="1205">
        <f>'House Count'!C1384</f>
        <v/>
      </c>
      <c r="E1384" s="1205">
        <f>'House Count'!D1384</f>
        <v/>
      </c>
      <c r="F1384" s="1205">
        <f>IF(G1384="RES-SFU","RESIDENTIAL",IF(G1384="RES-HOA","RESIDENTIAL",IF(G1384="RES-MDU","RESIDENTIAL",IF(G1384="COMM-SU","BUSINESS",IF(G1384="COM-MTU","BUSINESS",IF(G1384="ENT","BUSINESS",""))))))</f>
        <v/>
      </c>
      <c r="G1384" s="1205">
        <f>'House Count'!F1384</f>
        <v/>
      </c>
      <c r="H1384" s="1205">
        <f>'House Count'!H1384</f>
        <v/>
      </c>
    </row>
    <row r="1385">
      <c r="A1385" s="1204">
        <f>'House Count'!A1385</f>
        <v/>
      </c>
      <c r="B1385" s="1205">
        <f>'House Count'!E1385</f>
        <v/>
      </c>
      <c r="C1385" s="1205">
        <f>'House Count'!B1385</f>
        <v/>
      </c>
      <c r="D1385" s="1205">
        <f>'House Count'!C1385</f>
        <v/>
      </c>
      <c r="E1385" s="1205">
        <f>'House Count'!D1385</f>
        <v/>
      </c>
      <c r="F1385" s="1205">
        <f>IF(G1385="RES-SFU","RESIDENTIAL",IF(G1385="RES-HOA","RESIDENTIAL",IF(G1385="RES-MDU","RESIDENTIAL",IF(G1385="COMM-SU","BUSINESS",IF(G1385="COM-MTU","BUSINESS",IF(G1385="ENT","BUSINESS",""))))))</f>
        <v/>
      </c>
      <c r="G1385" s="1205">
        <f>'House Count'!F1385</f>
        <v/>
      </c>
      <c r="H1385" s="1205">
        <f>'House Count'!H1385</f>
        <v/>
      </c>
    </row>
    <row r="1386">
      <c r="A1386" s="1204">
        <f>'House Count'!A1386</f>
        <v/>
      </c>
      <c r="B1386" s="1205">
        <f>'House Count'!E1386</f>
        <v/>
      </c>
      <c r="C1386" s="1205">
        <f>'House Count'!B1386</f>
        <v/>
      </c>
      <c r="D1386" s="1205">
        <f>'House Count'!C1386</f>
        <v/>
      </c>
      <c r="E1386" s="1205">
        <f>'House Count'!D1386</f>
        <v/>
      </c>
      <c r="F1386" s="1205">
        <f>IF(G1386="RES-SFU","RESIDENTIAL",IF(G1386="RES-HOA","RESIDENTIAL",IF(G1386="RES-MDU","RESIDENTIAL",IF(G1386="COMM-SU","BUSINESS",IF(G1386="COM-MTU","BUSINESS",IF(G1386="ENT","BUSINESS",""))))))</f>
        <v/>
      </c>
      <c r="G1386" s="1205">
        <f>'House Count'!F1386</f>
        <v/>
      </c>
      <c r="H1386" s="1205">
        <f>'House Count'!H1386</f>
        <v/>
      </c>
    </row>
    <row r="1387">
      <c r="A1387" s="1204">
        <f>'House Count'!A1387</f>
        <v/>
      </c>
      <c r="B1387" s="1205">
        <f>'House Count'!E1387</f>
        <v/>
      </c>
      <c r="C1387" s="1205">
        <f>'House Count'!B1387</f>
        <v/>
      </c>
      <c r="D1387" s="1205">
        <f>'House Count'!C1387</f>
        <v/>
      </c>
      <c r="E1387" s="1205">
        <f>'House Count'!D1387</f>
        <v/>
      </c>
      <c r="F1387" s="1205">
        <f>IF(G1387="RES-SFU","RESIDENTIAL",IF(G1387="RES-HOA","RESIDENTIAL",IF(G1387="RES-MDU","RESIDENTIAL",IF(G1387="COMM-SU","BUSINESS",IF(G1387="COM-MTU","BUSINESS",IF(G1387="ENT","BUSINESS",""))))))</f>
        <v/>
      </c>
      <c r="G1387" s="1205">
        <f>'House Count'!F1387</f>
        <v/>
      </c>
      <c r="H1387" s="1205">
        <f>'House Count'!H1387</f>
        <v/>
      </c>
    </row>
    <row r="1388">
      <c r="A1388" s="1204">
        <f>'House Count'!A1388</f>
        <v/>
      </c>
      <c r="B1388" s="1205">
        <f>'House Count'!E1388</f>
        <v/>
      </c>
      <c r="C1388" s="1205">
        <f>'House Count'!B1388</f>
        <v/>
      </c>
      <c r="D1388" s="1205">
        <f>'House Count'!C1388</f>
        <v/>
      </c>
      <c r="E1388" s="1205">
        <f>'House Count'!D1388</f>
        <v/>
      </c>
      <c r="F1388" s="1205">
        <f>IF(G1388="RES-SFU","RESIDENTIAL",IF(G1388="RES-HOA","RESIDENTIAL",IF(G1388="RES-MDU","RESIDENTIAL",IF(G1388="COMM-SU","BUSINESS",IF(G1388="COM-MTU","BUSINESS",IF(G1388="ENT","BUSINESS",""))))))</f>
        <v/>
      </c>
      <c r="G1388" s="1205">
        <f>'House Count'!F1388</f>
        <v/>
      </c>
      <c r="H1388" s="1205">
        <f>'House Count'!H1388</f>
        <v/>
      </c>
    </row>
    <row r="1389">
      <c r="A1389" s="1204">
        <f>'House Count'!A1389</f>
        <v/>
      </c>
      <c r="B1389" s="1205">
        <f>'House Count'!E1389</f>
        <v/>
      </c>
      <c r="C1389" s="1205">
        <f>'House Count'!B1389</f>
        <v/>
      </c>
      <c r="D1389" s="1205">
        <f>'House Count'!C1389</f>
        <v/>
      </c>
      <c r="E1389" s="1205">
        <f>'House Count'!D1389</f>
        <v/>
      </c>
      <c r="F1389" s="1205">
        <f>IF(G1389="RES-SFU","RESIDENTIAL",IF(G1389="RES-HOA","RESIDENTIAL",IF(G1389="RES-MDU","RESIDENTIAL",IF(G1389="COMM-SU","BUSINESS",IF(G1389="COM-MTU","BUSINESS",IF(G1389="ENT","BUSINESS",""))))))</f>
        <v/>
      </c>
      <c r="G1389" s="1205">
        <f>'House Count'!F1389</f>
        <v/>
      </c>
      <c r="H1389" s="1205">
        <f>'House Count'!H1389</f>
        <v/>
      </c>
    </row>
    <row r="1390">
      <c r="A1390" s="1204">
        <f>'House Count'!A1390</f>
        <v/>
      </c>
      <c r="B1390" s="1205">
        <f>'House Count'!E1390</f>
        <v/>
      </c>
      <c r="C1390" s="1205">
        <f>'House Count'!B1390</f>
        <v/>
      </c>
      <c r="D1390" s="1205">
        <f>'House Count'!C1390</f>
        <v/>
      </c>
      <c r="E1390" s="1205">
        <f>'House Count'!D1390</f>
        <v/>
      </c>
      <c r="F1390" s="1205">
        <f>IF(G1390="RES-SFU","RESIDENTIAL",IF(G1390="RES-HOA","RESIDENTIAL",IF(G1390="RES-MDU","RESIDENTIAL",IF(G1390="COMM-SU","BUSINESS",IF(G1390="COM-MTU","BUSINESS",IF(G1390="ENT","BUSINESS",""))))))</f>
        <v/>
      </c>
      <c r="G1390" s="1205">
        <f>'House Count'!F1390</f>
        <v/>
      </c>
      <c r="H1390" s="1205">
        <f>'House Count'!H1390</f>
        <v/>
      </c>
    </row>
    <row r="1391">
      <c r="A1391" s="1204">
        <f>'House Count'!A1391</f>
        <v/>
      </c>
      <c r="B1391" s="1205">
        <f>'House Count'!E1391</f>
        <v/>
      </c>
      <c r="C1391" s="1205">
        <f>'House Count'!B1391</f>
        <v/>
      </c>
      <c r="D1391" s="1205">
        <f>'House Count'!C1391</f>
        <v/>
      </c>
      <c r="E1391" s="1205">
        <f>'House Count'!D1391</f>
        <v/>
      </c>
      <c r="F1391" s="1205">
        <f>IF(G1391="RES-SFU","RESIDENTIAL",IF(G1391="RES-HOA","RESIDENTIAL",IF(G1391="RES-MDU","RESIDENTIAL",IF(G1391="COMM-SU","BUSINESS",IF(G1391="COM-MTU","BUSINESS",IF(G1391="ENT","BUSINESS",""))))))</f>
        <v/>
      </c>
      <c r="G1391" s="1205">
        <f>'House Count'!F1391</f>
        <v/>
      </c>
      <c r="H1391" s="1205">
        <f>'House Count'!H1391</f>
        <v/>
      </c>
    </row>
    <row r="1392">
      <c r="A1392" s="1204">
        <f>'House Count'!A1392</f>
        <v/>
      </c>
      <c r="B1392" s="1205">
        <f>'House Count'!E1392</f>
        <v/>
      </c>
      <c r="C1392" s="1205">
        <f>'House Count'!B1392</f>
        <v/>
      </c>
      <c r="D1392" s="1205">
        <f>'House Count'!C1392</f>
        <v/>
      </c>
      <c r="E1392" s="1205">
        <f>'House Count'!D1392</f>
        <v/>
      </c>
      <c r="F1392" s="1205">
        <f>IF(G1392="RES-SFU","RESIDENTIAL",IF(G1392="RES-HOA","RESIDENTIAL",IF(G1392="RES-MDU","RESIDENTIAL",IF(G1392="COMM-SU","BUSINESS",IF(G1392="COM-MTU","BUSINESS",IF(G1392="ENT","BUSINESS",""))))))</f>
        <v/>
      </c>
      <c r="G1392" s="1205">
        <f>'House Count'!F1392</f>
        <v/>
      </c>
      <c r="H1392" s="1205">
        <f>'House Count'!H1392</f>
        <v/>
      </c>
    </row>
    <row r="1393">
      <c r="A1393" s="1204">
        <f>'House Count'!A1393</f>
        <v/>
      </c>
      <c r="B1393" s="1205">
        <f>'House Count'!E1393</f>
        <v/>
      </c>
      <c r="C1393" s="1205">
        <f>'House Count'!B1393</f>
        <v/>
      </c>
      <c r="D1393" s="1205">
        <f>'House Count'!C1393</f>
        <v/>
      </c>
      <c r="E1393" s="1205">
        <f>'House Count'!D1393</f>
        <v/>
      </c>
      <c r="F1393" s="1205">
        <f>IF(G1393="RES-SFU","RESIDENTIAL",IF(G1393="RES-HOA","RESIDENTIAL",IF(G1393="RES-MDU","RESIDENTIAL",IF(G1393="COMM-SU","BUSINESS",IF(G1393="COM-MTU","BUSINESS",IF(G1393="ENT","BUSINESS",""))))))</f>
        <v/>
      </c>
      <c r="G1393" s="1205">
        <f>'House Count'!F1393</f>
        <v/>
      </c>
      <c r="H1393" s="1205">
        <f>'House Count'!H1393</f>
        <v/>
      </c>
    </row>
    <row r="1394">
      <c r="A1394" s="1204">
        <f>'House Count'!A1394</f>
        <v/>
      </c>
      <c r="B1394" s="1205">
        <f>'House Count'!E1394</f>
        <v/>
      </c>
      <c r="C1394" s="1205">
        <f>'House Count'!B1394</f>
        <v/>
      </c>
      <c r="D1394" s="1205">
        <f>'House Count'!C1394</f>
        <v/>
      </c>
      <c r="E1394" s="1205">
        <f>'House Count'!D1394</f>
        <v/>
      </c>
      <c r="F1394" s="1205">
        <f>IF(G1394="RES-SFU","RESIDENTIAL",IF(G1394="RES-HOA","RESIDENTIAL",IF(G1394="RES-MDU","RESIDENTIAL",IF(G1394="COMM-SU","BUSINESS",IF(G1394="COM-MTU","BUSINESS",IF(G1394="ENT","BUSINESS",""))))))</f>
        <v/>
      </c>
      <c r="G1394" s="1205">
        <f>'House Count'!F1394</f>
        <v/>
      </c>
      <c r="H1394" s="1205">
        <f>'House Count'!H1394</f>
        <v/>
      </c>
    </row>
    <row r="1395">
      <c r="A1395" s="1204">
        <f>'House Count'!A1395</f>
        <v/>
      </c>
      <c r="B1395" s="1205">
        <f>'House Count'!E1395</f>
        <v/>
      </c>
      <c r="C1395" s="1205">
        <f>'House Count'!B1395</f>
        <v/>
      </c>
      <c r="D1395" s="1205">
        <f>'House Count'!C1395</f>
        <v/>
      </c>
      <c r="E1395" s="1205">
        <f>'House Count'!D1395</f>
        <v/>
      </c>
      <c r="F1395" s="1205">
        <f>IF(G1395="RES-SFU","RESIDENTIAL",IF(G1395="RES-HOA","RESIDENTIAL",IF(G1395="RES-MDU","RESIDENTIAL",IF(G1395="COMM-SU","BUSINESS",IF(G1395="COM-MTU","BUSINESS",IF(G1395="ENT","BUSINESS",""))))))</f>
        <v/>
      </c>
      <c r="G1395" s="1205">
        <f>'House Count'!F1395</f>
        <v/>
      </c>
      <c r="H1395" s="1205">
        <f>'House Count'!H1395</f>
        <v/>
      </c>
    </row>
    <row r="1396">
      <c r="A1396" s="1204">
        <f>'House Count'!A1396</f>
        <v/>
      </c>
      <c r="B1396" s="1205">
        <f>'House Count'!E1396</f>
        <v/>
      </c>
      <c r="C1396" s="1205">
        <f>'House Count'!B1396</f>
        <v/>
      </c>
      <c r="D1396" s="1205">
        <f>'House Count'!C1396</f>
        <v/>
      </c>
      <c r="E1396" s="1205">
        <f>'House Count'!D1396</f>
        <v/>
      </c>
      <c r="F1396" s="1205">
        <f>IF(G1396="RES-SFU","RESIDENTIAL",IF(G1396="RES-HOA","RESIDENTIAL",IF(G1396="RES-MDU","RESIDENTIAL",IF(G1396="COMM-SU","BUSINESS",IF(G1396="COM-MTU","BUSINESS",IF(G1396="ENT","BUSINESS",""))))))</f>
        <v/>
      </c>
      <c r="G1396" s="1205">
        <f>'House Count'!F1396</f>
        <v/>
      </c>
      <c r="H1396" s="1205">
        <f>'House Count'!H1396</f>
        <v/>
      </c>
    </row>
    <row r="1397">
      <c r="A1397" s="1204">
        <f>'House Count'!A1397</f>
        <v/>
      </c>
      <c r="B1397" s="1205">
        <f>'House Count'!E1397</f>
        <v/>
      </c>
      <c r="C1397" s="1205">
        <f>'House Count'!B1397</f>
        <v/>
      </c>
      <c r="D1397" s="1205">
        <f>'House Count'!C1397</f>
        <v/>
      </c>
      <c r="E1397" s="1205">
        <f>'House Count'!D1397</f>
        <v/>
      </c>
      <c r="F1397" s="1205">
        <f>IF(G1397="RES-SFU","RESIDENTIAL",IF(G1397="RES-HOA","RESIDENTIAL",IF(G1397="RES-MDU","RESIDENTIAL",IF(G1397="COMM-SU","BUSINESS",IF(G1397="COM-MTU","BUSINESS",IF(G1397="ENT","BUSINESS",""))))))</f>
        <v/>
      </c>
      <c r="G1397" s="1205">
        <f>'House Count'!F1397</f>
        <v/>
      </c>
      <c r="H1397" s="1205">
        <f>'House Count'!H1397</f>
        <v/>
      </c>
    </row>
    <row r="1398">
      <c r="A1398" s="1204">
        <f>'House Count'!A1398</f>
        <v/>
      </c>
      <c r="B1398" s="1205">
        <f>'House Count'!E1398</f>
        <v/>
      </c>
      <c r="C1398" s="1205">
        <f>'House Count'!B1398</f>
        <v/>
      </c>
      <c r="D1398" s="1205">
        <f>'House Count'!C1398</f>
        <v/>
      </c>
      <c r="E1398" s="1205">
        <f>'House Count'!D1398</f>
        <v/>
      </c>
      <c r="F1398" s="1205">
        <f>IF(G1398="RES-SFU","RESIDENTIAL",IF(G1398="RES-HOA","RESIDENTIAL",IF(G1398="RES-MDU","RESIDENTIAL",IF(G1398="COMM-SU","BUSINESS",IF(G1398="COM-MTU","BUSINESS",IF(G1398="ENT","BUSINESS",""))))))</f>
        <v/>
      </c>
      <c r="G1398" s="1205">
        <f>'House Count'!F1398</f>
        <v/>
      </c>
      <c r="H1398" s="1205">
        <f>'House Count'!H1398</f>
        <v/>
      </c>
    </row>
    <row r="1399">
      <c r="A1399" s="1204">
        <f>'House Count'!A1399</f>
        <v/>
      </c>
      <c r="B1399" s="1205">
        <f>'House Count'!E1399</f>
        <v/>
      </c>
      <c r="C1399" s="1205">
        <f>'House Count'!B1399</f>
        <v/>
      </c>
      <c r="D1399" s="1205">
        <f>'House Count'!C1399</f>
        <v/>
      </c>
      <c r="E1399" s="1205">
        <f>'House Count'!D1399</f>
        <v/>
      </c>
      <c r="F1399" s="1205">
        <f>IF(G1399="RES-SFU","RESIDENTIAL",IF(G1399="RES-HOA","RESIDENTIAL",IF(G1399="RES-MDU","RESIDENTIAL",IF(G1399="COMM-SU","BUSINESS",IF(G1399="COM-MTU","BUSINESS",IF(G1399="ENT","BUSINESS",""))))))</f>
        <v/>
      </c>
      <c r="G1399" s="1205">
        <f>'House Count'!F1399</f>
        <v/>
      </c>
      <c r="H1399" s="1205">
        <f>'House Count'!H1399</f>
        <v/>
      </c>
    </row>
    <row r="1400">
      <c r="A1400" s="1204">
        <f>'House Count'!A1400</f>
        <v/>
      </c>
      <c r="B1400" s="1205">
        <f>'House Count'!E1400</f>
        <v/>
      </c>
      <c r="C1400" s="1205">
        <f>'House Count'!B1400</f>
        <v/>
      </c>
      <c r="D1400" s="1205">
        <f>'House Count'!C1400</f>
        <v/>
      </c>
      <c r="E1400" s="1205">
        <f>'House Count'!D1400</f>
        <v/>
      </c>
      <c r="F1400" s="1205">
        <f>IF(G1400="RES-SFU","RESIDENTIAL",IF(G1400="RES-HOA","RESIDENTIAL",IF(G1400="RES-MDU","RESIDENTIAL",IF(G1400="COMM-SU","BUSINESS",IF(G1400="COM-MTU","BUSINESS",IF(G1400="ENT","BUSINESS",""))))))</f>
        <v/>
      </c>
      <c r="G1400" s="1205">
        <f>'House Count'!F1400</f>
        <v/>
      </c>
      <c r="H1400" s="1205">
        <f>'House Count'!H1400</f>
        <v/>
      </c>
    </row>
    <row r="1401">
      <c r="A1401" s="1204">
        <f>'House Count'!A1401</f>
        <v/>
      </c>
      <c r="B1401" s="1205">
        <f>'House Count'!E1401</f>
        <v/>
      </c>
      <c r="C1401" s="1205">
        <f>'House Count'!B1401</f>
        <v/>
      </c>
      <c r="D1401" s="1205">
        <f>'House Count'!C1401</f>
        <v/>
      </c>
      <c r="E1401" s="1205">
        <f>'House Count'!D1401</f>
        <v/>
      </c>
      <c r="F1401" s="1205">
        <f>IF(G1401="RES-SFU","RESIDENTIAL",IF(G1401="RES-HOA","RESIDENTIAL",IF(G1401="RES-MDU","RESIDENTIAL",IF(G1401="COMM-SU","BUSINESS",IF(G1401="COM-MTU","BUSINESS",IF(G1401="ENT","BUSINESS",""))))))</f>
        <v/>
      </c>
      <c r="G1401" s="1205">
        <f>'House Count'!F1401</f>
        <v/>
      </c>
      <c r="H1401" s="1205">
        <f>'House Count'!H1401</f>
        <v/>
      </c>
    </row>
    <row r="1402">
      <c r="A1402" s="1204">
        <f>'House Count'!A1402</f>
        <v/>
      </c>
      <c r="B1402" s="1205">
        <f>'House Count'!E1402</f>
        <v/>
      </c>
      <c r="C1402" s="1205">
        <f>'House Count'!B1402</f>
        <v/>
      </c>
      <c r="D1402" s="1205">
        <f>'House Count'!C1402</f>
        <v/>
      </c>
      <c r="E1402" s="1205">
        <f>'House Count'!D1402</f>
        <v/>
      </c>
      <c r="F1402" s="1205">
        <f>IF(G1402="RES-SFU","RESIDENTIAL",IF(G1402="RES-HOA","RESIDENTIAL",IF(G1402="RES-MDU","RESIDENTIAL",IF(G1402="COMM-SU","BUSINESS",IF(G1402="COM-MTU","BUSINESS",IF(G1402="ENT","BUSINESS",""))))))</f>
        <v/>
      </c>
      <c r="G1402" s="1205">
        <f>'House Count'!F1402</f>
        <v/>
      </c>
      <c r="H1402" s="1205">
        <f>'House Count'!H1402</f>
        <v/>
      </c>
    </row>
    <row r="1403">
      <c r="A1403" s="1204">
        <f>'House Count'!A1403</f>
        <v/>
      </c>
      <c r="B1403" s="1205">
        <f>'House Count'!E1403</f>
        <v/>
      </c>
      <c r="C1403" s="1205">
        <f>'House Count'!B1403</f>
        <v/>
      </c>
      <c r="D1403" s="1205">
        <f>'House Count'!C1403</f>
        <v/>
      </c>
      <c r="E1403" s="1205">
        <f>'House Count'!D1403</f>
        <v/>
      </c>
      <c r="F1403" s="1205">
        <f>IF(G1403="RES-SFU","RESIDENTIAL",IF(G1403="RES-HOA","RESIDENTIAL",IF(G1403="RES-MDU","RESIDENTIAL",IF(G1403="COMM-SU","BUSINESS",IF(G1403="COM-MTU","BUSINESS",IF(G1403="ENT","BUSINESS",""))))))</f>
        <v/>
      </c>
      <c r="G1403" s="1205">
        <f>'House Count'!F1403</f>
        <v/>
      </c>
      <c r="H1403" s="1205">
        <f>'House Count'!H1403</f>
        <v/>
      </c>
    </row>
    <row r="1404">
      <c r="A1404" s="1204">
        <f>'House Count'!A1404</f>
        <v/>
      </c>
      <c r="B1404" s="1205">
        <f>'House Count'!E1404</f>
        <v/>
      </c>
      <c r="C1404" s="1205">
        <f>'House Count'!B1404</f>
        <v/>
      </c>
      <c r="D1404" s="1205">
        <f>'House Count'!C1404</f>
        <v/>
      </c>
      <c r="E1404" s="1205">
        <f>'House Count'!D1404</f>
        <v/>
      </c>
      <c r="F1404" s="1205">
        <f>IF(G1404="RES-SFU","RESIDENTIAL",IF(G1404="RES-HOA","RESIDENTIAL",IF(G1404="RES-MDU","RESIDENTIAL",IF(G1404="COMM-SU","BUSINESS",IF(G1404="COM-MTU","BUSINESS",IF(G1404="ENT","BUSINESS",""))))))</f>
        <v/>
      </c>
      <c r="G1404" s="1205">
        <f>'House Count'!F1404</f>
        <v/>
      </c>
      <c r="H1404" s="1205">
        <f>'House Count'!H1404</f>
        <v/>
      </c>
    </row>
    <row r="1405">
      <c r="A1405" s="1204">
        <f>'House Count'!A1405</f>
        <v/>
      </c>
      <c r="B1405" s="1205">
        <f>'House Count'!E1405</f>
        <v/>
      </c>
      <c r="C1405" s="1205">
        <f>'House Count'!B1405</f>
        <v/>
      </c>
      <c r="D1405" s="1205">
        <f>'House Count'!C1405</f>
        <v/>
      </c>
      <c r="E1405" s="1205">
        <f>'House Count'!D1405</f>
        <v/>
      </c>
      <c r="F1405" s="1205">
        <f>IF(G1405="RES-SFU","RESIDENTIAL",IF(G1405="RES-HOA","RESIDENTIAL",IF(G1405="RES-MDU","RESIDENTIAL",IF(G1405="COMM-SU","BUSINESS",IF(G1405="COM-MTU","BUSINESS",IF(G1405="ENT","BUSINESS",""))))))</f>
        <v/>
      </c>
      <c r="G1405" s="1205">
        <f>'House Count'!F1405</f>
        <v/>
      </c>
      <c r="H1405" s="1205">
        <f>'House Count'!H1405</f>
        <v/>
      </c>
    </row>
    <row r="1406">
      <c r="A1406" s="1204">
        <f>'House Count'!A1406</f>
        <v/>
      </c>
      <c r="B1406" s="1205">
        <f>'House Count'!E1406</f>
        <v/>
      </c>
      <c r="C1406" s="1205">
        <f>'House Count'!B1406</f>
        <v/>
      </c>
      <c r="D1406" s="1205">
        <f>'House Count'!C1406</f>
        <v/>
      </c>
      <c r="E1406" s="1205">
        <f>'House Count'!D1406</f>
        <v/>
      </c>
      <c r="F1406" s="1205">
        <f>IF(G1406="RES-SFU","RESIDENTIAL",IF(G1406="RES-HOA","RESIDENTIAL",IF(G1406="RES-MDU","RESIDENTIAL",IF(G1406="COMM-SU","BUSINESS",IF(G1406="COM-MTU","BUSINESS",IF(G1406="ENT","BUSINESS",""))))))</f>
        <v/>
      </c>
      <c r="G1406" s="1205">
        <f>'House Count'!F1406</f>
        <v/>
      </c>
      <c r="H1406" s="1205">
        <f>'House Count'!H1406</f>
        <v/>
      </c>
    </row>
    <row r="1407">
      <c r="A1407" s="1204">
        <f>'House Count'!A1407</f>
        <v/>
      </c>
      <c r="B1407" s="1205">
        <f>'House Count'!E1407</f>
        <v/>
      </c>
      <c r="C1407" s="1205">
        <f>'House Count'!B1407</f>
        <v/>
      </c>
      <c r="D1407" s="1205">
        <f>'House Count'!C1407</f>
        <v/>
      </c>
      <c r="E1407" s="1205">
        <f>'House Count'!D1407</f>
        <v/>
      </c>
      <c r="F1407" s="1205">
        <f>IF(G1407="RES-SFU","RESIDENTIAL",IF(G1407="RES-HOA","RESIDENTIAL",IF(G1407="RES-MDU","RESIDENTIAL",IF(G1407="COMM-SU","BUSINESS",IF(G1407="COM-MTU","BUSINESS",IF(G1407="ENT","BUSINESS",""))))))</f>
        <v/>
      </c>
      <c r="G1407" s="1205">
        <f>'House Count'!F1407</f>
        <v/>
      </c>
      <c r="H1407" s="1205">
        <f>'House Count'!H1407</f>
        <v/>
      </c>
    </row>
    <row r="1408">
      <c r="A1408" s="1204">
        <f>'House Count'!A1408</f>
        <v/>
      </c>
      <c r="B1408" s="1205">
        <f>'House Count'!E1408</f>
        <v/>
      </c>
      <c r="C1408" s="1205">
        <f>'House Count'!B1408</f>
        <v/>
      </c>
      <c r="D1408" s="1205">
        <f>'House Count'!C1408</f>
        <v/>
      </c>
      <c r="E1408" s="1205">
        <f>'House Count'!D1408</f>
        <v/>
      </c>
      <c r="F1408" s="1205">
        <f>IF(G1408="RES-SFU","RESIDENTIAL",IF(G1408="RES-HOA","RESIDENTIAL",IF(G1408="RES-MDU","RESIDENTIAL",IF(G1408="COMM-SU","BUSINESS",IF(G1408="COM-MTU","BUSINESS",IF(G1408="ENT","BUSINESS",""))))))</f>
        <v/>
      </c>
      <c r="G1408" s="1205">
        <f>'House Count'!F1408</f>
        <v/>
      </c>
      <c r="H1408" s="1205">
        <f>'House Count'!H1408</f>
        <v/>
      </c>
    </row>
    <row r="1409">
      <c r="A1409" s="1204">
        <f>'House Count'!A1409</f>
        <v/>
      </c>
      <c r="B1409" s="1205">
        <f>'House Count'!E1409</f>
        <v/>
      </c>
      <c r="C1409" s="1205">
        <f>'House Count'!B1409</f>
        <v/>
      </c>
      <c r="D1409" s="1205">
        <f>'House Count'!C1409</f>
        <v/>
      </c>
      <c r="E1409" s="1205">
        <f>'House Count'!D1409</f>
        <v/>
      </c>
      <c r="F1409" s="1205">
        <f>IF(G1409="RES-SFU","RESIDENTIAL",IF(G1409="RES-HOA","RESIDENTIAL",IF(G1409="RES-MDU","RESIDENTIAL",IF(G1409="COMM-SU","BUSINESS",IF(G1409="COM-MTU","BUSINESS",IF(G1409="ENT","BUSINESS",""))))))</f>
        <v/>
      </c>
      <c r="G1409" s="1205">
        <f>'House Count'!F1409</f>
        <v/>
      </c>
      <c r="H1409" s="1205">
        <f>'House Count'!H1409</f>
        <v/>
      </c>
    </row>
    <row r="1410">
      <c r="A1410" s="1204">
        <f>'House Count'!A1410</f>
        <v/>
      </c>
      <c r="B1410" s="1205">
        <f>'House Count'!E1410</f>
        <v/>
      </c>
      <c r="C1410" s="1205">
        <f>'House Count'!B1410</f>
        <v/>
      </c>
      <c r="D1410" s="1205">
        <f>'House Count'!C1410</f>
        <v/>
      </c>
      <c r="E1410" s="1205">
        <f>'House Count'!D1410</f>
        <v/>
      </c>
      <c r="F1410" s="1205">
        <f>IF(G1410="RES-SFU","RESIDENTIAL",IF(G1410="RES-HOA","RESIDENTIAL",IF(G1410="RES-MDU","RESIDENTIAL",IF(G1410="COMM-SU","BUSINESS",IF(G1410="COM-MTU","BUSINESS",IF(G1410="ENT","BUSINESS",""))))))</f>
        <v/>
      </c>
      <c r="G1410" s="1205">
        <f>'House Count'!F1410</f>
        <v/>
      </c>
      <c r="H1410" s="1205">
        <f>'House Count'!H1410</f>
        <v/>
      </c>
    </row>
    <row r="1411">
      <c r="A1411" s="1204">
        <f>'House Count'!A1411</f>
        <v/>
      </c>
      <c r="B1411" s="1205">
        <f>'House Count'!E1411</f>
        <v/>
      </c>
      <c r="C1411" s="1205">
        <f>'House Count'!B1411</f>
        <v/>
      </c>
      <c r="D1411" s="1205">
        <f>'House Count'!C1411</f>
        <v/>
      </c>
      <c r="E1411" s="1205">
        <f>'House Count'!D1411</f>
        <v/>
      </c>
      <c r="F1411" s="1205">
        <f>IF(G1411="RES-SFU","RESIDENTIAL",IF(G1411="RES-HOA","RESIDENTIAL",IF(G1411="RES-MDU","RESIDENTIAL",IF(G1411="COMM-SU","BUSINESS",IF(G1411="COM-MTU","BUSINESS",IF(G1411="ENT","BUSINESS",""))))))</f>
        <v/>
      </c>
      <c r="G1411" s="1205">
        <f>'House Count'!F1411</f>
        <v/>
      </c>
      <c r="H1411" s="1205">
        <f>'House Count'!H1411</f>
        <v/>
      </c>
    </row>
    <row r="1412">
      <c r="A1412" s="1204">
        <f>'House Count'!A1412</f>
        <v/>
      </c>
      <c r="B1412" s="1205">
        <f>'House Count'!E1412</f>
        <v/>
      </c>
      <c r="C1412" s="1205">
        <f>'House Count'!B1412</f>
        <v/>
      </c>
      <c r="D1412" s="1205">
        <f>'House Count'!C1412</f>
        <v/>
      </c>
      <c r="E1412" s="1205">
        <f>'House Count'!D1412</f>
        <v/>
      </c>
      <c r="F1412" s="1205">
        <f>IF(G1412="RES-SFU","RESIDENTIAL",IF(G1412="RES-HOA","RESIDENTIAL",IF(G1412="RES-MDU","RESIDENTIAL",IF(G1412="COMM-SU","BUSINESS",IF(G1412="COM-MTU","BUSINESS",IF(G1412="ENT","BUSINESS",""))))))</f>
        <v/>
      </c>
      <c r="G1412" s="1205">
        <f>'House Count'!F1412</f>
        <v/>
      </c>
      <c r="H1412" s="1205">
        <f>'House Count'!H1412</f>
        <v/>
      </c>
    </row>
    <row r="1413">
      <c r="A1413" s="1204">
        <f>'House Count'!A1413</f>
        <v/>
      </c>
      <c r="B1413" s="1205">
        <f>'House Count'!E1413</f>
        <v/>
      </c>
      <c r="C1413" s="1205">
        <f>'House Count'!B1413</f>
        <v/>
      </c>
      <c r="D1413" s="1205">
        <f>'House Count'!C1413</f>
        <v/>
      </c>
      <c r="E1413" s="1205">
        <f>'House Count'!D1413</f>
        <v/>
      </c>
      <c r="F1413" s="1205">
        <f>IF(G1413="RES-SFU","RESIDENTIAL",IF(G1413="RES-HOA","RESIDENTIAL",IF(G1413="RES-MDU","RESIDENTIAL",IF(G1413="COMM-SU","BUSINESS",IF(G1413="COM-MTU","BUSINESS",IF(G1413="ENT","BUSINESS",""))))))</f>
        <v/>
      </c>
      <c r="G1413" s="1205">
        <f>'House Count'!F1413</f>
        <v/>
      </c>
      <c r="H1413" s="1205">
        <f>'House Count'!H1413</f>
        <v/>
      </c>
    </row>
    <row r="1414">
      <c r="A1414" s="1204">
        <f>'House Count'!A1414</f>
        <v/>
      </c>
      <c r="B1414" s="1205">
        <f>'House Count'!E1414</f>
        <v/>
      </c>
      <c r="C1414" s="1205">
        <f>'House Count'!B1414</f>
        <v/>
      </c>
      <c r="D1414" s="1205">
        <f>'House Count'!C1414</f>
        <v/>
      </c>
      <c r="E1414" s="1205">
        <f>'House Count'!D1414</f>
        <v/>
      </c>
      <c r="F1414" s="1205">
        <f>IF(G1414="RES-SFU","RESIDENTIAL",IF(G1414="RES-HOA","RESIDENTIAL",IF(G1414="RES-MDU","RESIDENTIAL",IF(G1414="COMM-SU","BUSINESS",IF(G1414="COM-MTU","BUSINESS",IF(G1414="ENT","BUSINESS",""))))))</f>
        <v/>
      </c>
      <c r="G1414" s="1205">
        <f>'House Count'!F1414</f>
        <v/>
      </c>
      <c r="H1414" s="1205">
        <f>'House Count'!H1414</f>
        <v/>
      </c>
    </row>
    <row r="1415">
      <c r="A1415" s="1204">
        <f>'House Count'!A1415</f>
        <v/>
      </c>
      <c r="B1415" s="1205">
        <f>'House Count'!E1415</f>
        <v/>
      </c>
      <c r="C1415" s="1205">
        <f>'House Count'!B1415</f>
        <v/>
      </c>
      <c r="D1415" s="1205">
        <f>'House Count'!C1415</f>
        <v/>
      </c>
      <c r="E1415" s="1205">
        <f>'House Count'!D1415</f>
        <v/>
      </c>
      <c r="F1415" s="1205">
        <f>IF(G1415="RES-SFU","RESIDENTIAL",IF(G1415="RES-HOA","RESIDENTIAL",IF(G1415="RES-MDU","RESIDENTIAL",IF(G1415="COMM-SU","BUSINESS",IF(G1415="COM-MTU","BUSINESS",IF(G1415="ENT","BUSINESS",""))))))</f>
        <v/>
      </c>
      <c r="G1415" s="1205">
        <f>'House Count'!F1415</f>
        <v/>
      </c>
      <c r="H1415" s="1205">
        <f>'House Count'!H1415</f>
        <v/>
      </c>
    </row>
    <row r="1416">
      <c r="A1416" s="1204">
        <f>'House Count'!A1416</f>
        <v/>
      </c>
      <c r="B1416" s="1205">
        <f>'House Count'!E1416</f>
        <v/>
      </c>
      <c r="C1416" s="1205">
        <f>'House Count'!B1416</f>
        <v/>
      </c>
      <c r="D1416" s="1205">
        <f>'House Count'!C1416</f>
        <v/>
      </c>
      <c r="E1416" s="1205">
        <f>'House Count'!D1416</f>
        <v/>
      </c>
      <c r="F1416" s="1205">
        <f>IF(G1416="RES-SFU","RESIDENTIAL",IF(G1416="RES-HOA","RESIDENTIAL",IF(G1416="RES-MDU","RESIDENTIAL",IF(G1416="COMM-SU","BUSINESS",IF(G1416="COM-MTU","BUSINESS",IF(G1416="ENT","BUSINESS",""))))))</f>
        <v/>
      </c>
      <c r="G1416" s="1205">
        <f>'House Count'!F1416</f>
        <v/>
      </c>
      <c r="H1416" s="1205">
        <f>'House Count'!H1416</f>
        <v/>
      </c>
    </row>
    <row r="1417">
      <c r="A1417" s="1204">
        <f>'House Count'!A1417</f>
        <v/>
      </c>
      <c r="B1417" s="1205">
        <f>'House Count'!E1417</f>
        <v/>
      </c>
      <c r="C1417" s="1205">
        <f>'House Count'!B1417</f>
        <v/>
      </c>
      <c r="D1417" s="1205">
        <f>'House Count'!C1417</f>
        <v/>
      </c>
      <c r="E1417" s="1205">
        <f>'House Count'!D1417</f>
        <v/>
      </c>
      <c r="F1417" s="1205">
        <f>IF(G1417="RES-SFU","RESIDENTIAL",IF(G1417="RES-HOA","RESIDENTIAL",IF(G1417="RES-MDU","RESIDENTIAL",IF(G1417="COMM-SU","BUSINESS",IF(G1417="COM-MTU","BUSINESS",IF(G1417="ENT","BUSINESS",""))))))</f>
        <v/>
      </c>
      <c r="G1417" s="1205">
        <f>'House Count'!F1417</f>
        <v/>
      </c>
      <c r="H1417" s="1205">
        <f>'House Count'!H1417</f>
        <v/>
      </c>
    </row>
    <row r="1418">
      <c r="A1418" s="1204">
        <f>'House Count'!A1418</f>
        <v/>
      </c>
      <c r="B1418" s="1205">
        <f>'House Count'!E1418</f>
        <v/>
      </c>
      <c r="C1418" s="1205">
        <f>'House Count'!B1418</f>
        <v/>
      </c>
      <c r="D1418" s="1205">
        <f>'House Count'!C1418</f>
        <v/>
      </c>
      <c r="E1418" s="1205">
        <f>'House Count'!D1418</f>
        <v/>
      </c>
      <c r="F1418" s="1205">
        <f>IF(G1418="RES-SFU","RESIDENTIAL",IF(G1418="RES-HOA","RESIDENTIAL",IF(G1418="RES-MDU","RESIDENTIAL",IF(G1418="COMM-SU","BUSINESS",IF(G1418="COM-MTU","BUSINESS",IF(G1418="ENT","BUSINESS",""))))))</f>
        <v/>
      </c>
      <c r="G1418" s="1205">
        <f>'House Count'!F1418</f>
        <v/>
      </c>
      <c r="H1418" s="1205">
        <f>'House Count'!H1418</f>
        <v/>
      </c>
    </row>
    <row r="1419">
      <c r="A1419" s="1204">
        <f>'House Count'!A1419</f>
        <v/>
      </c>
      <c r="B1419" s="1205">
        <f>'House Count'!E1419</f>
        <v/>
      </c>
      <c r="C1419" s="1205">
        <f>'House Count'!B1419</f>
        <v/>
      </c>
      <c r="D1419" s="1205">
        <f>'House Count'!C1419</f>
        <v/>
      </c>
      <c r="E1419" s="1205">
        <f>'House Count'!D1419</f>
        <v/>
      </c>
      <c r="F1419" s="1205">
        <f>IF(G1419="RES-SFU","RESIDENTIAL",IF(G1419="RES-HOA","RESIDENTIAL",IF(G1419="RES-MDU","RESIDENTIAL",IF(G1419="COMM-SU","BUSINESS",IF(G1419="COM-MTU","BUSINESS",IF(G1419="ENT","BUSINESS",""))))))</f>
        <v/>
      </c>
      <c r="G1419" s="1205">
        <f>'House Count'!F1419</f>
        <v/>
      </c>
      <c r="H1419" s="1205">
        <f>'House Count'!H1419</f>
        <v/>
      </c>
    </row>
    <row r="1420">
      <c r="A1420" s="1204">
        <f>'House Count'!A1420</f>
        <v/>
      </c>
      <c r="B1420" s="1205">
        <f>'House Count'!E1420</f>
        <v/>
      </c>
      <c r="C1420" s="1205">
        <f>'House Count'!B1420</f>
        <v/>
      </c>
      <c r="D1420" s="1205">
        <f>'House Count'!C1420</f>
        <v/>
      </c>
      <c r="E1420" s="1205">
        <f>'House Count'!D1420</f>
        <v/>
      </c>
      <c r="F1420" s="1205">
        <f>IF(G1420="RES-SFU","RESIDENTIAL",IF(G1420="RES-HOA","RESIDENTIAL",IF(G1420="RES-MDU","RESIDENTIAL",IF(G1420="COMM-SU","BUSINESS",IF(G1420="COM-MTU","BUSINESS",IF(G1420="ENT","BUSINESS",""))))))</f>
        <v/>
      </c>
      <c r="G1420" s="1205">
        <f>'House Count'!F1420</f>
        <v/>
      </c>
      <c r="H1420" s="1205">
        <f>'House Count'!H1420</f>
        <v/>
      </c>
    </row>
    <row r="1421">
      <c r="A1421" s="1204">
        <f>'House Count'!A1421</f>
        <v/>
      </c>
      <c r="B1421" s="1205">
        <f>'House Count'!E1421</f>
        <v/>
      </c>
      <c r="C1421" s="1205">
        <f>'House Count'!B1421</f>
        <v/>
      </c>
      <c r="D1421" s="1205">
        <f>'House Count'!C1421</f>
        <v/>
      </c>
      <c r="E1421" s="1205">
        <f>'House Count'!D1421</f>
        <v/>
      </c>
      <c r="F1421" s="1205">
        <f>IF(G1421="RES-SFU","RESIDENTIAL",IF(G1421="RES-HOA","RESIDENTIAL",IF(G1421="RES-MDU","RESIDENTIAL",IF(G1421="COMM-SU","BUSINESS",IF(G1421="COM-MTU","BUSINESS",IF(G1421="ENT","BUSINESS",""))))))</f>
        <v/>
      </c>
      <c r="G1421" s="1205">
        <f>'House Count'!F1421</f>
        <v/>
      </c>
      <c r="H1421" s="1205">
        <f>'House Count'!H1421</f>
        <v/>
      </c>
    </row>
    <row r="1422">
      <c r="A1422" s="1204">
        <f>'House Count'!A1422</f>
        <v/>
      </c>
      <c r="B1422" s="1205">
        <f>'House Count'!E1422</f>
        <v/>
      </c>
      <c r="C1422" s="1205">
        <f>'House Count'!B1422</f>
        <v/>
      </c>
      <c r="D1422" s="1205">
        <f>'House Count'!C1422</f>
        <v/>
      </c>
      <c r="E1422" s="1205">
        <f>'House Count'!D1422</f>
        <v/>
      </c>
      <c r="F1422" s="1205">
        <f>IF(G1422="RES-SFU","RESIDENTIAL",IF(G1422="RES-HOA","RESIDENTIAL",IF(G1422="RES-MDU","RESIDENTIAL",IF(G1422="COMM-SU","BUSINESS",IF(G1422="COM-MTU","BUSINESS",IF(G1422="ENT","BUSINESS",""))))))</f>
        <v/>
      </c>
      <c r="G1422" s="1205">
        <f>'House Count'!F1422</f>
        <v/>
      </c>
      <c r="H1422" s="1205">
        <f>'House Count'!H1422</f>
        <v/>
      </c>
    </row>
    <row r="1423">
      <c r="A1423" s="1204">
        <f>'House Count'!A1423</f>
        <v/>
      </c>
      <c r="B1423" s="1205">
        <f>'House Count'!E1423</f>
        <v/>
      </c>
      <c r="C1423" s="1205">
        <f>'House Count'!B1423</f>
        <v/>
      </c>
      <c r="D1423" s="1205">
        <f>'House Count'!C1423</f>
        <v/>
      </c>
      <c r="E1423" s="1205">
        <f>'House Count'!D1423</f>
        <v/>
      </c>
      <c r="F1423" s="1205">
        <f>IF(G1423="RES-SFU","RESIDENTIAL",IF(G1423="RES-HOA","RESIDENTIAL",IF(G1423="RES-MDU","RESIDENTIAL",IF(G1423="COMM-SU","BUSINESS",IF(G1423="COM-MTU","BUSINESS",IF(G1423="ENT","BUSINESS",""))))))</f>
        <v/>
      </c>
      <c r="G1423" s="1205">
        <f>'House Count'!F1423</f>
        <v/>
      </c>
      <c r="H1423" s="1205">
        <f>'House Count'!H1423</f>
        <v/>
      </c>
    </row>
    <row r="1424">
      <c r="A1424" s="1204">
        <f>'House Count'!A1424</f>
        <v/>
      </c>
      <c r="B1424" s="1205">
        <f>'House Count'!E1424</f>
        <v/>
      </c>
      <c r="C1424" s="1205">
        <f>'House Count'!B1424</f>
        <v/>
      </c>
      <c r="D1424" s="1205">
        <f>'House Count'!C1424</f>
        <v/>
      </c>
      <c r="E1424" s="1205">
        <f>'House Count'!D1424</f>
        <v/>
      </c>
      <c r="F1424" s="1205">
        <f>IF(G1424="RES-SFU","RESIDENTIAL",IF(G1424="RES-HOA","RESIDENTIAL",IF(G1424="RES-MDU","RESIDENTIAL",IF(G1424="COMM-SU","BUSINESS",IF(G1424="COM-MTU","BUSINESS",IF(G1424="ENT","BUSINESS",""))))))</f>
        <v/>
      </c>
      <c r="G1424" s="1205">
        <f>'House Count'!F1424</f>
        <v/>
      </c>
      <c r="H1424" s="1205">
        <f>'House Count'!H1424</f>
        <v/>
      </c>
    </row>
    <row r="1425">
      <c r="A1425" s="1204">
        <f>'House Count'!A1425</f>
        <v/>
      </c>
      <c r="B1425" s="1205">
        <f>'House Count'!E1425</f>
        <v/>
      </c>
      <c r="C1425" s="1205">
        <f>'House Count'!B1425</f>
        <v/>
      </c>
      <c r="D1425" s="1205">
        <f>'House Count'!C1425</f>
        <v/>
      </c>
      <c r="E1425" s="1205">
        <f>'House Count'!D1425</f>
        <v/>
      </c>
      <c r="F1425" s="1205">
        <f>IF(G1425="RES-SFU","RESIDENTIAL",IF(G1425="RES-HOA","RESIDENTIAL",IF(G1425="RES-MDU","RESIDENTIAL",IF(G1425="COMM-SU","BUSINESS",IF(G1425="COM-MTU","BUSINESS",IF(G1425="ENT","BUSINESS",""))))))</f>
        <v/>
      </c>
      <c r="G1425" s="1205">
        <f>'House Count'!F1425</f>
        <v/>
      </c>
      <c r="H1425" s="1205">
        <f>'House Count'!H1425</f>
        <v/>
      </c>
    </row>
    <row r="1426">
      <c r="A1426" s="1204">
        <f>'House Count'!A1426</f>
        <v/>
      </c>
      <c r="B1426" s="1205">
        <f>'House Count'!E1426</f>
        <v/>
      </c>
      <c r="C1426" s="1205">
        <f>'House Count'!B1426</f>
        <v/>
      </c>
      <c r="D1426" s="1205">
        <f>'House Count'!C1426</f>
        <v/>
      </c>
      <c r="E1426" s="1205">
        <f>'House Count'!D1426</f>
        <v/>
      </c>
      <c r="F1426" s="1205">
        <f>IF(G1426="RES-SFU","RESIDENTIAL",IF(G1426="RES-HOA","RESIDENTIAL",IF(G1426="RES-MDU","RESIDENTIAL",IF(G1426="COMM-SU","BUSINESS",IF(G1426="COM-MTU","BUSINESS",IF(G1426="ENT","BUSINESS",""))))))</f>
        <v/>
      </c>
      <c r="G1426" s="1205">
        <f>'House Count'!F1426</f>
        <v/>
      </c>
      <c r="H1426" s="1205">
        <f>'House Count'!H1426</f>
        <v/>
      </c>
    </row>
    <row r="1427">
      <c r="A1427" s="1204">
        <f>'House Count'!A1427</f>
        <v/>
      </c>
      <c r="B1427" s="1205">
        <f>'House Count'!E1427</f>
        <v/>
      </c>
      <c r="C1427" s="1205">
        <f>'House Count'!B1427</f>
        <v/>
      </c>
      <c r="D1427" s="1205">
        <f>'House Count'!C1427</f>
        <v/>
      </c>
      <c r="E1427" s="1205">
        <f>'House Count'!D1427</f>
        <v/>
      </c>
      <c r="F1427" s="1205">
        <f>IF(G1427="RES-SFU","RESIDENTIAL",IF(G1427="RES-HOA","RESIDENTIAL",IF(G1427="RES-MDU","RESIDENTIAL",IF(G1427="COMM-SU","BUSINESS",IF(G1427="COM-MTU","BUSINESS",IF(G1427="ENT","BUSINESS",""))))))</f>
        <v/>
      </c>
      <c r="G1427" s="1205">
        <f>'House Count'!F1427</f>
        <v/>
      </c>
      <c r="H1427" s="1205">
        <f>'House Count'!H1427</f>
        <v/>
      </c>
    </row>
    <row r="1428">
      <c r="A1428" s="1204">
        <f>'House Count'!A1428</f>
        <v/>
      </c>
      <c r="B1428" s="1205">
        <f>'House Count'!E1428</f>
        <v/>
      </c>
      <c r="C1428" s="1205">
        <f>'House Count'!B1428</f>
        <v/>
      </c>
      <c r="D1428" s="1205">
        <f>'House Count'!C1428</f>
        <v/>
      </c>
      <c r="E1428" s="1205">
        <f>'House Count'!D1428</f>
        <v/>
      </c>
      <c r="F1428" s="1205">
        <f>IF(G1428="RES-SFU","RESIDENTIAL",IF(G1428="RES-HOA","RESIDENTIAL",IF(G1428="RES-MDU","RESIDENTIAL",IF(G1428="COMM-SU","BUSINESS",IF(G1428="COM-MTU","BUSINESS",IF(G1428="ENT","BUSINESS",""))))))</f>
        <v/>
      </c>
      <c r="G1428" s="1205">
        <f>'House Count'!F1428</f>
        <v/>
      </c>
      <c r="H1428" s="1205">
        <f>'House Count'!H1428</f>
        <v/>
      </c>
    </row>
    <row r="1429">
      <c r="A1429" s="1204">
        <f>'House Count'!A1429</f>
        <v/>
      </c>
      <c r="B1429" s="1205">
        <f>'House Count'!E1429</f>
        <v/>
      </c>
      <c r="C1429" s="1205">
        <f>'House Count'!B1429</f>
        <v/>
      </c>
      <c r="D1429" s="1205">
        <f>'House Count'!C1429</f>
        <v/>
      </c>
      <c r="E1429" s="1205">
        <f>'House Count'!D1429</f>
        <v/>
      </c>
      <c r="F1429" s="1205">
        <f>IF(G1429="RES-SFU","RESIDENTIAL",IF(G1429="RES-HOA","RESIDENTIAL",IF(G1429="RES-MDU","RESIDENTIAL",IF(G1429="COMM-SU","BUSINESS",IF(G1429="COM-MTU","BUSINESS",IF(G1429="ENT","BUSINESS",""))))))</f>
        <v/>
      </c>
      <c r="G1429" s="1205">
        <f>'House Count'!F1429</f>
        <v/>
      </c>
      <c r="H1429" s="1205">
        <f>'House Count'!H1429</f>
        <v/>
      </c>
    </row>
    <row r="1430">
      <c r="A1430" s="1204">
        <f>'House Count'!A1430</f>
        <v/>
      </c>
      <c r="B1430" s="1205">
        <f>'House Count'!E1430</f>
        <v/>
      </c>
      <c r="C1430" s="1205">
        <f>'House Count'!B1430</f>
        <v/>
      </c>
      <c r="D1430" s="1205">
        <f>'House Count'!C1430</f>
        <v/>
      </c>
      <c r="E1430" s="1205">
        <f>'House Count'!D1430</f>
        <v/>
      </c>
      <c r="F1430" s="1205">
        <f>IF(G1430="RES-SFU","RESIDENTIAL",IF(G1430="RES-HOA","RESIDENTIAL",IF(G1430="RES-MDU","RESIDENTIAL",IF(G1430="COMM-SU","BUSINESS",IF(G1430="COM-MTU","BUSINESS",IF(G1430="ENT","BUSINESS",""))))))</f>
        <v/>
      </c>
      <c r="G1430" s="1205">
        <f>'House Count'!F1430</f>
        <v/>
      </c>
      <c r="H1430" s="1205">
        <f>'House Count'!H1430</f>
        <v/>
      </c>
    </row>
    <row r="1431">
      <c r="A1431" s="1204">
        <f>'House Count'!A1431</f>
        <v/>
      </c>
      <c r="B1431" s="1205">
        <f>'House Count'!E1431</f>
        <v/>
      </c>
      <c r="C1431" s="1205">
        <f>'House Count'!B1431</f>
        <v/>
      </c>
      <c r="D1431" s="1205">
        <f>'House Count'!C1431</f>
        <v/>
      </c>
      <c r="E1431" s="1205">
        <f>'House Count'!D1431</f>
        <v/>
      </c>
      <c r="F1431" s="1205">
        <f>IF(G1431="RES-SFU","RESIDENTIAL",IF(G1431="RES-HOA","RESIDENTIAL",IF(G1431="RES-MDU","RESIDENTIAL",IF(G1431="COMM-SU","BUSINESS",IF(G1431="COM-MTU","BUSINESS",IF(G1431="ENT","BUSINESS",""))))))</f>
        <v/>
      </c>
      <c r="G1431" s="1205">
        <f>'House Count'!F1431</f>
        <v/>
      </c>
      <c r="H1431" s="1205">
        <f>'House Count'!H1431</f>
        <v/>
      </c>
    </row>
    <row r="1432">
      <c r="A1432" s="1204">
        <f>'House Count'!A1432</f>
        <v/>
      </c>
      <c r="B1432" s="1205">
        <f>'House Count'!E1432</f>
        <v/>
      </c>
      <c r="C1432" s="1205">
        <f>'House Count'!B1432</f>
        <v/>
      </c>
      <c r="D1432" s="1205">
        <f>'House Count'!C1432</f>
        <v/>
      </c>
      <c r="E1432" s="1205">
        <f>'House Count'!D1432</f>
        <v/>
      </c>
      <c r="F1432" s="1205">
        <f>IF(G1432="RES-SFU","RESIDENTIAL",IF(G1432="RES-HOA","RESIDENTIAL",IF(G1432="RES-MDU","RESIDENTIAL",IF(G1432="COMM-SU","BUSINESS",IF(G1432="COM-MTU","BUSINESS",IF(G1432="ENT","BUSINESS",""))))))</f>
        <v/>
      </c>
      <c r="G1432" s="1205">
        <f>'House Count'!F1432</f>
        <v/>
      </c>
      <c r="H1432" s="1205">
        <f>'House Count'!H1432</f>
        <v/>
      </c>
    </row>
    <row r="1433">
      <c r="A1433" s="1204">
        <f>'House Count'!A1433</f>
        <v/>
      </c>
      <c r="B1433" s="1205">
        <f>'House Count'!E1433</f>
        <v/>
      </c>
      <c r="C1433" s="1205">
        <f>'House Count'!B1433</f>
        <v/>
      </c>
      <c r="D1433" s="1205">
        <f>'House Count'!C1433</f>
        <v/>
      </c>
      <c r="E1433" s="1205">
        <f>'House Count'!D1433</f>
        <v/>
      </c>
      <c r="F1433" s="1205">
        <f>IF(G1433="RES-SFU","RESIDENTIAL",IF(G1433="RES-HOA","RESIDENTIAL",IF(G1433="RES-MDU","RESIDENTIAL",IF(G1433="COMM-SU","BUSINESS",IF(G1433="COM-MTU","BUSINESS",IF(G1433="ENT","BUSINESS",""))))))</f>
        <v/>
      </c>
      <c r="G1433" s="1205">
        <f>'House Count'!F1433</f>
        <v/>
      </c>
      <c r="H1433" s="1205">
        <f>'House Count'!H1433</f>
        <v/>
      </c>
    </row>
    <row r="1434">
      <c r="A1434" s="1204">
        <f>'House Count'!A1434</f>
        <v/>
      </c>
      <c r="B1434" s="1205">
        <f>'House Count'!E1434</f>
        <v/>
      </c>
      <c r="C1434" s="1205">
        <f>'House Count'!B1434</f>
        <v/>
      </c>
      <c r="D1434" s="1205">
        <f>'House Count'!C1434</f>
        <v/>
      </c>
      <c r="E1434" s="1205">
        <f>'House Count'!D1434</f>
        <v/>
      </c>
      <c r="F1434" s="1205">
        <f>IF(G1434="RES-SFU","RESIDENTIAL",IF(G1434="RES-HOA","RESIDENTIAL",IF(G1434="RES-MDU","RESIDENTIAL",IF(G1434="COMM-SU","BUSINESS",IF(G1434="COM-MTU","BUSINESS",IF(G1434="ENT","BUSINESS",""))))))</f>
        <v/>
      </c>
      <c r="G1434" s="1205">
        <f>'House Count'!F1434</f>
        <v/>
      </c>
      <c r="H1434" s="1205">
        <f>'House Count'!H1434</f>
        <v/>
      </c>
    </row>
    <row r="1435">
      <c r="A1435" s="1204">
        <f>'House Count'!A1435</f>
        <v/>
      </c>
      <c r="B1435" s="1205">
        <f>'House Count'!E1435</f>
        <v/>
      </c>
      <c r="C1435" s="1205">
        <f>'House Count'!B1435</f>
        <v/>
      </c>
      <c r="D1435" s="1205">
        <f>'House Count'!C1435</f>
        <v/>
      </c>
      <c r="E1435" s="1205">
        <f>'House Count'!D1435</f>
        <v/>
      </c>
      <c r="F1435" s="1205">
        <f>IF(G1435="RES-SFU","RESIDENTIAL",IF(G1435="RES-HOA","RESIDENTIAL",IF(G1435="RES-MDU","RESIDENTIAL",IF(G1435="COMM-SU","BUSINESS",IF(G1435="COM-MTU","BUSINESS",IF(G1435="ENT","BUSINESS",""))))))</f>
        <v/>
      </c>
      <c r="G1435" s="1205">
        <f>'House Count'!F1435</f>
        <v/>
      </c>
      <c r="H1435" s="1205">
        <f>'House Count'!H1435</f>
        <v/>
      </c>
    </row>
    <row r="1436">
      <c r="A1436" s="1204">
        <f>'House Count'!A1436</f>
        <v/>
      </c>
      <c r="B1436" s="1205">
        <f>'House Count'!E1436</f>
        <v/>
      </c>
      <c r="C1436" s="1205">
        <f>'House Count'!B1436</f>
        <v/>
      </c>
      <c r="D1436" s="1205">
        <f>'House Count'!C1436</f>
        <v/>
      </c>
      <c r="E1436" s="1205">
        <f>'House Count'!D1436</f>
        <v/>
      </c>
      <c r="F1436" s="1205">
        <f>IF(G1436="RES-SFU","RESIDENTIAL",IF(G1436="RES-HOA","RESIDENTIAL",IF(G1436="RES-MDU","RESIDENTIAL",IF(G1436="COMM-SU","BUSINESS",IF(G1436="COM-MTU","BUSINESS",IF(G1436="ENT","BUSINESS",""))))))</f>
        <v/>
      </c>
      <c r="G1436" s="1205">
        <f>'House Count'!F1436</f>
        <v/>
      </c>
      <c r="H1436" s="1205">
        <f>'House Count'!H1436</f>
        <v/>
      </c>
    </row>
    <row r="1437">
      <c r="A1437" s="1204">
        <f>'House Count'!A1437</f>
        <v/>
      </c>
      <c r="B1437" s="1205">
        <f>'House Count'!E1437</f>
        <v/>
      </c>
      <c r="C1437" s="1205">
        <f>'House Count'!B1437</f>
        <v/>
      </c>
      <c r="D1437" s="1205">
        <f>'House Count'!C1437</f>
        <v/>
      </c>
      <c r="E1437" s="1205">
        <f>'House Count'!D1437</f>
        <v/>
      </c>
      <c r="F1437" s="1205">
        <f>IF(G1437="RES-SFU","RESIDENTIAL",IF(G1437="RES-HOA","RESIDENTIAL",IF(G1437="RES-MDU","RESIDENTIAL",IF(G1437="COMM-SU","BUSINESS",IF(G1437="COM-MTU","BUSINESS",IF(G1437="ENT","BUSINESS",""))))))</f>
        <v/>
      </c>
      <c r="G1437" s="1205">
        <f>'House Count'!F1437</f>
        <v/>
      </c>
      <c r="H1437" s="1205">
        <f>'House Count'!H1437</f>
        <v/>
      </c>
    </row>
    <row r="1438">
      <c r="A1438" s="1204">
        <f>'House Count'!A1438</f>
        <v/>
      </c>
      <c r="B1438" s="1205">
        <f>'House Count'!E1438</f>
        <v/>
      </c>
      <c r="C1438" s="1205">
        <f>'House Count'!B1438</f>
        <v/>
      </c>
      <c r="D1438" s="1205">
        <f>'House Count'!C1438</f>
        <v/>
      </c>
      <c r="E1438" s="1205">
        <f>'House Count'!D1438</f>
        <v/>
      </c>
      <c r="F1438" s="1205">
        <f>IF(G1438="RES-SFU","RESIDENTIAL",IF(G1438="RES-HOA","RESIDENTIAL",IF(G1438="RES-MDU","RESIDENTIAL",IF(G1438="COMM-SU","BUSINESS",IF(G1438="COM-MTU","BUSINESS",IF(G1438="ENT","BUSINESS",""))))))</f>
        <v/>
      </c>
      <c r="G1438" s="1205">
        <f>'House Count'!F1438</f>
        <v/>
      </c>
      <c r="H1438" s="1205">
        <f>'House Count'!H1438</f>
        <v/>
      </c>
    </row>
    <row r="1439">
      <c r="A1439" s="1204">
        <f>'House Count'!A1439</f>
        <v/>
      </c>
      <c r="B1439" s="1205">
        <f>'House Count'!E1439</f>
        <v/>
      </c>
      <c r="C1439" s="1205">
        <f>'House Count'!B1439</f>
        <v/>
      </c>
      <c r="D1439" s="1205">
        <f>'House Count'!C1439</f>
        <v/>
      </c>
      <c r="E1439" s="1205">
        <f>'House Count'!D1439</f>
        <v/>
      </c>
      <c r="F1439" s="1205">
        <f>IF(G1439="RES-SFU","RESIDENTIAL",IF(G1439="RES-HOA","RESIDENTIAL",IF(G1439="RES-MDU","RESIDENTIAL",IF(G1439="COMM-SU","BUSINESS",IF(G1439="COM-MTU","BUSINESS",IF(G1439="ENT","BUSINESS",""))))))</f>
        <v/>
      </c>
      <c r="G1439" s="1205">
        <f>'House Count'!F1439</f>
        <v/>
      </c>
      <c r="H1439" s="1205">
        <f>'House Count'!H1439</f>
        <v/>
      </c>
    </row>
    <row r="1440">
      <c r="A1440" s="1204">
        <f>'House Count'!A1440</f>
        <v/>
      </c>
      <c r="B1440" s="1205">
        <f>'House Count'!E1440</f>
        <v/>
      </c>
      <c r="C1440" s="1205">
        <f>'House Count'!B1440</f>
        <v/>
      </c>
      <c r="D1440" s="1205">
        <f>'House Count'!C1440</f>
        <v/>
      </c>
      <c r="E1440" s="1205">
        <f>'House Count'!D1440</f>
        <v/>
      </c>
      <c r="F1440" s="1205">
        <f>IF(G1440="RES-SFU","RESIDENTIAL",IF(G1440="RES-HOA","RESIDENTIAL",IF(G1440="RES-MDU","RESIDENTIAL",IF(G1440="COMM-SU","BUSINESS",IF(G1440="COM-MTU","BUSINESS",IF(G1440="ENT","BUSINESS",""))))))</f>
        <v/>
      </c>
      <c r="G1440" s="1205">
        <f>'House Count'!F1440</f>
        <v/>
      </c>
      <c r="H1440" s="1205">
        <f>'House Count'!H1440</f>
        <v/>
      </c>
    </row>
    <row r="1441">
      <c r="A1441" s="1204">
        <f>'House Count'!A1441</f>
        <v/>
      </c>
      <c r="B1441" s="1205">
        <f>'House Count'!E1441</f>
        <v/>
      </c>
      <c r="C1441" s="1205">
        <f>'House Count'!B1441</f>
        <v/>
      </c>
      <c r="D1441" s="1205">
        <f>'House Count'!C1441</f>
        <v/>
      </c>
      <c r="E1441" s="1205">
        <f>'House Count'!D1441</f>
        <v/>
      </c>
      <c r="F1441" s="1205">
        <f>IF(G1441="RES-SFU","RESIDENTIAL",IF(G1441="RES-HOA","RESIDENTIAL",IF(G1441="RES-MDU","RESIDENTIAL",IF(G1441="COMM-SU","BUSINESS",IF(G1441="COM-MTU","BUSINESS",IF(G1441="ENT","BUSINESS",""))))))</f>
        <v/>
      </c>
      <c r="G1441" s="1205">
        <f>'House Count'!F1441</f>
        <v/>
      </c>
      <c r="H1441" s="1205">
        <f>'House Count'!H1441</f>
        <v/>
      </c>
    </row>
    <row r="1442">
      <c r="A1442" s="1204">
        <f>'House Count'!A1442</f>
        <v/>
      </c>
      <c r="B1442" s="1205">
        <f>'House Count'!E1442</f>
        <v/>
      </c>
      <c r="C1442" s="1205">
        <f>'House Count'!B1442</f>
        <v/>
      </c>
      <c r="D1442" s="1205">
        <f>'House Count'!C1442</f>
        <v/>
      </c>
      <c r="E1442" s="1205">
        <f>'House Count'!D1442</f>
        <v/>
      </c>
      <c r="F1442" s="1205">
        <f>IF(G1442="RES-SFU","RESIDENTIAL",IF(G1442="RES-HOA","RESIDENTIAL",IF(G1442="RES-MDU","RESIDENTIAL",IF(G1442="COMM-SU","BUSINESS",IF(G1442="COM-MTU","BUSINESS",IF(G1442="ENT","BUSINESS",""))))))</f>
        <v/>
      </c>
      <c r="G1442" s="1205">
        <f>'House Count'!F1442</f>
        <v/>
      </c>
      <c r="H1442" s="1205">
        <f>'House Count'!H1442</f>
        <v/>
      </c>
    </row>
    <row r="1443">
      <c r="A1443" s="1204">
        <f>'House Count'!A1443</f>
        <v/>
      </c>
      <c r="B1443" s="1205">
        <f>'House Count'!E1443</f>
        <v/>
      </c>
      <c r="C1443" s="1205">
        <f>'House Count'!B1443</f>
        <v/>
      </c>
      <c r="D1443" s="1205">
        <f>'House Count'!C1443</f>
        <v/>
      </c>
      <c r="E1443" s="1205">
        <f>'House Count'!D1443</f>
        <v/>
      </c>
      <c r="F1443" s="1205">
        <f>IF(G1443="RES-SFU","RESIDENTIAL",IF(G1443="RES-HOA","RESIDENTIAL",IF(G1443="RES-MDU","RESIDENTIAL",IF(G1443="COMM-SU","BUSINESS",IF(G1443="COM-MTU","BUSINESS",IF(G1443="ENT","BUSINESS",""))))))</f>
        <v/>
      </c>
      <c r="G1443" s="1205">
        <f>'House Count'!F1443</f>
        <v/>
      </c>
      <c r="H1443" s="1205">
        <f>'House Count'!H1443</f>
        <v/>
      </c>
    </row>
    <row r="1444">
      <c r="A1444" s="1204">
        <f>'House Count'!A1444</f>
        <v/>
      </c>
      <c r="B1444" s="1205">
        <f>'House Count'!E1444</f>
        <v/>
      </c>
      <c r="C1444" s="1205">
        <f>'House Count'!B1444</f>
        <v/>
      </c>
      <c r="D1444" s="1205">
        <f>'House Count'!C1444</f>
        <v/>
      </c>
      <c r="E1444" s="1205">
        <f>'House Count'!D1444</f>
        <v/>
      </c>
      <c r="F1444" s="1205">
        <f>IF(G1444="RES-SFU","RESIDENTIAL",IF(G1444="RES-HOA","RESIDENTIAL",IF(G1444="RES-MDU","RESIDENTIAL",IF(G1444="COMM-SU","BUSINESS",IF(G1444="COM-MTU","BUSINESS",IF(G1444="ENT","BUSINESS",""))))))</f>
        <v/>
      </c>
      <c r="G1444" s="1205">
        <f>'House Count'!F1444</f>
        <v/>
      </c>
      <c r="H1444" s="1205">
        <f>'House Count'!H1444</f>
        <v/>
      </c>
    </row>
    <row r="1445">
      <c r="A1445" s="1204">
        <f>'House Count'!A1445</f>
        <v/>
      </c>
      <c r="B1445" s="1205">
        <f>'House Count'!E1445</f>
        <v/>
      </c>
      <c r="C1445" s="1205">
        <f>'House Count'!B1445</f>
        <v/>
      </c>
      <c r="D1445" s="1205">
        <f>'House Count'!C1445</f>
        <v/>
      </c>
      <c r="E1445" s="1205">
        <f>'House Count'!D1445</f>
        <v/>
      </c>
      <c r="F1445" s="1205">
        <f>IF(G1445="RES-SFU","RESIDENTIAL",IF(G1445="RES-HOA","RESIDENTIAL",IF(G1445="RES-MDU","RESIDENTIAL",IF(G1445="COMM-SU","BUSINESS",IF(G1445="COM-MTU","BUSINESS",IF(G1445="ENT","BUSINESS",""))))))</f>
        <v/>
      </c>
      <c r="G1445" s="1205">
        <f>'House Count'!F1445</f>
        <v/>
      </c>
      <c r="H1445" s="1205">
        <f>'House Count'!H1445</f>
        <v/>
      </c>
    </row>
    <row r="1446">
      <c r="A1446" s="1204">
        <f>'House Count'!A1446</f>
        <v/>
      </c>
      <c r="B1446" s="1205">
        <f>'House Count'!E1446</f>
        <v/>
      </c>
      <c r="C1446" s="1205">
        <f>'House Count'!B1446</f>
        <v/>
      </c>
      <c r="D1446" s="1205">
        <f>'House Count'!C1446</f>
        <v/>
      </c>
      <c r="E1446" s="1205">
        <f>'House Count'!D1446</f>
        <v/>
      </c>
      <c r="F1446" s="1205">
        <f>IF(G1446="RES-SFU","RESIDENTIAL",IF(G1446="RES-HOA","RESIDENTIAL",IF(G1446="RES-MDU","RESIDENTIAL",IF(G1446="COMM-SU","BUSINESS",IF(G1446="COM-MTU","BUSINESS",IF(G1446="ENT","BUSINESS",""))))))</f>
        <v/>
      </c>
      <c r="G1446" s="1205">
        <f>'House Count'!F1446</f>
        <v/>
      </c>
      <c r="H1446" s="1205">
        <f>'House Count'!H1446</f>
        <v/>
      </c>
    </row>
    <row r="1447">
      <c r="A1447" s="1204">
        <f>'House Count'!A1447</f>
        <v/>
      </c>
      <c r="B1447" s="1205">
        <f>'House Count'!E1447</f>
        <v/>
      </c>
      <c r="C1447" s="1205">
        <f>'House Count'!B1447</f>
        <v/>
      </c>
      <c r="D1447" s="1205">
        <f>'House Count'!C1447</f>
        <v/>
      </c>
      <c r="E1447" s="1205">
        <f>'House Count'!D1447</f>
        <v/>
      </c>
      <c r="F1447" s="1205">
        <f>IF(G1447="RES-SFU","RESIDENTIAL",IF(G1447="RES-HOA","RESIDENTIAL",IF(G1447="RES-MDU","RESIDENTIAL",IF(G1447="COMM-SU","BUSINESS",IF(G1447="COM-MTU","BUSINESS",IF(G1447="ENT","BUSINESS",""))))))</f>
        <v/>
      </c>
      <c r="G1447" s="1205">
        <f>'House Count'!F1447</f>
        <v/>
      </c>
      <c r="H1447" s="1205">
        <f>'House Count'!H1447</f>
        <v/>
      </c>
    </row>
    <row r="1448">
      <c r="A1448" s="1204">
        <f>'House Count'!A1448</f>
        <v/>
      </c>
      <c r="B1448" s="1205">
        <f>'House Count'!E1448</f>
        <v/>
      </c>
      <c r="C1448" s="1205">
        <f>'House Count'!B1448</f>
        <v/>
      </c>
      <c r="D1448" s="1205">
        <f>'House Count'!C1448</f>
        <v/>
      </c>
      <c r="E1448" s="1205">
        <f>'House Count'!D1448</f>
        <v/>
      </c>
      <c r="F1448" s="1205">
        <f>IF(G1448="RES-SFU","RESIDENTIAL",IF(G1448="RES-HOA","RESIDENTIAL",IF(G1448="RES-MDU","RESIDENTIAL",IF(G1448="COMM-SU","BUSINESS",IF(G1448="COM-MTU","BUSINESS",IF(G1448="ENT","BUSINESS",""))))))</f>
        <v/>
      </c>
      <c r="G1448" s="1205">
        <f>'House Count'!F1448</f>
        <v/>
      </c>
      <c r="H1448" s="1205">
        <f>'House Count'!H1448</f>
        <v/>
      </c>
    </row>
    <row r="1449">
      <c r="A1449" s="1204">
        <f>'House Count'!A1449</f>
        <v/>
      </c>
      <c r="B1449" s="1205">
        <f>'House Count'!E1449</f>
        <v/>
      </c>
      <c r="C1449" s="1205">
        <f>'House Count'!B1449</f>
        <v/>
      </c>
      <c r="D1449" s="1205">
        <f>'House Count'!C1449</f>
        <v/>
      </c>
      <c r="E1449" s="1205">
        <f>'House Count'!D1449</f>
        <v/>
      </c>
      <c r="F1449" s="1205">
        <f>IF(G1449="RES-SFU","RESIDENTIAL",IF(G1449="RES-HOA","RESIDENTIAL",IF(G1449="RES-MDU","RESIDENTIAL",IF(G1449="COMM-SU","BUSINESS",IF(G1449="COM-MTU","BUSINESS",IF(G1449="ENT","BUSINESS",""))))))</f>
        <v/>
      </c>
      <c r="G1449" s="1205">
        <f>'House Count'!F1449</f>
        <v/>
      </c>
      <c r="H1449" s="1205">
        <f>'House Count'!H1449</f>
        <v/>
      </c>
    </row>
    <row r="1450">
      <c r="A1450" s="1204">
        <f>'House Count'!A1450</f>
        <v/>
      </c>
      <c r="B1450" s="1205">
        <f>'House Count'!E1450</f>
        <v/>
      </c>
      <c r="C1450" s="1205">
        <f>'House Count'!B1450</f>
        <v/>
      </c>
      <c r="D1450" s="1205">
        <f>'House Count'!C1450</f>
        <v/>
      </c>
      <c r="E1450" s="1205">
        <f>'House Count'!D1450</f>
        <v/>
      </c>
      <c r="F1450" s="1205">
        <f>IF(G1450="RES-SFU","RESIDENTIAL",IF(G1450="RES-HOA","RESIDENTIAL",IF(G1450="RES-MDU","RESIDENTIAL",IF(G1450="COMM-SU","BUSINESS",IF(G1450="COM-MTU","BUSINESS",IF(G1450="ENT","BUSINESS",""))))))</f>
        <v/>
      </c>
      <c r="G1450" s="1205">
        <f>'House Count'!F1450</f>
        <v/>
      </c>
      <c r="H1450" s="1205">
        <f>'House Count'!H1450</f>
        <v/>
      </c>
    </row>
    <row r="1451">
      <c r="A1451" s="1204">
        <f>'House Count'!A1451</f>
        <v/>
      </c>
      <c r="B1451" s="1205">
        <f>'House Count'!E1451</f>
        <v/>
      </c>
      <c r="C1451" s="1205">
        <f>'House Count'!B1451</f>
        <v/>
      </c>
      <c r="D1451" s="1205">
        <f>'House Count'!C1451</f>
        <v/>
      </c>
      <c r="E1451" s="1205">
        <f>'House Count'!D1451</f>
        <v/>
      </c>
      <c r="F1451" s="1205">
        <f>IF(G1451="RES-SFU","RESIDENTIAL",IF(G1451="RES-HOA","RESIDENTIAL",IF(G1451="RES-MDU","RESIDENTIAL",IF(G1451="COMM-SU","BUSINESS",IF(G1451="COM-MTU","BUSINESS",IF(G1451="ENT","BUSINESS",""))))))</f>
        <v/>
      </c>
      <c r="G1451" s="1205">
        <f>'House Count'!F1451</f>
        <v/>
      </c>
      <c r="H1451" s="1205">
        <f>'House Count'!H1451</f>
        <v/>
      </c>
    </row>
    <row r="1452">
      <c r="A1452" s="1204">
        <f>'House Count'!A1452</f>
        <v/>
      </c>
      <c r="B1452" s="1205">
        <f>'House Count'!E1452</f>
        <v/>
      </c>
      <c r="C1452" s="1205">
        <f>'House Count'!B1452</f>
        <v/>
      </c>
      <c r="D1452" s="1205">
        <f>'House Count'!C1452</f>
        <v/>
      </c>
      <c r="E1452" s="1205">
        <f>'House Count'!D1452</f>
        <v/>
      </c>
      <c r="F1452" s="1205">
        <f>IF(G1452="RES-SFU","RESIDENTIAL",IF(G1452="RES-HOA","RESIDENTIAL",IF(G1452="RES-MDU","RESIDENTIAL",IF(G1452="COMM-SU","BUSINESS",IF(G1452="COM-MTU","BUSINESS",IF(G1452="ENT","BUSINESS",""))))))</f>
        <v/>
      </c>
      <c r="G1452" s="1205">
        <f>'House Count'!F1452</f>
        <v/>
      </c>
      <c r="H1452" s="1205">
        <f>'House Count'!H1452</f>
        <v/>
      </c>
    </row>
    <row r="1453">
      <c r="A1453" s="1204">
        <f>'House Count'!A1453</f>
        <v/>
      </c>
      <c r="B1453" s="1205">
        <f>'House Count'!E1453</f>
        <v/>
      </c>
      <c r="C1453" s="1205">
        <f>'House Count'!B1453</f>
        <v/>
      </c>
      <c r="D1453" s="1205">
        <f>'House Count'!C1453</f>
        <v/>
      </c>
      <c r="E1453" s="1205">
        <f>'House Count'!D1453</f>
        <v/>
      </c>
      <c r="F1453" s="1205">
        <f>IF(G1453="RES-SFU","RESIDENTIAL",IF(G1453="RES-HOA","RESIDENTIAL",IF(G1453="RES-MDU","RESIDENTIAL",IF(G1453="COMM-SU","BUSINESS",IF(G1453="COM-MTU","BUSINESS",IF(G1453="ENT","BUSINESS",""))))))</f>
        <v/>
      </c>
      <c r="G1453" s="1205">
        <f>'House Count'!F1453</f>
        <v/>
      </c>
      <c r="H1453" s="1205">
        <f>'House Count'!H1453</f>
        <v/>
      </c>
    </row>
    <row r="1454">
      <c r="A1454" s="1204">
        <f>'House Count'!A1454</f>
        <v/>
      </c>
      <c r="B1454" s="1205">
        <f>'House Count'!E1454</f>
        <v/>
      </c>
      <c r="C1454" s="1205">
        <f>'House Count'!B1454</f>
        <v/>
      </c>
      <c r="D1454" s="1205">
        <f>'House Count'!C1454</f>
        <v/>
      </c>
      <c r="E1454" s="1205">
        <f>'House Count'!D1454</f>
        <v/>
      </c>
      <c r="F1454" s="1205">
        <f>IF(G1454="RES-SFU","RESIDENTIAL",IF(G1454="RES-HOA","RESIDENTIAL",IF(G1454="RES-MDU","RESIDENTIAL",IF(G1454="COMM-SU","BUSINESS",IF(G1454="COM-MTU","BUSINESS",IF(G1454="ENT","BUSINESS",""))))))</f>
        <v/>
      </c>
      <c r="G1454" s="1205">
        <f>'House Count'!F1454</f>
        <v/>
      </c>
      <c r="H1454" s="1205">
        <f>'House Count'!H1454</f>
        <v/>
      </c>
    </row>
    <row r="1455">
      <c r="A1455" s="1204">
        <f>'House Count'!A1455</f>
        <v/>
      </c>
      <c r="B1455" s="1205">
        <f>'House Count'!E1455</f>
        <v/>
      </c>
      <c r="C1455" s="1205">
        <f>'House Count'!B1455</f>
        <v/>
      </c>
      <c r="D1455" s="1205">
        <f>'House Count'!C1455</f>
        <v/>
      </c>
      <c r="E1455" s="1205">
        <f>'House Count'!D1455</f>
        <v/>
      </c>
      <c r="F1455" s="1205">
        <f>IF(G1455="RES-SFU","RESIDENTIAL",IF(G1455="RES-HOA","RESIDENTIAL",IF(G1455="RES-MDU","RESIDENTIAL",IF(G1455="COMM-SU","BUSINESS",IF(G1455="COM-MTU","BUSINESS",IF(G1455="ENT","BUSINESS",""))))))</f>
        <v/>
      </c>
      <c r="G1455" s="1205">
        <f>'House Count'!F1455</f>
        <v/>
      </c>
      <c r="H1455" s="1205">
        <f>'House Count'!H1455</f>
        <v/>
      </c>
    </row>
    <row r="1456">
      <c r="A1456" s="1204">
        <f>'House Count'!A1456</f>
        <v/>
      </c>
      <c r="B1456" s="1205">
        <f>'House Count'!E1456</f>
        <v/>
      </c>
      <c r="C1456" s="1205">
        <f>'House Count'!B1456</f>
        <v/>
      </c>
      <c r="D1456" s="1205">
        <f>'House Count'!C1456</f>
        <v/>
      </c>
      <c r="E1456" s="1205">
        <f>'House Count'!D1456</f>
        <v/>
      </c>
      <c r="F1456" s="1205">
        <f>IF(G1456="RES-SFU","RESIDENTIAL",IF(G1456="RES-HOA","RESIDENTIAL",IF(G1456="RES-MDU","RESIDENTIAL",IF(G1456="COMM-SU","BUSINESS",IF(G1456="COM-MTU","BUSINESS",IF(G1456="ENT","BUSINESS",""))))))</f>
        <v/>
      </c>
      <c r="G1456" s="1205">
        <f>'House Count'!F1456</f>
        <v/>
      </c>
      <c r="H1456" s="1205">
        <f>'House Count'!H1456</f>
        <v/>
      </c>
    </row>
    <row r="1457">
      <c r="A1457" s="1204">
        <f>'House Count'!A1457</f>
        <v/>
      </c>
      <c r="B1457" s="1205">
        <f>'House Count'!E1457</f>
        <v/>
      </c>
      <c r="C1457" s="1205">
        <f>'House Count'!B1457</f>
        <v/>
      </c>
      <c r="D1457" s="1205">
        <f>'House Count'!C1457</f>
        <v/>
      </c>
      <c r="E1457" s="1205">
        <f>'House Count'!D1457</f>
        <v/>
      </c>
      <c r="F1457" s="1205">
        <f>IF(G1457="RES-SFU","RESIDENTIAL",IF(G1457="RES-HOA","RESIDENTIAL",IF(G1457="RES-MDU","RESIDENTIAL",IF(G1457="COMM-SU","BUSINESS",IF(G1457="COM-MTU","BUSINESS",IF(G1457="ENT","BUSINESS",""))))))</f>
        <v/>
      </c>
      <c r="G1457" s="1205">
        <f>'House Count'!F1457</f>
        <v/>
      </c>
      <c r="H1457" s="1205">
        <f>'House Count'!H1457</f>
        <v/>
      </c>
    </row>
    <row r="1458">
      <c r="A1458" s="1204">
        <f>'House Count'!A1458</f>
        <v/>
      </c>
      <c r="B1458" s="1205">
        <f>'House Count'!E1458</f>
        <v/>
      </c>
      <c r="C1458" s="1205">
        <f>'House Count'!B1458</f>
        <v/>
      </c>
      <c r="D1458" s="1205">
        <f>'House Count'!C1458</f>
        <v/>
      </c>
      <c r="E1458" s="1205">
        <f>'House Count'!D1458</f>
        <v/>
      </c>
      <c r="F1458" s="1205">
        <f>IF(G1458="RES-SFU","RESIDENTIAL",IF(G1458="RES-HOA","RESIDENTIAL",IF(G1458="RES-MDU","RESIDENTIAL",IF(G1458="COMM-SU","BUSINESS",IF(G1458="COM-MTU","BUSINESS",IF(G1458="ENT","BUSINESS",""))))))</f>
        <v/>
      </c>
      <c r="G1458" s="1205">
        <f>'House Count'!F1458</f>
        <v/>
      </c>
      <c r="H1458" s="1205">
        <f>'House Count'!H1458</f>
        <v/>
      </c>
    </row>
    <row r="1459">
      <c r="A1459" s="1204">
        <f>'House Count'!A1459</f>
        <v/>
      </c>
      <c r="B1459" s="1205">
        <f>'House Count'!E1459</f>
        <v/>
      </c>
      <c r="C1459" s="1205">
        <f>'House Count'!B1459</f>
        <v/>
      </c>
      <c r="D1459" s="1205">
        <f>'House Count'!C1459</f>
        <v/>
      </c>
      <c r="E1459" s="1205">
        <f>'House Count'!D1459</f>
        <v/>
      </c>
      <c r="F1459" s="1205">
        <f>IF(G1459="RES-SFU","RESIDENTIAL",IF(G1459="RES-HOA","RESIDENTIAL",IF(G1459="RES-MDU","RESIDENTIAL",IF(G1459="COMM-SU","BUSINESS",IF(G1459="COM-MTU","BUSINESS",IF(G1459="ENT","BUSINESS",""))))))</f>
        <v/>
      </c>
      <c r="G1459" s="1205">
        <f>'House Count'!F1459</f>
        <v/>
      </c>
      <c r="H1459" s="1205">
        <f>'House Count'!H1459</f>
        <v/>
      </c>
    </row>
    <row r="1460">
      <c r="A1460" s="1204">
        <f>'House Count'!A1460</f>
        <v/>
      </c>
      <c r="B1460" s="1205">
        <f>'House Count'!E1460</f>
        <v/>
      </c>
      <c r="C1460" s="1205">
        <f>'House Count'!B1460</f>
        <v/>
      </c>
      <c r="D1460" s="1205">
        <f>'House Count'!C1460</f>
        <v/>
      </c>
      <c r="E1460" s="1205">
        <f>'House Count'!D1460</f>
        <v/>
      </c>
      <c r="F1460" s="1205">
        <f>IF(G1460="RES-SFU","RESIDENTIAL",IF(G1460="RES-HOA","RESIDENTIAL",IF(G1460="RES-MDU","RESIDENTIAL",IF(G1460="COMM-SU","BUSINESS",IF(G1460="COM-MTU","BUSINESS",IF(G1460="ENT","BUSINESS",""))))))</f>
        <v/>
      </c>
      <c r="G1460" s="1205">
        <f>'House Count'!F1460</f>
        <v/>
      </c>
      <c r="H1460" s="1205">
        <f>'House Count'!H1460</f>
        <v/>
      </c>
    </row>
    <row r="1461">
      <c r="A1461" s="1204">
        <f>'House Count'!A1461</f>
        <v/>
      </c>
      <c r="B1461" s="1205">
        <f>'House Count'!E1461</f>
        <v/>
      </c>
      <c r="C1461" s="1205">
        <f>'House Count'!B1461</f>
        <v/>
      </c>
      <c r="D1461" s="1205">
        <f>'House Count'!C1461</f>
        <v/>
      </c>
      <c r="E1461" s="1205">
        <f>'House Count'!D1461</f>
        <v/>
      </c>
      <c r="F1461" s="1205">
        <f>IF(G1461="RES-SFU","RESIDENTIAL",IF(G1461="RES-HOA","RESIDENTIAL",IF(G1461="RES-MDU","RESIDENTIAL",IF(G1461="COMM-SU","BUSINESS",IF(G1461="COM-MTU","BUSINESS",IF(G1461="ENT","BUSINESS",""))))))</f>
        <v/>
      </c>
      <c r="G1461" s="1205">
        <f>'House Count'!F1461</f>
        <v/>
      </c>
      <c r="H1461" s="1205">
        <f>'House Count'!H1461</f>
        <v/>
      </c>
    </row>
    <row r="1462">
      <c r="A1462" s="1204">
        <f>'House Count'!A1462</f>
        <v/>
      </c>
      <c r="B1462" s="1205">
        <f>'House Count'!E1462</f>
        <v/>
      </c>
      <c r="C1462" s="1205">
        <f>'House Count'!B1462</f>
        <v/>
      </c>
      <c r="D1462" s="1205">
        <f>'House Count'!C1462</f>
        <v/>
      </c>
      <c r="E1462" s="1205">
        <f>'House Count'!D1462</f>
        <v/>
      </c>
      <c r="F1462" s="1205">
        <f>IF(G1462="RES-SFU","RESIDENTIAL",IF(G1462="RES-HOA","RESIDENTIAL",IF(G1462="RES-MDU","RESIDENTIAL",IF(G1462="COMM-SU","BUSINESS",IF(G1462="COM-MTU","BUSINESS",IF(G1462="ENT","BUSINESS",""))))))</f>
        <v/>
      </c>
      <c r="G1462" s="1205">
        <f>'House Count'!F1462</f>
        <v/>
      </c>
      <c r="H1462" s="1205">
        <f>'House Count'!H1462</f>
        <v/>
      </c>
    </row>
    <row r="1463">
      <c r="A1463" s="1204">
        <f>'House Count'!A1463</f>
        <v/>
      </c>
      <c r="B1463" s="1205">
        <f>'House Count'!E1463</f>
        <v/>
      </c>
      <c r="C1463" s="1205">
        <f>'House Count'!B1463</f>
        <v/>
      </c>
      <c r="D1463" s="1205">
        <f>'House Count'!C1463</f>
        <v/>
      </c>
      <c r="E1463" s="1205">
        <f>'House Count'!D1463</f>
        <v/>
      </c>
      <c r="F1463" s="1205">
        <f>IF(G1463="RES-SFU","RESIDENTIAL",IF(G1463="RES-HOA","RESIDENTIAL",IF(G1463="RES-MDU","RESIDENTIAL",IF(G1463="COMM-SU","BUSINESS",IF(G1463="COM-MTU","BUSINESS",IF(G1463="ENT","BUSINESS",""))))))</f>
        <v/>
      </c>
      <c r="G1463" s="1205">
        <f>'House Count'!F1463</f>
        <v/>
      </c>
      <c r="H1463" s="1205">
        <f>'House Count'!H1463</f>
        <v/>
      </c>
    </row>
    <row r="1464">
      <c r="A1464" s="1204">
        <f>'House Count'!A1464</f>
        <v/>
      </c>
      <c r="B1464" s="1205">
        <f>'House Count'!E1464</f>
        <v/>
      </c>
      <c r="C1464" s="1205">
        <f>'House Count'!B1464</f>
        <v/>
      </c>
      <c r="D1464" s="1205">
        <f>'House Count'!C1464</f>
        <v/>
      </c>
      <c r="E1464" s="1205">
        <f>'House Count'!D1464</f>
        <v/>
      </c>
      <c r="F1464" s="1205">
        <f>IF(G1464="RES-SFU","RESIDENTIAL",IF(G1464="RES-HOA","RESIDENTIAL",IF(G1464="RES-MDU","RESIDENTIAL",IF(G1464="COMM-SU","BUSINESS",IF(G1464="COM-MTU","BUSINESS",IF(G1464="ENT","BUSINESS",""))))))</f>
        <v/>
      </c>
      <c r="G1464" s="1205">
        <f>'House Count'!F1464</f>
        <v/>
      </c>
      <c r="H1464" s="1205">
        <f>'House Count'!H1464</f>
        <v/>
      </c>
    </row>
    <row r="1465">
      <c r="A1465" s="1204">
        <f>'House Count'!A1465</f>
        <v/>
      </c>
      <c r="B1465" s="1205">
        <f>'House Count'!E1465</f>
        <v/>
      </c>
      <c r="C1465" s="1205">
        <f>'House Count'!B1465</f>
        <v/>
      </c>
      <c r="D1465" s="1205">
        <f>'House Count'!C1465</f>
        <v/>
      </c>
      <c r="E1465" s="1205">
        <f>'House Count'!D1465</f>
        <v/>
      </c>
      <c r="F1465" s="1205">
        <f>IF(G1465="RES-SFU","RESIDENTIAL",IF(G1465="RES-HOA","RESIDENTIAL",IF(G1465="RES-MDU","RESIDENTIAL",IF(G1465="COMM-SU","BUSINESS",IF(G1465="COM-MTU","BUSINESS",IF(G1465="ENT","BUSINESS",""))))))</f>
        <v/>
      </c>
      <c r="G1465" s="1205">
        <f>'House Count'!F1465</f>
        <v/>
      </c>
      <c r="H1465" s="1205">
        <f>'House Count'!H1465</f>
        <v/>
      </c>
    </row>
    <row r="1466">
      <c r="A1466" s="1204">
        <f>'House Count'!A1466</f>
        <v/>
      </c>
      <c r="B1466" s="1205">
        <f>'House Count'!E1466</f>
        <v/>
      </c>
      <c r="C1466" s="1205">
        <f>'House Count'!B1466</f>
        <v/>
      </c>
      <c r="D1466" s="1205">
        <f>'House Count'!C1466</f>
        <v/>
      </c>
      <c r="E1466" s="1205">
        <f>'House Count'!D1466</f>
        <v/>
      </c>
      <c r="F1466" s="1205">
        <f>IF(G1466="RES-SFU","RESIDENTIAL",IF(G1466="RES-HOA","RESIDENTIAL",IF(G1466="RES-MDU","RESIDENTIAL",IF(G1466="COMM-SU","BUSINESS",IF(G1466="COM-MTU","BUSINESS",IF(G1466="ENT","BUSINESS",""))))))</f>
        <v/>
      </c>
      <c r="G1466" s="1205">
        <f>'House Count'!F1466</f>
        <v/>
      </c>
      <c r="H1466" s="1205">
        <f>'House Count'!H1466</f>
        <v/>
      </c>
    </row>
    <row r="1467">
      <c r="A1467" s="1204">
        <f>'House Count'!A1467</f>
        <v/>
      </c>
      <c r="B1467" s="1205">
        <f>'House Count'!E1467</f>
        <v/>
      </c>
      <c r="C1467" s="1205">
        <f>'House Count'!B1467</f>
        <v/>
      </c>
      <c r="D1467" s="1205">
        <f>'House Count'!C1467</f>
        <v/>
      </c>
      <c r="E1467" s="1205">
        <f>'House Count'!D1467</f>
        <v/>
      </c>
      <c r="F1467" s="1205">
        <f>IF(G1467="RES-SFU","RESIDENTIAL",IF(G1467="RES-HOA","RESIDENTIAL",IF(G1467="RES-MDU","RESIDENTIAL",IF(G1467="COMM-SU","BUSINESS",IF(G1467="COM-MTU","BUSINESS",IF(G1467="ENT","BUSINESS",""))))))</f>
        <v/>
      </c>
      <c r="G1467" s="1205">
        <f>'House Count'!F1467</f>
        <v/>
      </c>
      <c r="H1467" s="1205">
        <f>'House Count'!H1467</f>
        <v/>
      </c>
    </row>
    <row r="1468">
      <c r="A1468" s="1204">
        <f>'House Count'!A1468</f>
        <v/>
      </c>
      <c r="B1468" s="1205">
        <f>'House Count'!E1468</f>
        <v/>
      </c>
      <c r="C1468" s="1205">
        <f>'House Count'!B1468</f>
        <v/>
      </c>
      <c r="D1468" s="1205">
        <f>'House Count'!C1468</f>
        <v/>
      </c>
      <c r="E1468" s="1205">
        <f>'House Count'!D1468</f>
        <v/>
      </c>
      <c r="F1468" s="1205">
        <f>IF(G1468="RES-SFU","RESIDENTIAL",IF(G1468="RES-HOA","RESIDENTIAL",IF(G1468="RES-MDU","RESIDENTIAL",IF(G1468="COMM-SU","BUSINESS",IF(G1468="COM-MTU","BUSINESS",IF(G1468="ENT","BUSINESS",""))))))</f>
        <v/>
      </c>
      <c r="G1468" s="1205">
        <f>'House Count'!F1468</f>
        <v/>
      </c>
      <c r="H1468" s="1205">
        <f>'House Count'!H1468</f>
        <v/>
      </c>
    </row>
    <row r="1469">
      <c r="A1469" s="1204">
        <f>'House Count'!A1469</f>
        <v/>
      </c>
      <c r="B1469" s="1205">
        <f>'House Count'!E1469</f>
        <v/>
      </c>
      <c r="C1469" s="1205">
        <f>'House Count'!B1469</f>
        <v/>
      </c>
      <c r="D1469" s="1205">
        <f>'House Count'!C1469</f>
        <v/>
      </c>
      <c r="E1469" s="1205">
        <f>'House Count'!D1469</f>
        <v/>
      </c>
      <c r="F1469" s="1205">
        <f>IF(G1469="RES-SFU","RESIDENTIAL",IF(G1469="RES-HOA","RESIDENTIAL",IF(G1469="RES-MDU","RESIDENTIAL",IF(G1469="COMM-SU","BUSINESS",IF(G1469="COM-MTU","BUSINESS",IF(G1469="ENT","BUSINESS",""))))))</f>
        <v/>
      </c>
      <c r="G1469" s="1205">
        <f>'House Count'!F1469</f>
        <v/>
      </c>
      <c r="H1469" s="1205">
        <f>'House Count'!H1469</f>
        <v/>
      </c>
    </row>
    <row r="1470">
      <c r="A1470" s="1204">
        <f>'House Count'!A1470</f>
        <v/>
      </c>
      <c r="B1470" s="1205">
        <f>'House Count'!E1470</f>
        <v/>
      </c>
      <c r="C1470" s="1205">
        <f>'House Count'!B1470</f>
        <v/>
      </c>
      <c r="D1470" s="1205">
        <f>'House Count'!C1470</f>
        <v/>
      </c>
      <c r="E1470" s="1205">
        <f>'House Count'!D1470</f>
        <v/>
      </c>
      <c r="F1470" s="1205">
        <f>IF(G1470="RES-SFU","RESIDENTIAL",IF(G1470="RES-HOA","RESIDENTIAL",IF(G1470="RES-MDU","RESIDENTIAL",IF(G1470="COMM-SU","BUSINESS",IF(G1470="COM-MTU","BUSINESS",IF(G1470="ENT","BUSINESS",""))))))</f>
        <v/>
      </c>
      <c r="G1470" s="1205">
        <f>'House Count'!F1470</f>
        <v/>
      </c>
      <c r="H1470" s="1205">
        <f>'House Count'!H1470</f>
        <v/>
      </c>
    </row>
    <row r="1471">
      <c r="A1471" s="1204">
        <f>'House Count'!A1471</f>
        <v/>
      </c>
      <c r="B1471" s="1205">
        <f>'House Count'!E1471</f>
        <v/>
      </c>
      <c r="C1471" s="1205">
        <f>'House Count'!B1471</f>
        <v/>
      </c>
      <c r="D1471" s="1205">
        <f>'House Count'!C1471</f>
        <v/>
      </c>
      <c r="E1471" s="1205">
        <f>'House Count'!D1471</f>
        <v/>
      </c>
      <c r="F1471" s="1205">
        <f>IF(G1471="RES-SFU","RESIDENTIAL",IF(G1471="RES-HOA","RESIDENTIAL",IF(G1471="RES-MDU","RESIDENTIAL",IF(G1471="COMM-SU","BUSINESS",IF(G1471="COM-MTU","BUSINESS",IF(G1471="ENT","BUSINESS",""))))))</f>
        <v/>
      </c>
      <c r="G1471" s="1205">
        <f>'House Count'!F1471</f>
        <v/>
      </c>
      <c r="H1471" s="1205">
        <f>'House Count'!H1471</f>
        <v/>
      </c>
    </row>
    <row r="1472">
      <c r="A1472" s="1204">
        <f>'House Count'!A1472</f>
        <v/>
      </c>
      <c r="B1472" s="1205">
        <f>'House Count'!E1472</f>
        <v/>
      </c>
      <c r="C1472" s="1205">
        <f>'House Count'!B1472</f>
        <v/>
      </c>
      <c r="D1472" s="1205">
        <f>'House Count'!C1472</f>
        <v/>
      </c>
      <c r="E1472" s="1205">
        <f>'House Count'!D1472</f>
        <v/>
      </c>
      <c r="F1472" s="1205">
        <f>IF(G1472="RES-SFU","RESIDENTIAL",IF(G1472="RES-HOA","RESIDENTIAL",IF(G1472="RES-MDU","RESIDENTIAL",IF(G1472="COMM-SU","BUSINESS",IF(G1472="COM-MTU","BUSINESS",IF(G1472="ENT","BUSINESS",""))))))</f>
        <v/>
      </c>
      <c r="G1472" s="1205">
        <f>'House Count'!F1472</f>
        <v/>
      </c>
      <c r="H1472" s="1205">
        <f>'House Count'!H1472</f>
        <v/>
      </c>
    </row>
    <row r="1473">
      <c r="A1473" s="1204">
        <f>'House Count'!A1473</f>
        <v/>
      </c>
      <c r="B1473" s="1205">
        <f>'House Count'!E1473</f>
        <v/>
      </c>
      <c r="C1473" s="1205">
        <f>'House Count'!B1473</f>
        <v/>
      </c>
      <c r="D1473" s="1205">
        <f>'House Count'!C1473</f>
        <v/>
      </c>
      <c r="E1473" s="1205">
        <f>'House Count'!D1473</f>
        <v/>
      </c>
      <c r="F1473" s="1205">
        <f>IF(G1473="RES-SFU","RESIDENTIAL",IF(G1473="RES-HOA","RESIDENTIAL",IF(G1473="RES-MDU","RESIDENTIAL",IF(G1473="COMM-SU","BUSINESS",IF(G1473="COM-MTU","BUSINESS",IF(G1473="ENT","BUSINESS",""))))))</f>
        <v/>
      </c>
      <c r="G1473" s="1205">
        <f>'House Count'!F1473</f>
        <v/>
      </c>
      <c r="H1473" s="1205">
        <f>'House Count'!H1473</f>
        <v/>
      </c>
    </row>
    <row r="1474">
      <c r="A1474" s="1204">
        <f>'House Count'!A1474</f>
        <v/>
      </c>
      <c r="B1474" s="1205">
        <f>'House Count'!E1474</f>
        <v/>
      </c>
      <c r="C1474" s="1205">
        <f>'House Count'!B1474</f>
        <v/>
      </c>
      <c r="D1474" s="1205">
        <f>'House Count'!C1474</f>
        <v/>
      </c>
      <c r="E1474" s="1205">
        <f>'House Count'!D1474</f>
        <v/>
      </c>
      <c r="F1474" s="1205">
        <f>IF(G1474="RES-SFU","RESIDENTIAL",IF(G1474="RES-HOA","RESIDENTIAL",IF(G1474="RES-MDU","RESIDENTIAL",IF(G1474="COMM-SU","BUSINESS",IF(G1474="COM-MTU","BUSINESS",IF(G1474="ENT","BUSINESS",""))))))</f>
        <v/>
      </c>
      <c r="G1474" s="1205">
        <f>'House Count'!F1474</f>
        <v/>
      </c>
      <c r="H1474" s="1205">
        <f>'House Count'!H1474</f>
        <v/>
      </c>
    </row>
    <row r="1475">
      <c r="A1475" s="1204">
        <f>'House Count'!A1475</f>
        <v/>
      </c>
      <c r="B1475" s="1205">
        <f>'House Count'!E1475</f>
        <v/>
      </c>
      <c r="C1475" s="1205">
        <f>'House Count'!B1475</f>
        <v/>
      </c>
      <c r="D1475" s="1205">
        <f>'House Count'!C1475</f>
        <v/>
      </c>
      <c r="E1475" s="1205">
        <f>'House Count'!D1475</f>
        <v/>
      </c>
      <c r="F1475" s="1205">
        <f>IF(G1475="RES-SFU","RESIDENTIAL",IF(G1475="RES-HOA","RESIDENTIAL",IF(G1475="RES-MDU","RESIDENTIAL",IF(G1475="COMM-SU","BUSINESS",IF(G1475="COM-MTU","BUSINESS",IF(G1475="ENT","BUSINESS",""))))))</f>
        <v/>
      </c>
      <c r="G1475" s="1205">
        <f>'House Count'!F1475</f>
        <v/>
      </c>
      <c r="H1475" s="1205">
        <f>'House Count'!H1475</f>
        <v/>
      </c>
    </row>
    <row r="1476">
      <c r="A1476" s="1204">
        <f>'House Count'!A1476</f>
        <v/>
      </c>
      <c r="B1476" s="1205">
        <f>'House Count'!E1476</f>
        <v/>
      </c>
      <c r="C1476" s="1205">
        <f>'House Count'!B1476</f>
        <v/>
      </c>
      <c r="D1476" s="1205">
        <f>'House Count'!C1476</f>
        <v/>
      </c>
      <c r="E1476" s="1205">
        <f>'House Count'!D1476</f>
        <v/>
      </c>
      <c r="F1476" s="1205">
        <f>IF(G1476="RES-SFU","RESIDENTIAL",IF(G1476="RES-HOA","RESIDENTIAL",IF(G1476="RES-MDU","RESIDENTIAL",IF(G1476="COMM-SU","BUSINESS",IF(G1476="COM-MTU","BUSINESS",IF(G1476="ENT","BUSINESS",""))))))</f>
        <v/>
      </c>
      <c r="G1476" s="1205">
        <f>'House Count'!F1476</f>
        <v/>
      </c>
      <c r="H1476" s="1205">
        <f>'House Count'!H1476</f>
        <v/>
      </c>
    </row>
    <row r="1477">
      <c r="A1477" s="1204">
        <f>'House Count'!A1477</f>
        <v/>
      </c>
      <c r="B1477" s="1205">
        <f>'House Count'!E1477</f>
        <v/>
      </c>
      <c r="C1477" s="1205">
        <f>'House Count'!B1477</f>
        <v/>
      </c>
      <c r="D1477" s="1205">
        <f>'House Count'!C1477</f>
        <v/>
      </c>
      <c r="E1477" s="1205">
        <f>'House Count'!D1477</f>
        <v/>
      </c>
      <c r="F1477" s="1205">
        <f>IF(G1477="RES-SFU","RESIDENTIAL",IF(G1477="RES-HOA","RESIDENTIAL",IF(G1477="RES-MDU","RESIDENTIAL",IF(G1477="COMM-SU","BUSINESS",IF(G1477="COM-MTU","BUSINESS",IF(G1477="ENT","BUSINESS",""))))))</f>
        <v/>
      </c>
      <c r="G1477" s="1205">
        <f>'House Count'!F1477</f>
        <v/>
      </c>
      <c r="H1477" s="1205">
        <f>'House Count'!H1477</f>
        <v/>
      </c>
    </row>
    <row r="1478">
      <c r="A1478" s="1204">
        <f>'House Count'!A1478</f>
        <v/>
      </c>
      <c r="B1478" s="1205">
        <f>'House Count'!E1478</f>
        <v/>
      </c>
      <c r="C1478" s="1205">
        <f>'House Count'!B1478</f>
        <v/>
      </c>
      <c r="D1478" s="1205">
        <f>'House Count'!C1478</f>
        <v/>
      </c>
      <c r="E1478" s="1205">
        <f>'House Count'!D1478</f>
        <v/>
      </c>
      <c r="F1478" s="1205">
        <f>IF(G1478="RES-SFU","RESIDENTIAL",IF(G1478="RES-HOA","RESIDENTIAL",IF(G1478="RES-MDU","RESIDENTIAL",IF(G1478="COMM-SU","BUSINESS",IF(G1478="COM-MTU","BUSINESS",IF(G1478="ENT","BUSINESS",""))))))</f>
        <v/>
      </c>
      <c r="G1478" s="1205">
        <f>'House Count'!F1478</f>
        <v/>
      </c>
      <c r="H1478" s="1205">
        <f>'House Count'!H1478</f>
        <v/>
      </c>
    </row>
    <row r="1479">
      <c r="A1479" s="1204">
        <f>'House Count'!A1479</f>
        <v/>
      </c>
      <c r="B1479" s="1205">
        <f>'House Count'!E1479</f>
        <v/>
      </c>
      <c r="C1479" s="1205">
        <f>'House Count'!B1479</f>
        <v/>
      </c>
      <c r="D1479" s="1205">
        <f>'House Count'!C1479</f>
        <v/>
      </c>
      <c r="E1479" s="1205">
        <f>'House Count'!D1479</f>
        <v/>
      </c>
      <c r="F1479" s="1205">
        <f>IF(G1479="RES-SFU","RESIDENTIAL",IF(G1479="RES-HOA","RESIDENTIAL",IF(G1479="RES-MDU","RESIDENTIAL",IF(G1479="COMM-SU","BUSINESS",IF(G1479="COM-MTU","BUSINESS",IF(G1479="ENT","BUSINESS",""))))))</f>
        <v/>
      </c>
      <c r="G1479" s="1205">
        <f>'House Count'!F1479</f>
        <v/>
      </c>
      <c r="H1479" s="1205">
        <f>'House Count'!H1479</f>
        <v/>
      </c>
    </row>
    <row r="1480">
      <c r="A1480" s="1204">
        <f>'House Count'!A1480</f>
        <v/>
      </c>
      <c r="B1480" s="1205">
        <f>'House Count'!E1480</f>
        <v/>
      </c>
      <c r="C1480" s="1205">
        <f>'House Count'!B1480</f>
        <v/>
      </c>
      <c r="D1480" s="1205">
        <f>'House Count'!C1480</f>
        <v/>
      </c>
      <c r="E1480" s="1205">
        <f>'House Count'!D1480</f>
        <v/>
      </c>
      <c r="F1480" s="1205">
        <f>IF(G1480="RES-SFU","RESIDENTIAL",IF(G1480="RES-HOA","RESIDENTIAL",IF(G1480="RES-MDU","RESIDENTIAL",IF(G1480="COMM-SU","BUSINESS",IF(G1480="COM-MTU","BUSINESS",IF(G1480="ENT","BUSINESS",""))))))</f>
        <v/>
      </c>
      <c r="G1480" s="1205">
        <f>'House Count'!F1480</f>
        <v/>
      </c>
      <c r="H1480" s="1205">
        <f>'House Count'!H1480</f>
        <v/>
      </c>
    </row>
    <row r="1481">
      <c r="A1481" s="1204">
        <f>'House Count'!A1481</f>
        <v/>
      </c>
      <c r="B1481" s="1205">
        <f>'House Count'!E1481</f>
        <v/>
      </c>
      <c r="C1481" s="1205">
        <f>'House Count'!B1481</f>
        <v/>
      </c>
      <c r="D1481" s="1205">
        <f>'House Count'!C1481</f>
        <v/>
      </c>
      <c r="E1481" s="1205">
        <f>'House Count'!D1481</f>
        <v/>
      </c>
      <c r="F1481" s="1205">
        <f>IF(G1481="RES-SFU","RESIDENTIAL",IF(G1481="RES-HOA","RESIDENTIAL",IF(G1481="RES-MDU","RESIDENTIAL",IF(G1481="COMM-SU","BUSINESS",IF(G1481="COM-MTU","BUSINESS",IF(G1481="ENT","BUSINESS",""))))))</f>
        <v/>
      </c>
      <c r="G1481" s="1205">
        <f>'House Count'!F1481</f>
        <v/>
      </c>
      <c r="H1481" s="1205">
        <f>'House Count'!H1481</f>
        <v/>
      </c>
    </row>
    <row r="1482">
      <c r="A1482" s="1204">
        <f>'House Count'!A1482</f>
        <v/>
      </c>
      <c r="B1482" s="1205">
        <f>'House Count'!E1482</f>
        <v/>
      </c>
      <c r="C1482" s="1205">
        <f>'House Count'!B1482</f>
        <v/>
      </c>
      <c r="D1482" s="1205">
        <f>'House Count'!C1482</f>
        <v/>
      </c>
      <c r="E1482" s="1205">
        <f>'House Count'!D1482</f>
        <v/>
      </c>
      <c r="F1482" s="1205">
        <f>IF(G1482="RES-SFU","RESIDENTIAL",IF(G1482="RES-HOA","RESIDENTIAL",IF(G1482="RES-MDU","RESIDENTIAL",IF(G1482="COMM-SU","BUSINESS",IF(G1482="COM-MTU","BUSINESS",IF(G1482="ENT","BUSINESS",""))))))</f>
        <v/>
      </c>
      <c r="G1482" s="1205">
        <f>'House Count'!F1482</f>
        <v/>
      </c>
      <c r="H1482" s="1205">
        <f>'House Count'!H1482</f>
        <v/>
      </c>
    </row>
    <row r="1483">
      <c r="A1483" s="1204">
        <f>'House Count'!A1483</f>
        <v/>
      </c>
      <c r="B1483" s="1205">
        <f>'House Count'!E1483</f>
        <v/>
      </c>
      <c r="C1483" s="1205">
        <f>'House Count'!B1483</f>
        <v/>
      </c>
      <c r="D1483" s="1205">
        <f>'House Count'!C1483</f>
        <v/>
      </c>
      <c r="E1483" s="1205">
        <f>'House Count'!D1483</f>
        <v/>
      </c>
      <c r="F1483" s="1205">
        <f>IF(G1483="RES-SFU","RESIDENTIAL",IF(G1483="RES-HOA","RESIDENTIAL",IF(G1483="RES-MDU","RESIDENTIAL",IF(G1483="COMM-SU","BUSINESS",IF(G1483="COM-MTU","BUSINESS",IF(G1483="ENT","BUSINESS",""))))))</f>
        <v/>
      </c>
      <c r="G1483" s="1205">
        <f>'House Count'!F1483</f>
        <v/>
      </c>
      <c r="H1483" s="1205">
        <f>'House Count'!H1483</f>
        <v/>
      </c>
    </row>
    <row r="1484">
      <c r="A1484" s="1204">
        <f>'House Count'!A1484</f>
        <v/>
      </c>
      <c r="B1484" s="1205">
        <f>'House Count'!E1484</f>
        <v/>
      </c>
      <c r="C1484" s="1205">
        <f>'House Count'!B1484</f>
        <v/>
      </c>
      <c r="D1484" s="1205">
        <f>'House Count'!C1484</f>
        <v/>
      </c>
      <c r="E1484" s="1205">
        <f>'House Count'!D1484</f>
        <v/>
      </c>
      <c r="F1484" s="1205">
        <f>IF(G1484="RES-SFU","RESIDENTIAL",IF(G1484="RES-HOA","RESIDENTIAL",IF(G1484="RES-MDU","RESIDENTIAL",IF(G1484="COMM-SU","BUSINESS",IF(G1484="COM-MTU","BUSINESS",IF(G1484="ENT","BUSINESS",""))))))</f>
        <v/>
      </c>
      <c r="G1484" s="1205">
        <f>'House Count'!F1484</f>
        <v/>
      </c>
      <c r="H1484" s="1205">
        <f>'House Count'!H1484</f>
        <v/>
      </c>
    </row>
    <row r="1485">
      <c r="A1485" s="1204">
        <f>'House Count'!A1485</f>
        <v/>
      </c>
      <c r="B1485" s="1205">
        <f>'House Count'!E1485</f>
        <v/>
      </c>
      <c r="C1485" s="1205">
        <f>'House Count'!B1485</f>
        <v/>
      </c>
      <c r="D1485" s="1205">
        <f>'House Count'!C1485</f>
        <v/>
      </c>
      <c r="E1485" s="1205">
        <f>'House Count'!D1485</f>
        <v/>
      </c>
      <c r="F1485" s="1205">
        <f>IF(G1485="RES-SFU","RESIDENTIAL",IF(G1485="RES-HOA","RESIDENTIAL",IF(G1485="RES-MDU","RESIDENTIAL",IF(G1485="COMM-SU","BUSINESS",IF(G1485="COM-MTU","BUSINESS",IF(G1485="ENT","BUSINESS",""))))))</f>
        <v/>
      </c>
      <c r="G1485" s="1205">
        <f>'House Count'!F1485</f>
        <v/>
      </c>
      <c r="H1485" s="1205">
        <f>'House Count'!H1485</f>
        <v/>
      </c>
    </row>
    <row r="1486">
      <c r="A1486" s="1204">
        <f>'House Count'!A1486</f>
        <v/>
      </c>
      <c r="B1486" s="1205">
        <f>'House Count'!E1486</f>
        <v/>
      </c>
      <c r="C1486" s="1205">
        <f>'House Count'!B1486</f>
        <v/>
      </c>
      <c r="D1486" s="1205">
        <f>'House Count'!C1486</f>
        <v/>
      </c>
      <c r="E1486" s="1205">
        <f>'House Count'!D1486</f>
        <v/>
      </c>
      <c r="F1486" s="1205">
        <f>IF(G1486="RES-SFU","RESIDENTIAL",IF(G1486="RES-HOA","RESIDENTIAL",IF(G1486="RES-MDU","RESIDENTIAL",IF(G1486="COMM-SU","BUSINESS",IF(G1486="COM-MTU","BUSINESS",IF(G1486="ENT","BUSINESS",""))))))</f>
        <v/>
      </c>
      <c r="G1486" s="1205">
        <f>'House Count'!F1486</f>
        <v/>
      </c>
      <c r="H1486" s="1205">
        <f>'House Count'!H1486</f>
        <v/>
      </c>
    </row>
    <row r="1487">
      <c r="A1487" s="1204">
        <f>'House Count'!A1487</f>
        <v/>
      </c>
      <c r="B1487" s="1205">
        <f>'House Count'!E1487</f>
        <v/>
      </c>
      <c r="C1487" s="1205">
        <f>'House Count'!B1487</f>
        <v/>
      </c>
      <c r="D1487" s="1205">
        <f>'House Count'!C1487</f>
        <v/>
      </c>
      <c r="E1487" s="1205">
        <f>'House Count'!D1487</f>
        <v/>
      </c>
      <c r="F1487" s="1205">
        <f>IF(G1487="RES-SFU","RESIDENTIAL",IF(G1487="RES-HOA","RESIDENTIAL",IF(G1487="RES-MDU","RESIDENTIAL",IF(G1487="COMM-SU","BUSINESS",IF(G1487="COM-MTU","BUSINESS",IF(G1487="ENT","BUSINESS",""))))))</f>
        <v/>
      </c>
      <c r="G1487" s="1205">
        <f>'House Count'!F1487</f>
        <v/>
      </c>
      <c r="H1487" s="1205">
        <f>'House Count'!H1487</f>
        <v/>
      </c>
    </row>
    <row r="1488">
      <c r="A1488" s="1204">
        <f>'House Count'!A1488</f>
        <v/>
      </c>
      <c r="B1488" s="1205">
        <f>'House Count'!E1488</f>
        <v/>
      </c>
      <c r="C1488" s="1205">
        <f>'House Count'!B1488</f>
        <v/>
      </c>
      <c r="D1488" s="1205">
        <f>'House Count'!C1488</f>
        <v/>
      </c>
      <c r="E1488" s="1205">
        <f>'House Count'!D1488</f>
        <v/>
      </c>
      <c r="F1488" s="1205">
        <f>IF(G1488="RES-SFU","RESIDENTIAL",IF(G1488="RES-HOA","RESIDENTIAL",IF(G1488="RES-MDU","RESIDENTIAL",IF(G1488="COMM-SU","BUSINESS",IF(G1488="COM-MTU","BUSINESS",IF(G1488="ENT","BUSINESS",""))))))</f>
        <v/>
      </c>
      <c r="G1488" s="1205">
        <f>'House Count'!F1488</f>
        <v/>
      </c>
      <c r="H1488" s="1205">
        <f>'House Count'!H1488</f>
        <v/>
      </c>
    </row>
    <row r="1489">
      <c r="A1489" s="1204">
        <f>'House Count'!A1489</f>
        <v/>
      </c>
      <c r="B1489" s="1205">
        <f>'House Count'!E1489</f>
        <v/>
      </c>
      <c r="C1489" s="1205">
        <f>'House Count'!B1489</f>
        <v/>
      </c>
      <c r="D1489" s="1205">
        <f>'House Count'!C1489</f>
        <v/>
      </c>
      <c r="E1489" s="1205">
        <f>'House Count'!D1489</f>
        <v/>
      </c>
      <c r="F1489" s="1205">
        <f>IF(G1489="RES-SFU","RESIDENTIAL",IF(G1489="RES-HOA","RESIDENTIAL",IF(G1489="RES-MDU","RESIDENTIAL",IF(G1489="COMM-SU","BUSINESS",IF(G1489="COM-MTU","BUSINESS",IF(G1489="ENT","BUSINESS",""))))))</f>
        <v/>
      </c>
      <c r="G1489" s="1205">
        <f>'House Count'!F1489</f>
        <v/>
      </c>
      <c r="H1489" s="1205">
        <f>'House Count'!H1489</f>
        <v/>
      </c>
    </row>
    <row r="1490">
      <c r="A1490" s="1204">
        <f>'House Count'!A1490</f>
        <v/>
      </c>
      <c r="B1490" s="1205">
        <f>'House Count'!E1490</f>
        <v/>
      </c>
      <c r="C1490" s="1205">
        <f>'House Count'!B1490</f>
        <v/>
      </c>
      <c r="D1490" s="1205">
        <f>'House Count'!C1490</f>
        <v/>
      </c>
      <c r="E1490" s="1205">
        <f>'House Count'!D1490</f>
        <v/>
      </c>
      <c r="F1490" s="1205">
        <f>IF(G1490="RES-SFU","RESIDENTIAL",IF(G1490="RES-HOA","RESIDENTIAL",IF(G1490="RES-MDU","RESIDENTIAL",IF(G1490="COMM-SU","BUSINESS",IF(G1490="COM-MTU","BUSINESS",IF(G1490="ENT","BUSINESS",""))))))</f>
        <v/>
      </c>
      <c r="G1490" s="1205">
        <f>'House Count'!F1490</f>
        <v/>
      </c>
      <c r="H1490" s="1205">
        <f>'House Count'!H1490</f>
        <v/>
      </c>
    </row>
    <row r="1491">
      <c r="A1491" s="1204">
        <f>'House Count'!A1491</f>
        <v/>
      </c>
      <c r="B1491" s="1205">
        <f>'House Count'!E1491</f>
        <v/>
      </c>
      <c r="C1491" s="1205">
        <f>'House Count'!B1491</f>
        <v/>
      </c>
      <c r="D1491" s="1205">
        <f>'House Count'!C1491</f>
        <v/>
      </c>
      <c r="E1491" s="1205">
        <f>'House Count'!D1491</f>
        <v/>
      </c>
      <c r="F1491" s="1205">
        <f>IF(G1491="RES-SFU","RESIDENTIAL",IF(G1491="RES-HOA","RESIDENTIAL",IF(G1491="RES-MDU","RESIDENTIAL",IF(G1491="COMM-SU","BUSINESS",IF(G1491="COM-MTU","BUSINESS",IF(G1491="ENT","BUSINESS",""))))))</f>
        <v/>
      </c>
      <c r="G1491" s="1205">
        <f>'House Count'!F1491</f>
        <v/>
      </c>
      <c r="H1491" s="1205">
        <f>'House Count'!H1491</f>
        <v/>
      </c>
    </row>
    <row r="1492">
      <c r="A1492" s="1204">
        <f>'House Count'!A1492</f>
        <v/>
      </c>
      <c r="B1492" s="1205">
        <f>'House Count'!E1492</f>
        <v/>
      </c>
      <c r="C1492" s="1205">
        <f>'House Count'!B1492</f>
        <v/>
      </c>
      <c r="D1492" s="1205">
        <f>'House Count'!C1492</f>
        <v/>
      </c>
      <c r="E1492" s="1205">
        <f>'House Count'!D1492</f>
        <v/>
      </c>
      <c r="F1492" s="1205">
        <f>IF(G1492="RES-SFU","RESIDENTIAL",IF(G1492="RES-HOA","RESIDENTIAL",IF(G1492="RES-MDU","RESIDENTIAL",IF(G1492="COMM-SU","BUSINESS",IF(G1492="COM-MTU","BUSINESS",IF(G1492="ENT","BUSINESS",""))))))</f>
        <v/>
      </c>
      <c r="G1492" s="1205">
        <f>'House Count'!F1492</f>
        <v/>
      </c>
      <c r="H1492" s="1205">
        <f>'House Count'!H1492</f>
        <v/>
      </c>
    </row>
    <row r="1493">
      <c r="A1493" s="1204">
        <f>'House Count'!A1493</f>
        <v/>
      </c>
      <c r="B1493" s="1205">
        <f>'House Count'!E1493</f>
        <v/>
      </c>
      <c r="C1493" s="1205">
        <f>'House Count'!B1493</f>
        <v/>
      </c>
      <c r="D1493" s="1205">
        <f>'House Count'!C1493</f>
        <v/>
      </c>
      <c r="E1493" s="1205">
        <f>'House Count'!D1493</f>
        <v/>
      </c>
      <c r="F1493" s="1205">
        <f>IF(G1493="RES-SFU","RESIDENTIAL",IF(G1493="RES-HOA","RESIDENTIAL",IF(G1493="RES-MDU","RESIDENTIAL",IF(G1493="COMM-SU","BUSINESS",IF(G1493="COM-MTU","BUSINESS",IF(G1493="ENT","BUSINESS",""))))))</f>
        <v/>
      </c>
      <c r="G1493" s="1205">
        <f>'House Count'!F1493</f>
        <v/>
      </c>
      <c r="H1493" s="1205">
        <f>'House Count'!H1493</f>
        <v/>
      </c>
    </row>
    <row r="1494">
      <c r="A1494" s="1204">
        <f>'House Count'!A1494</f>
        <v/>
      </c>
      <c r="B1494" s="1205">
        <f>'House Count'!E1494</f>
        <v/>
      </c>
      <c r="C1494" s="1205">
        <f>'House Count'!B1494</f>
        <v/>
      </c>
      <c r="D1494" s="1205">
        <f>'House Count'!C1494</f>
        <v/>
      </c>
      <c r="E1494" s="1205">
        <f>'House Count'!D1494</f>
        <v/>
      </c>
      <c r="F1494" s="1205">
        <f>IF(G1494="RES-SFU","RESIDENTIAL",IF(G1494="RES-HOA","RESIDENTIAL",IF(G1494="RES-MDU","RESIDENTIAL",IF(G1494="COMM-SU","BUSINESS",IF(G1494="COM-MTU","BUSINESS",IF(G1494="ENT","BUSINESS",""))))))</f>
        <v/>
      </c>
      <c r="G1494" s="1205">
        <f>'House Count'!F1494</f>
        <v/>
      </c>
      <c r="H1494" s="1205">
        <f>'House Count'!H1494</f>
        <v/>
      </c>
    </row>
    <row r="1495">
      <c r="A1495" s="1204">
        <f>'House Count'!A1495</f>
        <v/>
      </c>
      <c r="B1495" s="1205">
        <f>'House Count'!E1495</f>
        <v/>
      </c>
      <c r="C1495" s="1205">
        <f>'House Count'!B1495</f>
        <v/>
      </c>
      <c r="D1495" s="1205">
        <f>'House Count'!C1495</f>
        <v/>
      </c>
      <c r="E1495" s="1205">
        <f>'House Count'!D1495</f>
        <v/>
      </c>
      <c r="F1495" s="1205">
        <f>IF(G1495="RES-SFU","RESIDENTIAL",IF(G1495="RES-HOA","RESIDENTIAL",IF(G1495="RES-MDU","RESIDENTIAL",IF(G1495="COMM-SU","BUSINESS",IF(G1495="COM-MTU","BUSINESS",IF(G1495="ENT","BUSINESS",""))))))</f>
        <v/>
      </c>
      <c r="G1495" s="1205">
        <f>'House Count'!F1495</f>
        <v/>
      </c>
      <c r="H1495" s="1205">
        <f>'House Count'!H1495</f>
        <v/>
      </c>
    </row>
    <row r="1496">
      <c r="A1496" s="1204">
        <f>'House Count'!A1496</f>
        <v/>
      </c>
      <c r="B1496" s="1205">
        <f>'House Count'!E1496</f>
        <v/>
      </c>
      <c r="C1496" s="1205">
        <f>'House Count'!B1496</f>
        <v/>
      </c>
      <c r="D1496" s="1205">
        <f>'House Count'!C1496</f>
        <v/>
      </c>
      <c r="E1496" s="1205">
        <f>'House Count'!D1496</f>
        <v/>
      </c>
      <c r="F1496" s="1205">
        <f>IF(G1496="RES-SFU","RESIDENTIAL",IF(G1496="RES-HOA","RESIDENTIAL",IF(G1496="RES-MDU","RESIDENTIAL",IF(G1496="COMM-SU","BUSINESS",IF(G1496="COM-MTU","BUSINESS",IF(G1496="ENT","BUSINESS",""))))))</f>
        <v/>
      </c>
      <c r="G1496" s="1205">
        <f>'House Count'!F1496</f>
        <v/>
      </c>
      <c r="H1496" s="1205">
        <f>'House Count'!H1496</f>
        <v/>
      </c>
    </row>
    <row r="1497">
      <c r="A1497" s="1204">
        <f>'House Count'!A1497</f>
        <v/>
      </c>
      <c r="B1497" s="1205">
        <f>'House Count'!E1497</f>
        <v/>
      </c>
      <c r="C1497" s="1205">
        <f>'House Count'!B1497</f>
        <v/>
      </c>
      <c r="D1497" s="1205">
        <f>'House Count'!C1497</f>
        <v/>
      </c>
      <c r="E1497" s="1205">
        <f>'House Count'!D1497</f>
        <v/>
      </c>
      <c r="F1497" s="1205">
        <f>IF(G1497="RES-SFU","RESIDENTIAL",IF(G1497="RES-HOA","RESIDENTIAL",IF(G1497="RES-MDU","RESIDENTIAL",IF(G1497="COMM-SU","BUSINESS",IF(G1497="COM-MTU","BUSINESS",IF(G1497="ENT","BUSINESS",""))))))</f>
        <v/>
      </c>
      <c r="G1497" s="1205">
        <f>'House Count'!F1497</f>
        <v/>
      </c>
      <c r="H1497" s="1205">
        <f>'House Count'!H1497</f>
        <v/>
      </c>
    </row>
    <row r="1498">
      <c r="A1498" s="1204">
        <f>'House Count'!A1498</f>
        <v/>
      </c>
      <c r="B1498" s="1205">
        <f>'House Count'!E1498</f>
        <v/>
      </c>
      <c r="C1498" s="1205">
        <f>'House Count'!B1498</f>
        <v/>
      </c>
      <c r="D1498" s="1205">
        <f>'House Count'!C1498</f>
        <v/>
      </c>
      <c r="E1498" s="1205">
        <f>'House Count'!D1498</f>
        <v/>
      </c>
      <c r="F1498" s="1205">
        <f>IF(G1498="RES-SFU","RESIDENTIAL",IF(G1498="RES-HOA","RESIDENTIAL",IF(G1498="RES-MDU","RESIDENTIAL",IF(G1498="COMM-SU","BUSINESS",IF(G1498="COM-MTU","BUSINESS",IF(G1498="ENT","BUSINESS",""))))))</f>
        <v/>
      </c>
      <c r="G1498" s="1205">
        <f>'House Count'!F1498</f>
        <v/>
      </c>
      <c r="H1498" s="1205">
        <f>'House Count'!H1498</f>
        <v/>
      </c>
    </row>
    <row r="1499">
      <c r="A1499" s="1204">
        <f>'House Count'!A1499</f>
        <v/>
      </c>
      <c r="B1499" s="1205">
        <f>'House Count'!E1499</f>
        <v/>
      </c>
      <c r="C1499" s="1205">
        <f>'House Count'!B1499</f>
        <v/>
      </c>
      <c r="D1499" s="1205">
        <f>'House Count'!C1499</f>
        <v/>
      </c>
      <c r="E1499" s="1205">
        <f>'House Count'!D1499</f>
        <v/>
      </c>
      <c r="F1499" s="1205">
        <f>IF(G1499="RES-SFU","RESIDENTIAL",IF(G1499="RES-HOA","RESIDENTIAL",IF(G1499="RES-MDU","RESIDENTIAL",IF(G1499="COMM-SU","BUSINESS",IF(G1499="COM-MTU","BUSINESS",IF(G1499="ENT","BUSINESS",""))))))</f>
        <v/>
      </c>
      <c r="G1499" s="1205">
        <f>'House Count'!F1499</f>
        <v/>
      </c>
      <c r="H1499" s="1205">
        <f>'House Count'!H1499</f>
        <v/>
      </c>
    </row>
    <row r="1500">
      <c r="A1500" s="1204">
        <f>'House Count'!A1500</f>
        <v/>
      </c>
      <c r="B1500" s="1205">
        <f>'House Count'!E1500</f>
        <v/>
      </c>
      <c r="C1500" s="1205">
        <f>'House Count'!B1500</f>
        <v/>
      </c>
      <c r="D1500" s="1205">
        <f>'House Count'!C1500</f>
        <v/>
      </c>
      <c r="E1500" s="1205">
        <f>'House Count'!D1500</f>
        <v/>
      </c>
      <c r="F1500" s="1205">
        <f>IF(G1500="RES-SFU","RESIDENTIAL",IF(G1500="RES-HOA","RESIDENTIAL",IF(G1500="RES-MDU","RESIDENTIAL",IF(G1500="COMM-SU","BUSINESS",IF(G1500="COM-MTU","BUSINESS",IF(G1500="ENT","BUSINESS",""))))))</f>
        <v/>
      </c>
      <c r="G1500" s="1205">
        <f>'House Count'!F1500</f>
        <v/>
      </c>
      <c r="H1500" s="1205">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8" defaultRowHeight="15"/>
  <cols>
    <col width="13.28515625" bestFit="1" customWidth="1" style="955" min="1" max="1"/>
    <col width="5.28515625" bestFit="1" customWidth="1" style="955" min="14" max="14"/>
    <col width="6.7109375" bestFit="1" customWidth="1" style="955" min="15" max="15"/>
  </cols>
  <sheetData>
    <row r="1" ht="15.75" customHeight="1" s="955" thickBot="1">
      <c r="A1" s="1206" t="inlineStr">
        <is>
          <t>PERMITS WORKSHEET</t>
        </is>
      </c>
      <c r="B1" s="1124" t="n"/>
      <c r="C1" s="1124" t="n"/>
      <c r="D1" s="1124" t="n"/>
      <c r="E1" s="1124" t="n"/>
      <c r="F1" s="1124" t="n"/>
      <c r="G1" s="1124" t="n"/>
      <c r="H1" s="1124" t="n"/>
      <c r="I1" s="1124" t="n"/>
      <c r="J1" s="1124" t="n"/>
      <c r="K1" s="1124" t="n"/>
      <c r="L1" s="1124" t="n"/>
      <c r="M1" s="1124" t="n"/>
      <c r="N1" s="1124" t="n"/>
      <c r="O1" s="1124" t="n"/>
      <c r="P1" s="1124" t="n"/>
      <c r="Q1" s="1125" t="n"/>
    </row>
    <row r="2" ht="15.75" customHeight="1" s="955" thickBot="1">
      <c r="A2" s="50" t="n"/>
      <c r="C2" s="47" t="n"/>
      <c r="G2" s="51" t="n"/>
      <c r="H2" s="47" t="n"/>
      <c r="J2" s="47" t="n"/>
      <c r="L2" s="47" t="n"/>
    </row>
    <row r="3" ht="15.75" customHeight="1" s="955" thickBot="1">
      <c r="A3" s="159" t="inlineStr">
        <is>
          <t>DOT</t>
        </is>
      </c>
      <c r="B3" s="1124" t="n"/>
      <c r="C3" s="1124" t="n"/>
      <c r="D3" s="1124" t="n"/>
      <c r="E3" s="1124" t="n"/>
      <c r="F3" s="1124" t="n"/>
      <c r="G3" s="1124" t="n"/>
      <c r="H3" s="1125" t="n"/>
      <c r="J3" s="159" t="inlineStr">
        <is>
          <t>MUNICIPAL</t>
        </is>
      </c>
      <c r="K3" s="1124" t="n"/>
      <c r="L3" s="1124" t="n"/>
      <c r="M3" s="1124" t="n"/>
      <c r="N3" s="1124" t="n"/>
      <c r="O3" s="1124" t="n"/>
      <c r="P3" s="1124" t="n"/>
      <c r="Q3" s="1125" t="n"/>
    </row>
    <row r="4">
      <c r="A4" s="103" t="inlineStr">
        <is>
          <t>NAME</t>
        </is>
      </c>
      <c r="B4" s="1207" t="n"/>
      <c r="C4" s="103" t="inlineStr">
        <is>
          <t>DESCRIPTION</t>
        </is>
      </c>
      <c r="F4" s="1207" t="n"/>
      <c r="G4" s="1093" t="inlineStr">
        <is>
          <t>AMOUNT</t>
        </is>
      </c>
      <c r="H4" s="1177" t="n"/>
      <c r="J4" s="103" t="inlineStr">
        <is>
          <t>NAME</t>
        </is>
      </c>
      <c r="K4" s="1207" t="n"/>
      <c r="L4" s="103" t="inlineStr">
        <is>
          <t>DESCRIPTION</t>
        </is>
      </c>
      <c r="O4" s="1207" t="n"/>
      <c r="P4" s="1093" t="inlineStr">
        <is>
          <t>AMOUNT</t>
        </is>
      </c>
      <c r="Q4" s="1177" t="n"/>
    </row>
    <row r="5">
      <c r="A5" s="1082" t="n"/>
      <c r="B5" s="1141" t="n"/>
      <c r="C5" s="1082" t="n"/>
      <c r="D5" s="1140" t="n"/>
      <c r="E5" s="1140" t="n"/>
      <c r="F5" s="1141" t="n"/>
      <c r="G5" s="1083" t="n">
        <v>0</v>
      </c>
      <c r="H5" s="1141" t="n"/>
      <c r="J5" s="1082" t="n"/>
      <c r="K5" s="1141" t="n"/>
      <c r="L5" s="1082" t="inlineStr">
        <is>
          <t>CITY</t>
        </is>
      </c>
      <c r="M5" s="1140" t="n"/>
      <c r="N5" s="1140" t="n"/>
      <c r="O5" s="1141" t="n"/>
      <c r="P5" s="1083" t="n">
        <v>500</v>
      </c>
      <c r="Q5" s="1141" t="n"/>
    </row>
    <row r="6">
      <c r="A6" s="1082" t="n"/>
      <c r="B6" s="1141" t="n"/>
      <c r="C6" s="1082" t="n"/>
      <c r="D6" s="1140" t="n"/>
      <c r="E6" s="1140" t="n"/>
      <c r="F6" s="1141" t="n"/>
      <c r="G6" s="1083" t="n"/>
      <c r="H6" s="1141" t="n"/>
      <c r="J6" s="1082" t="n"/>
      <c r="K6" s="1141" t="n"/>
      <c r="L6" s="1082" t="inlineStr">
        <is>
          <t>COUNTY</t>
        </is>
      </c>
      <c r="M6" s="1140" t="n"/>
      <c r="N6" s="1140" t="n"/>
      <c r="O6" s="1141" t="n"/>
      <c r="P6" s="1083" t="n">
        <v>500</v>
      </c>
      <c r="Q6" s="1141" t="n"/>
    </row>
    <row r="7">
      <c r="A7" s="1082" t="n"/>
      <c r="B7" s="1141" t="n"/>
      <c r="C7" s="1082" t="n"/>
      <c r="D7" s="1140" t="n"/>
      <c r="E7" s="1140" t="n"/>
      <c r="F7" s="1141" t="n"/>
      <c r="G7" s="1083" t="n"/>
      <c r="H7" s="1141" t="n"/>
      <c r="J7" s="1082" t="n"/>
      <c r="K7" s="1141" t="n"/>
      <c r="L7" s="1082" t="n"/>
      <c r="M7" s="1140" t="n"/>
      <c r="N7" s="1140" t="n"/>
      <c r="O7" s="1141" t="n"/>
      <c r="P7" s="1083" t="n"/>
      <c r="Q7" s="1141" t="n"/>
    </row>
    <row r="8">
      <c r="A8" s="1082" t="n"/>
      <c r="B8" s="1141" t="n"/>
      <c r="C8" s="1082" t="n"/>
      <c r="D8" s="1140" t="n"/>
      <c r="E8" s="1140" t="n"/>
      <c r="F8" s="1141" t="n"/>
      <c r="G8" s="1083" t="n"/>
      <c r="H8" s="1141" t="n"/>
      <c r="J8" s="1082" t="n"/>
      <c r="K8" s="1141" t="n"/>
      <c r="L8" s="1082" t="n"/>
      <c r="M8" s="1140" t="n"/>
      <c r="N8" s="1140" t="n"/>
      <c r="O8" s="1141" t="n"/>
      <c r="P8" s="1083" t="n"/>
      <c r="Q8" s="1141" t="n"/>
    </row>
    <row r="9">
      <c r="A9" s="1082" t="n"/>
      <c r="B9" s="1141" t="n"/>
      <c r="C9" s="1082" t="n"/>
      <c r="D9" s="1140" t="n"/>
      <c r="E9" s="1140" t="n"/>
      <c r="F9" s="1141" t="n"/>
      <c r="G9" s="1083" t="n"/>
      <c r="H9" s="1141" t="n"/>
      <c r="J9" s="1082" t="n"/>
      <c r="K9" s="1141" t="n"/>
      <c r="L9" s="1082" t="n"/>
      <c r="M9" s="1140" t="n"/>
      <c r="N9" s="1140" t="n"/>
      <c r="O9" s="1141" t="n"/>
      <c r="P9" s="1083" t="n"/>
      <c r="Q9" s="1141" t="n"/>
    </row>
    <row r="10">
      <c r="A10" s="1082" t="n"/>
      <c r="B10" s="1141" t="n"/>
      <c r="C10" s="1082" t="n"/>
      <c r="D10" s="1140" t="n"/>
      <c r="E10" s="1140" t="n"/>
      <c r="F10" s="1141" t="n"/>
      <c r="G10" s="1083" t="n"/>
      <c r="H10" s="1141" t="n"/>
      <c r="J10" s="1082" t="n"/>
      <c r="K10" s="1141" t="n"/>
      <c r="L10" s="1082" t="n"/>
      <c r="M10" s="1140" t="n"/>
      <c r="N10" s="1140" t="n"/>
      <c r="O10" s="1141" t="n"/>
      <c r="P10" s="1083" t="n"/>
      <c r="Q10" s="1141" t="n"/>
    </row>
    <row r="11">
      <c r="A11" s="1082" t="n"/>
      <c r="B11" s="1141" t="n"/>
      <c r="C11" s="1082" t="n"/>
      <c r="D11" s="1140" t="n"/>
      <c r="E11" s="1140" t="n"/>
      <c r="F11" s="1141" t="n"/>
      <c r="G11" s="1083" t="n"/>
      <c r="H11" s="1141" t="n"/>
      <c r="J11" s="1082" t="n"/>
      <c r="K11" s="1141" t="n"/>
      <c r="L11" s="1082" t="n"/>
      <c r="M11" s="1140" t="n"/>
      <c r="N11" s="1140" t="n"/>
      <c r="O11" s="1141" t="n"/>
      <c r="P11" s="1083" t="n"/>
      <c r="Q11" s="1141" t="n"/>
    </row>
    <row r="12">
      <c r="A12" s="1082" t="n"/>
      <c r="B12" s="1141" t="n"/>
      <c r="C12" s="1082" t="n"/>
      <c r="D12" s="1140" t="n"/>
      <c r="E12" s="1140" t="n"/>
      <c r="F12" s="1141" t="n"/>
      <c r="G12" s="1083" t="n"/>
      <c r="H12" s="1141" t="n"/>
      <c r="J12" s="1082" t="n"/>
      <c r="K12" s="1141" t="n"/>
      <c r="L12" s="1082" t="n"/>
      <c r="M12" s="1140" t="n"/>
      <c r="N12" s="1140" t="n"/>
      <c r="O12" s="1141" t="n"/>
      <c r="P12" s="1083" t="n"/>
      <c r="Q12" s="1141" t="n"/>
    </row>
    <row r="13">
      <c r="A13" s="1082" t="n"/>
      <c r="B13" s="1141" t="n"/>
      <c r="C13" s="1082" t="n"/>
      <c r="D13" s="1140" t="n"/>
      <c r="E13" s="1140" t="n"/>
      <c r="F13" s="1141" t="n"/>
      <c r="G13" s="1083" t="n"/>
      <c r="H13" s="1141" t="n"/>
      <c r="J13" s="1082" t="n"/>
      <c r="K13" s="1141" t="n"/>
      <c r="L13" s="1082" t="n"/>
      <c r="M13" s="1140" t="n"/>
      <c r="N13" s="1140" t="n"/>
      <c r="O13" s="1141" t="n"/>
      <c r="P13" s="1083" t="n"/>
      <c r="Q13" s="1141" t="n"/>
    </row>
    <row r="14">
      <c r="A14" s="1082" t="n"/>
      <c r="B14" s="1141" t="n"/>
      <c r="C14" s="1082" t="n"/>
      <c r="D14" s="1140" t="n"/>
      <c r="E14" s="1140" t="n"/>
      <c r="F14" s="1141" t="n"/>
      <c r="G14" s="1083" t="n"/>
      <c r="H14" s="1141" t="n"/>
      <c r="J14" s="1082" t="n"/>
      <c r="K14" s="1141" t="n"/>
      <c r="L14" s="1082" t="n"/>
      <c r="M14" s="1140" t="n"/>
      <c r="N14" s="1140" t="n"/>
      <c r="O14" s="1141" t="n"/>
      <c r="P14" s="1083" t="n"/>
      <c r="Q14" s="1141" t="n"/>
    </row>
    <row r="15">
      <c r="A15" s="1082" t="n"/>
      <c r="B15" s="1141" t="n"/>
      <c r="C15" s="1082" t="n"/>
      <c r="D15" s="1140" t="n"/>
      <c r="E15" s="1140" t="n"/>
      <c r="F15" s="1141" t="n"/>
      <c r="G15" s="1083" t="n"/>
      <c r="H15" s="1141" t="n"/>
      <c r="J15" s="1082" t="n"/>
      <c r="K15" s="1141" t="n"/>
      <c r="L15" s="1082" t="n"/>
      <c r="M15" s="1140" t="n"/>
      <c r="N15" s="1140" t="n"/>
      <c r="O15" s="1141" t="n"/>
      <c r="P15" s="1083" t="n"/>
      <c r="Q15" s="1141" t="n"/>
    </row>
    <row r="16">
      <c r="A16" s="1082" t="n"/>
      <c r="B16" s="1141" t="n"/>
      <c r="C16" s="1082" t="n"/>
      <c r="D16" s="1140" t="n"/>
      <c r="E16" s="1140" t="n"/>
      <c r="F16" s="1141" t="n"/>
      <c r="G16" s="1083" t="n"/>
      <c r="H16" s="1141" t="n"/>
      <c r="J16" s="1082" t="n"/>
      <c r="K16" s="1141" t="n"/>
      <c r="L16" s="1082" t="n"/>
      <c r="M16" s="1140" t="n"/>
      <c r="N16" s="1140" t="n"/>
      <c r="O16" s="1141" t="n"/>
      <c r="P16" s="1083" t="n"/>
      <c r="Q16" s="1141" t="n"/>
    </row>
    <row r="17">
      <c r="A17" s="1082" t="n"/>
      <c r="B17" s="1141" t="n"/>
      <c r="C17" s="1082" t="n"/>
      <c r="D17" s="1140" t="n"/>
      <c r="E17" s="1140" t="n"/>
      <c r="F17" s="1141" t="n"/>
      <c r="G17" s="1083" t="n"/>
      <c r="H17" s="1141" t="n"/>
      <c r="J17" s="1082" t="n"/>
      <c r="K17" s="1141" t="n"/>
      <c r="L17" s="1082" t="n"/>
      <c r="M17" s="1140" t="n"/>
      <c r="N17" s="1140" t="n"/>
      <c r="O17" s="1141" t="n"/>
      <c r="P17" s="1083" t="n"/>
      <c r="Q17" s="1141" t="n"/>
    </row>
    <row r="18">
      <c r="A18" s="1082" t="n"/>
      <c r="B18" s="1141" t="n"/>
      <c r="C18" s="1082" t="n"/>
      <c r="D18" s="1140" t="n"/>
      <c r="E18" s="1140" t="n"/>
      <c r="F18" s="1141" t="n"/>
      <c r="G18" s="1083" t="n"/>
      <c r="H18" s="1141" t="n"/>
      <c r="J18" s="1082" t="n"/>
      <c r="K18" s="1141" t="n"/>
      <c r="L18" s="1082" t="n"/>
      <c r="M18" s="1140" t="n"/>
      <c r="N18" s="1140" t="n"/>
      <c r="O18" s="1141" t="n"/>
      <c r="P18" s="1083" t="n"/>
      <c r="Q18" s="1141" t="n"/>
    </row>
    <row r="19" ht="15.75" customHeight="1" s="955" thickBot="1">
      <c r="A19" s="1082" t="n"/>
      <c r="B19" s="1141" t="n"/>
      <c r="C19" s="1082" t="n"/>
      <c r="D19" s="1140" t="n"/>
      <c r="E19" s="1140" t="n"/>
      <c r="F19" s="1141" t="n"/>
      <c r="G19" s="1083" t="n"/>
      <c r="H19" s="1141" t="n"/>
      <c r="J19" s="1082" t="n"/>
      <c r="K19" s="1141" t="n"/>
      <c r="L19" s="1082" t="n"/>
      <c r="M19" s="1140" t="n"/>
      <c r="N19" s="1140" t="n"/>
      <c r="O19" s="1141" t="n"/>
      <c r="P19" s="1083" t="n"/>
      <c r="Q19" s="1141" t="n"/>
    </row>
    <row r="20" ht="15.75" customHeight="1" s="955" thickBot="1">
      <c r="A20" s="159" t="inlineStr">
        <is>
          <t>RR</t>
        </is>
      </c>
      <c r="B20" s="1124" t="n"/>
      <c r="C20" s="1124" t="n"/>
      <c r="D20" s="1124" t="n"/>
      <c r="E20" s="1124" t="n"/>
      <c r="F20" s="1124" t="n"/>
      <c r="G20" s="1124" t="n"/>
      <c r="H20" s="1125" t="n"/>
      <c r="J20" s="159" t="inlineStr">
        <is>
          <t>EASEMENTS</t>
        </is>
      </c>
      <c r="K20" s="1124" t="n"/>
      <c r="L20" s="1124" t="n"/>
      <c r="M20" s="1124" t="n"/>
      <c r="N20" s="1124" t="n"/>
      <c r="O20" s="1124" t="n"/>
      <c r="P20" s="1124" t="n"/>
      <c r="Q20" s="1125" t="n"/>
    </row>
    <row r="21">
      <c r="A21" s="103" t="inlineStr">
        <is>
          <t>NAME</t>
        </is>
      </c>
      <c r="B21" s="1207" t="n"/>
      <c r="C21" s="103" t="inlineStr">
        <is>
          <t>DESCRIPTION</t>
        </is>
      </c>
      <c r="F21" s="1207" t="n"/>
      <c r="G21" s="1093" t="inlineStr">
        <is>
          <t>AMOUNT</t>
        </is>
      </c>
      <c r="H21" s="1177" t="n"/>
      <c r="J21" s="103" t="inlineStr">
        <is>
          <t>NAME</t>
        </is>
      </c>
      <c r="K21" s="1207" t="n"/>
      <c r="L21" s="103" t="inlineStr">
        <is>
          <t>DESCRIPTION</t>
        </is>
      </c>
      <c r="O21" s="1207" t="n"/>
      <c r="P21" s="1093" t="inlineStr">
        <is>
          <t>AMOUNT</t>
        </is>
      </c>
      <c r="Q21" s="1177" t="n"/>
    </row>
    <row r="22">
      <c r="A22" s="1082" t="n"/>
      <c r="B22" s="1141" t="n"/>
      <c r="C22" s="1082" t="n"/>
      <c r="D22" s="1140" t="n"/>
      <c r="E22" s="1140" t="n"/>
      <c r="F22" s="1141" t="n"/>
      <c r="G22" s="1083" t="n">
        <v>0</v>
      </c>
      <c r="H22" s="1141" t="n"/>
      <c r="J22" s="1082" t="n"/>
      <c r="K22" s="1141" t="n"/>
      <c r="L22" s="1082" t="n"/>
      <c r="M22" s="1140" t="n"/>
      <c r="N22" s="1140" t="n"/>
      <c r="O22" s="1141" t="n"/>
      <c r="P22" s="1083" t="n"/>
      <c r="Q22" s="1141" t="n"/>
    </row>
    <row r="23">
      <c r="A23" s="1082" t="n"/>
      <c r="B23" s="1141" t="n"/>
      <c r="C23" s="1082" t="n"/>
      <c r="D23" s="1140" t="n"/>
      <c r="E23" s="1140" t="n"/>
      <c r="F23" s="1141" t="n"/>
      <c r="G23" s="1083" t="n"/>
      <c r="H23" s="1141" t="n"/>
      <c r="J23" s="1082" t="n"/>
      <c r="K23" s="1141" t="n"/>
      <c r="L23" s="1082" t="n"/>
      <c r="M23" s="1140" t="n"/>
      <c r="N23" s="1140" t="n"/>
      <c r="O23" s="1141" t="n"/>
      <c r="P23" s="1083" t="n"/>
      <c r="Q23" s="1141" t="n"/>
    </row>
    <row r="24">
      <c r="A24" s="1082" t="n"/>
      <c r="B24" s="1141" t="n"/>
      <c r="C24" s="1082" t="n"/>
      <c r="D24" s="1140" t="n"/>
      <c r="E24" s="1140" t="n"/>
      <c r="F24" s="1141" t="n"/>
      <c r="G24" s="1083" t="n"/>
      <c r="H24" s="1141" t="n"/>
      <c r="J24" s="1082" t="n"/>
      <c r="K24" s="1141" t="n"/>
      <c r="L24" s="1082" t="n"/>
      <c r="M24" s="1140" t="n"/>
      <c r="N24" s="1140" t="n"/>
      <c r="O24" s="1141" t="n"/>
      <c r="P24" s="1083" t="n"/>
      <c r="Q24" s="1141" t="n"/>
    </row>
    <row r="25">
      <c r="A25" s="1082" t="n"/>
      <c r="B25" s="1141" t="n"/>
      <c r="C25" s="1082" t="n"/>
      <c r="D25" s="1140" t="n"/>
      <c r="E25" s="1140" t="n"/>
      <c r="F25" s="1141" t="n"/>
      <c r="G25" s="1083" t="n"/>
      <c r="H25" s="1141" t="n"/>
      <c r="J25" s="1082" t="n"/>
      <c r="K25" s="1141" t="n"/>
      <c r="L25" s="1082" t="n"/>
      <c r="M25" s="1140" t="n"/>
      <c r="N25" s="1140" t="n"/>
      <c r="O25" s="1141" t="n"/>
      <c r="P25" s="1083" t="n"/>
      <c r="Q25" s="1141" t="n"/>
    </row>
    <row r="26">
      <c r="A26" s="1082" t="n"/>
      <c r="B26" s="1141" t="n"/>
      <c r="C26" s="1082" t="n"/>
      <c r="D26" s="1140" t="n"/>
      <c r="E26" s="1140" t="n"/>
      <c r="F26" s="1141" t="n"/>
      <c r="G26" s="1083" t="n"/>
      <c r="H26" s="1141" t="n"/>
      <c r="J26" s="1082" t="n"/>
      <c r="K26" s="1141" t="n"/>
      <c r="L26" s="1082" t="n"/>
      <c r="M26" s="1140" t="n"/>
      <c r="N26" s="1140" t="n"/>
      <c r="O26" s="1141" t="n"/>
      <c r="P26" s="1083" t="n"/>
      <c r="Q26" s="1141" t="n"/>
    </row>
    <row r="27">
      <c r="A27" s="1082" t="n"/>
      <c r="B27" s="1141" t="n"/>
      <c r="C27" s="1082" t="n"/>
      <c r="D27" s="1140" t="n"/>
      <c r="E27" s="1140" t="n"/>
      <c r="F27" s="1141" t="n"/>
      <c r="G27" s="1083" t="n"/>
      <c r="H27" s="1141" t="n"/>
      <c r="J27" s="1082" t="n"/>
      <c r="K27" s="1141" t="n"/>
      <c r="L27" s="1082" t="n"/>
      <c r="M27" s="1140" t="n"/>
      <c r="N27" s="1140" t="n"/>
      <c r="O27" s="1141" t="n"/>
      <c r="P27" s="1083" t="n"/>
      <c r="Q27" s="1141" t="n"/>
    </row>
    <row r="28">
      <c r="A28" s="1082" t="n"/>
      <c r="B28" s="1141" t="n"/>
      <c r="C28" s="1082" t="n"/>
      <c r="D28" s="1140" t="n"/>
      <c r="E28" s="1140" t="n"/>
      <c r="F28" s="1141" t="n"/>
      <c r="G28" s="1083" t="n"/>
      <c r="H28" s="1141" t="n"/>
      <c r="J28" s="1082" t="n"/>
      <c r="K28" s="1141" t="n"/>
      <c r="L28" s="1082" t="n"/>
      <c r="M28" s="1140" t="n"/>
      <c r="N28" s="1140" t="n"/>
      <c r="O28" s="1141" t="n"/>
      <c r="P28" s="1083" t="n"/>
      <c r="Q28" s="1141" t="n"/>
    </row>
    <row r="29">
      <c r="A29" s="1082" t="n"/>
      <c r="B29" s="1141" t="n"/>
      <c r="C29" s="1082" t="n"/>
      <c r="D29" s="1140" t="n"/>
      <c r="E29" s="1140" t="n"/>
      <c r="F29" s="1141" t="n"/>
      <c r="G29" s="1083" t="n"/>
      <c r="H29" s="1141" t="n"/>
      <c r="J29" s="1082" t="n"/>
      <c r="K29" s="1141" t="n"/>
      <c r="L29" s="1082" t="n"/>
      <c r="M29" s="1140" t="n"/>
      <c r="N29" s="1140" t="n"/>
      <c r="O29" s="1141" t="n"/>
      <c r="P29" s="1083" t="n"/>
      <c r="Q29" s="1141" t="n"/>
    </row>
    <row r="30">
      <c r="A30" s="1082" t="n"/>
      <c r="B30" s="1141" t="n"/>
      <c r="C30" s="1082" t="n"/>
      <c r="D30" s="1140" t="n"/>
      <c r="E30" s="1140" t="n"/>
      <c r="F30" s="1141" t="n"/>
      <c r="G30" s="1083" t="n"/>
      <c r="H30" s="1141" t="n"/>
      <c r="J30" s="1082" t="n"/>
      <c r="K30" s="1141" t="n"/>
      <c r="L30" s="1082" t="n"/>
      <c r="M30" s="1140" t="n"/>
      <c r="N30" s="1140" t="n"/>
      <c r="O30" s="1141" t="n"/>
      <c r="P30" s="1083" t="n"/>
      <c r="Q30" s="1141" t="n"/>
    </row>
    <row r="31">
      <c r="A31" s="1082" t="n"/>
      <c r="B31" s="1141" t="n"/>
      <c r="C31" s="1082" t="n"/>
      <c r="D31" s="1140" t="n"/>
      <c r="E31" s="1140" t="n"/>
      <c r="F31" s="1141" t="n"/>
      <c r="G31" s="1083" t="n"/>
      <c r="H31" s="1141" t="n"/>
      <c r="J31" s="1082" t="n"/>
      <c r="K31" s="1141" t="n"/>
      <c r="L31" s="1082" t="n"/>
      <c r="M31" s="1140" t="n"/>
      <c r="N31" s="1140" t="n"/>
      <c r="O31" s="1141" t="n"/>
      <c r="P31" s="1083" t="n"/>
      <c r="Q31" s="1141" t="n"/>
    </row>
    <row r="32">
      <c r="A32" s="1082" t="n"/>
      <c r="B32" s="1141" t="n"/>
      <c r="C32" s="1082" t="n"/>
      <c r="D32" s="1140" t="n"/>
      <c r="E32" s="1140" t="n"/>
      <c r="F32" s="1141" t="n"/>
      <c r="G32" s="1083" t="n"/>
      <c r="H32" s="1141" t="n"/>
      <c r="J32" s="1082" t="n"/>
      <c r="K32" s="1141" t="n"/>
      <c r="L32" s="1082" t="n"/>
      <c r="M32" s="1140" t="n"/>
      <c r="N32" s="1140" t="n"/>
      <c r="O32" s="1141" t="n"/>
      <c r="P32" s="1083" t="n"/>
      <c r="Q32" s="1141" t="n"/>
    </row>
    <row r="33">
      <c r="A33" s="1082" t="n"/>
      <c r="B33" s="1141" t="n"/>
      <c r="C33" s="1082" t="n"/>
      <c r="D33" s="1140" t="n"/>
      <c r="E33" s="1140" t="n"/>
      <c r="F33" s="1141" t="n"/>
      <c r="G33" s="1083" t="n"/>
      <c r="H33" s="1141" t="n"/>
      <c r="J33" s="1082" t="n"/>
      <c r="K33" s="1141" t="n"/>
      <c r="L33" s="1082" t="n"/>
      <c r="M33" s="1140" t="n"/>
      <c r="N33" s="1140" t="n"/>
      <c r="O33" s="1141" t="n"/>
      <c r="P33" s="1083" t="n"/>
      <c r="Q33" s="1141" t="n"/>
    </row>
    <row r="34">
      <c r="A34" s="1082" t="n"/>
      <c r="B34" s="1141" t="n"/>
      <c r="C34" s="1082" t="n"/>
      <c r="D34" s="1140" t="n"/>
      <c r="E34" s="1140" t="n"/>
      <c r="F34" s="1141" t="n"/>
      <c r="G34" s="1083" t="n"/>
      <c r="H34" s="1141" t="n"/>
      <c r="J34" s="1082" t="n"/>
      <c r="K34" s="1141" t="n"/>
      <c r="L34" s="1082" t="n"/>
      <c r="M34" s="1140" t="n"/>
      <c r="N34" s="1140" t="n"/>
      <c r="O34" s="1141" t="n"/>
      <c r="P34" s="1083" t="n"/>
      <c r="Q34" s="1141" t="n"/>
    </row>
    <row r="35">
      <c r="A35" s="1082" t="n"/>
      <c r="B35" s="1141" t="n"/>
      <c r="C35" s="1082" t="n"/>
      <c r="D35" s="1140" t="n"/>
      <c r="E35" s="1140" t="n"/>
      <c r="F35" s="1141" t="n"/>
      <c r="G35" s="1083" t="n"/>
      <c r="H35" s="1141" t="n"/>
      <c r="J35" s="1082" t="n"/>
      <c r="K35" s="1141" t="n"/>
      <c r="L35" s="1082" t="n"/>
      <c r="M35" s="1140" t="n"/>
      <c r="N35" s="1140" t="n"/>
      <c r="O35" s="1141" t="n"/>
      <c r="P35" s="1083" t="n"/>
      <c r="Q35" s="1141" t="n"/>
    </row>
    <row r="36" ht="15.75" customHeight="1" s="955" thickBot="1">
      <c r="A36" s="1082" t="n"/>
      <c r="B36" s="1141" t="n"/>
      <c r="C36" s="1082" t="n"/>
      <c r="D36" s="1140" t="n"/>
      <c r="E36" s="1140" t="n"/>
      <c r="F36" s="1141" t="n"/>
      <c r="G36" s="1083" t="n"/>
      <c r="H36" s="1141" t="n"/>
      <c r="J36" s="1082" t="n"/>
      <c r="K36" s="1141" t="n"/>
      <c r="L36" s="1082" t="n"/>
      <c r="M36" s="1140" t="n"/>
      <c r="N36" s="1140" t="n"/>
      <c r="O36" s="1141" t="n"/>
      <c r="P36" s="1083" t="n"/>
      <c r="Q36" s="1141" t="n"/>
    </row>
    <row r="37" ht="15.75" customHeight="1" s="955" thickBot="1">
      <c r="A37" s="159" t="inlineStr">
        <is>
          <t>POLE</t>
        </is>
      </c>
      <c r="B37" s="1124" t="n"/>
      <c r="C37" s="1124" t="n"/>
      <c r="D37" s="1124" t="n"/>
      <c r="E37" s="1124" t="n"/>
      <c r="F37" s="1124" t="n"/>
      <c r="G37" s="1124" t="n"/>
      <c r="H37" s="1125" t="n"/>
      <c r="J37" s="159" t="inlineStr">
        <is>
          <t>THIRD-PARTY SPLICING</t>
        </is>
      </c>
      <c r="K37" s="1124" t="n"/>
      <c r="L37" s="1124" t="n"/>
      <c r="M37" s="1124" t="n"/>
      <c r="N37" s="1124" t="n"/>
      <c r="O37" s="1124" t="n"/>
      <c r="P37" s="1124" t="n"/>
      <c r="Q37" s="1125" t="n"/>
    </row>
    <row r="38">
      <c r="A38" s="103" t="inlineStr">
        <is>
          <t>NAME</t>
        </is>
      </c>
      <c r="B38" s="1207" t="n"/>
      <c r="C38" s="103" t="inlineStr">
        <is>
          <t>DESCRIPTION</t>
        </is>
      </c>
      <c r="F38" s="1207" t="n"/>
      <c r="G38" s="1093" t="inlineStr">
        <is>
          <t>AMOUNT</t>
        </is>
      </c>
      <c r="H38" s="1177" t="n"/>
      <c r="J38" s="103" t="inlineStr">
        <is>
          <t>Number</t>
        </is>
      </c>
      <c r="K38" s="1207" t="n"/>
      <c r="L38" s="103" t="inlineStr">
        <is>
          <t>DESCRIPTION</t>
        </is>
      </c>
      <c r="O38" s="1207" t="n"/>
      <c r="P38" s="1093" t="inlineStr">
        <is>
          <t>AMOUNT</t>
        </is>
      </c>
      <c r="Q38" s="1177" t="n"/>
    </row>
    <row r="39">
      <c r="A39" s="1082" t="n"/>
      <c r="B39" s="1141" t="n"/>
      <c r="C39" s="1082" t="n"/>
      <c r="D39" s="1140" t="n"/>
      <c r="E39" s="1140" t="n"/>
      <c r="F39" s="1141" t="n"/>
      <c r="G39" s="1083" t="n">
        <v>0</v>
      </c>
      <c r="H39" s="1141" t="n"/>
      <c r="J39" s="1094" t="n"/>
      <c r="K39" s="1141" t="n"/>
      <c r="L39" s="1082" t="n"/>
      <c r="M39" s="1140" t="n"/>
      <c r="N39" s="1140" t="n"/>
      <c r="O39" s="1141" t="n"/>
      <c r="P39" s="1083" t="n"/>
      <c r="Q39" s="1141" t="n"/>
    </row>
    <row r="40">
      <c r="A40" s="1082" t="n"/>
      <c r="B40" s="1141" t="n"/>
      <c r="C40" s="1082" t="n"/>
      <c r="D40" s="1140" t="n"/>
      <c r="E40" s="1140" t="n"/>
      <c r="F40" s="1141" t="n"/>
      <c r="G40" s="1083" t="n"/>
      <c r="H40" s="1141" t="n"/>
      <c r="J40" s="1082" t="n"/>
      <c r="K40" s="1141" t="n"/>
      <c r="L40" s="1082" t="n"/>
      <c r="M40" s="1140" t="n"/>
      <c r="N40" s="1140" t="n"/>
      <c r="O40" s="1141" t="n"/>
      <c r="P40" s="1083" t="n"/>
      <c r="Q40" s="1141" t="n"/>
    </row>
    <row r="41">
      <c r="A41" s="1082" t="n"/>
      <c r="B41" s="1141" t="n"/>
      <c r="C41" s="1082" t="n"/>
      <c r="D41" s="1140" t="n"/>
      <c r="E41" s="1140" t="n"/>
      <c r="F41" s="1141" t="n"/>
      <c r="G41" s="1083" t="n"/>
      <c r="H41" s="1141" t="n"/>
      <c r="J41" s="1082" t="n"/>
      <c r="K41" s="1141" t="n"/>
      <c r="L41" s="1082" t="n"/>
      <c r="M41" s="1140" t="n"/>
      <c r="N41" s="1140" t="n"/>
      <c r="O41" s="1141" t="n"/>
      <c r="P41" s="1083" t="n"/>
      <c r="Q41" s="1141" t="n"/>
    </row>
    <row r="42">
      <c r="A42" s="1082" t="n"/>
      <c r="B42" s="1141" t="n"/>
      <c r="C42" s="1082" t="n"/>
      <c r="D42" s="1140" t="n"/>
      <c r="E42" s="1140" t="n"/>
      <c r="F42" s="1141" t="n"/>
      <c r="G42" s="1083" t="n"/>
      <c r="H42" s="1141" t="n"/>
      <c r="J42" s="1082" t="n"/>
      <c r="K42" s="1141" t="n"/>
      <c r="L42" s="1208" t="n"/>
      <c r="M42" s="1140" t="n"/>
      <c r="N42" s="1140" t="n"/>
      <c r="O42" s="1141" t="n"/>
      <c r="P42" s="1083" t="n"/>
      <c r="Q42" s="1141" t="n"/>
    </row>
    <row r="43">
      <c r="A43" s="1082" t="n"/>
      <c r="B43" s="1141" t="n"/>
      <c r="C43" s="1082" t="n"/>
      <c r="D43" s="1140" t="n"/>
      <c r="E43" s="1140" t="n"/>
      <c r="F43" s="1141" t="n"/>
      <c r="G43" s="1083" t="n"/>
      <c r="H43" s="1141" t="n"/>
      <c r="J43" s="1082" t="n"/>
      <c r="K43" s="1141" t="n"/>
      <c r="L43" s="1208" t="n"/>
      <c r="M43" s="1140" t="n"/>
      <c r="N43" s="1140" t="n"/>
      <c r="O43" s="1141" t="n"/>
      <c r="P43" s="1083" t="n"/>
      <c r="Q43" s="1141" t="n"/>
    </row>
    <row r="44">
      <c r="A44" s="1082" t="n"/>
      <c r="B44" s="1141" t="n"/>
      <c r="C44" s="1082" t="n"/>
      <c r="D44" s="1140" t="n"/>
      <c r="E44" s="1140" t="n"/>
      <c r="F44" s="1141" t="n"/>
      <c r="G44" s="1083" t="n"/>
      <c r="H44" s="1141" t="n"/>
      <c r="J44" s="1082" t="n"/>
      <c r="K44" s="1141" t="n"/>
      <c r="L44" s="1208" t="n"/>
      <c r="M44" s="1140" t="n"/>
      <c r="N44" s="1140" t="n"/>
      <c r="O44" s="1141" t="n"/>
      <c r="P44" s="1083" t="n"/>
      <c r="Q44" s="1141" t="n"/>
    </row>
    <row r="45">
      <c r="A45" s="1082" t="n"/>
      <c r="B45" s="1141" t="n"/>
      <c r="C45" s="1082" t="n"/>
      <c r="D45" s="1140" t="n"/>
      <c r="E45" s="1140" t="n"/>
      <c r="F45" s="1141" t="n"/>
      <c r="G45" s="1083" t="n"/>
      <c r="H45" s="1141" t="n"/>
      <c r="J45" s="1082" t="n"/>
      <c r="K45" s="1141" t="n"/>
      <c r="L45" s="1082" t="n"/>
      <c r="M45" s="1140" t="n"/>
      <c r="N45" s="1140" t="n"/>
      <c r="O45" s="1141" t="n"/>
      <c r="P45" s="1083" t="n"/>
      <c r="Q45" s="1141" t="n"/>
    </row>
    <row r="46">
      <c r="A46" s="1082" t="n"/>
      <c r="B46" s="1141" t="n"/>
      <c r="C46" s="1082" t="n"/>
      <c r="D46" s="1140" t="n"/>
      <c r="E46" s="1140" t="n"/>
      <c r="F46" s="1141" t="n"/>
      <c r="G46" s="1083" t="n"/>
      <c r="H46" s="1141" t="n"/>
      <c r="J46" s="1082" t="n"/>
      <c r="K46" s="1141" t="n"/>
      <c r="L46" s="1082" t="n"/>
      <c r="M46" s="1140" t="n"/>
      <c r="N46" s="1140" t="n"/>
      <c r="O46" s="1141" t="n"/>
      <c r="P46" s="1083" t="n"/>
      <c r="Q46" s="1141" t="n"/>
    </row>
    <row r="47">
      <c r="A47" s="1082" t="n"/>
      <c r="B47" s="1141" t="n"/>
      <c r="C47" s="1082" t="n"/>
      <c r="D47" s="1140" t="n"/>
      <c r="E47" s="1140" t="n"/>
      <c r="F47" s="1141" t="n"/>
      <c r="G47" s="1083" t="n"/>
      <c r="H47" s="1141" t="n"/>
      <c r="J47" s="1082" t="n"/>
      <c r="K47" s="1141" t="n"/>
      <c r="L47" s="1082" t="n"/>
      <c r="M47" s="1140" t="n"/>
      <c r="N47" s="1140" t="n"/>
      <c r="O47" s="1141" t="n"/>
      <c r="P47" s="1083" t="n"/>
      <c r="Q47" s="1141" t="n"/>
    </row>
    <row r="48">
      <c r="A48" s="1082" t="n"/>
      <c r="B48" s="1141" t="n"/>
      <c r="C48" s="1082" t="n"/>
      <c r="D48" s="1140" t="n"/>
      <c r="E48" s="1140" t="n"/>
      <c r="F48" s="1141" t="n"/>
      <c r="G48" s="1083" t="n"/>
      <c r="H48" s="1141" t="n"/>
      <c r="J48" s="1082" t="n"/>
      <c r="K48" s="1141" t="n"/>
      <c r="L48" s="1082" t="n"/>
      <c r="M48" s="1140" t="n"/>
      <c r="N48" s="1140" t="n"/>
      <c r="O48" s="1141" t="n"/>
      <c r="P48" s="1083" t="n"/>
      <c r="Q48" s="1141" t="n"/>
    </row>
    <row r="49">
      <c r="A49" s="1082" t="n"/>
      <c r="B49" s="1141" t="n"/>
      <c r="C49" s="1082" t="n"/>
      <c r="D49" s="1140" t="n"/>
      <c r="E49" s="1140" t="n"/>
      <c r="F49" s="1141" t="n"/>
      <c r="G49" s="1083" t="n"/>
      <c r="H49" s="1141" t="n"/>
      <c r="J49" s="1082" t="n"/>
      <c r="K49" s="1141" t="n"/>
      <c r="L49" s="1082" t="n"/>
      <c r="M49" s="1140" t="n"/>
      <c r="N49" s="1140" t="n"/>
      <c r="O49" s="1141" t="n"/>
      <c r="P49" s="1083" t="n"/>
      <c r="Q49" s="1141" t="n"/>
    </row>
    <row r="50">
      <c r="A50" s="1082" t="n"/>
      <c r="B50" s="1141" t="n"/>
      <c r="C50" s="1082" t="n"/>
      <c r="D50" s="1140" t="n"/>
      <c r="E50" s="1140" t="n"/>
      <c r="F50" s="1141" t="n"/>
      <c r="G50" s="1083" t="n"/>
      <c r="H50" s="1141" t="n"/>
      <c r="J50" s="1082" t="n"/>
      <c r="K50" s="1141" t="n"/>
      <c r="L50" s="1082" t="n"/>
      <c r="M50" s="1140" t="n"/>
      <c r="N50" s="1140" t="n"/>
      <c r="O50" s="1141" t="n"/>
      <c r="P50" s="1083" t="n"/>
      <c r="Q50" s="1141" t="n"/>
    </row>
    <row r="51">
      <c r="A51" s="1082" t="n"/>
      <c r="B51" s="1141" t="n"/>
      <c r="C51" s="1082" t="n"/>
      <c r="D51" s="1140" t="n"/>
      <c r="E51" s="1140" t="n"/>
      <c r="F51" s="1141" t="n"/>
      <c r="G51" s="1083" t="n"/>
      <c r="H51" s="1141" t="n"/>
      <c r="J51" s="1082" t="n"/>
      <c r="K51" s="1141" t="n"/>
      <c r="L51" s="1082" t="n"/>
      <c r="M51" s="1140" t="n"/>
      <c r="N51" s="1140" t="n"/>
      <c r="O51" s="1141" t="n"/>
      <c r="P51" s="1083" t="n"/>
      <c r="Q51" s="1141" t="n"/>
    </row>
    <row r="52">
      <c r="A52" s="1082" t="n"/>
      <c r="B52" s="1141" t="n"/>
      <c r="C52" s="1082" t="n"/>
      <c r="D52" s="1140" t="n"/>
      <c r="E52" s="1140" t="n"/>
      <c r="F52" s="1141" t="n"/>
      <c r="G52" s="1083" t="n"/>
      <c r="H52" s="1141" t="n"/>
      <c r="J52" s="1082" t="n"/>
      <c r="K52" s="1141" t="n"/>
      <c r="L52" s="1082" t="n"/>
      <c r="M52" s="1140" t="n"/>
      <c r="N52" s="1140" t="n"/>
      <c r="O52" s="1141" t="n"/>
      <c r="P52" s="1083" t="n"/>
      <c r="Q52" s="1141" t="n"/>
    </row>
    <row r="53" ht="15.75" customHeight="1" s="955" thickBot="1">
      <c r="A53" s="1082" t="n"/>
      <c r="B53" s="1141" t="n"/>
      <c r="C53" s="1082" t="n"/>
      <c r="D53" s="1140" t="n"/>
      <c r="E53" s="1140" t="n"/>
      <c r="F53" s="1141" t="n"/>
      <c r="G53" s="1083" t="n"/>
      <c r="H53" s="1141" t="n"/>
      <c r="J53" s="1082" t="n"/>
      <c r="K53" s="1141" t="n"/>
      <c r="L53" s="1082" t="n"/>
      <c r="M53" s="1140" t="n"/>
      <c r="N53" s="1140" t="n"/>
      <c r="O53" s="1141" t="n"/>
      <c r="P53" s="1083" t="n"/>
      <c r="Q53" s="1141" t="n"/>
    </row>
    <row r="54" ht="15.75" customHeight="1" s="955" thickBot="1">
      <c r="A54" s="159" t="inlineStr">
        <is>
          <t>OTHER</t>
        </is>
      </c>
      <c r="B54" s="1124" t="n"/>
      <c r="C54" s="1124" t="n"/>
      <c r="D54" s="1124" t="n"/>
      <c r="E54" s="1124" t="n"/>
      <c r="F54" s="1124" t="n"/>
      <c r="G54" s="1124" t="n"/>
      <c r="H54" s="1125" t="n"/>
      <c r="J54" s="159" t="inlineStr">
        <is>
          <t>CELL SITE</t>
        </is>
      </c>
      <c r="K54" s="1124" t="n"/>
      <c r="L54" s="1124" t="n"/>
      <c r="M54" s="1124" t="n"/>
      <c r="N54" s="1124" t="n"/>
      <c r="O54" s="1124" t="n"/>
      <c r="P54" s="1124" t="n"/>
      <c r="Q54" s="1125" t="n"/>
    </row>
    <row r="55">
      <c r="A55" s="103" t="inlineStr">
        <is>
          <t>NAME</t>
        </is>
      </c>
      <c r="B55" s="1207" t="n"/>
      <c r="C55" s="103" t="inlineStr">
        <is>
          <t>DESCRIPTION</t>
        </is>
      </c>
      <c r="F55" s="1207" t="n"/>
      <c r="G55" s="1093" t="inlineStr">
        <is>
          <t>AMOUNT</t>
        </is>
      </c>
      <c r="H55" s="1177" t="n"/>
      <c r="J55" s="103" t="inlineStr">
        <is>
          <t>NAME</t>
        </is>
      </c>
      <c r="K55" s="1207" t="n"/>
      <c r="L55" s="103" t="inlineStr">
        <is>
          <t>DESCRIPTION</t>
        </is>
      </c>
      <c r="O55" s="1207" t="n"/>
      <c r="P55" s="1093" t="inlineStr">
        <is>
          <t>AMOUNT</t>
        </is>
      </c>
      <c r="Q55" s="1177" t="n"/>
    </row>
    <row r="56">
      <c r="A56" s="1082" t="n"/>
      <c r="B56" s="1141" t="n"/>
      <c r="C56" s="1082" t="inlineStr">
        <is>
          <t>CONTINGENT LABOR</t>
        </is>
      </c>
      <c r="D56" s="1140" t="n"/>
      <c r="E56" s="1140" t="n"/>
      <c r="F56" s="1141" t="n"/>
      <c r="G56" s="1083" t="n">
        <v>10000</v>
      </c>
      <c r="H56" s="1141" t="n"/>
      <c r="J56" s="1082" t="n"/>
      <c r="K56" s="1141" t="n"/>
      <c r="L56" s="1082" t="n"/>
      <c r="M56" s="1140" t="n"/>
      <c r="N56" s="1140" t="n"/>
      <c r="O56" s="1141" t="n"/>
      <c r="P56" s="1083" t="n"/>
      <c r="Q56" s="1141" t="n"/>
    </row>
    <row r="57">
      <c r="A57" s="1082" t="n"/>
      <c r="B57" s="1141" t="n"/>
      <c r="C57" s="1082" t="n"/>
      <c r="D57" s="1140" t="n"/>
      <c r="E57" s="1140" t="n"/>
      <c r="F57" s="1141" t="n"/>
      <c r="G57" s="1083" t="n"/>
      <c r="H57" s="1141" t="n"/>
      <c r="J57" s="1082" t="n"/>
      <c r="K57" s="1141" t="n"/>
      <c r="L57" s="1082" t="n"/>
      <c r="M57" s="1140" t="n"/>
      <c r="N57" s="1140" t="n"/>
      <c r="O57" s="1141" t="n"/>
      <c r="P57" s="1083" t="n"/>
      <c r="Q57" s="1141" t="n"/>
    </row>
    <row r="58">
      <c r="A58" s="1082" t="n"/>
      <c r="B58" s="1141" t="n"/>
      <c r="C58" s="1082" t="n"/>
      <c r="D58" s="1140" t="n"/>
      <c r="E58" s="1140" t="n"/>
      <c r="F58" s="1141" t="n"/>
      <c r="G58" s="1083" t="n"/>
      <c r="H58" s="1141" t="n"/>
      <c r="J58" s="1082" t="n"/>
      <c r="K58" s="1141" t="n"/>
      <c r="L58" s="1082" t="n"/>
      <c r="M58" s="1140" t="n"/>
      <c r="N58" s="1140" t="n"/>
      <c r="O58" s="1141" t="n"/>
      <c r="P58" s="1083" t="n"/>
      <c r="Q58" s="1141" t="n"/>
    </row>
    <row r="59">
      <c r="A59" s="1082" t="n"/>
      <c r="B59" s="1141" t="n"/>
      <c r="C59" s="1082" t="n"/>
      <c r="D59" s="1140" t="n"/>
      <c r="E59" s="1140" t="n"/>
      <c r="F59" s="1141" t="n"/>
      <c r="G59" s="1083" t="n"/>
      <c r="H59" s="1141" t="n"/>
      <c r="J59" s="1082" t="n"/>
      <c r="K59" s="1141" t="n"/>
      <c r="L59" s="1082" t="n"/>
      <c r="M59" s="1140" t="n"/>
      <c r="N59" s="1140" t="n"/>
      <c r="O59" s="1141" t="n"/>
      <c r="P59" s="1083" t="n"/>
      <c r="Q59" s="1141" t="n"/>
    </row>
    <row r="60">
      <c r="A60" s="1082" t="n"/>
      <c r="B60" s="1141" t="n"/>
      <c r="C60" s="1082" t="n"/>
      <c r="D60" s="1140" t="n"/>
      <c r="E60" s="1140" t="n"/>
      <c r="F60" s="1141" t="n"/>
      <c r="G60" s="1083" t="n"/>
      <c r="H60" s="1141" t="n"/>
      <c r="J60" s="1082" t="n"/>
      <c r="K60" s="1141" t="n"/>
      <c r="L60" s="1082" t="n"/>
      <c r="M60" s="1140" t="n"/>
      <c r="N60" s="1140" t="n"/>
      <c r="O60" s="1141" t="n"/>
      <c r="P60" s="1083" t="n"/>
      <c r="Q60" s="1141" t="n"/>
    </row>
    <row r="61">
      <c r="A61" s="1082" t="n"/>
      <c r="B61" s="1141" t="n"/>
      <c r="C61" s="1082" t="n"/>
      <c r="D61" s="1140" t="n"/>
      <c r="E61" s="1140" t="n"/>
      <c r="F61" s="1141" t="n"/>
      <c r="G61" s="1083" t="n"/>
      <c r="H61" s="1141" t="n"/>
      <c r="J61" s="1082" t="n"/>
      <c r="K61" s="1141" t="n"/>
      <c r="L61" s="1082" t="n"/>
      <c r="M61" s="1140" t="n"/>
      <c r="N61" s="1140" t="n"/>
      <c r="O61" s="1141" t="n"/>
      <c r="P61" s="1083" t="n"/>
      <c r="Q61" s="1141" t="n"/>
    </row>
    <row r="62">
      <c r="A62" s="1082" t="n"/>
      <c r="B62" s="1141" t="n"/>
      <c r="C62" s="1082" t="n"/>
      <c r="D62" s="1140" t="n"/>
      <c r="E62" s="1140" t="n"/>
      <c r="F62" s="1141" t="n"/>
      <c r="G62" s="1083" t="n"/>
      <c r="H62" s="1141" t="n"/>
      <c r="J62" s="1082" t="n"/>
      <c r="K62" s="1141" t="n"/>
      <c r="L62" s="1082" t="n"/>
      <c r="M62" s="1140" t="n"/>
      <c r="N62" s="1140" t="n"/>
      <c r="O62" s="1141" t="n"/>
      <c r="P62" s="1083" t="n"/>
      <c r="Q62" s="1141" t="n"/>
    </row>
    <row r="63">
      <c r="A63" s="1082" t="n"/>
      <c r="B63" s="1141" t="n"/>
      <c r="C63" s="1082" t="n"/>
      <c r="D63" s="1140" t="n"/>
      <c r="E63" s="1140" t="n"/>
      <c r="F63" s="1141" t="n"/>
      <c r="G63" s="1083" t="n"/>
      <c r="H63" s="1141" t="n"/>
      <c r="J63" s="1082" t="n"/>
      <c r="K63" s="1141" t="n"/>
      <c r="L63" s="1082" t="n"/>
      <c r="M63" s="1140" t="n"/>
      <c r="N63" s="1140" t="n"/>
      <c r="O63" s="1141" t="n"/>
      <c r="P63" s="1083" t="n"/>
      <c r="Q63" s="1141" t="n"/>
    </row>
    <row r="64">
      <c r="A64" s="1082" t="n"/>
      <c r="B64" s="1141" t="n"/>
      <c r="C64" s="1082" t="n"/>
      <c r="D64" s="1140" t="n"/>
      <c r="E64" s="1140" t="n"/>
      <c r="F64" s="1141" t="n"/>
      <c r="G64" s="1083" t="n"/>
      <c r="H64" s="1141" t="n"/>
      <c r="J64" s="1082" t="n"/>
      <c r="K64" s="1141" t="n"/>
      <c r="L64" s="1082" t="n"/>
      <c r="M64" s="1140" t="n"/>
      <c r="N64" s="1140" t="n"/>
      <c r="O64" s="1141" t="n"/>
      <c r="P64" s="1083" t="n"/>
      <c r="Q64" s="1141" t="n"/>
    </row>
    <row r="65">
      <c r="A65" s="1082" t="n"/>
      <c r="B65" s="1141" t="n"/>
      <c r="C65" s="1082" t="n"/>
      <c r="D65" s="1140" t="n"/>
      <c r="E65" s="1140" t="n"/>
      <c r="F65" s="1141" t="n"/>
      <c r="G65" s="1083" t="n"/>
      <c r="H65" s="1141" t="n"/>
      <c r="J65" s="1082" t="n"/>
      <c r="K65" s="1141" t="n"/>
      <c r="L65" s="1082" t="n"/>
      <c r="M65" s="1140" t="n"/>
      <c r="N65" s="1140" t="n"/>
      <c r="O65" s="1141" t="n"/>
      <c r="P65" s="1083" t="n"/>
      <c r="Q65" s="1141" t="n"/>
    </row>
    <row r="66">
      <c r="A66" s="1082" t="n"/>
      <c r="B66" s="1141" t="n"/>
      <c r="C66" s="1082" t="n"/>
      <c r="D66" s="1140" t="n"/>
      <c r="E66" s="1140" t="n"/>
      <c r="F66" s="1141" t="n"/>
      <c r="G66" s="1083" t="n"/>
      <c r="H66" s="1141" t="n"/>
      <c r="J66" s="1082" t="n"/>
      <c r="K66" s="1141" t="n"/>
      <c r="L66" s="1082" t="n"/>
      <c r="M66" s="1140" t="n"/>
      <c r="N66" s="1140" t="n"/>
      <c r="O66" s="1141" t="n"/>
      <c r="P66" s="1083" t="n"/>
      <c r="Q66" s="1141" t="n"/>
    </row>
    <row r="67">
      <c r="A67" s="1082" t="n"/>
      <c r="B67" s="1141" t="n"/>
      <c r="C67" s="1082" t="n"/>
      <c r="D67" s="1140" t="n"/>
      <c r="E67" s="1140" t="n"/>
      <c r="F67" s="1141" t="n"/>
      <c r="G67" s="1083" t="n"/>
      <c r="H67" s="1141" t="n"/>
      <c r="J67" s="1082" t="n"/>
      <c r="K67" s="1141" t="n"/>
      <c r="L67" s="1082" t="n"/>
      <c r="M67" s="1140" t="n"/>
      <c r="N67" s="1140" t="n"/>
      <c r="O67" s="1141" t="n"/>
      <c r="P67" s="1083" t="n"/>
      <c r="Q67" s="1141" t="n"/>
    </row>
    <row r="68">
      <c r="A68" s="1082" t="n"/>
      <c r="B68" s="1141" t="n"/>
      <c r="C68" s="1082" t="n"/>
      <c r="D68" s="1140" t="n"/>
      <c r="E68" s="1140" t="n"/>
      <c r="F68" s="1141" t="n"/>
      <c r="G68" s="1083" t="n"/>
      <c r="H68" s="1141" t="n"/>
      <c r="J68" s="1082" t="n"/>
      <c r="K68" s="1141" t="n"/>
      <c r="L68" s="1082" t="n"/>
      <c r="M68" s="1140" t="n"/>
      <c r="N68" s="1140" t="n"/>
      <c r="O68" s="1141" t="n"/>
      <c r="P68" s="1083" t="n"/>
      <c r="Q68" s="1141" t="n"/>
    </row>
    <row r="69">
      <c r="A69" s="1082" t="n"/>
      <c r="B69" s="1141" t="n"/>
      <c r="C69" s="1082" t="n"/>
      <c r="D69" s="1140" t="n"/>
      <c r="E69" s="1140" t="n"/>
      <c r="F69" s="1141" t="n"/>
      <c r="G69" s="1083" t="n"/>
      <c r="H69" s="1141" t="n"/>
      <c r="J69" s="1082" t="n"/>
      <c r="K69" s="1141" t="n"/>
      <c r="L69" s="1082" t="n"/>
      <c r="M69" s="1140" t="n"/>
      <c r="N69" s="1140" t="n"/>
      <c r="O69" s="1141" t="n"/>
      <c r="P69" s="1083" t="n"/>
      <c r="Q69" s="1141" t="n"/>
    </row>
    <row r="70">
      <c r="A70" s="1103" t="n">
        <v>0</v>
      </c>
      <c r="B70" s="1141" t="n"/>
      <c r="C70" s="1103" t="inlineStr">
        <is>
          <t>MISC Access Equipment and install charge</t>
        </is>
      </c>
      <c r="D70" s="1140" t="n"/>
      <c r="E70" s="1140" t="n"/>
      <c r="F70" s="1141" t="n"/>
      <c r="G70" s="1104">
        <f>A70*1350</f>
        <v/>
      </c>
      <c r="H70" s="1141" t="n"/>
      <c r="J70" s="1082" t="n"/>
      <c r="K70" s="1141" t="n"/>
      <c r="L70" s="1082" t="n"/>
      <c r="M70" s="1140" t="n"/>
      <c r="N70" s="1140" t="n"/>
      <c r="O70" s="1141" t="n"/>
      <c r="P70" s="1083" t="n"/>
      <c r="Q70" s="1141" t="n"/>
    </row>
    <row r="71" ht="15.75" customHeight="1" s="955" thickBot="1"/>
    <row r="72" ht="15.75" customHeight="1" s="955"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093" t="inlineStr">
        <is>
          <t>NAME</t>
        </is>
      </c>
      <c r="B73" s="1177" t="n"/>
      <c r="C73" s="1209" t="inlineStr">
        <is>
          <t>DESCRIPTION</t>
        </is>
      </c>
      <c r="D73" s="1210" t="n"/>
      <c r="E73" s="1210" t="n"/>
      <c r="F73" s="1210" t="n"/>
      <c r="G73" s="1210" t="n"/>
      <c r="H73" s="1210" t="n"/>
      <c r="I73" s="1210" t="n"/>
      <c r="J73" s="1210" t="n"/>
      <c r="K73" s="1211" t="n"/>
      <c r="L73" s="1093" t="inlineStr">
        <is>
          <t>Price</t>
        </is>
      </c>
      <c r="M73" s="1177" t="n"/>
      <c r="N73" s="156" t="inlineStr">
        <is>
          <t>Unit</t>
        </is>
      </c>
      <c r="O73" s="156" t="inlineStr">
        <is>
          <t>Quantity</t>
        </is>
      </c>
      <c r="P73" s="1093" t="inlineStr">
        <is>
          <t>AMOUNT</t>
        </is>
      </c>
      <c r="Q73" s="1177" t="n"/>
    </row>
    <row r="74">
      <c r="A74" s="1108" t="inlineStr">
        <is>
          <t>Standard Flagging Operation</t>
        </is>
      </c>
      <c r="B74" s="1193" t="n"/>
      <c r="C74" s="1108" t="inlineStr">
        <is>
          <t>Includes up to 2 crew members, 1 AWP work truck with rotating lights, 8 advanced warning signs, 40 cones and up to 8 hours on site with mobilization.</t>
        </is>
      </c>
      <c r="D74" s="965" t="n"/>
      <c r="E74" s="965" t="n"/>
      <c r="F74" s="965" t="n"/>
      <c r="G74" s="965" t="n"/>
      <c r="H74" s="965" t="n"/>
      <c r="I74" s="965" t="n"/>
      <c r="J74" s="965" t="n"/>
      <c r="K74" s="1193" t="n"/>
      <c r="L74" s="1212" t="n">
        <v>578.2</v>
      </c>
      <c r="M74" s="1193" t="n"/>
      <c r="N74" s="1110" t="inlineStr">
        <is>
          <t>Daily</t>
        </is>
      </c>
      <c r="O74" s="1111" t="n"/>
      <c r="P74" s="1213">
        <f>SUM(O74*L74)</f>
        <v/>
      </c>
      <c r="Q74" s="1193" t="n"/>
    </row>
    <row r="75">
      <c r="A75" s="1195" t="n"/>
      <c r="B75" s="1177" t="n"/>
      <c r="C75" s="1195" t="n"/>
      <c r="D75" s="1176" t="n"/>
      <c r="E75" s="1176" t="n"/>
      <c r="F75" s="1176" t="n"/>
      <c r="G75" s="1176" t="n"/>
      <c r="H75" s="1176" t="n"/>
      <c r="I75" s="1176" t="n"/>
      <c r="J75" s="1176" t="n"/>
      <c r="K75" s="1177" t="n"/>
      <c r="L75" s="1195" t="n"/>
      <c r="M75" s="1177" t="n"/>
      <c r="N75" s="1157" t="n"/>
      <c r="O75" s="1214" t="n"/>
      <c r="P75" s="1195" t="n"/>
      <c r="Q75" s="1177" t="n"/>
    </row>
    <row r="76">
      <c r="A76" s="1108" t="inlineStr">
        <is>
          <t>Standard Lane Closure- No TMA</t>
        </is>
      </c>
      <c r="B76" s="1193" t="n"/>
      <c r="C76" s="1108" t="inlineStr">
        <is>
          <t>Includes up to 2 crew members, 1 AWP work truck with rotating lights, 1 arrow board, 10 advanced warning signs, 70 cones and up to 8 hours on site with mobilization.</t>
        </is>
      </c>
      <c r="D76" s="965" t="n"/>
      <c r="E76" s="965" t="n"/>
      <c r="F76" s="965" t="n"/>
      <c r="G76" s="965" t="n"/>
      <c r="H76" s="965" t="n"/>
      <c r="I76" s="965" t="n"/>
      <c r="J76" s="965" t="n"/>
      <c r="K76" s="1193" t="n"/>
      <c r="L76" s="1212" t="n">
        <v>676.2</v>
      </c>
      <c r="M76" s="1193" t="n"/>
      <c r="N76" s="1110" t="inlineStr">
        <is>
          <t>Daily</t>
        </is>
      </c>
      <c r="O76" s="1111" t="n"/>
      <c r="P76" s="1213">
        <f>SUM(O76*L76)</f>
        <v/>
      </c>
      <c r="Q76" s="1193" t="n"/>
    </row>
    <row r="77">
      <c r="A77" s="1195" t="n"/>
      <c r="B77" s="1177" t="n"/>
      <c r="C77" s="1195" t="n"/>
      <c r="D77" s="1176" t="n"/>
      <c r="E77" s="1176" t="n"/>
      <c r="F77" s="1176" t="n"/>
      <c r="G77" s="1176" t="n"/>
      <c r="H77" s="1176" t="n"/>
      <c r="I77" s="1176" t="n"/>
      <c r="J77" s="1176" t="n"/>
      <c r="K77" s="1177" t="n"/>
      <c r="L77" s="1195" t="n"/>
      <c r="M77" s="1177" t="n"/>
      <c r="N77" s="1157" t="n"/>
      <c r="O77" s="1214" t="n"/>
      <c r="P77" s="1195" t="n"/>
      <c r="Q77" s="1177" t="n"/>
    </row>
    <row r="78">
      <c r="A78" s="1108" t="inlineStr">
        <is>
          <t>Standard Shoulder Closure - No TMA</t>
        </is>
      </c>
      <c r="B78" s="1193" t="n"/>
      <c r="C78" s="1108" t="inlineStr">
        <is>
          <t>Includes up to 2 crew members, 1 AWP work truck with rotating lights, 6 advanced warning signs, 40 cones and up to 8 hours on site with mobilization.</t>
        </is>
      </c>
      <c r="D78" s="965" t="n"/>
      <c r="E78" s="965" t="n"/>
      <c r="F78" s="965" t="n"/>
      <c r="G78" s="965" t="n"/>
      <c r="H78" s="965" t="n"/>
      <c r="I78" s="965" t="n"/>
      <c r="J78" s="965" t="n"/>
      <c r="K78" s="1193" t="n"/>
      <c r="L78" s="1212" t="n">
        <v>578.2</v>
      </c>
      <c r="M78" s="1193" t="n"/>
      <c r="N78" s="1110" t="inlineStr">
        <is>
          <t>Daily</t>
        </is>
      </c>
      <c r="O78" s="1111" t="n"/>
      <c r="P78" s="1213">
        <f>SUM(O78*L78)</f>
        <v/>
      </c>
      <c r="Q78" s="1193" t="n"/>
    </row>
    <row r="79">
      <c r="A79" s="1195" t="n"/>
      <c r="B79" s="1177" t="n"/>
      <c r="C79" s="1195" t="n"/>
      <c r="D79" s="1176" t="n"/>
      <c r="E79" s="1176" t="n"/>
      <c r="F79" s="1176" t="n"/>
      <c r="G79" s="1176" t="n"/>
      <c r="H79" s="1176" t="n"/>
      <c r="I79" s="1176" t="n"/>
      <c r="J79" s="1176" t="n"/>
      <c r="K79" s="1177" t="n"/>
      <c r="L79" s="1195" t="n"/>
      <c r="M79" s="1177" t="n"/>
      <c r="N79" s="1157" t="n"/>
      <c r="O79" s="1214" t="n"/>
      <c r="P79" s="1195" t="n"/>
      <c r="Q79" s="1177" t="n"/>
    </row>
    <row r="80">
      <c r="A80" s="1108" t="inlineStr">
        <is>
          <t>TMA</t>
        </is>
      </c>
      <c r="B80" s="1193" t="n"/>
      <c r="C80" s="1108" t="inlineStr">
        <is>
          <t>Truck Mounted Attenuator (TMA)/Crash Truck,(Driver is extra, see below for hourly rate)</t>
        </is>
      </c>
      <c r="D80" s="965" t="n"/>
      <c r="E80" s="965" t="n"/>
      <c r="F80" s="965" t="n"/>
      <c r="G80" s="965" t="n"/>
      <c r="H80" s="965" t="n"/>
      <c r="I80" s="965" t="n"/>
      <c r="J80" s="965" t="n"/>
      <c r="K80" s="1193" t="n"/>
      <c r="L80" s="1212" t="n">
        <v>350</v>
      </c>
      <c r="M80" s="1193" t="n"/>
      <c r="N80" s="1110" t="inlineStr">
        <is>
          <t>Daily</t>
        </is>
      </c>
      <c r="O80" s="1111" t="n"/>
      <c r="P80" s="1213">
        <f>SUM(O80*L80)</f>
        <v/>
      </c>
      <c r="Q80" s="1193" t="n"/>
    </row>
    <row r="81">
      <c r="A81" s="1195" t="n"/>
      <c r="B81" s="1177" t="n"/>
      <c r="C81" s="1195" t="n"/>
      <c r="D81" s="1176" t="n"/>
      <c r="E81" s="1176" t="n"/>
      <c r="F81" s="1176" t="n"/>
      <c r="G81" s="1176" t="n"/>
      <c r="H81" s="1176" t="n"/>
      <c r="I81" s="1176" t="n"/>
      <c r="J81" s="1176" t="n"/>
      <c r="K81" s="1177" t="n"/>
      <c r="L81" s="1195" t="n"/>
      <c r="M81" s="1177" t="n"/>
      <c r="N81" s="1157" t="n"/>
      <c r="O81" s="1214" t="n"/>
      <c r="P81" s="1195" t="n"/>
      <c r="Q81" s="1177" t="n"/>
    </row>
    <row r="82">
      <c r="A82" s="1108" t="inlineStr">
        <is>
          <t>Traffic Control Technical</t>
        </is>
      </c>
      <c r="B82" s="1193" t="n"/>
      <c r="C82" s="1108" t="inlineStr">
        <is>
          <t>Provide one additional traffic control technician as needed.</t>
        </is>
      </c>
      <c r="D82" s="965" t="n"/>
      <c r="E82" s="965" t="n"/>
      <c r="F82" s="965" t="n"/>
      <c r="G82" s="965" t="n"/>
      <c r="H82" s="965" t="n"/>
      <c r="I82" s="965" t="n"/>
      <c r="J82" s="965" t="n"/>
      <c r="K82" s="1193" t="n"/>
      <c r="L82" s="1212" t="n">
        <v>32.7</v>
      </c>
      <c r="M82" s="1193" t="n"/>
      <c r="N82" s="1110" t="inlineStr">
        <is>
          <t>Hourly</t>
        </is>
      </c>
      <c r="O82" s="1111" t="n"/>
      <c r="P82" s="1213">
        <f>SUM(O82*L82)</f>
        <v/>
      </c>
      <c r="Q82" s="1193" t="n"/>
    </row>
    <row r="83">
      <c r="A83" s="1195" t="n"/>
      <c r="B83" s="1177" t="n"/>
      <c r="C83" s="1195" t="n"/>
      <c r="D83" s="1176" t="n"/>
      <c r="E83" s="1176" t="n"/>
      <c r="F83" s="1176" t="n"/>
      <c r="G83" s="1176" t="n"/>
      <c r="H83" s="1176" t="n"/>
      <c r="I83" s="1176" t="n"/>
      <c r="J83" s="1176" t="n"/>
      <c r="K83" s="1177" t="n"/>
      <c r="L83" s="1195" t="n"/>
      <c r="M83" s="1177" t="n"/>
      <c r="N83" s="1157" t="n"/>
      <c r="O83" s="1214" t="n"/>
      <c r="P83" s="1195" t="n"/>
      <c r="Q83" s="1177" t="n"/>
    </row>
    <row r="84">
      <c r="A84" s="1114" t="inlineStr">
        <is>
          <t>MISC</t>
        </is>
      </c>
      <c r="B84" s="1187" t="n"/>
      <c r="C84" s="1114" t="n"/>
      <c r="D84" s="1215" t="n"/>
      <c r="E84" s="1215" t="n"/>
      <c r="F84" s="1215" t="n"/>
      <c r="G84" s="1215" t="n"/>
      <c r="H84" s="1215" t="n"/>
      <c r="I84" s="1215" t="n"/>
      <c r="J84" s="1215" t="n"/>
      <c r="K84" s="1187" t="n"/>
      <c r="L84" s="1216" t="n"/>
      <c r="M84" s="1187" t="n"/>
      <c r="N84" s="1111" t="n"/>
      <c r="O84" s="1111" t="n"/>
      <c r="P84" s="1213">
        <f>SUM(O84*L84)</f>
        <v/>
      </c>
      <c r="Q84" s="1193" t="n"/>
    </row>
    <row r="85">
      <c r="A85" s="1190" t="n"/>
      <c r="B85" s="1191" t="n"/>
      <c r="C85" s="1190" t="n"/>
      <c r="D85" s="1217" t="n"/>
      <c r="E85" s="1217" t="n"/>
      <c r="F85" s="1217" t="n"/>
      <c r="G85" s="1217" t="n"/>
      <c r="H85" s="1217" t="n"/>
      <c r="I85" s="1217" t="n"/>
      <c r="J85" s="1217" t="n"/>
      <c r="K85" s="1191" t="n"/>
      <c r="L85" s="1190" t="n"/>
      <c r="M85" s="1191" t="n"/>
      <c r="N85" s="1214" t="n"/>
      <c r="O85" s="1214" t="n"/>
      <c r="P85" s="1195" t="n"/>
      <c r="Q85" s="1177" t="n"/>
    </row>
    <row r="86">
      <c r="A86" s="1114" t="inlineStr">
        <is>
          <t>MISC</t>
        </is>
      </c>
      <c r="B86" s="1187" t="n"/>
      <c r="C86" s="1114" t="n"/>
      <c r="D86" s="1215" t="n"/>
      <c r="E86" s="1215" t="n"/>
      <c r="F86" s="1215" t="n"/>
      <c r="G86" s="1215" t="n"/>
      <c r="H86" s="1215" t="n"/>
      <c r="I86" s="1215" t="n"/>
      <c r="J86" s="1215" t="n"/>
      <c r="K86" s="1187" t="n"/>
      <c r="L86" s="1216" t="n"/>
      <c r="M86" s="1187" t="n"/>
      <c r="N86" s="1111" t="n"/>
      <c r="O86" s="1111" t="n"/>
      <c r="P86" s="1213">
        <f>SUM(O86*L86)</f>
        <v/>
      </c>
      <c r="Q86" s="1193" t="n"/>
    </row>
    <row r="87">
      <c r="A87" s="1190" t="n"/>
      <c r="B87" s="1191" t="n"/>
      <c r="C87" s="1190" t="n"/>
      <c r="D87" s="1217" t="n"/>
      <c r="E87" s="1217" t="n"/>
      <c r="F87" s="1217" t="n"/>
      <c r="G87" s="1217" t="n"/>
      <c r="H87" s="1217" t="n"/>
      <c r="I87" s="1217" t="n"/>
      <c r="J87" s="1217" t="n"/>
      <c r="K87" s="1191" t="n"/>
      <c r="L87" s="1190" t="n"/>
      <c r="M87" s="1191" t="n"/>
      <c r="N87" s="1214" t="n"/>
      <c r="O87" s="1214" t="n"/>
      <c r="P87" s="1195" t="n"/>
      <c r="Q87" s="1177" t="n"/>
    </row>
    <row r="88">
      <c r="A88" s="1113" t="inlineStr">
        <is>
          <t xml:space="preserve">Total Daily Cost of Traffic Control </t>
        </is>
      </c>
      <c r="B88" s="1150" t="n"/>
      <c r="C88" s="1150" t="n"/>
      <c r="D88" s="1150" t="n"/>
      <c r="E88" s="1150" t="n"/>
      <c r="F88" s="1150" t="n"/>
      <c r="G88" s="1150" t="n"/>
      <c r="H88" s="1150" t="n"/>
      <c r="I88" s="1150" t="n"/>
      <c r="J88" s="1150" t="n"/>
      <c r="K88" s="1150" t="n"/>
      <c r="L88" s="1150" t="n"/>
      <c r="M88" s="1150" t="n"/>
      <c r="N88" s="1150" t="n"/>
      <c r="O88" s="1151" t="n"/>
      <c r="P88" s="1113">
        <f>SUM(P74:P87)</f>
        <v/>
      </c>
      <c r="Q88" s="1151"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L5" sqref="L5:Q6"/>
    </sheetView>
  </sheetViews>
  <sheetFormatPr baseColWidth="8" defaultRowHeight="15"/>
  <cols>
    <col width="11.42578125" customWidth="1" style="955" min="1" max="1"/>
    <col width="23.85546875" customWidth="1" style="955" min="2" max="2"/>
    <col width="14.7109375" customWidth="1" style="955" min="3" max="3"/>
    <col width="15.42578125" customWidth="1" style="955" min="4" max="4"/>
    <col width="10.5703125" customWidth="1" style="955" min="5" max="5"/>
    <col width="12.42578125" customWidth="1" style="955" min="6" max="6"/>
    <col width="14.28515625" customWidth="1" style="955" min="7" max="7"/>
    <col width="14" customWidth="1" style="955" min="8" max="8"/>
    <col width="14.42578125" customWidth="1" style="955" min="9" max="9"/>
    <col width="14.7109375" customWidth="1" style="955" min="10" max="10"/>
    <col width="11.7109375" customWidth="1" style="955" min="11" max="11"/>
    <col width="12.42578125" customWidth="1" style="955" min="12" max="12"/>
    <col width="9.7109375" customWidth="1" style="955" min="13" max="13"/>
    <col width="17.5703125" bestFit="1" customWidth="1" style="955" min="14" max="14"/>
    <col width="10.140625" customWidth="1" style="955" min="15" max="15"/>
    <col width="17.5703125" bestFit="1" customWidth="1" style="955" min="16" max="16"/>
    <col width="9" customWidth="1" style="955" min="17" max="17"/>
    <col width="17.5703125" bestFit="1" customWidth="1" style="955" min="18" max="18"/>
    <col width="9.7109375" customWidth="1" style="955" min="19" max="19"/>
    <col width="17.5703125" bestFit="1" customWidth="1" style="955" min="20" max="20"/>
    <col width="10.7109375" customWidth="1" style="955" min="21" max="21"/>
    <col width="17.5703125" bestFit="1" customWidth="1" style="955" min="22" max="22"/>
    <col width="11" customWidth="1" style="955" min="23" max="23"/>
    <col width="17.5703125" bestFit="1" customWidth="1" style="955" min="24" max="24"/>
    <col width="9.28515625" customWidth="1" style="955" min="25" max="25"/>
    <col width="17.5703125" bestFit="1" customWidth="1" style="955" min="26" max="26"/>
    <col width="9.28515625" customWidth="1" style="955" min="27" max="27"/>
    <col width="19" bestFit="1" customWidth="1" style="955" min="28" max="28"/>
    <col width="9.7109375" customWidth="1" style="955" min="29" max="29"/>
    <col width="19" bestFit="1" customWidth="1" style="955" min="30" max="30"/>
    <col width="8.85546875" customWidth="1" style="955" min="31" max="31"/>
    <col width="19" bestFit="1" customWidth="1" style="955" min="32" max="32"/>
    <col width="8.28515625" customWidth="1" style="955" min="33" max="33"/>
    <col width="19" bestFit="1" customWidth="1" style="955" min="34" max="34"/>
    <col width="8.85546875" customWidth="1" style="955" min="35" max="35"/>
    <col width="19" bestFit="1" customWidth="1" style="955" min="36" max="36"/>
    <col width="9.5703125" customWidth="1" style="955" min="37" max="37"/>
    <col width="17.5703125" bestFit="1" customWidth="1" style="955" min="38" max="38"/>
    <col width="10.5703125" customWidth="1" style="955" min="39" max="39"/>
    <col width="17.5703125" bestFit="1" customWidth="1" style="955" min="40" max="40"/>
    <col width="10.5703125" customWidth="1" style="955" min="41" max="41"/>
    <col width="18.7109375" customWidth="1" style="955" min="42" max="42"/>
    <col width="10.5703125" customWidth="1" style="955" min="43" max="43"/>
    <col width="16.42578125" bestFit="1" customWidth="1" style="955" min="44" max="44"/>
    <col width="8.5703125" customWidth="1" style="955" min="45" max="45"/>
    <col width="16.42578125" bestFit="1" customWidth="1" style="955" min="46" max="46"/>
    <col width="10.42578125" customWidth="1" style="955" min="47" max="47"/>
    <col width="17.5703125" bestFit="1" customWidth="1" style="955" min="48" max="48"/>
  </cols>
  <sheetData>
    <row r="1" ht="15" customHeight="1" s="955">
      <c r="A1" s="1116" t="inlineStr">
        <is>
          <t>ERPS</t>
        </is>
      </c>
    </row>
    <row r="2" ht="15" customHeight="1" s="955"/>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18" t="n"/>
      <c r="Q3" s="869" t="n">
        <v>97</v>
      </c>
      <c r="R3" s="1218" t="n"/>
      <c r="S3" s="869" t="n">
        <v>109</v>
      </c>
      <c r="T3" s="1218" t="n"/>
      <c r="U3" s="869" t="n">
        <v>121</v>
      </c>
      <c r="V3" s="1218" t="n"/>
      <c r="W3" s="869" t="n">
        <v>133</v>
      </c>
      <c r="X3" s="1218"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18" t="n"/>
      <c r="Q4" s="873" t="n">
        <v>98</v>
      </c>
      <c r="R4" s="1218" t="n"/>
      <c r="S4" s="873" t="n">
        <v>110</v>
      </c>
      <c r="T4" s="1218" t="n"/>
      <c r="U4" s="873" t="n">
        <v>122</v>
      </c>
      <c r="V4" s="1218" t="n"/>
      <c r="W4" s="873" t="n">
        <v>134</v>
      </c>
      <c r="X4" s="1218"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s="955">
      <c r="A5" s="874" t="n">
        <v>3</v>
      </c>
      <c r="B5" s="870" t="n"/>
      <c r="C5" s="874" t="n">
        <v>15</v>
      </c>
      <c r="D5" s="870" t="n"/>
      <c r="E5" s="874" t="n">
        <v>27</v>
      </c>
      <c r="F5" s="870" t="n"/>
      <c r="G5" s="874" t="n">
        <v>39</v>
      </c>
      <c r="H5" s="870" t="n"/>
      <c r="I5" s="874" t="n">
        <v>51</v>
      </c>
      <c r="J5" s="870" t="n"/>
      <c r="K5" s="874" t="n">
        <v>63</v>
      </c>
      <c r="L5" s="870" t="n"/>
      <c r="M5" s="874" t="n">
        <v>75</v>
      </c>
      <c r="N5" s="870" t="n"/>
      <c r="O5" s="874" t="n">
        <v>87</v>
      </c>
      <c r="P5" s="1218" t="n"/>
      <c r="Q5" s="874" t="n">
        <v>99</v>
      </c>
      <c r="R5" s="1218" t="n"/>
      <c r="S5" s="874" t="n">
        <v>111</v>
      </c>
      <c r="T5" s="1218" t="n"/>
      <c r="U5" s="874" t="n">
        <v>123</v>
      </c>
      <c r="V5" s="1218" t="n"/>
      <c r="W5" s="874" t="n">
        <v>135</v>
      </c>
      <c r="X5" s="1218"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18" t="n"/>
      <c r="Q6" s="875" t="n">
        <v>100</v>
      </c>
      <c r="R6" s="1218" t="n"/>
      <c r="S6" s="875" t="n">
        <v>112</v>
      </c>
      <c r="T6" s="1218" t="n"/>
      <c r="U6" s="875" t="n">
        <v>124</v>
      </c>
      <c r="V6" s="1218" t="n"/>
      <c r="W6" s="875" t="n">
        <v>136</v>
      </c>
      <c r="X6" s="1218"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18" t="n"/>
      <c r="Q7" s="876" t="n">
        <v>101</v>
      </c>
      <c r="R7" s="1218" t="n"/>
      <c r="S7" s="876" t="n">
        <v>113</v>
      </c>
      <c r="T7" s="1218" t="n"/>
      <c r="U7" s="876" t="n">
        <v>125</v>
      </c>
      <c r="V7" s="1218" t="n"/>
      <c r="W7" s="876" t="n">
        <v>137</v>
      </c>
      <c r="X7" s="1218"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18" t="n"/>
      <c r="Q8" s="877" t="n">
        <v>102</v>
      </c>
      <c r="R8" s="1218" t="n"/>
      <c r="S8" s="877" t="n">
        <v>114</v>
      </c>
      <c r="T8" s="1218" t="n"/>
      <c r="U8" s="877" t="n">
        <v>126</v>
      </c>
      <c r="V8" s="1218" t="n"/>
      <c r="W8" s="877" t="n">
        <v>138</v>
      </c>
      <c r="X8" s="1218"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18" t="n"/>
      <c r="Q9" s="878" t="n">
        <v>103</v>
      </c>
      <c r="R9" s="1218" t="n"/>
      <c r="S9" s="878" t="n">
        <v>115</v>
      </c>
      <c r="T9" s="1218" t="n"/>
      <c r="U9" s="878" t="n">
        <v>127</v>
      </c>
      <c r="V9" s="1218" t="n"/>
      <c r="W9" s="878" t="n">
        <v>139</v>
      </c>
      <c r="X9" s="1218"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18" t="n"/>
      <c r="Q10" s="879" t="n">
        <v>104</v>
      </c>
      <c r="R10" s="1218" t="n"/>
      <c r="S10" s="879" t="n">
        <v>116</v>
      </c>
      <c r="T10" s="1218" t="n"/>
      <c r="U10" s="879" t="n">
        <v>128</v>
      </c>
      <c r="V10" s="1218" t="n"/>
      <c r="W10" s="879" t="n">
        <v>140</v>
      </c>
      <c r="X10" s="1218"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18" t="n"/>
      <c r="Q11" s="880" t="n">
        <v>105</v>
      </c>
      <c r="R11" s="1218" t="n"/>
      <c r="S11" s="880" t="n">
        <v>117</v>
      </c>
      <c r="T11" s="1218" t="n"/>
      <c r="U11" s="880" t="n">
        <v>129</v>
      </c>
      <c r="V11" s="1218" t="n"/>
      <c r="W11" s="880" t="n">
        <v>141</v>
      </c>
      <c r="X11" s="1218"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18" t="n"/>
      <c r="Q12" s="881" t="n">
        <v>106</v>
      </c>
      <c r="R12" s="1218" t="n"/>
      <c r="S12" s="881" t="n">
        <v>118</v>
      </c>
      <c r="T12" s="1218" t="n"/>
      <c r="U12" s="881" t="n">
        <v>130</v>
      </c>
      <c r="V12" s="1218" t="n"/>
      <c r="W12" s="881" t="n">
        <v>142</v>
      </c>
      <c r="X12" s="1218"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18" t="n"/>
      <c r="Q13" s="882" t="n">
        <v>107</v>
      </c>
      <c r="R13" s="1218" t="n"/>
      <c r="S13" s="882" t="n">
        <v>119</v>
      </c>
      <c r="T13" s="1218" t="n"/>
      <c r="U13" s="882" t="n">
        <v>131</v>
      </c>
      <c r="V13" s="1218" t="n"/>
      <c r="W13" s="882" t="n">
        <v>143</v>
      </c>
      <c r="X13" s="1218"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18" t="n"/>
      <c r="Q14" s="883" t="n">
        <v>108</v>
      </c>
      <c r="R14" s="1218" t="n"/>
      <c r="S14" s="883" t="n">
        <v>120</v>
      </c>
      <c r="T14" s="1218" t="n"/>
      <c r="U14" s="883" t="n">
        <v>132</v>
      </c>
      <c r="V14" s="1218" t="n"/>
      <c r="W14" s="883" t="n">
        <v>144</v>
      </c>
      <c r="X14" s="1218"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958" t="n"/>
      <c r="B16" s="958" t="n"/>
      <c r="C16" s="958" t="n"/>
      <c r="D16" s="958" t="n"/>
      <c r="E16" s="958" t="n"/>
      <c r="F16" s="958" t="n"/>
      <c r="G16" s="958" t="n"/>
      <c r="H16" s="958" t="n"/>
      <c r="I16" s="958" t="n"/>
      <c r="J16" s="958" t="n"/>
      <c r="K16" s="958" t="n"/>
      <c r="L16" s="958" t="n"/>
      <c r="M16" s="958" t="n"/>
      <c r="N16" s="958" t="n"/>
      <c r="O16" s="958" t="n"/>
      <c r="P16" s="888" t="n"/>
      <c r="Q16" s="958" t="n"/>
      <c r="R16" s="958" t="n"/>
      <c r="S16" s="958" t="n"/>
      <c r="T16" s="958" t="n"/>
      <c r="U16" s="958" t="n"/>
      <c r="V16" s="958" t="n"/>
      <c r="W16" s="958" t="n"/>
      <c r="X16" s="958" t="n"/>
      <c r="Y16" s="1219" t="n"/>
      <c r="Z16" s="1219" t="n"/>
      <c r="AA16" s="1219" t="n"/>
      <c r="AB16" s="1219" t="n"/>
      <c r="AC16" s="1219" t="n"/>
      <c r="AD16" s="1219" t="n"/>
      <c r="AE16" s="1219" t="n"/>
      <c r="AF16" s="1219" t="n"/>
      <c r="AG16" s="1219" t="n"/>
      <c r="AH16" s="1219" t="n"/>
      <c r="AI16" s="1219" t="n"/>
      <c r="AJ16" s="1219" t="n"/>
      <c r="AK16" s="1219" t="n"/>
      <c r="AL16" s="1219" t="n"/>
      <c r="AM16" s="1219" t="n"/>
      <c r="AN16" s="1219" t="n"/>
      <c r="AO16" s="1219" t="n"/>
      <c r="AP16" s="1219" t="n"/>
      <c r="AQ16" s="1219" t="n"/>
      <c r="AR16" s="1219" t="n"/>
      <c r="AS16" s="1219" t="n"/>
      <c r="AT16" s="1219" t="n"/>
      <c r="AU16" s="1219" t="n"/>
      <c r="AV16" s="1219" t="n"/>
    </row>
    <row r="17" ht="15.75" customHeight="1" s="955" thickBot="1"/>
    <row r="18" ht="15" customHeight="1" s="955">
      <c r="A18" s="1220" t="inlineStr">
        <is>
          <t>FIBER ALLOTMENT</t>
        </is>
      </c>
      <c r="B18" s="1135" t="n"/>
      <c r="C18" s="1135" t="n"/>
      <c r="D18" s="1135" t="n"/>
      <c r="E18" s="1135" t="n"/>
      <c r="F18" s="1135" t="n"/>
      <c r="G18" s="1135" t="n"/>
      <c r="H18" s="1135" t="n"/>
      <c r="I18" s="1135" t="n"/>
      <c r="J18" s="1135" t="n"/>
      <c r="K18" s="1135" t="n"/>
      <c r="L18" s="1135" t="n"/>
      <c r="M18" s="1135" t="n"/>
      <c r="N18" s="1135" t="n"/>
      <c r="O18" s="1135" t="n"/>
      <c r="P18" s="1135" t="n"/>
      <c r="Q18" s="1135" t="n"/>
      <c r="R18" s="1135" t="n"/>
      <c r="S18" s="1135" t="n"/>
      <c r="T18" s="1135" t="n"/>
      <c r="U18" s="1135" t="n"/>
      <c r="V18" s="1135" t="n"/>
      <c r="W18" s="1135" t="n"/>
      <c r="X18" s="1135" t="n"/>
      <c r="Y18" s="1135" t="n"/>
      <c r="Z18" s="1135" t="n"/>
      <c r="AA18" s="1135" t="n"/>
      <c r="AB18" s="1135" t="n"/>
      <c r="AC18" s="1135" t="n"/>
      <c r="AD18" s="1135" t="n"/>
      <c r="AE18" s="1135" t="n"/>
      <c r="AF18" s="1135" t="n"/>
      <c r="AG18" s="1135" t="n"/>
      <c r="AH18" s="1135" t="n"/>
      <c r="AI18" s="1135" t="n"/>
      <c r="AJ18" s="1134" t="n"/>
      <c r="AK18" s="1220" t="inlineStr">
        <is>
          <t>N008 FIBER ALLOTMENT</t>
        </is>
      </c>
      <c r="AL18" s="1135" t="n"/>
      <c r="AM18" s="1135" t="n"/>
      <c r="AN18" s="1135" t="n"/>
      <c r="AO18" s="1135" t="n"/>
      <c r="AP18" s="1135" t="n"/>
      <c r="AQ18" s="1135" t="n"/>
      <c r="AR18" s="1135" t="n"/>
      <c r="AS18" s="1135" t="n"/>
      <c r="AT18" s="1135" t="n"/>
      <c r="AU18" s="1135" t="n"/>
      <c r="AV18" s="1135" t="n"/>
      <c r="AW18" s="1135" t="n"/>
      <c r="AX18" s="1135" t="n"/>
      <c r="AY18" s="1135" t="n"/>
      <c r="AZ18" s="1135" t="n"/>
      <c r="BA18" s="1135" t="n"/>
      <c r="BB18" s="1135" t="n"/>
      <c r="BC18" s="1135" t="n"/>
      <c r="BD18" s="1135" t="n"/>
      <c r="BE18" s="1135" t="n"/>
      <c r="BF18" s="1135" t="n"/>
      <c r="BG18" s="1135" t="n"/>
      <c r="BH18" s="1135" t="n"/>
      <c r="BI18" s="1135" t="n"/>
      <c r="BJ18" s="1135" t="n"/>
      <c r="BK18" s="1135" t="n"/>
      <c r="BL18" s="1135" t="n"/>
      <c r="BM18" s="1135" t="n"/>
      <c r="BN18" s="1135" t="n"/>
      <c r="BO18" s="1135" t="n"/>
      <c r="BP18" s="1134" t="n"/>
      <c r="BQ18" s="890" t="n"/>
      <c r="BR18" s="890" t="n"/>
      <c r="BS18" s="890" t="n"/>
      <c r="BT18" s="891" t="n"/>
    </row>
    <row r="19" ht="15" customHeight="1" s="955" thickBot="1">
      <c r="A19" s="1147" t="n"/>
      <c r="B19" s="1132" t="n"/>
      <c r="C19" s="1132" t="n"/>
      <c r="D19" s="1132" t="n"/>
      <c r="E19" s="1132" t="n"/>
      <c r="F19" s="1132" t="n"/>
      <c r="G19" s="1132" t="n"/>
      <c r="H19" s="1132" t="n"/>
      <c r="I19" s="1132" t="n"/>
      <c r="J19" s="1132" t="n"/>
      <c r="K19" s="1132" t="n"/>
      <c r="L19" s="1132" t="n"/>
      <c r="M19" s="1132" t="n"/>
      <c r="N19" s="1132" t="n"/>
      <c r="O19" s="1132" t="n"/>
      <c r="P19" s="1132" t="n"/>
      <c r="Q19" s="1132" t="n"/>
      <c r="R19" s="1132" t="n"/>
      <c r="S19" s="1132" t="n"/>
      <c r="T19" s="1132" t="n"/>
      <c r="U19" s="1132" t="n"/>
      <c r="V19" s="1132" t="n"/>
      <c r="W19" s="1132" t="n"/>
      <c r="X19" s="1132" t="n"/>
      <c r="Y19" s="1132" t="n"/>
      <c r="Z19" s="1132" t="n"/>
      <c r="AA19" s="1132" t="n"/>
      <c r="AB19" s="1132" t="n"/>
      <c r="AC19" s="1132" t="n"/>
      <c r="AD19" s="1132" t="n"/>
      <c r="AE19" s="1132" t="n"/>
      <c r="AF19" s="1132" t="n"/>
      <c r="AG19" s="1132" t="n"/>
      <c r="AH19" s="1132" t="n"/>
      <c r="AI19" s="1132" t="n"/>
      <c r="AJ19" s="1148" t="n"/>
      <c r="AK19" s="1147" t="n"/>
      <c r="AL19" s="1132" t="n"/>
      <c r="AM19" s="1132" t="n"/>
      <c r="AN19" s="1132" t="n"/>
      <c r="AO19" s="1132" t="n"/>
      <c r="AP19" s="1132" t="n"/>
      <c r="AQ19" s="1132" t="n"/>
      <c r="AR19" s="1132" t="n"/>
      <c r="AS19" s="1132" t="n"/>
      <c r="AT19" s="1132" t="n"/>
      <c r="AU19" s="1132" t="n"/>
      <c r="AV19" s="1132" t="n"/>
      <c r="AW19" s="1132" t="n"/>
      <c r="AX19" s="1132" t="n"/>
      <c r="AY19" s="1132" t="n"/>
      <c r="AZ19" s="1132" t="n"/>
      <c r="BA19" s="1132" t="n"/>
      <c r="BB19" s="1132" t="n"/>
      <c r="BC19" s="1132" t="n"/>
      <c r="BD19" s="1132" t="n"/>
      <c r="BE19" s="1132" t="n"/>
      <c r="BF19" s="1132" t="n"/>
      <c r="BG19" s="1132" t="n"/>
      <c r="BH19" s="1132" t="n"/>
      <c r="BI19" s="1132" t="n"/>
      <c r="BJ19" s="1132" t="n"/>
      <c r="BK19" s="1132" t="n"/>
      <c r="BL19" s="1132" t="n"/>
      <c r="BM19" s="1132" t="n"/>
      <c r="BN19" s="1132" t="n"/>
      <c r="BO19" s="1132" t="n"/>
      <c r="BP19" s="1148"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2026-04-10T11:14:26Z</dcterms:modified>
  <cp:lastModifiedBy>Mace Zumwalt</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